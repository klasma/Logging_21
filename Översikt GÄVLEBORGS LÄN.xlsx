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46086</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46086</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46086</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46086</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46086</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52437-2025</t>
        </is>
      </c>
      <c r="B7" s="1" t="n">
        <v>45954.4019675926</v>
      </c>
      <c r="C7" s="1" t="n">
        <v>46086</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9021-2025</t>
        </is>
      </c>
      <c r="B8" s="1" t="n">
        <v>45713</v>
      </c>
      <c r="C8" s="1" t="n">
        <v>46086</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46086</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agg.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8590-2025</t>
        </is>
      </c>
      <c r="B10" s="1" t="n">
        <v>45709</v>
      </c>
      <c r="C10" s="1" t="n">
        <v>46086</v>
      </c>
      <c r="D10" t="inlineStr">
        <is>
          <t>GÄVLEBORGS LÄN</t>
        </is>
      </c>
      <c r="E10" t="inlineStr">
        <is>
          <t>LJUSDAL</t>
        </is>
      </c>
      <c r="G10" t="n">
        <v>64.3</v>
      </c>
      <c r="H10" t="n">
        <v>6</v>
      </c>
      <c r="I10" t="n">
        <v>6</v>
      </c>
      <c r="J10" t="n">
        <v>10</v>
      </c>
      <c r="K10" t="n">
        <v>2</v>
      </c>
      <c r="L10" t="n">
        <v>0</v>
      </c>
      <c r="M10" t="n">
        <v>0</v>
      </c>
      <c r="N10" t="n">
        <v>0</v>
      </c>
      <c r="O10" t="n">
        <v>12</v>
      </c>
      <c r="P10" t="n">
        <v>2</v>
      </c>
      <c r="Q10" t="n">
        <v>20</v>
      </c>
      <c r="R10" s="2" t="inlineStr">
        <is>
          <t>Gräddporing
Knärot
Garnlav
Kolflarnlav
Lunglav
Mörk kolflarnlav
Skrovellav
Tallticka
Talltita
Tretåig hackspett
Ullticka
Vedskivlav
Dropptaggsvamp
Luddlav
Mindre märgborre
Spindelblomster
Stuplav
Vedticka
Kungsfågel
Tjäder</t>
        </is>
      </c>
      <c r="S10">
        <f>HYPERLINK("https://klasma.github.io/Logging_2161/artfynd/A 8590-2025 artfynd.xlsx", "A 8590-2025")</f>
        <v/>
      </c>
      <c r="T10">
        <f>HYPERLINK("https://klasma.github.io/Logging_2161/kartor/A 8590-2025 karta.png", "A 8590-2025")</f>
        <v/>
      </c>
      <c r="U10">
        <f>HYPERLINK("https://klasma.github.io/Logging_2161/knärot/A 8590-2025 karta knärot.png", "A 8590-2025")</f>
        <v/>
      </c>
      <c r="V10">
        <f>HYPERLINK("https://klasma.github.io/Logging_2161/klagomål/A 8590-2025 FSC-klagomål.docx", "A 8590-2025")</f>
        <v/>
      </c>
      <c r="W10">
        <f>HYPERLINK("https://klasma.github.io/Logging_2161/klagomålsmail/A 8590-2025 FSC-klagomål mail.docx", "A 8590-2025")</f>
        <v/>
      </c>
      <c r="X10">
        <f>HYPERLINK("https://klasma.github.io/Logging_2161/tillsyn/A 8590-2025 tillsynsbegäran.docx", "A 8590-2025")</f>
        <v/>
      </c>
      <c r="Y10">
        <f>HYPERLINK("https://klasma.github.io/Logging_2161/tillsynsmail/A 8590-2025 tillsynsbegäran mail.docx", "A 8590-2025")</f>
        <v/>
      </c>
      <c r="Z10">
        <f>HYPERLINK("https://klasma.github.io/Logging_2161/fåglar/A 8590-2025 prioriterade fågelarter.docx", "A 8590-2025")</f>
        <v/>
      </c>
    </row>
    <row r="11" ht="15" customHeight="1">
      <c r="A11" t="inlineStr">
        <is>
          <t>A 77-2025</t>
        </is>
      </c>
      <c r="B11" s="1" t="n">
        <v>45659.44060185185</v>
      </c>
      <c r="C11" s="1" t="n">
        <v>46086</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23984-2022</t>
        </is>
      </c>
      <c r="B12" s="1" t="n">
        <v>44722</v>
      </c>
      <c r="C12" s="1" t="n">
        <v>46086</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46086</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46086</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568-2025</t>
        </is>
      </c>
      <c r="B15" s="1" t="n">
        <v>45664</v>
      </c>
      <c r="C15" s="1" t="n">
        <v>46086</v>
      </c>
      <c r="D15" t="inlineStr">
        <is>
          <t>GÄVLEBORGS LÄN</t>
        </is>
      </c>
      <c r="E15" t="inlineStr">
        <is>
          <t>NORDANSTIG</t>
        </is>
      </c>
      <c r="F15" t="inlineStr">
        <is>
          <t>Holmen skog AB</t>
        </is>
      </c>
      <c r="G15" t="n">
        <v>13.3</v>
      </c>
      <c r="H15" t="n">
        <v>1</v>
      </c>
      <c r="I15" t="n">
        <v>5</v>
      </c>
      <c r="J15" t="n">
        <v>10</v>
      </c>
      <c r="K15" t="n">
        <v>1</v>
      </c>
      <c r="L15" t="n">
        <v>0</v>
      </c>
      <c r="M15" t="n">
        <v>0</v>
      </c>
      <c r="N15" t="n">
        <v>0</v>
      </c>
      <c r="O15" t="n">
        <v>11</v>
      </c>
      <c r="P15" t="n">
        <v>1</v>
      </c>
      <c r="Q15" t="n">
        <v>16</v>
      </c>
      <c r="R15" s="2" t="inlineStr">
        <is>
          <t>Knärot
Blanksvart spiklav
Doftskinn
Dvärgbägarlav
Garnlav
Grönhjon
Lunglav
Tallticka
Ullticka
Vedskivlav
Violettgrå tagellav
Bronshjon
Kattfotslav
Skinnlav
Vedticka
Vågbandad barkbock</t>
        </is>
      </c>
      <c r="S15">
        <f>HYPERLINK("https://klasma.github.io/Logging_2132/artfynd/A 568-2025 artfynd.xlsx", "A 568-2025")</f>
        <v/>
      </c>
      <c r="T15">
        <f>HYPERLINK("https://klasma.github.io/Logging_2132/kartor/A 568-2025 karta.png", "A 568-2025")</f>
        <v/>
      </c>
      <c r="U15">
        <f>HYPERLINK("https://klasma.github.io/Logging_2132/knärot/A 568-2025 karta knärot.png", "A 568-2025")</f>
        <v/>
      </c>
      <c r="V15">
        <f>HYPERLINK("https://klasma.github.io/Logging_2132/klagomål/A 568-2025 FSC-klagomål.docx", "A 568-2025")</f>
        <v/>
      </c>
      <c r="W15">
        <f>HYPERLINK("https://klasma.github.io/Logging_2132/klagomålsmail/A 568-2025 FSC-klagomål mail.docx", "A 568-2025")</f>
        <v/>
      </c>
      <c r="X15">
        <f>HYPERLINK("https://klasma.github.io/Logging_2132/tillsyn/A 568-2025 tillsynsbegäran.docx", "A 568-2025")</f>
        <v/>
      </c>
      <c r="Y15">
        <f>HYPERLINK("https://klasma.github.io/Logging_2132/tillsynsmail/A 568-2025 tillsynsbegäran mail.docx", "A 568-2025")</f>
        <v/>
      </c>
    </row>
    <row r="16" ht="15" customHeight="1">
      <c r="A16" t="inlineStr">
        <is>
          <t>A 48020-2021</t>
        </is>
      </c>
      <c r="B16" s="1" t="n">
        <v>44449</v>
      </c>
      <c r="C16" s="1" t="n">
        <v>46086</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46086</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55322-2021</t>
        </is>
      </c>
      <c r="B18" s="1" t="n">
        <v>44475.46431712963</v>
      </c>
      <c r="C18" s="1" t="n">
        <v>46086</v>
      </c>
      <c r="D18" t="inlineStr">
        <is>
          <t>GÄVLEBORGS LÄN</t>
        </is>
      </c>
      <c r="E18" t="inlineStr">
        <is>
          <t>LJUSDAL</t>
        </is>
      </c>
      <c r="F18" t="inlineStr">
        <is>
          <t>Holmen skog AB</t>
        </is>
      </c>
      <c r="G18" t="n">
        <v>4.1</v>
      </c>
      <c r="H18" t="n">
        <v>1</v>
      </c>
      <c r="I18" t="n">
        <v>10</v>
      </c>
      <c r="J18" t="n">
        <v>4</v>
      </c>
      <c r="K18" t="n">
        <v>1</v>
      </c>
      <c r="L18" t="n">
        <v>0</v>
      </c>
      <c r="M18" t="n">
        <v>0</v>
      </c>
      <c r="N18" t="n">
        <v>0</v>
      </c>
      <c r="O18" t="n">
        <v>5</v>
      </c>
      <c r="P18" t="n">
        <v>1</v>
      </c>
      <c r="Q18" t="n">
        <v>15</v>
      </c>
      <c r="R18" s="2" t="inlineStr">
        <is>
          <t>Knärot
Gammelgransskål
Garnlav
Ullticka
Vitgrynig nållav
Bronshjon
Grönpyrola
Gulnål
Kattfotslav
Korallblylav
Källpraktmossa
Mörk husmossa
Rödgul trumpetsvamp
Skogsbräsma
Vedticka</t>
        </is>
      </c>
      <c r="S18">
        <f>HYPERLINK("https://klasma.github.io/Logging_2161/artfynd/A 55322-2021 artfynd.xlsx", "A 55322-2021")</f>
        <v/>
      </c>
      <c r="T18">
        <f>HYPERLINK("https://klasma.github.io/Logging_2161/kartor/A 55322-2021 karta.png", "A 55322-2021")</f>
        <v/>
      </c>
      <c r="U18">
        <f>HYPERLINK("https://klasma.github.io/Logging_2161/knärot/A 55322-2021 karta knärot.png", "A 55322-2021")</f>
        <v/>
      </c>
      <c r="V18">
        <f>HYPERLINK("https://klasma.github.io/Logging_2161/klagomål/A 55322-2021 FSC-klagomål.docx", "A 55322-2021")</f>
        <v/>
      </c>
      <c r="W18">
        <f>HYPERLINK("https://klasma.github.io/Logging_2161/klagomålsmail/A 55322-2021 FSC-klagomål mail.docx", "A 55322-2021")</f>
        <v/>
      </c>
      <c r="X18">
        <f>HYPERLINK("https://klasma.github.io/Logging_2161/tillsyn/A 55322-2021 tillsynsbegäran.docx", "A 55322-2021")</f>
        <v/>
      </c>
      <c r="Y18">
        <f>HYPERLINK("https://klasma.github.io/Logging_2161/tillsynsmail/A 55322-2021 tillsynsbegäran mail.docx", "A 55322-2021")</f>
        <v/>
      </c>
    </row>
    <row r="19" ht="15" customHeight="1">
      <c r="A19" t="inlineStr">
        <is>
          <t>A 54495-2025</t>
        </is>
      </c>
      <c r="B19" s="1" t="n">
        <v>45965.60083333333</v>
      </c>
      <c r="C19" s="1" t="n">
        <v>46086</v>
      </c>
      <c r="D19" t="inlineStr">
        <is>
          <t>GÄVLEBORGS LÄN</t>
        </is>
      </c>
      <c r="E19" t="inlineStr">
        <is>
          <t>LJUSDAL</t>
        </is>
      </c>
      <c r="F19" t="inlineStr">
        <is>
          <t>Allmännings- och besparingsskogar</t>
        </is>
      </c>
      <c r="G19" t="n">
        <v>12.8</v>
      </c>
      <c r="H19" t="n">
        <v>4</v>
      </c>
      <c r="I19" t="n">
        <v>1</v>
      </c>
      <c r="J19" t="n">
        <v>12</v>
      </c>
      <c r="K19" t="n">
        <v>0</v>
      </c>
      <c r="L19" t="n">
        <v>0</v>
      </c>
      <c r="M19" t="n">
        <v>0</v>
      </c>
      <c r="N19" t="n">
        <v>0</v>
      </c>
      <c r="O19" t="n">
        <v>12</v>
      </c>
      <c r="P19" t="n">
        <v>0</v>
      </c>
      <c r="Q19" t="n">
        <v>15</v>
      </c>
      <c r="R19" s="2" t="inlineStr">
        <is>
          <t>Blanksvart spiklav
Dvärgbägarlav
Garnlav
Gränsticka
Kortskaftad ärgspik
Mörk kolflarnlav
Spillkråka
Tretåig hackspett
Ullticka
Vedflamlav
Vedskivlav
Violettgrå tagellav
Nästlav
Lavskrika
Tjäder</t>
        </is>
      </c>
      <c r="S19">
        <f>HYPERLINK("https://klasma.github.io/Logging_2161/artfynd/A 54495-2025 artfynd.xlsx", "A 54495-2025")</f>
        <v/>
      </c>
      <c r="T19">
        <f>HYPERLINK("https://klasma.github.io/Logging_2161/kartor/A 54495-2025 karta.png", "A 54495-2025")</f>
        <v/>
      </c>
      <c r="V19">
        <f>HYPERLINK("https://klasma.github.io/Logging_2161/klagomål/A 54495-2025 FSC-klagomål.docx", "A 54495-2025")</f>
        <v/>
      </c>
      <c r="W19">
        <f>HYPERLINK("https://klasma.github.io/Logging_2161/klagomålsmail/A 54495-2025 FSC-klagomål mail.docx", "A 54495-2025")</f>
        <v/>
      </c>
      <c r="X19">
        <f>HYPERLINK("https://klasma.github.io/Logging_2161/tillsyn/A 54495-2025 tillsynsbegäran.docx", "A 54495-2025")</f>
        <v/>
      </c>
      <c r="Y19">
        <f>HYPERLINK("https://klasma.github.io/Logging_2161/tillsynsmail/A 54495-2025 tillsynsbegäran mail.docx", "A 54495-2025")</f>
        <v/>
      </c>
      <c r="Z19">
        <f>HYPERLINK("https://klasma.github.io/Logging_2161/fåglar/A 54495-2025 prioriterade fågelarter.docx", "A 54495-2025")</f>
        <v/>
      </c>
    </row>
    <row r="20" ht="15" customHeight="1">
      <c r="A20" t="inlineStr">
        <is>
          <t>A 3180-2025</t>
        </is>
      </c>
      <c r="B20" s="1" t="n">
        <v>45679.39618055556</v>
      </c>
      <c r="C20" s="1" t="n">
        <v>46086</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8671-2022</t>
        </is>
      </c>
      <c r="B21" s="1" t="n">
        <v>44613</v>
      </c>
      <c r="C21" s="1" t="n">
        <v>46086</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18631-2022</t>
        </is>
      </c>
      <c r="B22" s="1" t="n">
        <v>44687</v>
      </c>
      <c r="C22" s="1" t="n">
        <v>46086</v>
      </c>
      <c r="D22" t="inlineStr">
        <is>
          <t>GÄVLEBORGS LÄN</t>
        </is>
      </c>
      <c r="E22" t="inlineStr">
        <is>
          <t>LJUSDAL</t>
        </is>
      </c>
      <c r="F22" t="inlineStr">
        <is>
          <t>Bergvik skog väst AB</t>
        </is>
      </c>
      <c r="G22" t="n">
        <v>17</v>
      </c>
      <c r="H22" t="n">
        <v>5</v>
      </c>
      <c r="I22" t="n">
        <v>5</v>
      </c>
      <c r="J22" t="n">
        <v>7</v>
      </c>
      <c r="K22" t="n">
        <v>1</v>
      </c>
      <c r="L22" t="n">
        <v>0</v>
      </c>
      <c r="M22" t="n">
        <v>0</v>
      </c>
      <c r="N22" t="n">
        <v>0</v>
      </c>
      <c r="O22" t="n">
        <v>8</v>
      </c>
      <c r="P22" t="n">
        <v>1</v>
      </c>
      <c r="Q22" t="n">
        <v>14</v>
      </c>
      <c r="R22" s="2" t="inlineStr">
        <is>
          <t>Knärot
Blanksvart spiklav
Kolflarnlav
Lunglav
Mörk kolflarnlav
Skrovellav
Spillkråka
Tretåig hackspett
Bårdlav
Korallrot
Rävticka
Skinnlav
Stuplav
Fläcknycklar</t>
        </is>
      </c>
      <c r="S22">
        <f>HYPERLINK("https://klasma.github.io/Logging_2161/artfynd/A 18631-2022 artfynd.xlsx", "A 18631-2022")</f>
        <v/>
      </c>
      <c r="T22">
        <f>HYPERLINK("https://klasma.github.io/Logging_2161/kartor/A 18631-2022 karta.png", "A 18631-2022")</f>
        <v/>
      </c>
      <c r="U22">
        <f>HYPERLINK("https://klasma.github.io/Logging_2161/knärot/A 18631-2022 karta knärot.png", "A 18631-2022")</f>
        <v/>
      </c>
      <c r="V22">
        <f>HYPERLINK("https://klasma.github.io/Logging_2161/klagomål/A 18631-2022 FSC-klagomål.docx", "A 18631-2022")</f>
        <v/>
      </c>
      <c r="W22">
        <f>HYPERLINK("https://klasma.github.io/Logging_2161/klagomålsmail/A 18631-2022 FSC-klagomål mail.docx", "A 18631-2022")</f>
        <v/>
      </c>
      <c r="X22">
        <f>HYPERLINK("https://klasma.github.io/Logging_2161/tillsyn/A 18631-2022 tillsynsbegäran.docx", "A 18631-2022")</f>
        <v/>
      </c>
      <c r="Y22">
        <f>HYPERLINK("https://klasma.github.io/Logging_2161/tillsynsmail/A 18631-2022 tillsynsbegäran mail.docx", "A 18631-2022")</f>
        <v/>
      </c>
      <c r="Z22">
        <f>HYPERLINK("https://klasma.github.io/Logging_2161/fåglar/A 18631-2022 prioriterade fågelarter.docx", "A 18631-2022")</f>
        <v/>
      </c>
    </row>
    <row r="23" ht="15" customHeight="1">
      <c r="A23" t="inlineStr">
        <is>
          <t>A 59809-2025</t>
        </is>
      </c>
      <c r="B23" s="1" t="n">
        <v>45992.62988425926</v>
      </c>
      <c r="C23" s="1" t="n">
        <v>46086</v>
      </c>
      <c r="D23" t="inlineStr">
        <is>
          <t>GÄVLEBORGS LÄN</t>
        </is>
      </c>
      <c r="E23" t="inlineStr">
        <is>
          <t>LJUSDAL</t>
        </is>
      </c>
      <c r="F23" t="inlineStr">
        <is>
          <t>Allmännings- och besparingsskogar</t>
        </is>
      </c>
      <c r="G23" t="n">
        <v>12.7</v>
      </c>
      <c r="H23" t="n">
        <v>4</v>
      </c>
      <c r="I23" t="n">
        <v>2</v>
      </c>
      <c r="J23" t="n">
        <v>10</v>
      </c>
      <c r="K23" t="n">
        <v>0</v>
      </c>
      <c r="L23" t="n">
        <v>0</v>
      </c>
      <c r="M23" t="n">
        <v>0</v>
      </c>
      <c r="N23" t="n">
        <v>0</v>
      </c>
      <c r="O23" t="n">
        <v>10</v>
      </c>
      <c r="P23" t="n">
        <v>0</v>
      </c>
      <c r="Q23" t="n">
        <v>14</v>
      </c>
      <c r="R23" s="2" t="inlineStr">
        <is>
          <t>Blanksvart spiklav
Blågrå svartspik
Garnlav
Kolflarnlav
Mörk kolflarnlav
Tallticka
Talltita
Tretåig hackspett
Vedflamlav
Vedskivlav
Dropptaggsvamp
Mindre märgborre
Orre
Tjäder</t>
        </is>
      </c>
      <c r="S23">
        <f>HYPERLINK("https://klasma.github.io/Logging_2161/artfynd/A 59809-2025 artfynd.xlsx", "A 59809-2025")</f>
        <v/>
      </c>
      <c r="T23">
        <f>HYPERLINK("https://klasma.github.io/Logging_2161/kartor/A 59809-2025 karta.png", "A 59809-2025")</f>
        <v/>
      </c>
      <c r="V23">
        <f>HYPERLINK("https://klasma.github.io/Logging_2161/klagomål/A 59809-2025 FSC-klagomål.docx", "A 59809-2025")</f>
        <v/>
      </c>
      <c r="W23">
        <f>HYPERLINK("https://klasma.github.io/Logging_2161/klagomålsmail/A 59809-2025 FSC-klagomål mail.docx", "A 59809-2025")</f>
        <v/>
      </c>
      <c r="X23">
        <f>HYPERLINK("https://klasma.github.io/Logging_2161/tillsyn/A 59809-2025 tillsynsbegäran.docx", "A 59809-2025")</f>
        <v/>
      </c>
      <c r="Y23">
        <f>HYPERLINK("https://klasma.github.io/Logging_2161/tillsynsmail/A 59809-2025 tillsynsbegäran mail.docx", "A 59809-2025")</f>
        <v/>
      </c>
      <c r="Z23">
        <f>HYPERLINK("https://klasma.github.io/Logging_2161/fåglar/A 59809-2025 prioriterade fågelarter.docx", "A 59809-2025")</f>
        <v/>
      </c>
    </row>
    <row r="24" ht="15" customHeight="1">
      <c r="A24" t="inlineStr">
        <is>
          <t>A 65026-2021</t>
        </is>
      </c>
      <c r="B24" s="1" t="n">
        <v>44512</v>
      </c>
      <c r="C24" s="1" t="n">
        <v>46086</v>
      </c>
      <c r="D24" t="inlineStr">
        <is>
          <t>GÄVLEBORGS LÄN</t>
        </is>
      </c>
      <c r="E24" t="inlineStr">
        <is>
          <t>HOFORS</t>
        </is>
      </c>
      <c r="G24" t="n">
        <v>14.7</v>
      </c>
      <c r="H24" t="n">
        <v>1</v>
      </c>
      <c r="I24" t="n">
        <v>5</v>
      </c>
      <c r="J24" t="n">
        <v>4</v>
      </c>
      <c r="K24" t="n">
        <v>5</v>
      </c>
      <c r="L24" t="n">
        <v>0</v>
      </c>
      <c r="M24" t="n">
        <v>0</v>
      </c>
      <c r="N24" t="n">
        <v>0</v>
      </c>
      <c r="O24" t="n">
        <v>9</v>
      </c>
      <c r="P24" t="n">
        <v>5</v>
      </c>
      <c r="Q24" t="n">
        <v>14</v>
      </c>
      <c r="R24" s="2" t="inlineStr">
        <is>
          <t>Brödtaggsvamp
Knärot
Rynkskinn
Taggfingersvamp
Vågticka
Granticka
Gul taggsvamp
Orange taggsvamp
Ullticka
Dropptaggsvamp
Granbarkgnagare
Mörk husmossa
Rostfläck
Trådticka</t>
        </is>
      </c>
      <c r="S24">
        <f>HYPERLINK("https://klasma.github.io/Logging_2104/artfynd/A 65026-2021 artfynd.xlsx", "A 65026-2021")</f>
        <v/>
      </c>
      <c r="T24">
        <f>HYPERLINK("https://klasma.github.io/Logging_2104/kartor/A 65026-2021 karta.png", "A 65026-2021")</f>
        <v/>
      </c>
      <c r="U24">
        <f>HYPERLINK("https://klasma.github.io/Logging_2104/knärot/A 65026-2021 karta knärot.png", "A 65026-2021")</f>
        <v/>
      </c>
      <c r="V24">
        <f>HYPERLINK("https://klasma.github.io/Logging_2104/klagomål/A 65026-2021 FSC-klagomål.docx", "A 65026-2021")</f>
        <v/>
      </c>
      <c r="W24">
        <f>HYPERLINK("https://klasma.github.io/Logging_2104/klagomålsmail/A 65026-2021 FSC-klagomål mail.docx", "A 65026-2021")</f>
        <v/>
      </c>
      <c r="X24">
        <f>HYPERLINK("https://klasma.github.io/Logging_2104/tillsyn/A 65026-2021 tillsynsbegäran.docx", "A 65026-2021")</f>
        <v/>
      </c>
      <c r="Y24">
        <f>HYPERLINK("https://klasma.github.io/Logging_2104/tillsynsmail/A 65026-2021 tillsynsbegäran mail.docx", "A 65026-2021")</f>
        <v/>
      </c>
    </row>
    <row r="25" ht="15" customHeight="1">
      <c r="A25" t="inlineStr">
        <is>
          <t>A 28754-2024</t>
        </is>
      </c>
      <c r="B25" s="1" t="n">
        <v>45478</v>
      </c>
      <c r="C25" s="1" t="n">
        <v>46086</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6734-2025</t>
        </is>
      </c>
      <c r="B26" s="1" t="n">
        <v>45700</v>
      </c>
      <c r="C26" s="1" t="n">
        <v>46086</v>
      </c>
      <c r="D26" t="inlineStr">
        <is>
          <t>GÄVLEBORGS LÄN</t>
        </is>
      </c>
      <c r="E26" t="inlineStr">
        <is>
          <t>LJUSDAL</t>
        </is>
      </c>
      <c r="G26" t="n">
        <v>26.1</v>
      </c>
      <c r="H26" t="n">
        <v>4</v>
      </c>
      <c r="I26" t="n">
        <v>2</v>
      </c>
      <c r="J26" t="n">
        <v>8</v>
      </c>
      <c r="K26" t="n">
        <v>2</v>
      </c>
      <c r="L26" t="n">
        <v>0</v>
      </c>
      <c r="M26" t="n">
        <v>0</v>
      </c>
      <c r="N26" t="n">
        <v>0</v>
      </c>
      <c r="O26" t="n">
        <v>10</v>
      </c>
      <c r="P26" t="n">
        <v>2</v>
      </c>
      <c r="Q26" t="n">
        <v>13</v>
      </c>
      <c r="R26" s="2" t="inlineStr">
        <is>
          <t>Knärot
Rynkskinn
Garnlav
Kolflarnlav
Rosenticka
Tallticka
Talltita
Tretåig hackspett
Ullticka
Vedtrappmossa
Björksplintborre
Kattfotslav
Lavskrika</t>
        </is>
      </c>
      <c r="S26">
        <f>HYPERLINK("https://klasma.github.io/Logging_2161/artfynd/A 6734-2025 artfynd.xlsx", "A 6734-2025")</f>
        <v/>
      </c>
      <c r="T26">
        <f>HYPERLINK("https://klasma.github.io/Logging_2161/kartor/A 6734-2025 karta.png", "A 6734-2025")</f>
        <v/>
      </c>
      <c r="U26">
        <f>HYPERLINK("https://klasma.github.io/Logging_2161/knärot/A 6734-2025 karta knärot.png", "A 6734-2025")</f>
        <v/>
      </c>
      <c r="V26">
        <f>HYPERLINK("https://klasma.github.io/Logging_2161/klagomål/A 6734-2025 FSC-klagomål.docx", "A 6734-2025")</f>
        <v/>
      </c>
      <c r="W26">
        <f>HYPERLINK("https://klasma.github.io/Logging_2161/klagomålsmail/A 6734-2025 FSC-klagomål mail.docx", "A 6734-2025")</f>
        <v/>
      </c>
      <c r="X26">
        <f>HYPERLINK("https://klasma.github.io/Logging_2161/tillsyn/A 6734-2025 tillsynsbegäran.docx", "A 6734-2025")</f>
        <v/>
      </c>
      <c r="Y26">
        <f>HYPERLINK("https://klasma.github.io/Logging_2161/tillsynsmail/A 6734-2025 tillsynsbegäran mail.docx", "A 6734-2025")</f>
        <v/>
      </c>
      <c r="Z26">
        <f>HYPERLINK("https://klasma.github.io/Logging_2161/fåglar/A 6734-2025 prioriterade fågelarter.docx", "A 6734-2025")</f>
        <v/>
      </c>
    </row>
    <row r="27" ht="15" customHeight="1">
      <c r="A27" t="inlineStr">
        <is>
          <t>A 14562-2025</t>
        </is>
      </c>
      <c r="B27" s="1" t="n">
        <v>45741</v>
      </c>
      <c r="C27" s="1" t="n">
        <v>46086</v>
      </c>
      <c r="D27" t="inlineStr">
        <is>
          <t>GÄVLEBORGS LÄN</t>
        </is>
      </c>
      <c r="E27" t="inlineStr">
        <is>
          <t>GÄVLE</t>
        </is>
      </c>
      <c r="G27" t="n">
        <v>6.9</v>
      </c>
      <c r="H27" t="n">
        <v>1</v>
      </c>
      <c r="I27" t="n">
        <v>5</v>
      </c>
      <c r="J27" t="n">
        <v>6</v>
      </c>
      <c r="K27" t="n">
        <v>1</v>
      </c>
      <c r="L27" t="n">
        <v>1</v>
      </c>
      <c r="M27" t="n">
        <v>0</v>
      </c>
      <c r="N27" t="n">
        <v>0</v>
      </c>
      <c r="O27" t="n">
        <v>8</v>
      </c>
      <c r="P27" t="n">
        <v>2</v>
      </c>
      <c r="Q27" t="n">
        <v>13</v>
      </c>
      <c r="R27" s="2" t="inlineStr">
        <is>
          <t>Ask
Knärot
Doftskinn
Garnlav
Rosenticka
Tallticka
Ullticka
Vitgrynig nållav
Granbarkgnagare
Kattfotslav
Rävticka
Tibast
Vedticka</t>
        </is>
      </c>
      <c r="S27">
        <f>HYPERLINK("https://klasma.github.io/Logging_2180/artfynd/A 14562-2025 artfynd.xlsx", "A 14562-2025")</f>
        <v/>
      </c>
      <c r="T27">
        <f>HYPERLINK("https://klasma.github.io/Logging_2180/kartor/A 14562-2025 karta.png", "A 14562-2025")</f>
        <v/>
      </c>
      <c r="U27">
        <f>HYPERLINK("https://klasma.github.io/Logging_2180/knärot/A 14562-2025 karta knärot.png", "A 14562-2025")</f>
        <v/>
      </c>
      <c r="V27">
        <f>HYPERLINK("https://klasma.github.io/Logging_2180/klagomål/A 14562-2025 FSC-klagomål.docx", "A 14562-2025")</f>
        <v/>
      </c>
      <c r="W27">
        <f>HYPERLINK("https://klasma.github.io/Logging_2180/klagomålsmail/A 14562-2025 FSC-klagomål mail.docx", "A 14562-2025")</f>
        <v/>
      </c>
      <c r="X27">
        <f>HYPERLINK("https://klasma.github.io/Logging_2180/tillsyn/A 14562-2025 tillsynsbegäran.docx", "A 14562-2025")</f>
        <v/>
      </c>
      <c r="Y27">
        <f>HYPERLINK("https://klasma.github.io/Logging_2180/tillsynsmail/A 14562-2025 tillsynsbegäran mail.docx", "A 14562-2025")</f>
        <v/>
      </c>
    </row>
    <row r="28" ht="15" customHeight="1">
      <c r="A28" t="inlineStr">
        <is>
          <t>A 58895-2025</t>
        </is>
      </c>
      <c r="B28" s="1" t="n">
        <v>45987.49231481482</v>
      </c>
      <c r="C28" s="1" t="n">
        <v>46086</v>
      </c>
      <c r="D28" t="inlineStr">
        <is>
          <t>GÄVLEBORGS LÄN</t>
        </is>
      </c>
      <c r="E28" t="inlineStr">
        <is>
          <t>LJUSDAL</t>
        </is>
      </c>
      <c r="F28" t="inlineStr">
        <is>
          <t>Allmännings- och besparingsskogar</t>
        </is>
      </c>
      <c r="G28" t="n">
        <v>25.9</v>
      </c>
      <c r="H28" t="n">
        <v>4</v>
      </c>
      <c r="I28" t="n">
        <v>3</v>
      </c>
      <c r="J28" t="n">
        <v>9</v>
      </c>
      <c r="K28" t="n">
        <v>1</v>
      </c>
      <c r="L28" t="n">
        <v>0</v>
      </c>
      <c r="M28" t="n">
        <v>0</v>
      </c>
      <c r="N28" t="n">
        <v>0</v>
      </c>
      <c r="O28" t="n">
        <v>10</v>
      </c>
      <c r="P28" t="n">
        <v>1</v>
      </c>
      <c r="Q28" t="n">
        <v>13</v>
      </c>
      <c r="R28" s="2" t="inlineStr">
        <is>
          <t>Knärot
Garnlav
Kolflarnlav
Mörk kolflarnlav
Spillkråka
Talltita
Tretåig hackspett
Vedflamlav
Vedskivlav
Violettgrå tagellav
Dropptaggsvamp
Jättesvampmal
Mindre märgborre</t>
        </is>
      </c>
      <c r="S28">
        <f>HYPERLINK("https://klasma.github.io/Logging_2161/artfynd/A 58895-2025 artfynd.xlsx", "A 58895-2025")</f>
        <v/>
      </c>
      <c r="T28">
        <f>HYPERLINK("https://klasma.github.io/Logging_2161/kartor/A 58895-2025 karta.png", "A 58895-2025")</f>
        <v/>
      </c>
      <c r="U28">
        <f>HYPERLINK("https://klasma.github.io/Logging_2161/knärot/A 58895-2025 karta knärot.png", "A 58895-2025")</f>
        <v/>
      </c>
      <c r="V28">
        <f>HYPERLINK("https://klasma.github.io/Logging_2161/klagomål/A 58895-2025 FSC-klagomål.docx", "A 58895-2025")</f>
        <v/>
      </c>
      <c r="W28">
        <f>HYPERLINK("https://klasma.github.io/Logging_2161/klagomålsmail/A 58895-2025 FSC-klagomål mail.docx", "A 58895-2025")</f>
        <v/>
      </c>
      <c r="X28">
        <f>HYPERLINK("https://klasma.github.io/Logging_2161/tillsyn/A 58895-2025 tillsynsbegäran.docx", "A 58895-2025")</f>
        <v/>
      </c>
      <c r="Y28">
        <f>HYPERLINK("https://klasma.github.io/Logging_2161/tillsynsmail/A 58895-2025 tillsynsbegäran mail.docx", "A 58895-2025")</f>
        <v/>
      </c>
      <c r="Z28">
        <f>HYPERLINK("https://klasma.github.io/Logging_2161/fåglar/A 58895-2025 prioriterade fågelarter.docx", "A 58895-2025")</f>
        <v/>
      </c>
    </row>
    <row r="29" ht="15" customHeight="1">
      <c r="A29" t="inlineStr">
        <is>
          <t>A 29016-2025</t>
        </is>
      </c>
      <c r="B29" s="1" t="n">
        <v>45821.41320601852</v>
      </c>
      <c r="C29" s="1" t="n">
        <v>46086</v>
      </c>
      <c r="D29" t="inlineStr">
        <is>
          <t>GÄVLEBORGS LÄN</t>
        </is>
      </c>
      <c r="E29" t="inlineStr">
        <is>
          <t>GÄVLE</t>
        </is>
      </c>
      <c r="F29" t="inlineStr">
        <is>
          <t>Bergvik skog öst AB</t>
        </is>
      </c>
      <c r="G29" t="n">
        <v>10.2</v>
      </c>
      <c r="H29" t="n">
        <v>10</v>
      </c>
      <c r="I29" t="n">
        <v>1</v>
      </c>
      <c r="J29" t="n">
        <v>4</v>
      </c>
      <c r="K29" t="n">
        <v>0</v>
      </c>
      <c r="L29" t="n">
        <v>0</v>
      </c>
      <c r="M29" t="n">
        <v>0</v>
      </c>
      <c r="N29" t="n">
        <v>0</v>
      </c>
      <c r="O29" t="n">
        <v>4</v>
      </c>
      <c r="P29" t="n">
        <v>0</v>
      </c>
      <c r="Q29" t="n">
        <v>12</v>
      </c>
      <c r="R29" s="2" t="inlineStr">
        <is>
          <t>Rödvingetrast
Skogshare
Slaguggla
Spillkråka
Vårärt
Gröngöling
Kungsfågel
Skogsduva
Sångsvan
Trana
Huggorm
Kopparödla</t>
        </is>
      </c>
      <c r="S29">
        <f>HYPERLINK("https://klasma.github.io/Logging_2180/artfynd/A 29016-2025 artfynd.xlsx", "A 29016-2025")</f>
        <v/>
      </c>
      <c r="T29">
        <f>HYPERLINK("https://klasma.github.io/Logging_2180/kartor/A 29016-2025 karta.png", "A 29016-2025")</f>
        <v/>
      </c>
      <c r="V29">
        <f>HYPERLINK("https://klasma.github.io/Logging_2180/klagomål/A 29016-2025 FSC-klagomål.docx", "A 29016-2025")</f>
        <v/>
      </c>
      <c r="W29">
        <f>HYPERLINK("https://klasma.github.io/Logging_2180/klagomålsmail/A 29016-2025 FSC-klagomål mail.docx", "A 29016-2025")</f>
        <v/>
      </c>
      <c r="X29">
        <f>HYPERLINK("https://klasma.github.io/Logging_2180/tillsyn/A 29016-2025 tillsynsbegäran.docx", "A 29016-2025")</f>
        <v/>
      </c>
      <c r="Y29">
        <f>HYPERLINK("https://klasma.github.io/Logging_2180/tillsynsmail/A 29016-2025 tillsynsbegäran mail.docx", "A 29016-2025")</f>
        <v/>
      </c>
      <c r="Z29">
        <f>HYPERLINK("https://klasma.github.io/Logging_2180/fåglar/A 29016-2025 prioriterade fågelarter.docx", "A 29016-2025")</f>
        <v/>
      </c>
    </row>
    <row r="30" ht="15" customHeight="1">
      <c r="A30" t="inlineStr">
        <is>
          <t>A 35555-2025</t>
        </is>
      </c>
      <c r="B30" s="1" t="n">
        <v>45856</v>
      </c>
      <c r="C30" s="1" t="n">
        <v>46086</v>
      </c>
      <c r="D30" t="inlineStr">
        <is>
          <t>GÄVLEBORGS LÄN</t>
        </is>
      </c>
      <c r="E30" t="inlineStr">
        <is>
          <t>LJUSDAL</t>
        </is>
      </c>
      <c r="F30" t="inlineStr">
        <is>
          <t>Allmännings- och besparingsskogar</t>
        </is>
      </c>
      <c r="G30" t="n">
        <v>21.6</v>
      </c>
      <c r="H30" t="n">
        <v>3</v>
      </c>
      <c r="I30" t="n">
        <v>2</v>
      </c>
      <c r="J30" t="n">
        <v>7</v>
      </c>
      <c r="K30" t="n">
        <v>1</v>
      </c>
      <c r="L30" t="n">
        <v>0</v>
      </c>
      <c r="M30" t="n">
        <v>0</v>
      </c>
      <c r="N30" t="n">
        <v>0</v>
      </c>
      <c r="O30" t="n">
        <v>8</v>
      </c>
      <c r="P30" t="n">
        <v>1</v>
      </c>
      <c r="Q30" t="n">
        <v>12</v>
      </c>
      <c r="R30" s="2" t="inlineStr">
        <is>
          <t>Knärot
Garnlav
Kolflarnlav
Lunglav
Mörk kolflarnlav
Skrovellav
Vedskivlav
Violettgrå tagellav
Dropptaggsvamp
Nästlav
Tjäder
Trana</t>
        </is>
      </c>
      <c r="S30">
        <f>HYPERLINK("https://klasma.github.io/Logging_2161/artfynd/A 35555-2025 artfynd.xlsx", "A 35555-2025")</f>
        <v/>
      </c>
      <c r="T30">
        <f>HYPERLINK("https://klasma.github.io/Logging_2161/kartor/A 35555-2025 karta.png", "A 35555-2025")</f>
        <v/>
      </c>
      <c r="U30">
        <f>HYPERLINK("https://klasma.github.io/Logging_2161/knärot/A 35555-2025 karta knärot.png", "A 35555-2025")</f>
        <v/>
      </c>
      <c r="V30">
        <f>HYPERLINK("https://klasma.github.io/Logging_2161/klagomål/A 35555-2025 FSC-klagomål.docx", "A 35555-2025")</f>
        <v/>
      </c>
      <c r="W30">
        <f>HYPERLINK("https://klasma.github.io/Logging_2161/klagomålsmail/A 35555-2025 FSC-klagomål mail.docx", "A 35555-2025")</f>
        <v/>
      </c>
      <c r="X30">
        <f>HYPERLINK("https://klasma.github.io/Logging_2161/tillsyn/A 35555-2025 tillsynsbegäran.docx", "A 35555-2025")</f>
        <v/>
      </c>
      <c r="Y30">
        <f>HYPERLINK("https://klasma.github.io/Logging_2161/tillsynsmail/A 35555-2025 tillsynsbegäran mail.docx", "A 35555-2025")</f>
        <v/>
      </c>
      <c r="Z30">
        <f>HYPERLINK("https://klasma.github.io/Logging_2161/fåglar/A 35555-2025 prioriterade fågelarter.docx", "A 35555-2025")</f>
        <v/>
      </c>
    </row>
    <row r="31" ht="15" customHeight="1">
      <c r="A31" t="inlineStr">
        <is>
          <t>A 51147-2025</t>
        </is>
      </c>
      <c r="B31" s="1" t="n">
        <v>45947.57145833333</v>
      </c>
      <c r="C31" s="1" t="n">
        <v>46086</v>
      </c>
      <c r="D31" t="inlineStr">
        <is>
          <t>GÄVLEBORGS LÄN</t>
        </is>
      </c>
      <c r="E31" t="inlineStr">
        <is>
          <t>SÖDERHAMN</t>
        </is>
      </c>
      <c r="G31" t="n">
        <v>9</v>
      </c>
      <c r="H31" t="n">
        <v>0</v>
      </c>
      <c r="I31" t="n">
        <v>4</v>
      </c>
      <c r="J31" t="n">
        <v>7</v>
      </c>
      <c r="K31" t="n">
        <v>1</v>
      </c>
      <c r="L31" t="n">
        <v>0</v>
      </c>
      <c r="M31" t="n">
        <v>0</v>
      </c>
      <c r="N31" t="n">
        <v>0</v>
      </c>
      <c r="O31" t="n">
        <v>8</v>
      </c>
      <c r="P31" t="n">
        <v>1</v>
      </c>
      <c r="Q31" t="n">
        <v>12</v>
      </c>
      <c r="R31" s="2" t="inlineStr">
        <is>
          <t>Lammticka
Blå taggsvamp
Motaggsvamp
Orange taggsvamp
Skrovlig taggsvamp
Svartvit taggsvamp
Tallkötticka
Talltaggsvamp
Dropptaggsvamp
Grönpyrola
Skarp dropptaggsvamp
Zontaggsvamp</t>
        </is>
      </c>
      <c r="S31">
        <f>HYPERLINK("https://klasma.github.io/Logging_2182/artfynd/A 51147-2025 artfynd.xlsx", "A 51147-2025")</f>
        <v/>
      </c>
      <c r="T31">
        <f>HYPERLINK("https://klasma.github.io/Logging_2182/kartor/A 51147-2025 karta.png", "A 51147-2025")</f>
        <v/>
      </c>
      <c r="V31">
        <f>HYPERLINK("https://klasma.github.io/Logging_2182/klagomål/A 51147-2025 FSC-klagomål.docx", "A 51147-2025")</f>
        <v/>
      </c>
      <c r="W31">
        <f>HYPERLINK("https://klasma.github.io/Logging_2182/klagomålsmail/A 51147-2025 FSC-klagomål mail.docx", "A 51147-2025")</f>
        <v/>
      </c>
      <c r="X31">
        <f>HYPERLINK("https://klasma.github.io/Logging_2182/tillsyn/A 51147-2025 tillsynsbegäran.docx", "A 51147-2025")</f>
        <v/>
      </c>
      <c r="Y31">
        <f>HYPERLINK("https://klasma.github.io/Logging_2182/tillsynsmail/A 51147-2025 tillsynsbegäran mail.docx", "A 51147-2025")</f>
        <v/>
      </c>
    </row>
    <row r="32" ht="15" customHeight="1">
      <c r="A32" t="inlineStr">
        <is>
          <t>A 53688-2025</t>
        </is>
      </c>
      <c r="B32" s="1" t="n">
        <v>45960.57930555556</v>
      </c>
      <c r="C32" s="1" t="n">
        <v>46086</v>
      </c>
      <c r="D32" t="inlineStr">
        <is>
          <t>GÄVLEBORGS LÄN</t>
        </is>
      </c>
      <c r="E32" t="inlineStr">
        <is>
          <t>LJUSDAL</t>
        </is>
      </c>
      <c r="F32" t="inlineStr">
        <is>
          <t>Allmännings- och besparingsskogar</t>
        </is>
      </c>
      <c r="G32" t="n">
        <v>16.2</v>
      </c>
      <c r="H32" t="n">
        <v>2</v>
      </c>
      <c r="I32" t="n">
        <v>1</v>
      </c>
      <c r="J32" t="n">
        <v>10</v>
      </c>
      <c r="K32" t="n">
        <v>0</v>
      </c>
      <c r="L32" t="n">
        <v>0</v>
      </c>
      <c r="M32" t="n">
        <v>0</v>
      </c>
      <c r="N32" t="n">
        <v>0</v>
      </c>
      <c r="O32" t="n">
        <v>10</v>
      </c>
      <c r="P32" t="n">
        <v>0</v>
      </c>
      <c r="Q32" t="n">
        <v>12</v>
      </c>
      <c r="R32" s="2" t="inlineStr">
        <is>
          <t>Blanksvart spiklav
Blågrå svartspik
Garnlav
Kolflarnlav
Kortskaftad ärgspik
Mörk kolflarnlav
Tretåig hackspett
Vedflamlav
Vedskivlav
Violettgrå tagellav
Nästlav
Lavskrika</t>
        </is>
      </c>
      <c r="S32">
        <f>HYPERLINK("https://klasma.github.io/Logging_2161/artfynd/A 53688-2025 artfynd.xlsx", "A 53688-2025")</f>
        <v/>
      </c>
      <c r="T32">
        <f>HYPERLINK("https://klasma.github.io/Logging_2161/kartor/A 53688-2025 karta.png", "A 53688-2025")</f>
        <v/>
      </c>
      <c r="V32">
        <f>HYPERLINK("https://klasma.github.io/Logging_2161/klagomål/A 53688-2025 FSC-klagomål.docx", "A 53688-2025")</f>
        <v/>
      </c>
      <c r="W32">
        <f>HYPERLINK("https://klasma.github.io/Logging_2161/klagomålsmail/A 53688-2025 FSC-klagomål mail.docx", "A 53688-2025")</f>
        <v/>
      </c>
      <c r="X32">
        <f>HYPERLINK("https://klasma.github.io/Logging_2161/tillsyn/A 53688-2025 tillsynsbegäran.docx", "A 53688-2025")</f>
        <v/>
      </c>
      <c r="Y32">
        <f>HYPERLINK("https://klasma.github.io/Logging_2161/tillsynsmail/A 53688-2025 tillsynsbegäran mail.docx", "A 53688-2025")</f>
        <v/>
      </c>
      <c r="Z32">
        <f>HYPERLINK("https://klasma.github.io/Logging_2161/fåglar/A 53688-2025 prioriterade fågelarter.docx", "A 53688-2025")</f>
        <v/>
      </c>
    </row>
    <row r="33" ht="15" customHeight="1">
      <c r="A33" t="inlineStr">
        <is>
          <t>A 10054-2026</t>
        </is>
      </c>
      <c r="B33" s="1" t="n">
        <v>46073.61675925926</v>
      </c>
      <c r="C33" s="1" t="n">
        <v>46086</v>
      </c>
      <c r="D33" t="inlineStr">
        <is>
          <t>GÄVLEBORGS LÄN</t>
        </is>
      </c>
      <c r="E33" t="inlineStr">
        <is>
          <t>BOLLNÄS</t>
        </is>
      </c>
      <c r="G33" t="n">
        <v>12</v>
      </c>
      <c r="H33" t="n">
        <v>7</v>
      </c>
      <c r="I33" t="n">
        <v>2</v>
      </c>
      <c r="J33" t="n">
        <v>3</v>
      </c>
      <c r="K33" t="n">
        <v>1</v>
      </c>
      <c r="L33" t="n">
        <v>0</v>
      </c>
      <c r="M33" t="n">
        <v>0</v>
      </c>
      <c r="N33" t="n">
        <v>0</v>
      </c>
      <c r="O33" t="n">
        <v>4</v>
      </c>
      <c r="P33" t="n">
        <v>1</v>
      </c>
      <c r="Q33" t="n">
        <v>12</v>
      </c>
      <c r="R33" s="2" t="inlineStr">
        <is>
          <t>Goliatmusseron
Motaggsvamp
Svartvit flugsnappare
Äggvaxskivling
Dropptaggsvamp
Zontaggsvamp
Kopparödla
Skogsödla
Vanlig groda
Vanlig padda
Vanlig snok
Gullviva</t>
        </is>
      </c>
      <c r="S33">
        <f>HYPERLINK("https://klasma.github.io/Logging_2183/artfynd/A 10054-2026 artfynd.xlsx", "A 10054-2026")</f>
        <v/>
      </c>
      <c r="T33">
        <f>HYPERLINK("https://klasma.github.io/Logging_2183/kartor/A 10054-2026 karta.png", "A 10054-2026")</f>
        <v/>
      </c>
      <c r="V33">
        <f>HYPERLINK("https://klasma.github.io/Logging_2183/klagomål/A 10054-2026 FSC-klagomål.docx", "A 10054-2026")</f>
        <v/>
      </c>
      <c r="W33">
        <f>HYPERLINK("https://klasma.github.io/Logging_2183/klagomålsmail/A 10054-2026 FSC-klagomål mail.docx", "A 10054-2026")</f>
        <v/>
      </c>
      <c r="X33">
        <f>HYPERLINK("https://klasma.github.io/Logging_2183/tillsyn/A 10054-2026 tillsynsbegäran.docx", "A 10054-2026")</f>
        <v/>
      </c>
      <c r="Y33">
        <f>HYPERLINK("https://klasma.github.io/Logging_2183/tillsynsmail/A 10054-2026 tillsynsbegäran mail.docx", "A 10054-2026")</f>
        <v/>
      </c>
      <c r="Z33">
        <f>HYPERLINK("https://klasma.github.io/Logging_2183/fåglar/A 10054-2026 prioriterade fågelarter.docx", "A 10054-2026")</f>
        <v/>
      </c>
    </row>
    <row r="34" ht="15" customHeight="1">
      <c r="A34" t="inlineStr">
        <is>
          <t>A 22554-2023</t>
        </is>
      </c>
      <c r="B34" s="1" t="n">
        <v>45071.44354166667</v>
      </c>
      <c r="C34" s="1" t="n">
        <v>46086</v>
      </c>
      <c r="D34" t="inlineStr">
        <is>
          <t>GÄVLEBORGS LÄN</t>
        </is>
      </c>
      <c r="E34" t="inlineStr">
        <is>
          <t>LJUSDAL</t>
        </is>
      </c>
      <c r="F34" t="inlineStr">
        <is>
          <t>Allmännings- och besparingsskogar</t>
        </is>
      </c>
      <c r="G34" t="n">
        <v>7.1</v>
      </c>
      <c r="H34" t="n">
        <v>2</v>
      </c>
      <c r="I34" t="n">
        <v>2</v>
      </c>
      <c r="J34" t="n">
        <v>8</v>
      </c>
      <c r="K34" t="n">
        <v>1</v>
      </c>
      <c r="L34" t="n">
        <v>0</v>
      </c>
      <c r="M34" t="n">
        <v>0</v>
      </c>
      <c r="N34" t="n">
        <v>0</v>
      </c>
      <c r="O34" t="n">
        <v>9</v>
      </c>
      <c r="P34" t="n">
        <v>1</v>
      </c>
      <c r="Q34" t="n">
        <v>12</v>
      </c>
      <c r="R34" s="2" t="inlineStr">
        <is>
          <t>Knärot
Garnlav
Kolflarnlav
Kortskaftad ärgspik
Lunglav
Mörk kolflarnlav
Skrovellav
Vedskivlav
Vitgrynig nållav
Mindre märgborre
Stuplav
Revlummer</t>
        </is>
      </c>
      <c r="S34">
        <f>HYPERLINK("https://klasma.github.io/Logging_2161/artfynd/A 22554-2023 artfynd.xlsx", "A 22554-2023")</f>
        <v/>
      </c>
      <c r="T34">
        <f>HYPERLINK("https://klasma.github.io/Logging_2161/kartor/A 22554-2023 karta.png", "A 22554-2023")</f>
        <v/>
      </c>
      <c r="U34">
        <f>HYPERLINK("https://klasma.github.io/Logging_2161/knärot/A 22554-2023 karta knärot.png", "A 22554-2023")</f>
        <v/>
      </c>
      <c r="V34">
        <f>HYPERLINK("https://klasma.github.io/Logging_2161/klagomål/A 22554-2023 FSC-klagomål.docx", "A 22554-2023")</f>
        <v/>
      </c>
      <c r="W34">
        <f>HYPERLINK("https://klasma.github.io/Logging_2161/klagomålsmail/A 22554-2023 FSC-klagomål mail.docx", "A 22554-2023")</f>
        <v/>
      </c>
      <c r="X34">
        <f>HYPERLINK("https://klasma.github.io/Logging_2161/tillsyn/A 22554-2023 tillsynsbegäran.docx", "A 22554-2023")</f>
        <v/>
      </c>
      <c r="Y34">
        <f>HYPERLINK("https://klasma.github.io/Logging_2161/tillsynsmail/A 22554-2023 tillsynsbegäran mail.docx", "A 22554-2023")</f>
        <v/>
      </c>
    </row>
    <row r="35" ht="15" customHeight="1">
      <c r="A35" t="inlineStr">
        <is>
          <t>A 31324-2024</t>
        </is>
      </c>
      <c r="B35" s="1" t="n">
        <v>45504.58956018519</v>
      </c>
      <c r="C35" s="1" t="n">
        <v>46086</v>
      </c>
      <c r="D35" t="inlineStr">
        <is>
          <t>GÄVLEBORGS LÄN</t>
        </is>
      </c>
      <c r="E35" t="inlineStr">
        <is>
          <t>LJUSDAL</t>
        </is>
      </c>
      <c r="F35" t="inlineStr">
        <is>
          <t>Sveaskog</t>
        </is>
      </c>
      <c r="G35" t="n">
        <v>14</v>
      </c>
      <c r="H35" t="n">
        <v>4</v>
      </c>
      <c r="I35" t="n">
        <v>3</v>
      </c>
      <c r="J35" t="n">
        <v>5</v>
      </c>
      <c r="K35" t="n">
        <v>1</v>
      </c>
      <c r="L35" t="n">
        <v>0</v>
      </c>
      <c r="M35" t="n">
        <v>0</v>
      </c>
      <c r="N35" t="n">
        <v>0</v>
      </c>
      <c r="O35" t="n">
        <v>6</v>
      </c>
      <c r="P35" t="n">
        <v>1</v>
      </c>
      <c r="Q35" t="n">
        <v>11</v>
      </c>
      <c r="R35" s="2" t="inlineStr">
        <is>
          <t>Knärot
Garnlav
Kolflarnlav
Lunglav
Mörk kolflarnlav
Vedskivlav
Dropptaggsvamp
Norrlandslav
Spindelblomster
Tjäder
Fläcknycklar</t>
        </is>
      </c>
      <c r="S35">
        <f>HYPERLINK("https://klasma.github.io/Logging_2161/artfynd/A 31324-2024 artfynd.xlsx", "A 31324-2024")</f>
        <v/>
      </c>
      <c r="T35">
        <f>HYPERLINK("https://klasma.github.io/Logging_2161/kartor/A 31324-2024 karta.png", "A 31324-2024")</f>
        <v/>
      </c>
      <c r="U35">
        <f>HYPERLINK("https://klasma.github.io/Logging_2161/knärot/A 31324-2024 karta knärot.png", "A 31324-2024")</f>
        <v/>
      </c>
      <c r="V35">
        <f>HYPERLINK("https://klasma.github.io/Logging_2161/klagomål/A 31324-2024 FSC-klagomål.docx", "A 31324-2024")</f>
        <v/>
      </c>
      <c r="W35">
        <f>HYPERLINK("https://klasma.github.io/Logging_2161/klagomålsmail/A 31324-2024 FSC-klagomål mail.docx", "A 31324-2024")</f>
        <v/>
      </c>
      <c r="X35">
        <f>HYPERLINK("https://klasma.github.io/Logging_2161/tillsyn/A 31324-2024 tillsynsbegäran.docx", "A 31324-2024")</f>
        <v/>
      </c>
      <c r="Y35">
        <f>HYPERLINK("https://klasma.github.io/Logging_2161/tillsynsmail/A 31324-2024 tillsynsbegäran mail.docx", "A 31324-2024")</f>
        <v/>
      </c>
      <c r="Z35">
        <f>HYPERLINK("https://klasma.github.io/Logging_2161/fåglar/A 31324-2024 prioriterade fågelarter.docx", "A 31324-2024")</f>
        <v/>
      </c>
    </row>
    <row r="36" ht="15" customHeight="1">
      <c r="A36" t="inlineStr">
        <is>
          <t>A 37576-2025</t>
        </is>
      </c>
      <c r="B36" s="1" t="n">
        <v>45880</v>
      </c>
      <c r="C36" s="1" t="n">
        <v>46086</v>
      </c>
      <c r="D36" t="inlineStr">
        <is>
          <t>GÄVLEBORGS LÄN</t>
        </is>
      </c>
      <c r="E36" t="inlineStr">
        <is>
          <t>HUDIKSVALL</t>
        </is>
      </c>
      <c r="G36" t="n">
        <v>8</v>
      </c>
      <c r="H36" t="n">
        <v>1</v>
      </c>
      <c r="I36" t="n">
        <v>2</v>
      </c>
      <c r="J36" t="n">
        <v>6</v>
      </c>
      <c r="K36" t="n">
        <v>3</v>
      </c>
      <c r="L36" t="n">
        <v>0</v>
      </c>
      <c r="M36" t="n">
        <v>0</v>
      </c>
      <c r="N36" t="n">
        <v>0</v>
      </c>
      <c r="O36" t="n">
        <v>9</v>
      </c>
      <c r="P36" t="n">
        <v>3</v>
      </c>
      <c r="Q36" t="n">
        <v>11</v>
      </c>
      <c r="R36" s="2" t="inlineStr">
        <is>
          <t>Aspgelélav
Asptagging
Knärot
Aspskinn
Garnlav
Kandelabersvamp
Lunglav
Ullticka
Veckticka
Rävticka
Skarp dropptaggsvamp</t>
        </is>
      </c>
      <c r="S36">
        <f>HYPERLINK("https://klasma.github.io/Logging_2184/artfynd/A 37576-2025 artfynd.xlsx", "A 37576-2025")</f>
        <v/>
      </c>
      <c r="T36">
        <f>HYPERLINK("https://klasma.github.io/Logging_2184/kartor/A 37576-2025 karta.png", "A 37576-2025")</f>
        <v/>
      </c>
      <c r="U36">
        <f>HYPERLINK("https://klasma.github.io/Logging_2184/knärot/A 37576-2025 karta knärot.png", "A 37576-2025")</f>
        <v/>
      </c>
      <c r="V36">
        <f>HYPERLINK("https://klasma.github.io/Logging_2184/klagomål/A 37576-2025 FSC-klagomål.docx", "A 37576-2025")</f>
        <v/>
      </c>
      <c r="W36">
        <f>HYPERLINK("https://klasma.github.io/Logging_2184/klagomålsmail/A 37576-2025 FSC-klagomål mail.docx", "A 37576-2025")</f>
        <v/>
      </c>
      <c r="X36">
        <f>HYPERLINK("https://klasma.github.io/Logging_2184/tillsyn/A 37576-2025 tillsynsbegäran.docx", "A 37576-2025")</f>
        <v/>
      </c>
      <c r="Y36">
        <f>HYPERLINK("https://klasma.github.io/Logging_2184/tillsynsmail/A 37576-2025 tillsynsbegäran mail.docx", "A 37576-2025")</f>
        <v/>
      </c>
    </row>
    <row r="37" ht="15" customHeight="1">
      <c r="A37" t="inlineStr">
        <is>
          <t>A 27178-2025</t>
        </is>
      </c>
      <c r="B37" s="1" t="n">
        <v>45812.35587962963</v>
      </c>
      <c r="C37" s="1" t="n">
        <v>46086</v>
      </c>
      <c r="D37" t="inlineStr">
        <is>
          <t>GÄVLEBORGS LÄN</t>
        </is>
      </c>
      <c r="E37" t="inlineStr">
        <is>
          <t>OVANÅKER</t>
        </is>
      </c>
      <c r="G37" t="n">
        <v>13.1</v>
      </c>
      <c r="H37" t="n">
        <v>2</v>
      </c>
      <c r="I37" t="n">
        <v>3</v>
      </c>
      <c r="J37" t="n">
        <v>6</v>
      </c>
      <c r="K37" t="n">
        <v>1</v>
      </c>
      <c r="L37" t="n">
        <v>0</v>
      </c>
      <c r="M37" t="n">
        <v>0</v>
      </c>
      <c r="N37" t="n">
        <v>0</v>
      </c>
      <c r="O37" t="n">
        <v>7</v>
      </c>
      <c r="P37" t="n">
        <v>1</v>
      </c>
      <c r="Q37" t="n">
        <v>11</v>
      </c>
      <c r="R37" s="2" t="inlineStr">
        <is>
          <t>Aspgelélav
Garnlav
Granticka
Spillkråka
Stiftgelélav
Ullticka
Violettgrå tagellav
Barkkornlav
Korallblylav
Skinnlav
Revlummer</t>
        </is>
      </c>
      <c r="S37">
        <f>HYPERLINK("https://klasma.github.io/Logging_2121/artfynd/A 27178-2025 artfynd.xlsx", "A 27178-2025")</f>
        <v/>
      </c>
      <c r="T37">
        <f>HYPERLINK("https://klasma.github.io/Logging_2121/kartor/A 27178-2025 karta.png", "A 27178-2025")</f>
        <v/>
      </c>
      <c r="V37">
        <f>HYPERLINK("https://klasma.github.io/Logging_2121/klagomål/A 27178-2025 FSC-klagomål.docx", "A 27178-2025")</f>
        <v/>
      </c>
      <c r="W37">
        <f>HYPERLINK("https://klasma.github.io/Logging_2121/klagomålsmail/A 27178-2025 FSC-klagomål mail.docx", "A 27178-2025")</f>
        <v/>
      </c>
      <c r="X37">
        <f>HYPERLINK("https://klasma.github.io/Logging_2121/tillsyn/A 27178-2025 tillsynsbegäran.docx", "A 27178-2025")</f>
        <v/>
      </c>
      <c r="Y37">
        <f>HYPERLINK("https://klasma.github.io/Logging_2121/tillsynsmail/A 27178-2025 tillsynsbegäran mail.docx", "A 27178-2025")</f>
        <v/>
      </c>
      <c r="Z37">
        <f>HYPERLINK("https://klasma.github.io/Logging_2121/fåglar/A 27178-2025 prioriterade fågelarter.docx", "A 27178-2025")</f>
        <v/>
      </c>
    </row>
    <row r="38" ht="15" customHeight="1">
      <c r="A38" t="inlineStr">
        <is>
          <t>A 26649-2025</t>
        </is>
      </c>
      <c r="B38" s="1" t="n">
        <v>45810</v>
      </c>
      <c r="C38" s="1" t="n">
        <v>46086</v>
      </c>
      <c r="D38" t="inlineStr">
        <is>
          <t>GÄVLEBORGS LÄN</t>
        </is>
      </c>
      <c r="E38" t="inlineStr">
        <is>
          <t>LJUSDAL</t>
        </is>
      </c>
      <c r="F38" t="inlineStr">
        <is>
          <t>Allmännings- och besparingsskogar</t>
        </is>
      </c>
      <c r="G38" t="n">
        <v>10</v>
      </c>
      <c r="H38" t="n">
        <v>1</v>
      </c>
      <c r="I38" t="n">
        <v>3</v>
      </c>
      <c r="J38" t="n">
        <v>8</v>
      </c>
      <c r="K38" t="n">
        <v>0</v>
      </c>
      <c r="L38" t="n">
        <v>0</v>
      </c>
      <c r="M38" t="n">
        <v>0</v>
      </c>
      <c r="N38" t="n">
        <v>0</v>
      </c>
      <c r="O38" t="n">
        <v>8</v>
      </c>
      <c r="P38" t="n">
        <v>0</v>
      </c>
      <c r="Q38" t="n">
        <v>11</v>
      </c>
      <c r="R38" s="2" t="inlineStr">
        <is>
          <t>Dvärgbägarlav
Garnlav
Kolflarnlav
Lunglav
Mörk kolflarnlav
Tretåig hackspett
Vaddporing
Vedskivlav
Bårdlav
Dropptaggsvamp
Stuplav</t>
        </is>
      </c>
      <c r="S38">
        <f>HYPERLINK("https://klasma.github.io/Logging_2161/artfynd/A 26649-2025 artfynd.xlsx", "A 26649-2025")</f>
        <v/>
      </c>
      <c r="T38">
        <f>HYPERLINK("https://klasma.github.io/Logging_2161/kartor/A 26649-2025 karta.png", "A 26649-2025")</f>
        <v/>
      </c>
      <c r="V38">
        <f>HYPERLINK("https://klasma.github.io/Logging_2161/klagomål/A 26649-2025 FSC-klagomål.docx", "A 26649-2025")</f>
        <v/>
      </c>
      <c r="W38">
        <f>HYPERLINK("https://klasma.github.io/Logging_2161/klagomålsmail/A 26649-2025 FSC-klagomål mail.docx", "A 26649-2025")</f>
        <v/>
      </c>
      <c r="X38">
        <f>HYPERLINK("https://klasma.github.io/Logging_2161/tillsyn/A 26649-2025 tillsynsbegäran.docx", "A 26649-2025")</f>
        <v/>
      </c>
      <c r="Y38">
        <f>HYPERLINK("https://klasma.github.io/Logging_2161/tillsynsmail/A 26649-2025 tillsynsbegäran mail.docx", "A 26649-2025")</f>
        <v/>
      </c>
      <c r="Z38">
        <f>HYPERLINK("https://klasma.github.io/Logging_2161/fåglar/A 26649-2025 prioriterade fågelarter.docx", "A 26649-2025")</f>
        <v/>
      </c>
    </row>
    <row r="39" ht="15" customHeight="1">
      <c r="A39" t="inlineStr">
        <is>
          <t>A 31463-2022</t>
        </is>
      </c>
      <c r="B39" s="1" t="n">
        <v>44774</v>
      </c>
      <c r="C39" s="1" t="n">
        <v>46086</v>
      </c>
      <c r="D39" t="inlineStr">
        <is>
          <t>GÄVLEBORGS LÄN</t>
        </is>
      </c>
      <c r="E39" t="inlineStr">
        <is>
          <t>LJUSDAL</t>
        </is>
      </c>
      <c r="F39" t="inlineStr">
        <is>
          <t>SCA</t>
        </is>
      </c>
      <c r="G39" t="n">
        <v>4.3</v>
      </c>
      <c r="H39" t="n">
        <v>2</v>
      </c>
      <c r="I39" t="n">
        <v>1</v>
      </c>
      <c r="J39" t="n">
        <v>7</v>
      </c>
      <c r="K39" t="n">
        <v>2</v>
      </c>
      <c r="L39" t="n">
        <v>0</v>
      </c>
      <c r="M39" t="n">
        <v>0</v>
      </c>
      <c r="N39" t="n">
        <v>0</v>
      </c>
      <c r="O39" t="n">
        <v>9</v>
      </c>
      <c r="P39" t="n">
        <v>2</v>
      </c>
      <c r="Q39" t="n">
        <v>10</v>
      </c>
      <c r="R39" s="2" t="inlineStr">
        <is>
          <t>Gräddporing
Knärot
Garnlav
Kolflarnlav
Kortskaftad ärgspik
Lunglav
Mörk kolflarnlav
Tretåig hackspett
Vedtrappmossa
Skinnlav</t>
        </is>
      </c>
      <c r="S39">
        <f>HYPERLINK("https://klasma.github.io/Logging_2161/artfynd/A 31463-2022 artfynd.xlsx", "A 31463-2022")</f>
        <v/>
      </c>
      <c r="T39">
        <f>HYPERLINK("https://klasma.github.io/Logging_2161/kartor/A 31463-2022 karta.png", "A 31463-2022")</f>
        <v/>
      </c>
      <c r="U39">
        <f>HYPERLINK("https://klasma.github.io/Logging_2161/knärot/A 31463-2022 karta knärot.png", "A 31463-2022")</f>
        <v/>
      </c>
      <c r="V39">
        <f>HYPERLINK("https://klasma.github.io/Logging_2161/klagomål/A 31463-2022 FSC-klagomål.docx", "A 31463-2022")</f>
        <v/>
      </c>
      <c r="W39">
        <f>HYPERLINK("https://klasma.github.io/Logging_2161/klagomålsmail/A 31463-2022 FSC-klagomål mail.docx", "A 31463-2022")</f>
        <v/>
      </c>
      <c r="X39">
        <f>HYPERLINK("https://klasma.github.io/Logging_2161/tillsyn/A 31463-2022 tillsynsbegäran.docx", "A 31463-2022")</f>
        <v/>
      </c>
      <c r="Y39">
        <f>HYPERLINK("https://klasma.github.io/Logging_2161/tillsynsmail/A 31463-2022 tillsynsbegäran mail.docx", "A 31463-2022")</f>
        <v/>
      </c>
      <c r="Z39">
        <f>HYPERLINK("https://klasma.github.io/Logging_2161/fåglar/A 31463-2022 prioriterade fågelarter.docx", "A 31463-2022")</f>
        <v/>
      </c>
    </row>
    <row r="40" ht="15" customHeight="1">
      <c r="A40" t="inlineStr">
        <is>
          <t>A 31613-2025</t>
        </is>
      </c>
      <c r="B40" s="1" t="n">
        <v>45833.80734953703</v>
      </c>
      <c r="C40" s="1" t="n">
        <v>46086</v>
      </c>
      <c r="D40" t="inlineStr">
        <is>
          <t>GÄVLEBORGS LÄN</t>
        </is>
      </c>
      <c r="E40" t="inlineStr">
        <is>
          <t>LJUSDAL</t>
        </is>
      </c>
      <c r="F40" t="inlineStr">
        <is>
          <t>Sveaskog</t>
        </is>
      </c>
      <c r="G40" t="n">
        <v>22.9</v>
      </c>
      <c r="H40" t="n">
        <v>5</v>
      </c>
      <c r="I40" t="n">
        <v>2</v>
      </c>
      <c r="J40" t="n">
        <v>6</v>
      </c>
      <c r="K40" t="n">
        <v>0</v>
      </c>
      <c r="L40" t="n">
        <v>0</v>
      </c>
      <c r="M40" t="n">
        <v>0</v>
      </c>
      <c r="N40" t="n">
        <v>0</v>
      </c>
      <c r="O40" t="n">
        <v>6</v>
      </c>
      <c r="P40" t="n">
        <v>0</v>
      </c>
      <c r="Q40" t="n">
        <v>10</v>
      </c>
      <c r="R40" s="2" t="inlineStr">
        <is>
          <t>Garnlav
Kolflarnlav
Lunglav
Mörk kolflarnlav
Skrovellav
Talltita
Korallrot
Plattlummer
Tjäder
Fläcknycklar</t>
        </is>
      </c>
      <c r="S40">
        <f>HYPERLINK("https://klasma.github.io/Logging_2161/artfynd/A 31613-2025 artfynd.xlsx", "A 31613-2025")</f>
        <v/>
      </c>
      <c r="T40">
        <f>HYPERLINK("https://klasma.github.io/Logging_2161/kartor/A 31613-2025 karta.png", "A 31613-2025")</f>
        <v/>
      </c>
      <c r="V40">
        <f>HYPERLINK("https://klasma.github.io/Logging_2161/klagomål/A 31613-2025 FSC-klagomål.docx", "A 31613-2025")</f>
        <v/>
      </c>
      <c r="W40">
        <f>HYPERLINK("https://klasma.github.io/Logging_2161/klagomålsmail/A 31613-2025 FSC-klagomål mail.docx", "A 31613-2025")</f>
        <v/>
      </c>
      <c r="X40">
        <f>HYPERLINK("https://klasma.github.io/Logging_2161/tillsyn/A 31613-2025 tillsynsbegäran.docx", "A 31613-2025")</f>
        <v/>
      </c>
      <c r="Y40">
        <f>HYPERLINK("https://klasma.github.io/Logging_2161/tillsynsmail/A 31613-2025 tillsynsbegäran mail.docx", "A 31613-2025")</f>
        <v/>
      </c>
      <c r="Z40">
        <f>HYPERLINK("https://klasma.github.io/Logging_2161/fåglar/A 31613-2025 prioriterade fågelarter.docx", "A 31613-2025")</f>
        <v/>
      </c>
    </row>
    <row r="41" ht="15" customHeight="1">
      <c r="A41" t="inlineStr">
        <is>
          <t>A 32589-2025</t>
        </is>
      </c>
      <c r="B41" s="1" t="n">
        <v>45838.6058912037</v>
      </c>
      <c r="C41" s="1" t="n">
        <v>46086</v>
      </c>
      <c r="D41" t="inlineStr">
        <is>
          <t>GÄVLEBORGS LÄN</t>
        </is>
      </c>
      <c r="E41" t="inlineStr">
        <is>
          <t>LJUSDAL</t>
        </is>
      </c>
      <c r="F41" t="inlineStr">
        <is>
          <t>Bergvik skog väst AB</t>
        </is>
      </c>
      <c r="G41" t="n">
        <v>7.6</v>
      </c>
      <c r="H41" t="n">
        <v>5</v>
      </c>
      <c r="I41" t="n">
        <v>4</v>
      </c>
      <c r="J41" t="n">
        <v>3</v>
      </c>
      <c r="K41" t="n">
        <v>0</v>
      </c>
      <c r="L41" t="n">
        <v>0</v>
      </c>
      <c r="M41" t="n">
        <v>0</v>
      </c>
      <c r="N41" t="n">
        <v>0</v>
      </c>
      <c r="O41" t="n">
        <v>3</v>
      </c>
      <c r="P41" t="n">
        <v>0</v>
      </c>
      <c r="Q41" t="n">
        <v>10</v>
      </c>
      <c r="R41" s="2" t="inlineStr">
        <is>
          <t>Garnlav
Lunglav
Talltita
Luddlav
Spindelblomster
Tibast
Ögonpyrola
Fläcknycklar
Fläcknycklar × brudsporre
Nattviol</t>
        </is>
      </c>
      <c r="S41">
        <f>HYPERLINK("https://klasma.github.io/Logging_2161/artfynd/A 32589-2025 artfynd.xlsx", "A 32589-2025")</f>
        <v/>
      </c>
      <c r="T41">
        <f>HYPERLINK("https://klasma.github.io/Logging_2161/kartor/A 32589-2025 karta.png", "A 32589-2025")</f>
        <v/>
      </c>
      <c r="U41">
        <f>HYPERLINK("https://klasma.github.io/Logging_2161/knärot/A 32589-2025 karta knärot.png", "A 32589-2025")</f>
        <v/>
      </c>
      <c r="V41">
        <f>HYPERLINK("https://klasma.github.io/Logging_2161/klagomål/A 32589-2025 FSC-klagomål.docx", "A 32589-2025")</f>
        <v/>
      </c>
      <c r="W41">
        <f>HYPERLINK("https://klasma.github.io/Logging_2161/klagomålsmail/A 32589-2025 FSC-klagomål mail.docx", "A 32589-2025")</f>
        <v/>
      </c>
      <c r="X41">
        <f>HYPERLINK("https://klasma.github.io/Logging_2161/tillsyn/A 32589-2025 tillsynsbegäran.docx", "A 32589-2025")</f>
        <v/>
      </c>
      <c r="Y41">
        <f>HYPERLINK("https://klasma.github.io/Logging_2161/tillsynsmail/A 32589-2025 tillsynsbegäran mail.docx", "A 32589-2025")</f>
        <v/>
      </c>
      <c r="Z41">
        <f>HYPERLINK("https://klasma.github.io/Logging_2161/fåglar/A 32589-2025 prioriterade fågelarter.docx", "A 32589-2025")</f>
        <v/>
      </c>
    </row>
    <row r="42" ht="15" customHeight="1">
      <c r="A42" t="inlineStr">
        <is>
          <t>A 14326-2024</t>
        </is>
      </c>
      <c r="B42" s="1" t="n">
        <v>45393</v>
      </c>
      <c r="C42" s="1" t="n">
        <v>46086</v>
      </c>
      <c r="D42" t="inlineStr">
        <is>
          <t>GÄVLEBORGS LÄN</t>
        </is>
      </c>
      <c r="E42" t="inlineStr">
        <is>
          <t>SÖDERHAMN</t>
        </is>
      </c>
      <c r="G42" t="n">
        <v>37.3</v>
      </c>
      <c r="H42" t="n">
        <v>10</v>
      </c>
      <c r="I42" t="n">
        <v>0</v>
      </c>
      <c r="J42" t="n">
        <v>5</v>
      </c>
      <c r="K42" t="n">
        <v>0</v>
      </c>
      <c r="L42" t="n">
        <v>0</v>
      </c>
      <c r="M42" t="n">
        <v>0</v>
      </c>
      <c r="N42" t="n">
        <v>0</v>
      </c>
      <c r="O42" t="n">
        <v>5</v>
      </c>
      <c r="P42" t="n">
        <v>0</v>
      </c>
      <c r="Q42" t="n">
        <v>10</v>
      </c>
      <c r="R42" s="2" t="inlineStr">
        <is>
          <t>Grönsångare
Rödvingetrast
Smålom
Spillkråka
Talltita
Enkelbeckasin
Grönsiska
Järnsparv
Kungsfågel
Orre</t>
        </is>
      </c>
      <c r="S42">
        <f>HYPERLINK("https://klasma.github.io/Logging_2182/artfynd/A 14326-2024 artfynd.xlsx", "A 14326-2024")</f>
        <v/>
      </c>
      <c r="T42">
        <f>HYPERLINK("https://klasma.github.io/Logging_2182/kartor/A 14326-2024 karta.png", "A 14326-2024")</f>
        <v/>
      </c>
      <c r="V42">
        <f>HYPERLINK("https://klasma.github.io/Logging_2182/klagomål/A 14326-2024 FSC-klagomål.docx", "A 14326-2024")</f>
        <v/>
      </c>
      <c r="W42">
        <f>HYPERLINK("https://klasma.github.io/Logging_2182/klagomålsmail/A 14326-2024 FSC-klagomål mail.docx", "A 14326-2024")</f>
        <v/>
      </c>
      <c r="X42">
        <f>HYPERLINK("https://klasma.github.io/Logging_2182/tillsyn/A 14326-2024 tillsynsbegäran.docx", "A 14326-2024")</f>
        <v/>
      </c>
      <c r="Y42">
        <f>HYPERLINK("https://klasma.github.io/Logging_2182/tillsynsmail/A 14326-2024 tillsynsbegäran mail.docx", "A 14326-2024")</f>
        <v/>
      </c>
      <c r="Z42">
        <f>HYPERLINK("https://klasma.github.io/Logging_2182/fåglar/A 14326-2024 prioriterade fågelarter.docx", "A 14326-2024")</f>
        <v/>
      </c>
    </row>
    <row r="43" ht="15" customHeight="1">
      <c r="A43" t="inlineStr">
        <is>
          <t>A 37449-2025</t>
        </is>
      </c>
      <c r="B43" s="1" t="n">
        <v>45877.55246527777</v>
      </c>
      <c r="C43" s="1" t="n">
        <v>46086</v>
      </c>
      <c r="D43" t="inlineStr">
        <is>
          <t>GÄVLEBORGS LÄN</t>
        </is>
      </c>
      <c r="E43" t="inlineStr">
        <is>
          <t>LJUSDAL</t>
        </is>
      </c>
      <c r="F43" t="inlineStr">
        <is>
          <t>SCA</t>
        </is>
      </c>
      <c r="G43" t="n">
        <v>4.6</v>
      </c>
      <c r="H43" t="n">
        <v>1</v>
      </c>
      <c r="I43" t="n">
        <v>4</v>
      </c>
      <c r="J43" t="n">
        <v>3</v>
      </c>
      <c r="K43" t="n">
        <v>1</v>
      </c>
      <c r="L43" t="n">
        <v>1</v>
      </c>
      <c r="M43" t="n">
        <v>0</v>
      </c>
      <c r="N43" t="n">
        <v>0</v>
      </c>
      <c r="O43" t="n">
        <v>5</v>
      </c>
      <c r="P43" t="n">
        <v>2</v>
      </c>
      <c r="Q43" t="n">
        <v>10</v>
      </c>
      <c r="R43" s="2" t="inlineStr">
        <is>
          <t>Timmerskapania
Liten hornflikmossa
Skuggviol
Vedflikmossa
Vedtrappmossa
Fjällig taggsvamp s.str.
Kransrams
Svart trolldruva
Underviol
Blåsippa</t>
        </is>
      </c>
      <c r="S43">
        <f>HYPERLINK("https://klasma.github.io/Logging_2161/artfynd/A 37449-2025 artfynd.xlsx", "A 37449-2025")</f>
        <v/>
      </c>
      <c r="T43">
        <f>HYPERLINK("https://klasma.github.io/Logging_2161/kartor/A 37449-2025 karta.png", "A 37449-2025")</f>
        <v/>
      </c>
      <c r="V43">
        <f>HYPERLINK("https://klasma.github.io/Logging_2161/klagomål/A 37449-2025 FSC-klagomål.docx", "A 37449-2025")</f>
        <v/>
      </c>
      <c r="W43">
        <f>HYPERLINK("https://klasma.github.io/Logging_2161/klagomålsmail/A 37449-2025 FSC-klagomål mail.docx", "A 37449-2025")</f>
        <v/>
      </c>
      <c r="X43">
        <f>HYPERLINK("https://klasma.github.io/Logging_2161/tillsyn/A 37449-2025 tillsynsbegäran.docx", "A 37449-2025")</f>
        <v/>
      </c>
      <c r="Y43">
        <f>HYPERLINK("https://klasma.github.io/Logging_2161/tillsynsmail/A 37449-2025 tillsynsbegäran mail.docx", "A 37449-2025")</f>
        <v/>
      </c>
    </row>
    <row r="44" ht="15" customHeight="1">
      <c r="A44" t="inlineStr">
        <is>
          <t>A 24465-2025</t>
        </is>
      </c>
      <c r="B44" s="1" t="n">
        <v>45798</v>
      </c>
      <c r="C44" s="1" t="n">
        <v>46086</v>
      </c>
      <c r="D44" t="inlineStr">
        <is>
          <t>GÄVLEBORGS LÄN</t>
        </is>
      </c>
      <c r="E44" t="inlineStr">
        <is>
          <t>LJUSDAL</t>
        </is>
      </c>
      <c r="F44" t="inlineStr">
        <is>
          <t>Bergvik skog väst AB</t>
        </is>
      </c>
      <c r="G44" t="n">
        <v>5.1</v>
      </c>
      <c r="H44" t="n">
        <v>2</v>
      </c>
      <c r="I44" t="n">
        <v>4</v>
      </c>
      <c r="J44" t="n">
        <v>5</v>
      </c>
      <c r="K44" t="n">
        <v>0</v>
      </c>
      <c r="L44" t="n">
        <v>0</v>
      </c>
      <c r="M44" t="n">
        <v>0</v>
      </c>
      <c r="N44" t="n">
        <v>0</v>
      </c>
      <c r="O44" t="n">
        <v>5</v>
      </c>
      <c r="P44" t="n">
        <v>0</v>
      </c>
      <c r="Q44" t="n">
        <v>10</v>
      </c>
      <c r="R44" s="2" t="inlineStr">
        <is>
          <t>Dvärgbägarlav
Kolflarnlav
Kortskaftad ärgspik
Lunglav
Mörk kolflarnlav
Bårdlav
Korallblylav
Mörk husmossa
Spindelblomster
Fläcknycklar</t>
        </is>
      </c>
      <c r="S44">
        <f>HYPERLINK("https://klasma.github.io/Logging_2161/artfynd/A 24465-2025 artfynd.xlsx", "A 24465-2025")</f>
        <v/>
      </c>
      <c r="T44">
        <f>HYPERLINK("https://klasma.github.io/Logging_2161/kartor/A 24465-2025 karta.png", "A 24465-2025")</f>
        <v/>
      </c>
      <c r="U44">
        <f>HYPERLINK("https://klasma.github.io/Logging_2161/knärot/A 24465-2025 karta knärot.png", "A 24465-2025")</f>
        <v/>
      </c>
      <c r="V44">
        <f>HYPERLINK("https://klasma.github.io/Logging_2161/klagomål/A 24465-2025 FSC-klagomål.docx", "A 24465-2025")</f>
        <v/>
      </c>
      <c r="W44">
        <f>HYPERLINK("https://klasma.github.io/Logging_2161/klagomålsmail/A 24465-2025 FSC-klagomål mail.docx", "A 24465-2025")</f>
        <v/>
      </c>
      <c r="X44">
        <f>HYPERLINK("https://klasma.github.io/Logging_2161/tillsyn/A 24465-2025 tillsynsbegäran.docx", "A 24465-2025")</f>
        <v/>
      </c>
      <c r="Y44">
        <f>HYPERLINK("https://klasma.github.io/Logging_2161/tillsynsmail/A 24465-2025 tillsynsbegäran mail.docx", "A 24465-2025")</f>
        <v/>
      </c>
    </row>
    <row r="45" ht="15" customHeight="1">
      <c r="A45" t="inlineStr">
        <is>
          <t>A 33353-2024</t>
        </is>
      </c>
      <c r="B45" s="1" t="n">
        <v>45519.38559027778</v>
      </c>
      <c r="C45" s="1" t="n">
        <v>46086</v>
      </c>
      <c r="D45" t="inlineStr">
        <is>
          <t>GÄVLEBORGS LÄN</t>
        </is>
      </c>
      <c r="E45" t="inlineStr">
        <is>
          <t>LJUSDAL</t>
        </is>
      </c>
      <c r="F45" t="inlineStr">
        <is>
          <t>Bergvik skog väst AB</t>
        </is>
      </c>
      <c r="G45" t="n">
        <v>3.9</v>
      </c>
      <c r="H45" t="n">
        <v>1</v>
      </c>
      <c r="I45" t="n">
        <v>3</v>
      </c>
      <c r="J45" t="n">
        <v>5</v>
      </c>
      <c r="K45" t="n">
        <v>0</v>
      </c>
      <c r="L45" t="n">
        <v>0</v>
      </c>
      <c r="M45" t="n">
        <v>0</v>
      </c>
      <c r="N45" t="n">
        <v>0</v>
      </c>
      <c r="O45" t="n">
        <v>5</v>
      </c>
      <c r="P45" t="n">
        <v>0</v>
      </c>
      <c r="Q45" t="n">
        <v>9</v>
      </c>
      <c r="R45" s="2" t="inlineStr">
        <is>
          <t>Gammelgransskål
Kortskaftad ärgspik
Lunglav
Stiftgelélav
Vedtrappmossa
Korallblylav
Skinnlav
Stuplav
Blåsippa</t>
        </is>
      </c>
      <c r="S45">
        <f>HYPERLINK("https://klasma.github.io/Logging_2161/artfynd/A 33353-2024 artfynd.xlsx", "A 33353-2024")</f>
        <v/>
      </c>
      <c r="T45">
        <f>HYPERLINK("https://klasma.github.io/Logging_2161/kartor/A 33353-2024 karta.png", "A 33353-2024")</f>
        <v/>
      </c>
      <c r="V45">
        <f>HYPERLINK("https://klasma.github.io/Logging_2161/klagomål/A 33353-2024 FSC-klagomål.docx", "A 33353-2024")</f>
        <v/>
      </c>
      <c r="W45">
        <f>HYPERLINK("https://klasma.github.io/Logging_2161/klagomålsmail/A 33353-2024 FSC-klagomål mail.docx", "A 33353-2024")</f>
        <v/>
      </c>
      <c r="X45">
        <f>HYPERLINK("https://klasma.github.io/Logging_2161/tillsyn/A 33353-2024 tillsynsbegäran.docx", "A 33353-2024")</f>
        <v/>
      </c>
      <c r="Y45">
        <f>HYPERLINK("https://klasma.github.io/Logging_2161/tillsynsmail/A 33353-2024 tillsynsbegäran mail.docx", "A 33353-2024")</f>
        <v/>
      </c>
    </row>
    <row r="46" ht="15" customHeight="1">
      <c r="A46" t="inlineStr">
        <is>
          <t>A 28996-2025</t>
        </is>
      </c>
      <c r="B46" s="1" t="n">
        <v>45821</v>
      </c>
      <c r="C46" s="1" t="n">
        <v>46086</v>
      </c>
      <c r="D46" t="inlineStr">
        <is>
          <t>GÄVLEBORGS LÄN</t>
        </is>
      </c>
      <c r="E46" t="inlineStr">
        <is>
          <t>LJUSDAL</t>
        </is>
      </c>
      <c r="F46" t="inlineStr">
        <is>
          <t>SCA</t>
        </is>
      </c>
      <c r="G46" t="n">
        <v>14.8</v>
      </c>
      <c r="H46" t="n">
        <v>3</v>
      </c>
      <c r="I46" t="n">
        <v>3</v>
      </c>
      <c r="J46" t="n">
        <v>4</v>
      </c>
      <c r="K46" t="n">
        <v>0</v>
      </c>
      <c r="L46" t="n">
        <v>0</v>
      </c>
      <c r="M46" t="n">
        <v>0</v>
      </c>
      <c r="N46" t="n">
        <v>0</v>
      </c>
      <c r="O46" t="n">
        <v>4</v>
      </c>
      <c r="P46" t="n">
        <v>0</v>
      </c>
      <c r="Q46" t="n">
        <v>9</v>
      </c>
      <c r="R46" s="2" t="inlineStr">
        <is>
          <t>Garnlav
Kolflarnlav
Lunglav
Mörk kolflarnlav
Bårdlav
Spindelblomster
Stuplav
Fläcknycklar
Revlummer</t>
        </is>
      </c>
      <c r="S46">
        <f>HYPERLINK("https://klasma.github.io/Logging_2161/artfynd/A 28996-2025 artfynd.xlsx", "A 28996-2025")</f>
        <v/>
      </c>
      <c r="T46">
        <f>HYPERLINK("https://klasma.github.io/Logging_2161/kartor/A 28996-2025 karta.png", "A 28996-2025")</f>
        <v/>
      </c>
      <c r="V46">
        <f>HYPERLINK("https://klasma.github.io/Logging_2161/klagomål/A 28996-2025 FSC-klagomål.docx", "A 28996-2025")</f>
        <v/>
      </c>
      <c r="W46">
        <f>HYPERLINK("https://klasma.github.io/Logging_2161/klagomålsmail/A 28996-2025 FSC-klagomål mail.docx", "A 28996-2025")</f>
        <v/>
      </c>
      <c r="X46">
        <f>HYPERLINK("https://klasma.github.io/Logging_2161/tillsyn/A 28996-2025 tillsynsbegäran.docx", "A 28996-2025")</f>
        <v/>
      </c>
      <c r="Y46">
        <f>HYPERLINK("https://klasma.github.io/Logging_2161/tillsynsmail/A 28996-2025 tillsynsbegäran mail.docx", "A 28996-2025")</f>
        <v/>
      </c>
    </row>
    <row r="47" ht="15" customHeight="1">
      <c r="A47" t="inlineStr">
        <is>
          <t>A 44476-2025</t>
        </is>
      </c>
      <c r="B47" s="1" t="n">
        <v>45916.64443287037</v>
      </c>
      <c r="C47" s="1" t="n">
        <v>46086</v>
      </c>
      <c r="D47" t="inlineStr">
        <is>
          <t>GÄVLEBORGS LÄN</t>
        </is>
      </c>
      <c r="E47" t="inlineStr">
        <is>
          <t>LJUSDAL</t>
        </is>
      </c>
      <c r="F47" t="inlineStr">
        <is>
          <t>Sveaskog</t>
        </is>
      </c>
      <c r="G47" t="n">
        <v>18</v>
      </c>
      <c r="H47" t="n">
        <v>4</v>
      </c>
      <c r="I47" t="n">
        <v>3</v>
      </c>
      <c r="J47" t="n">
        <v>3</v>
      </c>
      <c r="K47" t="n">
        <v>0</v>
      </c>
      <c r="L47" t="n">
        <v>0</v>
      </c>
      <c r="M47" t="n">
        <v>0</v>
      </c>
      <c r="N47" t="n">
        <v>0</v>
      </c>
      <c r="O47" t="n">
        <v>3</v>
      </c>
      <c r="P47" t="n">
        <v>0</v>
      </c>
      <c r="Q47" t="n">
        <v>9</v>
      </c>
      <c r="R47" s="2" t="inlineStr">
        <is>
          <t>Garnlav
Kolflarnlav
Spillkråka
Källpraktmossa
Stuplav
Vågbandad barkbock
Fläcknycklar
Nattviol
Revlummer</t>
        </is>
      </c>
      <c r="S47">
        <f>HYPERLINK("https://klasma.github.io/Logging_2161/artfynd/A 44476-2025 artfynd.xlsx", "A 44476-2025")</f>
        <v/>
      </c>
      <c r="T47">
        <f>HYPERLINK("https://klasma.github.io/Logging_2161/kartor/A 44476-2025 karta.png", "A 44476-2025")</f>
        <v/>
      </c>
      <c r="U47">
        <f>HYPERLINK("https://klasma.github.io/Logging_2161/knärot/A 44476-2025 karta knärot.png", "A 44476-2025")</f>
        <v/>
      </c>
      <c r="V47">
        <f>HYPERLINK("https://klasma.github.io/Logging_2161/klagomål/A 44476-2025 FSC-klagomål.docx", "A 44476-2025")</f>
        <v/>
      </c>
      <c r="W47">
        <f>HYPERLINK("https://klasma.github.io/Logging_2161/klagomålsmail/A 44476-2025 FSC-klagomål mail.docx", "A 44476-2025")</f>
        <v/>
      </c>
      <c r="X47">
        <f>HYPERLINK("https://klasma.github.io/Logging_2161/tillsyn/A 44476-2025 tillsynsbegäran.docx", "A 44476-2025")</f>
        <v/>
      </c>
      <c r="Y47">
        <f>HYPERLINK("https://klasma.github.io/Logging_2161/tillsynsmail/A 44476-2025 tillsynsbegäran mail.docx", "A 44476-2025")</f>
        <v/>
      </c>
      <c r="Z47">
        <f>HYPERLINK("https://klasma.github.io/Logging_2161/fåglar/A 44476-2025 prioriterade fågelarter.docx", "A 44476-2025")</f>
        <v/>
      </c>
    </row>
    <row r="48" ht="15" customHeight="1">
      <c r="A48" t="inlineStr">
        <is>
          <t>A 528-2024</t>
        </is>
      </c>
      <c r="B48" s="1" t="n">
        <v>45299</v>
      </c>
      <c r="C48" s="1" t="n">
        <v>46086</v>
      </c>
      <c r="D48" t="inlineStr">
        <is>
          <t>GÄVLEBORGS LÄN</t>
        </is>
      </c>
      <c r="E48" t="inlineStr">
        <is>
          <t>HOFORS</t>
        </is>
      </c>
      <c r="G48" t="n">
        <v>1.1</v>
      </c>
      <c r="H48" t="n">
        <v>1</v>
      </c>
      <c r="I48" t="n">
        <v>3</v>
      </c>
      <c r="J48" t="n">
        <v>4</v>
      </c>
      <c r="K48" t="n">
        <v>1</v>
      </c>
      <c r="L48" t="n">
        <v>0</v>
      </c>
      <c r="M48" t="n">
        <v>0</v>
      </c>
      <c r="N48" t="n">
        <v>0</v>
      </c>
      <c r="O48" t="n">
        <v>5</v>
      </c>
      <c r="P48" t="n">
        <v>1</v>
      </c>
      <c r="Q48" t="n">
        <v>9</v>
      </c>
      <c r="R48" s="2" t="inlineStr">
        <is>
          <t>Koppartaggsvamp
Flattoppad klubbsvamp
Gultoppig fingersvamp
Svart taggsvamp agg.
Ullticka
Dropptaggsvamp
Fjällig taggsvamp s.str.
Svavelriska
Blåsippa</t>
        </is>
      </c>
      <c r="S48">
        <f>HYPERLINK("https://klasma.github.io/Logging_2104/artfynd/A 528-2024 artfynd.xlsx", "A 528-2024")</f>
        <v/>
      </c>
      <c r="T48">
        <f>HYPERLINK("https://klasma.github.io/Logging_2104/kartor/A 528-2024 karta.png", "A 528-2024")</f>
        <v/>
      </c>
      <c r="V48">
        <f>HYPERLINK("https://klasma.github.io/Logging_2104/klagomål/A 528-2024 FSC-klagomål.docx", "A 528-2024")</f>
        <v/>
      </c>
      <c r="W48">
        <f>HYPERLINK("https://klasma.github.io/Logging_2104/klagomålsmail/A 528-2024 FSC-klagomål mail.docx", "A 528-2024")</f>
        <v/>
      </c>
      <c r="X48">
        <f>HYPERLINK("https://klasma.github.io/Logging_2104/tillsyn/A 528-2024 tillsynsbegäran.docx", "A 528-2024")</f>
        <v/>
      </c>
      <c r="Y48">
        <f>HYPERLINK("https://klasma.github.io/Logging_2104/tillsynsmail/A 528-2024 tillsynsbegäran mail.docx", "A 528-2024")</f>
        <v/>
      </c>
    </row>
    <row r="49" ht="15" customHeight="1">
      <c r="A49" t="inlineStr">
        <is>
          <t>A 58087-2025</t>
        </is>
      </c>
      <c r="B49" s="1" t="n">
        <v>45982.57236111111</v>
      </c>
      <c r="C49" s="1" t="n">
        <v>46086</v>
      </c>
      <c r="D49" t="inlineStr">
        <is>
          <t>GÄVLEBORGS LÄN</t>
        </is>
      </c>
      <c r="E49" t="inlineStr">
        <is>
          <t>SÖDERHAMN</t>
        </is>
      </c>
      <c r="G49" t="n">
        <v>2.2</v>
      </c>
      <c r="H49" t="n">
        <v>0</v>
      </c>
      <c r="I49" t="n">
        <v>2</v>
      </c>
      <c r="J49" t="n">
        <v>5</v>
      </c>
      <c r="K49" t="n">
        <v>2</v>
      </c>
      <c r="L49" t="n">
        <v>0</v>
      </c>
      <c r="M49" t="n">
        <v>0</v>
      </c>
      <c r="N49" t="n">
        <v>0</v>
      </c>
      <c r="O49" t="n">
        <v>7</v>
      </c>
      <c r="P49" t="n">
        <v>2</v>
      </c>
      <c r="Q49" t="n">
        <v>9</v>
      </c>
      <c r="R49" s="2" t="inlineStr">
        <is>
          <t>Bitter taggsvamp
Violgubbe
Blek fingersvamp
Gul taggsvamp
Kandelabersvamp
Koralltaggsvamp
Motaggsvamp
Fjällig taggsvamp s.str.
Tjockfotad fingersvamp</t>
        </is>
      </c>
      <c r="S49">
        <f>HYPERLINK("https://klasma.github.io/Logging_2182/artfynd/A 58087-2025 artfynd.xlsx", "A 58087-2025")</f>
        <v/>
      </c>
      <c r="T49">
        <f>HYPERLINK("https://klasma.github.io/Logging_2182/kartor/A 58087-2025 karta.png", "A 58087-2025")</f>
        <v/>
      </c>
      <c r="V49">
        <f>HYPERLINK("https://klasma.github.io/Logging_2182/klagomål/A 58087-2025 FSC-klagomål.docx", "A 58087-2025")</f>
        <v/>
      </c>
      <c r="W49">
        <f>HYPERLINK("https://klasma.github.io/Logging_2182/klagomålsmail/A 58087-2025 FSC-klagomål mail.docx", "A 58087-2025")</f>
        <v/>
      </c>
      <c r="X49">
        <f>HYPERLINK("https://klasma.github.io/Logging_2182/tillsyn/A 58087-2025 tillsynsbegäran.docx", "A 58087-2025")</f>
        <v/>
      </c>
      <c r="Y49">
        <f>HYPERLINK("https://klasma.github.io/Logging_2182/tillsynsmail/A 58087-2025 tillsynsbegäran mail.docx", "A 58087-2025")</f>
        <v/>
      </c>
    </row>
    <row r="50" ht="15" customHeight="1">
      <c r="A50" t="inlineStr">
        <is>
          <t>A 8217-2026</t>
        </is>
      </c>
      <c r="B50" s="1" t="n">
        <v>46064.46010416667</v>
      </c>
      <c r="C50" s="1" t="n">
        <v>46086</v>
      </c>
      <c r="D50" t="inlineStr">
        <is>
          <t>GÄVLEBORGS LÄN</t>
        </is>
      </c>
      <c r="E50" t="inlineStr">
        <is>
          <t>HOFORS</t>
        </is>
      </c>
      <c r="G50" t="n">
        <v>5.4</v>
      </c>
      <c r="H50" t="n">
        <v>1</v>
      </c>
      <c r="I50" t="n">
        <v>5</v>
      </c>
      <c r="J50" t="n">
        <v>2</v>
      </c>
      <c r="K50" t="n">
        <v>2</v>
      </c>
      <c r="L50" t="n">
        <v>0</v>
      </c>
      <c r="M50" t="n">
        <v>0</v>
      </c>
      <c r="N50" t="n">
        <v>0</v>
      </c>
      <c r="O50" t="n">
        <v>4</v>
      </c>
      <c r="P50" t="n">
        <v>2</v>
      </c>
      <c r="Q50" t="n">
        <v>9</v>
      </c>
      <c r="R50" s="2" t="inlineStr">
        <is>
          <t>Bitter taggsvamp
Knärot
Orange taggsvamp
Vedtrappmossa
Dropptaggsvamp
Fjällig taggsvamp s.str.
Olivspindling
Rödgul trumpetsvamp
Svavelriska</t>
        </is>
      </c>
      <c r="S50">
        <f>HYPERLINK("https://klasma.github.io/Logging_2104/artfynd/A 8217-2026 artfynd.xlsx", "A 8217-2026")</f>
        <v/>
      </c>
      <c r="T50">
        <f>HYPERLINK("https://klasma.github.io/Logging_2104/kartor/A 8217-2026 karta.png", "A 8217-2026")</f>
        <v/>
      </c>
      <c r="U50">
        <f>HYPERLINK("https://klasma.github.io/Logging_2104/knärot/A 8217-2026 karta knärot.png", "A 8217-2026")</f>
        <v/>
      </c>
      <c r="V50">
        <f>HYPERLINK("https://klasma.github.io/Logging_2104/klagomål/A 8217-2026 FSC-klagomål.docx", "A 8217-2026")</f>
        <v/>
      </c>
      <c r="W50">
        <f>HYPERLINK("https://klasma.github.io/Logging_2104/klagomålsmail/A 8217-2026 FSC-klagomål mail.docx", "A 8217-2026")</f>
        <v/>
      </c>
      <c r="X50">
        <f>HYPERLINK("https://klasma.github.io/Logging_2104/tillsyn/A 8217-2026 tillsynsbegäran.docx", "A 8217-2026")</f>
        <v/>
      </c>
      <c r="Y50">
        <f>HYPERLINK("https://klasma.github.io/Logging_2104/tillsynsmail/A 8217-2026 tillsynsbegäran mail.docx", "A 8217-2026")</f>
        <v/>
      </c>
    </row>
    <row r="51" ht="15" customHeight="1">
      <c r="A51" t="inlineStr">
        <is>
          <t>A 39905-2022</t>
        </is>
      </c>
      <c r="B51" s="1" t="n">
        <v>44819</v>
      </c>
      <c r="C51" s="1" t="n">
        <v>46086</v>
      </c>
      <c r="D51" t="inlineStr">
        <is>
          <t>GÄVLEBORGS LÄN</t>
        </is>
      </c>
      <c r="E51" t="inlineStr">
        <is>
          <t>OVANÅKER</t>
        </is>
      </c>
      <c r="G51" t="n">
        <v>3.5</v>
      </c>
      <c r="H51" t="n">
        <v>6</v>
      </c>
      <c r="I51" t="n">
        <v>4</v>
      </c>
      <c r="J51" t="n">
        <v>1</v>
      </c>
      <c r="K51" t="n">
        <v>1</v>
      </c>
      <c r="L51" t="n">
        <v>0</v>
      </c>
      <c r="M51" t="n">
        <v>0</v>
      </c>
      <c r="N51" t="n">
        <v>0</v>
      </c>
      <c r="O51" t="n">
        <v>2</v>
      </c>
      <c r="P51" t="n">
        <v>1</v>
      </c>
      <c r="Q51" t="n">
        <v>9</v>
      </c>
      <c r="R51" s="2" t="inlineStr">
        <is>
          <t>Turkos blåvinge
Månlåsbräken
Grönkulla
Plattlummer
Spindelblomster
Ögonpyrola
Fläcknycklar
Nattviol
Revlummer</t>
        </is>
      </c>
      <c r="S51">
        <f>HYPERLINK("https://klasma.github.io/Logging_2121/artfynd/A 39905-2022 artfynd.xlsx", "A 39905-2022")</f>
        <v/>
      </c>
      <c r="T51">
        <f>HYPERLINK("https://klasma.github.io/Logging_2121/kartor/A 39905-2022 karta.png", "A 39905-2022")</f>
        <v/>
      </c>
      <c r="V51">
        <f>HYPERLINK("https://klasma.github.io/Logging_2121/klagomål/A 39905-2022 FSC-klagomål.docx", "A 39905-2022")</f>
        <v/>
      </c>
      <c r="W51">
        <f>HYPERLINK("https://klasma.github.io/Logging_2121/klagomålsmail/A 39905-2022 FSC-klagomål mail.docx", "A 39905-2022")</f>
        <v/>
      </c>
      <c r="X51">
        <f>HYPERLINK("https://klasma.github.io/Logging_2121/tillsyn/A 39905-2022 tillsynsbegäran.docx", "A 39905-2022")</f>
        <v/>
      </c>
      <c r="Y51">
        <f>HYPERLINK("https://klasma.github.io/Logging_2121/tillsynsmail/A 39905-2022 tillsynsbegäran mail.docx", "A 39905-2022")</f>
        <v/>
      </c>
    </row>
    <row r="52" ht="15" customHeight="1">
      <c r="A52" t="inlineStr">
        <is>
          <t>A 19656-2024</t>
        </is>
      </c>
      <c r="B52" s="1" t="n">
        <v>45432.45020833334</v>
      </c>
      <c r="C52" s="1" t="n">
        <v>46086</v>
      </c>
      <c r="D52" t="inlineStr">
        <is>
          <t>GÄVLEBORGS LÄN</t>
        </is>
      </c>
      <c r="E52" t="inlineStr">
        <is>
          <t>OVANÅKER</t>
        </is>
      </c>
      <c r="G52" t="n">
        <v>9.4</v>
      </c>
      <c r="H52" t="n">
        <v>4</v>
      </c>
      <c r="I52" t="n">
        <v>4</v>
      </c>
      <c r="J52" t="n">
        <v>3</v>
      </c>
      <c r="K52" t="n">
        <v>0</v>
      </c>
      <c r="L52" t="n">
        <v>1</v>
      </c>
      <c r="M52" t="n">
        <v>0</v>
      </c>
      <c r="N52" t="n">
        <v>0</v>
      </c>
      <c r="O52" t="n">
        <v>4</v>
      </c>
      <c r="P52" t="n">
        <v>1</v>
      </c>
      <c r="Q52" t="n">
        <v>9</v>
      </c>
      <c r="R52" s="2" t="inlineStr">
        <is>
          <t>Tornseglare
Garnlav
Violettgrå tagellav
Vitgrynig nållav
Korallrot
Nästlav
Spindelblomster
Vågbandad barkbock
Fläcknycklar</t>
        </is>
      </c>
      <c r="S52">
        <f>HYPERLINK("https://klasma.github.io/Logging_2121/artfynd/A 19656-2024 artfynd.xlsx", "A 19656-2024")</f>
        <v/>
      </c>
      <c r="T52">
        <f>HYPERLINK("https://klasma.github.io/Logging_2121/kartor/A 19656-2024 karta.png", "A 19656-2024")</f>
        <v/>
      </c>
      <c r="V52">
        <f>HYPERLINK("https://klasma.github.io/Logging_2121/klagomål/A 19656-2024 FSC-klagomål.docx", "A 19656-2024")</f>
        <v/>
      </c>
      <c r="W52">
        <f>HYPERLINK("https://klasma.github.io/Logging_2121/klagomålsmail/A 19656-2024 FSC-klagomål mail.docx", "A 19656-2024")</f>
        <v/>
      </c>
      <c r="X52">
        <f>HYPERLINK("https://klasma.github.io/Logging_2121/tillsyn/A 19656-2024 tillsynsbegäran.docx", "A 19656-2024")</f>
        <v/>
      </c>
      <c r="Y52">
        <f>HYPERLINK("https://klasma.github.io/Logging_2121/tillsynsmail/A 19656-2024 tillsynsbegäran mail.docx", "A 19656-2024")</f>
        <v/>
      </c>
      <c r="Z52">
        <f>HYPERLINK("https://klasma.github.io/Logging_2121/fåglar/A 19656-2024 prioriterade fågelarter.docx", "A 19656-2024")</f>
        <v/>
      </c>
    </row>
    <row r="53" ht="15" customHeight="1">
      <c r="A53" t="inlineStr">
        <is>
          <t>A 22588-2025</t>
        </is>
      </c>
      <c r="B53" s="1" t="n">
        <v>45789.40025462963</v>
      </c>
      <c r="C53" s="1" t="n">
        <v>46086</v>
      </c>
      <c r="D53" t="inlineStr">
        <is>
          <t>GÄVLEBORGS LÄN</t>
        </is>
      </c>
      <c r="E53" t="inlineStr">
        <is>
          <t>LJUSDAL</t>
        </is>
      </c>
      <c r="F53" t="inlineStr">
        <is>
          <t>Allmännings- och besparingsskogar</t>
        </is>
      </c>
      <c r="G53" t="n">
        <v>29.7</v>
      </c>
      <c r="H53" t="n">
        <v>2</v>
      </c>
      <c r="I53" t="n">
        <v>2</v>
      </c>
      <c r="J53" t="n">
        <v>6</v>
      </c>
      <c r="K53" t="n">
        <v>1</v>
      </c>
      <c r="L53" t="n">
        <v>0</v>
      </c>
      <c r="M53" t="n">
        <v>0</v>
      </c>
      <c r="N53" t="n">
        <v>0</v>
      </c>
      <c r="O53" t="n">
        <v>7</v>
      </c>
      <c r="P53" t="n">
        <v>1</v>
      </c>
      <c r="Q53" t="n">
        <v>9</v>
      </c>
      <c r="R53" s="2" t="inlineStr">
        <is>
          <t>Knärot
Dvärgbägarlav
Garnlav
Lunglav
Mörk kolflarnlav
Ullticka
Vedskivlav
Spindelblomster
Vedticka</t>
        </is>
      </c>
      <c r="S53">
        <f>HYPERLINK("https://klasma.github.io/Logging_2161/artfynd/A 22588-2025 artfynd.xlsx", "A 22588-2025")</f>
        <v/>
      </c>
      <c r="T53">
        <f>HYPERLINK("https://klasma.github.io/Logging_2161/kartor/A 22588-2025 karta.png", "A 22588-2025")</f>
        <v/>
      </c>
      <c r="U53">
        <f>HYPERLINK("https://klasma.github.io/Logging_2161/knärot/A 22588-2025 karta knärot.png", "A 22588-2025")</f>
        <v/>
      </c>
      <c r="V53">
        <f>HYPERLINK("https://klasma.github.io/Logging_2161/klagomål/A 22588-2025 FSC-klagomål.docx", "A 22588-2025")</f>
        <v/>
      </c>
      <c r="W53">
        <f>HYPERLINK("https://klasma.github.io/Logging_2161/klagomålsmail/A 22588-2025 FSC-klagomål mail.docx", "A 22588-2025")</f>
        <v/>
      </c>
      <c r="X53">
        <f>HYPERLINK("https://klasma.github.io/Logging_2161/tillsyn/A 22588-2025 tillsynsbegäran.docx", "A 22588-2025")</f>
        <v/>
      </c>
      <c r="Y53">
        <f>HYPERLINK("https://klasma.github.io/Logging_2161/tillsynsmail/A 22588-2025 tillsynsbegäran mail.docx", "A 22588-2025")</f>
        <v/>
      </c>
    </row>
    <row r="54" ht="15" customHeight="1">
      <c r="A54" t="inlineStr">
        <is>
          <t>A 20596-2025</t>
        </is>
      </c>
      <c r="B54" s="1" t="n">
        <v>45775.74341435185</v>
      </c>
      <c r="C54" s="1" t="n">
        <v>46086</v>
      </c>
      <c r="D54" t="inlineStr">
        <is>
          <t>GÄVLEBORGS LÄN</t>
        </is>
      </c>
      <c r="E54" t="inlineStr">
        <is>
          <t>LJUSDAL</t>
        </is>
      </c>
      <c r="F54" t="inlineStr">
        <is>
          <t>Sveaskog</t>
        </is>
      </c>
      <c r="G54" t="n">
        <v>15.7</v>
      </c>
      <c r="H54" t="n">
        <v>5</v>
      </c>
      <c r="I54" t="n">
        <v>2</v>
      </c>
      <c r="J54" t="n">
        <v>2</v>
      </c>
      <c r="K54" t="n">
        <v>1</v>
      </c>
      <c r="L54" t="n">
        <v>0</v>
      </c>
      <c r="M54" t="n">
        <v>0</v>
      </c>
      <c r="N54" t="n">
        <v>0</v>
      </c>
      <c r="O54" t="n">
        <v>3</v>
      </c>
      <c r="P54" t="n">
        <v>1</v>
      </c>
      <c r="Q54" t="n">
        <v>8</v>
      </c>
      <c r="R54" s="2" t="inlineStr">
        <is>
          <t>Knärot
Kolflarnlav
Mörk kolflarnlav
Gräsull
Korallrot
Grönsiska
Fläcknycklar
Mattlummer</t>
        </is>
      </c>
      <c r="S54">
        <f>HYPERLINK("https://klasma.github.io/Logging_2161/artfynd/A 20596-2025 artfynd.xlsx", "A 20596-2025")</f>
        <v/>
      </c>
      <c r="T54">
        <f>HYPERLINK("https://klasma.github.io/Logging_2161/kartor/A 20596-2025 karta.png", "A 20596-2025")</f>
        <v/>
      </c>
      <c r="U54">
        <f>HYPERLINK("https://klasma.github.io/Logging_2161/knärot/A 20596-2025 karta knärot.png", "A 20596-2025")</f>
        <v/>
      </c>
      <c r="V54">
        <f>HYPERLINK("https://klasma.github.io/Logging_2161/klagomål/A 20596-2025 FSC-klagomål.docx", "A 20596-2025")</f>
        <v/>
      </c>
      <c r="W54">
        <f>HYPERLINK("https://klasma.github.io/Logging_2161/klagomålsmail/A 20596-2025 FSC-klagomål mail.docx", "A 20596-2025")</f>
        <v/>
      </c>
      <c r="X54">
        <f>HYPERLINK("https://klasma.github.io/Logging_2161/tillsyn/A 20596-2025 tillsynsbegäran.docx", "A 20596-2025")</f>
        <v/>
      </c>
      <c r="Y54">
        <f>HYPERLINK("https://klasma.github.io/Logging_2161/tillsynsmail/A 20596-2025 tillsynsbegäran mail.docx", "A 20596-2025")</f>
        <v/>
      </c>
      <c r="Z54">
        <f>HYPERLINK("https://klasma.github.io/Logging_2161/fåglar/A 20596-2025 prioriterade fågelarter.docx", "A 20596-2025")</f>
        <v/>
      </c>
    </row>
    <row r="55" ht="15" customHeight="1">
      <c r="A55" t="inlineStr">
        <is>
          <t>A 29238-2025</t>
        </is>
      </c>
      <c r="B55" s="1" t="n">
        <v>45824.35363425926</v>
      </c>
      <c r="C55" s="1" t="n">
        <v>46086</v>
      </c>
      <c r="D55" t="inlineStr">
        <is>
          <t>GÄVLEBORGS LÄN</t>
        </is>
      </c>
      <c r="E55" t="inlineStr">
        <is>
          <t>LJUSDAL</t>
        </is>
      </c>
      <c r="F55" t="inlineStr">
        <is>
          <t>Bergvik skog väst AB</t>
        </is>
      </c>
      <c r="G55" t="n">
        <v>9.199999999999999</v>
      </c>
      <c r="H55" t="n">
        <v>0</v>
      </c>
      <c r="I55" t="n">
        <v>5</v>
      </c>
      <c r="J55" t="n">
        <v>3</v>
      </c>
      <c r="K55" t="n">
        <v>0</v>
      </c>
      <c r="L55" t="n">
        <v>0</v>
      </c>
      <c r="M55" t="n">
        <v>0</v>
      </c>
      <c r="N55" t="n">
        <v>0</v>
      </c>
      <c r="O55" t="n">
        <v>3</v>
      </c>
      <c r="P55" t="n">
        <v>0</v>
      </c>
      <c r="Q55" t="n">
        <v>8</v>
      </c>
      <c r="R55" s="2" t="inlineStr">
        <is>
          <t>Doftskinn
Kortskaftad ärgspik
Vedskivlav
Dvärgtufs
Mörk husmossa
Skinnlav
Stuplav
Vedticka</t>
        </is>
      </c>
      <c r="S55">
        <f>HYPERLINK("https://klasma.github.io/Logging_2161/artfynd/A 29238-2025 artfynd.xlsx", "A 29238-2025")</f>
        <v/>
      </c>
      <c r="T55">
        <f>HYPERLINK("https://klasma.github.io/Logging_2161/kartor/A 29238-2025 karta.png", "A 29238-2025")</f>
        <v/>
      </c>
      <c r="V55">
        <f>HYPERLINK("https://klasma.github.io/Logging_2161/klagomål/A 29238-2025 FSC-klagomål.docx", "A 29238-2025")</f>
        <v/>
      </c>
      <c r="W55">
        <f>HYPERLINK("https://klasma.github.io/Logging_2161/klagomålsmail/A 29238-2025 FSC-klagomål mail.docx", "A 29238-2025")</f>
        <v/>
      </c>
      <c r="X55">
        <f>HYPERLINK("https://klasma.github.io/Logging_2161/tillsyn/A 29238-2025 tillsynsbegäran.docx", "A 29238-2025")</f>
        <v/>
      </c>
      <c r="Y55">
        <f>HYPERLINK("https://klasma.github.io/Logging_2161/tillsynsmail/A 29238-2025 tillsynsbegäran mail.docx", "A 29238-2025")</f>
        <v/>
      </c>
    </row>
    <row r="56" ht="15" customHeight="1">
      <c r="A56" t="inlineStr">
        <is>
          <t>A 34821-2025</t>
        </is>
      </c>
      <c r="B56" s="1" t="n">
        <v>45849</v>
      </c>
      <c r="C56" s="1" t="n">
        <v>46086</v>
      </c>
      <c r="D56" t="inlineStr">
        <is>
          <t>GÄVLEBORGS LÄN</t>
        </is>
      </c>
      <c r="E56" t="inlineStr">
        <is>
          <t>LJUSDAL</t>
        </is>
      </c>
      <c r="F56" t="inlineStr">
        <is>
          <t>Allmännings- och besparingsskogar</t>
        </is>
      </c>
      <c r="G56" t="n">
        <v>16.8</v>
      </c>
      <c r="H56" t="n">
        <v>2</v>
      </c>
      <c r="I56" t="n">
        <v>0</v>
      </c>
      <c r="J56" t="n">
        <v>7</v>
      </c>
      <c r="K56" t="n">
        <v>1</v>
      </c>
      <c r="L56" t="n">
        <v>0</v>
      </c>
      <c r="M56" t="n">
        <v>0</v>
      </c>
      <c r="N56" t="n">
        <v>0</v>
      </c>
      <c r="O56" t="n">
        <v>8</v>
      </c>
      <c r="P56" t="n">
        <v>1</v>
      </c>
      <c r="Q56" t="n">
        <v>8</v>
      </c>
      <c r="R56" s="2" t="inlineStr">
        <is>
          <t>Knärot
Dvärgbägarlav
Garnlav
Mörk kolflarnlav
Skrovellav
Varglav
Vedskivlav
Vedtrappmossa</t>
        </is>
      </c>
      <c r="S56">
        <f>HYPERLINK("https://klasma.github.io/Logging_2161/artfynd/A 34821-2025 artfynd.xlsx", "A 34821-2025")</f>
        <v/>
      </c>
      <c r="T56">
        <f>HYPERLINK("https://klasma.github.io/Logging_2161/kartor/A 34821-2025 karta.png", "A 34821-2025")</f>
        <v/>
      </c>
      <c r="U56">
        <f>HYPERLINK("https://klasma.github.io/Logging_2161/knärot/A 34821-2025 karta knärot.png", "A 34821-2025")</f>
        <v/>
      </c>
      <c r="V56">
        <f>HYPERLINK("https://klasma.github.io/Logging_2161/klagomål/A 34821-2025 FSC-klagomål.docx", "A 34821-2025")</f>
        <v/>
      </c>
      <c r="W56">
        <f>HYPERLINK("https://klasma.github.io/Logging_2161/klagomålsmail/A 34821-2025 FSC-klagomål mail.docx", "A 34821-2025")</f>
        <v/>
      </c>
      <c r="X56">
        <f>HYPERLINK("https://klasma.github.io/Logging_2161/tillsyn/A 34821-2025 tillsynsbegäran.docx", "A 34821-2025")</f>
        <v/>
      </c>
      <c r="Y56">
        <f>HYPERLINK("https://klasma.github.io/Logging_2161/tillsynsmail/A 34821-2025 tillsynsbegäran mail.docx", "A 34821-2025")</f>
        <v/>
      </c>
    </row>
    <row r="57" ht="15" customHeight="1">
      <c r="A57" t="inlineStr">
        <is>
          <t>A 52778-2025</t>
        </is>
      </c>
      <c r="B57" s="1" t="n">
        <v>45957.41951388889</v>
      </c>
      <c r="C57" s="1" t="n">
        <v>46086</v>
      </c>
      <c r="D57" t="inlineStr">
        <is>
          <t>GÄVLEBORGS LÄN</t>
        </is>
      </c>
      <c r="E57" t="inlineStr">
        <is>
          <t>SANDVIKEN</t>
        </is>
      </c>
      <c r="F57" t="inlineStr">
        <is>
          <t>Sveaskog</t>
        </is>
      </c>
      <c r="G57" t="n">
        <v>4.1</v>
      </c>
      <c r="H57" t="n">
        <v>2</v>
      </c>
      <c r="I57" t="n">
        <v>3</v>
      </c>
      <c r="J57" t="n">
        <v>4</v>
      </c>
      <c r="K57" t="n">
        <v>1</v>
      </c>
      <c r="L57" t="n">
        <v>0</v>
      </c>
      <c r="M57" t="n">
        <v>0</v>
      </c>
      <c r="N57" t="n">
        <v>0</v>
      </c>
      <c r="O57" t="n">
        <v>5</v>
      </c>
      <c r="P57" t="n">
        <v>1</v>
      </c>
      <c r="Q57" t="n">
        <v>8</v>
      </c>
      <c r="R57" s="2" t="inlineStr">
        <is>
          <t>Knärot
Garnlav
Kolflarnlav
Motaggsvamp
Spillkråka
Bronshjon
Dropptaggsvamp
Mindre märgborre</t>
        </is>
      </c>
      <c r="S57">
        <f>HYPERLINK("https://klasma.github.io/Logging_2181/artfynd/A 52778-2025 artfynd.xlsx", "A 52778-2025")</f>
        <v/>
      </c>
      <c r="T57">
        <f>HYPERLINK("https://klasma.github.io/Logging_2181/kartor/A 52778-2025 karta.png", "A 52778-2025")</f>
        <v/>
      </c>
      <c r="U57">
        <f>HYPERLINK("https://klasma.github.io/Logging_2181/knärot/A 52778-2025 karta knärot.png", "A 52778-2025")</f>
        <v/>
      </c>
      <c r="V57">
        <f>HYPERLINK("https://klasma.github.io/Logging_2181/klagomål/A 52778-2025 FSC-klagomål.docx", "A 52778-2025")</f>
        <v/>
      </c>
      <c r="W57">
        <f>HYPERLINK("https://klasma.github.io/Logging_2181/klagomålsmail/A 52778-2025 FSC-klagomål mail.docx", "A 52778-2025")</f>
        <v/>
      </c>
      <c r="X57">
        <f>HYPERLINK("https://klasma.github.io/Logging_2181/tillsyn/A 52778-2025 tillsynsbegäran.docx", "A 52778-2025")</f>
        <v/>
      </c>
      <c r="Y57">
        <f>HYPERLINK("https://klasma.github.io/Logging_2181/tillsynsmail/A 52778-2025 tillsynsbegäran mail.docx", "A 52778-2025")</f>
        <v/>
      </c>
      <c r="Z57">
        <f>HYPERLINK("https://klasma.github.io/Logging_2181/fåglar/A 52778-2025 prioriterade fågelarter.docx", "A 52778-2025")</f>
        <v/>
      </c>
    </row>
    <row r="58" ht="15" customHeight="1">
      <c r="A58" t="inlineStr">
        <is>
          <t>A 20659-2024</t>
        </is>
      </c>
      <c r="B58" s="1" t="n">
        <v>45436</v>
      </c>
      <c r="C58" s="1" t="n">
        <v>46086</v>
      </c>
      <c r="D58" t="inlineStr">
        <is>
          <t>GÄVLEBORGS LÄN</t>
        </is>
      </c>
      <c r="E58" t="inlineStr">
        <is>
          <t>LJUSDAL</t>
        </is>
      </c>
      <c r="F58" t="inlineStr">
        <is>
          <t>Sveaskog</t>
        </is>
      </c>
      <c r="G58" t="n">
        <v>17.9</v>
      </c>
      <c r="H58" t="n">
        <v>2</v>
      </c>
      <c r="I58" t="n">
        <v>3</v>
      </c>
      <c r="J58" t="n">
        <v>4</v>
      </c>
      <c r="K58" t="n">
        <v>0</v>
      </c>
      <c r="L58" t="n">
        <v>0</v>
      </c>
      <c r="M58" t="n">
        <v>0</v>
      </c>
      <c r="N58" t="n">
        <v>0</v>
      </c>
      <c r="O58" t="n">
        <v>4</v>
      </c>
      <c r="P58" t="n">
        <v>0</v>
      </c>
      <c r="Q58" t="n">
        <v>8</v>
      </c>
      <c r="R58" s="2" t="inlineStr">
        <is>
          <t>Kolflarnlav
Lunglav
Skogshare
Talltita
Skarp dropptaggsvamp
Stuplav
Vedticka
Revlummer</t>
        </is>
      </c>
      <c r="S58">
        <f>HYPERLINK("https://klasma.github.io/Logging_2161/artfynd/A 20659-2024 artfynd.xlsx", "A 20659-2024")</f>
        <v/>
      </c>
      <c r="T58">
        <f>HYPERLINK("https://klasma.github.io/Logging_2161/kartor/A 20659-2024 karta.png", "A 20659-2024")</f>
        <v/>
      </c>
      <c r="V58">
        <f>HYPERLINK("https://klasma.github.io/Logging_2161/klagomål/A 20659-2024 FSC-klagomål.docx", "A 20659-2024")</f>
        <v/>
      </c>
      <c r="W58">
        <f>HYPERLINK("https://klasma.github.io/Logging_2161/klagomålsmail/A 20659-2024 FSC-klagomål mail.docx", "A 20659-2024")</f>
        <v/>
      </c>
      <c r="X58">
        <f>HYPERLINK("https://klasma.github.io/Logging_2161/tillsyn/A 20659-2024 tillsynsbegäran.docx", "A 20659-2024")</f>
        <v/>
      </c>
      <c r="Y58">
        <f>HYPERLINK("https://klasma.github.io/Logging_2161/tillsynsmail/A 20659-2024 tillsynsbegäran mail.docx", "A 20659-2024")</f>
        <v/>
      </c>
      <c r="Z58">
        <f>HYPERLINK("https://klasma.github.io/Logging_2161/fåglar/A 20659-2024 prioriterade fågelarter.docx", "A 20659-2024")</f>
        <v/>
      </c>
    </row>
    <row r="59" ht="15" customHeight="1">
      <c r="A59" t="inlineStr">
        <is>
          <t>A 5582-2026</t>
        </is>
      </c>
      <c r="B59" s="1" t="n">
        <v>46051.30784722222</v>
      </c>
      <c r="C59" s="1" t="n">
        <v>46086</v>
      </c>
      <c r="D59" t="inlineStr">
        <is>
          <t>GÄVLEBORGS LÄN</t>
        </is>
      </c>
      <c r="E59" t="inlineStr">
        <is>
          <t>OVANÅKER</t>
        </is>
      </c>
      <c r="G59" t="n">
        <v>3.8</v>
      </c>
      <c r="H59" t="n">
        <v>8</v>
      </c>
      <c r="I59" t="n">
        <v>3</v>
      </c>
      <c r="J59" t="n">
        <v>0</v>
      </c>
      <c r="K59" t="n">
        <v>1</v>
      </c>
      <c r="L59" t="n">
        <v>0</v>
      </c>
      <c r="M59" t="n">
        <v>0</v>
      </c>
      <c r="N59" t="n">
        <v>0</v>
      </c>
      <c r="O59" t="n">
        <v>1</v>
      </c>
      <c r="P59" t="n">
        <v>1</v>
      </c>
      <c r="Q59" t="n">
        <v>8</v>
      </c>
      <c r="R59" s="2" t="inlineStr">
        <is>
          <t>Knärot
Korallrot
Spindelblomster
Tvåblad
Fläcknycklar
Myggblomster
Nattviol
Revlummer</t>
        </is>
      </c>
      <c r="S59">
        <f>HYPERLINK("https://klasma.github.io/Logging_2121/artfynd/A 5582-2026 artfynd.xlsx", "A 5582-2026")</f>
        <v/>
      </c>
      <c r="T59">
        <f>HYPERLINK("https://klasma.github.io/Logging_2121/kartor/A 5582-2026 karta.png", "A 5582-2026")</f>
        <v/>
      </c>
      <c r="U59">
        <f>HYPERLINK("https://klasma.github.io/Logging_2121/knärot/A 5582-2026 karta knärot.png", "A 5582-2026")</f>
        <v/>
      </c>
      <c r="V59">
        <f>HYPERLINK("https://klasma.github.io/Logging_2121/klagomål/A 5582-2026 FSC-klagomål.docx", "A 5582-2026")</f>
        <v/>
      </c>
      <c r="W59">
        <f>HYPERLINK("https://klasma.github.io/Logging_2121/klagomålsmail/A 5582-2026 FSC-klagomål mail.docx", "A 5582-2026")</f>
        <v/>
      </c>
      <c r="X59">
        <f>HYPERLINK("https://klasma.github.io/Logging_2121/tillsyn/A 5582-2026 tillsynsbegäran.docx", "A 5582-2026")</f>
        <v/>
      </c>
      <c r="Y59">
        <f>HYPERLINK("https://klasma.github.io/Logging_2121/tillsynsmail/A 5582-2026 tillsynsbegäran mail.docx", "A 5582-2026")</f>
        <v/>
      </c>
    </row>
    <row r="60" ht="15" customHeight="1">
      <c r="A60" t="inlineStr">
        <is>
          <t>A 42911-2025</t>
        </is>
      </c>
      <c r="B60" s="1" t="n">
        <v>45908.70880787037</v>
      </c>
      <c r="C60" s="1" t="n">
        <v>46086</v>
      </c>
      <c r="D60" t="inlineStr">
        <is>
          <t>GÄVLEBORGS LÄN</t>
        </is>
      </c>
      <c r="E60" t="inlineStr">
        <is>
          <t>HUDIKSVALL</t>
        </is>
      </c>
      <c r="G60" t="n">
        <v>5.3</v>
      </c>
      <c r="H60" t="n">
        <v>0</v>
      </c>
      <c r="I60" t="n">
        <v>1</v>
      </c>
      <c r="J60" t="n">
        <v>5</v>
      </c>
      <c r="K60" t="n">
        <v>2</v>
      </c>
      <c r="L60" t="n">
        <v>0</v>
      </c>
      <c r="M60" t="n">
        <v>0</v>
      </c>
      <c r="N60" t="n">
        <v>0</v>
      </c>
      <c r="O60" t="n">
        <v>7</v>
      </c>
      <c r="P60" t="n">
        <v>2</v>
      </c>
      <c r="Q60" t="n">
        <v>8</v>
      </c>
      <c r="R60" s="2" t="inlineStr">
        <is>
          <t>Lakritsmusseron
Rotfingersvamp
Blå taggsvamp
Motaggsvamp
Orange taggsvamp
Skrovlig taggsvamp
Svart taggsvamp agg.
Dropptaggsvamp</t>
        </is>
      </c>
      <c r="S60">
        <f>HYPERLINK("https://klasma.github.io/Logging_2184/artfynd/A 42911-2025 artfynd.xlsx", "A 42911-2025")</f>
        <v/>
      </c>
      <c r="T60">
        <f>HYPERLINK("https://klasma.github.io/Logging_2184/kartor/A 42911-2025 karta.png", "A 42911-2025")</f>
        <v/>
      </c>
      <c r="V60">
        <f>HYPERLINK("https://klasma.github.io/Logging_2184/klagomål/A 42911-2025 FSC-klagomål.docx", "A 42911-2025")</f>
        <v/>
      </c>
      <c r="W60">
        <f>HYPERLINK("https://klasma.github.io/Logging_2184/klagomålsmail/A 42911-2025 FSC-klagomål mail.docx", "A 42911-2025")</f>
        <v/>
      </c>
      <c r="X60">
        <f>HYPERLINK("https://klasma.github.io/Logging_2184/tillsyn/A 42911-2025 tillsynsbegäran.docx", "A 42911-2025")</f>
        <v/>
      </c>
      <c r="Y60">
        <f>HYPERLINK("https://klasma.github.io/Logging_2184/tillsynsmail/A 42911-2025 tillsynsbegäran mail.docx", "A 42911-2025")</f>
        <v/>
      </c>
    </row>
    <row r="61" ht="15" customHeight="1">
      <c r="A61" t="inlineStr">
        <is>
          <t>A 10492-2026</t>
        </is>
      </c>
      <c r="B61" s="1" t="n">
        <v>46077.52763888889</v>
      </c>
      <c r="C61" s="1" t="n">
        <v>46086</v>
      </c>
      <c r="D61" t="inlineStr">
        <is>
          <t>GÄVLEBORGS LÄN</t>
        </is>
      </c>
      <c r="E61" t="inlineStr">
        <is>
          <t>OCKELBO</t>
        </is>
      </c>
      <c r="G61" t="n">
        <v>10.2</v>
      </c>
      <c r="H61" t="n">
        <v>1</v>
      </c>
      <c r="I61" t="n">
        <v>3</v>
      </c>
      <c r="J61" t="n">
        <v>4</v>
      </c>
      <c r="K61" t="n">
        <v>1</v>
      </c>
      <c r="L61" t="n">
        <v>0</v>
      </c>
      <c r="M61" t="n">
        <v>0</v>
      </c>
      <c r="N61" t="n">
        <v>0</v>
      </c>
      <c r="O61" t="n">
        <v>5</v>
      </c>
      <c r="P61" t="n">
        <v>1</v>
      </c>
      <c r="Q61" t="n">
        <v>8</v>
      </c>
      <c r="R61" s="2" t="inlineStr">
        <is>
          <t>Knärot
Garnlav
Rosenticka
Tallticka
Ullticka
Dropptaggsvamp
Kornig nållav
Vedticka</t>
        </is>
      </c>
      <c r="S61">
        <f>HYPERLINK("https://klasma.github.io/Logging_2101/artfynd/A 10492-2026 artfynd.xlsx", "A 10492-2026")</f>
        <v/>
      </c>
      <c r="T61">
        <f>HYPERLINK("https://klasma.github.io/Logging_2101/kartor/A 10492-2026 karta.png", "A 10492-2026")</f>
        <v/>
      </c>
      <c r="U61">
        <f>HYPERLINK("https://klasma.github.io/Logging_2101/knärot/A 10492-2026 karta knärot.png", "A 10492-2026")</f>
        <v/>
      </c>
      <c r="V61">
        <f>HYPERLINK("https://klasma.github.io/Logging_2101/klagomål/A 10492-2026 FSC-klagomål.docx", "A 10492-2026")</f>
        <v/>
      </c>
      <c r="W61">
        <f>HYPERLINK("https://klasma.github.io/Logging_2101/klagomålsmail/A 10492-2026 FSC-klagomål mail.docx", "A 10492-2026")</f>
        <v/>
      </c>
      <c r="X61">
        <f>HYPERLINK("https://klasma.github.io/Logging_2101/tillsyn/A 10492-2026 tillsynsbegäran.docx", "A 10492-2026")</f>
        <v/>
      </c>
      <c r="Y61">
        <f>HYPERLINK("https://klasma.github.io/Logging_2101/tillsynsmail/A 10492-2026 tillsynsbegäran mail.docx", "A 10492-2026")</f>
        <v/>
      </c>
    </row>
    <row r="62" ht="15" customHeight="1">
      <c r="A62" t="inlineStr">
        <is>
          <t>A 29934-2024</t>
        </is>
      </c>
      <c r="B62" s="1" t="n">
        <v>45488.40883101852</v>
      </c>
      <c r="C62" s="1" t="n">
        <v>46086</v>
      </c>
      <c r="D62" t="inlineStr">
        <is>
          <t>GÄVLEBORGS LÄN</t>
        </is>
      </c>
      <c r="E62" t="inlineStr">
        <is>
          <t>LJUSDAL</t>
        </is>
      </c>
      <c r="F62" t="inlineStr">
        <is>
          <t>Bergvik skog väst AB</t>
        </is>
      </c>
      <c r="G62" t="n">
        <v>13.9</v>
      </c>
      <c r="H62" t="n">
        <v>0</v>
      </c>
      <c r="I62" t="n">
        <v>3</v>
      </c>
      <c r="J62" t="n">
        <v>5</v>
      </c>
      <c r="K62" t="n">
        <v>0</v>
      </c>
      <c r="L62" t="n">
        <v>0</v>
      </c>
      <c r="M62" t="n">
        <v>0</v>
      </c>
      <c r="N62" t="n">
        <v>0</v>
      </c>
      <c r="O62" t="n">
        <v>5</v>
      </c>
      <c r="P62" t="n">
        <v>0</v>
      </c>
      <c r="Q62" t="n">
        <v>8</v>
      </c>
      <c r="R62" s="2" t="inlineStr">
        <is>
          <t>Dvärgbägarlav
Garnlav
Kolflarnlav
Mörk kolflarnlav
Vedskivlav
Dropptaggsvamp
Mindre märgborre
Skinnlav</t>
        </is>
      </c>
      <c r="S62">
        <f>HYPERLINK("https://klasma.github.io/Logging_2161/artfynd/A 29934-2024 artfynd.xlsx", "A 29934-2024")</f>
        <v/>
      </c>
      <c r="T62">
        <f>HYPERLINK("https://klasma.github.io/Logging_2161/kartor/A 29934-2024 karta.png", "A 29934-2024")</f>
        <v/>
      </c>
      <c r="V62">
        <f>HYPERLINK("https://klasma.github.io/Logging_2161/klagomål/A 29934-2024 FSC-klagomål.docx", "A 29934-2024")</f>
        <v/>
      </c>
      <c r="W62">
        <f>HYPERLINK("https://klasma.github.io/Logging_2161/klagomålsmail/A 29934-2024 FSC-klagomål mail.docx", "A 29934-2024")</f>
        <v/>
      </c>
      <c r="X62">
        <f>HYPERLINK("https://klasma.github.io/Logging_2161/tillsyn/A 29934-2024 tillsynsbegäran.docx", "A 29934-2024")</f>
        <v/>
      </c>
      <c r="Y62">
        <f>HYPERLINK("https://klasma.github.io/Logging_2161/tillsynsmail/A 29934-2024 tillsynsbegäran mail.docx", "A 29934-2024")</f>
        <v/>
      </c>
    </row>
    <row r="63" ht="15" customHeight="1">
      <c r="A63" t="inlineStr">
        <is>
          <t>A 42763-2021</t>
        </is>
      </c>
      <c r="B63" s="1" t="n">
        <v>44428.64527777778</v>
      </c>
      <c r="C63" s="1" t="n">
        <v>46086</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46086</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31224-2022</t>
        </is>
      </c>
      <c r="B65" s="1" t="n">
        <v>44771</v>
      </c>
      <c r="C65" s="1" t="n">
        <v>46086</v>
      </c>
      <c r="D65" t="inlineStr">
        <is>
          <t>GÄVLEBORGS LÄN</t>
        </is>
      </c>
      <c r="E65" t="inlineStr">
        <is>
          <t>NORDANSTIG</t>
        </is>
      </c>
      <c r="G65" t="n">
        <v>1.2</v>
      </c>
      <c r="H65" t="n">
        <v>1</v>
      </c>
      <c r="I65" t="n">
        <v>1</v>
      </c>
      <c r="J65" t="n">
        <v>3</v>
      </c>
      <c r="K65" t="n">
        <v>3</v>
      </c>
      <c r="L65" t="n">
        <v>0</v>
      </c>
      <c r="M65" t="n">
        <v>0</v>
      </c>
      <c r="N65" t="n">
        <v>0</v>
      </c>
      <c r="O65" t="n">
        <v>6</v>
      </c>
      <c r="P65" t="n">
        <v>3</v>
      </c>
      <c r="Q65" t="n">
        <v>7</v>
      </c>
      <c r="R65" s="2" t="inlineStr">
        <is>
          <t>Bitter taggsvamp
Knärot
Lammticka
Orange taggsvamp
Svart taggsvamp agg.
Talltaggsvamp
Tallfingersvamp</t>
        </is>
      </c>
      <c r="S65">
        <f>HYPERLINK("https://klasma.github.io/Logging_2132/artfynd/A 31224-2022 artfynd.xlsx", "A 31224-2022")</f>
        <v/>
      </c>
      <c r="T65">
        <f>HYPERLINK("https://klasma.github.io/Logging_2132/kartor/A 31224-2022 karta.png", "A 31224-2022")</f>
        <v/>
      </c>
      <c r="U65">
        <f>HYPERLINK("https://klasma.github.io/Logging_2132/knärot/A 31224-2022 karta knärot.png", "A 31224-2022")</f>
        <v/>
      </c>
      <c r="V65">
        <f>HYPERLINK("https://klasma.github.io/Logging_2132/klagomål/A 31224-2022 FSC-klagomål.docx", "A 31224-2022")</f>
        <v/>
      </c>
      <c r="W65">
        <f>HYPERLINK("https://klasma.github.io/Logging_2132/klagomålsmail/A 31224-2022 FSC-klagomål mail.docx", "A 31224-2022")</f>
        <v/>
      </c>
      <c r="X65">
        <f>HYPERLINK("https://klasma.github.io/Logging_2132/tillsyn/A 31224-2022 tillsynsbegäran.docx", "A 31224-2022")</f>
        <v/>
      </c>
      <c r="Y65">
        <f>HYPERLINK("https://klasma.github.io/Logging_2132/tillsynsmail/A 31224-2022 tillsynsbegäran mail.docx", "A 31224-2022")</f>
        <v/>
      </c>
    </row>
    <row r="66" ht="15" customHeight="1">
      <c r="A66" t="inlineStr">
        <is>
          <t>A 42890-2025</t>
        </is>
      </c>
      <c r="B66" s="1" t="n">
        <v>45908.65571759259</v>
      </c>
      <c r="C66" s="1" t="n">
        <v>46086</v>
      </c>
      <c r="D66" t="inlineStr">
        <is>
          <t>GÄVLEBORGS LÄN</t>
        </is>
      </c>
      <c r="E66" t="inlineStr">
        <is>
          <t>NORDANSTIG</t>
        </is>
      </c>
      <c r="G66" t="n">
        <v>2.1</v>
      </c>
      <c r="H66" t="n">
        <v>7</v>
      </c>
      <c r="I66" t="n">
        <v>2</v>
      </c>
      <c r="J66" t="n">
        <v>0</v>
      </c>
      <c r="K66" t="n">
        <v>0</v>
      </c>
      <c r="L66" t="n">
        <v>0</v>
      </c>
      <c r="M66" t="n">
        <v>0</v>
      </c>
      <c r="N66" t="n">
        <v>0</v>
      </c>
      <c r="O66" t="n">
        <v>0</v>
      </c>
      <c r="P66" t="n">
        <v>0</v>
      </c>
      <c r="Q66" t="n">
        <v>7</v>
      </c>
      <c r="R66" s="2" t="inlineStr">
        <is>
          <t>Skogsknipprot
Spindelblomster
Fläcknycklar
Nattviol
Blåsippa
Mattlummer
Revlummer</t>
        </is>
      </c>
      <c r="S66">
        <f>HYPERLINK("https://klasma.github.io/Logging_2132/artfynd/A 42890-2025 artfynd.xlsx", "A 42890-2025")</f>
        <v/>
      </c>
      <c r="T66">
        <f>HYPERLINK("https://klasma.github.io/Logging_2132/kartor/A 42890-2025 karta.png", "A 42890-2025")</f>
        <v/>
      </c>
      <c r="V66">
        <f>HYPERLINK("https://klasma.github.io/Logging_2132/klagomål/A 42890-2025 FSC-klagomål.docx", "A 42890-2025")</f>
        <v/>
      </c>
      <c r="W66">
        <f>HYPERLINK("https://klasma.github.io/Logging_2132/klagomålsmail/A 42890-2025 FSC-klagomål mail.docx", "A 42890-2025")</f>
        <v/>
      </c>
      <c r="X66">
        <f>HYPERLINK("https://klasma.github.io/Logging_2132/tillsyn/A 42890-2025 tillsynsbegäran.docx", "A 42890-2025")</f>
        <v/>
      </c>
      <c r="Y66">
        <f>HYPERLINK("https://klasma.github.io/Logging_2132/tillsynsmail/A 42890-2025 tillsynsbegäran mail.docx", "A 42890-2025")</f>
        <v/>
      </c>
    </row>
    <row r="67" ht="15" customHeight="1">
      <c r="A67" t="inlineStr">
        <is>
          <t>A 10036-2026</t>
        </is>
      </c>
      <c r="B67" s="1" t="n">
        <v>46073.59479166667</v>
      </c>
      <c r="C67" s="1" t="n">
        <v>46086</v>
      </c>
      <c r="D67" t="inlineStr">
        <is>
          <t>GÄVLEBORGS LÄN</t>
        </is>
      </c>
      <c r="E67" t="inlineStr">
        <is>
          <t>BOLLNÄS</t>
        </is>
      </c>
      <c r="G67" t="n">
        <v>3.5</v>
      </c>
      <c r="H67" t="n">
        <v>6</v>
      </c>
      <c r="I67" t="n">
        <v>4</v>
      </c>
      <c r="J67" t="n">
        <v>0</v>
      </c>
      <c r="K67" t="n">
        <v>0</v>
      </c>
      <c r="L67" t="n">
        <v>0</v>
      </c>
      <c r="M67" t="n">
        <v>0</v>
      </c>
      <c r="N67" t="n">
        <v>0</v>
      </c>
      <c r="O67" t="n">
        <v>0</v>
      </c>
      <c r="P67" t="n">
        <v>0</v>
      </c>
      <c r="Q67" t="n">
        <v>7</v>
      </c>
      <c r="R67" s="2" t="inlineStr">
        <is>
          <t>Gräsull
Korallrot
Spindelblomster
Tvåblad
Fläcknycklar
Myggblomster
Revlummer</t>
        </is>
      </c>
      <c r="S67">
        <f>HYPERLINK("https://klasma.github.io/Logging_2183/artfynd/A 10036-2026 artfynd.xlsx", "A 10036-2026")</f>
        <v/>
      </c>
      <c r="T67">
        <f>HYPERLINK("https://klasma.github.io/Logging_2183/kartor/A 10036-2026 karta.png", "A 10036-2026")</f>
        <v/>
      </c>
      <c r="V67">
        <f>HYPERLINK("https://klasma.github.io/Logging_2183/klagomål/A 10036-2026 FSC-klagomål.docx", "A 10036-2026")</f>
        <v/>
      </c>
      <c r="W67">
        <f>HYPERLINK("https://klasma.github.io/Logging_2183/klagomålsmail/A 10036-2026 FSC-klagomål mail.docx", "A 10036-2026")</f>
        <v/>
      </c>
      <c r="X67">
        <f>HYPERLINK("https://klasma.github.io/Logging_2183/tillsyn/A 10036-2026 tillsynsbegäran.docx", "A 10036-2026")</f>
        <v/>
      </c>
      <c r="Y67">
        <f>HYPERLINK("https://klasma.github.io/Logging_2183/tillsynsmail/A 10036-2026 tillsynsbegäran mail.docx", "A 10036-2026")</f>
        <v/>
      </c>
    </row>
    <row r="68" ht="15" customHeight="1">
      <c r="A68" t="inlineStr">
        <is>
          <t>A 48335-2025</t>
        </is>
      </c>
      <c r="B68" s="1" t="n">
        <v>45933.6359837963</v>
      </c>
      <c r="C68" s="1" t="n">
        <v>46086</v>
      </c>
      <c r="D68" t="inlineStr">
        <is>
          <t>GÄVLEBORGS LÄN</t>
        </is>
      </c>
      <c r="E68" t="inlineStr">
        <is>
          <t>LJUSDAL</t>
        </is>
      </c>
      <c r="F68" t="inlineStr">
        <is>
          <t>Sveaskog</t>
        </is>
      </c>
      <c r="G68" t="n">
        <v>16.6</v>
      </c>
      <c r="H68" t="n">
        <v>4</v>
      </c>
      <c r="I68" t="n">
        <v>2</v>
      </c>
      <c r="J68" t="n">
        <v>2</v>
      </c>
      <c r="K68" t="n">
        <v>1</v>
      </c>
      <c r="L68" t="n">
        <v>0</v>
      </c>
      <c r="M68" t="n">
        <v>0</v>
      </c>
      <c r="N68" t="n">
        <v>0</v>
      </c>
      <c r="O68" t="n">
        <v>3</v>
      </c>
      <c r="P68" t="n">
        <v>1</v>
      </c>
      <c r="Q68" t="n">
        <v>7</v>
      </c>
      <c r="R68" s="2" t="inlineStr">
        <is>
          <t>Knärot
Garnlav
Talltita
Bårdlav
Luddlav
Lavskrika
Tjäder</t>
        </is>
      </c>
      <c r="S68">
        <f>HYPERLINK("https://klasma.github.io/Logging_2161/artfynd/A 48335-2025 artfynd.xlsx", "A 48335-2025")</f>
        <v/>
      </c>
      <c r="T68">
        <f>HYPERLINK("https://klasma.github.io/Logging_2161/kartor/A 48335-2025 karta.png", "A 48335-2025")</f>
        <v/>
      </c>
      <c r="U68">
        <f>HYPERLINK("https://klasma.github.io/Logging_2161/knärot/A 48335-2025 karta knärot.png", "A 48335-2025")</f>
        <v/>
      </c>
      <c r="V68">
        <f>HYPERLINK("https://klasma.github.io/Logging_2161/klagomål/A 48335-2025 FSC-klagomål.docx", "A 48335-2025")</f>
        <v/>
      </c>
      <c r="W68">
        <f>HYPERLINK("https://klasma.github.io/Logging_2161/klagomålsmail/A 48335-2025 FSC-klagomål mail.docx", "A 48335-2025")</f>
        <v/>
      </c>
      <c r="X68">
        <f>HYPERLINK("https://klasma.github.io/Logging_2161/tillsyn/A 48335-2025 tillsynsbegäran.docx", "A 48335-2025")</f>
        <v/>
      </c>
      <c r="Y68">
        <f>HYPERLINK("https://klasma.github.io/Logging_2161/tillsynsmail/A 48335-2025 tillsynsbegäran mail.docx", "A 48335-2025")</f>
        <v/>
      </c>
      <c r="Z68">
        <f>HYPERLINK("https://klasma.github.io/Logging_2161/fåglar/A 48335-2025 prioriterade fågelarter.docx", "A 48335-2025")</f>
        <v/>
      </c>
    </row>
    <row r="69" ht="15" customHeight="1">
      <c r="A69" t="inlineStr">
        <is>
          <t>A 29228-2025</t>
        </is>
      </c>
      <c r="B69" s="1" t="n">
        <v>45824</v>
      </c>
      <c r="C69" s="1" t="n">
        <v>46086</v>
      </c>
      <c r="D69" t="inlineStr">
        <is>
          <t>GÄVLEBORGS LÄN</t>
        </is>
      </c>
      <c r="E69" t="inlineStr">
        <is>
          <t>LJUSDAL</t>
        </is>
      </c>
      <c r="F69" t="inlineStr">
        <is>
          <t>Allmännings- och besparingsskogar</t>
        </is>
      </c>
      <c r="G69" t="n">
        <v>9.5</v>
      </c>
      <c r="H69" t="n">
        <v>4</v>
      </c>
      <c r="I69" t="n">
        <v>2</v>
      </c>
      <c r="J69" t="n">
        <v>3</v>
      </c>
      <c r="K69" t="n">
        <v>1</v>
      </c>
      <c r="L69" t="n">
        <v>0</v>
      </c>
      <c r="M69" t="n">
        <v>0</v>
      </c>
      <c r="N69" t="n">
        <v>0</v>
      </c>
      <c r="O69" t="n">
        <v>4</v>
      </c>
      <c r="P69" t="n">
        <v>1</v>
      </c>
      <c r="Q69" t="n">
        <v>7</v>
      </c>
      <c r="R69" s="2" t="inlineStr">
        <is>
          <t>Knärot
Lunglav
Skrovellav
Tallticka
Plattlummer
Spindelblomster
Fläcknycklar</t>
        </is>
      </c>
      <c r="S69">
        <f>HYPERLINK("https://klasma.github.io/Logging_2161/artfynd/A 29228-2025 artfynd.xlsx", "A 29228-2025")</f>
        <v/>
      </c>
      <c r="T69">
        <f>HYPERLINK("https://klasma.github.io/Logging_2161/kartor/A 29228-2025 karta.png", "A 29228-2025")</f>
        <v/>
      </c>
      <c r="U69">
        <f>HYPERLINK("https://klasma.github.io/Logging_2161/knärot/A 29228-2025 karta knärot.png", "A 29228-2025")</f>
        <v/>
      </c>
      <c r="V69">
        <f>HYPERLINK("https://klasma.github.io/Logging_2161/klagomål/A 29228-2025 FSC-klagomål.docx", "A 29228-2025")</f>
        <v/>
      </c>
      <c r="W69">
        <f>HYPERLINK("https://klasma.github.io/Logging_2161/klagomålsmail/A 29228-2025 FSC-klagomål mail.docx", "A 29228-2025")</f>
        <v/>
      </c>
      <c r="X69">
        <f>HYPERLINK("https://klasma.github.io/Logging_2161/tillsyn/A 29228-2025 tillsynsbegäran.docx", "A 29228-2025")</f>
        <v/>
      </c>
      <c r="Y69">
        <f>HYPERLINK("https://klasma.github.io/Logging_2161/tillsynsmail/A 29228-2025 tillsynsbegäran mail.docx", "A 29228-2025")</f>
        <v/>
      </c>
    </row>
    <row r="70" ht="15" customHeight="1">
      <c r="A70" t="inlineStr">
        <is>
          <t>A 53690-2025</t>
        </is>
      </c>
      <c r="B70" s="1" t="n">
        <v>45960.5815162037</v>
      </c>
      <c r="C70" s="1" t="n">
        <v>46086</v>
      </c>
      <c r="D70" t="inlineStr">
        <is>
          <t>GÄVLEBORGS LÄN</t>
        </is>
      </c>
      <c r="E70" t="inlineStr">
        <is>
          <t>LJUSDAL</t>
        </is>
      </c>
      <c r="F70" t="inlineStr">
        <is>
          <t>Allmännings- och besparingsskogar</t>
        </is>
      </c>
      <c r="G70" t="n">
        <v>4.3</v>
      </c>
      <c r="H70" t="n">
        <v>2</v>
      </c>
      <c r="I70" t="n">
        <v>0</v>
      </c>
      <c r="J70" t="n">
        <v>5</v>
      </c>
      <c r="K70" t="n">
        <v>0</v>
      </c>
      <c r="L70" t="n">
        <v>0</v>
      </c>
      <c r="M70" t="n">
        <v>0</v>
      </c>
      <c r="N70" t="n">
        <v>0</v>
      </c>
      <c r="O70" t="n">
        <v>5</v>
      </c>
      <c r="P70" t="n">
        <v>0</v>
      </c>
      <c r="Q70" t="n">
        <v>7</v>
      </c>
      <c r="R70" s="2" t="inlineStr">
        <is>
          <t>Garnlav
Kolflarnlav
Mörk kolflarnlav
Skrovellav
Vedskivlav
Tjäder
Fläcknycklar</t>
        </is>
      </c>
      <c r="S70">
        <f>HYPERLINK("https://klasma.github.io/Logging_2161/artfynd/A 53690-2025 artfynd.xlsx", "A 53690-2025")</f>
        <v/>
      </c>
      <c r="T70">
        <f>HYPERLINK("https://klasma.github.io/Logging_2161/kartor/A 53690-2025 karta.png", "A 53690-2025")</f>
        <v/>
      </c>
      <c r="V70">
        <f>HYPERLINK("https://klasma.github.io/Logging_2161/klagomål/A 53690-2025 FSC-klagomål.docx", "A 53690-2025")</f>
        <v/>
      </c>
      <c r="W70">
        <f>HYPERLINK("https://klasma.github.io/Logging_2161/klagomålsmail/A 53690-2025 FSC-klagomål mail.docx", "A 53690-2025")</f>
        <v/>
      </c>
      <c r="X70">
        <f>HYPERLINK("https://klasma.github.io/Logging_2161/tillsyn/A 53690-2025 tillsynsbegäran.docx", "A 53690-2025")</f>
        <v/>
      </c>
      <c r="Y70">
        <f>HYPERLINK("https://klasma.github.io/Logging_2161/tillsynsmail/A 53690-2025 tillsynsbegäran mail.docx", "A 53690-2025")</f>
        <v/>
      </c>
      <c r="Z70">
        <f>HYPERLINK("https://klasma.github.io/Logging_2161/fåglar/A 53690-2025 prioriterade fågelarter.docx", "A 53690-2025")</f>
        <v/>
      </c>
    </row>
    <row r="71" ht="15" customHeight="1">
      <c r="A71" t="inlineStr">
        <is>
          <t>A 53691-2025</t>
        </is>
      </c>
      <c r="B71" s="1" t="n">
        <v>45960.5834837963</v>
      </c>
      <c r="C71" s="1" t="n">
        <v>46086</v>
      </c>
      <c r="D71" t="inlineStr">
        <is>
          <t>GÄVLEBORGS LÄN</t>
        </is>
      </c>
      <c r="E71" t="inlineStr">
        <is>
          <t>LJUSDAL</t>
        </is>
      </c>
      <c r="F71" t="inlineStr">
        <is>
          <t>Allmännings- och besparingsskogar</t>
        </is>
      </c>
      <c r="G71" t="n">
        <v>3.9</v>
      </c>
      <c r="H71" t="n">
        <v>0</v>
      </c>
      <c r="I71" t="n">
        <v>1</v>
      </c>
      <c r="J71" t="n">
        <v>6</v>
      </c>
      <c r="K71" t="n">
        <v>0</v>
      </c>
      <c r="L71" t="n">
        <v>0</v>
      </c>
      <c r="M71" t="n">
        <v>0</v>
      </c>
      <c r="N71" t="n">
        <v>0</v>
      </c>
      <c r="O71" t="n">
        <v>6</v>
      </c>
      <c r="P71" t="n">
        <v>0</v>
      </c>
      <c r="Q71" t="n">
        <v>7</v>
      </c>
      <c r="R71" s="2" t="inlineStr">
        <is>
          <t>Garnlav
Kolflarnlav
Mörk kolflarnlav
Vedflamlav
Vedskivlav
Violettgrå tagellav
Nästlav</t>
        </is>
      </c>
      <c r="S71">
        <f>HYPERLINK("https://klasma.github.io/Logging_2161/artfynd/A 53691-2025 artfynd.xlsx", "A 53691-2025")</f>
        <v/>
      </c>
      <c r="T71">
        <f>HYPERLINK("https://klasma.github.io/Logging_2161/kartor/A 53691-2025 karta.png", "A 53691-2025")</f>
        <v/>
      </c>
      <c r="V71">
        <f>HYPERLINK("https://klasma.github.io/Logging_2161/klagomål/A 53691-2025 FSC-klagomål.docx", "A 53691-2025")</f>
        <v/>
      </c>
      <c r="W71">
        <f>HYPERLINK("https://klasma.github.io/Logging_2161/klagomålsmail/A 53691-2025 FSC-klagomål mail.docx", "A 53691-2025")</f>
        <v/>
      </c>
      <c r="X71">
        <f>HYPERLINK("https://klasma.github.io/Logging_2161/tillsyn/A 53691-2025 tillsynsbegäran.docx", "A 53691-2025")</f>
        <v/>
      </c>
      <c r="Y71">
        <f>HYPERLINK("https://klasma.github.io/Logging_2161/tillsynsmail/A 53691-2025 tillsynsbegäran mail.docx", "A 53691-2025")</f>
        <v/>
      </c>
    </row>
    <row r="72" ht="15" customHeight="1">
      <c r="A72" t="inlineStr">
        <is>
          <t>A 55957-2025</t>
        </is>
      </c>
      <c r="B72" s="1" t="n">
        <v>45973.47646990741</v>
      </c>
      <c r="C72" s="1" t="n">
        <v>46086</v>
      </c>
      <c r="D72" t="inlineStr">
        <is>
          <t>GÄVLEBORGS LÄN</t>
        </is>
      </c>
      <c r="E72" t="inlineStr">
        <is>
          <t>LJUSDAL</t>
        </is>
      </c>
      <c r="F72" t="inlineStr">
        <is>
          <t>Allmännings- och besparingsskogar</t>
        </is>
      </c>
      <c r="G72" t="n">
        <v>26.7</v>
      </c>
      <c r="H72" t="n">
        <v>0</v>
      </c>
      <c r="I72" t="n">
        <v>3</v>
      </c>
      <c r="J72" t="n">
        <v>4</v>
      </c>
      <c r="K72" t="n">
        <v>0</v>
      </c>
      <c r="L72" t="n">
        <v>0</v>
      </c>
      <c r="M72" t="n">
        <v>0</v>
      </c>
      <c r="N72" t="n">
        <v>0</v>
      </c>
      <c r="O72" t="n">
        <v>4</v>
      </c>
      <c r="P72" t="n">
        <v>0</v>
      </c>
      <c r="Q72" t="n">
        <v>7</v>
      </c>
      <c r="R72" s="2" t="inlineStr">
        <is>
          <t>Garnlav
Kolflarnlav
Mörk kolflarnlav
Vedskivlav
Dropptaggsvamp
Mindre märgborre
Rävticka</t>
        </is>
      </c>
      <c r="S72">
        <f>HYPERLINK("https://klasma.github.io/Logging_2161/artfynd/A 55957-2025 artfynd.xlsx", "A 55957-2025")</f>
        <v/>
      </c>
      <c r="T72">
        <f>HYPERLINK("https://klasma.github.io/Logging_2161/kartor/A 55957-2025 karta.png", "A 55957-2025")</f>
        <v/>
      </c>
      <c r="V72">
        <f>HYPERLINK("https://klasma.github.io/Logging_2161/klagomål/A 55957-2025 FSC-klagomål.docx", "A 55957-2025")</f>
        <v/>
      </c>
      <c r="W72">
        <f>HYPERLINK("https://klasma.github.io/Logging_2161/klagomålsmail/A 55957-2025 FSC-klagomål mail.docx", "A 55957-2025")</f>
        <v/>
      </c>
      <c r="X72">
        <f>HYPERLINK("https://klasma.github.io/Logging_2161/tillsyn/A 55957-2025 tillsynsbegäran.docx", "A 55957-2025")</f>
        <v/>
      </c>
      <c r="Y72">
        <f>HYPERLINK("https://klasma.github.io/Logging_2161/tillsynsmail/A 55957-2025 tillsynsbegäran mail.docx", "A 55957-2025")</f>
        <v/>
      </c>
    </row>
    <row r="73" ht="15" customHeight="1">
      <c r="A73" t="inlineStr">
        <is>
          <t>A 57296-2025</t>
        </is>
      </c>
      <c r="B73" s="1" t="n">
        <v>45979.79126157407</v>
      </c>
      <c r="C73" s="1" t="n">
        <v>46086</v>
      </c>
      <c r="D73" t="inlineStr">
        <is>
          <t>GÄVLEBORGS LÄN</t>
        </is>
      </c>
      <c r="E73" t="inlineStr">
        <is>
          <t>NORDANSTIG</t>
        </is>
      </c>
      <c r="G73" t="n">
        <v>5.4</v>
      </c>
      <c r="H73" t="n">
        <v>3</v>
      </c>
      <c r="I73" t="n">
        <v>0</v>
      </c>
      <c r="J73" t="n">
        <v>6</v>
      </c>
      <c r="K73" t="n">
        <v>0</v>
      </c>
      <c r="L73" t="n">
        <v>0</v>
      </c>
      <c r="M73" t="n">
        <v>0</v>
      </c>
      <c r="N73" t="n">
        <v>0</v>
      </c>
      <c r="O73" t="n">
        <v>6</v>
      </c>
      <c r="P73" t="n">
        <v>0</v>
      </c>
      <c r="Q73" t="n">
        <v>7</v>
      </c>
      <c r="R73" s="2" t="inlineStr">
        <is>
          <t>Garnlav
Granticka
Lunglav
Skogshare
Spillkråka
Tretåig hackspett
Tjäder</t>
        </is>
      </c>
      <c r="S73">
        <f>HYPERLINK("https://klasma.github.io/Logging_2132/artfynd/A 57296-2025 artfynd.xlsx", "A 57296-2025")</f>
        <v/>
      </c>
      <c r="T73">
        <f>HYPERLINK("https://klasma.github.io/Logging_2132/kartor/A 57296-2025 karta.png", "A 57296-2025")</f>
        <v/>
      </c>
      <c r="V73">
        <f>HYPERLINK("https://klasma.github.io/Logging_2132/klagomål/A 57296-2025 FSC-klagomål.docx", "A 57296-2025")</f>
        <v/>
      </c>
      <c r="W73">
        <f>HYPERLINK("https://klasma.github.io/Logging_2132/klagomålsmail/A 57296-2025 FSC-klagomål mail.docx", "A 57296-2025")</f>
        <v/>
      </c>
      <c r="X73">
        <f>HYPERLINK("https://klasma.github.io/Logging_2132/tillsyn/A 57296-2025 tillsynsbegäran.docx", "A 57296-2025")</f>
        <v/>
      </c>
      <c r="Y73">
        <f>HYPERLINK("https://klasma.github.io/Logging_2132/tillsynsmail/A 57296-2025 tillsynsbegäran mail.docx", "A 57296-2025")</f>
        <v/>
      </c>
      <c r="Z73">
        <f>HYPERLINK("https://klasma.github.io/Logging_2132/fåglar/A 57296-2025 prioriterade fågelarter.docx", "A 57296-2025")</f>
        <v/>
      </c>
    </row>
    <row r="74" ht="15" customHeight="1">
      <c r="A74" t="inlineStr">
        <is>
          <t>A 21134-2024</t>
        </is>
      </c>
      <c r="B74" s="1" t="n">
        <v>45440</v>
      </c>
      <c r="C74" s="1" t="n">
        <v>46086</v>
      </c>
      <c r="D74" t="inlineStr">
        <is>
          <t>GÄVLEBORGS LÄN</t>
        </is>
      </c>
      <c r="E74" t="inlineStr">
        <is>
          <t>LJUSDAL</t>
        </is>
      </c>
      <c r="G74" t="n">
        <v>3.2</v>
      </c>
      <c r="H74" t="n">
        <v>5</v>
      </c>
      <c r="I74" t="n">
        <v>0</v>
      </c>
      <c r="J74" t="n">
        <v>3</v>
      </c>
      <c r="K74" t="n">
        <v>2</v>
      </c>
      <c r="L74" t="n">
        <v>0</v>
      </c>
      <c r="M74" t="n">
        <v>0</v>
      </c>
      <c r="N74" t="n">
        <v>0</v>
      </c>
      <c r="O74" t="n">
        <v>5</v>
      </c>
      <c r="P74" t="n">
        <v>2</v>
      </c>
      <c r="Q74" t="n">
        <v>7</v>
      </c>
      <c r="R74" s="2" t="inlineStr">
        <is>
          <t>Knärot
Tofsvipa
Kolflarnlav
Talltita
Vedflamlav
Grönsiska
Kungsfågel</t>
        </is>
      </c>
      <c r="S74">
        <f>HYPERLINK("https://klasma.github.io/Logging_2161/artfynd/A 21134-2024 artfynd.xlsx", "A 21134-2024")</f>
        <v/>
      </c>
      <c r="T74">
        <f>HYPERLINK("https://klasma.github.io/Logging_2161/kartor/A 21134-2024 karta.png", "A 21134-2024")</f>
        <v/>
      </c>
      <c r="U74">
        <f>HYPERLINK("https://klasma.github.io/Logging_2161/knärot/A 21134-2024 karta knärot.png", "A 21134-2024")</f>
        <v/>
      </c>
      <c r="V74">
        <f>HYPERLINK("https://klasma.github.io/Logging_2161/klagomål/A 21134-2024 FSC-klagomål.docx", "A 21134-2024")</f>
        <v/>
      </c>
      <c r="W74">
        <f>HYPERLINK("https://klasma.github.io/Logging_2161/klagomålsmail/A 21134-2024 FSC-klagomål mail.docx", "A 21134-2024")</f>
        <v/>
      </c>
      <c r="X74">
        <f>HYPERLINK("https://klasma.github.io/Logging_2161/tillsyn/A 21134-2024 tillsynsbegäran.docx", "A 21134-2024")</f>
        <v/>
      </c>
      <c r="Y74">
        <f>HYPERLINK("https://klasma.github.io/Logging_2161/tillsynsmail/A 21134-2024 tillsynsbegäran mail.docx", "A 21134-2024")</f>
        <v/>
      </c>
      <c r="Z74">
        <f>HYPERLINK("https://klasma.github.io/Logging_2161/fåglar/A 21134-2024 prioriterade fågelarter.docx", "A 21134-2024")</f>
        <v/>
      </c>
    </row>
    <row r="75" ht="15" customHeight="1">
      <c r="A75" t="inlineStr">
        <is>
          <t>A 63702-2025</t>
        </is>
      </c>
      <c r="B75" s="1" t="n">
        <v>46014.59915509259</v>
      </c>
      <c r="C75" s="1" t="n">
        <v>46086</v>
      </c>
      <c r="D75" t="inlineStr">
        <is>
          <t>GÄVLEBORGS LÄN</t>
        </is>
      </c>
      <c r="E75" t="inlineStr">
        <is>
          <t>GÄVLE</t>
        </is>
      </c>
      <c r="F75" t="inlineStr">
        <is>
          <t>Bergvik skog öst AB</t>
        </is>
      </c>
      <c r="G75" t="n">
        <v>3.6</v>
      </c>
      <c r="H75" t="n">
        <v>1</v>
      </c>
      <c r="I75" t="n">
        <v>4</v>
      </c>
      <c r="J75" t="n">
        <v>2</v>
      </c>
      <c r="K75" t="n">
        <v>0</v>
      </c>
      <c r="L75" t="n">
        <v>0</v>
      </c>
      <c r="M75" t="n">
        <v>1</v>
      </c>
      <c r="N75" t="n">
        <v>0</v>
      </c>
      <c r="O75" t="n">
        <v>3</v>
      </c>
      <c r="P75" t="n">
        <v>1</v>
      </c>
      <c r="Q75" t="n">
        <v>7</v>
      </c>
      <c r="R75" s="2" t="inlineStr">
        <is>
          <t>Skogsalm
Skogsklocka
Slåtterfibbla
Kalktallört
Olivspindling
Skogsknipprot
Vårärt</t>
        </is>
      </c>
      <c r="S75">
        <f>HYPERLINK("https://klasma.github.io/Logging_2180/artfynd/A 63702-2025 artfynd.xlsx", "A 63702-2025")</f>
        <v/>
      </c>
      <c r="T75">
        <f>HYPERLINK("https://klasma.github.io/Logging_2180/kartor/A 63702-2025 karta.png", "A 63702-2025")</f>
        <v/>
      </c>
      <c r="U75">
        <f>HYPERLINK("https://klasma.github.io/Logging_2180/knärot/A 63702-2025 karta knärot.png", "A 63702-2025")</f>
        <v/>
      </c>
      <c r="V75">
        <f>HYPERLINK("https://klasma.github.io/Logging_2180/klagomål/A 63702-2025 FSC-klagomål.docx", "A 63702-2025")</f>
        <v/>
      </c>
      <c r="W75">
        <f>HYPERLINK("https://klasma.github.io/Logging_2180/klagomålsmail/A 63702-2025 FSC-klagomål mail.docx", "A 63702-2025")</f>
        <v/>
      </c>
      <c r="X75">
        <f>HYPERLINK("https://klasma.github.io/Logging_2180/tillsyn/A 63702-2025 tillsynsbegäran.docx", "A 63702-2025")</f>
        <v/>
      </c>
      <c r="Y75">
        <f>HYPERLINK("https://klasma.github.io/Logging_2180/tillsynsmail/A 63702-2025 tillsynsbegäran mail.docx", "A 63702-2025")</f>
        <v/>
      </c>
    </row>
    <row r="76" ht="15" customHeight="1">
      <c r="A76" t="inlineStr">
        <is>
          <t>A 51222-2023</t>
        </is>
      </c>
      <c r="B76" s="1" t="n">
        <v>45219.45547453704</v>
      </c>
      <c r="C76" s="1" t="n">
        <v>46086</v>
      </c>
      <c r="D76" t="inlineStr">
        <is>
          <t>GÄVLEBORGS LÄN</t>
        </is>
      </c>
      <c r="E76" t="inlineStr">
        <is>
          <t>LJUSDAL</t>
        </is>
      </c>
      <c r="F76" t="inlineStr">
        <is>
          <t>Sveaskog</t>
        </is>
      </c>
      <c r="G76" t="n">
        <v>6.5</v>
      </c>
      <c r="H76" t="n">
        <v>4</v>
      </c>
      <c r="I76" t="n">
        <v>1</v>
      </c>
      <c r="J76" t="n">
        <v>4</v>
      </c>
      <c r="K76" t="n">
        <v>1</v>
      </c>
      <c r="L76" t="n">
        <v>0</v>
      </c>
      <c r="M76" t="n">
        <v>0</v>
      </c>
      <c r="N76" t="n">
        <v>0</v>
      </c>
      <c r="O76" t="n">
        <v>5</v>
      </c>
      <c r="P76" t="n">
        <v>1</v>
      </c>
      <c r="Q76" t="n">
        <v>7</v>
      </c>
      <c r="R76" s="2" t="inlineStr">
        <is>
          <t>Knärot
Garnlav
Lunglav
Tretåig hackspett
Violettgrå tagellav
Plattlummer
Lavskrika</t>
        </is>
      </c>
      <c r="S76">
        <f>HYPERLINK("https://klasma.github.io/Logging_2161/artfynd/A 51222-2023 artfynd.xlsx", "A 51222-2023")</f>
        <v/>
      </c>
      <c r="T76">
        <f>HYPERLINK("https://klasma.github.io/Logging_2161/kartor/A 51222-2023 karta.png", "A 51222-2023")</f>
        <v/>
      </c>
      <c r="U76">
        <f>HYPERLINK("https://klasma.github.io/Logging_2161/knärot/A 51222-2023 karta knärot.png", "A 51222-2023")</f>
        <v/>
      </c>
      <c r="V76">
        <f>HYPERLINK("https://klasma.github.io/Logging_2161/klagomål/A 51222-2023 FSC-klagomål.docx", "A 51222-2023")</f>
        <v/>
      </c>
      <c r="W76">
        <f>HYPERLINK("https://klasma.github.io/Logging_2161/klagomålsmail/A 51222-2023 FSC-klagomål mail.docx", "A 51222-2023")</f>
        <v/>
      </c>
      <c r="X76">
        <f>HYPERLINK("https://klasma.github.io/Logging_2161/tillsyn/A 51222-2023 tillsynsbegäran.docx", "A 51222-2023")</f>
        <v/>
      </c>
      <c r="Y76">
        <f>HYPERLINK("https://klasma.github.io/Logging_2161/tillsynsmail/A 51222-2023 tillsynsbegäran mail.docx", "A 51222-2023")</f>
        <v/>
      </c>
      <c r="Z76">
        <f>HYPERLINK("https://klasma.github.io/Logging_2161/fåglar/A 51222-2023 prioriterade fågelarter.docx", "A 51222-2023")</f>
        <v/>
      </c>
    </row>
    <row r="77" ht="15" customHeight="1">
      <c r="A77" t="inlineStr">
        <is>
          <t>A 29705-2021</t>
        </is>
      </c>
      <c r="B77" s="1" t="n">
        <v>44362</v>
      </c>
      <c r="C77" s="1" t="n">
        <v>46086</v>
      </c>
      <c r="D77" t="inlineStr">
        <is>
          <t>GÄVLEBORGS LÄN</t>
        </is>
      </c>
      <c r="E77" t="inlineStr">
        <is>
          <t>HUDIKSVALL</t>
        </is>
      </c>
      <c r="F77" t="inlineStr">
        <is>
          <t>Holmen skog AB</t>
        </is>
      </c>
      <c r="G77" t="n">
        <v>45</v>
      </c>
      <c r="H77" t="n">
        <v>5</v>
      </c>
      <c r="I77" t="n">
        <v>4</v>
      </c>
      <c r="J77" t="n">
        <v>1</v>
      </c>
      <c r="K77" t="n">
        <v>0</v>
      </c>
      <c r="L77" t="n">
        <v>0</v>
      </c>
      <c r="M77" t="n">
        <v>0</v>
      </c>
      <c r="N77" t="n">
        <v>0</v>
      </c>
      <c r="O77" t="n">
        <v>1</v>
      </c>
      <c r="P77" t="n">
        <v>0</v>
      </c>
      <c r="Q77" t="n">
        <v>7</v>
      </c>
      <c r="R77" s="2" t="inlineStr">
        <is>
          <t>Storgröe
Korallrot
Spindelblomster
Tvåblad
Ögonpyrola
Fläcknycklar
Revlummer</t>
        </is>
      </c>
      <c r="S77">
        <f>HYPERLINK("https://klasma.github.io/Logging_2184/artfynd/A 29705-2021 artfynd.xlsx", "A 29705-2021")</f>
        <v/>
      </c>
      <c r="T77">
        <f>HYPERLINK("https://klasma.github.io/Logging_2184/kartor/A 29705-2021 karta.png", "A 29705-2021")</f>
        <v/>
      </c>
      <c r="U77">
        <f>HYPERLINK("https://klasma.github.io/Logging_2184/knärot/A 29705-2021 karta knärot.png", "A 29705-2021")</f>
        <v/>
      </c>
      <c r="V77">
        <f>HYPERLINK("https://klasma.github.io/Logging_2184/klagomål/A 29705-2021 FSC-klagomål.docx", "A 29705-2021")</f>
        <v/>
      </c>
      <c r="W77">
        <f>HYPERLINK("https://klasma.github.io/Logging_2184/klagomålsmail/A 29705-2021 FSC-klagomål mail.docx", "A 29705-2021")</f>
        <v/>
      </c>
      <c r="X77">
        <f>HYPERLINK("https://klasma.github.io/Logging_2184/tillsyn/A 29705-2021 tillsynsbegäran.docx", "A 29705-2021")</f>
        <v/>
      </c>
      <c r="Y77">
        <f>HYPERLINK("https://klasma.github.io/Logging_2184/tillsynsmail/A 29705-2021 tillsynsbegäran mail.docx", "A 29705-2021")</f>
        <v/>
      </c>
    </row>
    <row r="78" ht="15" customHeight="1">
      <c r="A78" t="inlineStr">
        <is>
          <t>A 24085-2024</t>
        </is>
      </c>
      <c r="B78" s="1" t="n">
        <v>45456.57688657408</v>
      </c>
      <c r="C78" s="1" t="n">
        <v>46086</v>
      </c>
      <c r="D78" t="inlineStr">
        <is>
          <t>GÄVLEBORGS LÄN</t>
        </is>
      </c>
      <c r="E78" t="inlineStr">
        <is>
          <t>OVANÅKER</t>
        </is>
      </c>
      <c r="G78" t="n">
        <v>6.6</v>
      </c>
      <c r="H78" t="n">
        <v>6</v>
      </c>
      <c r="I78" t="n">
        <v>4</v>
      </c>
      <c r="J78" t="n">
        <v>0</v>
      </c>
      <c r="K78" t="n">
        <v>0</v>
      </c>
      <c r="L78" t="n">
        <v>0</v>
      </c>
      <c r="M78" t="n">
        <v>0</v>
      </c>
      <c r="N78" t="n">
        <v>0</v>
      </c>
      <c r="O78" t="n">
        <v>0</v>
      </c>
      <c r="P78" t="n">
        <v>0</v>
      </c>
      <c r="Q78" t="n">
        <v>7</v>
      </c>
      <c r="R78" s="2" t="inlineStr">
        <is>
          <t>Gräsull
Korallrot
Spindelblomster
Tvåblad
Fläcknycklar
Lopplummer (aggregat)
Revlummer</t>
        </is>
      </c>
      <c r="S78">
        <f>HYPERLINK("https://klasma.github.io/Logging_2121/artfynd/A 24085-2024 artfynd.xlsx", "A 24085-2024")</f>
        <v/>
      </c>
      <c r="T78">
        <f>HYPERLINK("https://klasma.github.io/Logging_2121/kartor/A 24085-2024 karta.png", "A 24085-2024")</f>
        <v/>
      </c>
      <c r="V78">
        <f>HYPERLINK("https://klasma.github.io/Logging_2121/klagomål/A 24085-2024 FSC-klagomål.docx", "A 24085-2024")</f>
        <v/>
      </c>
      <c r="W78">
        <f>HYPERLINK("https://klasma.github.io/Logging_2121/klagomålsmail/A 24085-2024 FSC-klagomål mail.docx", "A 24085-2024")</f>
        <v/>
      </c>
      <c r="X78">
        <f>HYPERLINK("https://klasma.github.io/Logging_2121/tillsyn/A 24085-2024 tillsynsbegäran.docx", "A 24085-2024")</f>
        <v/>
      </c>
      <c r="Y78">
        <f>HYPERLINK("https://klasma.github.io/Logging_2121/tillsynsmail/A 24085-2024 tillsynsbegäran mail.docx", "A 24085-2024")</f>
        <v/>
      </c>
    </row>
    <row r="79" ht="15" customHeight="1">
      <c r="A79" t="inlineStr">
        <is>
          <t>A 43108-2021</t>
        </is>
      </c>
      <c r="B79" s="1" t="n">
        <v>44431.61280092593</v>
      </c>
      <c r="C79" s="1" t="n">
        <v>46086</v>
      </c>
      <c r="D79" t="inlineStr">
        <is>
          <t>GÄVLEBORGS LÄN</t>
        </is>
      </c>
      <c r="E79" t="inlineStr">
        <is>
          <t>LJUSDAL</t>
        </is>
      </c>
      <c r="F79" t="inlineStr">
        <is>
          <t>Sveaskog</t>
        </is>
      </c>
      <c r="G79" t="n">
        <v>3.2</v>
      </c>
      <c r="H79" t="n">
        <v>1</v>
      </c>
      <c r="I79" t="n">
        <v>0</v>
      </c>
      <c r="J79" t="n">
        <v>4</v>
      </c>
      <c r="K79" t="n">
        <v>2</v>
      </c>
      <c r="L79" t="n">
        <v>0</v>
      </c>
      <c r="M79" t="n">
        <v>0</v>
      </c>
      <c r="N79" t="n">
        <v>0</v>
      </c>
      <c r="O79" t="n">
        <v>6</v>
      </c>
      <c r="P79" t="n">
        <v>2</v>
      </c>
      <c r="Q79" t="n">
        <v>6</v>
      </c>
      <c r="R79" s="2" t="inlineStr">
        <is>
          <t>Knärot
Rynkskinn
Gammelgransskål
Garnlav
Lunglav
Ullticka</t>
        </is>
      </c>
      <c r="S79">
        <f>HYPERLINK("https://klasma.github.io/Logging_2161/artfynd/A 43108-2021 artfynd.xlsx", "A 43108-2021")</f>
        <v/>
      </c>
      <c r="T79">
        <f>HYPERLINK("https://klasma.github.io/Logging_2161/kartor/A 43108-2021 karta.png", "A 43108-2021")</f>
        <v/>
      </c>
      <c r="U79">
        <f>HYPERLINK("https://klasma.github.io/Logging_2161/knärot/A 43108-2021 karta knärot.png", "A 43108-2021")</f>
        <v/>
      </c>
      <c r="V79">
        <f>HYPERLINK("https://klasma.github.io/Logging_2161/klagomål/A 43108-2021 FSC-klagomål.docx", "A 43108-2021")</f>
        <v/>
      </c>
      <c r="W79">
        <f>HYPERLINK("https://klasma.github.io/Logging_2161/klagomålsmail/A 43108-2021 FSC-klagomål mail.docx", "A 43108-2021")</f>
        <v/>
      </c>
      <c r="X79">
        <f>HYPERLINK("https://klasma.github.io/Logging_2161/tillsyn/A 43108-2021 tillsynsbegäran.docx", "A 43108-2021")</f>
        <v/>
      </c>
      <c r="Y79">
        <f>HYPERLINK("https://klasma.github.io/Logging_2161/tillsynsmail/A 43108-2021 tillsynsbegäran mail.docx", "A 43108-2021")</f>
        <v/>
      </c>
    </row>
    <row r="80" ht="15" customHeight="1">
      <c r="A80" t="inlineStr">
        <is>
          <t>A 39526-2021</t>
        </is>
      </c>
      <c r="B80" s="1" t="n">
        <v>44415</v>
      </c>
      <c r="C80" s="1" t="n">
        <v>46086</v>
      </c>
      <c r="D80" t="inlineStr">
        <is>
          <t>GÄVLEBORGS LÄN</t>
        </is>
      </c>
      <c r="E80" t="inlineStr">
        <is>
          <t>HUDIKSVALL</t>
        </is>
      </c>
      <c r="G80" t="n">
        <v>5.5</v>
      </c>
      <c r="H80" t="n">
        <v>4</v>
      </c>
      <c r="I80" t="n">
        <v>1</v>
      </c>
      <c r="J80" t="n">
        <v>1</v>
      </c>
      <c r="K80" t="n">
        <v>2</v>
      </c>
      <c r="L80" t="n">
        <v>0</v>
      </c>
      <c r="M80" t="n">
        <v>0</v>
      </c>
      <c r="N80" t="n">
        <v>0</v>
      </c>
      <c r="O80" t="n">
        <v>3</v>
      </c>
      <c r="P80" t="n">
        <v>2</v>
      </c>
      <c r="Q80" t="n">
        <v>6</v>
      </c>
      <c r="R80" s="2" t="inlineStr">
        <is>
          <t>Knärot
Läderlappslav
Garnlav
Spindelblomster
Nattviol
Revlummer</t>
        </is>
      </c>
      <c r="S80">
        <f>HYPERLINK("https://klasma.github.io/Logging_2184/artfynd/A 39526-2021 artfynd.xlsx", "A 39526-2021")</f>
        <v/>
      </c>
      <c r="T80">
        <f>HYPERLINK("https://klasma.github.io/Logging_2184/kartor/A 39526-2021 karta.png", "A 39526-2021")</f>
        <v/>
      </c>
      <c r="U80">
        <f>HYPERLINK("https://klasma.github.io/Logging_2184/knärot/A 39526-2021 karta knärot.png", "A 39526-2021")</f>
        <v/>
      </c>
      <c r="V80">
        <f>HYPERLINK("https://klasma.github.io/Logging_2184/klagomål/A 39526-2021 FSC-klagomål.docx", "A 39526-2021")</f>
        <v/>
      </c>
      <c r="W80">
        <f>HYPERLINK("https://klasma.github.io/Logging_2184/klagomålsmail/A 39526-2021 FSC-klagomål mail.docx", "A 39526-2021")</f>
        <v/>
      </c>
      <c r="X80">
        <f>HYPERLINK("https://klasma.github.io/Logging_2184/tillsyn/A 39526-2021 tillsynsbegäran.docx", "A 39526-2021")</f>
        <v/>
      </c>
      <c r="Y80">
        <f>HYPERLINK("https://klasma.github.io/Logging_2184/tillsynsmail/A 39526-2021 tillsynsbegäran mail.docx", "A 39526-2021")</f>
        <v/>
      </c>
    </row>
    <row r="81" ht="15" customHeight="1">
      <c r="A81" t="inlineStr">
        <is>
          <t>A 35985-2022</t>
        </is>
      </c>
      <c r="B81" s="1" t="n">
        <v>44802</v>
      </c>
      <c r="C81" s="1" t="n">
        <v>46086</v>
      </c>
      <c r="D81" t="inlineStr">
        <is>
          <t>GÄVLEBORGS LÄN</t>
        </is>
      </c>
      <c r="E81" t="inlineStr">
        <is>
          <t>HUDIKSVALL</t>
        </is>
      </c>
      <c r="F81" t="inlineStr">
        <is>
          <t>Holmen skog AB</t>
        </is>
      </c>
      <c r="G81" t="n">
        <v>9.1</v>
      </c>
      <c r="H81" t="n">
        <v>1</v>
      </c>
      <c r="I81" t="n">
        <v>4</v>
      </c>
      <c r="J81" t="n">
        <v>1</v>
      </c>
      <c r="K81" t="n">
        <v>0</v>
      </c>
      <c r="L81" t="n">
        <v>0</v>
      </c>
      <c r="M81" t="n">
        <v>0</v>
      </c>
      <c r="N81" t="n">
        <v>0</v>
      </c>
      <c r="O81" t="n">
        <v>1</v>
      </c>
      <c r="P81" t="n">
        <v>0</v>
      </c>
      <c r="Q81" t="n">
        <v>6</v>
      </c>
      <c r="R81" s="2" t="inlineStr">
        <is>
          <t>Myskmåra
Strutbräken
Svart trolldruva
Tibast
Underviol
Blåsippa</t>
        </is>
      </c>
      <c r="S81">
        <f>HYPERLINK("https://klasma.github.io/Logging_2184/artfynd/A 35985-2022 artfynd.xlsx", "A 35985-2022")</f>
        <v/>
      </c>
      <c r="T81">
        <f>HYPERLINK("https://klasma.github.io/Logging_2184/kartor/A 35985-2022 karta.png", "A 35985-2022")</f>
        <v/>
      </c>
      <c r="V81">
        <f>HYPERLINK("https://klasma.github.io/Logging_2184/klagomål/A 35985-2022 FSC-klagomål.docx", "A 35985-2022")</f>
        <v/>
      </c>
      <c r="W81">
        <f>HYPERLINK("https://klasma.github.io/Logging_2184/klagomålsmail/A 35985-2022 FSC-klagomål mail.docx", "A 35985-2022")</f>
        <v/>
      </c>
      <c r="X81">
        <f>HYPERLINK("https://klasma.github.io/Logging_2184/tillsyn/A 35985-2022 tillsynsbegäran.docx", "A 35985-2022")</f>
        <v/>
      </c>
      <c r="Y81">
        <f>HYPERLINK("https://klasma.github.io/Logging_2184/tillsynsmail/A 35985-2022 tillsynsbegäran mail.docx", "A 35985-2022")</f>
        <v/>
      </c>
    </row>
    <row r="82" ht="15" customHeight="1">
      <c r="A82" t="inlineStr">
        <is>
          <t>A 18274-2023</t>
        </is>
      </c>
      <c r="B82" s="1" t="n">
        <v>45041.52760416667</v>
      </c>
      <c r="C82" s="1" t="n">
        <v>46086</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28859-2025</t>
        </is>
      </c>
      <c r="B83" s="1" t="n">
        <v>45820</v>
      </c>
      <c r="C83" s="1" t="n">
        <v>46086</v>
      </c>
      <c r="D83" t="inlineStr">
        <is>
          <t>GÄVLEBORGS LÄN</t>
        </is>
      </c>
      <c r="E83" t="inlineStr">
        <is>
          <t>LJUSDAL</t>
        </is>
      </c>
      <c r="F83" t="inlineStr">
        <is>
          <t>Bergvik skog väst AB</t>
        </is>
      </c>
      <c r="G83" t="n">
        <v>10.2</v>
      </c>
      <c r="H83" t="n">
        <v>4</v>
      </c>
      <c r="I83" t="n">
        <v>0</v>
      </c>
      <c r="J83" t="n">
        <v>4</v>
      </c>
      <c r="K83" t="n">
        <v>0</v>
      </c>
      <c r="L83" t="n">
        <v>0</v>
      </c>
      <c r="M83" t="n">
        <v>0</v>
      </c>
      <c r="N83" t="n">
        <v>0</v>
      </c>
      <c r="O83" t="n">
        <v>4</v>
      </c>
      <c r="P83" t="n">
        <v>0</v>
      </c>
      <c r="Q83" t="n">
        <v>6</v>
      </c>
      <c r="R83" s="2" t="inlineStr">
        <is>
          <t>Garnlav
Lunglav
Talltita
Tretåig hackspett
Kungsfågel
Tjäder</t>
        </is>
      </c>
      <c r="S83">
        <f>HYPERLINK("https://klasma.github.io/Logging_2161/artfynd/A 28859-2025 artfynd.xlsx", "A 28859-2025")</f>
        <v/>
      </c>
      <c r="T83">
        <f>HYPERLINK("https://klasma.github.io/Logging_2161/kartor/A 28859-2025 karta.png", "A 28859-2025")</f>
        <v/>
      </c>
      <c r="V83">
        <f>HYPERLINK("https://klasma.github.io/Logging_2161/klagomål/A 28859-2025 FSC-klagomål.docx", "A 28859-2025")</f>
        <v/>
      </c>
      <c r="W83">
        <f>HYPERLINK("https://klasma.github.io/Logging_2161/klagomålsmail/A 28859-2025 FSC-klagomål mail.docx", "A 28859-2025")</f>
        <v/>
      </c>
      <c r="X83">
        <f>HYPERLINK("https://klasma.github.io/Logging_2161/tillsyn/A 28859-2025 tillsynsbegäran.docx", "A 28859-2025")</f>
        <v/>
      </c>
      <c r="Y83">
        <f>HYPERLINK("https://klasma.github.io/Logging_2161/tillsynsmail/A 28859-2025 tillsynsbegäran mail.docx", "A 28859-2025")</f>
        <v/>
      </c>
      <c r="Z83">
        <f>HYPERLINK("https://klasma.github.io/Logging_2161/fåglar/A 28859-2025 prioriterade fågelarter.docx", "A 28859-2025")</f>
        <v/>
      </c>
    </row>
    <row r="84" ht="15" customHeight="1">
      <c r="A84" t="inlineStr">
        <is>
          <t>A 31182-2025</t>
        </is>
      </c>
      <c r="B84" s="1" t="n">
        <v>45832.67755787037</v>
      </c>
      <c r="C84" s="1" t="n">
        <v>46086</v>
      </c>
      <c r="D84" t="inlineStr">
        <is>
          <t>GÄVLEBORGS LÄN</t>
        </is>
      </c>
      <c r="E84" t="inlineStr">
        <is>
          <t>LJUSDAL</t>
        </is>
      </c>
      <c r="F84" t="inlineStr">
        <is>
          <t>SCA</t>
        </is>
      </c>
      <c r="G84" t="n">
        <v>3.4</v>
      </c>
      <c r="H84" t="n">
        <v>1</v>
      </c>
      <c r="I84" t="n">
        <v>1</v>
      </c>
      <c r="J84" t="n">
        <v>4</v>
      </c>
      <c r="K84" t="n">
        <v>1</v>
      </c>
      <c r="L84" t="n">
        <v>0</v>
      </c>
      <c r="M84" t="n">
        <v>0</v>
      </c>
      <c r="N84" t="n">
        <v>0</v>
      </c>
      <c r="O84" t="n">
        <v>5</v>
      </c>
      <c r="P84" t="n">
        <v>1</v>
      </c>
      <c r="Q84" t="n">
        <v>6</v>
      </c>
      <c r="R84" s="2" t="inlineStr">
        <is>
          <t>Knärot
Garnlav
Kolflarnlav
Mörk kolflarnlav
Violettgrå tagellav
Norrlandslav</t>
        </is>
      </c>
      <c r="S84">
        <f>HYPERLINK("https://klasma.github.io/Logging_2161/artfynd/A 31182-2025 artfynd.xlsx", "A 31182-2025")</f>
        <v/>
      </c>
      <c r="T84">
        <f>HYPERLINK("https://klasma.github.io/Logging_2161/kartor/A 31182-2025 karta.png", "A 31182-2025")</f>
        <v/>
      </c>
      <c r="U84">
        <f>HYPERLINK("https://klasma.github.io/Logging_2161/knärot/A 31182-2025 karta knärot.png", "A 31182-2025")</f>
        <v/>
      </c>
      <c r="V84">
        <f>HYPERLINK("https://klasma.github.io/Logging_2161/klagomål/A 31182-2025 FSC-klagomål.docx", "A 31182-2025")</f>
        <v/>
      </c>
      <c r="W84">
        <f>HYPERLINK("https://klasma.github.io/Logging_2161/klagomålsmail/A 31182-2025 FSC-klagomål mail.docx", "A 31182-2025")</f>
        <v/>
      </c>
      <c r="X84">
        <f>HYPERLINK("https://klasma.github.io/Logging_2161/tillsyn/A 31182-2025 tillsynsbegäran.docx", "A 31182-2025")</f>
        <v/>
      </c>
      <c r="Y84">
        <f>HYPERLINK("https://klasma.github.io/Logging_2161/tillsynsmail/A 31182-2025 tillsynsbegäran mail.docx", "A 31182-2025")</f>
        <v/>
      </c>
    </row>
    <row r="85" ht="15" customHeight="1">
      <c r="A85" t="inlineStr">
        <is>
          <t>A 19180-2024</t>
        </is>
      </c>
      <c r="B85" s="1" t="n">
        <v>45428</v>
      </c>
      <c r="C85" s="1" t="n">
        <v>46086</v>
      </c>
      <c r="D85" t="inlineStr">
        <is>
          <t>GÄVLEBORGS LÄN</t>
        </is>
      </c>
      <c r="E85" t="inlineStr">
        <is>
          <t>OVANÅKER</t>
        </is>
      </c>
      <c r="G85" t="n">
        <v>4.1</v>
      </c>
      <c r="H85" t="n">
        <v>1</v>
      </c>
      <c r="I85" t="n">
        <v>1</v>
      </c>
      <c r="J85" t="n">
        <v>4</v>
      </c>
      <c r="K85" t="n">
        <v>0</v>
      </c>
      <c r="L85" t="n">
        <v>0</v>
      </c>
      <c r="M85" t="n">
        <v>0</v>
      </c>
      <c r="N85" t="n">
        <v>0</v>
      </c>
      <c r="O85" t="n">
        <v>4</v>
      </c>
      <c r="P85" t="n">
        <v>0</v>
      </c>
      <c r="Q85" t="n">
        <v>6</v>
      </c>
      <c r="R85" s="2" t="inlineStr">
        <is>
          <t>Gammelgransskål
Kolflarnlav
Ullticka
Vedskivlav
Kattfotslav
Fläcknycklar</t>
        </is>
      </c>
      <c r="S85">
        <f>HYPERLINK("https://klasma.github.io/Logging_2121/artfynd/A 19180-2024 artfynd.xlsx", "A 19180-2024")</f>
        <v/>
      </c>
      <c r="T85">
        <f>HYPERLINK("https://klasma.github.io/Logging_2121/kartor/A 19180-2024 karta.png", "A 19180-2024")</f>
        <v/>
      </c>
      <c r="V85">
        <f>HYPERLINK("https://klasma.github.io/Logging_2121/klagomål/A 19180-2024 FSC-klagomål.docx", "A 19180-2024")</f>
        <v/>
      </c>
      <c r="W85">
        <f>HYPERLINK("https://klasma.github.io/Logging_2121/klagomålsmail/A 19180-2024 FSC-klagomål mail.docx", "A 19180-2024")</f>
        <v/>
      </c>
      <c r="X85">
        <f>HYPERLINK("https://klasma.github.io/Logging_2121/tillsyn/A 19180-2024 tillsynsbegäran.docx", "A 19180-2024")</f>
        <v/>
      </c>
      <c r="Y85">
        <f>HYPERLINK("https://klasma.github.io/Logging_2121/tillsynsmail/A 19180-2024 tillsynsbegäran mail.docx", "A 19180-2024")</f>
        <v/>
      </c>
    </row>
    <row r="86" ht="15" customHeight="1">
      <c r="A86" t="inlineStr">
        <is>
          <t>A 32574-2025</t>
        </is>
      </c>
      <c r="B86" s="1" t="n">
        <v>45838.58512731481</v>
      </c>
      <c r="C86" s="1" t="n">
        <v>46086</v>
      </c>
      <c r="D86" t="inlineStr">
        <is>
          <t>GÄVLEBORGS LÄN</t>
        </is>
      </c>
      <c r="E86" t="inlineStr">
        <is>
          <t>LJUSDAL</t>
        </is>
      </c>
      <c r="F86" t="inlineStr">
        <is>
          <t>Bergvik skog väst AB</t>
        </is>
      </c>
      <c r="G86" t="n">
        <v>8.6</v>
      </c>
      <c r="H86" t="n">
        <v>3</v>
      </c>
      <c r="I86" t="n">
        <v>0</v>
      </c>
      <c r="J86" t="n">
        <v>4</v>
      </c>
      <c r="K86" t="n">
        <v>0</v>
      </c>
      <c r="L86" t="n">
        <v>0</v>
      </c>
      <c r="M86" t="n">
        <v>0</v>
      </c>
      <c r="N86" t="n">
        <v>0</v>
      </c>
      <c r="O86" t="n">
        <v>4</v>
      </c>
      <c r="P86" t="n">
        <v>0</v>
      </c>
      <c r="Q86" t="n">
        <v>6</v>
      </c>
      <c r="R86" s="2" t="inlineStr">
        <is>
          <t>Garnlav
Kolflarnlav
Mörk kolflarnlav
Talltita
Grönsiska
Fläcknycklar</t>
        </is>
      </c>
      <c r="S86">
        <f>HYPERLINK("https://klasma.github.io/Logging_2161/artfynd/A 32574-2025 artfynd.xlsx", "A 32574-2025")</f>
        <v/>
      </c>
      <c r="T86">
        <f>HYPERLINK("https://klasma.github.io/Logging_2161/kartor/A 32574-2025 karta.png", "A 32574-2025")</f>
        <v/>
      </c>
      <c r="V86">
        <f>HYPERLINK("https://klasma.github.io/Logging_2161/klagomål/A 32574-2025 FSC-klagomål.docx", "A 32574-2025")</f>
        <v/>
      </c>
      <c r="W86">
        <f>HYPERLINK("https://klasma.github.io/Logging_2161/klagomålsmail/A 32574-2025 FSC-klagomål mail.docx", "A 32574-2025")</f>
        <v/>
      </c>
      <c r="X86">
        <f>HYPERLINK("https://klasma.github.io/Logging_2161/tillsyn/A 32574-2025 tillsynsbegäran.docx", "A 32574-2025")</f>
        <v/>
      </c>
      <c r="Y86">
        <f>HYPERLINK("https://klasma.github.io/Logging_2161/tillsynsmail/A 32574-2025 tillsynsbegäran mail.docx", "A 32574-2025")</f>
        <v/>
      </c>
      <c r="Z86">
        <f>HYPERLINK("https://klasma.github.io/Logging_2161/fåglar/A 32574-2025 prioriterade fågelarter.docx", "A 32574-2025")</f>
        <v/>
      </c>
    </row>
    <row r="87" ht="15" customHeight="1">
      <c r="A87" t="inlineStr">
        <is>
          <t>A 32579-2025</t>
        </is>
      </c>
      <c r="B87" s="1" t="n">
        <v>45838.59387731482</v>
      </c>
      <c r="C87" s="1" t="n">
        <v>46086</v>
      </c>
      <c r="D87" t="inlineStr">
        <is>
          <t>GÄVLEBORGS LÄN</t>
        </is>
      </c>
      <c r="E87" t="inlineStr">
        <is>
          <t>LJUSDAL</t>
        </is>
      </c>
      <c r="F87" t="inlineStr">
        <is>
          <t>Bergvik skog väst AB</t>
        </is>
      </c>
      <c r="G87" t="n">
        <v>10.5</v>
      </c>
      <c r="H87" t="n">
        <v>3</v>
      </c>
      <c r="I87" t="n">
        <v>3</v>
      </c>
      <c r="J87" t="n">
        <v>3</v>
      </c>
      <c r="K87" t="n">
        <v>0</v>
      </c>
      <c r="L87" t="n">
        <v>0</v>
      </c>
      <c r="M87" t="n">
        <v>0</v>
      </c>
      <c r="N87" t="n">
        <v>0</v>
      </c>
      <c r="O87" t="n">
        <v>3</v>
      </c>
      <c r="P87" t="n">
        <v>0</v>
      </c>
      <c r="Q87" t="n">
        <v>6</v>
      </c>
      <c r="R87" s="2" t="inlineStr">
        <is>
          <t>Lunglav
Skrovellav
Talltita
Plattlummer
Spindelblomster
Tibast</t>
        </is>
      </c>
      <c r="S87">
        <f>HYPERLINK("https://klasma.github.io/Logging_2161/artfynd/A 32579-2025 artfynd.xlsx", "A 32579-2025")</f>
        <v/>
      </c>
      <c r="T87">
        <f>HYPERLINK("https://klasma.github.io/Logging_2161/kartor/A 32579-2025 karta.png", "A 32579-2025")</f>
        <v/>
      </c>
      <c r="V87">
        <f>HYPERLINK("https://klasma.github.io/Logging_2161/klagomål/A 32579-2025 FSC-klagomål.docx", "A 32579-2025")</f>
        <v/>
      </c>
      <c r="W87">
        <f>HYPERLINK("https://klasma.github.io/Logging_2161/klagomålsmail/A 32579-2025 FSC-klagomål mail.docx", "A 32579-2025")</f>
        <v/>
      </c>
      <c r="X87">
        <f>HYPERLINK("https://klasma.github.io/Logging_2161/tillsyn/A 32579-2025 tillsynsbegäran.docx", "A 32579-2025")</f>
        <v/>
      </c>
      <c r="Y87">
        <f>HYPERLINK("https://klasma.github.io/Logging_2161/tillsynsmail/A 32579-2025 tillsynsbegäran mail.docx", "A 32579-2025")</f>
        <v/>
      </c>
      <c r="Z87">
        <f>HYPERLINK("https://klasma.github.io/Logging_2161/fåglar/A 32579-2025 prioriterade fågelarter.docx", "A 32579-2025")</f>
        <v/>
      </c>
    </row>
    <row r="88" ht="15" customHeight="1">
      <c r="A88" t="inlineStr">
        <is>
          <t>A 44198-2025</t>
        </is>
      </c>
      <c r="B88" s="1" t="n">
        <v>45915.62078703703</v>
      </c>
      <c r="C88" s="1" t="n">
        <v>46086</v>
      </c>
      <c r="D88" t="inlineStr">
        <is>
          <t>GÄVLEBORGS LÄN</t>
        </is>
      </c>
      <c r="E88" t="inlineStr">
        <is>
          <t>LJUSDAL</t>
        </is>
      </c>
      <c r="F88" t="inlineStr">
        <is>
          <t>Sveaskog</t>
        </is>
      </c>
      <c r="G88" t="n">
        <v>17.7</v>
      </c>
      <c r="H88" t="n">
        <v>4</v>
      </c>
      <c r="I88" t="n">
        <v>1</v>
      </c>
      <c r="J88" t="n">
        <v>3</v>
      </c>
      <c r="K88" t="n">
        <v>1</v>
      </c>
      <c r="L88" t="n">
        <v>0</v>
      </c>
      <c r="M88" t="n">
        <v>0</v>
      </c>
      <c r="N88" t="n">
        <v>0</v>
      </c>
      <c r="O88" t="n">
        <v>4</v>
      </c>
      <c r="P88" t="n">
        <v>1</v>
      </c>
      <c r="Q88" t="n">
        <v>6</v>
      </c>
      <c r="R88" s="2" t="inlineStr">
        <is>
          <t>Knärot
Kolflarnlav
Talltita
Violettgrå tagellav
Plattlummer
Revlummer</t>
        </is>
      </c>
      <c r="S88">
        <f>HYPERLINK("https://klasma.github.io/Logging_2161/artfynd/A 44198-2025 artfynd.xlsx", "A 44198-2025")</f>
        <v/>
      </c>
      <c r="T88">
        <f>HYPERLINK("https://klasma.github.io/Logging_2161/kartor/A 44198-2025 karta.png", "A 44198-2025")</f>
        <v/>
      </c>
      <c r="U88">
        <f>HYPERLINK("https://klasma.github.io/Logging_2161/knärot/A 44198-2025 karta knärot.png", "A 44198-2025")</f>
        <v/>
      </c>
      <c r="V88">
        <f>HYPERLINK("https://klasma.github.io/Logging_2161/klagomål/A 44198-2025 FSC-klagomål.docx", "A 44198-2025")</f>
        <v/>
      </c>
      <c r="W88">
        <f>HYPERLINK("https://klasma.github.io/Logging_2161/klagomålsmail/A 44198-2025 FSC-klagomål mail.docx", "A 44198-2025")</f>
        <v/>
      </c>
      <c r="X88">
        <f>HYPERLINK("https://klasma.github.io/Logging_2161/tillsyn/A 44198-2025 tillsynsbegäran.docx", "A 44198-2025")</f>
        <v/>
      </c>
      <c r="Y88">
        <f>HYPERLINK("https://klasma.github.io/Logging_2161/tillsynsmail/A 44198-2025 tillsynsbegäran mail.docx", "A 44198-2025")</f>
        <v/>
      </c>
      <c r="Z88">
        <f>HYPERLINK("https://klasma.github.io/Logging_2161/fåglar/A 44198-2025 prioriterade fågelarter.docx", "A 44198-2025")</f>
        <v/>
      </c>
    </row>
    <row r="89" ht="15" customHeight="1">
      <c r="A89" t="inlineStr">
        <is>
          <t>A 44202-2025</t>
        </is>
      </c>
      <c r="B89" s="1" t="n">
        <v>45915.62459490741</v>
      </c>
      <c r="C89" s="1" t="n">
        <v>46086</v>
      </c>
      <c r="D89" t="inlineStr">
        <is>
          <t>GÄVLEBORGS LÄN</t>
        </is>
      </c>
      <c r="E89" t="inlineStr">
        <is>
          <t>LJUSDAL</t>
        </is>
      </c>
      <c r="F89" t="inlineStr">
        <is>
          <t>Sveaskog</t>
        </is>
      </c>
      <c r="G89" t="n">
        <v>3.8</v>
      </c>
      <c r="H89" t="n">
        <v>3</v>
      </c>
      <c r="I89" t="n">
        <v>0</v>
      </c>
      <c r="J89" t="n">
        <v>3</v>
      </c>
      <c r="K89" t="n">
        <v>1</v>
      </c>
      <c r="L89" t="n">
        <v>0</v>
      </c>
      <c r="M89" t="n">
        <v>0</v>
      </c>
      <c r="N89" t="n">
        <v>0</v>
      </c>
      <c r="O89" t="n">
        <v>4</v>
      </c>
      <c r="P89" t="n">
        <v>1</v>
      </c>
      <c r="Q89" t="n">
        <v>6</v>
      </c>
      <c r="R89" s="2" t="inlineStr">
        <is>
          <t>Knärot
Lunglav
Skrovellav
Violettgrå tagellav
Lavskrika
Revlummer</t>
        </is>
      </c>
      <c r="S89">
        <f>HYPERLINK("https://klasma.github.io/Logging_2161/artfynd/A 44202-2025 artfynd.xlsx", "A 44202-2025")</f>
        <v/>
      </c>
      <c r="T89">
        <f>HYPERLINK("https://klasma.github.io/Logging_2161/kartor/A 44202-2025 karta.png", "A 44202-2025")</f>
        <v/>
      </c>
      <c r="U89">
        <f>HYPERLINK("https://klasma.github.io/Logging_2161/knärot/A 44202-2025 karta knärot.png", "A 44202-2025")</f>
        <v/>
      </c>
      <c r="V89">
        <f>HYPERLINK("https://klasma.github.io/Logging_2161/klagomål/A 44202-2025 FSC-klagomål.docx", "A 44202-2025")</f>
        <v/>
      </c>
      <c r="W89">
        <f>HYPERLINK("https://klasma.github.io/Logging_2161/klagomålsmail/A 44202-2025 FSC-klagomål mail.docx", "A 44202-2025")</f>
        <v/>
      </c>
      <c r="X89">
        <f>HYPERLINK("https://klasma.github.io/Logging_2161/tillsyn/A 44202-2025 tillsynsbegäran.docx", "A 44202-2025")</f>
        <v/>
      </c>
      <c r="Y89">
        <f>HYPERLINK("https://klasma.github.io/Logging_2161/tillsynsmail/A 44202-2025 tillsynsbegäran mail.docx", "A 44202-2025")</f>
        <v/>
      </c>
      <c r="Z89">
        <f>HYPERLINK("https://klasma.github.io/Logging_2161/fåglar/A 44202-2025 prioriterade fågelarter.docx", "A 44202-2025")</f>
        <v/>
      </c>
    </row>
    <row r="90" ht="15" customHeight="1">
      <c r="A90" t="inlineStr">
        <is>
          <t>A 34286-2025</t>
        </is>
      </c>
      <c r="B90" s="1" t="n">
        <v>45846</v>
      </c>
      <c r="C90" s="1" t="n">
        <v>46086</v>
      </c>
      <c r="D90" t="inlineStr">
        <is>
          <t>GÄVLEBORGS LÄN</t>
        </is>
      </c>
      <c r="E90" t="inlineStr">
        <is>
          <t>LJUSDAL</t>
        </is>
      </c>
      <c r="F90" t="inlineStr">
        <is>
          <t>Bergvik skog väst AB</t>
        </is>
      </c>
      <c r="G90" t="n">
        <v>9.5</v>
      </c>
      <c r="H90" t="n">
        <v>0</v>
      </c>
      <c r="I90" t="n">
        <v>1</v>
      </c>
      <c r="J90" t="n">
        <v>5</v>
      </c>
      <c r="K90" t="n">
        <v>0</v>
      </c>
      <c r="L90" t="n">
        <v>0</v>
      </c>
      <c r="M90" t="n">
        <v>0</v>
      </c>
      <c r="N90" t="n">
        <v>0</v>
      </c>
      <c r="O90" t="n">
        <v>5</v>
      </c>
      <c r="P90" t="n">
        <v>0</v>
      </c>
      <c r="Q90" t="n">
        <v>6</v>
      </c>
      <c r="R90" s="2" t="inlineStr">
        <is>
          <t>Garnlav
Kolflarnlav
Kortskaftad ärgspik
Lunglav
Vedskivlav
Stuplav</t>
        </is>
      </c>
      <c r="S90">
        <f>HYPERLINK("https://klasma.github.io/Logging_2161/artfynd/A 34286-2025 artfynd.xlsx", "A 34286-2025")</f>
        <v/>
      </c>
      <c r="T90">
        <f>HYPERLINK("https://klasma.github.io/Logging_2161/kartor/A 34286-2025 karta.png", "A 34286-2025")</f>
        <v/>
      </c>
      <c r="V90">
        <f>HYPERLINK("https://klasma.github.io/Logging_2161/klagomål/A 34286-2025 FSC-klagomål.docx", "A 34286-2025")</f>
        <v/>
      </c>
      <c r="W90">
        <f>HYPERLINK("https://klasma.github.io/Logging_2161/klagomålsmail/A 34286-2025 FSC-klagomål mail.docx", "A 34286-2025")</f>
        <v/>
      </c>
      <c r="X90">
        <f>HYPERLINK("https://klasma.github.io/Logging_2161/tillsyn/A 34286-2025 tillsynsbegäran.docx", "A 34286-2025")</f>
        <v/>
      </c>
      <c r="Y90">
        <f>HYPERLINK("https://klasma.github.io/Logging_2161/tillsynsmail/A 34286-2025 tillsynsbegäran mail.docx", "A 34286-2025")</f>
        <v/>
      </c>
    </row>
    <row r="91" ht="15" customHeight="1">
      <c r="A91" t="inlineStr">
        <is>
          <t>A 3777-2026</t>
        </is>
      </c>
      <c r="B91" s="1" t="n">
        <v>46043</v>
      </c>
      <c r="C91" s="1" t="n">
        <v>46086</v>
      </c>
      <c r="D91" t="inlineStr">
        <is>
          <t>GÄVLEBORGS LÄN</t>
        </is>
      </c>
      <c r="E91" t="inlineStr">
        <is>
          <t>OCKELBO</t>
        </is>
      </c>
      <c r="F91" t="inlineStr">
        <is>
          <t>Bergvik skog väst AB</t>
        </is>
      </c>
      <c r="G91" t="n">
        <v>14.3</v>
      </c>
      <c r="H91" t="n">
        <v>5</v>
      </c>
      <c r="I91" t="n">
        <v>2</v>
      </c>
      <c r="J91" t="n">
        <v>0</v>
      </c>
      <c r="K91" t="n">
        <v>0</v>
      </c>
      <c r="L91" t="n">
        <v>0</v>
      </c>
      <c r="M91" t="n">
        <v>0</v>
      </c>
      <c r="N91" t="n">
        <v>0</v>
      </c>
      <c r="O91" t="n">
        <v>0</v>
      </c>
      <c r="P91" t="n">
        <v>0</v>
      </c>
      <c r="Q91" t="n">
        <v>6</v>
      </c>
      <c r="R91" s="2" t="inlineStr">
        <is>
          <t>Grönkulla
Ögonpyrola
Nattviol
Blåsippa
Lopplummer (aggregat)
Revlummer</t>
        </is>
      </c>
      <c r="S91">
        <f>HYPERLINK("https://klasma.github.io/Logging_2101/artfynd/A 3777-2026 artfynd.xlsx", "A 3777-2026")</f>
        <v/>
      </c>
      <c r="T91">
        <f>HYPERLINK("https://klasma.github.io/Logging_2101/kartor/A 3777-2026 karta.png", "A 3777-2026")</f>
        <v/>
      </c>
      <c r="V91">
        <f>HYPERLINK("https://klasma.github.io/Logging_2101/klagomål/A 3777-2026 FSC-klagomål.docx", "A 3777-2026")</f>
        <v/>
      </c>
      <c r="W91">
        <f>HYPERLINK("https://klasma.github.io/Logging_2101/klagomålsmail/A 3777-2026 FSC-klagomål mail.docx", "A 3777-2026")</f>
        <v/>
      </c>
      <c r="X91">
        <f>HYPERLINK("https://klasma.github.io/Logging_2101/tillsyn/A 3777-2026 tillsynsbegäran.docx", "A 3777-2026")</f>
        <v/>
      </c>
      <c r="Y91">
        <f>HYPERLINK("https://klasma.github.io/Logging_2101/tillsynsmail/A 3777-2026 tillsynsbegäran mail.docx", "A 3777-2026")</f>
        <v/>
      </c>
    </row>
    <row r="92" ht="15" customHeight="1">
      <c r="A92" t="inlineStr">
        <is>
          <t>A 35605-2025</t>
        </is>
      </c>
      <c r="B92" s="1" t="n">
        <v>45859.32651620371</v>
      </c>
      <c r="C92" s="1" t="n">
        <v>46086</v>
      </c>
      <c r="D92" t="inlineStr">
        <is>
          <t>GÄVLEBORGS LÄN</t>
        </is>
      </c>
      <c r="E92" t="inlineStr">
        <is>
          <t>LJUSDAL</t>
        </is>
      </c>
      <c r="F92" t="inlineStr">
        <is>
          <t>Bergvik skog väst AB</t>
        </is>
      </c>
      <c r="G92" t="n">
        <v>3.1</v>
      </c>
      <c r="H92" t="n">
        <v>3</v>
      </c>
      <c r="I92" t="n">
        <v>1</v>
      </c>
      <c r="J92" t="n">
        <v>3</v>
      </c>
      <c r="K92" t="n">
        <v>1</v>
      </c>
      <c r="L92" t="n">
        <v>0</v>
      </c>
      <c r="M92" t="n">
        <v>0</v>
      </c>
      <c r="N92" t="n">
        <v>0</v>
      </c>
      <c r="O92" t="n">
        <v>4</v>
      </c>
      <c r="P92" t="n">
        <v>1</v>
      </c>
      <c r="Q92" t="n">
        <v>6</v>
      </c>
      <c r="R92" s="2" t="inlineStr">
        <is>
          <t>Knärot
Lunglav
Spillkråka
Vitgrynig nållav
Skinnlav
Nattviol</t>
        </is>
      </c>
      <c r="S92">
        <f>HYPERLINK("https://klasma.github.io/Logging_2161/artfynd/A 35605-2025 artfynd.xlsx", "A 35605-2025")</f>
        <v/>
      </c>
      <c r="T92">
        <f>HYPERLINK("https://klasma.github.io/Logging_2161/kartor/A 35605-2025 karta.png", "A 35605-2025")</f>
        <v/>
      </c>
      <c r="U92">
        <f>HYPERLINK("https://klasma.github.io/Logging_2161/knärot/A 35605-2025 karta knärot.png", "A 35605-2025")</f>
        <v/>
      </c>
      <c r="V92">
        <f>HYPERLINK("https://klasma.github.io/Logging_2161/klagomål/A 35605-2025 FSC-klagomål.docx", "A 35605-2025")</f>
        <v/>
      </c>
      <c r="W92">
        <f>HYPERLINK("https://klasma.github.io/Logging_2161/klagomålsmail/A 35605-2025 FSC-klagomål mail.docx", "A 35605-2025")</f>
        <v/>
      </c>
      <c r="X92">
        <f>HYPERLINK("https://klasma.github.io/Logging_2161/tillsyn/A 35605-2025 tillsynsbegäran.docx", "A 35605-2025")</f>
        <v/>
      </c>
      <c r="Y92">
        <f>HYPERLINK("https://klasma.github.io/Logging_2161/tillsynsmail/A 35605-2025 tillsynsbegäran mail.docx", "A 35605-2025")</f>
        <v/>
      </c>
      <c r="Z92">
        <f>HYPERLINK("https://klasma.github.io/Logging_2161/fåglar/A 35605-2025 prioriterade fågelarter.docx", "A 35605-2025")</f>
        <v/>
      </c>
    </row>
    <row r="93" ht="15" customHeight="1">
      <c r="A93" t="inlineStr">
        <is>
          <t>A 38086-2024</t>
        </is>
      </c>
      <c r="B93" s="1" t="n">
        <v>45545</v>
      </c>
      <c r="C93" s="1" t="n">
        <v>46086</v>
      </c>
      <c r="D93" t="inlineStr">
        <is>
          <t>GÄVLEBORGS LÄN</t>
        </is>
      </c>
      <c r="E93" t="inlineStr">
        <is>
          <t>OCKELBO</t>
        </is>
      </c>
      <c r="F93" t="inlineStr">
        <is>
          <t>Bergvik skog väst AB</t>
        </is>
      </c>
      <c r="G93" t="n">
        <v>17.2</v>
      </c>
      <c r="H93" t="n">
        <v>1</v>
      </c>
      <c r="I93" t="n">
        <v>1</v>
      </c>
      <c r="J93" t="n">
        <v>4</v>
      </c>
      <c r="K93" t="n">
        <v>0</v>
      </c>
      <c r="L93" t="n">
        <v>0</v>
      </c>
      <c r="M93" t="n">
        <v>0</v>
      </c>
      <c r="N93" t="n">
        <v>0</v>
      </c>
      <c r="O93" t="n">
        <v>4</v>
      </c>
      <c r="P93" t="n">
        <v>0</v>
      </c>
      <c r="Q93" t="n">
        <v>6</v>
      </c>
      <c r="R93" s="2" t="inlineStr">
        <is>
          <t>Blå taggsvamp
Skrovlig taggsvamp
Svartvit taggsvamp
Tallriska
Dropptaggsvamp
Revlummer</t>
        </is>
      </c>
      <c r="S93">
        <f>HYPERLINK("https://klasma.github.io/Logging_2101/artfynd/A 38086-2024 artfynd.xlsx", "A 38086-2024")</f>
        <v/>
      </c>
      <c r="T93">
        <f>HYPERLINK("https://klasma.github.io/Logging_2101/kartor/A 38086-2024 karta.png", "A 38086-2024")</f>
        <v/>
      </c>
      <c r="V93">
        <f>HYPERLINK("https://klasma.github.io/Logging_2101/klagomål/A 38086-2024 FSC-klagomål.docx", "A 38086-2024")</f>
        <v/>
      </c>
      <c r="W93">
        <f>HYPERLINK("https://klasma.github.io/Logging_2101/klagomålsmail/A 38086-2024 FSC-klagomål mail.docx", "A 38086-2024")</f>
        <v/>
      </c>
      <c r="X93">
        <f>HYPERLINK("https://klasma.github.io/Logging_2101/tillsyn/A 38086-2024 tillsynsbegäran.docx", "A 38086-2024")</f>
        <v/>
      </c>
      <c r="Y93">
        <f>HYPERLINK("https://klasma.github.io/Logging_2101/tillsynsmail/A 38086-2024 tillsynsbegäran mail.docx", "A 38086-2024")</f>
        <v/>
      </c>
    </row>
    <row r="94" ht="15" customHeight="1">
      <c r="A94" t="inlineStr">
        <is>
          <t>A 36356-2025</t>
        </is>
      </c>
      <c r="B94" s="1" t="n">
        <v>45868.5106712963</v>
      </c>
      <c r="C94" s="1" t="n">
        <v>46086</v>
      </c>
      <c r="D94" t="inlineStr">
        <is>
          <t>GÄVLEBORGS LÄN</t>
        </is>
      </c>
      <c r="E94" t="inlineStr">
        <is>
          <t>LJUSDAL</t>
        </is>
      </c>
      <c r="G94" t="n">
        <v>23.1</v>
      </c>
      <c r="H94" t="n">
        <v>2</v>
      </c>
      <c r="I94" t="n">
        <v>0</v>
      </c>
      <c r="J94" t="n">
        <v>5</v>
      </c>
      <c r="K94" t="n">
        <v>1</v>
      </c>
      <c r="L94" t="n">
        <v>0</v>
      </c>
      <c r="M94" t="n">
        <v>0</v>
      </c>
      <c r="N94" t="n">
        <v>0</v>
      </c>
      <c r="O94" t="n">
        <v>6</v>
      </c>
      <c r="P94" t="n">
        <v>1</v>
      </c>
      <c r="Q94" t="n">
        <v>6</v>
      </c>
      <c r="R94" s="2" t="inlineStr">
        <is>
          <t>Tallbit
Kolflarnlav
Mörk kolflarnlav
Pilgrimsfalk
Vedflamlav
Vedskivlav</t>
        </is>
      </c>
      <c r="S94">
        <f>HYPERLINK("https://klasma.github.io/Logging_2161/artfynd/A 36356-2025 artfynd.xlsx", "A 36356-2025")</f>
        <v/>
      </c>
      <c r="T94">
        <f>HYPERLINK("https://klasma.github.io/Logging_2161/kartor/A 36356-2025 karta.png", "A 36356-2025")</f>
        <v/>
      </c>
      <c r="V94">
        <f>HYPERLINK("https://klasma.github.io/Logging_2161/klagomål/A 36356-2025 FSC-klagomål.docx", "A 36356-2025")</f>
        <v/>
      </c>
      <c r="W94">
        <f>HYPERLINK("https://klasma.github.io/Logging_2161/klagomålsmail/A 36356-2025 FSC-klagomål mail.docx", "A 36356-2025")</f>
        <v/>
      </c>
      <c r="X94">
        <f>HYPERLINK("https://klasma.github.io/Logging_2161/tillsyn/A 36356-2025 tillsynsbegäran.docx", "A 36356-2025")</f>
        <v/>
      </c>
      <c r="Y94">
        <f>HYPERLINK("https://klasma.github.io/Logging_2161/tillsynsmail/A 36356-2025 tillsynsbegäran mail.docx", "A 36356-2025")</f>
        <v/>
      </c>
      <c r="Z94">
        <f>HYPERLINK("https://klasma.github.io/Logging_2161/fåglar/A 36356-2025 prioriterade fågelarter.docx", "A 36356-2025")</f>
        <v/>
      </c>
    </row>
    <row r="95" ht="15" customHeight="1">
      <c r="A95" t="inlineStr">
        <is>
          <t>A 45388-2024</t>
        </is>
      </c>
      <c r="B95" s="1" t="n">
        <v>45576.54619212963</v>
      </c>
      <c r="C95" s="1" t="n">
        <v>46086</v>
      </c>
      <c r="D95" t="inlineStr">
        <is>
          <t>GÄVLEBORGS LÄN</t>
        </is>
      </c>
      <c r="E95" t="inlineStr">
        <is>
          <t>LJUSDAL</t>
        </is>
      </c>
      <c r="F95" t="inlineStr">
        <is>
          <t>Sveaskog</t>
        </is>
      </c>
      <c r="G95" t="n">
        <v>13.2</v>
      </c>
      <c r="H95" t="n">
        <v>1</v>
      </c>
      <c r="I95" t="n">
        <v>3</v>
      </c>
      <c r="J95" t="n">
        <v>3</v>
      </c>
      <c r="K95" t="n">
        <v>0</v>
      </c>
      <c r="L95" t="n">
        <v>0</v>
      </c>
      <c r="M95" t="n">
        <v>0</v>
      </c>
      <c r="N95" t="n">
        <v>0</v>
      </c>
      <c r="O95" t="n">
        <v>3</v>
      </c>
      <c r="P95" t="n">
        <v>0</v>
      </c>
      <c r="Q95" t="n">
        <v>6</v>
      </c>
      <c r="R95" s="2" t="inlineStr">
        <is>
          <t>Garnlav
Talltita
Vedskivlav
Gullgröppa
Mindre märgborre
Skinnlav</t>
        </is>
      </c>
      <c r="S95">
        <f>HYPERLINK("https://klasma.github.io/Logging_2161/artfynd/A 45388-2024 artfynd.xlsx", "A 45388-2024")</f>
        <v/>
      </c>
      <c r="T95">
        <f>HYPERLINK("https://klasma.github.io/Logging_2161/kartor/A 45388-2024 karta.png", "A 45388-2024")</f>
        <v/>
      </c>
      <c r="V95">
        <f>HYPERLINK("https://klasma.github.io/Logging_2161/klagomål/A 45388-2024 FSC-klagomål.docx", "A 45388-2024")</f>
        <v/>
      </c>
      <c r="W95">
        <f>HYPERLINK("https://klasma.github.io/Logging_2161/klagomålsmail/A 45388-2024 FSC-klagomål mail.docx", "A 45388-2024")</f>
        <v/>
      </c>
      <c r="X95">
        <f>HYPERLINK("https://klasma.github.io/Logging_2161/tillsyn/A 45388-2024 tillsynsbegäran.docx", "A 45388-2024")</f>
        <v/>
      </c>
      <c r="Y95">
        <f>HYPERLINK("https://klasma.github.io/Logging_2161/tillsynsmail/A 45388-2024 tillsynsbegäran mail.docx", "A 45388-2024")</f>
        <v/>
      </c>
      <c r="Z95">
        <f>HYPERLINK("https://klasma.github.io/Logging_2161/fåglar/A 45388-2024 prioriterade fågelarter.docx", "A 45388-2024")</f>
        <v/>
      </c>
    </row>
    <row r="96" ht="15" customHeight="1">
      <c r="A96" t="inlineStr">
        <is>
          <t>A 51514-2025</t>
        </is>
      </c>
      <c r="B96" s="1" t="n">
        <v>45950.65387731481</v>
      </c>
      <c r="C96" s="1" t="n">
        <v>46086</v>
      </c>
      <c r="D96" t="inlineStr">
        <is>
          <t>GÄVLEBORGS LÄN</t>
        </is>
      </c>
      <c r="E96" t="inlineStr">
        <is>
          <t>OVANÅKER</t>
        </is>
      </c>
      <c r="F96" t="inlineStr">
        <is>
          <t>Bergvik skog väst AB</t>
        </is>
      </c>
      <c r="G96" t="n">
        <v>24.3</v>
      </c>
      <c r="H96" t="n">
        <v>0</v>
      </c>
      <c r="I96" t="n">
        <v>2</v>
      </c>
      <c r="J96" t="n">
        <v>3</v>
      </c>
      <c r="K96" t="n">
        <v>1</v>
      </c>
      <c r="L96" t="n">
        <v>0</v>
      </c>
      <c r="M96" t="n">
        <v>0</v>
      </c>
      <c r="N96" t="n">
        <v>0</v>
      </c>
      <c r="O96" t="n">
        <v>4</v>
      </c>
      <c r="P96" t="n">
        <v>1</v>
      </c>
      <c r="Q96" t="n">
        <v>6</v>
      </c>
      <c r="R96" s="2" t="inlineStr">
        <is>
          <t>Spadskinn
Dvärgbägarlav
Motaggsvamp
Skrovlig taggsvamp
Skarp dropptaggsvamp
Tallfingersvamp</t>
        </is>
      </c>
      <c r="S96">
        <f>HYPERLINK("https://klasma.github.io/Logging_2121/artfynd/A 51514-2025 artfynd.xlsx", "A 51514-2025")</f>
        <v/>
      </c>
      <c r="T96">
        <f>HYPERLINK("https://klasma.github.io/Logging_2121/kartor/A 51514-2025 karta.png", "A 51514-2025")</f>
        <v/>
      </c>
      <c r="V96">
        <f>HYPERLINK("https://klasma.github.io/Logging_2121/klagomål/A 51514-2025 FSC-klagomål.docx", "A 51514-2025")</f>
        <v/>
      </c>
      <c r="W96">
        <f>HYPERLINK("https://klasma.github.io/Logging_2121/klagomålsmail/A 51514-2025 FSC-klagomål mail.docx", "A 51514-2025")</f>
        <v/>
      </c>
      <c r="X96">
        <f>HYPERLINK("https://klasma.github.io/Logging_2121/tillsyn/A 51514-2025 tillsynsbegäran.docx", "A 51514-2025")</f>
        <v/>
      </c>
      <c r="Y96">
        <f>HYPERLINK("https://klasma.github.io/Logging_2121/tillsynsmail/A 51514-2025 tillsynsbegäran mail.docx", "A 51514-2025")</f>
        <v/>
      </c>
    </row>
    <row r="97" ht="15" customHeight="1">
      <c r="A97" t="inlineStr">
        <is>
          <t>A 46744-2025</t>
        </is>
      </c>
      <c r="B97" s="1" t="n">
        <v>45926.61103009259</v>
      </c>
      <c r="C97" s="1" t="n">
        <v>46086</v>
      </c>
      <c r="D97" t="inlineStr">
        <is>
          <t>GÄVLEBORGS LÄN</t>
        </is>
      </c>
      <c r="E97" t="inlineStr">
        <is>
          <t>GÄVLE</t>
        </is>
      </c>
      <c r="G97" t="n">
        <v>4.9</v>
      </c>
      <c r="H97" t="n">
        <v>3</v>
      </c>
      <c r="I97" t="n">
        <v>2</v>
      </c>
      <c r="J97" t="n">
        <v>2</v>
      </c>
      <c r="K97" t="n">
        <v>1</v>
      </c>
      <c r="L97" t="n">
        <v>0</v>
      </c>
      <c r="M97" t="n">
        <v>0</v>
      </c>
      <c r="N97" t="n">
        <v>0</v>
      </c>
      <c r="O97" t="n">
        <v>3</v>
      </c>
      <c r="P97" t="n">
        <v>1</v>
      </c>
      <c r="Q97" t="n">
        <v>6</v>
      </c>
      <c r="R97" s="2" t="inlineStr">
        <is>
          <t>Knärot
Spillkråka
Svart taggsvamp agg.
Rödgul trumpetsvamp
Svavelriska
Blåsippa</t>
        </is>
      </c>
      <c r="S97">
        <f>HYPERLINK("https://klasma.github.io/Logging_2180/artfynd/A 46744-2025 artfynd.xlsx", "A 46744-2025")</f>
        <v/>
      </c>
      <c r="T97">
        <f>HYPERLINK("https://klasma.github.io/Logging_2180/kartor/A 46744-2025 karta.png", "A 46744-2025")</f>
        <v/>
      </c>
      <c r="U97">
        <f>HYPERLINK("https://klasma.github.io/Logging_2180/knärot/A 46744-2025 karta knärot.png", "A 46744-2025")</f>
        <v/>
      </c>
      <c r="V97">
        <f>HYPERLINK("https://klasma.github.io/Logging_2180/klagomål/A 46744-2025 FSC-klagomål.docx", "A 46744-2025")</f>
        <v/>
      </c>
      <c r="W97">
        <f>HYPERLINK("https://klasma.github.io/Logging_2180/klagomålsmail/A 46744-2025 FSC-klagomål mail.docx", "A 46744-2025")</f>
        <v/>
      </c>
      <c r="X97">
        <f>HYPERLINK("https://klasma.github.io/Logging_2180/tillsyn/A 46744-2025 tillsynsbegäran.docx", "A 46744-2025")</f>
        <v/>
      </c>
      <c r="Y97">
        <f>HYPERLINK("https://klasma.github.io/Logging_2180/tillsynsmail/A 46744-2025 tillsynsbegäran mail.docx", "A 46744-2025")</f>
        <v/>
      </c>
      <c r="Z97">
        <f>HYPERLINK("https://klasma.github.io/Logging_2180/fåglar/A 46744-2025 prioriterade fågelarter.docx", "A 46744-2025")</f>
        <v/>
      </c>
    </row>
    <row r="98" ht="15" customHeight="1">
      <c r="A98" t="inlineStr">
        <is>
          <t>A 46755-2025</t>
        </is>
      </c>
      <c r="B98" s="1" t="n">
        <v>45926.61836805556</v>
      </c>
      <c r="C98" s="1" t="n">
        <v>46086</v>
      </c>
      <c r="D98" t="inlineStr">
        <is>
          <t>GÄVLEBORGS LÄN</t>
        </is>
      </c>
      <c r="E98" t="inlineStr">
        <is>
          <t>GÄVLE</t>
        </is>
      </c>
      <c r="G98" t="n">
        <v>4.9</v>
      </c>
      <c r="H98" t="n">
        <v>3</v>
      </c>
      <c r="I98" t="n">
        <v>2</v>
      </c>
      <c r="J98" t="n">
        <v>2</v>
      </c>
      <c r="K98" t="n">
        <v>1</v>
      </c>
      <c r="L98" t="n">
        <v>0</v>
      </c>
      <c r="M98" t="n">
        <v>0</v>
      </c>
      <c r="N98" t="n">
        <v>0</v>
      </c>
      <c r="O98" t="n">
        <v>3</v>
      </c>
      <c r="P98" t="n">
        <v>1</v>
      </c>
      <c r="Q98" t="n">
        <v>6</v>
      </c>
      <c r="R98" s="2" t="inlineStr">
        <is>
          <t>Knärot
Spillkråka
Svart taggsvamp agg.
Rödgul trumpetsvamp
Svavelriska
Blåsippa</t>
        </is>
      </c>
      <c r="S98">
        <f>HYPERLINK("https://klasma.github.io/Logging_2180/artfynd/A 46755-2025 artfynd.xlsx", "A 46755-2025")</f>
        <v/>
      </c>
      <c r="T98">
        <f>HYPERLINK("https://klasma.github.io/Logging_2180/kartor/A 46755-2025 karta.png", "A 46755-2025")</f>
        <v/>
      </c>
      <c r="U98">
        <f>HYPERLINK("https://klasma.github.io/Logging_2180/knärot/A 46755-2025 karta knärot.png", "A 46755-2025")</f>
        <v/>
      </c>
      <c r="V98">
        <f>HYPERLINK("https://klasma.github.io/Logging_2180/klagomål/A 46755-2025 FSC-klagomål.docx", "A 46755-2025")</f>
        <v/>
      </c>
      <c r="W98">
        <f>HYPERLINK("https://klasma.github.io/Logging_2180/klagomålsmail/A 46755-2025 FSC-klagomål mail.docx", "A 46755-2025")</f>
        <v/>
      </c>
      <c r="X98">
        <f>HYPERLINK("https://klasma.github.io/Logging_2180/tillsyn/A 46755-2025 tillsynsbegäran.docx", "A 46755-2025")</f>
        <v/>
      </c>
      <c r="Y98">
        <f>HYPERLINK("https://klasma.github.io/Logging_2180/tillsynsmail/A 46755-2025 tillsynsbegäran mail.docx", "A 46755-2025")</f>
        <v/>
      </c>
      <c r="Z98">
        <f>HYPERLINK("https://klasma.github.io/Logging_2180/fåglar/A 46755-2025 prioriterade fågelarter.docx", "A 46755-2025")</f>
        <v/>
      </c>
    </row>
    <row r="99" ht="15" customHeight="1">
      <c r="A99" t="inlineStr">
        <is>
          <t>A 34666-2025</t>
        </is>
      </c>
      <c r="B99" s="1" t="n">
        <v>45848</v>
      </c>
      <c r="C99" s="1" t="n">
        <v>46086</v>
      </c>
      <c r="D99" t="inlineStr">
        <is>
          <t>GÄVLEBORGS LÄN</t>
        </is>
      </c>
      <c r="E99" t="inlineStr">
        <is>
          <t>GÄVLE</t>
        </is>
      </c>
      <c r="G99" t="n">
        <v>4.9</v>
      </c>
      <c r="H99" t="n">
        <v>3</v>
      </c>
      <c r="I99" t="n">
        <v>2</v>
      </c>
      <c r="J99" t="n">
        <v>2</v>
      </c>
      <c r="K99" t="n">
        <v>1</v>
      </c>
      <c r="L99" t="n">
        <v>0</v>
      </c>
      <c r="M99" t="n">
        <v>0</v>
      </c>
      <c r="N99" t="n">
        <v>0</v>
      </c>
      <c r="O99" t="n">
        <v>3</v>
      </c>
      <c r="P99" t="n">
        <v>1</v>
      </c>
      <c r="Q99" t="n">
        <v>6</v>
      </c>
      <c r="R99" s="2" t="inlineStr">
        <is>
          <t>Knärot
Spillkråka
Svart taggsvamp agg.
Rödgul trumpetsvamp
Svavelriska
Blåsippa</t>
        </is>
      </c>
      <c r="S99">
        <f>HYPERLINK("https://klasma.github.io/Logging_2180/artfynd/A 34666-2025 artfynd.xlsx", "A 34666-2025")</f>
        <v/>
      </c>
      <c r="T99">
        <f>HYPERLINK("https://klasma.github.io/Logging_2180/kartor/A 34666-2025 karta.png", "A 34666-2025")</f>
        <v/>
      </c>
      <c r="U99">
        <f>HYPERLINK("https://klasma.github.io/Logging_2180/knärot/A 34666-2025 karta knärot.png", "A 34666-2025")</f>
        <v/>
      </c>
      <c r="V99">
        <f>HYPERLINK("https://klasma.github.io/Logging_2180/klagomål/A 34666-2025 FSC-klagomål.docx", "A 34666-2025")</f>
        <v/>
      </c>
      <c r="W99">
        <f>HYPERLINK("https://klasma.github.io/Logging_2180/klagomålsmail/A 34666-2025 FSC-klagomål mail.docx", "A 34666-2025")</f>
        <v/>
      </c>
      <c r="X99">
        <f>HYPERLINK("https://klasma.github.io/Logging_2180/tillsyn/A 34666-2025 tillsynsbegäran.docx", "A 34666-2025")</f>
        <v/>
      </c>
      <c r="Y99">
        <f>HYPERLINK("https://klasma.github.io/Logging_2180/tillsynsmail/A 34666-2025 tillsynsbegäran mail.docx", "A 34666-2025")</f>
        <v/>
      </c>
      <c r="Z99">
        <f>HYPERLINK("https://klasma.github.io/Logging_2180/fåglar/A 34666-2025 prioriterade fågelarter.docx", "A 34666-2025")</f>
        <v/>
      </c>
    </row>
    <row r="100" ht="15" customHeight="1">
      <c r="A100" t="inlineStr">
        <is>
          <t>A 199-2026</t>
        </is>
      </c>
      <c r="B100" s="1" t="n">
        <v>46026</v>
      </c>
      <c r="C100" s="1" t="n">
        <v>46086</v>
      </c>
      <c r="D100" t="inlineStr">
        <is>
          <t>GÄVLEBORGS LÄN</t>
        </is>
      </c>
      <c r="E100" t="inlineStr">
        <is>
          <t>SÖDERHAMN</t>
        </is>
      </c>
      <c r="F100" t="inlineStr">
        <is>
          <t>Kommuner</t>
        </is>
      </c>
      <c r="G100" t="n">
        <v>5.2</v>
      </c>
      <c r="H100" t="n">
        <v>0</v>
      </c>
      <c r="I100" t="n">
        <v>0</v>
      </c>
      <c r="J100" t="n">
        <v>4</v>
      </c>
      <c r="K100" t="n">
        <v>2</v>
      </c>
      <c r="L100" t="n">
        <v>0</v>
      </c>
      <c r="M100" t="n">
        <v>0</v>
      </c>
      <c r="N100" t="n">
        <v>0</v>
      </c>
      <c r="O100" t="n">
        <v>6</v>
      </c>
      <c r="P100" t="n">
        <v>2</v>
      </c>
      <c r="Q100" t="n">
        <v>6</v>
      </c>
      <c r="R100" s="2" t="inlineStr">
        <is>
          <t>Rotfingersvamp
Tallgråticka
Blå taggsvamp
Motaggsvamp
Skrovlig taggsvamp
Talltaggsvamp</t>
        </is>
      </c>
      <c r="S100">
        <f>HYPERLINK("https://klasma.github.io/Logging_2182/artfynd/A 199-2026 artfynd.xlsx", "A 199-2026")</f>
        <v/>
      </c>
      <c r="T100">
        <f>HYPERLINK("https://klasma.github.io/Logging_2182/kartor/A 199-2026 karta.png", "A 199-2026")</f>
        <v/>
      </c>
      <c r="V100">
        <f>HYPERLINK("https://klasma.github.io/Logging_2182/klagomål/A 199-2026 FSC-klagomål.docx", "A 199-2026")</f>
        <v/>
      </c>
      <c r="W100">
        <f>HYPERLINK("https://klasma.github.io/Logging_2182/klagomålsmail/A 199-2026 FSC-klagomål mail.docx", "A 199-2026")</f>
        <v/>
      </c>
      <c r="X100">
        <f>HYPERLINK("https://klasma.github.io/Logging_2182/tillsyn/A 199-2026 tillsynsbegäran.docx", "A 199-2026")</f>
        <v/>
      </c>
      <c r="Y100">
        <f>HYPERLINK("https://klasma.github.io/Logging_2182/tillsynsmail/A 199-2026 tillsynsbegäran mail.docx", "A 199-2026")</f>
        <v/>
      </c>
    </row>
    <row r="101" ht="15" customHeight="1">
      <c r="A101" t="inlineStr">
        <is>
          <t>A 10518-2026</t>
        </is>
      </c>
      <c r="B101" s="1" t="n">
        <v>46077.5739699074</v>
      </c>
      <c r="C101" s="1" t="n">
        <v>46086</v>
      </c>
      <c r="D101" t="inlineStr">
        <is>
          <t>GÄVLEBORGS LÄN</t>
        </is>
      </c>
      <c r="E101" t="inlineStr">
        <is>
          <t>OCKELBO</t>
        </is>
      </c>
      <c r="G101" t="n">
        <v>5.1</v>
      </c>
      <c r="H101" t="n">
        <v>1</v>
      </c>
      <c r="I101" t="n">
        <v>1</v>
      </c>
      <c r="J101" t="n">
        <v>3</v>
      </c>
      <c r="K101" t="n">
        <v>2</v>
      </c>
      <c r="L101" t="n">
        <v>0</v>
      </c>
      <c r="M101" t="n">
        <v>0</v>
      </c>
      <c r="N101" t="n">
        <v>0</v>
      </c>
      <c r="O101" t="n">
        <v>5</v>
      </c>
      <c r="P101" t="n">
        <v>2</v>
      </c>
      <c r="Q101" t="n">
        <v>6</v>
      </c>
      <c r="R101" s="2" t="inlineStr">
        <is>
          <t>Knärot
Rynkskinn
Garnlav
Tallticka
Ullticka
Bronshjon</t>
        </is>
      </c>
      <c r="S101">
        <f>HYPERLINK("https://klasma.github.io/Logging_2101/artfynd/A 10518-2026 artfynd.xlsx", "A 10518-2026")</f>
        <v/>
      </c>
      <c r="T101">
        <f>HYPERLINK("https://klasma.github.io/Logging_2101/kartor/A 10518-2026 karta.png", "A 10518-2026")</f>
        <v/>
      </c>
      <c r="U101">
        <f>HYPERLINK("https://klasma.github.io/Logging_2101/knärot/A 10518-2026 karta knärot.png", "A 10518-2026")</f>
        <v/>
      </c>
      <c r="V101">
        <f>HYPERLINK("https://klasma.github.io/Logging_2101/klagomål/A 10518-2026 FSC-klagomål.docx", "A 10518-2026")</f>
        <v/>
      </c>
      <c r="W101">
        <f>HYPERLINK("https://klasma.github.io/Logging_2101/klagomålsmail/A 10518-2026 FSC-klagomål mail.docx", "A 10518-2026")</f>
        <v/>
      </c>
      <c r="X101">
        <f>HYPERLINK("https://klasma.github.io/Logging_2101/tillsyn/A 10518-2026 tillsynsbegäran.docx", "A 10518-2026")</f>
        <v/>
      </c>
      <c r="Y101">
        <f>HYPERLINK("https://klasma.github.io/Logging_2101/tillsynsmail/A 10518-2026 tillsynsbegäran mail.docx", "A 10518-2026")</f>
        <v/>
      </c>
    </row>
    <row r="102" ht="15" customHeight="1">
      <c r="A102" t="inlineStr">
        <is>
          <t>A 32783-2022</t>
        </is>
      </c>
      <c r="B102" s="1" t="n">
        <v>44784</v>
      </c>
      <c r="C102" s="1" t="n">
        <v>46086</v>
      </c>
      <c r="D102" t="inlineStr">
        <is>
          <t>GÄVLEBORGS LÄN</t>
        </is>
      </c>
      <c r="E102" t="inlineStr">
        <is>
          <t>LJUSDAL</t>
        </is>
      </c>
      <c r="F102" t="inlineStr">
        <is>
          <t>Sveaskog</t>
        </is>
      </c>
      <c r="G102" t="n">
        <v>12.7</v>
      </c>
      <c r="H102" t="n">
        <v>0</v>
      </c>
      <c r="I102" t="n">
        <v>2</v>
      </c>
      <c r="J102" t="n">
        <v>4</v>
      </c>
      <c r="K102" t="n">
        <v>0</v>
      </c>
      <c r="L102" t="n">
        <v>0</v>
      </c>
      <c r="M102" t="n">
        <v>0</v>
      </c>
      <c r="N102" t="n">
        <v>0</v>
      </c>
      <c r="O102" t="n">
        <v>4</v>
      </c>
      <c r="P102" t="n">
        <v>0</v>
      </c>
      <c r="Q102" t="n">
        <v>6</v>
      </c>
      <c r="R102" s="2" t="inlineStr">
        <is>
          <t>Dvärgbägarlav
Garnlav
Kolflarnlav
Mörk kolflarnlav
Dropptaggsvamp
Skarp dropptaggsvamp</t>
        </is>
      </c>
      <c r="S102">
        <f>HYPERLINK("https://klasma.github.io/Logging_2161/artfynd/A 32783-2022 artfynd.xlsx", "A 32783-2022")</f>
        <v/>
      </c>
      <c r="T102">
        <f>HYPERLINK("https://klasma.github.io/Logging_2161/kartor/A 32783-2022 karta.png", "A 32783-2022")</f>
        <v/>
      </c>
      <c r="V102">
        <f>HYPERLINK("https://klasma.github.io/Logging_2161/klagomål/A 32783-2022 FSC-klagomål.docx", "A 32783-2022")</f>
        <v/>
      </c>
      <c r="W102">
        <f>HYPERLINK("https://klasma.github.io/Logging_2161/klagomålsmail/A 32783-2022 FSC-klagomål mail.docx", "A 32783-2022")</f>
        <v/>
      </c>
      <c r="X102">
        <f>HYPERLINK("https://klasma.github.io/Logging_2161/tillsyn/A 32783-2022 tillsynsbegäran.docx", "A 32783-2022")</f>
        <v/>
      </c>
      <c r="Y102">
        <f>HYPERLINK("https://klasma.github.io/Logging_2161/tillsynsmail/A 32783-2022 tillsynsbegäran mail.docx", "A 32783-2022")</f>
        <v/>
      </c>
    </row>
    <row r="103" ht="15" customHeight="1">
      <c r="A103" t="inlineStr">
        <is>
          <t>A 15765-2025</t>
        </is>
      </c>
      <c r="B103" s="1" t="n">
        <v>45748.58319444444</v>
      </c>
      <c r="C103" s="1" t="n">
        <v>46086</v>
      </c>
      <c r="D103" t="inlineStr">
        <is>
          <t>GÄVLEBORGS LÄN</t>
        </is>
      </c>
      <c r="E103" t="inlineStr">
        <is>
          <t>SÖDERHAMN</t>
        </is>
      </c>
      <c r="G103" t="n">
        <v>37.6</v>
      </c>
      <c r="H103" t="n">
        <v>3</v>
      </c>
      <c r="I103" t="n">
        <v>2</v>
      </c>
      <c r="J103" t="n">
        <v>1</v>
      </c>
      <c r="K103" t="n">
        <v>1</v>
      </c>
      <c r="L103" t="n">
        <v>0</v>
      </c>
      <c r="M103" t="n">
        <v>0</v>
      </c>
      <c r="N103" t="n">
        <v>0</v>
      </c>
      <c r="O103" t="n">
        <v>2</v>
      </c>
      <c r="P103" t="n">
        <v>1</v>
      </c>
      <c r="Q103" t="n">
        <v>6</v>
      </c>
      <c r="R103" s="2" t="inlineStr">
        <is>
          <t>Knärot
Kortskaftad ärgspik
Sårläka
Vårärt
Nattviol
Blåsippa</t>
        </is>
      </c>
      <c r="S103">
        <f>HYPERLINK("https://klasma.github.io/Logging_2182/artfynd/A 15765-2025 artfynd.xlsx", "A 15765-2025")</f>
        <v/>
      </c>
      <c r="T103">
        <f>HYPERLINK("https://klasma.github.io/Logging_2182/kartor/A 15765-2025 karta.png", "A 15765-2025")</f>
        <v/>
      </c>
      <c r="U103">
        <f>HYPERLINK("https://klasma.github.io/Logging_2182/knärot/A 15765-2025 karta knärot.png", "A 15765-2025")</f>
        <v/>
      </c>
      <c r="V103">
        <f>HYPERLINK("https://klasma.github.io/Logging_2182/klagomål/A 15765-2025 FSC-klagomål.docx", "A 15765-2025")</f>
        <v/>
      </c>
      <c r="W103">
        <f>HYPERLINK("https://klasma.github.io/Logging_2182/klagomålsmail/A 15765-2025 FSC-klagomål mail.docx", "A 15765-2025")</f>
        <v/>
      </c>
      <c r="X103">
        <f>HYPERLINK("https://klasma.github.io/Logging_2182/tillsyn/A 15765-2025 tillsynsbegäran.docx", "A 15765-2025")</f>
        <v/>
      </c>
      <c r="Y103">
        <f>HYPERLINK("https://klasma.github.io/Logging_2182/tillsynsmail/A 15765-2025 tillsynsbegäran mail.docx", "A 15765-2025")</f>
        <v/>
      </c>
    </row>
    <row r="104" ht="15" customHeight="1">
      <c r="A104" t="inlineStr">
        <is>
          <t>A 1101-2024</t>
        </is>
      </c>
      <c r="B104" s="1" t="n">
        <v>45302</v>
      </c>
      <c r="C104" s="1" t="n">
        <v>46086</v>
      </c>
      <c r="D104" t="inlineStr">
        <is>
          <t>GÄVLEBORGS LÄN</t>
        </is>
      </c>
      <c r="E104" t="inlineStr">
        <is>
          <t>GÄVLE</t>
        </is>
      </c>
      <c r="F104" t="inlineStr">
        <is>
          <t>Bergvik skog väst AB</t>
        </is>
      </c>
      <c r="G104" t="n">
        <v>6.5</v>
      </c>
      <c r="H104" t="n">
        <v>1</v>
      </c>
      <c r="I104" t="n">
        <v>1</v>
      </c>
      <c r="J104" t="n">
        <v>4</v>
      </c>
      <c r="K104" t="n">
        <v>0</v>
      </c>
      <c r="L104" t="n">
        <v>0</v>
      </c>
      <c r="M104" t="n">
        <v>0</v>
      </c>
      <c r="N104" t="n">
        <v>0</v>
      </c>
      <c r="O104" t="n">
        <v>4</v>
      </c>
      <c r="P104" t="n">
        <v>0</v>
      </c>
      <c r="Q104" t="n">
        <v>6</v>
      </c>
      <c r="R104" s="2" t="inlineStr">
        <is>
          <t>Blanksvart spiklav
Svartvit taggsvamp
Vedskivlav
Vedtrappmossa
Dropptaggsvamp
Vattenfladdermus</t>
        </is>
      </c>
      <c r="S104">
        <f>HYPERLINK("https://klasma.github.io/Logging_2180/artfynd/A 1101-2024 artfynd.xlsx", "A 1101-2024")</f>
        <v/>
      </c>
      <c r="T104">
        <f>HYPERLINK("https://klasma.github.io/Logging_2180/kartor/A 1101-2024 karta.png", "A 1101-2024")</f>
        <v/>
      </c>
      <c r="V104">
        <f>HYPERLINK("https://klasma.github.io/Logging_2180/klagomål/A 1101-2024 FSC-klagomål.docx", "A 1101-2024")</f>
        <v/>
      </c>
      <c r="W104">
        <f>HYPERLINK("https://klasma.github.io/Logging_2180/klagomålsmail/A 1101-2024 FSC-klagomål mail.docx", "A 1101-2024")</f>
        <v/>
      </c>
      <c r="X104">
        <f>HYPERLINK("https://klasma.github.io/Logging_2180/tillsyn/A 1101-2024 tillsynsbegäran.docx", "A 1101-2024")</f>
        <v/>
      </c>
      <c r="Y104">
        <f>HYPERLINK("https://klasma.github.io/Logging_2180/tillsynsmail/A 1101-2024 tillsynsbegäran mail.docx", "A 1101-2024")</f>
        <v/>
      </c>
    </row>
    <row r="105" ht="15" customHeight="1">
      <c r="A105" t="inlineStr">
        <is>
          <t>A 18705-2022</t>
        </is>
      </c>
      <c r="B105" s="1" t="n">
        <v>44687</v>
      </c>
      <c r="C105" s="1" t="n">
        <v>46086</v>
      </c>
      <c r="D105" t="inlineStr">
        <is>
          <t>GÄVLEBORGS LÄN</t>
        </is>
      </c>
      <c r="E105" t="inlineStr">
        <is>
          <t>LJUSDAL</t>
        </is>
      </c>
      <c r="F105" t="inlineStr">
        <is>
          <t>Bergvik skog väst AB</t>
        </is>
      </c>
      <c r="G105" t="n">
        <v>3.3</v>
      </c>
      <c r="H105" t="n">
        <v>2</v>
      </c>
      <c r="I105" t="n">
        <v>2</v>
      </c>
      <c r="J105" t="n">
        <v>3</v>
      </c>
      <c r="K105" t="n">
        <v>1</v>
      </c>
      <c r="L105" t="n">
        <v>0</v>
      </c>
      <c r="M105" t="n">
        <v>0</v>
      </c>
      <c r="N105" t="n">
        <v>0</v>
      </c>
      <c r="O105" t="n">
        <v>4</v>
      </c>
      <c r="P105" t="n">
        <v>1</v>
      </c>
      <c r="Q105" t="n">
        <v>6</v>
      </c>
      <c r="R105" s="2" t="inlineStr">
        <is>
          <t>Doftticka
Garnlav
Lunglav
Tretåig hackspett
Skinnlav
Stuplav</t>
        </is>
      </c>
      <c r="S105">
        <f>HYPERLINK("https://klasma.github.io/Logging_2161/artfynd/A 18705-2022 artfynd.xlsx", "A 18705-2022")</f>
        <v/>
      </c>
      <c r="T105">
        <f>HYPERLINK("https://klasma.github.io/Logging_2161/kartor/A 18705-2022 karta.png", "A 18705-2022")</f>
        <v/>
      </c>
      <c r="U105">
        <f>HYPERLINK("https://klasma.github.io/Logging_2161/knärot/A 18705-2022 karta knärot.png", "A 18705-2022")</f>
        <v/>
      </c>
      <c r="V105">
        <f>HYPERLINK("https://klasma.github.io/Logging_2161/klagomål/A 18705-2022 FSC-klagomål.docx", "A 18705-2022")</f>
        <v/>
      </c>
      <c r="W105">
        <f>HYPERLINK("https://klasma.github.io/Logging_2161/klagomålsmail/A 18705-2022 FSC-klagomål mail.docx", "A 18705-2022")</f>
        <v/>
      </c>
      <c r="X105">
        <f>HYPERLINK("https://klasma.github.io/Logging_2161/tillsyn/A 18705-2022 tillsynsbegäran.docx", "A 18705-2022")</f>
        <v/>
      </c>
      <c r="Y105">
        <f>HYPERLINK("https://klasma.github.io/Logging_2161/tillsynsmail/A 18705-2022 tillsynsbegäran mail.docx", "A 18705-2022")</f>
        <v/>
      </c>
      <c r="Z105">
        <f>HYPERLINK("https://klasma.github.io/Logging_2161/fåglar/A 18705-2022 prioriterade fågelarter.docx", "A 18705-2022")</f>
        <v/>
      </c>
    </row>
    <row r="106" ht="15" customHeight="1">
      <c r="A106" t="inlineStr">
        <is>
          <t>A 63252-2023</t>
        </is>
      </c>
      <c r="B106" s="1" t="n">
        <v>45273</v>
      </c>
      <c r="C106" s="1" t="n">
        <v>46086</v>
      </c>
      <c r="D106" t="inlineStr">
        <is>
          <t>GÄVLEBORGS LÄN</t>
        </is>
      </c>
      <c r="E106" t="inlineStr">
        <is>
          <t>LJUSDAL</t>
        </is>
      </c>
      <c r="G106" t="n">
        <v>17.1</v>
      </c>
      <c r="H106" t="n">
        <v>0</v>
      </c>
      <c r="I106" t="n">
        <v>2</v>
      </c>
      <c r="J106" t="n">
        <v>4</v>
      </c>
      <c r="K106" t="n">
        <v>0</v>
      </c>
      <c r="L106" t="n">
        <v>0</v>
      </c>
      <c r="M106" t="n">
        <v>0</v>
      </c>
      <c r="N106" t="n">
        <v>0</v>
      </c>
      <c r="O106" t="n">
        <v>4</v>
      </c>
      <c r="P106" t="n">
        <v>0</v>
      </c>
      <c r="Q106" t="n">
        <v>6</v>
      </c>
      <c r="R106" s="2" t="inlineStr">
        <is>
          <t>Garnlav
Lunglav
Motaggsvamp
Tallticka
Dropptaggsvamp
Skarp dropptaggsvamp</t>
        </is>
      </c>
      <c r="S106">
        <f>HYPERLINK("https://klasma.github.io/Logging_2161/artfynd/A 63252-2023 artfynd.xlsx", "A 63252-2023")</f>
        <v/>
      </c>
      <c r="T106">
        <f>HYPERLINK("https://klasma.github.io/Logging_2161/kartor/A 63252-2023 karta.png", "A 63252-2023")</f>
        <v/>
      </c>
      <c r="V106">
        <f>HYPERLINK("https://klasma.github.io/Logging_2161/klagomål/A 63252-2023 FSC-klagomål.docx", "A 63252-2023")</f>
        <v/>
      </c>
      <c r="W106">
        <f>HYPERLINK("https://klasma.github.io/Logging_2161/klagomålsmail/A 63252-2023 FSC-klagomål mail.docx", "A 63252-2023")</f>
        <v/>
      </c>
      <c r="X106">
        <f>HYPERLINK("https://klasma.github.io/Logging_2161/tillsyn/A 63252-2023 tillsynsbegäran.docx", "A 63252-2023")</f>
        <v/>
      </c>
      <c r="Y106">
        <f>HYPERLINK("https://klasma.github.io/Logging_2161/tillsynsmail/A 63252-2023 tillsynsbegäran mail.docx", "A 63252-2023")</f>
        <v/>
      </c>
    </row>
    <row r="107" ht="15" customHeight="1">
      <c r="A107" t="inlineStr">
        <is>
          <t>A 19432-2025</t>
        </is>
      </c>
      <c r="B107" s="1" t="n">
        <v>45769.82990740741</v>
      </c>
      <c r="C107" s="1" t="n">
        <v>46086</v>
      </c>
      <c r="D107" t="inlineStr">
        <is>
          <t>GÄVLEBORGS LÄN</t>
        </is>
      </c>
      <c r="E107" t="inlineStr">
        <is>
          <t>HUDIKSVALL</t>
        </is>
      </c>
      <c r="F107" t="inlineStr">
        <is>
          <t>Holmen skog AB</t>
        </is>
      </c>
      <c r="G107" t="n">
        <v>10.4</v>
      </c>
      <c r="H107" t="n">
        <v>1</v>
      </c>
      <c r="I107" t="n">
        <v>4</v>
      </c>
      <c r="J107" t="n">
        <v>1</v>
      </c>
      <c r="K107" t="n">
        <v>0</v>
      </c>
      <c r="L107" t="n">
        <v>0</v>
      </c>
      <c r="M107" t="n">
        <v>0</v>
      </c>
      <c r="N107" t="n">
        <v>0</v>
      </c>
      <c r="O107" t="n">
        <v>1</v>
      </c>
      <c r="P107" t="n">
        <v>0</v>
      </c>
      <c r="Q107" t="n">
        <v>6</v>
      </c>
      <c r="R107" s="2" t="inlineStr">
        <is>
          <t>Myskmåra
Strutbräken
Svart trolldruva
Tibast
Underviol
Blåsippa</t>
        </is>
      </c>
      <c r="S107">
        <f>HYPERLINK("https://klasma.github.io/Logging_2184/artfynd/A 19432-2025 artfynd.xlsx", "A 19432-2025")</f>
        <v/>
      </c>
      <c r="T107">
        <f>HYPERLINK("https://klasma.github.io/Logging_2184/kartor/A 19432-2025 karta.png", "A 19432-2025")</f>
        <v/>
      </c>
      <c r="V107">
        <f>HYPERLINK("https://klasma.github.io/Logging_2184/klagomål/A 19432-2025 FSC-klagomål.docx", "A 19432-2025")</f>
        <v/>
      </c>
      <c r="W107">
        <f>HYPERLINK("https://klasma.github.io/Logging_2184/klagomålsmail/A 19432-2025 FSC-klagomål mail.docx", "A 19432-2025")</f>
        <v/>
      </c>
      <c r="X107">
        <f>HYPERLINK("https://klasma.github.io/Logging_2184/tillsyn/A 19432-2025 tillsynsbegäran.docx", "A 19432-2025")</f>
        <v/>
      </c>
      <c r="Y107">
        <f>HYPERLINK("https://klasma.github.io/Logging_2184/tillsynsmail/A 19432-2025 tillsynsbegäran mail.docx", "A 19432-2025")</f>
        <v/>
      </c>
    </row>
    <row r="108" ht="15" customHeight="1">
      <c r="A108" t="inlineStr">
        <is>
          <t>A 24031-2025</t>
        </is>
      </c>
      <c r="B108" s="1" t="n">
        <v>45796.47767361111</v>
      </c>
      <c r="C108" s="1" t="n">
        <v>46086</v>
      </c>
      <c r="D108" t="inlineStr">
        <is>
          <t>GÄVLEBORGS LÄN</t>
        </is>
      </c>
      <c r="E108" t="inlineStr">
        <is>
          <t>LJUSDAL</t>
        </is>
      </c>
      <c r="F108" t="inlineStr">
        <is>
          <t>Allmännings- och besparingsskogar</t>
        </is>
      </c>
      <c r="G108" t="n">
        <v>12.4</v>
      </c>
      <c r="H108" t="n">
        <v>2</v>
      </c>
      <c r="I108" t="n">
        <v>1</v>
      </c>
      <c r="J108" t="n">
        <v>4</v>
      </c>
      <c r="K108" t="n">
        <v>1</v>
      </c>
      <c r="L108" t="n">
        <v>0</v>
      </c>
      <c r="M108" t="n">
        <v>0</v>
      </c>
      <c r="N108" t="n">
        <v>0</v>
      </c>
      <c r="O108" t="n">
        <v>5</v>
      </c>
      <c r="P108" t="n">
        <v>1</v>
      </c>
      <c r="Q108" t="n">
        <v>6</v>
      </c>
      <c r="R108" s="2" t="inlineStr">
        <is>
          <t>Knärot
Dvärgbägarlav
Lunglav
Vedflamlav
Vedskivlav
Spindelblomster</t>
        </is>
      </c>
      <c r="S108">
        <f>HYPERLINK("https://klasma.github.io/Logging_2161/artfynd/A 24031-2025 artfynd.xlsx", "A 24031-2025")</f>
        <v/>
      </c>
      <c r="T108">
        <f>HYPERLINK("https://klasma.github.io/Logging_2161/kartor/A 24031-2025 karta.png", "A 24031-2025")</f>
        <v/>
      </c>
      <c r="U108">
        <f>HYPERLINK("https://klasma.github.io/Logging_2161/knärot/A 24031-2025 karta knärot.png", "A 24031-2025")</f>
        <v/>
      </c>
      <c r="V108">
        <f>HYPERLINK("https://klasma.github.io/Logging_2161/klagomål/A 24031-2025 FSC-klagomål.docx", "A 24031-2025")</f>
        <v/>
      </c>
      <c r="W108">
        <f>HYPERLINK("https://klasma.github.io/Logging_2161/klagomålsmail/A 24031-2025 FSC-klagomål mail.docx", "A 24031-2025")</f>
        <v/>
      </c>
      <c r="X108">
        <f>HYPERLINK("https://klasma.github.io/Logging_2161/tillsyn/A 24031-2025 tillsynsbegäran.docx", "A 24031-2025")</f>
        <v/>
      </c>
      <c r="Y108">
        <f>HYPERLINK("https://klasma.github.io/Logging_2161/tillsynsmail/A 24031-2025 tillsynsbegäran mail.docx", "A 24031-2025")</f>
        <v/>
      </c>
    </row>
    <row r="109" ht="15" customHeight="1">
      <c r="A109" t="inlineStr">
        <is>
          <t>A 15365-2023</t>
        </is>
      </c>
      <c r="B109" s="1" t="n">
        <v>45019</v>
      </c>
      <c r="C109" s="1" t="n">
        <v>46086</v>
      </c>
      <c r="D109" t="inlineStr">
        <is>
          <t>GÄVLEBORGS LÄN</t>
        </is>
      </c>
      <c r="E109" t="inlineStr">
        <is>
          <t>GÄVLE</t>
        </is>
      </c>
      <c r="G109" t="n">
        <v>55.2</v>
      </c>
      <c r="H109" t="n">
        <v>6</v>
      </c>
      <c r="I109" t="n">
        <v>0</v>
      </c>
      <c r="J109" t="n">
        <v>1</v>
      </c>
      <c r="K109" t="n">
        <v>1</v>
      </c>
      <c r="L109" t="n">
        <v>0</v>
      </c>
      <c r="M109" t="n">
        <v>0</v>
      </c>
      <c r="N109" t="n">
        <v>0</v>
      </c>
      <c r="O109" t="n">
        <v>2</v>
      </c>
      <c r="P109" t="n">
        <v>1</v>
      </c>
      <c r="Q109" t="n">
        <v>6</v>
      </c>
      <c r="R109" s="2" t="inlineStr">
        <is>
          <t>Knärot
Gulsparv
Enkelbeckasin
Grönsiska
Järnsparv
Kopparödla</t>
        </is>
      </c>
      <c r="S109">
        <f>HYPERLINK("https://klasma.github.io/Logging_2180/artfynd/A 15365-2023 artfynd.xlsx", "A 15365-2023")</f>
        <v/>
      </c>
      <c r="T109">
        <f>HYPERLINK("https://klasma.github.io/Logging_2180/kartor/A 15365-2023 karta.png", "A 15365-2023")</f>
        <v/>
      </c>
      <c r="U109">
        <f>HYPERLINK("https://klasma.github.io/Logging_2180/knärot/A 15365-2023 karta knärot.png", "A 15365-2023")</f>
        <v/>
      </c>
      <c r="V109">
        <f>HYPERLINK("https://klasma.github.io/Logging_2180/klagomål/A 15365-2023 FSC-klagomål.docx", "A 15365-2023")</f>
        <v/>
      </c>
      <c r="W109">
        <f>HYPERLINK("https://klasma.github.io/Logging_2180/klagomålsmail/A 15365-2023 FSC-klagomål mail.docx", "A 15365-2023")</f>
        <v/>
      </c>
      <c r="X109">
        <f>HYPERLINK("https://klasma.github.io/Logging_2180/tillsyn/A 15365-2023 tillsynsbegäran.docx", "A 15365-2023")</f>
        <v/>
      </c>
      <c r="Y109">
        <f>HYPERLINK("https://klasma.github.io/Logging_2180/tillsynsmail/A 15365-2023 tillsynsbegäran mail.docx", "A 15365-2023")</f>
        <v/>
      </c>
      <c r="Z109">
        <f>HYPERLINK("https://klasma.github.io/Logging_2180/fåglar/A 15365-2023 prioriterade fågelarter.docx", "A 15365-2023")</f>
        <v/>
      </c>
    </row>
    <row r="110" ht="15" customHeight="1">
      <c r="A110" t="inlineStr">
        <is>
          <t>A 26085-2025</t>
        </is>
      </c>
      <c r="B110" s="1" t="n">
        <v>45805.34453703704</v>
      </c>
      <c r="C110" s="1" t="n">
        <v>46086</v>
      </c>
      <c r="D110" t="inlineStr">
        <is>
          <t>GÄVLEBORGS LÄN</t>
        </is>
      </c>
      <c r="E110" t="inlineStr">
        <is>
          <t>LJUSDAL</t>
        </is>
      </c>
      <c r="F110" t="inlineStr">
        <is>
          <t>SCA</t>
        </is>
      </c>
      <c r="G110" t="n">
        <v>11.3</v>
      </c>
      <c r="H110" t="n">
        <v>2</v>
      </c>
      <c r="I110" t="n">
        <v>3</v>
      </c>
      <c r="J110" t="n">
        <v>1</v>
      </c>
      <c r="K110" t="n">
        <v>0</v>
      </c>
      <c r="L110" t="n">
        <v>0</v>
      </c>
      <c r="M110" t="n">
        <v>0</v>
      </c>
      <c r="N110" t="n">
        <v>0</v>
      </c>
      <c r="O110" t="n">
        <v>1</v>
      </c>
      <c r="P110" t="n">
        <v>0</v>
      </c>
      <c r="Q110" t="n">
        <v>6</v>
      </c>
      <c r="R110" s="2" t="inlineStr">
        <is>
          <t>Skuggviol
Kransrams
Svart trolldruva
Underviol
Blåsippa
Lopplummer (aggregat)</t>
        </is>
      </c>
      <c r="S110">
        <f>HYPERLINK("https://klasma.github.io/Logging_2161/artfynd/A 26085-2025 artfynd.xlsx", "A 26085-2025")</f>
        <v/>
      </c>
      <c r="T110">
        <f>HYPERLINK("https://klasma.github.io/Logging_2161/kartor/A 26085-2025 karta.png", "A 26085-2025")</f>
        <v/>
      </c>
      <c r="V110">
        <f>HYPERLINK("https://klasma.github.io/Logging_2161/klagomål/A 26085-2025 FSC-klagomål.docx", "A 26085-2025")</f>
        <v/>
      </c>
      <c r="W110">
        <f>HYPERLINK("https://klasma.github.io/Logging_2161/klagomålsmail/A 26085-2025 FSC-klagomål mail.docx", "A 26085-2025")</f>
        <v/>
      </c>
      <c r="X110">
        <f>HYPERLINK("https://klasma.github.io/Logging_2161/tillsyn/A 26085-2025 tillsynsbegäran.docx", "A 26085-2025")</f>
        <v/>
      </c>
      <c r="Y110">
        <f>HYPERLINK("https://klasma.github.io/Logging_2161/tillsynsmail/A 26085-2025 tillsynsbegäran mail.docx", "A 26085-2025")</f>
        <v/>
      </c>
    </row>
    <row r="111" ht="15" customHeight="1">
      <c r="A111" t="inlineStr">
        <is>
          <t>A 31524-2022</t>
        </is>
      </c>
      <c r="B111" s="1" t="n">
        <v>44775</v>
      </c>
      <c r="C111" s="1" t="n">
        <v>46086</v>
      </c>
      <c r="D111" t="inlineStr">
        <is>
          <t>GÄVLEBORGS LÄN</t>
        </is>
      </c>
      <c r="E111" t="inlineStr">
        <is>
          <t>LJUSDAL</t>
        </is>
      </c>
      <c r="F111" t="inlineStr">
        <is>
          <t>Sveaskog</t>
        </is>
      </c>
      <c r="G111" t="n">
        <v>38.6</v>
      </c>
      <c r="H111" t="n">
        <v>2</v>
      </c>
      <c r="I111" t="n">
        <v>2</v>
      </c>
      <c r="J111" t="n">
        <v>2</v>
      </c>
      <c r="K111" t="n">
        <v>0</v>
      </c>
      <c r="L111" t="n">
        <v>0</v>
      </c>
      <c r="M111" t="n">
        <v>0</v>
      </c>
      <c r="N111" t="n">
        <v>0</v>
      </c>
      <c r="O111" t="n">
        <v>2</v>
      </c>
      <c r="P111" t="n">
        <v>0</v>
      </c>
      <c r="Q111" t="n">
        <v>5</v>
      </c>
      <c r="R111" s="2" t="inlineStr">
        <is>
          <t>Garnlav
Gränsticka
Korallrot
Källmossa
Fläcknycklar</t>
        </is>
      </c>
      <c r="S111">
        <f>HYPERLINK("https://klasma.github.io/Logging_2161/artfynd/A 31524-2022 artfynd.xlsx", "A 31524-2022")</f>
        <v/>
      </c>
      <c r="T111">
        <f>HYPERLINK("https://klasma.github.io/Logging_2161/kartor/A 31524-2022 karta.png", "A 31524-2022")</f>
        <v/>
      </c>
      <c r="V111">
        <f>HYPERLINK("https://klasma.github.io/Logging_2161/klagomål/A 31524-2022 FSC-klagomål.docx", "A 31524-2022")</f>
        <v/>
      </c>
      <c r="W111">
        <f>HYPERLINK("https://klasma.github.io/Logging_2161/klagomålsmail/A 31524-2022 FSC-klagomål mail.docx", "A 31524-2022")</f>
        <v/>
      </c>
      <c r="X111">
        <f>HYPERLINK("https://klasma.github.io/Logging_2161/tillsyn/A 31524-2022 tillsynsbegäran.docx", "A 31524-2022")</f>
        <v/>
      </c>
      <c r="Y111">
        <f>HYPERLINK("https://klasma.github.io/Logging_2161/tillsynsmail/A 31524-2022 tillsynsbegäran mail.docx", "A 31524-2022")</f>
        <v/>
      </c>
    </row>
    <row r="112" ht="15" customHeight="1">
      <c r="A112" t="inlineStr">
        <is>
          <t>A 49036-2021</t>
        </is>
      </c>
      <c r="B112" s="1" t="n">
        <v>44453</v>
      </c>
      <c r="C112" s="1" t="n">
        <v>46086</v>
      </c>
      <c r="D112" t="inlineStr">
        <is>
          <t>GÄVLEBORGS LÄN</t>
        </is>
      </c>
      <c r="E112" t="inlineStr">
        <is>
          <t>HUDIKSVALL</t>
        </is>
      </c>
      <c r="G112" t="n">
        <v>11.7</v>
      </c>
      <c r="H112" t="n">
        <v>0</v>
      </c>
      <c r="I112" t="n">
        <v>2</v>
      </c>
      <c r="J112" t="n">
        <v>3</v>
      </c>
      <c r="K112" t="n">
        <v>0</v>
      </c>
      <c r="L112" t="n">
        <v>0</v>
      </c>
      <c r="M112" t="n">
        <v>0</v>
      </c>
      <c r="N112" t="n">
        <v>0</v>
      </c>
      <c r="O112" t="n">
        <v>3</v>
      </c>
      <c r="P112" t="n">
        <v>0</v>
      </c>
      <c r="Q112" t="n">
        <v>5</v>
      </c>
      <c r="R112" s="2" t="inlineStr">
        <is>
          <t>Granticka
Ullticka
Violettgrå tagellav
Kattfotslav
Vedticka</t>
        </is>
      </c>
      <c r="S112">
        <f>HYPERLINK("https://klasma.github.io/Logging_2184/artfynd/A 49036-2021 artfynd.xlsx", "A 49036-2021")</f>
        <v/>
      </c>
      <c r="T112">
        <f>HYPERLINK("https://klasma.github.io/Logging_2184/kartor/A 49036-2021 karta.png", "A 49036-2021")</f>
        <v/>
      </c>
      <c r="V112">
        <f>HYPERLINK("https://klasma.github.io/Logging_2184/klagomål/A 49036-2021 FSC-klagomål.docx", "A 49036-2021")</f>
        <v/>
      </c>
      <c r="W112">
        <f>HYPERLINK("https://klasma.github.io/Logging_2184/klagomålsmail/A 49036-2021 FSC-klagomål mail.docx", "A 49036-2021")</f>
        <v/>
      </c>
      <c r="X112">
        <f>HYPERLINK("https://klasma.github.io/Logging_2184/tillsyn/A 49036-2021 tillsynsbegäran.docx", "A 49036-2021")</f>
        <v/>
      </c>
      <c r="Y112">
        <f>HYPERLINK("https://klasma.github.io/Logging_2184/tillsynsmail/A 49036-2021 tillsynsbegäran mail.docx", "A 49036-2021")</f>
        <v/>
      </c>
    </row>
    <row r="113" ht="15" customHeight="1">
      <c r="A113" t="inlineStr">
        <is>
          <t>A 7229-2022</t>
        </is>
      </c>
      <c r="B113" s="1" t="n">
        <v>44606</v>
      </c>
      <c r="C113" s="1" t="n">
        <v>46086</v>
      </c>
      <c r="D113" t="inlineStr">
        <is>
          <t>GÄVLEBORGS LÄN</t>
        </is>
      </c>
      <c r="E113" t="inlineStr">
        <is>
          <t>HUDIKSVALL</t>
        </is>
      </c>
      <c r="F113" t="inlineStr">
        <is>
          <t>Holmen skog AB</t>
        </is>
      </c>
      <c r="G113" t="n">
        <v>1.4</v>
      </c>
      <c r="H113" t="n">
        <v>1</v>
      </c>
      <c r="I113" t="n">
        <v>2</v>
      </c>
      <c r="J113" t="n">
        <v>2</v>
      </c>
      <c r="K113" t="n">
        <v>0</v>
      </c>
      <c r="L113" t="n">
        <v>0</v>
      </c>
      <c r="M113" t="n">
        <v>0</v>
      </c>
      <c r="N113" t="n">
        <v>0</v>
      </c>
      <c r="O113" t="n">
        <v>2</v>
      </c>
      <c r="P113" t="n">
        <v>0</v>
      </c>
      <c r="Q113" t="n">
        <v>5</v>
      </c>
      <c r="R113" s="2" t="inlineStr">
        <is>
          <t>Ullticka
Violettgrå tagellav
Bronshjon
Vedticka
Revlummer</t>
        </is>
      </c>
      <c r="S113">
        <f>HYPERLINK("https://klasma.github.io/Logging_2184/artfynd/A 7229-2022 artfynd.xlsx", "A 7229-2022")</f>
        <v/>
      </c>
      <c r="T113">
        <f>HYPERLINK("https://klasma.github.io/Logging_2184/kartor/A 7229-2022 karta.png", "A 7229-2022")</f>
        <v/>
      </c>
      <c r="V113">
        <f>HYPERLINK("https://klasma.github.io/Logging_2184/klagomål/A 7229-2022 FSC-klagomål.docx", "A 7229-2022")</f>
        <v/>
      </c>
      <c r="W113">
        <f>HYPERLINK("https://klasma.github.io/Logging_2184/klagomålsmail/A 7229-2022 FSC-klagomål mail.docx", "A 7229-2022")</f>
        <v/>
      </c>
      <c r="X113">
        <f>HYPERLINK("https://klasma.github.io/Logging_2184/tillsyn/A 7229-2022 tillsynsbegäran.docx", "A 7229-2022")</f>
        <v/>
      </c>
      <c r="Y113">
        <f>HYPERLINK("https://klasma.github.io/Logging_2184/tillsynsmail/A 7229-2022 tillsynsbegäran mail.docx", "A 7229-2022")</f>
        <v/>
      </c>
    </row>
    <row r="114" ht="15" customHeight="1">
      <c r="A114" t="inlineStr">
        <is>
          <t>A 49799-2023</t>
        </is>
      </c>
      <c r="B114" s="1" t="n">
        <v>45212</v>
      </c>
      <c r="C114" s="1" t="n">
        <v>46086</v>
      </c>
      <c r="D114" t="inlineStr">
        <is>
          <t>GÄVLEBORGS LÄN</t>
        </is>
      </c>
      <c r="E114" t="inlineStr">
        <is>
          <t>HUDIKSVALL</t>
        </is>
      </c>
      <c r="G114" t="n">
        <v>4</v>
      </c>
      <c r="H114" t="n">
        <v>0</v>
      </c>
      <c r="I114" t="n">
        <v>1</v>
      </c>
      <c r="J114" t="n">
        <v>4</v>
      </c>
      <c r="K114" t="n">
        <v>0</v>
      </c>
      <c r="L114" t="n">
        <v>0</v>
      </c>
      <c r="M114" t="n">
        <v>0</v>
      </c>
      <c r="N114" t="n">
        <v>0</v>
      </c>
      <c r="O114" t="n">
        <v>4</v>
      </c>
      <c r="P114" t="n">
        <v>0</v>
      </c>
      <c r="Q114" t="n">
        <v>5</v>
      </c>
      <c r="R114" s="2" t="inlineStr">
        <is>
          <t>Rosenticka
Ullticka
Violettgrå tagellav
Vitgrynig nållav
Vedticka</t>
        </is>
      </c>
      <c r="S114">
        <f>HYPERLINK("https://klasma.github.io/Logging_2184/artfynd/A 49799-2023 artfynd.xlsx", "A 49799-2023")</f>
        <v/>
      </c>
      <c r="T114">
        <f>HYPERLINK("https://klasma.github.io/Logging_2184/kartor/A 49799-2023 karta.png", "A 49799-2023")</f>
        <v/>
      </c>
      <c r="V114">
        <f>HYPERLINK("https://klasma.github.io/Logging_2184/klagomål/A 49799-2023 FSC-klagomål.docx", "A 49799-2023")</f>
        <v/>
      </c>
      <c r="W114">
        <f>HYPERLINK("https://klasma.github.io/Logging_2184/klagomålsmail/A 49799-2023 FSC-klagomål mail.docx", "A 49799-2023")</f>
        <v/>
      </c>
      <c r="X114">
        <f>HYPERLINK("https://klasma.github.io/Logging_2184/tillsyn/A 49799-2023 tillsynsbegäran.docx", "A 49799-2023")</f>
        <v/>
      </c>
      <c r="Y114">
        <f>HYPERLINK("https://klasma.github.io/Logging_2184/tillsynsmail/A 49799-2023 tillsynsbegäran mail.docx", "A 49799-2023")</f>
        <v/>
      </c>
    </row>
    <row r="115" ht="15" customHeight="1">
      <c r="A115" t="inlineStr">
        <is>
          <t>A 55280-2022</t>
        </is>
      </c>
      <c r="B115" s="1" t="n">
        <v>44887</v>
      </c>
      <c r="C115" s="1" t="n">
        <v>46086</v>
      </c>
      <c r="D115" t="inlineStr">
        <is>
          <t>GÄVLEBORGS LÄN</t>
        </is>
      </c>
      <c r="E115" t="inlineStr">
        <is>
          <t>HUDIKSVALL</t>
        </is>
      </c>
      <c r="F115" t="inlineStr">
        <is>
          <t>Holmen skog AB</t>
        </is>
      </c>
      <c r="G115" t="n">
        <v>3.3</v>
      </c>
      <c r="H115" t="n">
        <v>0</v>
      </c>
      <c r="I115" t="n">
        <v>1</v>
      </c>
      <c r="J115" t="n">
        <v>4</v>
      </c>
      <c r="K115" t="n">
        <v>0</v>
      </c>
      <c r="L115" t="n">
        <v>0</v>
      </c>
      <c r="M115" t="n">
        <v>0</v>
      </c>
      <c r="N115" t="n">
        <v>0</v>
      </c>
      <c r="O115" t="n">
        <v>4</v>
      </c>
      <c r="P115" t="n">
        <v>0</v>
      </c>
      <c r="Q115" t="n">
        <v>5</v>
      </c>
      <c r="R115" s="2" t="inlineStr">
        <is>
          <t>Granticka
Ullticka
Veckticka
Vedtrappmossa
Korallblylav</t>
        </is>
      </c>
      <c r="S115">
        <f>HYPERLINK("https://klasma.github.io/Logging_2184/artfynd/A 55280-2022 artfynd.xlsx", "A 55280-2022")</f>
        <v/>
      </c>
      <c r="T115">
        <f>HYPERLINK("https://klasma.github.io/Logging_2184/kartor/A 55280-2022 karta.png", "A 55280-2022")</f>
        <v/>
      </c>
      <c r="V115">
        <f>HYPERLINK("https://klasma.github.io/Logging_2184/klagomål/A 55280-2022 FSC-klagomål.docx", "A 55280-2022")</f>
        <v/>
      </c>
      <c r="W115">
        <f>HYPERLINK("https://klasma.github.io/Logging_2184/klagomålsmail/A 55280-2022 FSC-klagomål mail.docx", "A 55280-2022")</f>
        <v/>
      </c>
      <c r="X115">
        <f>HYPERLINK("https://klasma.github.io/Logging_2184/tillsyn/A 55280-2022 tillsynsbegäran.docx", "A 55280-2022")</f>
        <v/>
      </c>
      <c r="Y115">
        <f>HYPERLINK("https://klasma.github.io/Logging_2184/tillsynsmail/A 55280-2022 tillsynsbegäran mail.docx", "A 55280-2022")</f>
        <v/>
      </c>
    </row>
    <row r="116" ht="15" customHeight="1">
      <c r="A116" t="inlineStr">
        <is>
          <t>A 45278-2022</t>
        </is>
      </c>
      <c r="B116" s="1" t="n">
        <v>44840</v>
      </c>
      <c r="C116" s="1" t="n">
        <v>46086</v>
      </c>
      <c r="D116" t="inlineStr">
        <is>
          <t>GÄVLEBORGS LÄN</t>
        </is>
      </c>
      <c r="E116" t="inlineStr">
        <is>
          <t>GÄVLE</t>
        </is>
      </c>
      <c r="F116" t="inlineStr">
        <is>
          <t>Bergvik skog väst AB</t>
        </is>
      </c>
      <c r="G116" t="n">
        <v>8.5</v>
      </c>
      <c r="H116" t="n">
        <v>1</v>
      </c>
      <c r="I116" t="n">
        <v>4</v>
      </c>
      <c r="J116" t="n">
        <v>0</v>
      </c>
      <c r="K116" t="n">
        <v>0</v>
      </c>
      <c r="L116" t="n">
        <v>0</v>
      </c>
      <c r="M116" t="n">
        <v>0</v>
      </c>
      <c r="N116" t="n">
        <v>0</v>
      </c>
      <c r="O116" t="n">
        <v>0</v>
      </c>
      <c r="P116" t="n">
        <v>0</v>
      </c>
      <c r="Q116" t="n">
        <v>5</v>
      </c>
      <c r="R116" s="2" t="inlineStr">
        <is>
          <t>Grönpyrola
Svart trolldruva
Underviol
Vårärt
Blåsippa</t>
        </is>
      </c>
      <c r="S116">
        <f>HYPERLINK("https://klasma.github.io/Logging_2180/artfynd/A 45278-2022 artfynd.xlsx", "A 45278-2022")</f>
        <v/>
      </c>
      <c r="T116">
        <f>HYPERLINK("https://klasma.github.io/Logging_2180/kartor/A 45278-2022 karta.png", "A 45278-2022")</f>
        <v/>
      </c>
      <c r="V116">
        <f>HYPERLINK("https://klasma.github.io/Logging_2180/klagomål/A 45278-2022 FSC-klagomål.docx", "A 45278-2022")</f>
        <v/>
      </c>
      <c r="W116">
        <f>HYPERLINK("https://klasma.github.io/Logging_2180/klagomålsmail/A 45278-2022 FSC-klagomål mail.docx", "A 45278-2022")</f>
        <v/>
      </c>
      <c r="X116">
        <f>HYPERLINK("https://klasma.github.io/Logging_2180/tillsyn/A 45278-2022 tillsynsbegäran.docx", "A 45278-2022")</f>
        <v/>
      </c>
      <c r="Y116">
        <f>HYPERLINK("https://klasma.github.io/Logging_2180/tillsynsmail/A 45278-2022 tillsynsbegäran mail.docx", "A 45278-2022")</f>
        <v/>
      </c>
    </row>
    <row r="117" ht="15" customHeight="1">
      <c r="A117" t="inlineStr">
        <is>
          <t>A 51955-2023</t>
        </is>
      </c>
      <c r="B117" s="1" t="n">
        <v>45223.53979166667</v>
      </c>
      <c r="C117" s="1" t="n">
        <v>46086</v>
      </c>
      <c r="D117" t="inlineStr">
        <is>
          <t>GÄVLEBORGS LÄN</t>
        </is>
      </c>
      <c r="E117" t="inlineStr">
        <is>
          <t>LJUSDAL</t>
        </is>
      </c>
      <c r="F117" t="inlineStr">
        <is>
          <t>Sveaskog</t>
        </is>
      </c>
      <c r="G117" t="n">
        <v>33.5</v>
      </c>
      <c r="H117" t="n">
        <v>0</v>
      </c>
      <c r="I117" t="n">
        <v>1</v>
      </c>
      <c r="J117" t="n">
        <v>3</v>
      </c>
      <c r="K117" t="n">
        <v>1</v>
      </c>
      <c r="L117" t="n">
        <v>0</v>
      </c>
      <c r="M117" t="n">
        <v>0</v>
      </c>
      <c r="N117" t="n">
        <v>0</v>
      </c>
      <c r="O117" t="n">
        <v>4</v>
      </c>
      <c r="P117" t="n">
        <v>1</v>
      </c>
      <c r="Q117" t="n">
        <v>5</v>
      </c>
      <c r="R117" s="2" t="inlineStr">
        <is>
          <t>Gräddporing
Kolflarnlav
Mörk kolflarnlav
Vedflamlav
Dropptaggsvamp</t>
        </is>
      </c>
      <c r="S117">
        <f>HYPERLINK("https://klasma.github.io/Logging_2161/artfynd/A 51955-2023 artfynd.xlsx", "A 51955-2023")</f>
        <v/>
      </c>
      <c r="T117">
        <f>HYPERLINK("https://klasma.github.io/Logging_2161/kartor/A 51955-2023 karta.png", "A 51955-2023")</f>
        <v/>
      </c>
      <c r="V117">
        <f>HYPERLINK("https://klasma.github.io/Logging_2161/klagomål/A 51955-2023 FSC-klagomål.docx", "A 51955-2023")</f>
        <v/>
      </c>
      <c r="W117">
        <f>HYPERLINK("https://klasma.github.io/Logging_2161/klagomålsmail/A 51955-2023 FSC-klagomål mail.docx", "A 51955-2023")</f>
        <v/>
      </c>
      <c r="X117">
        <f>HYPERLINK("https://klasma.github.io/Logging_2161/tillsyn/A 51955-2023 tillsynsbegäran.docx", "A 51955-2023")</f>
        <v/>
      </c>
      <c r="Y117">
        <f>HYPERLINK("https://klasma.github.io/Logging_2161/tillsynsmail/A 51955-2023 tillsynsbegäran mail.docx", "A 51955-2023")</f>
        <v/>
      </c>
    </row>
    <row r="118" ht="15" customHeight="1">
      <c r="A118" t="inlineStr">
        <is>
          <t>A 19521-2023</t>
        </is>
      </c>
      <c r="B118" s="1" t="n">
        <v>45050</v>
      </c>
      <c r="C118" s="1" t="n">
        <v>46086</v>
      </c>
      <c r="D118" t="inlineStr">
        <is>
          <t>GÄVLEBORGS LÄN</t>
        </is>
      </c>
      <c r="E118" t="inlineStr">
        <is>
          <t>HUDIKSVALL</t>
        </is>
      </c>
      <c r="F118" t="inlineStr">
        <is>
          <t>Holmen skog AB</t>
        </is>
      </c>
      <c r="G118" t="n">
        <v>9.300000000000001</v>
      </c>
      <c r="H118" t="n">
        <v>2</v>
      </c>
      <c r="I118" t="n">
        <v>1</v>
      </c>
      <c r="J118" t="n">
        <v>2</v>
      </c>
      <c r="K118" t="n">
        <v>0</v>
      </c>
      <c r="L118" t="n">
        <v>0</v>
      </c>
      <c r="M118" t="n">
        <v>0</v>
      </c>
      <c r="N118" t="n">
        <v>0</v>
      </c>
      <c r="O118" t="n">
        <v>2</v>
      </c>
      <c r="P118" t="n">
        <v>0</v>
      </c>
      <c r="Q118" t="n">
        <v>5</v>
      </c>
      <c r="R118" s="2" t="inlineStr">
        <is>
          <t>Kolflarnlav
Lunglav
Bollvitmossa
Tjäder
Vanlig groda</t>
        </is>
      </c>
      <c r="S118">
        <f>HYPERLINK("https://klasma.github.io/Logging_2184/artfynd/A 19521-2023 artfynd.xlsx", "A 19521-2023")</f>
        <v/>
      </c>
      <c r="T118">
        <f>HYPERLINK("https://klasma.github.io/Logging_2184/kartor/A 19521-2023 karta.png", "A 19521-2023")</f>
        <v/>
      </c>
      <c r="V118">
        <f>HYPERLINK("https://klasma.github.io/Logging_2184/klagomål/A 19521-2023 FSC-klagomål.docx", "A 19521-2023")</f>
        <v/>
      </c>
      <c r="W118">
        <f>HYPERLINK("https://klasma.github.io/Logging_2184/klagomålsmail/A 19521-2023 FSC-klagomål mail.docx", "A 19521-2023")</f>
        <v/>
      </c>
      <c r="X118">
        <f>HYPERLINK("https://klasma.github.io/Logging_2184/tillsyn/A 19521-2023 tillsynsbegäran.docx", "A 19521-2023")</f>
        <v/>
      </c>
      <c r="Y118">
        <f>HYPERLINK("https://klasma.github.io/Logging_2184/tillsynsmail/A 19521-2023 tillsynsbegäran mail.docx", "A 19521-2023")</f>
        <v/>
      </c>
      <c r="Z118">
        <f>HYPERLINK("https://klasma.github.io/Logging_2184/fåglar/A 19521-2023 prioriterade fågelarter.docx", "A 19521-2023")</f>
        <v/>
      </c>
    </row>
    <row r="119" ht="15" customHeight="1">
      <c r="A119" t="inlineStr">
        <is>
          <t>A 21488-2022</t>
        </is>
      </c>
      <c r="B119" s="1" t="n">
        <v>44706.44454861111</v>
      </c>
      <c r="C119" s="1" t="n">
        <v>46086</v>
      </c>
      <c r="D119" t="inlineStr">
        <is>
          <t>GÄVLEBORGS LÄN</t>
        </is>
      </c>
      <c r="E119" t="inlineStr">
        <is>
          <t>SÖDERHAMN</t>
        </is>
      </c>
      <c r="F119" t="inlineStr">
        <is>
          <t>Bergvik skog väst AB</t>
        </is>
      </c>
      <c r="G119" t="n">
        <v>6</v>
      </c>
      <c r="H119" t="n">
        <v>5</v>
      </c>
      <c r="I119" t="n">
        <v>0</v>
      </c>
      <c r="J119" t="n">
        <v>1</v>
      </c>
      <c r="K119" t="n">
        <v>0</v>
      </c>
      <c r="L119" t="n">
        <v>0</v>
      </c>
      <c r="M119" t="n">
        <v>0</v>
      </c>
      <c r="N119" t="n">
        <v>0</v>
      </c>
      <c r="O119" t="n">
        <v>1</v>
      </c>
      <c r="P119" t="n">
        <v>0</v>
      </c>
      <c r="Q119" t="n">
        <v>5</v>
      </c>
      <c r="R119" s="2" t="inlineStr">
        <is>
          <t>Talltita
Grönsiska
Järnsparv
Kungsfågel
Fläcknycklar</t>
        </is>
      </c>
      <c r="S119">
        <f>HYPERLINK("https://klasma.github.io/Logging_2182/artfynd/A 21488-2022 artfynd.xlsx", "A 21488-2022")</f>
        <v/>
      </c>
      <c r="T119">
        <f>HYPERLINK("https://klasma.github.io/Logging_2182/kartor/A 21488-2022 karta.png", "A 21488-2022")</f>
        <v/>
      </c>
      <c r="V119">
        <f>HYPERLINK("https://klasma.github.io/Logging_2182/klagomål/A 21488-2022 FSC-klagomål.docx", "A 21488-2022")</f>
        <v/>
      </c>
      <c r="W119">
        <f>HYPERLINK("https://klasma.github.io/Logging_2182/klagomålsmail/A 21488-2022 FSC-klagomål mail.docx", "A 21488-2022")</f>
        <v/>
      </c>
      <c r="X119">
        <f>HYPERLINK("https://klasma.github.io/Logging_2182/tillsyn/A 21488-2022 tillsynsbegäran.docx", "A 21488-2022")</f>
        <v/>
      </c>
      <c r="Y119">
        <f>HYPERLINK("https://klasma.github.io/Logging_2182/tillsynsmail/A 21488-2022 tillsynsbegäran mail.docx", "A 21488-2022")</f>
        <v/>
      </c>
      <c r="Z119">
        <f>HYPERLINK("https://klasma.github.io/Logging_2182/fåglar/A 21488-2022 prioriterade fågelarter.docx", "A 21488-2022")</f>
        <v/>
      </c>
    </row>
    <row r="120" ht="15" customHeight="1">
      <c r="A120" t="inlineStr">
        <is>
          <t>A 28531-2025</t>
        </is>
      </c>
      <c r="B120" s="1" t="n">
        <v>45819.49947916667</v>
      </c>
      <c r="C120" s="1" t="n">
        <v>46086</v>
      </c>
      <c r="D120" t="inlineStr">
        <is>
          <t>GÄVLEBORGS LÄN</t>
        </is>
      </c>
      <c r="E120" t="inlineStr">
        <is>
          <t>LJUSDAL</t>
        </is>
      </c>
      <c r="F120" t="inlineStr">
        <is>
          <t>Allmännings- och besparingsskogar</t>
        </is>
      </c>
      <c r="G120" t="n">
        <v>1.2</v>
      </c>
      <c r="H120" t="n">
        <v>1</v>
      </c>
      <c r="I120" t="n">
        <v>1</v>
      </c>
      <c r="J120" t="n">
        <v>4</v>
      </c>
      <c r="K120" t="n">
        <v>0</v>
      </c>
      <c r="L120" t="n">
        <v>0</v>
      </c>
      <c r="M120" t="n">
        <v>0</v>
      </c>
      <c r="N120" t="n">
        <v>0</v>
      </c>
      <c r="O120" t="n">
        <v>4</v>
      </c>
      <c r="P120" t="n">
        <v>0</v>
      </c>
      <c r="Q120" t="n">
        <v>5</v>
      </c>
      <c r="R120" s="2" t="inlineStr">
        <is>
          <t>Garnlav
Kolflarnlav
Mörk kolflarnlav
Vedskivlav
Plattlummer</t>
        </is>
      </c>
      <c r="S120">
        <f>HYPERLINK("https://klasma.github.io/Logging_2161/artfynd/A 28531-2025 artfynd.xlsx", "A 28531-2025")</f>
        <v/>
      </c>
      <c r="T120">
        <f>HYPERLINK("https://klasma.github.io/Logging_2161/kartor/A 28531-2025 karta.png", "A 28531-2025")</f>
        <v/>
      </c>
      <c r="V120">
        <f>HYPERLINK("https://klasma.github.io/Logging_2161/klagomål/A 28531-2025 FSC-klagomål.docx", "A 28531-2025")</f>
        <v/>
      </c>
      <c r="W120">
        <f>HYPERLINK("https://klasma.github.io/Logging_2161/klagomålsmail/A 28531-2025 FSC-klagomål mail.docx", "A 28531-2025")</f>
        <v/>
      </c>
      <c r="X120">
        <f>HYPERLINK("https://klasma.github.io/Logging_2161/tillsyn/A 28531-2025 tillsynsbegäran.docx", "A 28531-2025")</f>
        <v/>
      </c>
      <c r="Y120">
        <f>HYPERLINK("https://klasma.github.io/Logging_2161/tillsynsmail/A 28531-2025 tillsynsbegäran mail.docx", "A 28531-2025")</f>
        <v/>
      </c>
    </row>
    <row r="121" ht="15" customHeight="1">
      <c r="A121" t="inlineStr">
        <is>
          <t>A 39028-2025</t>
        </is>
      </c>
      <c r="B121" s="1" t="n">
        <v>45888.40666666667</v>
      </c>
      <c r="C121" s="1" t="n">
        <v>46086</v>
      </c>
      <c r="D121" t="inlineStr">
        <is>
          <t>GÄVLEBORGS LÄN</t>
        </is>
      </c>
      <c r="E121" t="inlineStr">
        <is>
          <t>LJUSDAL</t>
        </is>
      </c>
      <c r="F121" t="inlineStr">
        <is>
          <t>SCA</t>
        </is>
      </c>
      <c r="G121" t="n">
        <v>21.4</v>
      </c>
      <c r="H121" t="n">
        <v>2</v>
      </c>
      <c r="I121" t="n">
        <v>1</v>
      </c>
      <c r="J121" t="n">
        <v>2</v>
      </c>
      <c r="K121" t="n">
        <v>0</v>
      </c>
      <c r="L121" t="n">
        <v>0</v>
      </c>
      <c r="M121" t="n">
        <v>0</v>
      </c>
      <c r="N121" t="n">
        <v>0</v>
      </c>
      <c r="O121" t="n">
        <v>2</v>
      </c>
      <c r="P121" t="n">
        <v>0</v>
      </c>
      <c r="Q121" t="n">
        <v>5</v>
      </c>
      <c r="R121" s="2" t="inlineStr">
        <is>
          <t>Gammelgransskål
Garnlav
Spädstarr
Nattviol
Revlummer</t>
        </is>
      </c>
      <c r="S121">
        <f>HYPERLINK("https://klasma.github.io/Logging_2161/artfynd/A 39028-2025 artfynd.xlsx", "A 39028-2025")</f>
        <v/>
      </c>
      <c r="T121">
        <f>HYPERLINK("https://klasma.github.io/Logging_2161/kartor/A 39028-2025 karta.png", "A 39028-2025")</f>
        <v/>
      </c>
      <c r="V121">
        <f>HYPERLINK("https://klasma.github.io/Logging_2161/klagomål/A 39028-2025 FSC-klagomål.docx", "A 39028-2025")</f>
        <v/>
      </c>
      <c r="W121">
        <f>HYPERLINK("https://klasma.github.io/Logging_2161/klagomålsmail/A 39028-2025 FSC-klagomål mail.docx", "A 39028-2025")</f>
        <v/>
      </c>
      <c r="X121">
        <f>HYPERLINK("https://klasma.github.io/Logging_2161/tillsyn/A 39028-2025 tillsynsbegäran.docx", "A 39028-2025")</f>
        <v/>
      </c>
      <c r="Y121">
        <f>HYPERLINK("https://klasma.github.io/Logging_2161/tillsynsmail/A 39028-2025 tillsynsbegäran mail.docx", "A 39028-2025")</f>
        <v/>
      </c>
    </row>
    <row r="122" ht="15" customHeight="1">
      <c r="A122" t="inlineStr">
        <is>
          <t>A 40143-2025</t>
        </is>
      </c>
      <c r="B122" s="1" t="n">
        <v>45894.57269675926</v>
      </c>
      <c r="C122" s="1" t="n">
        <v>46086</v>
      </c>
      <c r="D122" t="inlineStr">
        <is>
          <t>GÄVLEBORGS LÄN</t>
        </is>
      </c>
      <c r="E122" t="inlineStr">
        <is>
          <t>LJUSDAL</t>
        </is>
      </c>
      <c r="F122" t="inlineStr">
        <is>
          <t>Sveaskog</t>
        </is>
      </c>
      <c r="G122" t="n">
        <v>7.3</v>
      </c>
      <c r="H122" t="n">
        <v>2</v>
      </c>
      <c r="I122" t="n">
        <v>1</v>
      </c>
      <c r="J122" t="n">
        <v>3</v>
      </c>
      <c r="K122" t="n">
        <v>0</v>
      </c>
      <c r="L122" t="n">
        <v>0</v>
      </c>
      <c r="M122" t="n">
        <v>0</v>
      </c>
      <c r="N122" t="n">
        <v>0</v>
      </c>
      <c r="O122" t="n">
        <v>3</v>
      </c>
      <c r="P122" t="n">
        <v>0</v>
      </c>
      <c r="Q122" t="n">
        <v>5</v>
      </c>
      <c r="R122" s="2" t="inlineStr">
        <is>
          <t>Lunglav
Skrovellav
Talltita
Luddlav
Fläcknycklar</t>
        </is>
      </c>
      <c r="S122">
        <f>HYPERLINK("https://klasma.github.io/Logging_2161/artfynd/A 40143-2025 artfynd.xlsx", "A 40143-2025")</f>
        <v/>
      </c>
      <c r="T122">
        <f>HYPERLINK("https://klasma.github.io/Logging_2161/kartor/A 40143-2025 karta.png", "A 40143-2025")</f>
        <v/>
      </c>
      <c r="V122">
        <f>HYPERLINK("https://klasma.github.io/Logging_2161/klagomål/A 40143-2025 FSC-klagomål.docx", "A 40143-2025")</f>
        <v/>
      </c>
      <c r="W122">
        <f>HYPERLINK("https://klasma.github.io/Logging_2161/klagomålsmail/A 40143-2025 FSC-klagomål mail.docx", "A 40143-2025")</f>
        <v/>
      </c>
      <c r="X122">
        <f>HYPERLINK("https://klasma.github.io/Logging_2161/tillsyn/A 40143-2025 tillsynsbegäran.docx", "A 40143-2025")</f>
        <v/>
      </c>
      <c r="Y122">
        <f>HYPERLINK("https://klasma.github.io/Logging_2161/tillsynsmail/A 40143-2025 tillsynsbegäran mail.docx", "A 40143-2025")</f>
        <v/>
      </c>
      <c r="Z122">
        <f>HYPERLINK("https://klasma.github.io/Logging_2161/fåglar/A 40143-2025 prioriterade fågelarter.docx", "A 40143-2025")</f>
        <v/>
      </c>
    </row>
    <row r="123" ht="15" customHeight="1">
      <c r="A123" t="inlineStr">
        <is>
          <t>A 32536-2025</t>
        </is>
      </c>
      <c r="B123" s="1" t="n">
        <v>45838.49390046296</v>
      </c>
      <c r="C123" s="1" t="n">
        <v>46086</v>
      </c>
      <c r="D123" t="inlineStr">
        <is>
          <t>GÄVLEBORGS LÄN</t>
        </is>
      </c>
      <c r="E123" t="inlineStr">
        <is>
          <t>LJUSDAL</t>
        </is>
      </c>
      <c r="F123" t="inlineStr">
        <is>
          <t>Sveaskog</t>
        </is>
      </c>
      <c r="G123" t="n">
        <v>4.6</v>
      </c>
      <c r="H123" t="n">
        <v>0</v>
      </c>
      <c r="I123" t="n">
        <v>0</v>
      </c>
      <c r="J123" t="n">
        <v>5</v>
      </c>
      <c r="K123" t="n">
        <v>0</v>
      </c>
      <c r="L123" t="n">
        <v>0</v>
      </c>
      <c r="M123" t="n">
        <v>0</v>
      </c>
      <c r="N123" t="n">
        <v>0</v>
      </c>
      <c r="O123" t="n">
        <v>5</v>
      </c>
      <c r="P123" t="n">
        <v>0</v>
      </c>
      <c r="Q123" t="n">
        <v>5</v>
      </c>
      <c r="R123" s="2" t="inlineStr">
        <is>
          <t>Garnlav
Kolflarnlav
Lunglav
Skrovellav
Vedflamlav</t>
        </is>
      </c>
      <c r="S123">
        <f>HYPERLINK("https://klasma.github.io/Logging_2161/artfynd/A 32536-2025 artfynd.xlsx", "A 32536-2025")</f>
        <v/>
      </c>
      <c r="T123">
        <f>HYPERLINK("https://klasma.github.io/Logging_2161/kartor/A 32536-2025 karta.png", "A 32536-2025")</f>
        <v/>
      </c>
      <c r="V123">
        <f>HYPERLINK("https://klasma.github.io/Logging_2161/klagomål/A 32536-2025 FSC-klagomål.docx", "A 32536-2025")</f>
        <v/>
      </c>
      <c r="W123">
        <f>HYPERLINK("https://klasma.github.io/Logging_2161/klagomålsmail/A 32536-2025 FSC-klagomål mail.docx", "A 32536-2025")</f>
        <v/>
      </c>
      <c r="X123">
        <f>HYPERLINK("https://klasma.github.io/Logging_2161/tillsyn/A 32536-2025 tillsynsbegäran.docx", "A 32536-2025")</f>
        <v/>
      </c>
      <c r="Y123">
        <f>HYPERLINK("https://klasma.github.io/Logging_2161/tillsynsmail/A 32536-2025 tillsynsbegäran mail.docx", "A 32536-2025")</f>
        <v/>
      </c>
    </row>
    <row r="124" ht="15" customHeight="1">
      <c r="A124" t="inlineStr">
        <is>
          <t>A 42179-2025</t>
        </is>
      </c>
      <c r="B124" s="1" t="n">
        <v>45904.45008101852</v>
      </c>
      <c r="C124" s="1" t="n">
        <v>46086</v>
      </c>
      <c r="D124" t="inlineStr">
        <is>
          <t>GÄVLEBORGS LÄN</t>
        </is>
      </c>
      <c r="E124" t="inlineStr">
        <is>
          <t>LJUSDAL</t>
        </is>
      </c>
      <c r="F124" t="inlineStr">
        <is>
          <t>Allmännings- och besparingsskogar</t>
        </is>
      </c>
      <c r="G124" t="n">
        <v>3.9</v>
      </c>
      <c r="H124" t="n">
        <v>4</v>
      </c>
      <c r="I124" t="n">
        <v>0</v>
      </c>
      <c r="J124" t="n">
        <v>3</v>
      </c>
      <c r="K124" t="n">
        <v>1</v>
      </c>
      <c r="L124" t="n">
        <v>0</v>
      </c>
      <c r="M124" t="n">
        <v>0</v>
      </c>
      <c r="N124" t="n">
        <v>0</v>
      </c>
      <c r="O124" t="n">
        <v>4</v>
      </c>
      <c r="P124" t="n">
        <v>1</v>
      </c>
      <c r="Q124" t="n">
        <v>5</v>
      </c>
      <c r="R124" s="2" t="inlineStr">
        <is>
          <t>Knärot
Björktrast
Garnlav
Tretåig hackspett
Revlummer</t>
        </is>
      </c>
      <c r="S124">
        <f>HYPERLINK("https://klasma.github.io/Logging_2161/artfynd/A 42179-2025 artfynd.xlsx", "A 42179-2025")</f>
        <v/>
      </c>
      <c r="T124">
        <f>HYPERLINK("https://klasma.github.io/Logging_2161/kartor/A 42179-2025 karta.png", "A 42179-2025")</f>
        <v/>
      </c>
      <c r="U124">
        <f>HYPERLINK("https://klasma.github.io/Logging_2161/knärot/A 42179-2025 karta knärot.png", "A 42179-2025")</f>
        <v/>
      </c>
      <c r="V124">
        <f>HYPERLINK("https://klasma.github.io/Logging_2161/klagomål/A 42179-2025 FSC-klagomål.docx", "A 42179-2025")</f>
        <v/>
      </c>
      <c r="W124">
        <f>HYPERLINK("https://klasma.github.io/Logging_2161/klagomålsmail/A 42179-2025 FSC-klagomål mail.docx", "A 42179-2025")</f>
        <v/>
      </c>
      <c r="X124">
        <f>HYPERLINK("https://klasma.github.io/Logging_2161/tillsyn/A 42179-2025 tillsynsbegäran.docx", "A 42179-2025")</f>
        <v/>
      </c>
      <c r="Y124">
        <f>HYPERLINK("https://klasma.github.io/Logging_2161/tillsynsmail/A 42179-2025 tillsynsbegäran mail.docx", "A 42179-2025")</f>
        <v/>
      </c>
      <c r="Z124">
        <f>HYPERLINK("https://klasma.github.io/Logging_2161/fåglar/A 42179-2025 prioriterade fågelarter.docx", "A 42179-2025")</f>
        <v/>
      </c>
    </row>
    <row r="125" ht="15" customHeight="1">
      <c r="A125" t="inlineStr">
        <is>
          <t>A 43200-2025</t>
        </is>
      </c>
      <c r="B125" s="1" t="n">
        <v>45910</v>
      </c>
      <c r="C125" s="1" t="n">
        <v>46086</v>
      </c>
      <c r="D125" t="inlineStr">
        <is>
          <t>GÄVLEBORGS LÄN</t>
        </is>
      </c>
      <c r="E125" t="inlineStr">
        <is>
          <t>BOLLNÄS</t>
        </is>
      </c>
      <c r="G125" t="n">
        <v>4.1</v>
      </c>
      <c r="H125" t="n">
        <v>0</v>
      </c>
      <c r="I125" t="n">
        <v>4</v>
      </c>
      <c r="J125" t="n">
        <v>0</v>
      </c>
      <c r="K125" t="n">
        <v>1</v>
      </c>
      <c r="L125" t="n">
        <v>0</v>
      </c>
      <c r="M125" t="n">
        <v>0</v>
      </c>
      <c r="N125" t="n">
        <v>0</v>
      </c>
      <c r="O125" t="n">
        <v>1</v>
      </c>
      <c r="P125" t="n">
        <v>1</v>
      </c>
      <c r="Q125" t="n">
        <v>5</v>
      </c>
      <c r="R125" s="2" t="inlineStr">
        <is>
          <t>Flikbålmossa
Bågpraktmossa
Mörk husmossa
Stubbspretmossa
Terpentinmossa</t>
        </is>
      </c>
      <c r="S125">
        <f>HYPERLINK("https://klasma.github.io/Logging_2183/artfynd/A 43200-2025 artfynd.xlsx", "A 43200-2025")</f>
        <v/>
      </c>
      <c r="T125">
        <f>HYPERLINK("https://klasma.github.io/Logging_2183/kartor/A 43200-2025 karta.png", "A 43200-2025")</f>
        <v/>
      </c>
      <c r="V125">
        <f>HYPERLINK("https://klasma.github.io/Logging_2183/klagomål/A 43200-2025 FSC-klagomål.docx", "A 43200-2025")</f>
        <v/>
      </c>
      <c r="W125">
        <f>HYPERLINK("https://klasma.github.io/Logging_2183/klagomålsmail/A 43200-2025 FSC-klagomål mail.docx", "A 43200-2025")</f>
        <v/>
      </c>
      <c r="X125">
        <f>HYPERLINK("https://klasma.github.io/Logging_2183/tillsyn/A 43200-2025 tillsynsbegäran.docx", "A 43200-2025")</f>
        <v/>
      </c>
      <c r="Y125">
        <f>HYPERLINK("https://klasma.github.io/Logging_2183/tillsynsmail/A 43200-2025 tillsynsbegäran mail.docx", "A 43200-2025")</f>
        <v/>
      </c>
    </row>
    <row r="126" ht="15" customHeight="1">
      <c r="A126" t="inlineStr">
        <is>
          <t>A 44152-2025</t>
        </is>
      </c>
      <c r="B126" s="1" t="n">
        <v>45915</v>
      </c>
      <c r="C126" s="1" t="n">
        <v>46086</v>
      </c>
      <c r="D126" t="inlineStr">
        <is>
          <t>GÄVLEBORGS LÄN</t>
        </is>
      </c>
      <c r="E126" t="inlineStr">
        <is>
          <t>BOLLNÄS</t>
        </is>
      </c>
      <c r="G126" t="n">
        <v>4.1</v>
      </c>
      <c r="H126" t="n">
        <v>2</v>
      </c>
      <c r="I126" t="n">
        <v>1</v>
      </c>
      <c r="J126" t="n">
        <v>4</v>
      </c>
      <c r="K126" t="n">
        <v>0</v>
      </c>
      <c r="L126" t="n">
        <v>0</v>
      </c>
      <c r="M126" t="n">
        <v>0</v>
      </c>
      <c r="N126" t="n">
        <v>0</v>
      </c>
      <c r="O126" t="n">
        <v>4</v>
      </c>
      <c r="P126" t="n">
        <v>0</v>
      </c>
      <c r="Q126" t="n">
        <v>5</v>
      </c>
      <c r="R126" s="2" t="inlineStr">
        <is>
          <t>Blå taggsvamp
Rödvingetrast
Spillkråka
Ullticka
Dropptaggsvamp</t>
        </is>
      </c>
      <c r="S126">
        <f>HYPERLINK("https://klasma.github.io/Logging_2183/artfynd/A 44152-2025 artfynd.xlsx", "A 44152-2025")</f>
        <v/>
      </c>
      <c r="T126">
        <f>HYPERLINK("https://klasma.github.io/Logging_2183/kartor/A 44152-2025 karta.png", "A 44152-2025")</f>
        <v/>
      </c>
      <c r="V126">
        <f>HYPERLINK("https://klasma.github.io/Logging_2183/klagomål/A 44152-2025 FSC-klagomål.docx", "A 44152-2025")</f>
        <v/>
      </c>
      <c r="W126">
        <f>HYPERLINK("https://klasma.github.io/Logging_2183/klagomålsmail/A 44152-2025 FSC-klagomål mail.docx", "A 44152-2025")</f>
        <v/>
      </c>
      <c r="X126">
        <f>HYPERLINK("https://klasma.github.io/Logging_2183/tillsyn/A 44152-2025 tillsynsbegäran.docx", "A 44152-2025")</f>
        <v/>
      </c>
      <c r="Y126">
        <f>HYPERLINK("https://klasma.github.io/Logging_2183/tillsynsmail/A 44152-2025 tillsynsbegäran mail.docx", "A 44152-2025")</f>
        <v/>
      </c>
      <c r="Z126">
        <f>HYPERLINK("https://klasma.github.io/Logging_2183/fåglar/A 44152-2025 prioriterade fågelarter.docx", "A 44152-2025")</f>
        <v/>
      </c>
    </row>
    <row r="127" ht="15" customHeight="1">
      <c r="A127" t="inlineStr">
        <is>
          <t>A 44448-2025</t>
        </is>
      </c>
      <c r="B127" s="1" t="n">
        <v>45916.59887731481</v>
      </c>
      <c r="C127" s="1" t="n">
        <v>46086</v>
      </c>
      <c r="D127" t="inlineStr">
        <is>
          <t>GÄVLEBORGS LÄN</t>
        </is>
      </c>
      <c r="E127" t="inlineStr">
        <is>
          <t>LJUSDAL</t>
        </is>
      </c>
      <c r="F127" t="inlineStr">
        <is>
          <t>Sveaskog</t>
        </is>
      </c>
      <c r="G127" t="n">
        <v>25</v>
      </c>
      <c r="H127" t="n">
        <v>2</v>
      </c>
      <c r="I127" t="n">
        <v>0</v>
      </c>
      <c r="J127" t="n">
        <v>4</v>
      </c>
      <c r="K127" t="n">
        <v>0</v>
      </c>
      <c r="L127" t="n">
        <v>0</v>
      </c>
      <c r="M127" t="n">
        <v>0</v>
      </c>
      <c r="N127" t="n">
        <v>0</v>
      </c>
      <c r="O127" t="n">
        <v>4</v>
      </c>
      <c r="P127" t="n">
        <v>0</v>
      </c>
      <c r="Q127" t="n">
        <v>5</v>
      </c>
      <c r="R127" s="2" t="inlineStr">
        <is>
          <t>Garnlav
Kolflarnlav
Mörk kolflarnlav
Spillkråka
Revlummer</t>
        </is>
      </c>
      <c r="S127">
        <f>HYPERLINK("https://klasma.github.io/Logging_2161/artfynd/A 44448-2025 artfynd.xlsx", "A 44448-2025")</f>
        <v/>
      </c>
      <c r="T127">
        <f>HYPERLINK("https://klasma.github.io/Logging_2161/kartor/A 44448-2025 karta.png", "A 44448-2025")</f>
        <v/>
      </c>
      <c r="V127">
        <f>HYPERLINK("https://klasma.github.io/Logging_2161/klagomål/A 44448-2025 FSC-klagomål.docx", "A 44448-2025")</f>
        <v/>
      </c>
      <c r="W127">
        <f>HYPERLINK("https://klasma.github.io/Logging_2161/klagomålsmail/A 44448-2025 FSC-klagomål mail.docx", "A 44448-2025")</f>
        <v/>
      </c>
      <c r="X127">
        <f>HYPERLINK("https://klasma.github.io/Logging_2161/tillsyn/A 44448-2025 tillsynsbegäran.docx", "A 44448-2025")</f>
        <v/>
      </c>
      <c r="Y127">
        <f>HYPERLINK("https://klasma.github.io/Logging_2161/tillsynsmail/A 44448-2025 tillsynsbegäran mail.docx", "A 44448-2025")</f>
        <v/>
      </c>
      <c r="Z127">
        <f>HYPERLINK("https://klasma.github.io/Logging_2161/fåglar/A 44448-2025 prioriterade fågelarter.docx", "A 44448-2025")</f>
        <v/>
      </c>
    </row>
    <row r="128" ht="15" customHeight="1">
      <c r="A128" t="inlineStr">
        <is>
          <t>A 31312-2025</t>
        </is>
      </c>
      <c r="B128" s="1" t="n">
        <v>45833</v>
      </c>
      <c r="C128" s="1" t="n">
        <v>46086</v>
      </c>
      <c r="D128" t="inlineStr">
        <is>
          <t>GÄVLEBORGS LÄN</t>
        </is>
      </c>
      <c r="E128" t="inlineStr">
        <is>
          <t>BOLLNÄS</t>
        </is>
      </c>
      <c r="G128" t="n">
        <v>7.7</v>
      </c>
      <c r="H128" t="n">
        <v>5</v>
      </c>
      <c r="I128" t="n">
        <v>0</v>
      </c>
      <c r="J128" t="n">
        <v>3</v>
      </c>
      <c r="K128" t="n">
        <v>0</v>
      </c>
      <c r="L128" t="n">
        <v>0</v>
      </c>
      <c r="M128" t="n">
        <v>0</v>
      </c>
      <c r="N128" t="n">
        <v>0</v>
      </c>
      <c r="O128" t="n">
        <v>3</v>
      </c>
      <c r="P128" t="n">
        <v>0</v>
      </c>
      <c r="Q128" t="n">
        <v>5</v>
      </c>
      <c r="R128" s="2" t="inlineStr">
        <is>
          <t>Brunlångöra
Fransfladdermus
Nordfladdermus
Mustaschfladdermus
Vattenfladdermus</t>
        </is>
      </c>
      <c r="S128">
        <f>HYPERLINK("https://klasma.github.io/Logging_2183/artfynd/A 31312-2025 artfynd.xlsx", "A 31312-2025")</f>
        <v/>
      </c>
      <c r="T128">
        <f>HYPERLINK("https://klasma.github.io/Logging_2183/kartor/A 31312-2025 karta.png", "A 31312-2025")</f>
        <v/>
      </c>
      <c r="V128">
        <f>HYPERLINK("https://klasma.github.io/Logging_2183/klagomål/A 31312-2025 FSC-klagomål.docx", "A 31312-2025")</f>
        <v/>
      </c>
      <c r="W128">
        <f>HYPERLINK("https://klasma.github.io/Logging_2183/klagomålsmail/A 31312-2025 FSC-klagomål mail.docx", "A 31312-2025")</f>
        <v/>
      </c>
      <c r="X128">
        <f>HYPERLINK("https://klasma.github.io/Logging_2183/tillsyn/A 31312-2025 tillsynsbegäran.docx", "A 31312-2025")</f>
        <v/>
      </c>
      <c r="Y128">
        <f>HYPERLINK("https://klasma.github.io/Logging_2183/tillsynsmail/A 31312-2025 tillsynsbegäran mail.docx", "A 31312-2025")</f>
        <v/>
      </c>
    </row>
    <row r="129" ht="15" customHeight="1">
      <c r="A129" t="inlineStr">
        <is>
          <t>A 35626-2025</t>
        </is>
      </c>
      <c r="B129" s="1" t="n">
        <v>45859.43328703703</v>
      </c>
      <c r="C129" s="1" t="n">
        <v>46086</v>
      </c>
      <c r="D129" t="inlineStr">
        <is>
          <t>GÄVLEBORGS LÄN</t>
        </is>
      </c>
      <c r="E129" t="inlineStr">
        <is>
          <t>LJUSDAL</t>
        </is>
      </c>
      <c r="F129" t="inlineStr">
        <is>
          <t>Bergvik skog väst AB</t>
        </is>
      </c>
      <c r="G129" t="n">
        <v>4</v>
      </c>
      <c r="H129" t="n">
        <v>0</v>
      </c>
      <c r="I129" t="n">
        <v>1</v>
      </c>
      <c r="J129" t="n">
        <v>4</v>
      </c>
      <c r="K129" t="n">
        <v>0</v>
      </c>
      <c r="L129" t="n">
        <v>0</v>
      </c>
      <c r="M129" t="n">
        <v>0</v>
      </c>
      <c r="N129" t="n">
        <v>0</v>
      </c>
      <c r="O129" t="n">
        <v>4</v>
      </c>
      <c r="P129" t="n">
        <v>0</v>
      </c>
      <c r="Q129" t="n">
        <v>5</v>
      </c>
      <c r="R129" s="2" t="inlineStr">
        <is>
          <t>Blanksvart spiklav
Kolflarnlav
Vedflamlav
Vedskivlav
Bollvitmossa</t>
        </is>
      </c>
      <c r="S129">
        <f>HYPERLINK("https://klasma.github.io/Logging_2161/artfynd/A 35626-2025 artfynd.xlsx", "A 35626-2025")</f>
        <v/>
      </c>
      <c r="T129">
        <f>HYPERLINK("https://klasma.github.io/Logging_2161/kartor/A 35626-2025 karta.png", "A 35626-2025")</f>
        <v/>
      </c>
      <c r="V129">
        <f>HYPERLINK("https://klasma.github.io/Logging_2161/klagomål/A 35626-2025 FSC-klagomål.docx", "A 35626-2025")</f>
        <v/>
      </c>
      <c r="W129">
        <f>HYPERLINK("https://klasma.github.io/Logging_2161/klagomålsmail/A 35626-2025 FSC-klagomål mail.docx", "A 35626-2025")</f>
        <v/>
      </c>
      <c r="X129">
        <f>HYPERLINK("https://klasma.github.io/Logging_2161/tillsyn/A 35626-2025 tillsynsbegäran.docx", "A 35626-2025")</f>
        <v/>
      </c>
      <c r="Y129">
        <f>HYPERLINK("https://klasma.github.io/Logging_2161/tillsynsmail/A 35626-2025 tillsynsbegäran mail.docx", "A 35626-2025")</f>
        <v/>
      </c>
    </row>
    <row r="130" ht="15" customHeight="1">
      <c r="A130" t="inlineStr">
        <is>
          <t>A 11233-2025</t>
        </is>
      </c>
      <c r="B130" s="1" t="n">
        <v>45726.35946759259</v>
      </c>
      <c r="C130" s="1" t="n">
        <v>46086</v>
      </c>
      <c r="D130" t="inlineStr">
        <is>
          <t>GÄVLEBORGS LÄN</t>
        </is>
      </c>
      <c r="E130" t="inlineStr">
        <is>
          <t>GÄVLE</t>
        </is>
      </c>
      <c r="F130" t="inlineStr">
        <is>
          <t>Bergvik skog öst AB</t>
        </is>
      </c>
      <c r="G130" t="n">
        <v>3.8</v>
      </c>
      <c r="H130" t="n">
        <v>1</v>
      </c>
      <c r="I130" t="n">
        <v>0</v>
      </c>
      <c r="J130" t="n">
        <v>4</v>
      </c>
      <c r="K130" t="n">
        <v>0</v>
      </c>
      <c r="L130" t="n">
        <v>0</v>
      </c>
      <c r="M130" t="n">
        <v>0</v>
      </c>
      <c r="N130" t="n">
        <v>0</v>
      </c>
      <c r="O130" t="n">
        <v>4</v>
      </c>
      <c r="P130" t="n">
        <v>0</v>
      </c>
      <c r="Q130" t="n">
        <v>5</v>
      </c>
      <c r="R130" s="2" t="inlineStr">
        <is>
          <t>Almsnabbvinge
Bredbrämad bastardsvärmare
Smalsprötad bastardsvärmare
Sotnätfjäril
Blåsippa</t>
        </is>
      </c>
      <c r="S130">
        <f>HYPERLINK("https://klasma.github.io/Logging_2180/artfynd/A 11233-2025 artfynd.xlsx", "A 11233-2025")</f>
        <v/>
      </c>
      <c r="T130">
        <f>HYPERLINK("https://klasma.github.io/Logging_2180/kartor/A 11233-2025 karta.png", "A 11233-2025")</f>
        <v/>
      </c>
      <c r="V130">
        <f>HYPERLINK("https://klasma.github.io/Logging_2180/klagomål/A 11233-2025 FSC-klagomål.docx", "A 11233-2025")</f>
        <v/>
      </c>
      <c r="W130">
        <f>HYPERLINK("https://klasma.github.io/Logging_2180/klagomålsmail/A 11233-2025 FSC-klagomål mail.docx", "A 11233-2025")</f>
        <v/>
      </c>
      <c r="X130">
        <f>HYPERLINK("https://klasma.github.io/Logging_2180/tillsyn/A 11233-2025 tillsynsbegäran.docx", "A 11233-2025")</f>
        <v/>
      </c>
      <c r="Y130">
        <f>HYPERLINK("https://klasma.github.io/Logging_2180/tillsynsmail/A 11233-2025 tillsynsbegäran mail.docx", "A 11233-2025")</f>
        <v/>
      </c>
    </row>
    <row r="131" ht="15" customHeight="1">
      <c r="A131" t="inlineStr">
        <is>
          <t>A 54803-2025</t>
        </is>
      </c>
      <c r="B131" s="1" t="n">
        <v>45966.64091435185</v>
      </c>
      <c r="C131" s="1" t="n">
        <v>46086</v>
      </c>
      <c r="D131" t="inlineStr">
        <is>
          <t>GÄVLEBORGS LÄN</t>
        </is>
      </c>
      <c r="E131" t="inlineStr">
        <is>
          <t>GÄVLE</t>
        </is>
      </c>
      <c r="F131" t="inlineStr">
        <is>
          <t>Bergvik skog öst AB</t>
        </is>
      </c>
      <c r="G131" t="n">
        <v>4.6</v>
      </c>
      <c r="H131" t="n">
        <v>2</v>
      </c>
      <c r="I131" t="n">
        <v>1</v>
      </c>
      <c r="J131" t="n">
        <v>1</v>
      </c>
      <c r="K131" t="n">
        <v>2</v>
      </c>
      <c r="L131" t="n">
        <v>0</v>
      </c>
      <c r="M131" t="n">
        <v>0</v>
      </c>
      <c r="N131" t="n">
        <v>0</v>
      </c>
      <c r="O131" t="n">
        <v>3</v>
      </c>
      <c r="P131" t="n">
        <v>2</v>
      </c>
      <c r="Q131" t="n">
        <v>5</v>
      </c>
      <c r="R131" s="2" t="inlineStr">
        <is>
          <t>Kattunvisslare
Turkos blåvinge
Majviva
Skogsknipprot
Gullviva</t>
        </is>
      </c>
      <c r="S131">
        <f>HYPERLINK("https://klasma.github.io/Logging_2180/artfynd/A 54803-2025 artfynd.xlsx", "A 54803-2025")</f>
        <v/>
      </c>
      <c r="T131">
        <f>HYPERLINK("https://klasma.github.io/Logging_2180/kartor/A 54803-2025 karta.png", "A 54803-2025")</f>
        <v/>
      </c>
      <c r="V131">
        <f>HYPERLINK("https://klasma.github.io/Logging_2180/klagomål/A 54803-2025 FSC-klagomål.docx", "A 54803-2025")</f>
        <v/>
      </c>
      <c r="W131">
        <f>HYPERLINK("https://klasma.github.io/Logging_2180/klagomålsmail/A 54803-2025 FSC-klagomål mail.docx", "A 54803-2025")</f>
        <v/>
      </c>
      <c r="X131">
        <f>HYPERLINK("https://klasma.github.io/Logging_2180/tillsyn/A 54803-2025 tillsynsbegäran.docx", "A 54803-2025")</f>
        <v/>
      </c>
      <c r="Y131">
        <f>HYPERLINK("https://klasma.github.io/Logging_2180/tillsynsmail/A 54803-2025 tillsynsbegäran mail.docx", "A 54803-2025")</f>
        <v/>
      </c>
    </row>
    <row r="132" ht="15" customHeight="1">
      <c r="A132" t="inlineStr">
        <is>
          <t>A 23581-2024</t>
        </is>
      </c>
      <c r="B132" s="1" t="n">
        <v>45454</v>
      </c>
      <c r="C132" s="1" t="n">
        <v>46086</v>
      </c>
      <c r="D132" t="inlineStr">
        <is>
          <t>GÄVLEBORGS LÄN</t>
        </is>
      </c>
      <c r="E132" t="inlineStr">
        <is>
          <t>OVANÅKER</t>
        </is>
      </c>
      <c r="F132" t="inlineStr">
        <is>
          <t>Sveaskog</t>
        </is>
      </c>
      <c r="G132" t="n">
        <v>9.199999999999999</v>
      </c>
      <c r="H132" t="n">
        <v>3</v>
      </c>
      <c r="I132" t="n">
        <v>2</v>
      </c>
      <c r="J132" t="n">
        <v>2</v>
      </c>
      <c r="K132" t="n">
        <v>1</v>
      </c>
      <c r="L132" t="n">
        <v>0</v>
      </c>
      <c r="M132" t="n">
        <v>0</v>
      </c>
      <c r="N132" t="n">
        <v>0</v>
      </c>
      <c r="O132" t="n">
        <v>3</v>
      </c>
      <c r="P132" t="n">
        <v>1</v>
      </c>
      <c r="Q132" t="n">
        <v>5</v>
      </c>
      <c r="R132" s="2" t="inlineStr">
        <is>
          <t>Knärot
Mörk kolflarnlav
Spillkråka
Korallrot
Stuplav</t>
        </is>
      </c>
      <c r="S132">
        <f>HYPERLINK("https://klasma.github.io/Logging_2121/artfynd/A 23581-2024 artfynd.xlsx", "A 23581-2024")</f>
        <v/>
      </c>
      <c r="T132">
        <f>HYPERLINK("https://klasma.github.io/Logging_2121/kartor/A 23581-2024 karta.png", "A 23581-2024")</f>
        <v/>
      </c>
      <c r="U132">
        <f>HYPERLINK("https://klasma.github.io/Logging_2121/knärot/A 23581-2024 karta knärot.png", "A 23581-2024")</f>
        <v/>
      </c>
      <c r="V132">
        <f>HYPERLINK("https://klasma.github.io/Logging_2121/klagomål/A 23581-2024 FSC-klagomål.docx", "A 23581-2024")</f>
        <v/>
      </c>
      <c r="W132">
        <f>HYPERLINK("https://klasma.github.io/Logging_2121/klagomålsmail/A 23581-2024 FSC-klagomål mail.docx", "A 23581-2024")</f>
        <v/>
      </c>
      <c r="X132">
        <f>HYPERLINK("https://klasma.github.io/Logging_2121/tillsyn/A 23581-2024 tillsynsbegäran.docx", "A 23581-2024")</f>
        <v/>
      </c>
      <c r="Y132">
        <f>HYPERLINK("https://klasma.github.io/Logging_2121/tillsynsmail/A 23581-2024 tillsynsbegäran mail.docx", "A 23581-2024")</f>
        <v/>
      </c>
      <c r="Z132">
        <f>HYPERLINK("https://klasma.github.io/Logging_2121/fåglar/A 23581-2024 prioriterade fågelarter.docx", "A 23581-2024")</f>
        <v/>
      </c>
    </row>
    <row r="133" ht="15" customHeight="1">
      <c r="A133" t="inlineStr">
        <is>
          <t>A 23964-2025</t>
        </is>
      </c>
      <c r="B133" s="1" t="n">
        <v>45796.37078703703</v>
      </c>
      <c r="C133" s="1" t="n">
        <v>46086</v>
      </c>
      <c r="D133" t="inlineStr">
        <is>
          <t>GÄVLEBORGS LÄN</t>
        </is>
      </c>
      <c r="E133" t="inlineStr">
        <is>
          <t>HUDIKSVALL</t>
        </is>
      </c>
      <c r="F133" t="inlineStr">
        <is>
          <t>Holmen skog AB</t>
        </is>
      </c>
      <c r="G133" t="n">
        <v>9.5</v>
      </c>
      <c r="H133" t="n">
        <v>1</v>
      </c>
      <c r="I133" t="n">
        <v>2</v>
      </c>
      <c r="J133" t="n">
        <v>1</v>
      </c>
      <c r="K133" t="n">
        <v>1</v>
      </c>
      <c r="L133" t="n">
        <v>0</v>
      </c>
      <c r="M133" t="n">
        <v>0</v>
      </c>
      <c r="N133" t="n">
        <v>0</v>
      </c>
      <c r="O133" t="n">
        <v>2</v>
      </c>
      <c r="P133" t="n">
        <v>1</v>
      </c>
      <c r="Q133" t="n">
        <v>5</v>
      </c>
      <c r="R133" s="2" t="inlineStr">
        <is>
          <t>Glesgröe
Storgröe
Strutbräken
Svart trolldruva
Revlummer</t>
        </is>
      </c>
      <c r="S133">
        <f>HYPERLINK("https://klasma.github.io/Logging_2184/artfynd/A 23964-2025 artfynd.xlsx", "A 23964-2025")</f>
        <v/>
      </c>
      <c r="T133">
        <f>HYPERLINK("https://klasma.github.io/Logging_2184/kartor/A 23964-2025 karta.png", "A 23964-2025")</f>
        <v/>
      </c>
      <c r="V133">
        <f>HYPERLINK("https://klasma.github.io/Logging_2184/klagomål/A 23964-2025 FSC-klagomål.docx", "A 23964-2025")</f>
        <v/>
      </c>
      <c r="W133">
        <f>HYPERLINK("https://klasma.github.io/Logging_2184/klagomålsmail/A 23964-2025 FSC-klagomål mail.docx", "A 23964-2025")</f>
        <v/>
      </c>
      <c r="X133">
        <f>HYPERLINK("https://klasma.github.io/Logging_2184/tillsyn/A 23964-2025 tillsynsbegäran.docx", "A 23964-2025")</f>
        <v/>
      </c>
      <c r="Y133">
        <f>HYPERLINK("https://klasma.github.io/Logging_2184/tillsynsmail/A 23964-2025 tillsynsbegäran mail.docx", "A 23964-2025")</f>
        <v/>
      </c>
    </row>
    <row r="134" ht="15" customHeight="1">
      <c r="A134" t="inlineStr">
        <is>
          <t>A 62566-2025</t>
        </is>
      </c>
      <c r="B134" s="1" t="n">
        <v>46007.69851851852</v>
      </c>
      <c r="C134" s="1" t="n">
        <v>46086</v>
      </c>
      <c r="D134" t="inlineStr">
        <is>
          <t>GÄVLEBORGS LÄN</t>
        </is>
      </c>
      <c r="E134" t="inlineStr">
        <is>
          <t>LJUSDAL</t>
        </is>
      </c>
      <c r="G134" t="n">
        <v>4</v>
      </c>
      <c r="H134" t="n">
        <v>3</v>
      </c>
      <c r="I134" t="n">
        <v>2</v>
      </c>
      <c r="J134" t="n">
        <v>1</v>
      </c>
      <c r="K134" t="n">
        <v>1</v>
      </c>
      <c r="L134" t="n">
        <v>0</v>
      </c>
      <c r="M134" t="n">
        <v>0</v>
      </c>
      <c r="N134" t="n">
        <v>0</v>
      </c>
      <c r="O134" t="n">
        <v>2</v>
      </c>
      <c r="P134" t="n">
        <v>1</v>
      </c>
      <c r="Q134" t="n">
        <v>5</v>
      </c>
      <c r="R134" s="2" t="inlineStr">
        <is>
          <t>Knärot
Tallticka
Nästlav
Plattlummer
Tjäder</t>
        </is>
      </c>
      <c r="S134">
        <f>HYPERLINK("https://klasma.github.io/Logging_2161/artfynd/A 62566-2025 artfynd.xlsx", "A 62566-2025")</f>
        <v/>
      </c>
      <c r="T134">
        <f>HYPERLINK("https://klasma.github.io/Logging_2161/kartor/A 62566-2025 karta.png", "A 62566-2025")</f>
        <v/>
      </c>
      <c r="U134">
        <f>HYPERLINK("https://klasma.github.io/Logging_2161/knärot/A 62566-2025 karta knärot.png", "A 62566-2025")</f>
        <v/>
      </c>
      <c r="V134">
        <f>HYPERLINK("https://klasma.github.io/Logging_2161/klagomål/A 62566-2025 FSC-klagomål.docx", "A 62566-2025")</f>
        <v/>
      </c>
      <c r="W134">
        <f>HYPERLINK("https://klasma.github.io/Logging_2161/klagomålsmail/A 62566-2025 FSC-klagomål mail.docx", "A 62566-2025")</f>
        <v/>
      </c>
      <c r="X134">
        <f>HYPERLINK("https://klasma.github.io/Logging_2161/tillsyn/A 62566-2025 tillsynsbegäran.docx", "A 62566-2025")</f>
        <v/>
      </c>
      <c r="Y134">
        <f>HYPERLINK("https://klasma.github.io/Logging_2161/tillsynsmail/A 62566-2025 tillsynsbegäran mail.docx", "A 62566-2025")</f>
        <v/>
      </c>
      <c r="Z134">
        <f>HYPERLINK("https://klasma.github.io/Logging_2161/fåglar/A 62566-2025 prioriterade fågelarter.docx", "A 62566-2025")</f>
        <v/>
      </c>
    </row>
    <row r="135" ht="15" customHeight="1">
      <c r="A135" t="inlineStr">
        <is>
          <t>A 6073-2026</t>
        </is>
      </c>
      <c r="B135" s="1" t="n">
        <v>46052.66329861111</v>
      </c>
      <c r="C135" s="1" t="n">
        <v>46086</v>
      </c>
      <c r="D135" t="inlineStr">
        <is>
          <t>GÄVLEBORGS LÄN</t>
        </is>
      </c>
      <c r="E135" t="inlineStr">
        <is>
          <t>GÄVLE</t>
        </is>
      </c>
      <c r="F135" t="inlineStr">
        <is>
          <t>Bergvik skog öst AB</t>
        </is>
      </c>
      <c r="G135" t="n">
        <v>3.3</v>
      </c>
      <c r="H135" t="n">
        <v>1</v>
      </c>
      <c r="I135" t="n">
        <v>0</v>
      </c>
      <c r="J135" t="n">
        <v>4</v>
      </c>
      <c r="K135" t="n">
        <v>0</v>
      </c>
      <c r="L135" t="n">
        <v>0</v>
      </c>
      <c r="M135" t="n">
        <v>0</v>
      </c>
      <c r="N135" t="n">
        <v>0</v>
      </c>
      <c r="O135" t="n">
        <v>4</v>
      </c>
      <c r="P135" t="n">
        <v>0</v>
      </c>
      <c r="Q135" t="n">
        <v>5</v>
      </c>
      <c r="R135" s="2" t="inlineStr">
        <is>
          <t>Bredbrämad bastardsvärmare
Majviva
Mindre bastardsvärmare
Storfläckig kungsnattslända
Gullviva</t>
        </is>
      </c>
      <c r="S135">
        <f>HYPERLINK("https://klasma.github.io/Logging_2180/artfynd/A 6073-2026 artfynd.xlsx", "A 6073-2026")</f>
        <v/>
      </c>
      <c r="T135">
        <f>HYPERLINK("https://klasma.github.io/Logging_2180/kartor/A 6073-2026 karta.png", "A 6073-2026")</f>
        <v/>
      </c>
      <c r="V135">
        <f>HYPERLINK("https://klasma.github.io/Logging_2180/klagomål/A 6073-2026 FSC-klagomål.docx", "A 6073-2026")</f>
        <v/>
      </c>
      <c r="W135">
        <f>HYPERLINK("https://klasma.github.io/Logging_2180/klagomålsmail/A 6073-2026 FSC-klagomål mail.docx", "A 6073-2026")</f>
        <v/>
      </c>
      <c r="X135">
        <f>HYPERLINK("https://klasma.github.io/Logging_2180/tillsyn/A 6073-2026 tillsynsbegäran.docx", "A 6073-2026")</f>
        <v/>
      </c>
      <c r="Y135">
        <f>HYPERLINK("https://klasma.github.io/Logging_2180/tillsynsmail/A 6073-2026 tillsynsbegäran mail.docx", "A 6073-2026")</f>
        <v/>
      </c>
    </row>
    <row r="136" ht="15" customHeight="1">
      <c r="A136" t="inlineStr">
        <is>
          <t>A 9570-2025</t>
        </is>
      </c>
      <c r="B136" s="1" t="n">
        <v>45715</v>
      </c>
      <c r="C136" s="1" t="n">
        <v>46086</v>
      </c>
      <c r="D136" t="inlineStr">
        <is>
          <t>GÄVLEBORGS LÄN</t>
        </is>
      </c>
      <c r="E136" t="inlineStr">
        <is>
          <t>GÄVLE</t>
        </is>
      </c>
      <c r="G136" t="n">
        <v>3.8</v>
      </c>
      <c r="H136" t="n">
        <v>2</v>
      </c>
      <c r="I136" t="n">
        <v>0</v>
      </c>
      <c r="J136" t="n">
        <v>4</v>
      </c>
      <c r="K136" t="n">
        <v>1</v>
      </c>
      <c r="L136" t="n">
        <v>0</v>
      </c>
      <c r="M136" t="n">
        <v>0</v>
      </c>
      <c r="N136" t="n">
        <v>0</v>
      </c>
      <c r="O136" t="n">
        <v>5</v>
      </c>
      <c r="P136" t="n">
        <v>1</v>
      </c>
      <c r="Q136" t="n">
        <v>5</v>
      </c>
      <c r="R136" s="2" t="inlineStr">
        <is>
          <t>Knärot
Granticka
Lunglav
Tallticka
Tretåig hackspett</t>
        </is>
      </c>
      <c r="S136">
        <f>HYPERLINK("https://klasma.github.io/Logging_2180/artfynd/A 9570-2025 artfynd.xlsx", "A 9570-2025")</f>
        <v/>
      </c>
      <c r="T136">
        <f>HYPERLINK("https://klasma.github.io/Logging_2180/kartor/A 9570-2025 karta.png", "A 9570-2025")</f>
        <v/>
      </c>
      <c r="U136">
        <f>HYPERLINK("https://klasma.github.io/Logging_2180/knärot/A 9570-2025 karta knärot.png", "A 9570-2025")</f>
        <v/>
      </c>
      <c r="V136">
        <f>HYPERLINK("https://klasma.github.io/Logging_2180/klagomål/A 9570-2025 FSC-klagomål.docx", "A 9570-2025")</f>
        <v/>
      </c>
      <c r="W136">
        <f>HYPERLINK("https://klasma.github.io/Logging_2180/klagomålsmail/A 9570-2025 FSC-klagomål mail.docx", "A 9570-2025")</f>
        <v/>
      </c>
      <c r="X136">
        <f>HYPERLINK("https://klasma.github.io/Logging_2180/tillsyn/A 9570-2025 tillsynsbegäran.docx", "A 9570-2025")</f>
        <v/>
      </c>
      <c r="Y136">
        <f>HYPERLINK("https://klasma.github.io/Logging_2180/tillsynsmail/A 9570-2025 tillsynsbegäran mail.docx", "A 9570-2025")</f>
        <v/>
      </c>
      <c r="Z136">
        <f>HYPERLINK("https://klasma.github.io/Logging_2180/fåglar/A 9570-2025 prioriterade fågelarter.docx", "A 9570-2025")</f>
        <v/>
      </c>
    </row>
    <row r="137" ht="15" customHeight="1">
      <c r="A137" t="inlineStr">
        <is>
          <t>A 499-2026</t>
        </is>
      </c>
      <c r="B137" s="1" t="n">
        <v>46029</v>
      </c>
      <c r="C137" s="1" t="n">
        <v>46086</v>
      </c>
      <c r="D137" t="inlineStr">
        <is>
          <t>GÄVLEBORGS LÄN</t>
        </is>
      </c>
      <c r="E137" t="inlineStr">
        <is>
          <t>NORDANSTIG</t>
        </is>
      </c>
      <c r="G137" t="n">
        <v>5.3</v>
      </c>
      <c r="H137" t="n">
        <v>0</v>
      </c>
      <c r="I137" t="n">
        <v>3</v>
      </c>
      <c r="J137" t="n">
        <v>1</v>
      </c>
      <c r="K137" t="n">
        <v>1</v>
      </c>
      <c r="L137" t="n">
        <v>0</v>
      </c>
      <c r="M137" t="n">
        <v>0</v>
      </c>
      <c r="N137" t="n">
        <v>0</v>
      </c>
      <c r="O137" t="n">
        <v>2</v>
      </c>
      <c r="P137" t="n">
        <v>1</v>
      </c>
      <c r="Q137" t="n">
        <v>5</v>
      </c>
      <c r="R137" s="2" t="inlineStr">
        <is>
          <t>Goliatmusseron
Skrovlig taggsvamp
Dropptaggsvamp
Nästlav
Skarp dropptaggsvamp</t>
        </is>
      </c>
      <c r="S137">
        <f>HYPERLINK("https://klasma.github.io/Logging_2132/artfynd/A 499-2026 artfynd.xlsx", "A 499-2026")</f>
        <v/>
      </c>
      <c r="T137">
        <f>HYPERLINK("https://klasma.github.io/Logging_2132/kartor/A 499-2026 karta.png", "A 499-2026")</f>
        <v/>
      </c>
      <c r="V137">
        <f>HYPERLINK("https://klasma.github.io/Logging_2132/klagomål/A 499-2026 FSC-klagomål.docx", "A 499-2026")</f>
        <v/>
      </c>
      <c r="W137">
        <f>HYPERLINK("https://klasma.github.io/Logging_2132/klagomålsmail/A 499-2026 FSC-klagomål mail.docx", "A 499-2026")</f>
        <v/>
      </c>
      <c r="X137">
        <f>HYPERLINK("https://klasma.github.io/Logging_2132/tillsyn/A 499-2026 tillsynsbegäran.docx", "A 499-2026")</f>
        <v/>
      </c>
      <c r="Y137">
        <f>HYPERLINK("https://klasma.github.io/Logging_2132/tillsynsmail/A 499-2026 tillsynsbegäran mail.docx", "A 499-2026")</f>
        <v/>
      </c>
    </row>
    <row r="138" ht="15" customHeight="1">
      <c r="A138" t="inlineStr">
        <is>
          <t>A 36471-2021</t>
        </is>
      </c>
      <c r="B138" s="1" t="n">
        <v>44390</v>
      </c>
      <c r="C138" s="1" t="n">
        <v>46086</v>
      </c>
      <c r="D138" t="inlineStr">
        <is>
          <t>GÄVLEBORGS LÄN</t>
        </is>
      </c>
      <c r="E138" t="inlineStr">
        <is>
          <t>GÄVLE</t>
        </is>
      </c>
      <c r="F138" t="inlineStr">
        <is>
          <t>Bergvik skog väst AB</t>
        </is>
      </c>
      <c r="G138" t="n">
        <v>11.7</v>
      </c>
      <c r="H138" t="n">
        <v>2</v>
      </c>
      <c r="I138" t="n">
        <v>1</v>
      </c>
      <c r="J138" t="n">
        <v>4</v>
      </c>
      <c r="K138" t="n">
        <v>0</v>
      </c>
      <c r="L138" t="n">
        <v>0</v>
      </c>
      <c r="M138" t="n">
        <v>0</v>
      </c>
      <c r="N138" t="n">
        <v>0</v>
      </c>
      <c r="O138" t="n">
        <v>4</v>
      </c>
      <c r="P138" t="n">
        <v>0</v>
      </c>
      <c r="Q138" t="n">
        <v>5</v>
      </c>
      <c r="R138" s="2" t="inlineStr">
        <is>
          <t>Brunpudrad nållav
Spillkråka
Tallticka
Tretåig hackspett
Gulnål</t>
        </is>
      </c>
      <c r="S138">
        <f>HYPERLINK("https://klasma.github.io/Logging_2180/artfynd/A 36471-2021 artfynd.xlsx", "A 36471-2021")</f>
        <v/>
      </c>
      <c r="T138">
        <f>HYPERLINK("https://klasma.github.io/Logging_2180/kartor/A 36471-2021 karta.png", "A 36471-2021")</f>
        <v/>
      </c>
      <c r="V138">
        <f>HYPERLINK("https://klasma.github.io/Logging_2180/klagomål/A 36471-2021 FSC-klagomål.docx", "A 36471-2021")</f>
        <v/>
      </c>
      <c r="W138">
        <f>HYPERLINK("https://klasma.github.io/Logging_2180/klagomålsmail/A 36471-2021 FSC-klagomål mail.docx", "A 36471-2021")</f>
        <v/>
      </c>
      <c r="X138">
        <f>HYPERLINK("https://klasma.github.io/Logging_2180/tillsyn/A 36471-2021 tillsynsbegäran.docx", "A 36471-2021")</f>
        <v/>
      </c>
      <c r="Y138">
        <f>HYPERLINK("https://klasma.github.io/Logging_2180/tillsynsmail/A 36471-2021 tillsynsbegäran mail.docx", "A 36471-2021")</f>
        <v/>
      </c>
      <c r="Z138">
        <f>HYPERLINK("https://klasma.github.io/Logging_2180/fåglar/A 36471-2021 prioriterade fågelarter.docx", "A 36471-2021")</f>
        <v/>
      </c>
    </row>
    <row r="139" ht="15" customHeight="1">
      <c r="A139" t="inlineStr">
        <is>
          <t>A 382-2024</t>
        </is>
      </c>
      <c r="B139" s="1" t="n">
        <v>45296</v>
      </c>
      <c r="C139" s="1" t="n">
        <v>46086</v>
      </c>
      <c r="D139" t="inlineStr">
        <is>
          <t>GÄVLEBORGS LÄN</t>
        </is>
      </c>
      <c r="E139" t="inlineStr">
        <is>
          <t>NORDANSTIG</t>
        </is>
      </c>
      <c r="F139" t="inlineStr">
        <is>
          <t>Holmen skog AB</t>
        </is>
      </c>
      <c r="G139" t="n">
        <v>2.7</v>
      </c>
      <c r="H139" t="n">
        <v>0</v>
      </c>
      <c r="I139" t="n">
        <v>2</v>
      </c>
      <c r="J139" t="n">
        <v>2</v>
      </c>
      <c r="K139" t="n">
        <v>1</v>
      </c>
      <c r="L139" t="n">
        <v>0</v>
      </c>
      <c r="M139" t="n">
        <v>0</v>
      </c>
      <c r="N139" t="n">
        <v>0</v>
      </c>
      <c r="O139" t="n">
        <v>3</v>
      </c>
      <c r="P139" t="n">
        <v>1</v>
      </c>
      <c r="Q139" t="n">
        <v>5</v>
      </c>
      <c r="R139" s="2" t="inlineStr">
        <is>
          <t>Ringlav
Lunglav
Violettgrå tagellav
Stuplav
Vedticka</t>
        </is>
      </c>
      <c r="S139">
        <f>HYPERLINK("https://klasma.github.io/Logging_2132/artfynd/A 382-2024 artfynd.xlsx", "A 382-2024")</f>
        <v/>
      </c>
      <c r="T139">
        <f>HYPERLINK("https://klasma.github.io/Logging_2132/kartor/A 382-2024 karta.png", "A 382-2024")</f>
        <v/>
      </c>
      <c r="V139">
        <f>HYPERLINK("https://klasma.github.io/Logging_2132/klagomål/A 382-2024 FSC-klagomål.docx", "A 382-2024")</f>
        <v/>
      </c>
      <c r="W139">
        <f>HYPERLINK("https://klasma.github.io/Logging_2132/klagomålsmail/A 382-2024 FSC-klagomål mail.docx", "A 382-2024")</f>
        <v/>
      </c>
      <c r="X139">
        <f>HYPERLINK("https://klasma.github.io/Logging_2132/tillsyn/A 382-2024 tillsynsbegäran.docx", "A 382-2024")</f>
        <v/>
      </c>
      <c r="Y139">
        <f>HYPERLINK("https://klasma.github.io/Logging_2132/tillsynsmail/A 382-2024 tillsynsbegäran mail.docx", "A 382-2024")</f>
        <v/>
      </c>
    </row>
    <row r="140" ht="15" customHeight="1">
      <c r="A140" t="inlineStr">
        <is>
          <t>A 21038-2025</t>
        </is>
      </c>
      <c r="B140" s="1" t="n">
        <v>45777.53201388889</v>
      </c>
      <c r="C140" s="1" t="n">
        <v>46086</v>
      </c>
      <c r="D140" t="inlineStr">
        <is>
          <t>GÄVLEBORGS LÄN</t>
        </is>
      </c>
      <c r="E140" t="inlineStr">
        <is>
          <t>LJUSDAL</t>
        </is>
      </c>
      <c r="F140" t="inlineStr">
        <is>
          <t>SCA</t>
        </is>
      </c>
      <c r="G140" t="n">
        <v>3.8</v>
      </c>
      <c r="H140" t="n">
        <v>1</v>
      </c>
      <c r="I140" t="n">
        <v>0</v>
      </c>
      <c r="J140" t="n">
        <v>4</v>
      </c>
      <c r="K140" t="n">
        <v>0</v>
      </c>
      <c r="L140" t="n">
        <v>0</v>
      </c>
      <c r="M140" t="n">
        <v>0</v>
      </c>
      <c r="N140" t="n">
        <v>0</v>
      </c>
      <c r="O140" t="n">
        <v>4</v>
      </c>
      <c r="P140" t="n">
        <v>0</v>
      </c>
      <c r="Q140" t="n">
        <v>5</v>
      </c>
      <c r="R140" s="2" t="inlineStr">
        <is>
          <t>Gammelgransskål
Garnlav
Kolflarnlav
Lunglav
Revlummer</t>
        </is>
      </c>
      <c r="S140">
        <f>HYPERLINK("https://klasma.github.io/Logging_2161/artfynd/A 21038-2025 artfynd.xlsx", "A 21038-2025")</f>
        <v/>
      </c>
      <c r="T140">
        <f>HYPERLINK("https://klasma.github.io/Logging_2161/kartor/A 21038-2025 karta.png", "A 21038-2025")</f>
        <v/>
      </c>
      <c r="V140">
        <f>HYPERLINK("https://klasma.github.io/Logging_2161/klagomål/A 21038-2025 FSC-klagomål.docx", "A 21038-2025")</f>
        <v/>
      </c>
      <c r="W140">
        <f>HYPERLINK("https://klasma.github.io/Logging_2161/klagomålsmail/A 21038-2025 FSC-klagomål mail.docx", "A 21038-2025")</f>
        <v/>
      </c>
      <c r="X140">
        <f>HYPERLINK("https://klasma.github.io/Logging_2161/tillsyn/A 21038-2025 tillsynsbegäran.docx", "A 21038-2025")</f>
        <v/>
      </c>
      <c r="Y140">
        <f>HYPERLINK("https://klasma.github.io/Logging_2161/tillsynsmail/A 21038-2025 tillsynsbegäran mail.docx", "A 21038-2025")</f>
        <v/>
      </c>
    </row>
    <row r="141" ht="15" customHeight="1">
      <c r="A141" t="inlineStr">
        <is>
          <t>A 24824-2025</t>
        </is>
      </c>
      <c r="B141" s="1" t="n">
        <v>45799.45572916666</v>
      </c>
      <c r="C141" s="1" t="n">
        <v>46086</v>
      </c>
      <c r="D141" t="inlineStr">
        <is>
          <t>GÄVLEBORGS LÄN</t>
        </is>
      </c>
      <c r="E141" t="inlineStr">
        <is>
          <t>LJUSDAL</t>
        </is>
      </c>
      <c r="F141" t="inlineStr">
        <is>
          <t>Sveaskog</t>
        </is>
      </c>
      <c r="G141" t="n">
        <v>7</v>
      </c>
      <c r="H141" t="n">
        <v>2</v>
      </c>
      <c r="I141" t="n">
        <v>1</v>
      </c>
      <c r="J141" t="n">
        <v>3</v>
      </c>
      <c r="K141" t="n">
        <v>1</v>
      </c>
      <c r="L141" t="n">
        <v>0</v>
      </c>
      <c r="M141" t="n">
        <v>0</v>
      </c>
      <c r="N141" t="n">
        <v>0</v>
      </c>
      <c r="O141" t="n">
        <v>4</v>
      </c>
      <c r="P141" t="n">
        <v>1</v>
      </c>
      <c r="Q141" t="n">
        <v>5</v>
      </c>
      <c r="R141" s="2" t="inlineStr">
        <is>
          <t>Knärot
Garnlav
Lunglav
Skrovellav
Plattlummer</t>
        </is>
      </c>
      <c r="S141">
        <f>HYPERLINK("https://klasma.github.io/Logging_2161/artfynd/A 24824-2025 artfynd.xlsx", "A 24824-2025")</f>
        <v/>
      </c>
      <c r="T141">
        <f>HYPERLINK("https://klasma.github.io/Logging_2161/kartor/A 24824-2025 karta.png", "A 24824-2025")</f>
        <v/>
      </c>
      <c r="U141">
        <f>HYPERLINK("https://klasma.github.io/Logging_2161/knärot/A 24824-2025 karta knärot.png", "A 24824-2025")</f>
        <v/>
      </c>
      <c r="V141">
        <f>HYPERLINK("https://klasma.github.io/Logging_2161/klagomål/A 24824-2025 FSC-klagomål.docx", "A 24824-2025")</f>
        <v/>
      </c>
      <c r="W141">
        <f>HYPERLINK("https://klasma.github.io/Logging_2161/klagomålsmail/A 24824-2025 FSC-klagomål mail.docx", "A 24824-2025")</f>
        <v/>
      </c>
      <c r="X141">
        <f>HYPERLINK("https://klasma.github.io/Logging_2161/tillsyn/A 24824-2025 tillsynsbegäran.docx", "A 24824-2025")</f>
        <v/>
      </c>
      <c r="Y141">
        <f>HYPERLINK("https://klasma.github.io/Logging_2161/tillsynsmail/A 24824-2025 tillsynsbegäran mail.docx", "A 24824-2025")</f>
        <v/>
      </c>
    </row>
    <row r="142" ht="15" customHeight="1">
      <c r="A142" t="inlineStr">
        <is>
          <t>A 26489-2025</t>
        </is>
      </c>
      <c r="B142" s="1" t="n">
        <v>45807.48326388889</v>
      </c>
      <c r="C142" s="1" t="n">
        <v>46086</v>
      </c>
      <c r="D142" t="inlineStr">
        <is>
          <t>GÄVLEBORGS LÄN</t>
        </is>
      </c>
      <c r="E142" t="inlineStr">
        <is>
          <t>LJUSDAL</t>
        </is>
      </c>
      <c r="G142" t="n">
        <v>14.8</v>
      </c>
      <c r="H142" t="n">
        <v>2</v>
      </c>
      <c r="I142" t="n">
        <v>1</v>
      </c>
      <c r="J142" t="n">
        <v>2</v>
      </c>
      <c r="K142" t="n">
        <v>0</v>
      </c>
      <c r="L142" t="n">
        <v>0</v>
      </c>
      <c r="M142" t="n">
        <v>0</v>
      </c>
      <c r="N142" t="n">
        <v>0</v>
      </c>
      <c r="O142" t="n">
        <v>2</v>
      </c>
      <c r="P142" t="n">
        <v>0</v>
      </c>
      <c r="Q142" t="n">
        <v>5</v>
      </c>
      <c r="R142" s="2" t="inlineStr">
        <is>
          <t>Gammelgransskål
Garnlav
Luddlav
Fläcknycklar
Revlummer</t>
        </is>
      </c>
      <c r="S142">
        <f>HYPERLINK("https://klasma.github.io/Logging_2161/artfynd/A 26489-2025 artfynd.xlsx", "A 26489-2025")</f>
        <v/>
      </c>
      <c r="T142">
        <f>HYPERLINK("https://klasma.github.io/Logging_2161/kartor/A 26489-2025 karta.png", "A 26489-2025")</f>
        <v/>
      </c>
      <c r="V142">
        <f>HYPERLINK("https://klasma.github.io/Logging_2161/klagomål/A 26489-2025 FSC-klagomål.docx", "A 26489-2025")</f>
        <v/>
      </c>
      <c r="W142">
        <f>HYPERLINK("https://klasma.github.io/Logging_2161/klagomålsmail/A 26489-2025 FSC-klagomål mail.docx", "A 26489-2025")</f>
        <v/>
      </c>
      <c r="X142">
        <f>HYPERLINK("https://klasma.github.io/Logging_2161/tillsyn/A 26489-2025 tillsynsbegäran.docx", "A 26489-2025")</f>
        <v/>
      </c>
      <c r="Y142">
        <f>HYPERLINK("https://klasma.github.io/Logging_2161/tillsynsmail/A 26489-2025 tillsynsbegäran mail.docx", "A 26489-2025")</f>
        <v/>
      </c>
    </row>
    <row r="143" ht="15" customHeight="1">
      <c r="A143" t="inlineStr">
        <is>
          <t>A 11308-2021</t>
        </is>
      </c>
      <c r="B143" s="1" t="n">
        <v>44263</v>
      </c>
      <c r="C143" s="1" t="n">
        <v>46086</v>
      </c>
      <c r="D143" t="inlineStr">
        <is>
          <t>GÄVLEBORGS LÄN</t>
        </is>
      </c>
      <c r="E143" t="inlineStr">
        <is>
          <t>NORDANSTIG</t>
        </is>
      </c>
      <c r="G143" t="n">
        <v>15.6</v>
      </c>
      <c r="H143" t="n">
        <v>4</v>
      </c>
      <c r="I143" t="n">
        <v>0</v>
      </c>
      <c r="J143" t="n">
        <v>3</v>
      </c>
      <c r="K143" t="n">
        <v>0</v>
      </c>
      <c r="L143" t="n">
        <v>0</v>
      </c>
      <c r="M143" t="n">
        <v>0</v>
      </c>
      <c r="N143" t="n">
        <v>0</v>
      </c>
      <c r="O143" t="n">
        <v>3</v>
      </c>
      <c r="P143" t="n">
        <v>0</v>
      </c>
      <c r="Q143" t="n">
        <v>4</v>
      </c>
      <c r="R143" s="2" t="inlineStr">
        <is>
          <t>Kråka
Spillkråka
Talltita
Kungsfågel</t>
        </is>
      </c>
      <c r="S143">
        <f>HYPERLINK("https://klasma.github.io/Logging_2132/artfynd/A 11308-2021 artfynd.xlsx", "A 11308-2021")</f>
        <v/>
      </c>
      <c r="T143">
        <f>HYPERLINK("https://klasma.github.io/Logging_2132/kartor/A 11308-2021 karta.png", "A 11308-2021")</f>
        <v/>
      </c>
      <c r="V143">
        <f>HYPERLINK("https://klasma.github.io/Logging_2132/klagomål/A 11308-2021 FSC-klagomål.docx", "A 11308-2021")</f>
        <v/>
      </c>
      <c r="W143">
        <f>HYPERLINK("https://klasma.github.io/Logging_2132/klagomålsmail/A 11308-2021 FSC-klagomål mail.docx", "A 11308-2021")</f>
        <v/>
      </c>
      <c r="X143">
        <f>HYPERLINK("https://klasma.github.io/Logging_2132/tillsyn/A 11308-2021 tillsynsbegäran.docx", "A 11308-2021")</f>
        <v/>
      </c>
      <c r="Y143">
        <f>HYPERLINK("https://klasma.github.io/Logging_2132/tillsynsmail/A 11308-2021 tillsynsbegäran mail.docx", "A 11308-2021")</f>
        <v/>
      </c>
      <c r="Z143">
        <f>HYPERLINK("https://klasma.github.io/Logging_2132/fåglar/A 11308-2021 prioriterade fågelarter.docx", "A 11308-2021")</f>
        <v/>
      </c>
    </row>
    <row r="144" ht="15" customHeight="1">
      <c r="A144" t="inlineStr">
        <is>
          <t>A 48181-2021</t>
        </is>
      </c>
      <c r="B144" s="1" t="n">
        <v>44449</v>
      </c>
      <c r="C144" s="1" t="n">
        <v>46086</v>
      </c>
      <c r="D144" t="inlineStr">
        <is>
          <t>GÄVLEBORGS LÄN</t>
        </is>
      </c>
      <c r="E144" t="inlineStr">
        <is>
          <t>LJUSDAL</t>
        </is>
      </c>
      <c r="F144" t="inlineStr">
        <is>
          <t>Sveaskog</t>
        </is>
      </c>
      <c r="G144" t="n">
        <v>3.9</v>
      </c>
      <c r="H144" t="n">
        <v>0</v>
      </c>
      <c r="I144" t="n">
        <v>1</v>
      </c>
      <c r="J144" t="n">
        <v>3</v>
      </c>
      <c r="K144" t="n">
        <v>0</v>
      </c>
      <c r="L144" t="n">
        <v>0</v>
      </c>
      <c r="M144" t="n">
        <v>0</v>
      </c>
      <c r="N144" t="n">
        <v>0</v>
      </c>
      <c r="O144" t="n">
        <v>3</v>
      </c>
      <c r="P144" t="n">
        <v>0</v>
      </c>
      <c r="Q144" t="n">
        <v>4</v>
      </c>
      <c r="R144" s="2" t="inlineStr">
        <is>
          <t>Garnlav
Kolflarnlav
Lunglav
Dropptaggsvamp</t>
        </is>
      </c>
      <c r="S144">
        <f>HYPERLINK("https://klasma.github.io/Logging_2161/artfynd/A 48181-2021 artfynd.xlsx", "A 48181-2021")</f>
        <v/>
      </c>
      <c r="T144">
        <f>HYPERLINK("https://klasma.github.io/Logging_2161/kartor/A 48181-2021 karta.png", "A 48181-2021")</f>
        <v/>
      </c>
      <c r="V144">
        <f>HYPERLINK("https://klasma.github.io/Logging_2161/klagomål/A 48181-2021 FSC-klagomål.docx", "A 48181-2021")</f>
        <v/>
      </c>
      <c r="W144">
        <f>HYPERLINK("https://klasma.github.io/Logging_2161/klagomålsmail/A 48181-2021 FSC-klagomål mail.docx", "A 48181-2021")</f>
        <v/>
      </c>
      <c r="X144">
        <f>HYPERLINK("https://klasma.github.io/Logging_2161/tillsyn/A 48181-2021 tillsynsbegäran.docx", "A 48181-2021")</f>
        <v/>
      </c>
      <c r="Y144">
        <f>HYPERLINK("https://klasma.github.io/Logging_2161/tillsynsmail/A 48181-2021 tillsynsbegäran mail.docx", "A 48181-2021")</f>
        <v/>
      </c>
    </row>
    <row r="145" ht="15" customHeight="1">
      <c r="A145" t="inlineStr">
        <is>
          <t>A 44589-2022</t>
        </is>
      </c>
      <c r="B145" s="1" t="n">
        <v>44840.52716435185</v>
      </c>
      <c r="C145" s="1" t="n">
        <v>46086</v>
      </c>
      <c r="D145" t="inlineStr">
        <is>
          <t>GÄVLEBORGS LÄN</t>
        </is>
      </c>
      <c r="E145" t="inlineStr">
        <is>
          <t>NORDANSTIG</t>
        </is>
      </c>
      <c r="F145" t="inlineStr">
        <is>
          <t>Holmen skog AB</t>
        </is>
      </c>
      <c r="G145" t="n">
        <v>8.199999999999999</v>
      </c>
      <c r="H145" t="n">
        <v>0</v>
      </c>
      <c r="I145" t="n">
        <v>1</v>
      </c>
      <c r="J145" t="n">
        <v>3</v>
      </c>
      <c r="K145" t="n">
        <v>0</v>
      </c>
      <c r="L145" t="n">
        <v>0</v>
      </c>
      <c r="M145" t="n">
        <v>0</v>
      </c>
      <c r="N145" t="n">
        <v>0</v>
      </c>
      <c r="O145" t="n">
        <v>3</v>
      </c>
      <c r="P145" t="n">
        <v>0</v>
      </c>
      <c r="Q145" t="n">
        <v>4</v>
      </c>
      <c r="R145" s="2" t="inlineStr">
        <is>
          <t>Gammelgransskål
Vedtrappmossa
Vitgrynig nållav
Bollvitmossa</t>
        </is>
      </c>
      <c r="S145">
        <f>HYPERLINK("https://klasma.github.io/Logging_2132/artfynd/A 44589-2022 artfynd.xlsx", "A 44589-2022")</f>
        <v/>
      </c>
      <c r="T145">
        <f>HYPERLINK("https://klasma.github.io/Logging_2132/kartor/A 44589-2022 karta.png", "A 44589-2022")</f>
        <v/>
      </c>
      <c r="V145">
        <f>HYPERLINK("https://klasma.github.io/Logging_2132/klagomål/A 44589-2022 FSC-klagomål.docx", "A 44589-2022")</f>
        <v/>
      </c>
      <c r="W145">
        <f>HYPERLINK("https://klasma.github.io/Logging_2132/klagomålsmail/A 44589-2022 FSC-klagomål mail.docx", "A 44589-2022")</f>
        <v/>
      </c>
      <c r="X145">
        <f>HYPERLINK("https://klasma.github.io/Logging_2132/tillsyn/A 44589-2022 tillsynsbegäran.docx", "A 44589-2022")</f>
        <v/>
      </c>
      <c r="Y145">
        <f>HYPERLINK("https://klasma.github.io/Logging_2132/tillsynsmail/A 44589-2022 tillsynsbegäran mail.docx", "A 44589-2022")</f>
        <v/>
      </c>
    </row>
    <row r="146" ht="15" customHeight="1">
      <c r="A146" t="inlineStr">
        <is>
          <t>A 23404-2021</t>
        </is>
      </c>
      <c r="B146" s="1" t="n">
        <v>44333.65168981482</v>
      </c>
      <c r="C146" s="1" t="n">
        <v>46086</v>
      </c>
      <c r="D146" t="inlineStr">
        <is>
          <t>GÄVLEBORGS LÄN</t>
        </is>
      </c>
      <c r="E146" t="inlineStr">
        <is>
          <t>BOLLNÄS</t>
        </is>
      </c>
      <c r="G146" t="n">
        <v>5.9</v>
      </c>
      <c r="H146" t="n">
        <v>1</v>
      </c>
      <c r="I146" t="n">
        <v>3</v>
      </c>
      <c r="J146" t="n">
        <v>0</v>
      </c>
      <c r="K146" t="n">
        <v>1</v>
      </c>
      <c r="L146" t="n">
        <v>0</v>
      </c>
      <c r="M146" t="n">
        <v>0</v>
      </c>
      <c r="N146" t="n">
        <v>0</v>
      </c>
      <c r="O146" t="n">
        <v>1</v>
      </c>
      <c r="P146" t="n">
        <v>1</v>
      </c>
      <c r="Q146" t="n">
        <v>4</v>
      </c>
      <c r="R146" s="2" t="inlineStr">
        <is>
          <t>Knärot
Dropptaggsvamp
Kattfotslav
Skarp dropptaggsvamp</t>
        </is>
      </c>
      <c r="S146">
        <f>HYPERLINK("https://klasma.github.io/Logging_2183/artfynd/A 23404-2021 artfynd.xlsx", "A 23404-2021")</f>
        <v/>
      </c>
      <c r="T146">
        <f>HYPERLINK("https://klasma.github.io/Logging_2183/kartor/A 23404-2021 karta.png", "A 23404-2021")</f>
        <v/>
      </c>
      <c r="U146">
        <f>HYPERLINK("https://klasma.github.io/Logging_2183/knärot/A 23404-2021 karta knärot.png", "A 23404-2021")</f>
        <v/>
      </c>
      <c r="V146">
        <f>HYPERLINK("https://klasma.github.io/Logging_2183/klagomål/A 23404-2021 FSC-klagomål.docx", "A 23404-2021")</f>
        <v/>
      </c>
      <c r="W146">
        <f>HYPERLINK("https://klasma.github.io/Logging_2183/klagomålsmail/A 23404-2021 FSC-klagomål mail.docx", "A 23404-2021")</f>
        <v/>
      </c>
      <c r="X146">
        <f>HYPERLINK("https://klasma.github.io/Logging_2183/tillsyn/A 23404-2021 tillsynsbegäran.docx", "A 23404-2021")</f>
        <v/>
      </c>
      <c r="Y146">
        <f>HYPERLINK("https://klasma.github.io/Logging_2183/tillsynsmail/A 23404-2021 tillsynsbegäran mail.docx", "A 23404-2021")</f>
        <v/>
      </c>
    </row>
    <row r="147" ht="15" customHeight="1">
      <c r="A147" t="inlineStr">
        <is>
          <t>A 33684-2024</t>
        </is>
      </c>
      <c r="B147" s="1" t="n">
        <v>45520.50998842593</v>
      </c>
      <c r="C147" s="1" t="n">
        <v>46086</v>
      </c>
      <c r="D147" t="inlineStr">
        <is>
          <t>GÄVLEBORGS LÄN</t>
        </is>
      </c>
      <c r="E147" t="inlineStr">
        <is>
          <t>LJUSDAL</t>
        </is>
      </c>
      <c r="F147" t="inlineStr">
        <is>
          <t>Bergvik skog väst AB</t>
        </is>
      </c>
      <c r="G147" t="n">
        <v>2.6</v>
      </c>
      <c r="H147" t="n">
        <v>0</v>
      </c>
      <c r="I147" t="n">
        <v>0</v>
      </c>
      <c r="J147" t="n">
        <v>4</v>
      </c>
      <c r="K147" t="n">
        <v>0</v>
      </c>
      <c r="L147" t="n">
        <v>0</v>
      </c>
      <c r="M147" t="n">
        <v>0</v>
      </c>
      <c r="N147" t="n">
        <v>0</v>
      </c>
      <c r="O147" t="n">
        <v>4</v>
      </c>
      <c r="P147" t="n">
        <v>0</v>
      </c>
      <c r="Q147" t="n">
        <v>4</v>
      </c>
      <c r="R147" s="2" t="inlineStr">
        <is>
          <t>Dvärgbägarlav
Garnlav
Kolflarnlav
Vedskivlav</t>
        </is>
      </c>
      <c r="S147">
        <f>HYPERLINK("https://klasma.github.io/Logging_2161/artfynd/A 33684-2024 artfynd.xlsx", "A 33684-2024")</f>
        <v/>
      </c>
      <c r="T147">
        <f>HYPERLINK("https://klasma.github.io/Logging_2161/kartor/A 33684-2024 karta.png", "A 33684-2024")</f>
        <v/>
      </c>
      <c r="V147">
        <f>HYPERLINK("https://klasma.github.io/Logging_2161/klagomål/A 33684-2024 FSC-klagomål.docx", "A 33684-2024")</f>
        <v/>
      </c>
      <c r="W147">
        <f>HYPERLINK("https://klasma.github.io/Logging_2161/klagomålsmail/A 33684-2024 FSC-klagomål mail.docx", "A 33684-2024")</f>
        <v/>
      </c>
      <c r="X147">
        <f>HYPERLINK("https://klasma.github.io/Logging_2161/tillsyn/A 33684-2024 tillsynsbegäran.docx", "A 33684-2024")</f>
        <v/>
      </c>
      <c r="Y147">
        <f>HYPERLINK("https://klasma.github.io/Logging_2161/tillsynsmail/A 33684-2024 tillsynsbegäran mail.docx", "A 33684-2024")</f>
        <v/>
      </c>
    </row>
    <row r="148" ht="15" customHeight="1">
      <c r="A148" t="inlineStr">
        <is>
          <t>A 31615-2024</t>
        </is>
      </c>
      <c r="B148" s="1" t="n">
        <v>45506.45282407408</v>
      </c>
      <c r="C148" s="1" t="n">
        <v>46086</v>
      </c>
      <c r="D148" t="inlineStr">
        <is>
          <t>GÄVLEBORGS LÄN</t>
        </is>
      </c>
      <c r="E148" t="inlineStr">
        <is>
          <t>LJUSDAL</t>
        </is>
      </c>
      <c r="F148" t="inlineStr">
        <is>
          <t>Sveaskog</t>
        </is>
      </c>
      <c r="G148" t="n">
        <v>15.8</v>
      </c>
      <c r="H148" t="n">
        <v>0</v>
      </c>
      <c r="I148" t="n">
        <v>0</v>
      </c>
      <c r="J148" t="n">
        <v>4</v>
      </c>
      <c r="K148" t="n">
        <v>0</v>
      </c>
      <c r="L148" t="n">
        <v>0</v>
      </c>
      <c r="M148" t="n">
        <v>0</v>
      </c>
      <c r="N148" t="n">
        <v>0</v>
      </c>
      <c r="O148" t="n">
        <v>4</v>
      </c>
      <c r="P148" t="n">
        <v>0</v>
      </c>
      <c r="Q148" t="n">
        <v>4</v>
      </c>
      <c r="R148" s="2" t="inlineStr">
        <is>
          <t>Blanksvart spiklav
Kolflarnlav
Lunglav
Mörk kolflarnlav</t>
        </is>
      </c>
      <c r="S148">
        <f>HYPERLINK("https://klasma.github.io/Logging_2161/artfynd/A 31615-2024 artfynd.xlsx", "A 31615-2024")</f>
        <v/>
      </c>
      <c r="T148">
        <f>HYPERLINK("https://klasma.github.io/Logging_2161/kartor/A 31615-2024 karta.png", "A 31615-2024")</f>
        <v/>
      </c>
      <c r="V148">
        <f>HYPERLINK("https://klasma.github.io/Logging_2161/klagomål/A 31615-2024 FSC-klagomål.docx", "A 31615-2024")</f>
        <v/>
      </c>
      <c r="W148">
        <f>HYPERLINK("https://klasma.github.io/Logging_2161/klagomålsmail/A 31615-2024 FSC-klagomål mail.docx", "A 31615-2024")</f>
        <v/>
      </c>
      <c r="X148">
        <f>HYPERLINK("https://klasma.github.io/Logging_2161/tillsyn/A 31615-2024 tillsynsbegäran.docx", "A 31615-2024")</f>
        <v/>
      </c>
      <c r="Y148">
        <f>HYPERLINK("https://klasma.github.io/Logging_2161/tillsynsmail/A 31615-2024 tillsynsbegäran mail.docx", "A 31615-2024")</f>
        <v/>
      </c>
    </row>
    <row r="149" ht="15" customHeight="1">
      <c r="A149" t="inlineStr">
        <is>
          <t>A 55473-2022</t>
        </is>
      </c>
      <c r="B149" s="1" t="n">
        <v>44887</v>
      </c>
      <c r="C149" s="1" t="n">
        <v>46086</v>
      </c>
      <c r="D149" t="inlineStr">
        <is>
          <t>GÄVLEBORGS LÄN</t>
        </is>
      </c>
      <c r="E149" t="inlineStr">
        <is>
          <t>OVANÅKER</t>
        </is>
      </c>
      <c r="G149" t="n">
        <v>7.9</v>
      </c>
      <c r="H149" t="n">
        <v>0</v>
      </c>
      <c r="I149" t="n">
        <v>1</v>
      </c>
      <c r="J149" t="n">
        <v>3</v>
      </c>
      <c r="K149" t="n">
        <v>0</v>
      </c>
      <c r="L149" t="n">
        <v>0</v>
      </c>
      <c r="M149" t="n">
        <v>0</v>
      </c>
      <c r="N149" t="n">
        <v>0</v>
      </c>
      <c r="O149" t="n">
        <v>3</v>
      </c>
      <c r="P149" t="n">
        <v>0</v>
      </c>
      <c r="Q149" t="n">
        <v>4</v>
      </c>
      <c r="R149" s="2" t="inlineStr">
        <is>
          <t>Dvärgbägarlav
Kolflarnlav
Mörk kolflarnlav
Dropptaggsvamp</t>
        </is>
      </c>
      <c r="S149">
        <f>HYPERLINK("https://klasma.github.io/Logging_2121/artfynd/A 55473-2022 artfynd.xlsx", "A 55473-2022")</f>
        <v/>
      </c>
      <c r="T149">
        <f>HYPERLINK("https://klasma.github.io/Logging_2121/kartor/A 55473-2022 karta.png", "A 55473-2022")</f>
        <v/>
      </c>
      <c r="V149">
        <f>HYPERLINK("https://klasma.github.io/Logging_2121/klagomål/A 55473-2022 FSC-klagomål.docx", "A 55473-2022")</f>
        <v/>
      </c>
      <c r="W149">
        <f>HYPERLINK("https://klasma.github.io/Logging_2121/klagomålsmail/A 55473-2022 FSC-klagomål mail.docx", "A 55473-2022")</f>
        <v/>
      </c>
      <c r="X149">
        <f>HYPERLINK("https://klasma.github.io/Logging_2121/tillsyn/A 55473-2022 tillsynsbegäran.docx", "A 55473-2022")</f>
        <v/>
      </c>
      <c r="Y149">
        <f>HYPERLINK("https://klasma.github.io/Logging_2121/tillsynsmail/A 55473-2022 tillsynsbegäran mail.docx", "A 55473-2022")</f>
        <v/>
      </c>
    </row>
    <row r="150" ht="15" customHeight="1">
      <c r="A150" t="inlineStr">
        <is>
          <t>A 49419-2024</t>
        </is>
      </c>
      <c r="B150" s="1" t="n">
        <v>45595.74886574074</v>
      </c>
      <c r="C150" s="1" t="n">
        <v>46086</v>
      </c>
      <c r="D150" t="inlineStr">
        <is>
          <t>GÄVLEBORGS LÄN</t>
        </is>
      </c>
      <c r="E150" t="inlineStr">
        <is>
          <t>NORDANSTIG</t>
        </is>
      </c>
      <c r="G150" t="n">
        <v>1.3</v>
      </c>
      <c r="H150" t="n">
        <v>0</v>
      </c>
      <c r="I150" t="n">
        <v>2</v>
      </c>
      <c r="J150" t="n">
        <v>1</v>
      </c>
      <c r="K150" t="n">
        <v>1</v>
      </c>
      <c r="L150" t="n">
        <v>0</v>
      </c>
      <c r="M150" t="n">
        <v>0</v>
      </c>
      <c r="N150" t="n">
        <v>0</v>
      </c>
      <c r="O150" t="n">
        <v>2</v>
      </c>
      <c r="P150" t="n">
        <v>1</v>
      </c>
      <c r="Q150" t="n">
        <v>4</v>
      </c>
      <c r="R150" s="2" t="inlineStr">
        <is>
          <t>Goliatmusseron
Skrovlig taggsvamp
Dropptaggsvamp
Skarp dropptaggsvamp</t>
        </is>
      </c>
      <c r="S150">
        <f>HYPERLINK("https://klasma.github.io/Logging_2132/artfynd/A 49419-2024 artfynd.xlsx", "A 49419-2024")</f>
        <v/>
      </c>
      <c r="T150">
        <f>HYPERLINK("https://klasma.github.io/Logging_2132/kartor/A 49419-2024 karta.png", "A 49419-2024")</f>
        <v/>
      </c>
      <c r="V150">
        <f>HYPERLINK("https://klasma.github.io/Logging_2132/klagomål/A 49419-2024 FSC-klagomål.docx", "A 49419-2024")</f>
        <v/>
      </c>
      <c r="W150">
        <f>HYPERLINK("https://klasma.github.io/Logging_2132/klagomålsmail/A 49419-2024 FSC-klagomål mail.docx", "A 49419-2024")</f>
        <v/>
      </c>
      <c r="X150">
        <f>HYPERLINK("https://klasma.github.io/Logging_2132/tillsyn/A 49419-2024 tillsynsbegäran.docx", "A 49419-2024")</f>
        <v/>
      </c>
      <c r="Y150">
        <f>HYPERLINK("https://klasma.github.io/Logging_2132/tillsynsmail/A 49419-2024 tillsynsbegäran mail.docx", "A 49419-2024")</f>
        <v/>
      </c>
    </row>
    <row r="151" ht="15" customHeight="1">
      <c r="A151" t="inlineStr">
        <is>
          <t>A 27029-2025</t>
        </is>
      </c>
      <c r="B151" s="1" t="n">
        <v>45811.5847337963</v>
      </c>
      <c r="C151" s="1" t="n">
        <v>46086</v>
      </c>
      <c r="D151" t="inlineStr">
        <is>
          <t>GÄVLEBORGS LÄN</t>
        </is>
      </c>
      <c r="E151" t="inlineStr">
        <is>
          <t>LJUSDAL</t>
        </is>
      </c>
      <c r="F151" t="inlineStr">
        <is>
          <t>Allmännings- och besparingsskogar</t>
        </is>
      </c>
      <c r="G151" t="n">
        <v>1.6</v>
      </c>
      <c r="H151" t="n">
        <v>1</v>
      </c>
      <c r="I151" t="n">
        <v>0</v>
      </c>
      <c r="J151" t="n">
        <v>3</v>
      </c>
      <c r="K151" t="n">
        <v>0</v>
      </c>
      <c r="L151" t="n">
        <v>0</v>
      </c>
      <c r="M151" t="n">
        <v>0</v>
      </c>
      <c r="N151" t="n">
        <v>0</v>
      </c>
      <c r="O151" t="n">
        <v>3</v>
      </c>
      <c r="P151" t="n">
        <v>0</v>
      </c>
      <c r="Q151" t="n">
        <v>4</v>
      </c>
      <c r="R151" s="2" t="inlineStr">
        <is>
          <t>Garnlav
Tallticka
Vedskivlav
Tjäder</t>
        </is>
      </c>
      <c r="S151">
        <f>HYPERLINK("https://klasma.github.io/Logging_2161/artfynd/A 27029-2025 artfynd.xlsx", "A 27029-2025")</f>
        <v/>
      </c>
      <c r="T151">
        <f>HYPERLINK("https://klasma.github.io/Logging_2161/kartor/A 27029-2025 karta.png", "A 27029-2025")</f>
        <v/>
      </c>
      <c r="V151">
        <f>HYPERLINK("https://klasma.github.io/Logging_2161/klagomål/A 27029-2025 FSC-klagomål.docx", "A 27029-2025")</f>
        <v/>
      </c>
      <c r="W151">
        <f>HYPERLINK("https://klasma.github.io/Logging_2161/klagomålsmail/A 27029-2025 FSC-klagomål mail.docx", "A 27029-2025")</f>
        <v/>
      </c>
      <c r="X151">
        <f>HYPERLINK("https://klasma.github.io/Logging_2161/tillsyn/A 27029-2025 tillsynsbegäran.docx", "A 27029-2025")</f>
        <v/>
      </c>
      <c r="Y151">
        <f>HYPERLINK("https://klasma.github.io/Logging_2161/tillsynsmail/A 27029-2025 tillsynsbegäran mail.docx", "A 27029-2025")</f>
        <v/>
      </c>
      <c r="Z151">
        <f>HYPERLINK("https://klasma.github.io/Logging_2161/fåglar/A 27029-2025 prioriterade fågelarter.docx", "A 27029-2025")</f>
        <v/>
      </c>
    </row>
    <row r="152" ht="15" customHeight="1">
      <c r="A152" t="inlineStr">
        <is>
          <t>A 28058-2025</t>
        </is>
      </c>
      <c r="B152" s="1" t="n">
        <v>45817.66333333333</v>
      </c>
      <c r="C152" s="1" t="n">
        <v>46086</v>
      </c>
      <c r="D152" t="inlineStr">
        <is>
          <t>GÄVLEBORGS LÄN</t>
        </is>
      </c>
      <c r="E152" t="inlineStr">
        <is>
          <t>LJUSDAL</t>
        </is>
      </c>
      <c r="F152" t="inlineStr">
        <is>
          <t>Bergvik skog väst AB</t>
        </is>
      </c>
      <c r="G152" t="n">
        <v>27</v>
      </c>
      <c r="H152" t="n">
        <v>1</v>
      </c>
      <c r="I152" t="n">
        <v>2</v>
      </c>
      <c r="J152" t="n">
        <v>1</v>
      </c>
      <c r="K152" t="n">
        <v>0</v>
      </c>
      <c r="L152" t="n">
        <v>0</v>
      </c>
      <c r="M152" t="n">
        <v>0</v>
      </c>
      <c r="N152" t="n">
        <v>0</v>
      </c>
      <c r="O152" t="n">
        <v>1</v>
      </c>
      <c r="P152" t="n">
        <v>0</v>
      </c>
      <c r="Q152" t="n">
        <v>4</v>
      </c>
      <c r="R152" s="2" t="inlineStr">
        <is>
          <t>Lunglav
Korallblylav
Mörk husmossa
Blåsippa</t>
        </is>
      </c>
      <c r="S152">
        <f>HYPERLINK("https://klasma.github.io/Logging_2161/artfynd/A 28058-2025 artfynd.xlsx", "A 28058-2025")</f>
        <v/>
      </c>
      <c r="T152">
        <f>HYPERLINK("https://klasma.github.io/Logging_2161/kartor/A 28058-2025 karta.png", "A 28058-2025")</f>
        <v/>
      </c>
      <c r="V152">
        <f>HYPERLINK("https://klasma.github.io/Logging_2161/klagomål/A 28058-2025 FSC-klagomål.docx", "A 28058-2025")</f>
        <v/>
      </c>
      <c r="W152">
        <f>HYPERLINK("https://klasma.github.io/Logging_2161/klagomålsmail/A 28058-2025 FSC-klagomål mail.docx", "A 28058-2025")</f>
        <v/>
      </c>
      <c r="X152">
        <f>HYPERLINK("https://klasma.github.io/Logging_2161/tillsyn/A 28058-2025 tillsynsbegäran.docx", "A 28058-2025")</f>
        <v/>
      </c>
      <c r="Y152">
        <f>HYPERLINK("https://klasma.github.io/Logging_2161/tillsynsmail/A 28058-2025 tillsynsbegäran mail.docx", "A 28058-2025")</f>
        <v/>
      </c>
    </row>
    <row r="153" ht="15" customHeight="1">
      <c r="A153" t="inlineStr">
        <is>
          <t>A 28857-2025</t>
        </is>
      </c>
      <c r="B153" s="1" t="n">
        <v>45820</v>
      </c>
      <c r="C153" s="1" t="n">
        <v>46086</v>
      </c>
      <c r="D153" t="inlineStr">
        <is>
          <t>GÄVLEBORGS LÄN</t>
        </is>
      </c>
      <c r="E153" t="inlineStr">
        <is>
          <t>LJUSDAL</t>
        </is>
      </c>
      <c r="F153" t="inlineStr">
        <is>
          <t>Bergvik skog väst AB</t>
        </is>
      </c>
      <c r="G153" t="n">
        <v>12.5</v>
      </c>
      <c r="H153" t="n">
        <v>3</v>
      </c>
      <c r="I153" t="n">
        <v>0</v>
      </c>
      <c r="J153" t="n">
        <v>2</v>
      </c>
      <c r="K153" t="n">
        <v>0</v>
      </c>
      <c r="L153" t="n">
        <v>0</v>
      </c>
      <c r="M153" t="n">
        <v>0</v>
      </c>
      <c r="N153" t="n">
        <v>0</v>
      </c>
      <c r="O153" t="n">
        <v>2</v>
      </c>
      <c r="P153" t="n">
        <v>0</v>
      </c>
      <c r="Q153" t="n">
        <v>4</v>
      </c>
      <c r="R153" s="2" t="inlineStr">
        <is>
          <t>Garnlav
Järpe
Grönsiska
Tjäder</t>
        </is>
      </c>
      <c r="S153">
        <f>HYPERLINK("https://klasma.github.io/Logging_2161/artfynd/A 28857-2025 artfynd.xlsx", "A 28857-2025")</f>
        <v/>
      </c>
      <c r="T153">
        <f>HYPERLINK("https://klasma.github.io/Logging_2161/kartor/A 28857-2025 karta.png", "A 28857-2025")</f>
        <v/>
      </c>
      <c r="V153">
        <f>HYPERLINK("https://klasma.github.io/Logging_2161/klagomål/A 28857-2025 FSC-klagomål.docx", "A 28857-2025")</f>
        <v/>
      </c>
      <c r="W153">
        <f>HYPERLINK("https://klasma.github.io/Logging_2161/klagomålsmail/A 28857-2025 FSC-klagomål mail.docx", "A 28857-2025")</f>
        <v/>
      </c>
      <c r="X153">
        <f>HYPERLINK("https://klasma.github.io/Logging_2161/tillsyn/A 28857-2025 tillsynsbegäran.docx", "A 28857-2025")</f>
        <v/>
      </c>
      <c r="Y153">
        <f>HYPERLINK("https://klasma.github.io/Logging_2161/tillsynsmail/A 28857-2025 tillsynsbegäran mail.docx", "A 28857-2025")</f>
        <v/>
      </c>
      <c r="Z153">
        <f>HYPERLINK("https://klasma.github.io/Logging_2161/fåglar/A 28857-2025 prioriterade fågelarter.docx", "A 28857-2025")</f>
        <v/>
      </c>
    </row>
    <row r="154" ht="15" customHeight="1">
      <c r="A154" t="inlineStr">
        <is>
          <t>A 40791-2025</t>
        </is>
      </c>
      <c r="B154" s="1" t="n">
        <v>45897.4484375</v>
      </c>
      <c r="C154" s="1" t="n">
        <v>46086</v>
      </c>
      <c r="D154" t="inlineStr">
        <is>
          <t>GÄVLEBORGS LÄN</t>
        </is>
      </c>
      <c r="E154" t="inlineStr">
        <is>
          <t>LJUSDAL</t>
        </is>
      </c>
      <c r="F154" t="inlineStr">
        <is>
          <t>SCA</t>
        </is>
      </c>
      <c r="G154" t="n">
        <v>1.6</v>
      </c>
      <c r="H154" t="n">
        <v>1</v>
      </c>
      <c r="I154" t="n">
        <v>2</v>
      </c>
      <c r="J154" t="n">
        <v>1</v>
      </c>
      <c r="K154" t="n">
        <v>0</v>
      </c>
      <c r="L154" t="n">
        <v>0</v>
      </c>
      <c r="M154" t="n">
        <v>0</v>
      </c>
      <c r="N154" t="n">
        <v>0</v>
      </c>
      <c r="O154" t="n">
        <v>1</v>
      </c>
      <c r="P154" t="n">
        <v>0</v>
      </c>
      <c r="Q154" t="n">
        <v>4</v>
      </c>
      <c r="R154" s="2" t="inlineStr">
        <is>
          <t>Lunglav
Gulnål
Stuplav
Revlummer</t>
        </is>
      </c>
      <c r="S154">
        <f>HYPERLINK("https://klasma.github.io/Logging_2161/artfynd/A 40791-2025 artfynd.xlsx", "A 40791-2025")</f>
        <v/>
      </c>
      <c r="T154">
        <f>HYPERLINK("https://klasma.github.io/Logging_2161/kartor/A 40791-2025 karta.png", "A 40791-2025")</f>
        <v/>
      </c>
      <c r="V154">
        <f>HYPERLINK("https://klasma.github.io/Logging_2161/klagomål/A 40791-2025 FSC-klagomål.docx", "A 40791-2025")</f>
        <v/>
      </c>
      <c r="W154">
        <f>HYPERLINK("https://klasma.github.io/Logging_2161/klagomålsmail/A 40791-2025 FSC-klagomål mail.docx", "A 40791-2025")</f>
        <v/>
      </c>
      <c r="X154">
        <f>HYPERLINK("https://klasma.github.io/Logging_2161/tillsyn/A 40791-2025 tillsynsbegäran.docx", "A 40791-2025")</f>
        <v/>
      </c>
      <c r="Y154">
        <f>HYPERLINK("https://klasma.github.io/Logging_2161/tillsynsmail/A 40791-2025 tillsynsbegäran mail.docx", "A 40791-2025")</f>
        <v/>
      </c>
    </row>
    <row r="155" ht="15" customHeight="1">
      <c r="A155" t="inlineStr">
        <is>
          <t>A 38738-2023</t>
        </is>
      </c>
      <c r="B155" s="1" t="n">
        <v>45163</v>
      </c>
      <c r="C155" s="1" t="n">
        <v>46086</v>
      </c>
      <c r="D155" t="inlineStr">
        <is>
          <t>GÄVLEBORGS LÄN</t>
        </is>
      </c>
      <c r="E155" t="inlineStr">
        <is>
          <t>HOFORS</t>
        </is>
      </c>
      <c r="F155" t="inlineStr">
        <is>
          <t>Kyrkan</t>
        </is>
      </c>
      <c r="G155" t="n">
        <v>1.3</v>
      </c>
      <c r="H155" t="n">
        <v>1</v>
      </c>
      <c r="I155" t="n">
        <v>2</v>
      </c>
      <c r="J155" t="n">
        <v>1</v>
      </c>
      <c r="K155" t="n">
        <v>1</v>
      </c>
      <c r="L155" t="n">
        <v>0</v>
      </c>
      <c r="M155" t="n">
        <v>0</v>
      </c>
      <c r="N155" t="n">
        <v>0</v>
      </c>
      <c r="O155" t="n">
        <v>2</v>
      </c>
      <c r="P155" t="n">
        <v>1</v>
      </c>
      <c r="Q155" t="n">
        <v>4</v>
      </c>
      <c r="R155" s="2" t="inlineStr">
        <is>
          <t>Knärot
Svartvit taggsvamp
Fjällig taggsvamp s.str.
Grönpyrola</t>
        </is>
      </c>
      <c r="S155">
        <f>HYPERLINK("https://klasma.github.io/Logging_2104/artfynd/A 38738-2023 artfynd.xlsx", "A 38738-2023")</f>
        <v/>
      </c>
      <c r="T155">
        <f>HYPERLINK("https://klasma.github.io/Logging_2104/kartor/A 38738-2023 karta.png", "A 38738-2023")</f>
        <v/>
      </c>
      <c r="U155">
        <f>HYPERLINK("https://klasma.github.io/Logging_2104/knärot/A 38738-2023 karta knärot.png", "A 38738-2023")</f>
        <v/>
      </c>
      <c r="V155">
        <f>HYPERLINK("https://klasma.github.io/Logging_2104/klagomål/A 38738-2023 FSC-klagomål.docx", "A 38738-2023")</f>
        <v/>
      </c>
      <c r="W155">
        <f>HYPERLINK("https://klasma.github.io/Logging_2104/klagomålsmail/A 38738-2023 FSC-klagomål mail.docx", "A 38738-2023")</f>
        <v/>
      </c>
      <c r="X155">
        <f>HYPERLINK("https://klasma.github.io/Logging_2104/tillsyn/A 38738-2023 tillsynsbegäran.docx", "A 38738-2023")</f>
        <v/>
      </c>
      <c r="Y155">
        <f>HYPERLINK("https://klasma.github.io/Logging_2104/tillsynsmail/A 38738-2023 tillsynsbegäran mail.docx", "A 38738-2023")</f>
        <v/>
      </c>
    </row>
    <row r="156" ht="15" customHeight="1">
      <c r="A156" t="inlineStr">
        <is>
          <t>A 23393-2024</t>
        </is>
      </c>
      <c r="B156" s="1" t="n">
        <v>45453</v>
      </c>
      <c r="C156" s="1" t="n">
        <v>46086</v>
      </c>
      <c r="D156" t="inlineStr">
        <is>
          <t>GÄVLEBORGS LÄN</t>
        </is>
      </c>
      <c r="E156" t="inlineStr">
        <is>
          <t>LJUSDAL</t>
        </is>
      </c>
      <c r="G156" t="n">
        <v>4</v>
      </c>
      <c r="H156" t="n">
        <v>1</v>
      </c>
      <c r="I156" t="n">
        <v>0</v>
      </c>
      <c r="J156" t="n">
        <v>3</v>
      </c>
      <c r="K156" t="n">
        <v>0</v>
      </c>
      <c r="L156" t="n">
        <v>0</v>
      </c>
      <c r="M156" t="n">
        <v>0</v>
      </c>
      <c r="N156" t="n">
        <v>0</v>
      </c>
      <c r="O156" t="n">
        <v>3</v>
      </c>
      <c r="P156" t="n">
        <v>0</v>
      </c>
      <c r="Q156" t="n">
        <v>4</v>
      </c>
      <c r="R156" s="2" t="inlineStr">
        <is>
          <t>Kolflarnlav
Lunglav
Vedflamlav
Nattviol</t>
        </is>
      </c>
      <c r="S156">
        <f>HYPERLINK("https://klasma.github.io/Logging_2161/artfynd/A 23393-2024 artfynd.xlsx", "A 23393-2024")</f>
        <v/>
      </c>
      <c r="T156">
        <f>HYPERLINK("https://klasma.github.io/Logging_2161/kartor/A 23393-2024 karta.png", "A 23393-2024")</f>
        <v/>
      </c>
      <c r="V156">
        <f>HYPERLINK("https://klasma.github.io/Logging_2161/klagomål/A 23393-2024 FSC-klagomål.docx", "A 23393-2024")</f>
        <v/>
      </c>
      <c r="W156">
        <f>HYPERLINK("https://klasma.github.io/Logging_2161/klagomålsmail/A 23393-2024 FSC-klagomål mail.docx", "A 23393-2024")</f>
        <v/>
      </c>
      <c r="X156">
        <f>HYPERLINK("https://klasma.github.io/Logging_2161/tillsyn/A 23393-2024 tillsynsbegäran.docx", "A 23393-2024")</f>
        <v/>
      </c>
      <c r="Y156">
        <f>HYPERLINK("https://klasma.github.io/Logging_2161/tillsynsmail/A 23393-2024 tillsynsbegäran mail.docx", "A 23393-2024")</f>
        <v/>
      </c>
    </row>
    <row r="157" ht="15" customHeight="1">
      <c r="A157" t="inlineStr">
        <is>
          <t>A 42022-2025</t>
        </is>
      </c>
      <c r="B157" s="1" t="n">
        <v>45903.59134259259</v>
      </c>
      <c r="C157" s="1" t="n">
        <v>46086</v>
      </c>
      <c r="D157" t="inlineStr">
        <is>
          <t>GÄVLEBORGS LÄN</t>
        </is>
      </c>
      <c r="E157" t="inlineStr">
        <is>
          <t>LJUSDAL</t>
        </is>
      </c>
      <c r="F157" t="inlineStr">
        <is>
          <t>Sveaskog</t>
        </is>
      </c>
      <c r="G157" t="n">
        <v>17.7</v>
      </c>
      <c r="H157" t="n">
        <v>1</v>
      </c>
      <c r="I157" t="n">
        <v>0</v>
      </c>
      <c r="J157" t="n">
        <v>3</v>
      </c>
      <c r="K157" t="n">
        <v>0</v>
      </c>
      <c r="L157" t="n">
        <v>0</v>
      </c>
      <c r="M157" t="n">
        <v>0</v>
      </c>
      <c r="N157" t="n">
        <v>0</v>
      </c>
      <c r="O157" t="n">
        <v>3</v>
      </c>
      <c r="P157" t="n">
        <v>0</v>
      </c>
      <c r="Q157" t="n">
        <v>4</v>
      </c>
      <c r="R157" s="2" t="inlineStr">
        <is>
          <t>Garnlav
Kolflarnlav
Vedflamlav
Lavskrika</t>
        </is>
      </c>
      <c r="S157">
        <f>HYPERLINK("https://klasma.github.io/Logging_2161/artfynd/A 42022-2025 artfynd.xlsx", "A 42022-2025")</f>
        <v/>
      </c>
      <c r="T157">
        <f>HYPERLINK("https://klasma.github.io/Logging_2161/kartor/A 42022-2025 karta.png", "A 42022-2025")</f>
        <v/>
      </c>
      <c r="V157">
        <f>HYPERLINK("https://klasma.github.io/Logging_2161/klagomål/A 42022-2025 FSC-klagomål.docx", "A 42022-2025")</f>
        <v/>
      </c>
      <c r="W157">
        <f>HYPERLINK("https://klasma.github.io/Logging_2161/klagomålsmail/A 42022-2025 FSC-klagomål mail.docx", "A 42022-2025")</f>
        <v/>
      </c>
      <c r="X157">
        <f>HYPERLINK("https://klasma.github.io/Logging_2161/tillsyn/A 42022-2025 tillsynsbegäran.docx", "A 42022-2025")</f>
        <v/>
      </c>
      <c r="Y157">
        <f>HYPERLINK("https://klasma.github.io/Logging_2161/tillsynsmail/A 42022-2025 tillsynsbegäran mail.docx", "A 42022-2025")</f>
        <v/>
      </c>
      <c r="Z157">
        <f>HYPERLINK("https://klasma.github.io/Logging_2161/fåglar/A 42022-2025 prioriterade fågelarter.docx", "A 42022-2025")</f>
        <v/>
      </c>
    </row>
    <row r="158" ht="15" customHeight="1">
      <c r="A158" t="inlineStr">
        <is>
          <t>A 32157-2025</t>
        </is>
      </c>
      <c r="B158" s="1" t="n">
        <v>45835.53603009259</v>
      </c>
      <c r="C158" s="1" t="n">
        <v>46086</v>
      </c>
      <c r="D158" t="inlineStr">
        <is>
          <t>GÄVLEBORGS LÄN</t>
        </is>
      </c>
      <c r="E158" t="inlineStr">
        <is>
          <t>HUDIKSVALL</t>
        </is>
      </c>
      <c r="G158" t="n">
        <v>4.5</v>
      </c>
      <c r="H158" t="n">
        <v>3</v>
      </c>
      <c r="I158" t="n">
        <v>0</v>
      </c>
      <c r="J158" t="n">
        <v>1</v>
      </c>
      <c r="K158" t="n">
        <v>1</v>
      </c>
      <c r="L158" t="n">
        <v>0</v>
      </c>
      <c r="M158" t="n">
        <v>0</v>
      </c>
      <c r="N158" t="n">
        <v>0</v>
      </c>
      <c r="O158" t="n">
        <v>2</v>
      </c>
      <c r="P158" t="n">
        <v>1</v>
      </c>
      <c r="Q158" t="n">
        <v>4</v>
      </c>
      <c r="R158" s="2" t="inlineStr">
        <is>
          <t>Knärot
Ullticka
Fläcknycklar
Nattviol</t>
        </is>
      </c>
      <c r="S158">
        <f>HYPERLINK("https://klasma.github.io/Logging_2184/artfynd/A 32157-2025 artfynd.xlsx", "A 32157-2025")</f>
        <v/>
      </c>
      <c r="T158">
        <f>HYPERLINK("https://klasma.github.io/Logging_2184/kartor/A 32157-2025 karta.png", "A 32157-2025")</f>
        <v/>
      </c>
      <c r="U158">
        <f>HYPERLINK("https://klasma.github.io/Logging_2184/knärot/A 32157-2025 karta knärot.png", "A 32157-2025")</f>
        <v/>
      </c>
      <c r="V158">
        <f>HYPERLINK("https://klasma.github.io/Logging_2184/klagomål/A 32157-2025 FSC-klagomål.docx", "A 32157-2025")</f>
        <v/>
      </c>
      <c r="W158">
        <f>HYPERLINK("https://klasma.github.io/Logging_2184/klagomålsmail/A 32157-2025 FSC-klagomål mail.docx", "A 32157-2025")</f>
        <v/>
      </c>
      <c r="X158">
        <f>HYPERLINK("https://klasma.github.io/Logging_2184/tillsyn/A 32157-2025 tillsynsbegäran.docx", "A 32157-2025")</f>
        <v/>
      </c>
      <c r="Y158">
        <f>HYPERLINK("https://klasma.github.io/Logging_2184/tillsynsmail/A 32157-2025 tillsynsbegäran mail.docx", "A 32157-2025")</f>
        <v/>
      </c>
    </row>
    <row r="159" ht="15" customHeight="1">
      <c r="A159" t="inlineStr">
        <is>
          <t>A 42046-2025</t>
        </is>
      </c>
      <c r="B159" s="1" t="n">
        <v>45903.62723379629</v>
      </c>
      <c r="C159" s="1" t="n">
        <v>46086</v>
      </c>
      <c r="D159" t="inlineStr">
        <is>
          <t>GÄVLEBORGS LÄN</t>
        </is>
      </c>
      <c r="E159" t="inlineStr">
        <is>
          <t>LJUSDAL</t>
        </is>
      </c>
      <c r="F159" t="inlineStr">
        <is>
          <t>Sveaskog</t>
        </is>
      </c>
      <c r="G159" t="n">
        <v>7.8</v>
      </c>
      <c r="H159" t="n">
        <v>0</v>
      </c>
      <c r="I159" t="n">
        <v>1</v>
      </c>
      <c r="J159" t="n">
        <v>3</v>
      </c>
      <c r="K159" t="n">
        <v>0</v>
      </c>
      <c r="L159" t="n">
        <v>0</v>
      </c>
      <c r="M159" t="n">
        <v>0</v>
      </c>
      <c r="N159" t="n">
        <v>0</v>
      </c>
      <c r="O159" t="n">
        <v>3</v>
      </c>
      <c r="P159" t="n">
        <v>0</v>
      </c>
      <c r="Q159" t="n">
        <v>4</v>
      </c>
      <c r="R159" s="2" t="inlineStr">
        <is>
          <t>Kolflarnlav
Orange taggsvamp
Vedflamlav
Dropptaggsvamp</t>
        </is>
      </c>
      <c r="S159">
        <f>HYPERLINK("https://klasma.github.io/Logging_2161/artfynd/A 42046-2025 artfynd.xlsx", "A 42046-2025")</f>
        <v/>
      </c>
      <c r="T159">
        <f>HYPERLINK("https://klasma.github.io/Logging_2161/kartor/A 42046-2025 karta.png", "A 42046-2025")</f>
        <v/>
      </c>
      <c r="V159">
        <f>HYPERLINK("https://klasma.github.io/Logging_2161/klagomål/A 42046-2025 FSC-klagomål.docx", "A 42046-2025")</f>
        <v/>
      </c>
      <c r="W159">
        <f>HYPERLINK("https://klasma.github.io/Logging_2161/klagomålsmail/A 42046-2025 FSC-klagomål mail.docx", "A 42046-2025")</f>
        <v/>
      </c>
      <c r="X159">
        <f>HYPERLINK("https://klasma.github.io/Logging_2161/tillsyn/A 42046-2025 tillsynsbegäran.docx", "A 42046-2025")</f>
        <v/>
      </c>
      <c r="Y159">
        <f>HYPERLINK("https://klasma.github.io/Logging_2161/tillsynsmail/A 42046-2025 tillsynsbegäran mail.docx", "A 42046-2025")</f>
        <v/>
      </c>
    </row>
    <row r="160" ht="15" customHeight="1">
      <c r="A160" t="inlineStr">
        <is>
          <t>A 6798-2026</t>
        </is>
      </c>
      <c r="B160" s="1" t="n">
        <v>46057</v>
      </c>
      <c r="C160" s="1" t="n">
        <v>46086</v>
      </c>
      <c r="D160" t="inlineStr">
        <is>
          <t>GÄVLEBORGS LÄN</t>
        </is>
      </c>
      <c r="E160" t="inlineStr">
        <is>
          <t>NORDANSTIG</t>
        </is>
      </c>
      <c r="G160" t="n">
        <v>5.6</v>
      </c>
      <c r="H160" t="n">
        <v>3</v>
      </c>
      <c r="I160" t="n">
        <v>1</v>
      </c>
      <c r="J160" t="n">
        <v>1</v>
      </c>
      <c r="K160" t="n">
        <v>1</v>
      </c>
      <c r="L160" t="n">
        <v>0</v>
      </c>
      <c r="M160" t="n">
        <v>0</v>
      </c>
      <c r="N160" t="n">
        <v>0</v>
      </c>
      <c r="O160" t="n">
        <v>2</v>
      </c>
      <c r="P160" t="n">
        <v>1</v>
      </c>
      <c r="Q160" t="n">
        <v>4</v>
      </c>
      <c r="R160" s="2" t="inlineStr">
        <is>
          <t>Knärot
Spillkråka
Ögonpyrola
Blåsippa</t>
        </is>
      </c>
      <c r="S160">
        <f>HYPERLINK("https://klasma.github.io/Logging_2132/artfynd/A 6798-2026 artfynd.xlsx", "A 6798-2026")</f>
        <v/>
      </c>
      <c r="T160">
        <f>HYPERLINK("https://klasma.github.io/Logging_2132/kartor/A 6798-2026 karta.png", "A 6798-2026")</f>
        <v/>
      </c>
      <c r="U160">
        <f>HYPERLINK("https://klasma.github.io/Logging_2132/knärot/A 6798-2026 karta knärot.png", "A 6798-2026")</f>
        <v/>
      </c>
      <c r="V160">
        <f>HYPERLINK("https://klasma.github.io/Logging_2132/klagomål/A 6798-2026 FSC-klagomål.docx", "A 6798-2026")</f>
        <v/>
      </c>
      <c r="W160">
        <f>HYPERLINK("https://klasma.github.io/Logging_2132/klagomålsmail/A 6798-2026 FSC-klagomål mail.docx", "A 6798-2026")</f>
        <v/>
      </c>
      <c r="X160">
        <f>HYPERLINK("https://klasma.github.io/Logging_2132/tillsyn/A 6798-2026 tillsynsbegäran.docx", "A 6798-2026")</f>
        <v/>
      </c>
      <c r="Y160">
        <f>HYPERLINK("https://klasma.github.io/Logging_2132/tillsynsmail/A 6798-2026 tillsynsbegäran mail.docx", "A 6798-2026")</f>
        <v/>
      </c>
      <c r="Z160">
        <f>HYPERLINK("https://klasma.github.io/Logging_2132/fåglar/A 6798-2026 prioriterade fågelarter.docx", "A 6798-2026")</f>
        <v/>
      </c>
    </row>
    <row r="161" ht="15" customHeight="1">
      <c r="A161" t="inlineStr">
        <is>
          <t>A 42460-2025</t>
        </is>
      </c>
      <c r="B161" s="1" t="n">
        <v>45905.4566087963</v>
      </c>
      <c r="C161" s="1" t="n">
        <v>46086</v>
      </c>
      <c r="D161" t="inlineStr">
        <is>
          <t>GÄVLEBORGS LÄN</t>
        </is>
      </c>
      <c r="E161" t="inlineStr">
        <is>
          <t>LJUSDAL</t>
        </is>
      </c>
      <c r="F161" t="inlineStr">
        <is>
          <t>Sveaskog</t>
        </is>
      </c>
      <c r="G161" t="n">
        <v>7.8</v>
      </c>
      <c r="H161" t="n">
        <v>0</v>
      </c>
      <c r="I161" t="n">
        <v>1</v>
      </c>
      <c r="J161" t="n">
        <v>3</v>
      </c>
      <c r="K161" t="n">
        <v>0</v>
      </c>
      <c r="L161" t="n">
        <v>0</v>
      </c>
      <c r="M161" t="n">
        <v>0</v>
      </c>
      <c r="N161" t="n">
        <v>0</v>
      </c>
      <c r="O161" t="n">
        <v>3</v>
      </c>
      <c r="P161" t="n">
        <v>0</v>
      </c>
      <c r="Q161" t="n">
        <v>4</v>
      </c>
      <c r="R161" s="2" t="inlineStr">
        <is>
          <t>Kolflarnlav
Orange taggsvamp
Vedflamlav
Dropptaggsvamp</t>
        </is>
      </c>
      <c r="S161">
        <f>HYPERLINK("https://klasma.github.io/Logging_2161/artfynd/A 42460-2025 artfynd.xlsx", "A 42460-2025")</f>
        <v/>
      </c>
      <c r="T161">
        <f>HYPERLINK("https://klasma.github.io/Logging_2161/kartor/A 42460-2025 karta.png", "A 42460-2025")</f>
        <v/>
      </c>
      <c r="V161">
        <f>HYPERLINK("https://klasma.github.io/Logging_2161/klagomål/A 42460-2025 FSC-klagomål.docx", "A 42460-2025")</f>
        <v/>
      </c>
      <c r="W161">
        <f>HYPERLINK("https://klasma.github.io/Logging_2161/klagomålsmail/A 42460-2025 FSC-klagomål mail.docx", "A 42460-2025")</f>
        <v/>
      </c>
      <c r="X161">
        <f>HYPERLINK("https://klasma.github.io/Logging_2161/tillsyn/A 42460-2025 tillsynsbegäran.docx", "A 42460-2025")</f>
        <v/>
      </c>
      <c r="Y161">
        <f>HYPERLINK("https://klasma.github.io/Logging_2161/tillsynsmail/A 42460-2025 tillsynsbegäran mail.docx", "A 42460-2025")</f>
        <v/>
      </c>
    </row>
    <row r="162" ht="15" customHeight="1">
      <c r="A162" t="inlineStr">
        <is>
          <t>A 34231-2024</t>
        </is>
      </c>
      <c r="B162" s="1" t="n">
        <v>45524.56362268519</v>
      </c>
      <c r="C162" s="1" t="n">
        <v>46086</v>
      </c>
      <c r="D162" t="inlineStr">
        <is>
          <t>GÄVLEBORGS LÄN</t>
        </is>
      </c>
      <c r="E162" t="inlineStr">
        <is>
          <t>LJUSDAL</t>
        </is>
      </c>
      <c r="F162" t="inlineStr">
        <is>
          <t>Sveaskog</t>
        </is>
      </c>
      <c r="G162" t="n">
        <v>11.2</v>
      </c>
      <c r="H162" t="n">
        <v>3</v>
      </c>
      <c r="I162" t="n">
        <v>2</v>
      </c>
      <c r="J162" t="n">
        <v>1</v>
      </c>
      <c r="K162" t="n">
        <v>0</v>
      </c>
      <c r="L162" t="n">
        <v>0</v>
      </c>
      <c r="M162" t="n">
        <v>0</v>
      </c>
      <c r="N162" t="n">
        <v>0</v>
      </c>
      <c r="O162" t="n">
        <v>1</v>
      </c>
      <c r="P162" t="n">
        <v>0</v>
      </c>
      <c r="Q162" t="n">
        <v>4</v>
      </c>
      <c r="R162" s="2" t="inlineStr">
        <is>
          <t>Garnlav
Korallrot
Spindelblomster
Fläcknycklar</t>
        </is>
      </c>
      <c r="S162">
        <f>HYPERLINK("https://klasma.github.io/Logging_2161/artfynd/A 34231-2024 artfynd.xlsx", "A 34231-2024")</f>
        <v/>
      </c>
      <c r="T162">
        <f>HYPERLINK("https://klasma.github.io/Logging_2161/kartor/A 34231-2024 karta.png", "A 34231-2024")</f>
        <v/>
      </c>
      <c r="V162">
        <f>HYPERLINK("https://klasma.github.io/Logging_2161/klagomål/A 34231-2024 FSC-klagomål.docx", "A 34231-2024")</f>
        <v/>
      </c>
      <c r="W162">
        <f>HYPERLINK("https://klasma.github.io/Logging_2161/klagomålsmail/A 34231-2024 FSC-klagomål mail.docx", "A 34231-2024")</f>
        <v/>
      </c>
      <c r="X162">
        <f>HYPERLINK("https://klasma.github.io/Logging_2161/tillsyn/A 34231-2024 tillsynsbegäran.docx", "A 34231-2024")</f>
        <v/>
      </c>
      <c r="Y162">
        <f>HYPERLINK("https://klasma.github.io/Logging_2161/tillsynsmail/A 34231-2024 tillsynsbegäran mail.docx", "A 34231-2024")</f>
        <v/>
      </c>
    </row>
    <row r="163" ht="15" customHeight="1">
      <c r="A163" t="inlineStr">
        <is>
          <t>A 33904-2025</t>
        </is>
      </c>
      <c r="B163" s="1" t="n">
        <v>45842</v>
      </c>
      <c r="C163" s="1" t="n">
        <v>46086</v>
      </c>
      <c r="D163" t="inlineStr">
        <is>
          <t>GÄVLEBORGS LÄN</t>
        </is>
      </c>
      <c r="E163" t="inlineStr">
        <is>
          <t>GÄVLE</t>
        </is>
      </c>
      <c r="G163" t="n">
        <v>5.6</v>
      </c>
      <c r="H163" t="n">
        <v>4</v>
      </c>
      <c r="I163" t="n">
        <v>3</v>
      </c>
      <c r="J163" t="n">
        <v>0</v>
      </c>
      <c r="K163" t="n">
        <v>0</v>
      </c>
      <c r="L163" t="n">
        <v>0</v>
      </c>
      <c r="M163" t="n">
        <v>0</v>
      </c>
      <c r="N163" t="n">
        <v>0</v>
      </c>
      <c r="O163" t="n">
        <v>0</v>
      </c>
      <c r="P163" t="n">
        <v>0</v>
      </c>
      <c r="Q163" t="n">
        <v>4</v>
      </c>
      <c r="R163" s="2" t="inlineStr">
        <is>
          <t>Nästrot
Skogsknipprot
Tvåblad
Blåsippa</t>
        </is>
      </c>
      <c r="S163">
        <f>HYPERLINK("https://klasma.github.io/Logging_2180/artfynd/A 33904-2025 artfynd.xlsx", "A 33904-2025")</f>
        <v/>
      </c>
      <c r="T163">
        <f>HYPERLINK("https://klasma.github.io/Logging_2180/kartor/A 33904-2025 karta.png", "A 33904-2025")</f>
        <v/>
      </c>
      <c r="V163">
        <f>HYPERLINK("https://klasma.github.io/Logging_2180/klagomål/A 33904-2025 FSC-klagomål.docx", "A 33904-2025")</f>
        <v/>
      </c>
      <c r="W163">
        <f>HYPERLINK("https://klasma.github.io/Logging_2180/klagomålsmail/A 33904-2025 FSC-klagomål mail.docx", "A 33904-2025")</f>
        <v/>
      </c>
      <c r="X163">
        <f>HYPERLINK("https://klasma.github.io/Logging_2180/tillsyn/A 33904-2025 tillsynsbegäran.docx", "A 33904-2025")</f>
        <v/>
      </c>
      <c r="Y163">
        <f>HYPERLINK("https://klasma.github.io/Logging_2180/tillsynsmail/A 33904-2025 tillsynsbegäran mail.docx", "A 33904-2025")</f>
        <v/>
      </c>
    </row>
    <row r="164" ht="15" customHeight="1">
      <c r="A164" t="inlineStr">
        <is>
          <t>A 40120-2025</t>
        </is>
      </c>
      <c r="B164" s="1" t="n">
        <v>45894</v>
      </c>
      <c r="C164" s="1" t="n">
        <v>46086</v>
      </c>
      <c r="D164" t="inlineStr">
        <is>
          <t>GÄVLEBORGS LÄN</t>
        </is>
      </c>
      <c r="E164" t="inlineStr">
        <is>
          <t>HUDIKSVALL</t>
        </is>
      </c>
      <c r="G164" t="n">
        <v>3.6</v>
      </c>
      <c r="H164" t="n">
        <v>1</v>
      </c>
      <c r="I164" t="n">
        <v>1</v>
      </c>
      <c r="J164" t="n">
        <v>1</v>
      </c>
      <c r="K164" t="n">
        <v>2</v>
      </c>
      <c r="L164" t="n">
        <v>0</v>
      </c>
      <c r="M164" t="n">
        <v>0</v>
      </c>
      <c r="N164" t="n">
        <v>0</v>
      </c>
      <c r="O164" t="n">
        <v>3</v>
      </c>
      <c r="P164" t="n">
        <v>2</v>
      </c>
      <c r="Q164" t="n">
        <v>4</v>
      </c>
      <c r="R164" s="2" t="inlineStr">
        <is>
          <t>Knärot
Rynkskinn
Motaggsvamp
Kattfotslav</t>
        </is>
      </c>
      <c r="S164">
        <f>HYPERLINK("https://klasma.github.io/Logging_2184/artfynd/A 40120-2025 artfynd.xlsx", "A 40120-2025")</f>
        <v/>
      </c>
      <c r="T164">
        <f>HYPERLINK("https://klasma.github.io/Logging_2184/kartor/A 40120-2025 karta.png", "A 40120-2025")</f>
        <v/>
      </c>
      <c r="U164">
        <f>HYPERLINK("https://klasma.github.io/Logging_2184/knärot/A 40120-2025 karta knärot.png", "A 40120-2025")</f>
        <v/>
      </c>
      <c r="V164">
        <f>HYPERLINK("https://klasma.github.io/Logging_2184/klagomål/A 40120-2025 FSC-klagomål.docx", "A 40120-2025")</f>
        <v/>
      </c>
      <c r="W164">
        <f>HYPERLINK("https://klasma.github.io/Logging_2184/klagomålsmail/A 40120-2025 FSC-klagomål mail.docx", "A 40120-2025")</f>
        <v/>
      </c>
      <c r="X164">
        <f>HYPERLINK("https://klasma.github.io/Logging_2184/tillsyn/A 40120-2025 tillsynsbegäran.docx", "A 40120-2025")</f>
        <v/>
      </c>
      <c r="Y164">
        <f>HYPERLINK("https://klasma.github.io/Logging_2184/tillsynsmail/A 40120-2025 tillsynsbegäran mail.docx", "A 40120-2025")</f>
        <v/>
      </c>
    </row>
    <row r="165" ht="15" customHeight="1">
      <c r="A165" t="inlineStr">
        <is>
          <t>A 43647-2025</t>
        </is>
      </c>
      <c r="B165" s="1" t="n">
        <v>45912.31074074074</v>
      </c>
      <c r="C165" s="1" t="n">
        <v>46086</v>
      </c>
      <c r="D165" t="inlineStr">
        <is>
          <t>GÄVLEBORGS LÄN</t>
        </is>
      </c>
      <c r="E165" t="inlineStr">
        <is>
          <t>HUDIKSVALL</t>
        </is>
      </c>
      <c r="G165" t="n">
        <v>3</v>
      </c>
      <c r="H165" t="n">
        <v>0</v>
      </c>
      <c r="I165" t="n">
        <v>1</v>
      </c>
      <c r="J165" t="n">
        <v>3</v>
      </c>
      <c r="K165" t="n">
        <v>0</v>
      </c>
      <c r="L165" t="n">
        <v>0</v>
      </c>
      <c r="M165" t="n">
        <v>0</v>
      </c>
      <c r="N165" t="n">
        <v>0</v>
      </c>
      <c r="O165" t="n">
        <v>3</v>
      </c>
      <c r="P165" t="n">
        <v>0</v>
      </c>
      <c r="Q165" t="n">
        <v>4</v>
      </c>
      <c r="R165" s="2" t="inlineStr">
        <is>
          <t>Rosenticka
Tallticka
Ullticka
Vedticka</t>
        </is>
      </c>
      <c r="S165">
        <f>HYPERLINK("https://klasma.github.io/Logging_2184/artfynd/A 43647-2025 artfynd.xlsx", "A 43647-2025")</f>
        <v/>
      </c>
      <c r="T165">
        <f>HYPERLINK("https://klasma.github.io/Logging_2184/kartor/A 43647-2025 karta.png", "A 43647-2025")</f>
        <v/>
      </c>
      <c r="V165">
        <f>HYPERLINK("https://klasma.github.io/Logging_2184/klagomål/A 43647-2025 FSC-klagomål.docx", "A 43647-2025")</f>
        <v/>
      </c>
      <c r="W165">
        <f>HYPERLINK("https://klasma.github.io/Logging_2184/klagomålsmail/A 43647-2025 FSC-klagomål mail.docx", "A 43647-2025")</f>
        <v/>
      </c>
      <c r="X165">
        <f>HYPERLINK("https://klasma.github.io/Logging_2184/tillsyn/A 43647-2025 tillsynsbegäran.docx", "A 43647-2025")</f>
        <v/>
      </c>
      <c r="Y165">
        <f>HYPERLINK("https://klasma.github.io/Logging_2184/tillsynsmail/A 43647-2025 tillsynsbegäran mail.docx", "A 43647-2025")</f>
        <v/>
      </c>
    </row>
    <row r="166" ht="15" customHeight="1">
      <c r="A166" t="inlineStr">
        <is>
          <t>A 43829-2025</t>
        </is>
      </c>
      <c r="B166" s="1" t="n">
        <v>45912.62876157407</v>
      </c>
      <c r="C166" s="1" t="n">
        <v>46086</v>
      </c>
      <c r="D166" t="inlineStr">
        <is>
          <t>GÄVLEBORGS LÄN</t>
        </is>
      </c>
      <c r="E166" t="inlineStr">
        <is>
          <t>LJUSDAL</t>
        </is>
      </c>
      <c r="F166" t="inlineStr">
        <is>
          <t>Sveaskog</t>
        </is>
      </c>
      <c r="G166" t="n">
        <v>13</v>
      </c>
      <c r="H166" t="n">
        <v>2</v>
      </c>
      <c r="I166" t="n">
        <v>1</v>
      </c>
      <c r="J166" t="n">
        <v>2</v>
      </c>
      <c r="K166" t="n">
        <v>1</v>
      </c>
      <c r="L166" t="n">
        <v>0</v>
      </c>
      <c r="M166" t="n">
        <v>0</v>
      </c>
      <c r="N166" t="n">
        <v>0</v>
      </c>
      <c r="O166" t="n">
        <v>3</v>
      </c>
      <c r="P166" t="n">
        <v>1</v>
      </c>
      <c r="Q166" t="n">
        <v>4</v>
      </c>
      <c r="R166" s="2" t="inlineStr">
        <is>
          <t>Knärot
Garnlav
Violettgrå tagellav
Plattlummer</t>
        </is>
      </c>
      <c r="S166">
        <f>HYPERLINK("https://klasma.github.io/Logging_2161/artfynd/A 43829-2025 artfynd.xlsx", "A 43829-2025")</f>
        <v/>
      </c>
      <c r="T166">
        <f>HYPERLINK("https://klasma.github.io/Logging_2161/kartor/A 43829-2025 karta.png", "A 43829-2025")</f>
        <v/>
      </c>
      <c r="U166">
        <f>HYPERLINK("https://klasma.github.io/Logging_2161/knärot/A 43829-2025 karta knärot.png", "A 43829-2025")</f>
        <v/>
      </c>
      <c r="V166">
        <f>HYPERLINK("https://klasma.github.io/Logging_2161/klagomål/A 43829-2025 FSC-klagomål.docx", "A 43829-2025")</f>
        <v/>
      </c>
      <c r="W166">
        <f>HYPERLINK("https://klasma.github.io/Logging_2161/klagomålsmail/A 43829-2025 FSC-klagomål mail.docx", "A 43829-2025")</f>
        <v/>
      </c>
      <c r="X166">
        <f>HYPERLINK("https://klasma.github.io/Logging_2161/tillsyn/A 43829-2025 tillsynsbegäran.docx", "A 43829-2025")</f>
        <v/>
      </c>
      <c r="Y166">
        <f>HYPERLINK("https://klasma.github.io/Logging_2161/tillsynsmail/A 43829-2025 tillsynsbegäran mail.docx", "A 43829-2025")</f>
        <v/>
      </c>
    </row>
    <row r="167" ht="15" customHeight="1">
      <c r="A167" t="inlineStr">
        <is>
          <t>A 35647-2025</t>
        </is>
      </c>
      <c r="B167" s="1" t="n">
        <v>45859.50240740741</v>
      </c>
      <c r="C167" s="1" t="n">
        <v>46086</v>
      </c>
      <c r="D167" t="inlineStr">
        <is>
          <t>GÄVLEBORGS LÄN</t>
        </is>
      </c>
      <c r="E167" t="inlineStr">
        <is>
          <t>GÄVLE</t>
        </is>
      </c>
      <c r="F167" t="inlineStr">
        <is>
          <t>Bergvik skog väst AB</t>
        </is>
      </c>
      <c r="G167" t="n">
        <v>8.4</v>
      </c>
      <c r="H167" t="n">
        <v>2</v>
      </c>
      <c r="I167" t="n">
        <v>1</v>
      </c>
      <c r="J167" t="n">
        <v>0</v>
      </c>
      <c r="K167" t="n">
        <v>0</v>
      </c>
      <c r="L167" t="n">
        <v>1</v>
      </c>
      <c r="M167" t="n">
        <v>0</v>
      </c>
      <c r="N167" t="n">
        <v>0</v>
      </c>
      <c r="O167" t="n">
        <v>1</v>
      </c>
      <c r="P167" t="n">
        <v>1</v>
      </c>
      <c r="Q167" t="n">
        <v>4</v>
      </c>
      <c r="R167" s="2" t="inlineStr">
        <is>
          <t>Ask
Tibast
Blåsippa
Revlummer</t>
        </is>
      </c>
      <c r="S167">
        <f>HYPERLINK("https://klasma.github.io/Logging_2180/artfynd/A 35647-2025 artfynd.xlsx", "A 35647-2025")</f>
        <v/>
      </c>
      <c r="T167">
        <f>HYPERLINK("https://klasma.github.io/Logging_2180/kartor/A 35647-2025 karta.png", "A 35647-2025")</f>
        <v/>
      </c>
      <c r="V167">
        <f>HYPERLINK("https://klasma.github.io/Logging_2180/klagomål/A 35647-2025 FSC-klagomål.docx", "A 35647-2025")</f>
        <v/>
      </c>
      <c r="W167">
        <f>HYPERLINK("https://klasma.github.io/Logging_2180/klagomålsmail/A 35647-2025 FSC-klagomål mail.docx", "A 35647-2025")</f>
        <v/>
      </c>
      <c r="X167">
        <f>HYPERLINK("https://klasma.github.io/Logging_2180/tillsyn/A 35647-2025 tillsynsbegäran.docx", "A 35647-2025")</f>
        <v/>
      </c>
      <c r="Y167">
        <f>HYPERLINK("https://klasma.github.io/Logging_2180/tillsynsmail/A 35647-2025 tillsynsbegäran mail.docx", "A 35647-2025")</f>
        <v/>
      </c>
    </row>
    <row r="168" ht="15" customHeight="1">
      <c r="A168" t="inlineStr">
        <is>
          <t>A 36150-2025</t>
        </is>
      </c>
      <c r="B168" s="1" t="n">
        <v>45867.29993055556</v>
      </c>
      <c r="C168" s="1" t="n">
        <v>46086</v>
      </c>
      <c r="D168" t="inlineStr">
        <is>
          <t>GÄVLEBORGS LÄN</t>
        </is>
      </c>
      <c r="E168" t="inlineStr">
        <is>
          <t>LJUSDAL</t>
        </is>
      </c>
      <c r="F168" t="inlineStr">
        <is>
          <t>Bergvik skog väst AB</t>
        </is>
      </c>
      <c r="G168" t="n">
        <v>6.1</v>
      </c>
      <c r="H168" t="n">
        <v>1</v>
      </c>
      <c r="I168" t="n">
        <v>0</v>
      </c>
      <c r="J168" t="n">
        <v>4</v>
      </c>
      <c r="K168" t="n">
        <v>0</v>
      </c>
      <c r="L168" t="n">
        <v>0</v>
      </c>
      <c r="M168" t="n">
        <v>0</v>
      </c>
      <c r="N168" t="n">
        <v>0</v>
      </c>
      <c r="O168" t="n">
        <v>4</v>
      </c>
      <c r="P168" t="n">
        <v>0</v>
      </c>
      <c r="Q168" t="n">
        <v>4</v>
      </c>
      <c r="R168" s="2" t="inlineStr">
        <is>
          <t>Garnlav
Lunglav
Skrovellav
Tretåig hackspett</t>
        </is>
      </c>
      <c r="S168">
        <f>HYPERLINK("https://klasma.github.io/Logging_2161/artfynd/A 36150-2025 artfynd.xlsx", "A 36150-2025")</f>
        <v/>
      </c>
      <c r="T168">
        <f>HYPERLINK("https://klasma.github.io/Logging_2161/kartor/A 36150-2025 karta.png", "A 36150-2025")</f>
        <v/>
      </c>
      <c r="V168">
        <f>HYPERLINK("https://klasma.github.io/Logging_2161/klagomål/A 36150-2025 FSC-klagomål.docx", "A 36150-2025")</f>
        <v/>
      </c>
      <c r="W168">
        <f>HYPERLINK("https://klasma.github.io/Logging_2161/klagomålsmail/A 36150-2025 FSC-klagomål mail.docx", "A 36150-2025")</f>
        <v/>
      </c>
      <c r="X168">
        <f>HYPERLINK("https://klasma.github.io/Logging_2161/tillsyn/A 36150-2025 tillsynsbegäran.docx", "A 36150-2025")</f>
        <v/>
      </c>
      <c r="Y168">
        <f>HYPERLINK("https://klasma.github.io/Logging_2161/tillsynsmail/A 36150-2025 tillsynsbegäran mail.docx", "A 36150-2025")</f>
        <v/>
      </c>
      <c r="Z168">
        <f>HYPERLINK("https://klasma.github.io/Logging_2161/fåglar/A 36150-2025 prioriterade fågelarter.docx", "A 36150-2025")</f>
        <v/>
      </c>
    </row>
    <row r="169" ht="15" customHeight="1">
      <c r="A169" t="inlineStr">
        <is>
          <t>A 36697-2025</t>
        </is>
      </c>
      <c r="B169" s="1" t="n">
        <v>45873.44015046296</v>
      </c>
      <c r="C169" s="1" t="n">
        <v>46086</v>
      </c>
      <c r="D169" t="inlineStr">
        <is>
          <t>GÄVLEBORGS LÄN</t>
        </is>
      </c>
      <c r="E169" t="inlineStr">
        <is>
          <t>LJUSDAL</t>
        </is>
      </c>
      <c r="F169" t="inlineStr">
        <is>
          <t>Bergvik skog väst AB</t>
        </is>
      </c>
      <c r="G169" t="n">
        <v>8.199999999999999</v>
      </c>
      <c r="H169" t="n">
        <v>2</v>
      </c>
      <c r="I169" t="n">
        <v>0</v>
      </c>
      <c r="J169" t="n">
        <v>4</v>
      </c>
      <c r="K169" t="n">
        <v>0</v>
      </c>
      <c r="L169" t="n">
        <v>0</v>
      </c>
      <c r="M169" t="n">
        <v>0</v>
      </c>
      <c r="N169" t="n">
        <v>0</v>
      </c>
      <c r="O169" t="n">
        <v>4</v>
      </c>
      <c r="P169" t="n">
        <v>0</v>
      </c>
      <c r="Q169" t="n">
        <v>4</v>
      </c>
      <c r="R169" s="2" t="inlineStr">
        <is>
          <t>Kolflarnlav
Spillkråka
Tretåig hackspett
Vedskivlav</t>
        </is>
      </c>
      <c r="S169">
        <f>HYPERLINK("https://klasma.github.io/Logging_2161/artfynd/A 36697-2025 artfynd.xlsx", "A 36697-2025")</f>
        <v/>
      </c>
      <c r="T169">
        <f>HYPERLINK("https://klasma.github.io/Logging_2161/kartor/A 36697-2025 karta.png", "A 36697-2025")</f>
        <v/>
      </c>
      <c r="V169">
        <f>HYPERLINK("https://klasma.github.io/Logging_2161/klagomål/A 36697-2025 FSC-klagomål.docx", "A 36697-2025")</f>
        <v/>
      </c>
      <c r="W169">
        <f>HYPERLINK("https://klasma.github.io/Logging_2161/klagomålsmail/A 36697-2025 FSC-klagomål mail.docx", "A 36697-2025")</f>
        <v/>
      </c>
      <c r="X169">
        <f>HYPERLINK("https://klasma.github.io/Logging_2161/tillsyn/A 36697-2025 tillsynsbegäran.docx", "A 36697-2025")</f>
        <v/>
      </c>
      <c r="Y169">
        <f>HYPERLINK("https://klasma.github.io/Logging_2161/tillsynsmail/A 36697-2025 tillsynsbegäran mail.docx", "A 36697-2025")</f>
        <v/>
      </c>
      <c r="Z169">
        <f>HYPERLINK("https://klasma.github.io/Logging_2161/fåglar/A 36697-2025 prioriterade fågelarter.docx", "A 36697-2025")</f>
        <v/>
      </c>
    </row>
    <row r="170" ht="15" customHeight="1">
      <c r="A170" t="inlineStr">
        <is>
          <t>A 48925-2025</t>
        </is>
      </c>
      <c r="B170" s="1" t="n">
        <v>45937.50599537037</v>
      </c>
      <c r="C170" s="1" t="n">
        <v>46086</v>
      </c>
      <c r="D170" t="inlineStr">
        <is>
          <t>GÄVLEBORGS LÄN</t>
        </is>
      </c>
      <c r="E170" t="inlineStr">
        <is>
          <t>LJUSDAL</t>
        </is>
      </c>
      <c r="F170" t="inlineStr">
        <is>
          <t>Sveaskog</t>
        </is>
      </c>
      <c r="G170" t="n">
        <v>4.5</v>
      </c>
      <c r="H170" t="n">
        <v>1</v>
      </c>
      <c r="I170" t="n">
        <v>0</v>
      </c>
      <c r="J170" t="n">
        <v>3</v>
      </c>
      <c r="K170" t="n">
        <v>1</v>
      </c>
      <c r="L170" t="n">
        <v>0</v>
      </c>
      <c r="M170" t="n">
        <v>0</v>
      </c>
      <c r="N170" t="n">
        <v>0</v>
      </c>
      <c r="O170" t="n">
        <v>4</v>
      </c>
      <c r="P170" t="n">
        <v>1</v>
      </c>
      <c r="Q170" t="n">
        <v>4</v>
      </c>
      <c r="R170" s="2" t="inlineStr">
        <is>
          <t>Knärot
Garnlav
Lunglav
Skrovellav</t>
        </is>
      </c>
      <c r="S170">
        <f>HYPERLINK("https://klasma.github.io/Logging_2161/artfynd/A 48925-2025 artfynd.xlsx", "A 48925-2025")</f>
        <v/>
      </c>
      <c r="T170">
        <f>HYPERLINK("https://klasma.github.io/Logging_2161/kartor/A 48925-2025 karta.png", "A 48925-2025")</f>
        <v/>
      </c>
      <c r="U170">
        <f>HYPERLINK("https://klasma.github.io/Logging_2161/knärot/A 48925-2025 karta knärot.png", "A 48925-2025")</f>
        <v/>
      </c>
      <c r="V170">
        <f>HYPERLINK("https://klasma.github.io/Logging_2161/klagomål/A 48925-2025 FSC-klagomål.docx", "A 48925-2025")</f>
        <v/>
      </c>
      <c r="W170">
        <f>HYPERLINK("https://klasma.github.io/Logging_2161/klagomålsmail/A 48925-2025 FSC-klagomål mail.docx", "A 48925-2025")</f>
        <v/>
      </c>
      <c r="X170">
        <f>HYPERLINK("https://klasma.github.io/Logging_2161/tillsyn/A 48925-2025 tillsynsbegäran.docx", "A 48925-2025")</f>
        <v/>
      </c>
      <c r="Y170">
        <f>HYPERLINK("https://klasma.github.io/Logging_2161/tillsynsmail/A 48925-2025 tillsynsbegäran mail.docx", "A 48925-2025")</f>
        <v/>
      </c>
    </row>
    <row r="171" ht="15" customHeight="1">
      <c r="A171" t="inlineStr">
        <is>
          <t>A 48823-2025</t>
        </is>
      </c>
      <c r="B171" s="1" t="n">
        <v>45937.37771990741</v>
      </c>
      <c r="C171" s="1" t="n">
        <v>46086</v>
      </c>
      <c r="D171" t="inlineStr">
        <is>
          <t>GÄVLEBORGS LÄN</t>
        </is>
      </c>
      <c r="E171" t="inlineStr">
        <is>
          <t>LJUSDAL</t>
        </is>
      </c>
      <c r="F171" t="inlineStr">
        <is>
          <t>Sveaskog</t>
        </is>
      </c>
      <c r="G171" t="n">
        <v>5</v>
      </c>
      <c r="H171" t="n">
        <v>2</v>
      </c>
      <c r="I171" t="n">
        <v>0</v>
      </c>
      <c r="J171" t="n">
        <v>2</v>
      </c>
      <c r="K171" t="n">
        <v>1</v>
      </c>
      <c r="L171" t="n">
        <v>0</v>
      </c>
      <c r="M171" t="n">
        <v>0</v>
      </c>
      <c r="N171" t="n">
        <v>0</v>
      </c>
      <c r="O171" t="n">
        <v>3</v>
      </c>
      <c r="P171" t="n">
        <v>1</v>
      </c>
      <c r="Q171" t="n">
        <v>4</v>
      </c>
      <c r="R171" s="2" t="inlineStr">
        <is>
          <t>Knärot
Kolflarnlav
Motaggsvamp
Revlummer</t>
        </is>
      </c>
      <c r="S171">
        <f>HYPERLINK("https://klasma.github.io/Logging_2161/artfynd/A 48823-2025 artfynd.xlsx", "A 48823-2025")</f>
        <v/>
      </c>
      <c r="T171">
        <f>HYPERLINK("https://klasma.github.io/Logging_2161/kartor/A 48823-2025 karta.png", "A 48823-2025")</f>
        <v/>
      </c>
      <c r="U171">
        <f>HYPERLINK("https://klasma.github.io/Logging_2161/knärot/A 48823-2025 karta knärot.png", "A 48823-2025")</f>
        <v/>
      </c>
      <c r="V171">
        <f>HYPERLINK("https://klasma.github.io/Logging_2161/klagomål/A 48823-2025 FSC-klagomål.docx", "A 48823-2025")</f>
        <v/>
      </c>
      <c r="W171">
        <f>HYPERLINK("https://klasma.github.io/Logging_2161/klagomålsmail/A 48823-2025 FSC-klagomål mail.docx", "A 48823-2025")</f>
        <v/>
      </c>
      <c r="X171">
        <f>HYPERLINK("https://klasma.github.io/Logging_2161/tillsyn/A 48823-2025 tillsynsbegäran.docx", "A 48823-2025")</f>
        <v/>
      </c>
      <c r="Y171">
        <f>HYPERLINK("https://klasma.github.io/Logging_2161/tillsynsmail/A 48823-2025 tillsynsbegäran mail.docx", "A 48823-2025")</f>
        <v/>
      </c>
    </row>
    <row r="172" ht="15" customHeight="1">
      <c r="A172" t="inlineStr">
        <is>
          <t>A 37833-2025</t>
        </is>
      </c>
      <c r="B172" s="1" t="n">
        <v>45881.42224537037</v>
      </c>
      <c r="C172" s="1" t="n">
        <v>46086</v>
      </c>
      <c r="D172" t="inlineStr">
        <is>
          <t>GÄVLEBORGS LÄN</t>
        </is>
      </c>
      <c r="E172" t="inlineStr">
        <is>
          <t>LJUSDAL</t>
        </is>
      </c>
      <c r="F172" t="inlineStr">
        <is>
          <t>Bergvik skog väst AB</t>
        </is>
      </c>
      <c r="G172" t="n">
        <v>8.5</v>
      </c>
      <c r="H172" t="n">
        <v>2</v>
      </c>
      <c r="I172" t="n">
        <v>0</v>
      </c>
      <c r="J172" t="n">
        <v>3</v>
      </c>
      <c r="K172" t="n">
        <v>1</v>
      </c>
      <c r="L172" t="n">
        <v>0</v>
      </c>
      <c r="M172" t="n">
        <v>0</v>
      </c>
      <c r="N172" t="n">
        <v>0</v>
      </c>
      <c r="O172" t="n">
        <v>4</v>
      </c>
      <c r="P172" t="n">
        <v>1</v>
      </c>
      <c r="Q172" t="n">
        <v>4</v>
      </c>
      <c r="R172" s="2" t="inlineStr">
        <is>
          <t>Knärot
Lunglav
Skrovellav
Talltita</t>
        </is>
      </c>
      <c r="S172">
        <f>HYPERLINK("https://klasma.github.io/Logging_2161/artfynd/A 37833-2025 artfynd.xlsx", "A 37833-2025")</f>
        <v/>
      </c>
      <c r="T172">
        <f>HYPERLINK("https://klasma.github.io/Logging_2161/kartor/A 37833-2025 karta.png", "A 37833-2025")</f>
        <v/>
      </c>
      <c r="U172">
        <f>HYPERLINK("https://klasma.github.io/Logging_2161/knärot/A 37833-2025 karta knärot.png", "A 37833-2025")</f>
        <v/>
      </c>
      <c r="V172">
        <f>HYPERLINK("https://klasma.github.io/Logging_2161/klagomål/A 37833-2025 FSC-klagomål.docx", "A 37833-2025")</f>
        <v/>
      </c>
      <c r="W172">
        <f>HYPERLINK("https://klasma.github.io/Logging_2161/klagomålsmail/A 37833-2025 FSC-klagomål mail.docx", "A 37833-2025")</f>
        <v/>
      </c>
      <c r="X172">
        <f>HYPERLINK("https://klasma.github.io/Logging_2161/tillsyn/A 37833-2025 tillsynsbegäran.docx", "A 37833-2025")</f>
        <v/>
      </c>
      <c r="Y172">
        <f>HYPERLINK("https://klasma.github.io/Logging_2161/tillsynsmail/A 37833-2025 tillsynsbegäran mail.docx", "A 37833-2025")</f>
        <v/>
      </c>
      <c r="Z172">
        <f>HYPERLINK("https://klasma.github.io/Logging_2161/fåglar/A 37833-2025 prioriterade fågelarter.docx", "A 37833-2025")</f>
        <v/>
      </c>
    </row>
    <row r="173" ht="15" customHeight="1">
      <c r="A173" t="inlineStr">
        <is>
          <t>A 56800-2023</t>
        </is>
      </c>
      <c r="B173" s="1" t="n">
        <v>45244</v>
      </c>
      <c r="C173" s="1" t="n">
        <v>46086</v>
      </c>
      <c r="D173" t="inlineStr">
        <is>
          <t>GÄVLEBORGS LÄN</t>
        </is>
      </c>
      <c r="E173" t="inlineStr">
        <is>
          <t>LJUSDAL</t>
        </is>
      </c>
      <c r="F173" t="inlineStr">
        <is>
          <t>Sveaskog</t>
        </is>
      </c>
      <c r="G173" t="n">
        <v>7.3</v>
      </c>
      <c r="H173" t="n">
        <v>0</v>
      </c>
      <c r="I173" t="n">
        <v>1</v>
      </c>
      <c r="J173" t="n">
        <v>2</v>
      </c>
      <c r="K173" t="n">
        <v>1</v>
      </c>
      <c r="L173" t="n">
        <v>0</v>
      </c>
      <c r="M173" t="n">
        <v>0</v>
      </c>
      <c r="N173" t="n">
        <v>0</v>
      </c>
      <c r="O173" t="n">
        <v>3</v>
      </c>
      <c r="P173" t="n">
        <v>1</v>
      </c>
      <c r="Q173" t="n">
        <v>4</v>
      </c>
      <c r="R173" s="2" t="inlineStr">
        <is>
          <t>Gräddporing
Gränsticka
Lunglav
Trådticka</t>
        </is>
      </c>
      <c r="S173">
        <f>HYPERLINK("https://klasma.github.io/Logging_2161/artfynd/A 56800-2023 artfynd.xlsx", "A 56800-2023")</f>
        <v/>
      </c>
      <c r="T173">
        <f>HYPERLINK("https://klasma.github.io/Logging_2161/kartor/A 56800-2023 karta.png", "A 56800-2023")</f>
        <v/>
      </c>
      <c r="V173">
        <f>HYPERLINK("https://klasma.github.io/Logging_2161/klagomål/A 56800-2023 FSC-klagomål.docx", "A 56800-2023")</f>
        <v/>
      </c>
      <c r="W173">
        <f>HYPERLINK("https://klasma.github.io/Logging_2161/klagomålsmail/A 56800-2023 FSC-klagomål mail.docx", "A 56800-2023")</f>
        <v/>
      </c>
      <c r="X173">
        <f>HYPERLINK("https://klasma.github.io/Logging_2161/tillsyn/A 56800-2023 tillsynsbegäran.docx", "A 56800-2023")</f>
        <v/>
      </c>
      <c r="Y173">
        <f>HYPERLINK("https://klasma.github.io/Logging_2161/tillsynsmail/A 56800-2023 tillsynsbegäran mail.docx", "A 56800-2023")</f>
        <v/>
      </c>
    </row>
    <row r="174" ht="15" customHeight="1">
      <c r="A174" t="inlineStr">
        <is>
          <t>A 30608-2023</t>
        </is>
      </c>
      <c r="B174" s="1" t="n">
        <v>45112.39802083333</v>
      </c>
      <c r="C174" s="1" t="n">
        <v>46086</v>
      </c>
      <c r="D174" t="inlineStr">
        <is>
          <t>GÄVLEBORGS LÄN</t>
        </is>
      </c>
      <c r="E174" t="inlineStr">
        <is>
          <t>LJUSDAL</t>
        </is>
      </c>
      <c r="F174" t="inlineStr">
        <is>
          <t>Sveaskog</t>
        </is>
      </c>
      <c r="G174" t="n">
        <v>11.6</v>
      </c>
      <c r="H174" t="n">
        <v>2</v>
      </c>
      <c r="I174" t="n">
        <v>0</v>
      </c>
      <c r="J174" t="n">
        <v>3</v>
      </c>
      <c r="K174" t="n">
        <v>1</v>
      </c>
      <c r="L174" t="n">
        <v>0</v>
      </c>
      <c r="M174" t="n">
        <v>0</v>
      </c>
      <c r="N174" t="n">
        <v>0</v>
      </c>
      <c r="O174" t="n">
        <v>4</v>
      </c>
      <c r="P174" t="n">
        <v>1</v>
      </c>
      <c r="Q174" t="n">
        <v>4</v>
      </c>
      <c r="R174" s="2" t="inlineStr">
        <is>
          <t>Knärot
Kolflarnlav
Skogshare
Tretåig hackspett</t>
        </is>
      </c>
      <c r="S174">
        <f>HYPERLINK("https://klasma.github.io/Logging_2161/artfynd/A 30608-2023 artfynd.xlsx", "A 30608-2023")</f>
        <v/>
      </c>
      <c r="T174">
        <f>HYPERLINK("https://klasma.github.io/Logging_2161/kartor/A 30608-2023 karta.png", "A 30608-2023")</f>
        <v/>
      </c>
      <c r="U174">
        <f>HYPERLINK("https://klasma.github.io/Logging_2161/knärot/A 30608-2023 karta knärot.png", "A 30608-2023")</f>
        <v/>
      </c>
      <c r="V174">
        <f>HYPERLINK("https://klasma.github.io/Logging_2161/klagomål/A 30608-2023 FSC-klagomål.docx", "A 30608-2023")</f>
        <v/>
      </c>
      <c r="W174">
        <f>HYPERLINK("https://klasma.github.io/Logging_2161/klagomålsmail/A 30608-2023 FSC-klagomål mail.docx", "A 30608-2023")</f>
        <v/>
      </c>
      <c r="X174">
        <f>HYPERLINK("https://klasma.github.io/Logging_2161/tillsyn/A 30608-2023 tillsynsbegäran.docx", "A 30608-2023")</f>
        <v/>
      </c>
      <c r="Y174">
        <f>HYPERLINK("https://klasma.github.io/Logging_2161/tillsynsmail/A 30608-2023 tillsynsbegäran mail.docx", "A 30608-2023")</f>
        <v/>
      </c>
      <c r="Z174">
        <f>HYPERLINK("https://klasma.github.io/Logging_2161/fåglar/A 30608-2023 prioriterade fågelarter.docx", "A 30608-2023")</f>
        <v/>
      </c>
    </row>
    <row r="175" ht="15" customHeight="1">
      <c r="A175" t="inlineStr">
        <is>
          <t>A 38591-2025</t>
        </is>
      </c>
      <c r="B175" s="1" t="n">
        <v>45884.48002314815</v>
      </c>
      <c r="C175" s="1" t="n">
        <v>46086</v>
      </c>
      <c r="D175" t="inlineStr">
        <is>
          <t>GÄVLEBORGS LÄN</t>
        </is>
      </c>
      <c r="E175" t="inlineStr">
        <is>
          <t>LJUSDAL</t>
        </is>
      </c>
      <c r="F175" t="inlineStr">
        <is>
          <t>Bergvik skog väst AB</t>
        </is>
      </c>
      <c r="G175" t="n">
        <v>0.7</v>
      </c>
      <c r="H175" t="n">
        <v>0</v>
      </c>
      <c r="I175" t="n">
        <v>2</v>
      </c>
      <c r="J175" t="n">
        <v>2</v>
      </c>
      <c r="K175" t="n">
        <v>0</v>
      </c>
      <c r="L175" t="n">
        <v>0</v>
      </c>
      <c r="M175" t="n">
        <v>0</v>
      </c>
      <c r="N175" t="n">
        <v>0</v>
      </c>
      <c r="O175" t="n">
        <v>2</v>
      </c>
      <c r="P175" t="n">
        <v>0</v>
      </c>
      <c r="Q175" t="n">
        <v>4</v>
      </c>
      <c r="R175" s="2" t="inlineStr">
        <is>
          <t>Lunglav
Skrovellav
Skinnlav
Stuplav</t>
        </is>
      </c>
      <c r="S175">
        <f>HYPERLINK("https://klasma.github.io/Logging_2161/artfynd/A 38591-2025 artfynd.xlsx", "A 38591-2025")</f>
        <v/>
      </c>
      <c r="T175">
        <f>HYPERLINK("https://klasma.github.io/Logging_2161/kartor/A 38591-2025 karta.png", "A 38591-2025")</f>
        <v/>
      </c>
      <c r="V175">
        <f>HYPERLINK("https://klasma.github.io/Logging_2161/klagomål/A 38591-2025 FSC-klagomål.docx", "A 38591-2025")</f>
        <v/>
      </c>
      <c r="W175">
        <f>HYPERLINK("https://klasma.github.io/Logging_2161/klagomålsmail/A 38591-2025 FSC-klagomål mail.docx", "A 38591-2025")</f>
        <v/>
      </c>
      <c r="X175">
        <f>HYPERLINK("https://klasma.github.io/Logging_2161/tillsyn/A 38591-2025 tillsynsbegäran.docx", "A 38591-2025")</f>
        <v/>
      </c>
      <c r="Y175">
        <f>HYPERLINK("https://klasma.github.io/Logging_2161/tillsynsmail/A 38591-2025 tillsynsbegäran mail.docx", "A 38591-2025")</f>
        <v/>
      </c>
    </row>
    <row r="176" ht="15" customHeight="1">
      <c r="A176" t="inlineStr">
        <is>
          <t>A 51489-2025</t>
        </is>
      </c>
      <c r="B176" s="1" t="n">
        <v>45950.63325231482</v>
      </c>
      <c r="C176" s="1" t="n">
        <v>46086</v>
      </c>
      <c r="D176" t="inlineStr">
        <is>
          <t>GÄVLEBORGS LÄN</t>
        </is>
      </c>
      <c r="E176" t="inlineStr">
        <is>
          <t>NORDANSTIG</t>
        </is>
      </c>
      <c r="G176" t="n">
        <v>8.5</v>
      </c>
      <c r="H176" t="n">
        <v>1</v>
      </c>
      <c r="I176" t="n">
        <v>1</v>
      </c>
      <c r="J176" t="n">
        <v>2</v>
      </c>
      <c r="K176" t="n">
        <v>0</v>
      </c>
      <c r="L176" t="n">
        <v>0</v>
      </c>
      <c r="M176" t="n">
        <v>0</v>
      </c>
      <c r="N176" t="n">
        <v>0</v>
      </c>
      <c r="O176" t="n">
        <v>2</v>
      </c>
      <c r="P176" t="n">
        <v>0</v>
      </c>
      <c r="Q176" t="n">
        <v>4</v>
      </c>
      <c r="R176" s="2" t="inlineStr">
        <is>
          <t>Brunklöver
Slåtterfibbla
Tibast
Revlummer</t>
        </is>
      </c>
      <c r="S176">
        <f>HYPERLINK("https://klasma.github.io/Logging_2132/artfynd/A 51489-2025 artfynd.xlsx", "A 51489-2025")</f>
        <v/>
      </c>
      <c r="T176">
        <f>HYPERLINK("https://klasma.github.io/Logging_2132/kartor/A 51489-2025 karta.png", "A 51489-2025")</f>
        <v/>
      </c>
      <c r="V176">
        <f>HYPERLINK("https://klasma.github.io/Logging_2132/klagomål/A 51489-2025 FSC-klagomål.docx", "A 51489-2025")</f>
        <v/>
      </c>
      <c r="W176">
        <f>HYPERLINK("https://klasma.github.io/Logging_2132/klagomålsmail/A 51489-2025 FSC-klagomål mail.docx", "A 51489-2025")</f>
        <v/>
      </c>
      <c r="X176">
        <f>HYPERLINK("https://klasma.github.io/Logging_2132/tillsyn/A 51489-2025 tillsynsbegäran.docx", "A 51489-2025")</f>
        <v/>
      </c>
      <c r="Y176">
        <f>HYPERLINK("https://klasma.github.io/Logging_2132/tillsynsmail/A 51489-2025 tillsynsbegäran mail.docx", "A 51489-2025")</f>
        <v/>
      </c>
    </row>
    <row r="177" ht="15" customHeight="1">
      <c r="A177" t="inlineStr">
        <is>
          <t>A 52782-2025</t>
        </is>
      </c>
      <c r="B177" s="1" t="n">
        <v>45957.42287037037</v>
      </c>
      <c r="C177" s="1" t="n">
        <v>46086</v>
      </c>
      <c r="D177" t="inlineStr">
        <is>
          <t>GÄVLEBORGS LÄN</t>
        </is>
      </c>
      <c r="E177" t="inlineStr">
        <is>
          <t>SANDVIKEN</t>
        </is>
      </c>
      <c r="F177" t="inlineStr">
        <is>
          <t>Sveaskog</t>
        </is>
      </c>
      <c r="G177" t="n">
        <v>3.6</v>
      </c>
      <c r="H177" t="n">
        <v>3</v>
      </c>
      <c r="I177" t="n">
        <v>1</v>
      </c>
      <c r="J177" t="n">
        <v>1</v>
      </c>
      <c r="K177" t="n">
        <v>1</v>
      </c>
      <c r="L177" t="n">
        <v>0</v>
      </c>
      <c r="M177" t="n">
        <v>0</v>
      </c>
      <c r="N177" t="n">
        <v>0</v>
      </c>
      <c r="O177" t="n">
        <v>2</v>
      </c>
      <c r="P177" t="n">
        <v>1</v>
      </c>
      <c r="Q177" t="n">
        <v>4</v>
      </c>
      <c r="R177" s="2" t="inlineStr">
        <is>
          <t>Knärot
Motaggsvamp
Tvåblad
Fläcknycklar</t>
        </is>
      </c>
      <c r="S177">
        <f>HYPERLINK("https://klasma.github.io/Logging_2181/artfynd/A 52782-2025 artfynd.xlsx", "A 52782-2025")</f>
        <v/>
      </c>
      <c r="T177">
        <f>HYPERLINK("https://klasma.github.io/Logging_2181/kartor/A 52782-2025 karta.png", "A 52782-2025")</f>
        <v/>
      </c>
      <c r="U177">
        <f>HYPERLINK("https://klasma.github.io/Logging_2181/knärot/A 52782-2025 karta knärot.png", "A 52782-2025")</f>
        <v/>
      </c>
      <c r="V177">
        <f>HYPERLINK("https://klasma.github.io/Logging_2181/klagomål/A 52782-2025 FSC-klagomål.docx", "A 52782-2025")</f>
        <v/>
      </c>
      <c r="W177">
        <f>HYPERLINK("https://klasma.github.io/Logging_2181/klagomålsmail/A 52782-2025 FSC-klagomål mail.docx", "A 52782-2025")</f>
        <v/>
      </c>
      <c r="X177">
        <f>HYPERLINK("https://klasma.github.io/Logging_2181/tillsyn/A 52782-2025 tillsynsbegäran.docx", "A 52782-2025")</f>
        <v/>
      </c>
      <c r="Y177">
        <f>HYPERLINK("https://klasma.github.io/Logging_2181/tillsynsmail/A 52782-2025 tillsynsbegäran mail.docx", "A 52782-2025")</f>
        <v/>
      </c>
    </row>
    <row r="178" ht="15" customHeight="1">
      <c r="A178" t="inlineStr">
        <is>
          <t>A 53654-2025</t>
        </is>
      </c>
      <c r="B178" s="1" t="n">
        <v>45960.53219907408</v>
      </c>
      <c r="C178" s="1" t="n">
        <v>46086</v>
      </c>
      <c r="D178" t="inlineStr">
        <is>
          <t>GÄVLEBORGS LÄN</t>
        </is>
      </c>
      <c r="E178" t="inlineStr">
        <is>
          <t>LJUSDAL</t>
        </is>
      </c>
      <c r="F178" t="inlineStr">
        <is>
          <t>Bergvik skog väst AB</t>
        </is>
      </c>
      <c r="G178" t="n">
        <v>12.9</v>
      </c>
      <c r="H178" t="n">
        <v>3</v>
      </c>
      <c r="I178" t="n">
        <v>0</v>
      </c>
      <c r="J178" t="n">
        <v>2</v>
      </c>
      <c r="K178" t="n">
        <v>0</v>
      </c>
      <c r="L178" t="n">
        <v>0</v>
      </c>
      <c r="M178" t="n">
        <v>0</v>
      </c>
      <c r="N178" t="n">
        <v>0</v>
      </c>
      <c r="O178" t="n">
        <v>2</v>
      </c>
      <c r="P178" t="n">
        <v>0</v>
      </c>
      <c r="Q178" t="n">
        <v>4</v>
      </c>
      <c r="R178" s="2" t="inlineStr">
        <is>
          <t>Mörk kolflarnlav
Varglav
Orre
Fläcknycklar</t>
        </is>
      </c>
      <c r="S178">
        <f>HYPERLINK("https://klasma.github.io/Logging_2161/artfynd/A 53654-2025 artfynd.xlsx", "A 53654-2025")</f>
        <v/>
      </c>
      <c r="T178">
        <f>HYPERLINK("https://klasma.github.io/Logging_2161/kartor/A 53654-2025 karta.png", "A 53654-2025")</f>
        <v/>
      </c>
      <c r="V178">
        <f>HYPERLINK("https://klasma.github.io/Logging_2161/klagomål/A 53654-2025 FSC-klagomål.docx", "A 53654-2025")</f>
        <v/>
      </c>
      <c r="W178">
        <f>HYPERLINK("https://klasma.github.io/Logging_2161/klagomålsmail/A 53654-2025 FSC-klagomål mail.docx", "A 53654-2025")</f>
        <v/>
      </c>
      <c r="X178">
        <f>HYPERLINK("https://klasma.github.io/Logging_2161/tillsyn/A 53654-2025 tillsynsbegäran.docx", "A 53654-2025")</f>
        <v/>
      </c>
      <c r="Y178">
        <f>HYPERLINK("https://klasma.github.io/Logging_2161/tillsynsmail/A 53654-2025 tillsynsbegäran mail.docx", "A 53654-2025")</f>
        <v/>
      </c>
      <c r="Z178">
        <f>HYPERLINK("https://klasma.github.io/Logging_2161/fåglar/A 53654-2025 prioriterade fågelarter.docx", "A 53654-2025")</f>
        <v/>
      </c>
    </row>
    <row r="179" ht="15" customHeight="1">
      <c r="A179" t="inlineStr">
        <is>
          <t>A 49982-2025</t>
        </is>
      </c>
      <c r="B179" s="1" t="n">
        <v>45942</v>
      </c>
      <c r="C179" s="1" t="n">
        <v>46086</v>
      </c>
      <c r="D179" t="inlineStr">
        <is>
          <t>GÄVLEBORGS LÄN</t>
        </is>
      </c>
      <c r="E179" t="inlineStr">
        <is>
          <t>LJUSDAL</t>
        </is>
      </c>
      <c r="G179" t="n">
        <v>3.6</v>
      </c>
      <c r="H179" t="n">
        <v>1</v>
      </c>
      <c r="I179" t="n">
        <v>2</v>
      </c>
      <c r="J179" t="n">
        <v>1</v>
      </c>
      <c r="K179" t="n">
        <v>1</v>
      </c>
      <c r="L179" t="n">
        <v>0</v>
      </c>
      <c r="M179" t="n">
        <v>0</v>
      </c>
      <c r="N179" t="n">
        <v>0</v>
      </c>
      <c r="O179" t="n">
        <v>2</v>
      </c>
      <c r="P179" t="n">
        <v>1</v>
      </c>
      <c r="Q179" t="n">
        <v>4</v>
      </c>
      <c r="R179" s="2" t="inlineStr">
        <is>
          <t>Knärot
Svart taggsvamp agg.
Dropptaggsvamp
Rödgul trumpetsvamp</t>
        </is>
      </c>
      <c r="S179">
        <f>HYPERLINK("https://klasma.github.io/Logging_2161/artfynd/A 49982-2025 artfynd.xlsx", "A 49982-2025")</f>
        <v/>
      </c>
      <c r="T179">
        <f>HYPERLINK("https://klasma.github.io/Logging_2161/kartor/A 49982-2025 karta.png", "A 49982-2025")</f>
        <v/>
      </c>
      <c r="U179">
        <f>HYPERLINK("https://klasma.github.io/Logging_2161/knärot/A 49982-2025 karta knärot.png", "A 49982-2025")</f>
        <v/>
      </c>
      <c r="V179">
        <f>HYPERLINK("https://klasma.github.io/Logging_2161/klagomål/A 49982-2025 FSC-klagomål.docx", "A 49982-2025")</f>
        <v/>
      </c>
      <c r="W179">
        <f>HYPERLINK("https://klasma.github.io/Logging_2161/klagomålsmail/A 49982-2025 FSC-klagomål mail.docx", "A 49982-2025")</f>
        <v/>
      </c>
      <c r="X179">
        <f>HYPERLINK("https://klasma.github.io/Logging_2161/tillsyn/A 49982-2025 tillsynsbegäran.docx", "A 49982-2025")</f>
        <v/>
      </c>
      <c r="Y179">
        <f>HYPERLINK("https://klasma.github.io/Logging_2161/tillsynsmail/A 49982-2025 tillsynsbegäran mail.docx", "A 49982-2025")</f>
        <v/>
      </c>
    </row>
    <row r="180" ht="15" customHeight="1">
      <c r="A180" t="inlineStr">
        <is>
          <t>A 31054-2024</t>
        </is>
      </c>
      <c r="B180" s="1" t="n">
        <v>45502.36863425926</v>
      </c>
      <c r="C180" s="1" t="n">
        <v>46086</v>
      </c>
      <c r="D180" t="inlineStr">
        <is>
          <t>GÄVLEBORGS LÄN</t>
        </is>
      </c>
      <c r="E180" t="inlineStr">
        <is>
          <t>NORDANSTIG</t>
        </is>
      </c>
      <c r="F180" t="inlineStr">
        <is>
          <t>Holmen skog AB</t>
        </is>
      </c>
      <c r="G180" t="n">
        <v>4.7</v>
      </c>
      <c r="H180" t="n">
        <v>0</v>
      </c>
      <c r="I180" t="n">
        <v>3</v>
      </c>
      <c r="J180" t="n">
        <v>1</v>
      </c>
      <c r="K180" t="n">
        <v>0</v>
      </c>
      <c r="L180" t="n">
        <v>0</v>
      </c>
      <c r="M180" t="n">
        <v>0</v>
      </c>
      <c r="N180" t="n">
        <v>0</v>
      </c>
      <c r="O180" t="n">
        <v>1</v>
      </c>
      <c r="P180" t="n">
        <v>0</v>
      </c>
      <c r="Q180" t="n">
        <v>4</v>
      </c>
      <c r="R180" s="2" t="inlineStr">
        <is>
          <t>Rosenticka
Kamjordstjärna
Smal svampklubba
Stor aspticka</t>
        </is>
      </c>
      <c r="S180">
        <f>HYPERLINK("https://klasma.github.io/Logging_2132/artfynd/A 31054-2024 artfynd.xlsx", "A 31054-2024")</f>
        <v/>
      </c>
      <c r="T180">
        <f>HYPERLINK("https://klasma.github.io/Logging_2132/kartor/A 31054-2024 karta.png", "A 31054-2024")</f>
        <v/>
      </c>
      <c r="V180">
        <f>HYPERLINK("https://klasma.github.io/Logging_2132/klagomål/A 31054-2024 FSC-klagomål.docx", "A 31054-2024")</f>
        <v/>
      </c>
      <c r="W180">
        <f>HYPERLINK("https://klasma.github.io/Logging_2132/klagomålsmail/A 31054-2024 FSC-klagomål mail.docx", "A 31054-2024")</f>
        <v/>
      </c>
      <c r="X180">
        <f>HYPERLINK("https://klasma.github.io/Logging_2132/tillsyn/A 31054-2024 tillsynsbegäran.docx", "A 31054-2024")</f>
        <v/>
      </c>
      <c r="Y180">
        <f>HYPERLINK("https://klasma.github.io/Logging_2132/tillsynsmail/A 31054-2024 tillsynsbegäran mail.docx", "A 31054-2024")</f>
        <v/>
      </c>
    </row>
    <row r="181" ht="15" customHeight="1">
      <c r="A181" t="inlineStr">
        <is>
          <t>A 45153-2023</t>
        </is>
      </c>
      <c r="B181" s="1" t="n">
        <v>45191</v>
      </c>
      <c r="C181" s="1" t="n">
        <v>46086</v>
      </c>
      <c r="D181" t="inlineStr">
        <is>
          <t>GÄVLEBORGS LÄN</t>
        </is>
      </c>
      <c r="E181" t="inlineStr">
        <is>
          <t>HUDIKSVALL</t>
        </is>
      </c>
      <c r="G181" t="n">
        <v>0.6</v>
      </c>
      <c r="H181" t="n">
        <v>2</v>
      </c>
      <c r="I181" t="n">
        <v>2</v>
      </c>
      <c r="J181" t="n">
        <v>0</v>
      </c>
      <c r="K181" t="n">
        <v>0</v>
      </c>
      <c r="L181" t="n">
        <v>0</v>
      </c>
      <c r="M181" t="n">
        <v>0</v>
      </c>
      <c r="N181" t="n">
        <v>0</v>
      </c>
      <c r="O181" t="n">
        <v>0</v>
      </c>
      <c r="P181" t="n">
        <v>0</v>
      </c>
      <c r="Q181" t="n">
        <v>4</v>
      </c>
      <c r="R181" s="2" t="inlineStr">
        <is>
          <t>Rödgul trumpetsvamp
Tibast
Sparvuggla
Skogsödla</t>
        </is>
      </c>
      <c r="S181">
        <f>HYPERLINK("https://klasma.github.io/Logging_2184/artfynd/A 45153-2023 artfynd.xlsx", "A 45153-2023")</f>
        <v/>
      </c>
      <c r="T181">
        <f>HYPERLINK("https://klasma.github.io/Logging_2184/kartor/A 45153-2023 karta.png", "A 45153-2023")</f>
        <v/>
      </c>
      <c r="V181">
        <f>HYPERLINK("https://klasma.github.io/Logging_2184/klagomål/A 45153-2023 FSC-klagomål.docx", "A 45153-2023")</f>
        <v/>
      </c>
      <c r="W181">
        <f>HYPERLINK("https://klasma.github.io/Logging_2184/klagomålsmail/A 45153-2023 FSC-klagomål mail.docx", "A 45153-2023")</f>
        <v/>
      </c>
      <c r="X181">
        <f>HYPERLINK("https://klasma.github.io/Logging_2184/tillsyn/A 45153-2023 tillsynsbegäran.docx", "A 45153-2023")</f>
        <v/>
      </c>
      <c r="Y181">
        <f>HYPERLINK("https://klasma.github.io/Logging_2184/tillsynsmail/A 45153-2023 tillsynsbegäran mail.docx", "A 45153-2023")</f>
        <v/>
      </c>
      <c r="Z181">
        <f>HYPERLINK("https://klasma.github.io/Logging_2184/fåglar/A 45153-2023 prioriterade fågelarter.docx", "A 45153-2023")</f>
        <v/>
      </c>
    </row>
    <row r="182" ht="15" customHeight="1">
      <c r="A182" t="inlineStr">
        <is>
          <t>A 29544-2023</t>
        </is>
      </c>
      <c r="B182" s="1" t="n">
        <v>45106.64317129629</v>
      </c>
      <c r="C182" s="1" t="n">
        <v>46086</v>
      </c>
      <c r="D182" t="inlineStr">
        <is>
          <t>GÄVLEBORGS LÄN</t>
        </is>
      </c>
      <c r="E182" t="inlineStr">
        <is>
          <t>OCKELBO</t>
        </is>
      </c>
      <c r="F182" t="inlineStr">
        <is>
          <t>Bergvik skog väst AB</t>
        </is>
      </c>
      <c r="G182" t="n">
        <v>6.5</v>
      </c>
      <c r="H182" t="n">
        <v>3</v>
      </c>
      <c r="I182" t="n">
        <v>2</v>
      </c>
      <c r="J182" t="n">
        <v>0</v>
      </c>
      <c r="K182" t="n">
        <v>0</v>
      </c>
      <c r="L182" t="n">
        <v>0</v>
      </c>
      <c r="M182" t="n">
        <v>0</v>
      </c>
      <c r="N182" t="n">
        <v>0</v>
      </c>
      <c r="O182" t="n">
        <v>0</v>
      </c>
      <c r="P182" t="n">
        <v>0</v>
      </c>
      <c r="Q182" t="n">
        <v>4</v>
      </c>
      <c r="R182" s="2" t="inlineStr">
        <is>
          <t>Skogsknipprot
Vårärt
Blåsippa
Revlummer</t>
        </is>
      </c>
      <c r="S182">
        <f>HYPERLINK("https://klasma.github.io/Logging_2101/artfynd/A 29544-2023 artfynd.xlsx", "A 29544-2023")</f>
        <v/>
      </c>
      <c r="T182">
        <f>HYPERLINK("https://klasma.github.io/Logging_2101/kartor/A 29544-2023 karta.png", "A 29544-2023")</f>
        <v/>
      </c>
      <c r="V182">
        <f>HYPERLINK("https://klasma.github.io/Logging_2101/klagomål/A 29544-2023 FSC-klagomål.docx", "A 29544-2023")</f>
        <v/>
      </c>
      <c r="W182">
        <f>HYPERLINK("https://klasma.github.io/Logging_2101/klagomålsmail/A 29544-2023 FSC-klagomål mail.docx", "A 29544-2023")</f>
        <v/>
      </c>
      <c r="X182">
        <f>HYPERLINK("https://klasma.github.io/Logging_2101/tillsyn/A 29544-2023 tillsynsbegäran.docx", "A 29544-2023")</f>
        <v/>
      </c>
      <c r="Y182">
        <f>HYPERLINK("https://klasma.github.io/Logging_2101/tillsynsmail/A 29544-2023 tillsynsbegäran mail.docx", "A 29544-2023")</f>
        <v/>
      </c>
    </row>
    <row r="183" ht="15" customHeight="1">
      <c r="A183" t="inlineStr">
        <is>
          <t>A 56787-2023</t>
        </is>
      </c>
      <c r="B183" s="1" t="n">
        <v>45244</v>
      </c>
      <c r="C183" s="1" t="n">
        <v>46086</v>
      </c>
      <c r="D183" t="inlineStr">
        <is>
          <t>GÄVLEBORGS LÄN</t>
        </is>
      </c>
      <c r="E183" t="inlineStr">
        <is>
          <t>LJUSDAL</t>
        </is>
      </c>
      <c r="F183" t="inlineStr">
        <is>
          <t>Sveaskog</t>
        </is>
      </c>
      <c r="G183" t="n">
        <v>2.6</v>
      </c>
      <c r="H183" t="n">
        <v>0</v>
      </c>
      <c r="I183" t="n">
        <v>0</v>
      </c>
      <c r="J183" t="n">
        <v>2</v>
      </c>
      <c r="K183" t="n">
        <v>2</v>
      </c>
      <c r="L183" t="n">
        <v>0</v>
      </c>
      <c r="M183" t="n">
        <v>0</v>
      </c>
      <c r="N183" t="n">
        <v>0</v>
      </c>
      <c r="O183" t="n">
        <v>4</v>
      </c>
      <c r="P183" t="n">
        <v>2</v>
      </c>
      <c r="Q183" t="n">
        <v>4</v>
      </c>
      <c r="R183" s="2" t="inlineStr">
        <is>
          <t>Gräddporing
Turkos blåvinge
Garnlav
Skrovellav</t>
        </is>
      </c>
      <c r="S183">
        <f>HYPERLINK("https://klasma.github.io/Logging_2161/artfynd/A 56787-2023 artfynd.xlsx", "A 56787-2023")</f>
        <v/>
      </c>
      <c r="T183">
        <f>HYPERLINK("https://klasma.github.io/Logging_2161/kartor/A 56787-2023 karta.png", "A 56787-2023")</f>
        <v/>
      </c>
      <c r="V183">
        <f>HYPERLINK("https://klasma.github.io/Logging_2161/klagomål/A 56787-2023 FSC-klagomål.docx", "A 56787-2023")</f>
        <v/>
      </c>
      <c r="W183">
        <f>HYPERLINK("https://klasma.github.io/Logging_2161/klagomålsmail/A 56787-2023 FSC-klagomål mail.docx", "A 56787-2023")</f>
        <v/>
      </c>
      <c r="X183">
        <f>HYPERLINK("https://klasma.github.io/Logging_2161/tillsyn/A 56787-2023 tillsynsbegäran.docx", "A 56787-2023")</f>
        <v/>
      </c>
      <c r="Y183">
        <f>HYPERLINK("https://klasma.github.io/Logging_2161/tillsynsmail/A 56787-2023 tillsynsbegäran mail.docx", "A 56787-2023")</f>
        <v/>
      </c>
    </row>
    <row r="184" ht="15" customHeight="1">
      <c r="A184" t="inlineStr">
        <is>
          <t>A 14769-2025</t>
        </is>
      </c>
      <c r="B184" s="1" t="n">
        <v>45742.6846875</v>
      </c>
      <c r="C184" s="1" t="n">
        <v>46086</v>
      </c>
      <c r="D184" t="inlineStr">
        <is>
          <t>GÄVLEBORGS LÄN</t>
        </is>
      </c>
      <c r="E184" t="inlineStr">
        <is>
          <t>LJUSDAL</t>
        </is>
      </c>
      <c r="F184" t="inlineStr">
        <is>
          <t>Sveaskog</t>
        </is>
      </c>
      <c r="G184" t="n">
        <v>10.2</v>
      </c>
      <c r="H184" t="n">
        <v>1</v>
      </c>
      <c r="I184" t="n">
        <v>0</v>
      </c>
      <c r="J184" t="n">
        <v>3</v>
      </c>
      <c r="K184" t="n">
        <v>0</v>
      </c>
      <c r="L184" t="n">
        <v>0</v>
      </c>
      <c r="M184" t="n">
        <v>0</v>
      </c>
      <c r="N184" t="n">
        <v>0</v>
      </c>
      <c r="O184" t="n">
        <v>3</v>
      </c>
      <c r="P184" t="n">
        <v>0</v>
      </c>
      <c r="Q184" t="n">
        <v>4</v>
      </c>
      <c r="R184" s="2" t="inlineStr">
        <is>
          <t>Garnlav
Kolflarnlav
Vedflamlav
Fläcknycklar</t>
        </is>
      </c>
      <c r="S184">
        <f>HYPERLINK("https://klasma.github.io/Logging_2161/artfynd/A 14769-2025 artfynd.xlsx", "A 14769-2025")</f>
        <v/>
      </c>
      <c r="T184">
        <f>HYPERLINK("https://klasma.github.io/Logging_2161/kartor/A 14769-2025 karta.png", "A 14769-2025")</f>
        <v/>
      </c>
      <c r="V184">
        <f>HYPERLINK("https://klasma.github.io/Logging_2161/klagomål/A 14769-2025 FSC-klagomål.docx", "A 14769-2025")</f>
        <v/>
      </c>
      <c r="W184">
        <f>HYPERLINK("https://klasma.github.io/Logging_2161/klagomålsmail/A 14769-2025 FSC-klagomål mail.docx", "A 14769-2025")</f>
        <v/>
      </c>
      <c r="X184">
        <f>HYPERLINK("https://klasma.github.io/Logging_2161/tillsyn/A 14769-2025 tillsynsbegäran.docx", "A 14769-2025")</f>
        <v/>
      </c>
      <c r="Y184">
        <f>HYPERLINK("https://klasma.github.io/Logging_2161/tillsynsmail/A 14769-2025 tillsynsbegäran mail.docx", "A 14769-2025")</f>
        <v/>
      </c>
    </row>
    <row r="185" ht="15" customHeight="1">
      <c r="A185" t="inlineStr">
        <is>
          <t>A 53249-2023</t>
        </is>
      </c>
      <c r="B185" s="1" t="n">
        <v>45229.5156712963</v>
      </c>
      <c r="C185" s="1" t="n">
        <v>46086</v>
      </c>
      <c r="D185" t="inlineStr">
        <is>
          <t>GÄVLEBORGS LÄN</t>
        </is>
      </c>
      <c r="E185" t="inlineStr">
        <is>
          <t>LJUSDAL</t>
        </is>
      </c>
      <c r="F185" t="inlineStr">
        <is>
          <t>Sveaskog</t>
        </is>
      </c>
      <c r="G185" t="n">
        <v>3.2</v>
      </c>
      <c r="H185" t="n">
        <v>0</v>
      </c>
      <c r="I185" t="n">
        <v>0</v>
      </c>
      <c r="J185" t="n">
        <v>4</v>
      </c>
      <c r="K185" t="n">
        <v>0</v>
      </c>
      <c r="L185" t="n">
        <v>0</v>
      </c>
      <c r="M185" t="n">
        <v>0</v>
      </c>
      <c r="N185" t="n">
        <v>0</v>
      </c>
      <c r="O185" t="n">
        <v>4</v>
      </c>
      <c r="P185" t="n">
        <v>0</v>
      </c>
      <c r="Q185" t="n">
        <v>4</v>
      </c>
      <c r="R185" s="2" t="inlineStr">
        <is>
          <t>Kolflarnlav
Motaggsvamp
Orange taggsvamp
Vedflamlav</t>
        </is>
      </c>
      <c r="S185">
        <f>HYPERLINK("https://klasma.github.io/Logging_2161/artfynd/A 53249-2023 artfynd.xlsx", "A 53249-2023")</f>
        <v/>
      </c>
      <c r="T185">
        <f>HYPERLINK("https://klasma.github.io/Logging_2161/kartor/A 53249-2023 karta.png", "A 53249-2023")</f>
        <v/>
      </c>
      <c r="V185">
        <f>HYPERLINK("https://klasma.github.io/Logging_2161/klagomål/A 53249-2023 FSC-klagomål.docx", "A 53249-2023")</f>
        <v/>
      </c>
      <c r="W185">
        <f>HYPERLINK("https://klasma.github.io/Logging_2161/klagomålsmail/A 53249-2023 FSC-klagomål mail.docx", "A 53249-2023")</f>
        <v/>
      </c>
      <c r="X185">
        <f>HYPERLINK("https://klasma.github.io/Logging_2161/tillsyn/A 53249-2023 tillsynsbegäran.docx", "A 53249-2023")</f>
        <v/>
      </c>
      <c r="Y185">
        <f>HYPERLINK("https://klasma.github.io/Logging_2161/tillsynsmail/A 53249-2023 tillsynsbegäran mail.docx", "A 53249-2023")</f>
        <v/>
      </c>
    </row>
    <row r="186" ht="15" customHeight="1">
      <c r="A186" t="inlineStr">
        <is>
          <t>A 7459-2026</t>
        </is>
      </c>
      <c r="B186" s="1" t="n">
        <v>46058</v>
      </c>
      <c r="C186" s="1" t="n">
        <v>46086</v>
      </c>
      <c r="D186" t="inlineStr">
        <is>
          <t>GÄVLEBORGS LÄN</t>
        </is>
      </c>
      <c r="E186" t="inlineStr">
        <is>
          <t>SANDVIKEN</t>
        </is>
      </c>
      <c r="G186" t="n">
        <v>7</v>
      </c>
      <c r="H186" t="n">
        <v>2</v>
      </c>
      <c r="I186" t="n">
        <v>2</v>
      </c>
      <c r="J186" t="n">
        <v>1</v>
      </c>
      <c r="K186" t="n">
        <v>0</v>
      </c>
      <c r="L186" t="n">
        <v>0</v>
      </c>
      <c r="M186" t="n">
        <v>0</v>
      </c>
      <c r="N186" t="n">
        <v>0</v>
      </c>
      <c r="O186" t="n">
        <v>1</v>
      </c>
      <c r="P186" t="n">
        <v>0</v>
      </c>
      <c r="Q186" t="n">
        <v>4</v>
      </c>
      <c r="R186" s="2" t="inlineStr">
        <is>
          <t>Rödvingetrast
Brandticka
Rostfläck
Grönsiska</t>
        </is>
      </c>
      <c r="S186">
        <f>HYPERLINK("https://klasma.github.io/Logging_2181/artfynd/A 7459-2026 artfynd.xlsx", "A 7459-2026")</f>
        <v/>
      </c>
      <c r="T186">
        <f>HYPERLINK("https://klasma.github.io/Logging_2181/kartor/A 7459-2026 karta.png", "A 7459-2026")</f>
        <v/>
      </c>
      <c r="V186">
        <f>HYPERLINK("https://klasma.github.io/Logging_2181/klagomål/A 7459-2026 FSC-klagomål.docx", "A 7459-2026")</f>
        <v/>
      </c>
      <c r="W186">
        <f>HYPERLINK("https://klasma.github.io/Logging_2181/klagomålsmail/A 7459-2026 FSC-klagomål mail.docx", "A 7459-2026")</f>
        <v/>
      </c>
      <c r="X186">
        <f>HYPERLINK("https://klasma.github.io/Logging_2181/tillsyn/A 7459-2026 tillsynsbegäran.docx", "A 7459-2026")</f>
        <v/>
      </c>
      <c r="Y186">
        <f>HYPERLINK("https://klasma.github.io/Logging_2181/tillsynsmail/A 7459-2026 tillsynsbegäran mail.docx", "A 7459-2026")</f>
        <v/>
      </c>
      <c r="Z186">
        <f>HYPERLINK("https://klasma.github.io/Logging_2181/fåglar/A 7459-2026 prioriterade fågelarter.docx", "A 7459-2026")</f>
        <v/>
      </c>
    </row>
    <row r="187" ht="15" customHeight="1">
      <c r="A187" t="inlineStr">
        <is>
          <t>A 63804-2025</t>
        </is>
      </c>
      <c r="B187" s="1" t="n">
        <v>46019</v>
      </c>
      <c r="C187" s="1" t="n">
        <v>46086</v>
      </c>
      <c r="D187" t="inlineStr">
        <is>
          <t>GÄVLEBORGS LÄN</t>
        </is>
      </c>
      <c r="E187" t="inlineStr">
        <is>
          <t>NORDANSTIG</t>
        </is>
      </c>
      <c r="G187" t="n">
        <v>31.4</v>
      </c>
      <c r="H187" t="n">
        <v>4</v>
      </c>
      <c r="I187" t="n">
        <v>0</v>
      </c>
      <c r="J187" t="n">
        <v>3</v>
      </c>
      <c r="K187" t="n">
        <v>0</v>
      </c>
      <c r="L187" t="n">
        <v>0</v>
      </c>
      <c r="M187" t="n">
        <v>0</v>
      </c>
      <c r="N187" t="n">
        <v>0</v>
      </c>
      <c r="O187" t="n">
        <v>3</v>
      </c>
      <c r="P187" t="n">
        <v>0</v>
      </c>
      <c r="Q187" t="n">
        <v>4</v>
      </c>
      <c r="R187" s="2" t="inlineStr">
        <is>
          <t>Kråka
Spillkråka
Talltita
Kungsfågel</t>
        </is>
      </c>
      <c r="S187">
        <f>HYPERLINK("https://klasma.github.io/Logging_2132/artfynd/A 63804-2025 artfynd.xlsx", "A 63804-2025")</f>
        <v/>
      </c>
      <c r="T187">
        <f>HYPERLINK("https://klasma.github.io/Logging_2132/kartor/A 63804-2025 karta.png", "A 63804-2025")</f>
        <v/>
      </c>
      <c r="V187">
        <f>HYPERLINK("https://klasma.github.io/Logging_2132/klagomål/A 63804-2025 FSC-klagomål.docx", "A 63804-2025")</f>
        <v/>
      </c>
      <c r="W187">
        <f>HYPERLINK("https://klasma.github.io/Logging_2132/klagomålsmail/A 63804-2025 FSC-klagomål mail.docx", "A 63804-2025")</f>
        <v/>
      </c>
      <c r="X187">
        <f>HYPERLINK("https://klasma.github.io/Logging_2132/tillsyn/A 63804-2025 tillsynsbegäran.docx", "A 63804-2025")</f>
        <v/>
      </c>
      <c r="Y187">
        <f>HYPERLINK("https://klasma.github.io/Logging_2132/tillsynsmail/A 63804-2025 tillsynsbegäran mail.docx", "A 63804-2025")</f>
        <v/>
      </c>
      <c r="Z187">
        <f>HYPERLINK("https://klasma.github.io/Logging_2132/fåglar/A 63804-2025 prioriterade fågelarter.docx", "A 63804-2025")</f>
        <v/>
      </c>
    </row>
    <row r="188" ht="15" customHeight="1">
      <c r="A188" t="inlineStr">
        <is>
          <t>A 6506-2026</t>
        </is>
      </c>
      <c r="B188" s="1" t="n">
        <v>46056</v>
      </c>
      <c r="C188" s="1" t="n">
        <v>46086</v>
      </c>
      <c r="D188" t="inlineStr">
        <is>
          <t>GÄVLEBORGS LÄN</t>
        </is>
      </c>
      <c r="E188" t="inlineStr">
        <is>
          <t>OCKELBO</t>
        </is>
      </c>
      <c r="F188" t="inlineStr">
        <is>
          <t>Bergvik skog väst AB</t>
        </is>
      </c>
      <c r="G188" t="n">
        <v>5.5</v>
      </c>
      <c r="H188" t="n">
        <v>3</v>
      </c>
      <c r="I188" t="n">
        <v>3</v>
      </c>
      <c r="J188" t="n">
        <v>0</v>
      </c>
      <c r="K188" t="n">
        <v>0</v>
      </c>
      <c r="L188" t="n">
        <v>0</v>
      </c>
      <c r="M188" t="n">
        <v>0</v>
      </c>
      <c r="N188" t="n">
        <v>0</v>
      </c>
      <c r="O188" t="n">
        <v>0</v>
      </c>
      <c r="P188" t="n">
        <v>0</v>
      </c>
      <c r="Q188" t="n">
        <v>4</v>
      </c>
      <c r="R188" s="2" t="inlineStr">
        <is>
          <t>Plattlummer
Spindelblomster
Ögonpyrola
Fläcknycklar</t>
        </is>
      </c>
      <c r="S188">
        <f>HYPERLINK("https://klasma.github.io/Logging_2101/artfynd/A 6506-2026 artfynd.xlsx", "A 6506-2026")</f>
        <v/>
      </c>
      <c r="T188">
        <f>HYPERLINK("https://klasma.github.io/Logging_2101/kartor/A 6506-2026 karta.png", "A 6506-2026")</f>
        <v/>
      </c>
      <c r="U188">
        <f>HYPERLINK("https://klasma.github.io/Logging_2101/knärot/A 6506-2026 karta knärot.png", "A 6506-2026")</f>
        <v/>
      </c>
      <c r="V188">
        <f>HYPERLINK("https://klasma.github.io/Logging_2101/klagomål/A 6506-2026 FSC-klagomål.docx", "A 6506-2026")</f>
        <v/>
      </c>
      <c r="W188">
        <f>HYPERLINK("https://klasma.github.io/Logging_2101/klagomålsmail/A 6506-2026 FSC-klagomål mail.docx", "A 6506-2026")</f>
        <v/>
      </c>
      <c r="X188">
        <f>HYPERLINK("https://klasma.github.io/Logging_2101/tillsyn/A 6506-2026 tillsynsbegäran.docx", "A 6506-2026")</f>
        <v/>
      </c>
      <c r="Y188">
        <f>HYPERLINK("https://klasma.github.io/Logging_2101/tillsynsmail/A 6506-2026 tillsynsbegäran mail.docx", "A 6506-2026")</f>
        <v/>
      </c>
    </row>
    <row r="189" ht="15" customHeight="1">
      <c r="A189" t="inlineStr">
        <is>
          <t>A 4344-2026</t>
        </is>
      </c>
      <c r="B189" s="1" t="n">
        <v>46045</v>
      </c>
      <c r="C189" s="1" t="n">
        <v>46086</v>
      </c>
      <c r="D189" t="inlineStr">
        <is>
          <t>GÄVLEBORGS LÄN</t>
        </is>
      </c>
      <c r="E189" t="inlineStr">
        <is>
          <t>HUDIKSVALL</t>
        </is>
      </c>
      <c r="G189" t="n">
        <v>11.7</v>
      </c>
      <c r="H189" t="n">
        <v>1</v>
      </c>
      <c r="I189" t="n">
        <v>0</v>
      </c>
      <c r="J189" t="n">
        <v>4</v>
      </c>
      <c r="K189" t="n">
        <v>0</v>
      </c>
      <c r="L189" t="n">
        <v>0</v>
      </c>
      <c r="M189" t="n">
        <v>0</v>
      </c>
      <c r="N189" t="n">
        <v>0</v>
      </c>
      <c r="O189" t="n">
        <v>4</v>
      </c>
      <c r="P189" t="n">
        <v>0</v>
      </c>
      <c r="Q189" t="n">
        <v>4</v>
      </c>
      <c r="R189" s="2" t="inlineStr">
        <is>
          <t>Dvärgbägarlav
Motaggsvamp
Reliktbock
Spillkråka</t>
        </is>
      </c>
      <c r="S189">
        <f>HYPERLINK("https://klasma.github.io/Logging_2184/artfynd/A 4344-2026 artfynd.xlsx", "A 4344-2026")</f>
        <v/>
      </c>
      <c r="T189">
        <f>HYPERLINK("https://klasma.github.io/Logging_2184/kartor/A 4344-2026 karta.png", "A 4344-2026")</f>
        <v/>
      </c>
      <c r="V189">
        <f>HYPERLINK("https://klasma.github.io/Logging_2184/klagomål/A 4344-2026 FSC-klagomål.docx", "A 4344-2026")</f>
        <v/>
      </c>
      <c r="W189">
        <f>HYPERLINK("https://klasma.github.io/Logging_2184/klagomålsmail/A 4344-2026 FSC-klagomål mail.docx", "A 4344-2026")</f>
        <v/>
      </c>
      <c r="X189">
        <f>HYPERLINK("https://klasma.github.io/Logging_2184/tillsyn/A 4344-2026 tillsynsbegäran.docx", "A 4344-2026")</f>
        <v/>
      </c>
      <c r="Y189">
        <f>HYPERLINK("https://klasma.github.io/Logging_2184/tillsynsmail/A 4344-2026 tillsynsbegäran mail.docx", "A 4344-2026")</f>
        <v/>
      </c>
      <c r="Z189">
        <f>HYPERLINK("https://klasma.github.io/Logging_2184/fåglar/A 4344-2026 prioriterade fågelarter.docx", "A 4344-2026")</f>
        <v/>
      </c>
    </row>
    <row r="190" ht="15" customHeight="1">
      <c r="A190" t="inlineStr">
        <is>
          <t>A 36672-2023</t>
        </is>
      </c>
      <c r="B190" s="1" t="n">
        <v>45153</v>
      </c>
      <c r="C190" s="1" t="n">
        <v>46086</v>
      </c>
      <c r="D190" t="inlineStr">
        <is>
          <t>GÄVLEBORGS LÄN</t>
        </is>
      </c>
      <c r="E190" t="inlineStr">
        <is>
          <t>SANDVIKEN</t>
        </is>
      </c>
      <c r="G190" t="n">
        <v>6.4</v>
      </c>
      <c r="H190" t="n">
        <v>4</v>
      </c>
      <c r="I190" t="n">
        <v>0</v>
      </c>
      <c r="J190" t="n">
        <v>0</v>
      </c>
      <c r="K190" t="n">
        <v>0</v>
      </c>
      <c r="L190" t="n">
        <v>0</v>
      </c>
      <c r="M190" t="n">
        <v>0</v>
      </c>
      <c r="N190" t="n">
        <v>0</v>
      </c>
      <c r="O190" t="n">
        <v>0</v>
      </c>
      <c r="P190" t="n">
        <v>0</v>
      </c>
      <c r="Q190" t="n">
        <v>4</v>
      </c>
      <c r="R190" s="2" t="inlineStr">
        <is>
          <t>Större vattensalamander
Åkergroda
Mindre vattensalamander
Vanlig groda</t>
        </is>
      </c>
      <c r="S190">
        <f>HYPERLINK("https://klasma.github.io/Logging_2181/artfynd/A 36672-2023 artfynd.xlsx", "A 36672-2023")</f>
        <v/>
      </c>
      <c r="T190">
        <f>HYPERLINK("https://klasma.github.io/Logging_2181/kartor/A 36672-2023 karta.png", "A 36672-2023")</f>
        <v/>
      </c>
      <c r="V190">
        <f>HYPERLINK("https://klasma.github.io/Logging_2181/klagomål/A 36672-2023 FSC-klagomål.docx", "A 36672-2023")</f>
        <v/>
      </c>
      <c r="W190">
        <f>HYPERLINK("https://klasma.github.io/Logging_2181/klagomålsmail/A 36672-2023 FSC-klagomål mail.docx", "A 36672-2023")</f>
        <v/>
      </c>
      <c r="X190">
        <f>HYPERLINK("https://klasma.github.io/Logging_2181/tillsyn/A 36672-2023 tillsynsbegäran.docx", "A 36672-2023")</f>
        <v/>
      </c>
      <c r="Y190">
        <f>HYPERLINK("https://klasma.github.io/Logging_2181/tillsynsmail/A 36672-2023 tillsynsbegäran mail.docx", "A 36672-2023")</f>
        <v/>
      </c>
    </row>
    <row r="191" ht="15" customHeight="1">
      <c r="A191" t="inlineStr">
        <is>
          <t>A 7943-2026</t>
        </is>
      </c>
      <c r="B191" s="1" t="n">
        <v>46063.409375</v>
      </c>
      <c r="C191" s="1" t="n">
        <v>46086</v>
      </c>
      <c r="D191" t="inlineStr">
        <is>
          <t>GÄVLEBORGS LÄN</t>
        </is>
      </c>
      <c r="E191" t="inlineStr">
        <is>
          <t>HUDIKSVALL</t>
        </is>
      </c>
      <c r="G191" t="n">
        <v>3.7</v>
      </c>
      <c r="H191" t="n">
        <v>0</v>
      </c>
      <c r="I191" t="n">
        <v>0</v>
      </c>
      <c r="J191" t="n">
        <v>4</v>
      </c>
      <c r="K191" t="n">
        <v>0</v>
      </c>
      <c r="L191" t="n">
        <v>0</v>
      </c>
      <c r="M191" t="n">
        <v>0</v>
      </c>
      <c r="N191" t="n">
        <v>0</v>
      </c>
      <c r="O191" t="n">
        <v>4</v>
      </c>
      <c r="P191" t="n">
        <v>0</v>
      </c>
      <c r="Q191" t="n">
        <v>4</v>
      </c>
      <c r="R191" s="2" t="inlineStr">
        <is>
          <t>Garnlav
Rosenticka
Ullticka
Vedskivlav</t>
        </is>
      </c>
      <c r="S191">
        <f>HYPERLINK("https://klasma.github.io/Logging_2184/artfynd/A 7943-2026 artfynd.xlsx", "A 7943-2026")</f>
        <v/>
      </c>
      <c r="T191">
        <f>HYPERLINK("https://klasma.github.io/Logging_2184/kartor/A 7943-2026 karta.png", "A 7943-2026")</f>
        <v/>
      </c>
      <c r="V191">
        <f>HYPERLINK("https://klasma.github.io/Logging_2184/klagomål/A 7943-2026 FSC-klagomål.docx", "A 7943-2026")</f>
        <v/>
      </c>
      <c r="W191">
        <f>HYPERLINK("https://klasma.github.io/Logging_2184/klagomålsmail/A 7943-2026 FSC-klagomål mail.docx", "A 7943-2026")</f>
        <v/>
      </c>
      <c r="X191">
        <f>HYPERLINK("https://klasma.github.io/Logging_2184/tillsyn/A 7943-2026 tillsynsbegäran.docx", "A 7943-2026")</f>
        <v/>
      </c>
      <c r="Y191">
        <f>HYPERLINK("https://klasma.github.io/Logging_2184/tillsynsmail/A 7943-2026 tillsynsbegäran mail.docx", "A 7943-2026")</f>
        <v/>
      </c>
    </row>
    <row r="192" ht="15" customHeight="1">
      <c r="A192" t="inlineStr">
        <is>
          <t>A 51118-2024</t>
        </is>
      </c>
      <c r="B192" s="1" t="n">
        <v>45603</v>
      </c>
      <c r="C192" s="1" t="n">
        <v>46086</v>
      </c>
      <c r="D192" t="inlineStr">
        <is>
          <t>GÄVLEBORGS LÄN</t>
        </is>
      </c>
      <c r="E192" t="inlineStr">
        <is>
          <t>LJUSDAL</t>
        </is>
      </c>
      <c r="F192" t="inlineStr">
        <is>
          <t>Sveaskog</t>
        </is>
      </c>
      <c r="G192" t="n">
        <v>1.3</v>
      </c>
      <c r="H192" t="n">
        <v>0</v>
      </c>
      <c r="I192" t="n">
        <v>0</v>
      </c>
      <c r="J192" t="n">
        <v>3</v>
      </c>
      <c r="K192" t="n">
        <v>1</v>
      </c>
      <c r="L192" t="n">
        <v>0</v>
      </c>
      <c r="M192" t="n">
        <v>0</v>
      </c>
      <c r="N192" t="n">
        <v>0</v>
      </c>
      <c r="O192" t="n">
        <v>4</v>
      </c>
      <c r="P192" t="n">
        <v>1</v>
      </c>
      <c r="Q192" t="n">
        <v>4</v>
      </c>
      <c r="R192" s="2" t="inlineStr">
        <is>
          <t>Småvänderot
Garnlav
Motaggsvamp
Tallticka</t>
        </is>
      </c>
      <c r="S192">
        <f>HYPERLINK("https://klasma.github.io/Logging_2161/artfynd/A 51118-2024 artfynd.xlsx", "A 51118-2024")</f>
        <v/>
      </c>
      <c r="T192">
        <f>HYPERLINK("https://klasma.github.io/Logging_2161/kartor/A 51118-2024 karta.png", "A 51118-2024")</f>
        <v/>
      </c>
      <c r="V192">
        <f>HYPERLINK("https://klasma.github.io/Logging_2161/klagomål/A 51118-2024 FSC-klagomål.docx", "A 51118-2024")</f>
        <v/>
      </c>
      <c r="W192">
        <f>HYPERLINK("https://klasma.github.io/Logging_2161/klagomålsmail/A 51118-2024 FSC-klagomål mail.docx", "A 51118-2024")</f>
        <v/>
      </c>
      <c r="X192">
        <f>HYPERLINK("https://klasma.github.io/Logging_2161/tillsyn/A 51118-2024 tillsynsbegäran.docx", "A 51118-2024")</f>
        <v/>
      </c>
      <c r="Y192">
        <f>HYPERLINK("https://klasma.github.io/Logging_2161/tillsynsmail/A 51118-2024 tillsynsbegäran mail.docx", "A 51118-2024")</f>
        <v/>
      </c>
    </row>
    <row r="193" ht="15" customHeight="1">
      <c r="A193" t="inlineStr">
        <is>
          <t>A 34757-2024</t>
        </is>
      </c>
      <c r="B193" s="1" t="n">
        <v>45526.61099537037</v>
      </c>
      <c r="C193" s="1" t="n">
        <v>46086</v>
      </c>
      <c r="D193" t="inlineStr">
        <is>
          <t>GÄVLEBORGS LÄN</t>
        </is>
      </c>
      <c r="E193" t="inlineStr">
        <is>
          <t>LJUSDAL</t>
        </is>
      </c>
      <c r="F193" t="inlineStr">
        <is>
          <t>Sveaskog</t>
        </is>
      </c>
      <c r="G193" t="n">
        <v>8.300000000000001</v>
      </c>
      <c r="H193" t="n">
        <v>0</v>
      </c>
      <c r="I193" t="n">
        <v>0</v>
      </c>
      <c r="J193" t="n">
        <v>4</v>
      </c>
      <c r="K193" t="n">
        <v>0</v>
      </c>
      <c r="L193" t="n">
        <v>0</v>
      </c>
      <c r="M193" t="n">
        <v>0</v>
      </c>
      <c r="N193" t="n">
        <v>0</v>
      </c>
      <c r="O193" t="n">
        <v>4</v>
      </c>
      <c r="P193" t="n">
        <v>0</v>
      </c>
      <c r="Q193" t="n">
        <v>4</v>
      </c>
      <c r="R193" s="2" t="inlineStr">
        <is>
          <t>Blå taggsvamp
Garnlav
Kolflarnlav
Lunglav</t>
        </is>
      </c>
      <c r="S193">
        <f>HYPERLINK("https://klasma.github.io/Logging_2161/artfynd/A 34757-2024 artfynd.xlsx", "A 34757-2024")</f>
        <v/>
      </c>
      <c r="T193">
        <f>HYPERLINK("https://klasma.github.io/Logging_2161/kartor/A 34757-2024 karta.png", "A 34757-2024")</f>
        <v/>
      </c>
      <c r="V193">
        <f>HYPERLINK("https://klasma.github.io/Logging_2161/klagomål/A 34757-2024 FSC-klagomål.docx", "A 34757-2024")</f>
        <v/>
      </c>
      <c r="W193">
        <f>HYPERLINK("https://klasma.github.io/Logging_2161/klagomålsmail/A 34757-2024 FSC-klagomål mail.docx", "A 34757-2024")</f>
        <v/>
      </c>
      <c r="X193">
        <f>HYPERLINK("https://klasma.github.io/Logging_2161/tillsyn/A 34757-2024 tillsynsbegäran.docx", "A 34757-2024")</f>
        <v/>
      </c>
      <c r="Y193">
        <f>HYPERLINK("https://klasma.github.io/Logging_2161/tillsynsmail/A 34757-2024 tillsynsbegäran mail.docx", "A 34757-2024")</f>
        <v/>
      </c>
    </row>
    <row r="194" ht="15" customHeight="1">
      <c r="A194" t="inlineStr">
        <is>
          <t>A 56774-2023</t>
        </is>
      </c>
      <c r="B194" s="1" t="n">
        <v>45244</v>
      </c>
      <c r="C194" s="1" t="n">
        <v>46086</v>
      </c>
      <c r="D194" t="inlineStr">
        <is>
          <t>GÄVLEBORGS LÄN</t>
        </is>
      </c>
      <c r="E194" t="inlineStr">
        <is>
          <t>LJUSDAL</t>
        </is>
      </c>
      <c r="F194" t="inlineStr">
        <is>
          <t>Sveaskog</t>
        </is>
      </c>
      <c r="G194" t="n">
        <v>2.6</v>
      </c>
      <c r="H194" t="n">
        <v>0</v>
      </c>
      <c r="I194" t="n">
        <v>0</v>
      </c>
      <c r="J194" t="n">
        <v>2</v>
      </c>
      <c r="K194" t="n">
        <v>2</v>
      </c>
      <c r="L194" t="n">
        <v>0</v>
      </c>
      <c r="M194" t="n">
        <v>0</v>
      </c>
      <c r="N194" t="n">
        <v>0</v>
      </c>
      <c r="O194" t="n">
        <v>4</v>
      </c>
      <c r="P194" t="n">
        <v>2</v>
      </c>
      <c r="Q194" t="n">
        <v>4</v>
      </c>
      <c r="R194" s="2" t="inlineStr">
        <is>
          <t>Gräddporing
Turkos blåvinge
Garnlav
Skrovellav</t>
        </is>
      </c>
      <c r="S194">
        <f>HYPERLINK("https://klasma.github.io/Logging_2161/artfynd/A 56774-2023 artfynd.xlsx", "A 56774-2023")</f>
        <v/>
      </c>
      <c r="T194">
        <f>HYPERLINK("https://klasma.github.io/Logging_2161/kartor/A 56774-2023 karta.png", "A 56774-2023")</f>
        <v/>
      </c>
      <c r="V194">
        <f>HYPERLINK("https://klasma.github.io/Logging_2161/klagomål/A 56774-2023 FSC-klagomål.docx", "A 56774-2023")</f>
        <v/>
      </c>
      <c r="W194">
        <f>HYPERLINK("https://klasma.github.io/Logging_2161/klagomålsmail/A 56774-2023 FSC-klagomål mail.docx", "A 56774-2023")</f>
        <v/>
      </c>
      <c r="X194">
        <f>HYPERLINK("https://klasma.github.io/Logging_2161/tillsyn/A 56774-2023 tillsynsbegäran.docx", "A 56774-2023")</f>
        <v/>
      </c>
      <c r="Y194">
        <f>HYPERLINK("https://klasma.github.io/Logging_2161/tillsynsmail/A 56774-2023 tillsynsbegäran mail.docx", "A 56774-2023")</f>
        <v/>
      </c>
    </row>
    <row r="195" ht="15" customHeight="1">
      <c r="A195" t="inlineStr">
        <is>
          <t>A 48800-2024</t>
        </is>
      </c>
      <c r="B195" s="1" t="n">
        <v>45593.66131944444</v>
      </c>
      <c r="C195" s="1" t="n">
        <v>46086</v>
      </c>
      <c r="D195" t="inlineStr">
        <is>
          <t>GÄVLEBORGS LÄN</t>
        </is>
      </c>
      <c r="E195" t="inlineStr">
        <is>
          <t>GÄVLE</t>
        </is>
      </c>
      <c r="G195" t="n">
        <v>15.3</v>
      </c>
      <c r="H195" t="n">
        <v>2</v>
      </c>
      <c r="I195" t="n">
        <v>0</v>
      </c>
      <c r="J195" t="n">
        <v>2</v>
      </c>
      <c r="K195" t="n">
        <v>1</v>
      </c>
      <c r="L195" t="n">
        <v>0</v>
      </c>
      <c r="M195" t="n">
        <v>0</v>
      </c>
      <c r="N195" t="n">
        <v>0</v>
      </c>
      <c r="O195" t="n">
        <v>3</v>
      </c>
      <c r="P195" t="n">
        <v>1</v>
      </c>
      <c r="Q195" t="n">
        <v>4</v>
      </c>
      <c r="R195" s="2" t="inlineStr">
        <is>
          <t>Rynkskinn
Järpe
Rosenticka
Fläcknycklar</t>
        </is>
      </c>
      <c r="S195">
        <f>HYPERLINK("https://klasma.github.io/Logging_2180/artfynd/A 48800-2024 artfynd.xlsx", "A 48800-2024")</f>
        <v/>
      </c>
      <c r="T195">
        <f>HYPERLINK("https://klasma.github.io/Logging_2180/kartor/A 48800-2024 karta.png", "A 48800-2024")</f>
        <v/>
      </c>
      <c r="V195">
        <f>HYPERLINK("https://klasma.github.io/Logging_2180/klagomål/A 48800-2024 FSC-klagomål.docx", "A 48800-2024")</f>
        <v/>
      </c>
      <c r="W195">
        <f>HYPERLINK("https://klasma.github.io/Logging_2180/klagomålsmail/A 48800-2024 FSC-klagomål mail.docx", "A 48800-2024")</f>
        <v/>
      </c>
      <c r="X195">
        <f>HYPERLINK("https://klasma.github.io/Logging_2180/tillsyn/A 48800-2024 tillsynsbegäran.docx", "A 48800-2024")</f>
        <v/>
      </c>
      <c r="Y195">
        <f>HYPERLINK("https://klasma.github.io/Logging_2180/tillsynsmail/A 48800-2024 tillsynsbegäran mail.docx", "A 48800-2024")</f>
        <v/>
      </c>
      <c r="Z195">
        <f>HYPERLINK("https://klasma.github.io/Logging_2180/fåglar/A 48800-2024 prioriterade fågelarter.docx", "A 48800-2024")</f>
        <v/>
      </c>
    </row>
    <row r="196" ht="15" customHeight="1">
      <c r="A196" t="inlineStr">
        <is>
          <t>A 50308-2024</t>
        </is>
      </c>
      <c r="B196" s="1" t="n">
        <v>45600</v>
      </c>
      <c r="C196" s="1" t="n">
        <v>46086</v>
      </c>
      <c r="D196" t="inlineStr">
        <is>
          <t>GÄVLEBORGS LÄN</t>
        </is>
      </c>
      <c r="E196" t="inlineStr">
        <is>
          <t>LJUSDAL</t>
        </is>
      </c>
      <c r="F196" t="inlineStr">
        <is>
          <t>Sveaskog</t>
        </is>
      </c>
      <c r="G196" t="n">
        <v>22.3</v>
      </c>
      <c r="H196" t="n">
        <v>2</v>
      </c>
      <c r="I196" t="n">
        <v>1</v>
      </c>
      <c r="J196" t="n">
        <v>2</v>
      </c>
      <c r="K196" t="n">
        <v>0</v>
      </c>
      <c r="L196" t="n">
        <v>0</v>
      </c>
      <c r="M196" t="n">
        <v>0</v>
      </c>
      <c r="N196" t="n">
        <v>0</v>
      </c>
      <c r="O196" t="n">
        <v>2</v>
      </c>
      <c r="P196" t="n">
        <v>0</v>
      </c>
      <c r="Q196" t="n">
        <v>4</v>
      </c>
      <c r="R196" s="2" t="inlineStr">
        <is>
          <t>Lunglav
Motaggsvamp
Plattlummer
Fläcknycklar</t>
        </is>
      </c>
      <c r="S196">
        <f>HYPERLINK("https://klasma.github.io/Logging_2161/artfynd/A 50308-2024 artfynd.xlsx", "A 50308-2024")</f>
        <v/>
      </c>
      <c r="T196">
        <f>HYPERLINK("https://klasma.github.io/Logging_2161/kartor/A 50308-2024 karta.png", "A 50308-2024")</f>
        <v/>
      </c>
      <c r="V196">
        <f>HYPERLINK("https://klasma.github.io/Logging_2161/klagomål/A 50308-2024 FSC-klagomål.docx", "A 50308-2024")</f>
        <v/>
      </c>
      <c r="W196">
        <f>HYPERLINK("https://klasma.github.io/Logging_2161/klagomålsmail/A 50308-2024 FSC-klagomål mail.docx", "A 50308-2024")</f>
        <v/>
      </c>
      <c r="X196">
        <f>HYPERLINK("https://klasma.github.io/Logging_2161/tillsyn/A 50308-2024 tillsynsbegäran.docx", "A 50308-2024")</f>
        <v/>
      </c>
      <c r="Y196">
        <f>HYPERLINK("https://klasma.github.io/Logging_2161/tillsynsmail/A 50308-2024 tillsynsbegäran mail.docx", "A 50308-2024")</f>
        <v/>
      </c>
    </row>
    <row r="197" ht="15" customHeight="1">
      <c r="A197" t="inlineStr">
        <is>
          <t>A 1100-2024</t>
        </is>
      </c>
      <c r="B197" s="1" t="n">
        <v>45302</v>
      </c>
      <c r="C197" s="1" t="n">
        <v>46086</v>
      </c>
      <c r="D197" t="inlineStr">
        <is>
          <t>GÄVLEBORGS LÄN</t>
        </is>
      </c>
      <c r="E197" t="inlineStr">
        <is>
          <t>GÄVLE</t>
        </is>
      </c>
      <c r="F197" t="inlineStr">
        <is>
          <t>Bergvik skog väst AB</t>
        </is>
      </c>
      <c r="G197" t="n">
        <v>3.9</v>
      </c>
      <c r="H197" t="n">
        <v>0</v>
      </c>
      <c r="I197" t="n">
        <v>2</v>
      </c>
      <c r="J197" t="n">
        <v>2</v>
      </c>
      <c r="K197" t="n">
        <v>0</v>
      </c>
      <c r="L197" t="n">
        <v>0</v>
      </c>
      <c r="M197" t="n">
        <v>0</v>
      </c>
      <c r="N197" t="n">
        <v>0</v>
      </c>
      <c r="O197" t="n">
        <v>2</v>
      </c>
      <c r="P197" t="n">
        <v>0</v>
      </c>
      <c r="Q197" t="n">
        <v>4</v>
      </c>
      <c r="R197" s="2" t="inlineStr">
        <is>
          <t>Svart taggsvamp agg.
Vedskivlav
Dropptaggsvamp
Vågbandad barkbock</t>
        </is>
      </c>
      <c r="S197">
        <f>HYPERLINK("https://klasma.github.io/Logging_2180/artfynd/A 1100-2024 artfynd.xlsx", "A 1100-2024")</f>
        <v/>
      </c>
      <c r="T197">
        <f>HYPERLINK("https://klasma.github.io/Logging_2180/kartor/A 1100-2024 karta.png", "A 1100-2024")</f>
        <v/>
      </c>
      <c r="V197">
        <f>HYPERLINK("https://klasma.github.io/Logging_2180/klagomål/A 1100-2024 FSC-klagomål.docx", "A 1100-2024")</f>
        <v/>
      </c>
      <c r="W197">
        <f>HYPERLINK("https://klasma.github.io/Logging_2180/klagomålsmail/A 1100-2024 FSC-klagomål mail.docx", "A 1100-2024")</f>
        <v/>
      </c>
      <c r="X197">
        <f>HYPERLINK("https://klasma.github.io/Logging_2180/tillsyn/A 1100-2024 tillsynsbegäran.docx", "A 1100-2024")</f>
        <v/>
      </c>
      <c r="Y197">
        <f>HYPERLINK("https://klasma.github.io/Logging_2180/tillsynsmail/A 1100-2024 tillsynsbegäran mail.docx", "A 1100-2024")</f>
        <v/>
      </c>
    </row>
    <row r="198" ht="15" customHeight="1">
      <c r="A198" t="inlineStr">
        <is>
          <t>A 22978-2023</t>
        </is>
      </c>
      <c r="B198" s="1" t="n">
        <v>45072</v>
      </c>
      <c r="C198" s="1" t="n">
        <v>46086</v>
      </c>
      <c r="D198" t="inlineStr">
        <is>
          <t>GÄVLEBORGS LÄN</t>
        </is>
      </c>
      <c r="E198" t="inlineStr">
        <is>
          <t>LJUSDAL</t>
        </is>
      </c>
      <c r="G198" t="n">
        <v>1.8</v>
      </c>
      <c r="H198" t="n">
        <v>2</v>
      </c>
      <c r="I198" t="n">
        <v>0</v>
      </c>
      <c r="J198" t="n">
        <v>2</v>
      </c>
      <c r="K198" t="n">
        <v>1</v>
      </c>
      <c r="L198" t="n">
        <v>0</v>
      </c>
      <c r="M198" t="n">
        <v>0</v>
      </c>
      <c r="N198" t="n">
        <v>0</v>
      </c>
      <c r="O198" t="n">
        <v>3</v>
      </c>
      <c r="P198" t="n">
        <v>1</v>
      </c>
      <c r="Q198" t="n">
        <v>4</v>
      </c>
      <c r="R198" s="2" t="inlineStr">
        <is>
          <t>Knärot
Rosenticka
Ullticka
Revlummer</t>
        </is>
      </c>
      <c r="S198">
        <f>HYPERLINK("https://klasma.github.io/Logging_2161/artfynd/A 22978-2023 artfynd.xlsx", "A 22978-2023")</f>
        <v/>
      </c>
      <c r="T198">
        <f>HYPERLINK("https://klasma.github.io/Logging_2161/kartor/A 22978-2023 karta.png", "A 22978-2023")</f>
        <v/>
      </c>
      <c r="U198">
        <f>HYPERLINK("https://klasma.github.io/Logging_2161/knärot/A 22978-2023 karta knärot.png", "A 22978-2023")</f>
        <v/>
      </c>
      <c r="V198">
        <f>HYPERLINK("https://klasma.github.io/Logging_2161/klagomål/A 22978-2023 FSC-klagomål.docx", "A 22978-2023")</f>
        <v/>
      </c>
      <c r="W198">
        <f>HYPERLINK("https://klasma.github.io/Logging_2161/klagomålsmail/A 22978-2023 FSC-klagomål mail.docx", "A 22978-2023")</f>
        <v/>
      </c>
      <c r="X198">
        <f>HYPERLINK("https://klasma.github.io/Logging_2161/tillsyn/A 22978-2023 tillsynsbegäran.docx", "A 22978-2023")</f>
        <v/>
      </c>
      <c r="Y198">
        <f>HYPERLINK("https://klasma.github.io/Logging_2161/tillsynsmail/A 22978-2023 tillsynsbegäran mail.docx", "A 22978-2023")</f>
        <v/>
      </c>
    </row>
    <row r="199" ht="15" customHeight="1">
      <c r="A199" t="inlineStr">
        <is>
          <t>A 18115-2024</t>
        </is>
      </c>
      <c r="B199" s="1" t="n">
        <v>45420.50950231482</v>
      </c>
      <c r="C199" s="1" t="n">
        <v>46086</v>
      </c>
      <c r="D199" t="inlineStr">
        <is>
          <t>GÄVLEBORGS LÄN</t>
        </is>
      </c>
      <c r="E199" t="inlineStr">
        <is>
          <t>LJUSDAL</t>
        </is>
      </c>
      <c r="F199" t="inlineStr">
        <is>
          <t>Sveaskog</t>
        </is>
      </c>
      <c r="G199" t="n">
        <v>20.3</v>
      </c>
      <c r="H199" t="n">
        <v>1</v>
      </c>
      <c r="I199" t="n">
        <v>1</v>
      </c>
      <c r="J199" t="n">
        <v>3</v>
      </c>
      <c r="K199" t="n">
        <v>0</v>
      </c>
      <c r="L199" t="n">
        <v>0</v>
      </c>
      <c r="M199" t="n">
        <v>0</v>
      </c>
      <c r="N199" t="n">
        <v>0</v>
      </c>
      <c r="O199" t="n">
        <v>3</v>
      </c>
      <c r="P199" t="n">
        <v>0</v>
      </c>
      <c r="Q199" t="n">
        <v>4</v>
      </c>
      <c r="R199" s="2" t="inlineStr">
        <is>
          <t>Kolflarnlav
Lunglav
Orange taggsvamp
Plattlummer</t>
        </is>
      </c>
      <c r="S199">
        <f>HYPERLINK("https://klasma.github.io/Logging_2161/artfynd/A 18115-2024 artfynd.xlsx", "A 18115-2024")</f>
        <v/>
      </c>
      <c r="T199">
        <f>HYPERLINK("https://klasma.github.io/Logging_2161/kartor/A 18115-2024 karta.png", "A 18115-2024")</f>
        <v/>
      </c>
      <c r="V199">
        <f>HYPERLINK("https://klasma.github.io/Logging_2161/klagomål/A 18115-2024 FSC-klagomål.docx", "A 18115-2024")</f>
        <v/>
      </c>
      <c r="W199">
        <f>HYPERLINK("https://klasma.github.io/Logging_2161/klagomålsmail/A 18115-2024 FSC-klagomål mail.docx", "A 18115-2024")</f>
        <v/>
      </c>
      <c r="X199">
        <f>HYPERLINK("https://klasma.github.io/Logging_2161/tillsyn/A 18115-2024 tillsynsbegäran.docx", "A 18115-2024")</f>
        <v/>
      </c>
      <c r="Y199">
        <f>HYPERLINK("https://klasma.github.io/Logging_2161/tillsynsmail/A 18115-2024 tillsynsbegäran mail.docx", "A 18115-2024")</f>
        <v/>
      </c>
    </row>
    <row r="200" ht="15" customHeight="1">
      <c r="A200" t="inlineStr">
        <is>
          <t>A 60287-2022</t>
        </is>
      </c>
      <c r="B200" s="1" t="n">
        <v>44910.52899305556</v>
      </c>
      <c r="C200" s="1" t="n">
        <v>46086</v>
      </c>
      <c r="D200" t="inlineStr">
        <is>
          <t>GÄVLEBORGS LÄN</t>
        </is>
      </c>
      <c r="E200" t="inlineStr">
        <is>
          <t>OVANÅKER</t>
        </is>
      </c>
      <c r="F200" t="inlineStr">
        <is>
          <t>Sveaskog</t>
        </is>
      </c>
      <c r="G200" t="n">
        <v>1.2</v>
      </c>
      <c r="H200" t="n">
        <v>3</v>
      </c>
      <c r="I200" t="n">
        <v>0</v>
      </c>
      <c r="J200" t="n">
        <v>2</v>
      </c>
      <c r="K200" t="n">
        <v>0</v>
      </c>
      <c r="L200" t="n">
        <v>0</v>
      </c>
      <c r="M200" t="n">
        <v>0</v>
      </c>
      <c r="N200" t="n">
        <v>0</v>
      </c>
      <c r="O200" t="n">
        <v>2</v>
      </c>
      <c r="P200" t="n">
        <v>0</v>
      </c>
      <c r="Q200" t="n">
        <v>4</v>
      </c>
      <c r="R200" s="2" t="inlineStr">
        <is>
          <t>Skogshare
Talltita
Törnskata
Kopparödla</t>
        </is>
      </c>
      <c r="S200">
        <f>HYPERLINK("https://klasma.github.io/Logging_2121/artfynd/A 60287-2022 artfynd.xlsx", "A 60287-2022")</f>
        <v/>
      </c>
      <c r="T200">
        <f>HYPERLINK("https://klasma.github.io/Logging_2121/kartor/A 60287-2022 karta.png", "A 60287-2022")</f>
        <v/>
      </c>
      <c r="V200">
        <f>HYPERLINK("https://klasma.github.io/Logging_2121/klagomål/A 60287-2022 FSC-klagomål.docx", "A 60287-2022")</f>
        <v/>
      </c>
      <c r="W200">
        <f>HYPERLINK("https://klasma.github.io/Logging_2121/klagomålsmail/A 60287-2022 FSC-klagomål mail.docx", "A 60287-2022")</f>
        <v/>
      </c>
      <c r="X200">
        <f>HYPERLINK("https://klasma.github.io/Logging_2121/tillsyn/A 60287-2022 tillsynsbegäran.docx", "A 60287-2022")</f>
        <v/>
      </c>
      <c r="Y200">
        <f>HYPERLINK("https://klasma.github.io/Logging_2121/tillsynsmail/A 60287-2022 tillsynsbegäran mail.docx", "A 60287-2022")</f>
        <v/>
      </c>
      <c r="Z200">
        <f>HYPERLINK("https://klasma.github.io/Logging_2121/fåglar/A 60287-2022 prioriterade fågelarter.docx", "A 60287-2022")</f>
        <v/>
      </c>
    </row>
    <row r="201" ht="15" customHeight="1">
      <c r="A201" t="inlineStr">
        <is>
          <t>A 26675-2023</t>
        </is>
      </c>
      <c r="B201" s="1" t="n">
        <v>45093</v>
      </c>
      <c r="C201" s="1" t="n">
        <v>46086</v>
      </c>
      <c r="D201" t="inlineStr">
        <is>
          <t>GÄVLEBORGS LÄN</t>
        </is>
      </c>
      <c r="E201" t="inlineStr">
        <is>
          <t>LJUSDAL</t>
        </is>
      </c>
      <c r="F201" t="inlineStr">
        <is>
          <t>Sveaskog</t>
        </is>
      </c>
      <c r="G201" t="n">
        <v>8.300000000000001</v>
      </c>
      <c r="H201" t="n">
        <v>1</v>
      </c>
      <c r="I201" t="n">
        <v>0</v>
      </c>
      <c r="J201" t="n">
        <v>4</v>
      </c>
      <c r="K201" t="n">
        <v>0</v>
      </c>
      <c r="L201" t="n">
        <v>0</v>
      </c>
      <c r="M201" t="n">
        <v>0</v>
      </c>
      <c r="N201" t="n">
        <v>0</v>
      </c>
      <c r="O201" t="n">
        <v>4</v>
      </c>
      <c r="P201" t="n">
        <v>0</v>
      </c>
      <c r="Q201" t="n">
        <v>4</v>
      </c>
      <c r="R201" s="2" t="inlineStr">
        <is>
          <t>Garnlav
Kolflarnlav
Mörk kolflarnlav
Talltita</t>
        </is>
      </c>
      <c r="S201">
        <f>HYPERLINK("https://klasma.github.io/Logging_2161/artfynd/A 26675-2023 artfynd.xlsx", "A 26675-2023")</f>
        <v/>
      </c>
      <c r="T201">
        <f>HYPERLINK("https://klasma.github.io/Logging_2161/kartor/A 26675-2023 karta.png", "A 26675-2023")</f>
        <v/>
      </c>
      <c r="V201">
        <f>HYPERLINK("https://klasma.github.io/Logging_2161/klagomål/A 26675-2023 FSC-klagomål.docx", "A 26675-2023")</f>
        <v/>
      </c>
      <c r="W201">
        <f>HYPERLINK("https://klasma.github.io/Logging_2161/klagomålsmail/A 26675-2023 FSC-klagomål mail.docx", "A 26675-2023")</f>
        <v/>
      </c>
      <c r="X201">
        <f>HYPERLINK("https://klasma.github.io/Logging_2161/tillsyn/A 26675-2023 tillsynsbegäran.docx", "A 26675-2023")</f>
        <v/>
      </c>
      <c r="Y201">
        <f>HYPERLINK("https://klasma.github.io/Logging_2161/tillsynsmail/A 26675-2023 tillsynsbegäran mail.docx", "A 26675-2023")</f>
        <v/>
      </c>
      <c r="Z201">
        <f>HYPERLINK("https://klasma.github.io/Logging_2161/fåglar/A 26675-2023 prioriterade fågelarter.docx", "A 26675-2023")</f>
        <v/>
      </c>
    </row>
    <row r="202" ht="15" customHeight="1">
      <c r="A202" t="inlineStr">
        <is>
          <t>A 15650-2024</t>
        </is>
      </c>
      <c r="B202" s="1" t="n">
        <v>45404</v>
      </c>
      <c r="C202" s="1" t="n">
        <v>46086</v>
      </c>
      <c r="D202" t="inlineStr">
        <is>
          <t>GÄVLEBORGS LÄN</t>
        </is>
      </c>
      <c r="E202" t="inlineStr">
        <is>
          <t>SANDVIKEN</t>
        </is>
      </c>
      <c r="F202" t="inlineStr">
        <is>
          <t>Bergvik skog öst AB</t>
        </is>
      </c>
      <c r="G202" t="n">
        <v>9.300000000000001</v>
      </c>
      <c r="H202" t="n">
        <v>1</v>
      </c>
      <c r="I202" t="n">
        <v>3</v>
      </c>
      <c r="J202" t="n">
        <v>0</v>
      </c>
      <c r="K202" t="n">
        <v>1</v>
      </c>
      <c r="L202" t="n">
        <v>0</v>
      </c>
      <c r="M202" t="n">
        <v>0</v>
      </c>
      <c r="N202" t="n">
        <v>0</v>
      </c>
      <c r="O202" t="n">
        <v>1</v>
      </c>
      <c r="P202" t="n">
        <v>1</v>
      </c>
      <c r="Q202" t="n">
        <v>4</v>
      </c>
      <c r="R202" s="2" t="inlineStr">
        <is>
          <t>Knärot
Dropptaggsvamp
Fjällig taggsvamp s.str.
Grönpyrola</t>
        </is>
      </c>
      <c r="S202">
        <f>HYPERLINK("https://klasma.github.io/Logging_2181/artfynd/A 15650-2024 artfynd.xlsx", "A 15650-2024")</f>
        <v/>
      </c>
      <c r="T202">
        <f>HYPERLINK("https://klasma.github.io/Logging_2181/kartor/A 15650-2024 karta.png", "A 15650-2024")</f>
        <v/>
      </c>
      <c r="U202">
        <f>HYPERLINK("https://klasma.github.io/Logging_2181/knärot/A 15650-2024 karta knärot.png", "A 15650-2024")</f>
        <v/>
      </c>
      <c r="V202">
        <f>HYPERLINK("https://klasma.github.io/Logging_2181/klagomål/A 15650-2024 FSC-klagomål.docx", "A 15650-2024")</f>
        <v/>
      </c>
      <c r="W202">
        <f>HYPERLINK("https://klasma.github.io/Logging_2181/klagomålsmail/A 15650-2024 FSC-klagomål mail.docx", "A 15650-2024")</f>
        <v/>
      </c>
      <c r="X202">
        <f>HYPERLINK("https://klasma.github.io/Logging_2181/tillsyn/A 15650-2024 tillsynsbegäran.docx", "A 15650-2024")</f>
        <v/>
      </c>
      <c r="Y202">
        <f>HYPERLINK("https://klasma.github.io/Logging_2181/tillsynsmail/A 15650-2024 tillsynsbegäran mail.docx", "A 15650-2024")</f>
        <v/>
      </c>
    </row>
    <row r="203" ht="15" customHeight="1">
      <c r="A203" t="inlineStr">
        <is>
          <t>A 55773-2024</t>
        </is>
      </c>
      <c r="B203" s="1" t="n">
        <v>45623.39265046296</v>
      </c>
      <c r="C203" s="1" t="n">
        <v>46086</v>
      </c>
      <c r="D203" t="inlineStr">
        <is>
          <t>GÄVLEBORGS LÄN</t>
        </is>
      </c>
      <c r="E203" t="inlineStr">
        <is>
          <t>GÄVLE</t>
        </is>
      </c>
      <c r="F203" t="inlineStr">
        <is>
          <t>Bergvik skog öst AB</t>
        </is>
      </c>
      <c r="G203" t="n">
        <v>19.2</v>
      </c>
      <c r="H203" t="n">
        <v>0</v>
      </c>
      <c r="I203" t="n">
        <v>3</v>
      </c>
      <c r="J203" t="n">
        <v>1</v>
      </c>
      <c r="K203" t="n">
        <v>0</v>
      </c>
      <c r="L203" t="n">
        <v>0</v>
      </c>
      <c r="M203" t="n">
        <v>0</v>
      </c>
      <c r="N203" t="n">
        <v>0</v>
      </c>
      <c r="O203" t="n">
        <v>1</v>
      </c>
      <c r="P203" t="n">
        <v>0</v>
      </c>
      <c r="Q203" t="n">
        <v>4</v>
      </c>
      <c r="R203" s="2" t="inlineStr">
        <is>
          <t>Rutskinn
Sårläka
Underviol
Vårärt</t>
        </is>
      </c>
      <c r="S203">
        <f>HYPERLINK("https://klasma.github.io/Logging_2180/artfynd/A 55773-2024 artfynd.xlsx", "A 55773-2024")</f>
        <v/>
      </c>
      <c r="T203">
        <f>HYPERLINK("https://klasma.github.io/Logging_2180/kartor/A 55773-2024 karta.png", "A 55773-2024")</f>
        <v/>
      </c>
      <c r="V203">
        <f>HYPERLINK("https://klasma.github.io/Logging_2180/klagomål/A 55773-2024 FSC-klagomål.docx", "A 55773-2024")</f>
        <v/>
      </c>
      <c r="W203">
        <f>HYPERLINK("https://klasma.github.io/Logging_2180/klagomålsmail/A 55773-2024 FSC-klagomål mail.docx", "A 55773-2024")</f>
        <v/>
      </c>
      <c r="X203">
        <f>HYPERLINK("https://klasma.github.io/Logging_2180/tillsyn/A 55773-2024 tillsynsbegäran.docx", "A 55773-2024")</f>
        <v/>
      </c>
      <c r="Y203">
        <f>HYPERLINK("https://klasma.github.io/Logging_2180/tillsynsmail/A 55773-2024 tillsynsbegäran mail.docx", "A 55773-2024")</f>
        <v/>
      </c>
    </row>
    <row r="204" ht="15" customHeight="1">
      <c r="A204" t="inlineStr">
        <is>
          <t>A 26446-2025</t>
        </is>
      </c>
      <c r="B204" s="1" t="n">
        <v>45807.4155787037</v>
      </c>
      <c r="C204" s="1" t="n">
        <v>46086</v>
      </c>
      <c r="D204" t="inlineStr">
        <is>
          <t>GÄVLEBORGS LÄN</t>
        </is>
      </c>
      <c r="E204" t="inlineStr">
        <is>
          <t>LJUSDAL</t>
        </is>
      </c>
      <c r="G204" t="n">
        <v>10.4</v>
      </c>
      <c r="H204" t="n">
        <v>2</v>
      </c>
      <c r="I204" t="n">
        <v>1</v>
      </c>
      <c r="J204" t="n">
        <v>2</v>
      </c>
      <c r="K204" t="n">
        <v>0</v>
      </c>
      <c r="L204" t="n">
        <v>0</v>
      </c>
      <c r="M204" t="n">
        <v>0</v>
      </c>
      <c r="N204" t="n">
        <v>0</v>
      </c>
      <c r="O204" t="n">
        <v>2</v>
      </c>
      <c r="P204" t="n">
        <v>0</v>
      </c>
      <c r="Q204" t="n">
        <v>4</v>
      </c>
      <c r="R204" s="2" t="inlineStr">
        <is>
          <t>Garnlav
Talltita
Skinnlav
Revlummer</t>
        </is>
      </c>
      <c r="S204">
        <f>HYPERLINK("https://klasma.github.io/Logging_2161/artfynd/A 26446-2025 artfynd.xlsx", "A 26446-2025")</f>
        <v/>
      </c>
      <c r="T204">
        <f>HYPERLINK("https://klasma.github.io/Logging_2161/kartor/A 26446-2025 karta.png", "A 26446-2025")</f>
        <v/>
      </c>
      <c r="V204">
        <f>HYPERLINK("https://klasma.github.io/Logging_2161/klagomål/A 26446-2025 FSC-klagomål.docx", "A 26446-2025")</f>
        <v/>
      </c>
      <c r="W204">
        <f>HYPERLINK("https://klasma.github.io/Logging_2161/klagomålsmail/A 26446-2025 FSC-klagomål mail.docx", "A 26446-2025")</f>
        <v/>
      </c>
      <c r="X204">
        <f>HYPERLINK("https://klasma.github.io/Logging_2161/tillsyn/A 26446-2025 tillsynsbegäran.docx", "A 26446-2025")</f>
        <v/>
      </c>
      <c r="Y204">
        <f>HYPERLINK("https://klasma.github.io/Logging_2161/tillsynsmail/A 26446-2025 tillsynsbegäran mail.docx", "A 26446-2025")</f>
        <v/>
      </c>
      <c r="Z204">
        <f>HYPERLINK("https://klasma.github.io/Logging_2161/fåglar/A 26446-2025 prioriterade fågelarter.docx", "A 26446-2025")</f>
        <v/>
      </c>
    </row>
    <row r="205" ht="15" customHeight="1">
      <c r="A205" t="inlineStr">
        <is>
          <t>A 21238-2021</t>
        </is>
      </c>
      <c r="B205" s="1" t="n">
        <v>44320.54625</v>
      </c>
      <c r="C205" s="1" t="n">
        <v>46086</v>
      </c>
      <c r="D205" t="inlineStr">
        <is>
          <t>GÄVLEBORGS LÄN</t>
        </is>
      </c>
      <c r="E205" t="inlineStr">
        <is>
          <t>OVANÅKER</t>
        </is>
      </c>
      <c r="F205" t="inlineStr">
        <is>
          <t>Sveaskog</t>
        </is>
      </c>
      <c r="G205" t="n">
        <v>1.7</v>
      </c>
      <c r="H205" t="n">
        <v>0</v>
      </c>
      <c r="I205" t="n">
        <v>0</v>
      </c>
      <c r="J205" t="n">
        <v>3</v>
      </c>
      <c r="K205" t="n">
        <v>0</v>
      </c>
      <c r="L205" t="n">
        <v>0</v>
      </c>
      <c r="M205" t="n">
        <v>0</v>
      </c>
      <c r="N205" t="n">
        <v>0</v>
      </c>
      <c r="O205" t="n">
        <v>3</v>
      </c>
      <c r="P205" t="n">
        <v>0</v>
      </c>
      <c r="Q205" t="n">
        <v>3</v>
      </c>
      <c r="R205" s="2" t="inlineStr">
        <is>
          <t>Dvärgbägarlav
Gammelgransskål
Kolflarnlav</t>
        </is>
      </c>
      <c r="S205">
        <f>HYPERLINK("https://klasma.github.io/Logging_2121/artfynd/A 21238-2021 artfynd.xlsx", "A 21238-2021")</f>
        <v/>
      </c>
      <c r="T205">
        <f>HYPERLINK("https://klasma.github.io/Logging_2121/kartor/A 21238-2021 karta.png", "A 21238-2021")</f>
        <v/>
      </c>
      <c r="V205">
        <f>HYPERLINK("https://klasma.github.io/Logging_2121/klagomål/A 21238-2021 FSC-klagomål.docx", "A 21238-2021")</f>
        <v/>
      </c>
      <c r="W205">
        <f>HYPERLINK("https://klasma.github.io/Logging_2121/klagomålsmail/A 21238-2021 FSC-klagomål mail.docx", "A 21238-2021")</f>
        <v/>
      </c>
      <c r="X205">
        <f>HYPERLINK("https://klasma.github.io/Logging_2121/tillsyn/A 21238-2021 tillsynsbegäran.docx", "A 21238-2021")</f>
        <v/>
      </c>
      <c r="Y205">
        <f>HYPERLINK("https://klasma.github.io/Logging_2121/tillsynsmail/A 21238-2021 tillsynsbegäran mail.docx", "A 21238-2021")</f>
        <v/>
      </c>
    </row>
    <row r="206" ht="15" customHeight="1">
      <c r="A206" t="inlineStr">
        <is>
          <t>A 8446-2022</t>
        </is>
      </c>
      <c r="B206" s="1" t="n">
        <v>44612.75920138889</v>
      </c>
      <c r="C206" s="1" t="n">
        <v>46086</v>
      </c>
      <c r="D206" t="inlineStr">
        <is>
          <t>GÄVLEBORGS LÄN</t>
        </is>
      </c>
      <c r="E206" t="inlineStr">
        <is>
          <t>HUDIKSVALL</t>
        </is>
      </c>
      <c r="G206" t="n">
        <v>5.4</v>
      </c>
      <c r="H206" t="n">
        <v>3</v>
      </c>
      <c r="I206" t="n">
        <v>0</v>
      </c>
      <c r="J206" t="n">
        <v>0</v>
      </c>
      <c r="K206" t="n">
        <v>0</v>
      </c>
      <c r="L206" t="n">
        <v>0</v>
      </c>
      <c r="M206" t="n">
        <v>0</v>
      </c>
      <c r="N206" t="n">
        <v>0</v>
      </c>
      <c r="O206" t="n">
        <v>0</v>
      </c>
      <c r="P206" t="n">
        <v>0</v>
      </c>
      <c r="Q206" t="n">
        <v>3</v>
      </c>
      <c r="R206" s="2" t="inlineStr">
        <is>
          <t>Fläcknycklar
Nattviol
Blåsippa</t>
        </is>
      </c>
      <c r="S206">
        <f>HYPERLINK("https://klasma.github.io/Logging_2184/artfynd/A 8446-2022 artfynd.xlsx", "A 8446-2022")</f>
        <v/>
      </c>
      <c r="T206">
        <f>HYPERLINK("https://klasma.github.io/Logging_2184/kartor/A 8446-2022 karta.png", "A 8446-2022")</f>
        <v/>
      </c>
      <c r="V206">
        <f>HYPERLINK("https://klasma.github.io/Logging_2184/klagomål/A 8446-2022 FSC-klagomål.docx", "A 8446-2022")</f>
        <v/>
      </c>
      <c r="W206">
        <f>HYPERLINK("https://klasma.github.io/Logging_2184/klagomålsmail/A 8446-2022 FSC-klagomål mail.docx", "A 8446-2022")</f>
        <v/>
      </c>
      <c r="X206">
        <f>HYPERLINK("https://klasma.github.io/Logging_2184/tillsyn/A 8446-2022 tillsynsbegäran.docx", "A 8446-2022")</f>
        <v/>
      </c>
      <c r="Y206">
        <f>HYPERLINK("https://klasma.github.io/Logging_2184/tillsynsmail/A 8446-2022 tillsynsbegäran mail.docx", "A 8446-2022")</f>
        <v/>
      </c>
    </row>
    <row r="207" ht="15" customHeight="1">
      <c r="A207" t="inlineStr">
        <is>
          <t>A 53410-2024</t>
        </is>
      </c>
      <c r="B207" s="1" t="n">
        <v>45614.50283564815</v>
      </c>
      <c r="C207" s="1" t="n">
        <v>46086</v>
      </c>
      <c r="D207" t="inlineStr">
        <is>
          <t>GÄVLEBORGS LÄN</t>
        </is>
      </c>
      <c r="E207" t="inlineStr">
        <is>
          <t>LJUSDAL</t>
        </is>
      </c>
      <c r="F207" t="inlineStr">
        <is>
          <t>Sveaskog</t>
        </is>
      </c>
      <c r="G207" t="n">
        <v>2.4</v>
      </c>
      <c r="H207" t="n">
        <v>1</v>
      </c>
      <c r="I207" t="n">
        <v>0</v>
      </c>
      <c r="J207" t="n">
        <v>3</v>
      </c>
      <c r="K207" t="n">
        <v>0</v>
      </c>
      <c r="L207" t="n">
        <v>0</v>
      </c>
      <c r="M207" t="n">
        <v>0</v>
      </c>
      <c r="N207" t="n">
        <v>0</v>
      </c>
      <c r="O207" t="n">
        <v>3</v>
      </c>
      <c r="P207" t="n">
        <v>0</v>
      </c>
      <c r="Q207" t="n">
        <v>3</v>
      </c>
      <c r="R207" s="2" t="inlineStr">
        <is>
          <t>Garnlav
Lunglav
Talltita</t>
        </is>
      </c>
      <c r="S207">
        <f>HYPERLINK("https://klasma.github.io/Logging_2161/artfynd/A 53410-2024 artfynd.xlsx", "A 53410-2024")</f>
        <v/>
      </c>
      <c r="T207">
        <f>HYPERLINK("https://klasma.github.io/Logging_2161/kartor/A 53410-2024 karta.png", "A 53410-2024")</f>
        <v/>
      </c>
      <c r="V207">
        <f>HYPERLINK("https://klasma.github.io/Logging_2161/klagomål/A 53410-2024 FSC-klagomål.docx", "A 53410-2024")</f>
        <v/>
      </c>
      <c r="W207">
        <f>HYPERLINK("https://klasma.github.io/Logging_2161/klagomålsmail/A 53410-2024 FSC-klagomål mail.docx", "A 53410-2024")</f>
        <v/>
      </c>
      <c r="X207">
        <f>HYPERLINK("https://klasma.github.io/Logging_2161/tillsyn/A 53410-2024 tillsynsbegäran.docx", "A 53410-2024")</f>
        <v/>
      </c>
      <c r="Y207">
        <f>HYPERLINK("https://klasma.github.io/Logging_2161/tillsynsmail/A 53410-2024 tillsynsbegäran mail.docx", "A 53410-2024")</f>
        <v/>
      </c>
      <c r="Z207">
        <f>HYPERLINK("https://klasma.github.io/Logging_2161/fåglar/A 53410-2024 prioriterade fågelarter.docx", "A 53410-2024")</f>
        <v/>
      </c>
    </row>
    <row r="208" ht="15" customHeight="1">
      <c r="A208" t="inlineStr">
        <is>
          <t>A 49922-2021</t>
        </is>
      </c>
      <c r="B208" s="1" t="n">
        <v>44455</v>
      </c>
      <c r="C208" s="1" t="n">
        <v>46086</v>
      </c>
      <c r="D208" t="inlineStr">
        <is>
          <t>GÄVLEBORGS LÄN</t>
        </is>
      </c>
      <c r="E208" t="inlineStr">
        <is>
          <t>HUDIKSVALL</t>
        </is>
      </c>
      <c r="G208" t="n">
        <v>4.5</v>
      </c>
      <c r="H208" t="n">
        <v>0</v>
      </c>
      <c r="I208" t="n">
        <v>3</v>
      </c>
      <c r="J208" t="n">
        <v>0</v>
      </c>
      <c r="K208" t="n">
        <v>0</v>
      </c>
      <c r="L208" t="n">
        <v>0</v>
      </c>
      <c r="M208" t="n">
        <v>0</v>
      </c>
      <c r="N208" t="n">
        <v>0</v>
      </c>
      <c r="O208" t="n">
        <v>0</v>
      </c>
      <c r="P208" t="n">
        <v>0</v>
      </c>
      <c r="Q208" t="n">
        <v>3</v>
      </c>
      <c r="R208" s="2" t="inlineStr">
        <is>
          <t>Kattfotslav
Korallblylav
Skinnlav</t>
        </is>
      </c>
      <c r="S208">
        <f>HYPERLINK("https://klasma.github.io/Logging_2184/artfynd/A 49922-2021 artfynd.xlsx", "A 49922-2021")</f>
        <v/>
      </c>
      <c r="T208">
        <f>HYPERLINK("https://klasma.github.io/Logging_2184/kartor/A 49922-2021 karta.png", "A 49922-2021")</f>
        <v/>
      </c>
      <c r="V208">
        <f>HYPERLINK("https://klasma.github.io/Logging_2184/klagomål/A 49922-2021 FSC-klagomål.docx", "A 49922-2021")</f>
        <v/>
      </c>
      <c r="W208">
        <f>HYPERLINK("https://klasma.github.io/Logging_2184/klagomålsmail/A 49922-2021 FSC-klagomål mail.docx", "A 49922-2021")</f>
        <v/>
      </c>
      <c r="X208">
        <f>HYPERLINK("https://klasma.github.io/Logging_2184/tillsyn/A 49922-2021 tillsynsbegäran.docx", "A 49922-2021")</f>
        <v/>
      </c>
      <c r="Y208">
        <f>HYPERLINK("https://klasma.github.io/Logging_2184/tillsynsmail/A 49922-2021 tillsynsbegäran mail.docx", "A 49922-2021")</f>
        <v/>
      </c>
    </row>
    <row r="209" ht="15" customHeight="1">
      <c r="A209" t="inlineStr">
        <is>
          <t>A 12843-2024</t>
        </is>
      </c>
      <c r="B209" s="1" t="n">
        <v>45384.79018518519</v>
      </c>
      <c r="C209" s="1" t="n">
        <v>46086</v>
      </c>
      <c r="D209" t="inlineStr">
        <is>
          <t>GÄVLEBORGS LÄN</t>
        </is>
      </c>
      <c r="E209" t="inlineStr">
        <is>
          <t>HUDIKSVALL</t>
        </is>
      </c>
      <c r="F209" t="inlineStr">
        <is>
          <t>Holmen skog AB</t>
        </is>
      </c>
      <c r="G209" t="n">
        <v>23.4</v>
      </c>
      <c r="H209" t="n">
        <v>3</v>
      </c>
      <c r="I209" t="n">
        <v>1</v>
      </c>
      <c r="J209" t="n">
        <v>0</v>
      </c>
      <c r="K209" t="n">
        <v>0</v>
      </c>
      <c r="L209" t="n">
        <v>0</v>
      </c>
      <c r="M209" t="n">
        <v>0</v>
      </c>
      <c r="N209" t="n">
        <v>0</v>
      </c>
      <c r="O209" t="n">
        <v>0</v>
      </c>
      <c r="P209" t="n">
        <v>0</v>
      </c>
      <c r="Q209" t="n">
        <v>3</v>
      </c>
      <c r="R209" s="2" t="inlineStr">
        <is>
          <t>Spindelblomster
Fläcknycklar
Revlummer</t>
        </is>
      </c>
      <c r="S209">
        <f>HYPERLINK("https://klasma.github.io/Logging_2184/artfynd/A 12843-2024 artfynd.xlsx", "A 12843-2024")</f>
        <v/>
      </c>
      <c r="T209">
        <f>HYPERLINK("https://klasma.github.io/Logging_2184/kartor/A 12843-2024 karta.png", "A 12843-2024")</f>
        <v/>
      </c>
      <c r="V209">
        <f>HYPERLINK("https://klasma.github.io/Logging_2184/klagomål/A 12843-2024 FSC-klagomål.docx", "A 12843-2024")</f>
        <v/>
      </c>
      <c r="W209">
        <f>HYPERLINK("https://klasma.github.io/Logging_2184/klagomålsmail/A 12843-2024 FSC-klagomål mail.docx", "A 12843-2024")</f>
        <v/>
      </c>
      <c r="X209">
        <f>HYPERLINK("https://klasma.github.io/Logging_2184/tillsyn/A 12843-2024 tillsynsbegäran.docx", "A 12843-2024")</f>
        <v/>
      </c>
      <c r="Y209">
        <f>HYPERLINK("https://klasma.github.io/Logging_2184/tillsynsmail/A 12843-2024 tillsynsbegäran mail.docx", "A 12843-2024")</f>
        <v/>
      </c>
    </row>
    <row r="210" ht="15" customHeight="1">
      <c r="A210" t="inlineStr">
        <is>
          <t>A 27199-2025</t>
        </is>
      </c>
      <c r="B210" s="1" t="n">
        <v>45812.38626157407</v>
      </c>
      <c r="C210" s="1" t="n">
        <v>46086</v>
      </c>
      <c r="D210" t="inlineStr">
        <is>
          <t>GÄVLEBORGS LÄN</t>
        </is>
      </c>
      <c r="E210" t="inlineStr">
        <is>
          <t>OCKELBO</t>
        </is>
      </c>
      <c r="G210" t="n">
        <v>1.6</v>
      </c>
      <c r="H210" t="n">
        <v>2</v>
      </c>
      <c r="I210" t="n">
        <v>1</v>
      </c>
      <c r="J210" t="n">
        <v>0</v>
      </c>
      <c r="K210" t="n">
        <v>1</v>
      </c>
      <c r="L210" t="n">
        <v>0</v>
      </c>
      <c r="M210" t="n">
        <v>0</v>
      </c>
      <c r="N210" t="n">
        <v>0</v>
      </c>
      <c r="O210" t="n">
        <v>1</v>
      </c>
      <c r="P210" t="n">
        <v>1</v>
      </c>
      <c r="Q210" t="n">
        <v>3</v>
      </c>
      <c r="R210" s="2" t="inlineStr">
        <is>
          <t>Knärot
Dropptaggsvamp
Mattlummer</t>
        </is>
      </c>
      <c r="S210">
        <f>HYPERLINK("https://klasma.github.io/Logging_2101/artfynd/A 27199-2025 artfynd.xlsx", "A 27199-2025")</f>
        <v/>
      </c>
      <c r="T210">
        <f>HYPERLINK("https://klasma.github.io/Logging_2101/kartor/A 27199-2025 karta.png", "A 27199-2025")</f>
        <v/>
      </c>
      <c r="U210">
        <f>HYPERLINK("https://klasma.github.io/Logging_2101/knärot/A 27199-2025 karta knärot.png", "A 27199-2025")</f>
        <v/>
      </c>
      <c r="V210">
        <f>HYPERLINK("https://klasma.github.io/Logging_2101/klagomål/A 27199-2025 FSC-klagomål.docx", "A 27199-2025")</f>
        <v/>
      </c>
      <c r="W210">
        <f>HYPERLINK("https://klasma.github.io/Logging_2101/klagomålsmail/A 27199-2025 FSC-klagomål mail.docx", "A 27199-2025")</f>
        <v/>
      </c>
      <c r="X210">
        <f>HYPERLINK("https://klasma.github.io/Logging_2101/tillsyn/A 27199-2025 tillsynsbegäran.docx", "A 27199-2025")</f>
        <v/>
      </c>
      <c r="Y210">
        <f>HYPERLINK("https://klasma.github.io/Logging_2101/tillsynsmail/A 27199-2025 tillsynsbegäran mail.docx", "A 27199-2025")</f>
        <v/>
      </c>
    </row>
    <row r="211" ht="15" customHeight="1">
      <c r="A211" t="inlineStr">
        <is>
          <t>A 27859-2025</t>
        </is>
      </c>
      <c r="B211" s="1" t="n">
        <v>45817.41498842592</v>
      </c>
      <c r="C211" s="1" t="n">
        <v>46086</v>
      </c>
      <c r="D211" t="inlineStr">
        <is>
          <t>GÄVLEBORGS LÄN</t>
        </is>
      </c>
      <c r="E211" t="inlineStr">
        <is>
          <t>OVANÅKER</t>
        </is>
      </c>
      <c r="F211" t="inlineStr">
        <is>
          <t>Bergvik skog väst AB</t>
        </is>
      </c>
      <c r="G211" t="n">
        <v>26.5</v>
      </c>
      <c r="H211" t="n">
        <v>0</v>
      </c>
      <c r="I211" t="n">
        <v>0</v>
      </c>
      <c r="J211" t="n">
        <v>3</v>
      </c>
      <c r="K211" t="n">
        <v>0</v>
      </c>
      <c r="L211" t="n">
        <v>0</v>
      </c>
      <c r="M211" t="n">
        <v>0</v>
      </c>
      <c r="N211" t="n">
        <v>0</v>
      </c>
      <c r="O211" t="n">
        <v>3</v>
      </c>
      <c r="P211" t="n">
        <v>0</v>
      </c>
      <c r="Q211" t="n">
        <v>3</v>
      </c>
      <c r="R211" s="2" t="inlineStr">
        <is>
          <t>Kolflarnlav
Mörk kolflarnlav
Vedskivlav</t>
        </is>
      </c>
      <c r="S211">
        <f>HYPERLINK("https://klasma.github.io/Logging_2121/artfynd/A 27859-2025 artfynd.xlsx", "A 27859-2025")</f>
        <v/>
      </c>
      <c r="T211">
        <f>HYPERLINK("https://klasma.github.io/Logging_2121/kartor/A 27859-2025 karta.png", "A 27859-2025")</f>
        <v/>
      </c>
      <c r="V211">
        <f>HYPERLINK("https://klasma.github.io/Logging_2121/klagomål/A 27859-2025 FSC-klagomål.docx", "A 27859-2025")</f>
        <v/>
      </c>
      <c r="W211">
        <f>HYPERLINK("https://klasma.github.io/Logging_2121/klagomålsmail/A 27859-2025 FSC-klagomål mail.docx", "A 27859-2025")</f>
        <v/>
      </c>
      <c r="X211">
        <f>HYPERLINK("https://klasma.github.io/Logging_2121/tillsyn/A 27859-2025 tillsynsbegäran.docx", "A 27859-2025")</f>
        <v/>
      </c>
      <c r="Y211">
        <f>HYPERLINK("https://klasma.github.io/Logging_2121/tillsynsmail/A 27859-2025 tillsynsbegäran mail.docx", "A 27859-2025")</f>
        <v/>
      </c>
    </row>
    <row r="212" ht="15" customHeight="1">
      <c r="A212" t="inlineStr">
        <is>
          <t>A 56788-2023</t>
        </is>
      </c>
      <c r="B212" s="1" t="n">
        <v>45244</v>
      </c>
      <c r="C212" s="1" t="n">
        <v>46086</v>
      </c>
      <c r="D212" t="inlineStr">
        <is>
          <t>GÄVLEBORGS LÄN</t>
        </is>
      </c>
      <c r="E212" t="inlineStr">
        <is>
          <t>LJUSDAL</t>
        </is>
      </c>
      <c r="F212" t="inlineStr">
        <is>
          <t>Sveaskog</t>
        </is>
      </c>
      <c r="G212" t="n">
        <v>2.2</v>
      </c>
      <c r="H212" t="n">
        <v>2</v>
      </c>
      <c r="I212" t="n">
        <v>0</v>
      </c>
      <c r="J212" t="n">
        <v>2</v>
      </c>
      <c r="K212" t="n">
        <v>1</v>
      </c>
      <c r="L212" t="n">
        <v>0</v>
      </c>
      <c r="M212" t="n">
        <v>0</v>
      </c>
      <c r="N212" t="n">
        <v>0</v>
      </c>
      <c r="O212" t="n">
        <v>3</v>
      </c>
      <c r="P212" t="n">
        <v>1</v>
      </c>
      <c r="Q212" t="n">
        <v>3</v>
      </c>
      <c r="R212" s="2" t="inlineStr">
        <is>
          <t>Knärot
Garnlav
Järpe</t>
        </is>
      </c>
      <c r="S212">
        <f>HYPERLINK("https://klasma.github.io/Logging_2161/artfynd/A 56788-2023 artfynd.xlsx", "A 56788-2023")</f>
        <v/>
      </c>
      <c r="T212">
        <f>HYPERLINK("https://klasma.github.io/Logging_2161/kartor/A 56788-2023 karta.png", "A 56788-2023")</f>
        <v/>
      </c>
      <c r="U212">
        <f>HYPERLINK("https://klasma.github.io/Logging_2161/knärot/A 56788-2023 karta knärot.png", "A 56788-2023")</f>
        <v/>
      </c>
      <c r="V212">
        <f>HYPERLINK("https://klasma.github.io/Logging_2161/klagomål/A 56788-2023 FSC-klagomål.docx", "A 56788-2023")</f>
        <v/>
      </c>
      <c r="W212">
        <f>HYPERLINK("https://klasma.github.io/Logging_2161/klagomålsmail/A 56788-2023 FSC-klagomål mail.docx", "A 56788-2023")</f>
        <v/>
      </c>
      <c r="X212">
        <f>HYPERLINK("https://klasma.github.io/Logging_2161/tillsyn/A 56788-2023 tillsynsbegäran.docx", "A 56788-2023")</f>
        <v/>
      </c>
      <c r="Y212">
        <f>HYPERLINK("https://klasma.github.io/Logging_2161/tillsynsmail/A 56788-2023 tillsynsbegäran mail.docx", "A 56788-2023")</f>
        <v/>
      </c>
      <c r="Z212">
        <f>HYPERLINK("https://klasma.github.io/Logging_2161/fåglar/A 56788-2023 prioriterade fågelarter.docx", "A 56788-2023")</f>
        <v/>
      </c>
    </row>
    <row r="213" ht="15" customHeight="1">
      <c r="A213" t="inlineStr">
        <is>
          <t>A 28866-2025</t>
        </is>
      </c>
      <c r="B213" s="1" t="n">
        <v>45820</v>
      </c>
      <c r="C213" s="1" t="n">
        <v>46086</v>
      </c>
      <c r="D213" t="inlineStr">
        <is>
          <t>GÄVLEBORGS LÄN</t>
        </is>
      </c>
      <c r="E213" t="inlineStr">
        <is>
          <t>LJUSDAL</t>
        </is>
      </c>
      <c r="F213" t="inlineStr">
        <is>
          <t>Bergvik skog väst AB</t>
        </is>
      </c>
      <c r="G213" t="n">
        <v>4.6</v>
      </c>
      <c r="H213" t="n">
        <v>2</v>
      </c>
      <c r="I213" t="n">
        <v>0</v>
      </c>
      <c r="J213" t="n">
        <v>3</v>
      </c>
      <c r="K213" t="n">
        <v>0</v>
      </c>
      <c r="L213" t="n">
        <v>0</v>
      </c>
      <c r="M213" t="n">
        <v>0</v>
      </c>
      <c r="N213" t="n">
        <v>0</v>
      </c>
      <c r="O213" t="n">
        <v>3</v>
      </c>
      <c r="P213" t="n">
        <v>0</v>
      </c>
      <c r="Q213" t="n">
        <v>3</v>
      </c>
      <c r="R213" s="2" t="inlineStr">
        <is>
          <t>Garnlav
Järpe
Talltita</t>
        </is>
      </c>
      <c r="S213">
        <f>HYPERLINK("https://klasma.github.io/Logging_2161/artfynd/A 28866-2025 artfynd.xlsx", "A 28866-2025")</f>
        <v/>
      </c>
      <c r="T213">
        <f>HYPERLINK("https://klasma.github.io/Logging_2161/kartor/A 28866-2025 karta.png", "A 28866-2025")</f>
        <v/>
      </c>
      <c r="V213">
        <f>HYPERLINK("https://klasma.github.io/Logging_2161/klagomål/A 28866-2025 FSC-klagomål.docx", "A 28866-2025")</f>
        <v/>
      </c>
      <c r="W213">
        <f>HYPERLINK("https://klasma.github.io/Logging_2161/klagomålsmail/A 28866-2025 FSC-klagomål mail.docx", "A 28866-2025")</f>
        <v/>
      </c>
      <c r="X213">
        <f>HYPERLINK("https://klasma.github.io/Logging_2161/tillsyn/A 28866-2025 tillsynsbegäran.docx", "A 28866-2025")</f>
        <v/>
      </c>
      <c r="Y213">
        <f>HYPERLINK("https://klasma.github.io/Logging_2161/tillsynsmail/A 28866-2025 tillsynsbegäran mail.docx", "A 28866-2025")</f>
        <v/>
      </c>
      <c r="Z213">
        <f>HYPERLINK("https://klasma.github.io/Logging_2161/fåglar/A 28866-2025 prioriterade fågelarter.docx", "A 28866-2025")</f>
        <v/>
      </c>
    </row>
    <row r="214" ht="15" customHeight="1">
      <c r="A214" t="inlineStr">
        <is>
          <t>A 33783-2023</t>
        </is>
      </c>
      <c r="B214" s="1" t="n">
        <v>45133.528125</v>
      </c>
      <c r="C214" s="1" t="n">
        <v>46086</v>
      </c>
      <c r="D214" t="inlineStr">
        <is>
          <t>GÄVLEBORGS LÄN</t>
        </is>
      </c>
      <c r="E214" t="inlineStr">
        <is>
          <t>HUDIKSVALL</t>
        </is>
      </c>
      <c r="F214" t="inlineStr">
        <is>
          <t>Holmen skog AB</t>
        </is>
      </c>
      <c r="G214" t="n">
        <v>2.6</v>
      </c>
      <c r="H214" t="n">
        <v>0</v>
      </c>
      <c r="I214" t="n">
        <v>1</v>
      </c>
      <c r="J214" t="n">
        <v>2</v>
      </c>
      <c r="K214" t="n">
        <v>0</v>
      </c>
      <c r="L214" t="n">
        <v>0</v>
      </c>
      <c r="M214" t="n">
        <v>0</v>
      </c>
      <c r="N214" t="n">
        <v>0</v>
      </c>
      <c r="O214" t="n">
        <v>2</v>
      </c>
      <c r="P214" t="n">
        <v>0</v>
      </c>
      <c r="Q214" t="n">
        <v>3</v>
      </c>
      <c r="R214" s="2" t="inlineStr">
        <is>
          <t>Garnlav
Lunglav
Stuplav</t>
        </is>
      </c>
      <c r="S214">
        <f>HYPERLINK("https://klasma.github.io/Logging_2184/artfynd/A 33783-2023 artfynd.xlsx", "A 33783-2023")</f>
        <v/>
      </c>
      <c r="T214">
        <f>HYPERLINK("https://klasma.github.io/Logging_2184/kartor/A 33783-2023 karta.png", "A 33783-2023")</f>
        <v/>
      </c>
      <c r="V214">
        <f>HYPERLINK("https://klasma.github.io/Logging_2184/klagomål/A 33783-2023 FSC-klagomål.docx", "A 33783-2023")</f>
        <v/>
      </c>
      <c r="W214">
        <f>HYPERLINK("https://klasma.github.io/Logging_2184/klagomålsmail/A 33783-2023 FSC-klagomål mail.docx", "A 33783-2023")</f>
        <v/>
      </c>
      <c r="X214">
        <f>HYPERLINK("https://klasma.github.io/Logging_2184/tillsyn/A 33783-2023 tillsynsbegäran.docx", "A 33783-2023")</f>
        <v/>
      </c>
      <c r="Y214">
        <f>HYPERLINK("https://klasma.github.io/Logging_2184/tillsynsmail/A 33783-2023 tillsynsbegäran mail.docx", "A 33783-2023")</f>
        <v/>
      </c>
    </row>
    <row r="215" ht="15" customHeight="1">
      <c r="A215" t="inlineStr">
        <is>
          <t>A 29239-2025</t>
        </is>
      </c>
      <c r="B215" s="1" t="n">
        <v>45824.35663194444</v>
      </c>
      <c r="C215" s="1" t="n">
        <v>46086</v>
      </c>
      <c r="D215" t="inlineStr">
        <is>
          <t>GÄVLEBORGS LÄN</t>
        </is>
      </c>
      <c r="E215" t="inlineStr">
        <is>
          <t>LJUSDAL</t>
        </is>
      </c>
      <c r="F215" t="inlineStr">
        <is>
          <t>Bergvik skog väst AB</t>
        </is>
      </c>
      <c r="G215" t="n">
        <v>12.1</v>
      </c>
      <c r="H215" t="n">
        <v>0</v>
      </c>
      <c r="I215" t="n">
        <v>1</v>
      </c>
      <c r="J215" t="n">
        <v>2</v>
      </c>
      <c r="K215" t="n">
        <v>0</v>
      </c>
      <c r="L215" t="n">
        <v>0</v>
      </c>
      <c r="M215" t="n">
        <v>0</v>
      </c>
      <c r="N215" t="n">
        <v>0</v>
      </c>
      <c r="O215" t="n">
        <v>2</v>
      </c>
      <c r="P215" t="n">
        <v>0</v>
      </c>
      <c r="Q215" t="n">
        <v>3</v>
      </c>
      <c r="R215" s="2" t="inlineStr">
        <is>
          <t>Garnlav
Ullticka
Vedticka</t>
        </is>
      </c>
      <c r="S215">
        <f>HYPERLINK("https://klasma.github.io/Logging_2161/artfynd/A 29239-2025 artfynd.xlsx", "A 29239-2025")</f>
        <v/>
      </c>
      <c r="T215">
        <f>HYPERLINK("https://klasma.github.io/Logging_2161/kartor/A 29239-2025 karta.png", "A 29239-2025")</f>
        <v/>
      </c>
      <c r="V215">
        <f>HYPERLINK("https://klasma.github.io/Logging_2161/klagomål/A 29239-2025 FSC-klagomål.docx", "A 29239-2025")</f>
        <v/>
      </c>
      <c r="W215">
        <f>HYPERLINK("https://klasma.github.io/Logging_2161/klagomålsmail/A 29239-2025 FSC-klagomål mail.docx", "A 29239-2025")</f>
        <v/>
      </c>
      <c r="X215">
        <f>HYPERLINK("https://klasma.github.io/Logging_2161/tillsyn/A 29239-2025 tillsynsbegäran.docx", "A 29239-2025")</f>
        <v/>
      </c>
      <c r="Y215">
        <f>HYPERLINK("https://klasma.github.io/Logging_2161/tillsynsmail/A 29239-2025 tillsynsbegäran mail.docx", "A 29239-2025")</f>
        <v/>
      </c>
    </row>
    <row r="216" ht="15" customHeight="1">
      <c r="A216" t="inlineStr">
        <is>
          <t>A 29626-2025</t>
        </is>
      </c>
      <c r="B216" s="1" t="n">
        <v>45825</v>
      </c>
      <c r="C216" s="1" t="n">
        <v>46086</v>
      </c>
      <c r="D216" t="inlineStr">
        <is>
          <t>GÄVLEBORGS LÄN</t>
        </is>
      </c>
      <c r="E216" t="inlineStr">
        <is>
          <t>GÄVLE</t>
        </is>
      </c>
      <c r="F216" t="inlineStr">
        <is>
          <t>Bergvik skog väst AB</t>
        </is>
      </c>
      <c r="G216" t="n">
        <v>22.2</v>
      </c>
      <c r="H216" t="n">
        <v>2</v>
      </c>
      <c r="I216" t="n">
        <v>0</v>
      </c>
      <c r="J216" t="n">
        <v>2</v>
      </c>
      <c r="K216" t="n">
        <v>0</v>
      </c>
      <c r="L216" t="n">
        <v>0</v>
      </c>
      <c r="M216" t="n">
        <v>0</v>
      </c>
      <c r="N216" t="n">
        <v>0</v>
      </c>
      <c r="O216" t="n">
        <v>2</v>
      </c>
      <c r="P216" t="n">
        <v>0</v>
      </c>
      <c r="Q216" t="n">
        <v>3</v>
      </c>
      <c r="R216" s="2" t="inlineStr">
        <is>
          <t>Brunklöver
Höstlåsbräken
Mattlummer</t>
        </is>
      </c>
      <c r="S216">
        <f>HYPERLINK("https://klasma.github.io/Logging_2180/artfynd/A 29626-2025 artfynd.xlsx", "A 29626-2025")</f>
        <v/>
      </c>
      <c r="T216">
        <f>HYPERLINK("https://klasma.github.io/Logging_2180/kartor/A 29626-2025 karta.png", "A 29626-2025")</f>
        <v/>
      </c>
      <c r="V216">
        <f>HYPERLINK("https://klasma.github.io/Logging_2180/klagomål/A 29626-2025 FSC-klagomål.docx", "A 29626-2025")</f>
        <v/>
      </c>
      <c r="W216">
        <f>HYPERLINK("https://klasma.github.io/Logging_2180/klagomålsmail/A 29626-2025 FSC-klagomål mail.docx", "A 29626-2025")</f>
        <v/>
      </c>
      <c r="X216">
        <f>HYPERLINK("https://klasma.github.io/Logging_2180/tillsyn/A 29626-2025 tillsynsbegäran.docx", "A 29626-2025")</f>
        <v/>
      </c>
      <c r="Y216">
        <f>HYPERLINK("https://klasma.github.io/Logging_2180/tillsynsmail/A 29626-2025 tillsynsbegäran mail.docx", "A 29626-2025")</f>
        <v/>
      </c>
    </row>
    <row r="217" ht="15" customHeight="1">
      <c r="A217" t="inlineStr">
        <is>
          <t>A 29661-2025</t>
        </is>
      </c>
      <c r="B217" s="1" t="n">
        <v>45825</v>
      </c>
      <c r="C217" s="1" t="n">
        <v>46086</v>
      </c>
      <c r="D217" t="inlineStr">
        <is>
          <t>GÄVLEBORGS LÄN</t>
        </is>
      </c>
      <c r="E217" t="inlineStr">
        <is>
          <t>GÄVLE</t>
        </is>
      </c>
      <c r="F217" t="inlineStr">
        <is>
          <t>Bergvik skog väst AB</t>
        </is>
      </c>
      <c r="G217" t="n">
        <v>10.1</v>
      </c>
      <c r="H217" t="n">
        <v>0</v>
      </c>
      <c r="I217" t="n">
        <v>0</v>
      </c>
      <c r="J217" t="n">
        <v>3</v>
      </c>
      <c r="K217" t="n">
        <v>0</v>
      </c>
      <c r="L217" t="n">
        <v>0</v>
      </c>
      <c r="M217" t="n">
        <v>0</v>
      </c>
      <c r="N217" t="n">
        <v>0</v>
      </c>
      <c r="O217" t="n">
        <v>3</v>
      </c>
      <c r="P217" t="n">
        <v>0</v>
      </c>
      <c r="Q217" t="n">
        <v>3</v>
      </c>
      <c r="R217" s="2" t="inlineStr">
        <is>
          <t>Kalkkärrsgrynsnäcka
Skogsklocka
Tandsnäcka</t>
        </is>
      </c>
      <c r="S217">
        <f>HYPERLINK("https://klasma.github.io/Logging_2180/artfynd/A 29661-2025 artfynd.xlsx", "A 29661-2025")</f>
        <v/>
      </c>
      <c r="T217">
        <f>HYPERLINK("https://klasma.github.io/Logging_2180/kartor/A 29661-2025 karta.png", "A 29661-2025")</f>
        <v/>
      </c>
      <c r="V217">
        <f>HYPERLINK("https://klasma.github.io/Logging_2180/klagomål/A 29661-2025 FSC-klagomål.docx", "A 29661-2025")</f>
        <v/>
      </c>
      <c r="W217">
        <f>HYPERLINK("https://klasma.github.io/Logging_2180/klagomålsmail/A 29661-2025 FSC-klagomål mail.docx", "A 29661-2025")</f>
        <v/>
      </c>
      <c r="X217">
        <f>HYPERLINK("https://klasma.github.io/Logging_2180/tillsyn/A 29661-2025 tillsynsbegäran.docx", "A 29661-2025")</f>
        <v/>
      </c>
      <c r="Y217">
        <f>HYPERLINK("https://klasma.github.io/Logging_2180/tillsynsmail/A 29661-2025 tillsynsbegäran mail.docx", "A 29661-2025")</f>
        <v/>
      </c>
    </row>
    <row r="218" ht="15" customHeight="1">
      <c r="A218" t="inlineStr">
        <is>
          <t>A 30295-2025</t>
        </is>
      </c>
      <c r="B218" s="1" t="n">
        <v>45827.47322916667</v>
      </c>
      <c r="C218" s="1" t="n">
        <v>46086</v>
      </c>
      <c r="D218" t="inlineStr">
        <is>
          <t>GÄVLEBORGS LÄN</t>
        </is>
      </c>
      <c r="E218" t="inlineStr">
        <is>
          <t>LJUSDAL</t>
        </is>
      </c>
      <c r="F218" t="inlineStr">
        <is>
          <t>Sveaskog</t>
        </is>
      </c>
      <c r="G218" t="n">
        <v>9.1</v>
      </c>
      <c r="H218" t="n">
        <v>0</v>
      </c>
      <c r="I218" t="n">
        <v>0</v>
      </c>
      <c r="J218" t="n">
        <v>3</v>
      </c>
      <c r="K218" t="n">
        <v>0</v>
      </c>
      <c r="L218" t="n">
        <v>0</v>
      </c>
      <c r="M218" t="n">
        <v>0</v>
      </c>
      <c r="N218" t="n">
        <v>0</v>
      </c>
      <c r="O218" t="n">
        <v>3</v>
      </c>
      <c r="P218" t="n">
        <v>0</v>
      </c>
      <c r="Q218" t="n">
        <v>3</v>
      </c>
      <c r="R218" s="2" t="inlineStr">
        <is>
          <t>Garnlav
Kolflarnlav
Lunglav</t>
        </is>
      </c>
      <c r="S218">
        <f>HYPERLINK("https://klasma.github.io/Logging_2161/artfynd/A 30295-2025 artfynd.xlsx", "A 30295-2025")</f>
        <v/>
      </c>
      <c r="T218">
        <f>HYPERLINK("https://klasma.github.io/Logging_2161/kartor/A 30295-2025 karta.png", "A 30295-2025")</f>
        <v/>
      </c>
      <c r="V218">
        <f>HYPERLINK("https://klasma.github.io/Logging_2161/klagomål/A 30295-2025 FSC-klagomål.docx", "A 30295-2025")</f>
        <v/>
      </c>
      <c r="W218">
        <f>HYPERLINK("https://klasma.github.io/Logging_2161/klagomålsmail/A 30295-2025 FSC-klagomål mail.docx", "A 30295-2025")</f>
        <v/>
      </c>
      <c r="X218">
        <f>HYPERLINK("https://klasma.github.io/Logging_2161/tillsyn/A 30295-2025 tillsynsbegäran.docx", "A 30295-2025")</f>
        <v/>
      </c>
      <c r="Y218">
        <f>HYPERLINK("https://klasma.github.io/Logging_2161/tillsynsmail/A 30295-2025 tillsynsbegäran mail.docx", "A 30295-2025")</f>
        <v/>
      </c>
    </row>
    <row r="219" ht="15" customHeight="1">
      <c r="A219" t="inlineStr">
        <is>
          <t>A 41028-2025</t>
        </is>
      </c>
      <c r="B219" s="1" t="n">
        <v>45898.37387731481</v>
      </c>
      <c r="C219" s="1" t="n">
        <v>46086</v>
      </c>
      <c r="D219" t="inlineStr">
        <is>
          <t>GÄVLEBORGS LÄN</t>
        </is>
      </c>
      <c r="E219" t="inlineStr">
        <is>
          <t>GÄVLE</t>
        </is>
      </c>
      <c r="F219" t="inlineStr">
        <is>
          <t>Bergvik skog väst AB</t>
        </is>
      </c>
      <c r="G219" t="n">
        <v>2</v>
      </c>
      <c r="H219" t="n">
        <v>0</v>
      </c>
      <c r="I219" t="n">
        <v>0</v>
      </c>
      <c r="J219" t="n">
        <v>3</v>
      </c>
      <c r="K219" t="n">
        <v>0</v>
      </c>
      <c r="L219" t="n">
        <v>0</v>
      </c>
      <c r="M219" t="n">
        <v>0</v>
      </c>
      <c r="N219" t="n">
        <v>0</v>
      </c>
      <c r="O219" t="n">
        <v>3</v>
      </c>
      <c r="P219" t="n">
        <v>0</v>
      </c>
      <c r="Q219" t="n">
        <v>3</v>
      </c>
      <c r="R219" s="2" t="inlineStr">
        <is>
          <t>Kolflarnlav
Vedflamlav
Vedskivlav</t>
        </is>
      </c>
      <c r="S219">
        <f>HYPERLINK("https://klasma.github.io/Logging_2180/artfynd/A 41028-2025 artfynd.xlsx", "A 41028-2025")</f>
        <v/>
      </c>
      <c r="T219">
        <f>HYPERLINK("https://klasma.github.io/Logging_2180/kartor/A 41028-2025 karta.png", "A 41028-2025")</f>
        <v/>
      </c>
      <c r="V219">
        <f>HYPERLINK("https://klasma.github.io/Logging_2180/klagomål/A 41028-2025 FSC-klagomål.docx", "A 41028-2025")</f>
        <v/>
      </c>
      <c r="W219">
        <f>HYPERLINK("https://klasma.github.io/Logging_2180/klagomålsmail/A 41028-2025 FSC-klagomål mail.docx", "A 41028-2025")</f>
        <v/>
      </c>
      <c r="X219">
        <f>HYPERLINK("https://klasma.github.io/Logging_2180/tillsyn/A 41028-2025 tillsynsbegäran.docx", "A 41028-2025")</f>
        <v/>
      </c>
      <c r="Y219">
        <f>HYPERLINK("https://klasma.github.io/Logging_2180/tillsynsmail/A 41028-2025 tillsynsbegäran mail.docx", "A 41028-2025")</f>
        <v/>
      </c>
    </row>
    <row r="220" ht="15" customHeight="1">
      <c r="A220" t="inlineStr">
        <is>
          <t>A 41922-2025</t>
        </is>
      </c>
      <c r="B220" s="1" t="n">
        <v>45903.42525462963</v>
      </c>
      <c r="C220" s="1" t="n">
        <v>46086</v>
      </c>
      <c r="D220" t="inlineStr">
        <is>
          <t>GÄVLEBORGS LÄN</t>
        </is>
      </c>
      <c r="E220" t="inlineStr">
        <is>
          <t>LJUSDAL</t>
        </is>
      </c>
      <c r="F220" t="inlineStr">
        <is>
          <t>Bergvik skog väst AB</t>
        </is>
      </c>
      <c r="G220" t="n">
        <v>3.7</v>
      </c>
      <c r="H220" t="n">
        <v>0</v>
      </c>
      <c r="I220" t="n">
        <v>0</v>
      </c>
      <c r="J220" t="n">
        <v>3</v>
      </c>
      <c r="K220" t="n">
        <v>0</v>
      </c>
      <c r="L220" t="n">
        <v>0</v>
      </c>
      <c r="M220" t="n">
        <v>0</v>
      </c>
      <c r="N220" t="n">
        <v>0</v>
      </c>
      <c r="O220" t="n">
        <v>3</v>
      </c>
      <c r="P220" t="n">
        <v>0</v>
      </c>
      <c r="Q220" t="n">
        <v>3</v>
      </c>
      <c r="R220" s="2" t="inlineStr">
        <is>
          <t>Blanksvart spiklav
Garnlav
Kolflarnlav</t>
        </is>
      </c>
      <c r="S220">
        <f>HYPERLINK("https://klasma.github.io/Logging_2161/artfynd/A 41922-2025 artfynd.xlsx", "A 41922-2025")</f>
        <v/>
      </c>
      <c r="T220">
        <f>HYPERLINK("https://klasma.github.io/Logging_2161/kartor/A 41922-2025 karta.png", "A 41922-2025")</f>
        <v/>
      </c>
      <c r="V220">
        <f>HYPERLINK("https://klasma.github.io/Logging_2161/klagomål/A 41922-2025 FSC-klagomål.docx", "A 41922-2025")</f>
        <v/>
      </c>
      <c r="W220">
        <f>HYPERLINK("https://klasma.github.io/Logging_2161/klagomålsmail/A 41922-2025 FSC-klagomål mail.docx", "A 41922-2025")</f>
        <v/>
      </c>
      <c r="X220">
        <f>HYPERLINK("https://klasma.github.io/Logging_2161/tillsyn/A 41922-2025 tillsynsbegäran.docx", "A 41922-2025")</f>
        <v/>
      </c>
      <c r="Y220">
        <f>HYPERLINK("https://klasma.github.io/Logging_2161/tillsynsmail/A 41922-2025 tillsynsbegäran mail.docx", "A 41922-2025")</f>
        <v/>
      </c>
    </row>
    <row r="221" ht="15" customHeight="1">
      <c r="A221" t="inlineStr">
        <is>
          <t>A 36196-2023</t>
        </is>
      </c>
      <c r="B221" s="1" t="n">
        <v>45149</v>
      </c>
      <c r="C221" s="1" t="n">
        <v>46086</v>
      </c>
      <c r="D221" t="inlineStr">
        <is>
          <t>GÄVLEBORGS LÄN</t>
        </is>
      </c>
      <c r="E221" t="inlineStr">
        <is>
          <t>HUDIKSVALL</t>
        </is>
      </c>
      <c r="F221" t="inlineStr">
        <is>
          <t>Holmen skog AB</t>
        </is>
      </c>
      <c r="G221" t="n">
        <v>11.8</v>
      </c>
      <c r="H221" t="n">
        <v>1</v>
      </c>
      <c r="I221" t="n">
        <v>0</v>
      </c>
      <c r="J221" t="n">
        <v>2</v>
      </c>
      <c r="K221" t="n">
        <v>1</v>
      </c>
      <c r="L221" t="n">
        <v>0</v>
      </c>
      <c r="M221" t="n">
        <v>0</v>
      </c>
      <c r="N221" t="n">
        <v>0</v>
      </c>
      <c r="O221" t="n">
        <v>3</v>
      </c>
      <c r="P221" t="n">
        <v>1</v>
      </c>
      <c r="Q221" t="n">
        <v>3</v>
      </c>
      <c r="R221" s="2" t="inlineStr">
        <is>
          <t>Knärot
Rosenticka
Ullticka</t>
        </is>
      </c>
      <c r="S221">
        <f>HYPERLINK("https://klasma.github.io/Logging_2184/artfynd/A 36196-2023 artfynd.xlsx", "A 36196-2023")</f>
        <v/>
      </c>
      <c r="T221">
        <f>HYPERLINK("https://klasma.github.io/Logging_2184/kartor/A 36196-2023 karta.png", "A 36196-2023")</f>
        <v/>
      </c>
      <c r="U221">
        <f>HYPERLINK("https://klasma.github.io/Logging_2184/knärot/A 36196-2023 karta knärot.png", "A 36196-2023")</f>
        <v/>
      </c>
      <c r="V221">
        <f>HYPERLINK("https://klasma.github.io/Logging_2184/klagomål/A 36196-2023 FSC-klagomål.docx", "A 36196-2023")</f>
        <v/>
      </c>
      <c r="W221">
        <f>HYPERLINK("https://klasma.github.io/Logging_2184/klagomålsmail/A 36196-2023 FSC-klagomål mail.docx", "A 36196-2023")</f>
        <v/>
      </c>
      <c r="X221">
        <f>HYPERLINK("https://klasma.github.io/Logging_2184/tillsyn/A 36196-2023 tillsynsbegäran.docx", "A 36196-2023")</f>
        <v/>
      </c>
      <c r="Y221">
        <f>HYPERLINK("https://klasma.github.io/Logging_2184/tillsynsmail/A 36196-2023 tillsynsbegäran mail.docx", "A 36196-2023")</f>
        <v/>
      </c>
    </row>
    <row r="222" ht="15" customHeight="1">
      <c r="A222" t="inlineStr">
        <is>
          <t>A 42180-2025</t>
        </is>
      </c>
      <c r="B222" s="1" t="n">
        <v>45904.45078703704</v>
      </c>
      <c r="C222" s="1" t="n">
        <v>46086</v>
      </c>
      <c r="D222" t="inlineStr">
        <is>
          <t>GÄVLEBORGS LÄN</t>
        </is>
      </c>
      <c r="E222" t="inlineStr">
        <is>
          <t>LJUSDAL</t>
        </is>
      </c>
      <c r="F222" t="inlineStr">
        <is>
          <t>Allmännings- och besparingsskogar</t>
        </is>
      </c>
      <c r="G222" t="n">
        <v>5.8</v>
      </c>
      <c r="H222" t="n">
        <v>1</v>
      </c>
      <c r="I222" t="n">
        <v>0</v>
      </c>
      <c r="J222" t="n">
        <v>2</v>
      </c>
      <c r="K222" t="n">
        <v>0</v>
      </c>
      <c r="L222" t="n">
        <v>0</v>
      </c>
      <c r="M222" t="n">
        <v>0</v>
      </c>
      <c r="N222" t="n">
        <v>0</v>
      </c>
      <c r="O222" t="n">
        <v>2</v>
      </c>
      <c r="P222" t="n">
        <v>0</v>
      </c>
      <c r="Q222" t="n">
        <v>3</v>
      </c>
      <c r="R222" s="2" t="inlineStr">
        <is>
          <t>Dvärgbägarlav
Garnlav
Revlummer</t>
        </is>
      </c>
      <c r="S222">
        <f>HYPERLINK("https://klasma.github.io/Logging_2161/artfynd/A 42180-2025 artfynd.xlsx", "A 42180-2025")</f>
        <v/>
      </c>
      <c r="T222">
        <f>HYPERLINK("https://klasma.github.io/Logging_2161/kartor/A 42180-2025 karta.png", "A 42180-2025")</f>
        <v/>
      </c>
      <c r="V222">
        <f>HYPERLINK("https://klasma.github.io/Logging_2161/klagomål/A 42180-2025 FSC-klagomål.docx", "A 42180-2025")</f>
        <v/>
      </c>
      <c r="W222">
        <f>HYPERLINK("https://klasma.github.io/Logging_2161/klagomålsmail/A 42180-2025 FSC-klagomål mail.docx", "A 42180-2025")</f>
        <v/>
      </c>
      <c r="X222">
        <f>HYPERLINK("https://klasma.github.io/Logging_2161/tillsyn/A 42180-2025 tillsynsbegäran.docx", "A 42180-2025")</f>
        <v/>
      </c>
      <c r="Y222">
        <f>HYPERLINK("https://klasma.github.io/Logging_2161/tillsynsmail/A 42180-2025 tillsynsbegäran mail.docx", "A 42180-2025")</f>
        <v/>
      </c>
    </row>
    <row r="223" ht="15" customHeight="1">
      <c r="A223" t="inlineStr">
        <is>
          <t>A 830-2026</t>
        </is>
      </c>
      <c r="B223" s="1" t="n">
        <v>46030</v>
      </c>
      <c r="C223" s="1" t="n">
        <v>46086</v>
      </c>
      <c r="D223" t="inlineStr">
        <is>
          <t>GÄVLEBORGS LÄN</t>
        </is>
      </c>
      <c r="E223" t="inlineStr">
        <is>
          <t>OCKELBO</t>
        </is>
      </c>
      <c r="G223" t="n">
        <v>14.9</v>
      </c>
      <c r="H223" t="n">
        <v>3</v>
      </c>
      <c r="I223" t="n">
        <v>0</v>
      </c>
      <c r="J223" t="n">
        <v>0</v>
      </c>
      <c r="K223" t="n">
        <v>0</v>
      </c>
      <c r="L223" t="n">
        <v>0</v>
      </c>
      <c r="M223" t="n">
        <v>0</v>
      </c>
      <c r="N223" t="n">
        <v>0</v>
      </c>
      <c r="O223" t="n">
        <v>0</v>
      </c>
      <c r="P223" t="n">
        <v>0</v>
      </c>
      <c r="Q223" t="n">
        <v>3</v>
      </c>
      <c r="R223" s="2" t="inlineStr">
        <is>
          <t>Nattviol
Mattlummer
Revlummer</t>
        </is>
      </c>
      <c r="S223">
        <f>HYPERLINK("https://klasma.github.io/Logging_2101/artfynd/A 830-2026 artfynd.xlsx", "A 830-2026")</f>
        <v/>
      </c>
      <c r="T223">
        <f>HYPERLINK("https://klasma.github.io/Logging_2101/kartor/A 830-2026 karta.png", "A 830-2026")</f>
        <v/>
      </c>
      <c r="V223">
        <f>HYPERLINK("https://klasma.github.io/Logging_2101/klagomål/A 830-2026 FSC-klagomål.docx", "A 830-2026")</f>
        <v/>
      </c>
      <c r="W223">
        <f>HYPERLINK("https://klasma.github.io/Logging_2101/klagomålsmail/A 830-2026 FSC-klagomål mail.docx", "A 830-2026")</f>
        <v/>
      </c>
      <c r="X223">
        <f>HYPERLINK("https://klasma.github.io/Logging_2101/tillsyn/A 830-2026 tillsynsbegäran.docx", "A 830-2026")</f>
        <v/>
      </c>
      <c r="Y223">
        <f>HYPERLINK("https://klasma.github.io/Logging_2101/tillsynsmail/A 830-2026 tillsynsbegäran mail.docx", "A 830-2026")</f>
        <v/>
      </c>
    </row>
    <row r="224" ht="15" customHeight="1">
      <c r="A224" t="inlineStr">
        <is>
          <t>A 32818-2025</t>
        </is>
      </c>
      <c r="B224" s="1" t="n">
        <v>45839.53280092592</v>
      </c>
      <c r="C224" s="1" t="n">
        <v>46086</v>
      </c>
      <c r="D224" t="inlineStr">
        <is>
          <t>GÄVLEBORGS LÄN</t>
        </is>
      </c>
      <c r="E224" t="inlineStr">
        <is>
          <t>LJUSDAL</t>
        </is>
      </c>
      <c r="F224" t="inlineStr">
        <is>
          <t>Sveaskog</t>
        </is>
      </c>
      <c r="G224" t="n">
        <v>2.8</v>
      </c>
      <c r="H224" t="n">
        <v>1</v>
      </c>
      <c r="I224" t="n">
        <v>0</v>
      </c>
      <c r="J224" t="n">
        <v>2</v>
      </c>
      <c r="K224" t="n">
        <v>0</v>
      </c>
      <c r="L224" t="n">
        <v>0</v>
      </c>
      <c r="M224" t="n">
        <v>0</v>
      </c>
      <c r="N224" t="n">
        <v>0</v>
      </c>
      <c r="O224" t="n">
        <v>2</v>
      </c>
      <c r="P224" t="n">
        <v>0</v>
      </c>
      <c r="Q224" t="n">
        <v>3</v>
      </c>
      <c r="R224" s="2" t="inlineStr">
        <is>
          <t>Kolflarnlav
Lunglav
Fläcknycklar</t>
        </is>
      </c>
      <c r="S224">
        <f>HYPERLINK("https://klasma.github.io/Logging_2161/artfynd/A 32818-2025 artfynd.xlsx", "A 32818-2025")</f>
        <v/>
      </c>
      <c r="T224">
        <f>HYPERLINK("https://klasma.github.io/Logging_2161/kartor/A 32818-2025 karta.png", "A 32818-2025")</f>
        <v/>
      </c>
      <c r="V224">
        <f>HYPERLINK("https://klasma.github.io/Logging_2161/klagomål/A 32818-2025 FSC-klagomål.docx", "A 32818-2025")</f>
        <v/>
      </c>
      <c r="W224">
        <f>HYPERLINK("https://klasma.github.io/Logging_2161/klagomålsmail/A 32818-2025 FSC-klagomål mail.docx", "A 32818-2025")</f>
        <v/>
      </c>
      <c r="X224">
        <f>HYPERLINK("https://klasma.github.io/Logging_2161/tillsyn/A 32818-2025 tillsynsbegäran.docx", "A 32818-2025")</f>
        <v/>
      </c>
      <c r="Y224">
        <f>HYPERLINK("https://klasma.github.io/Logging_2161/tillsynsmail/A 32818-2025 tillsynsbegäran mail.docx", "A 32818-2025")</f>
        <v/>
      </c>
    </row>
    <row r="225" ht="15" customHeight="1">
      <c r="A225" t="inlineStr">
        <is>
          <t>A 44207-2025</t>
        </is>
      </c>
      <c r="B225" s="1" t="n">
        <v>45915.62753472223</v>
      </c>
      <c r="C225" s="1" t="n">
        <v>46086</v>
      </c>
      <c r="D225" t="inlineStr">
        <is>
          <t>GÄVLEBORGS LÄN</t>
        </is>
      </c>
      <c r="E225" t="inlineStr">
        <is>
          <t>LJUSDAL</t>
        </is>
      </c>
      <c r="F225" t="inlineStr">
        <is>
          <t>Sveaskog</t>
        </is>
      </c>
      <c r="G225" t="n">
        <v>0.9</v>
      </c>
      <c r="H225" t="n">
        <v>1</v>
      </c>
      <c r="I225" t="n">
        <v>0</v>
      </c>
      <c r="J225" t="n">
        <v>2</v>
      </c>
      <c r="K225" t="n">
        <v>1</v>
      </c>
      <c r="L225" t="n">
        <v>0</v>
      </c>
      <c r="M225" t="n">
        <v>0</v>
      </c>
      <c r="N225" t="n">
        <v>0</v>
      </c>
      <c r="O225" t="n">
        <v>3</v>
      </c>
      <c r="P225" t="n">
        <v>1</v>
      </c>
      <c r="Q225" t="n">
        <v>3</v>
      </c>
      <c r="R225" s="2" t="inlineStr">
        <is>
          <t>Doftticka
Lunglav
Violettgrå tagellav</t>
        </is>
      </c>
      <c r="S225">
        <f>HYPERLINK("https://klasma.github.io/Logging_2161/artfynd/A 44207-2025 artfynd.xlsx", "A 44207-2025")</f>
        <v/>
      </c>
      <c r="T225">
        <f>HYPERLINK("https://klasma.github.io/Logging_2161/kartor/A 44207-2025 karta.png", "A 44207-2025")</f>
        <v/>
      </c>
      <c r="V225">
        <f>HYPERLINK("https://klasma.github.io/Logging_2161/klagomål/A 44207-2025 FSC-klagomål.docx", "A 44207-2025")</f>
        <v/>
      </c>
      <c r="W225">
        <f>HYPERLINK("https://klasma.github.io/Logging_2161/klagomålsmail/A 44207-2025 FSC-klagomål mail.docx", "A 44207-2025")</f>
        <v/>
      </c>
      <c r="X225">
        <f>HYPERLINK("https://klasma.github.io/Logging_2161/tillsyn/A 44207-2025 tillsynsbegäran.docx", "A 44207-2025")</f>
        <v/>
      </c>
      <c r="Y225">
        <f>HYPERLINK("https://klasma.github.io/Logging_2161/tillsynsmail/A 44207-2025 tillsynsbegäran mail.docx", "A 44207-2025")</f>
        <v/>
      </c>
    </row>
    <row r="226" ht="15" customHeight="1">
      <c r="A226" t="inlineStr">
        <is>
          <t>A 34324-2025</t>
        </is>
      </c>
      <c r="B226" s="1" t="n">
        <v>45846.43172453704</v>
      </c>
      <c r="C226" s="1" t="n">
        <v>46086</v>
      </c>
      <c r="D226" t="inlineStr">
        <is>
          <t>GÄVLEBORGS LÄN</t>
        </is>
      </c>
      <c r="E226" t="inlineStr">
        <is>
          <t>LJUSDAL</t>
        </is>
      </c>
      <c r="F226" t="inlineStr">
        <is>
          <t>Bergvik skog väst AB</t>
        </is>
      </c>
      <c r="G226" t="n">
        <v>1.7</v>
      </c>
      <c r="H226" t="n">
        <v>0</v>
      </c>
      <c r="I226" t="n">
        <v>0</v>
      </c>
      <c r="J226" t="n">
        <v>3</v>
      </c>
      <c r="K226" t="n">
        <v>0</v>
      </c>
      <c r="L226" t="n">
        <v>0</v>
      </c>
      <c r="M226" t="n">
        <v>0</v>
      </c>
      <c r="N226" t="n">
        <v>0</v>
      </c>
      <c r="O226" t="n">
        <v>3</v>
      </c>
      <c r="P226" t="n">
        <v>0</v>
      </c>
      <c r="Q226" t="n">
        <v>3</v>
      </c>
      <c r="R226" s="2" t="inlineStr">
        <is>
          <t>Blanksvart spiklav
Kolflarnlav
Nordtagging</t>
        </is>
      </c>
      <c r="S226">
        <f>HYPERLINK("https://klasma.github.io/Logging_2161/artfynd/A 34324-2025 artfynd.xlsx", "A 34324-2025")</f>
        <v/>
      </c>
      <c r="T226">
        <f>HYPERLINK("https://klasma.github.io/Logging_2161/kartor/A 34324-2025 karta.png", "A 34324-2025")</f>
        <v/>
      </c>
      <c r="V226">
        <f>HYPERLINK("https://klasma.github.io/Logging_2161/klagomål/A 34324-2025 FSC-klagomål.docx", "A 34324-2025")</f>
        <v/>
      </c>
      <c r="W226">
        <f>HYPERLINK("https://klasma.github.io/Logging_2161/klagomålsmail/A 34324-2025 FSC-klagomål mail.docx", "A 34324-2025")</f>
        <v/>
      </c>
      <c r="X226">
        <f>HYPERLINK("https://klasma.github.io/Logging_2161/tillsyn/A 34324-2025 tillsynsbegäran.docx", "A 34324-2025")</f>
        <v/>
      </c>
      <c r="Y226">
        <f>HYPERLINK("https://klasma.github.io/Logging_2161/tillsynsmail/A 34324-2025 tillsynsbegäran mail.docx", "A 34324-2025")</f>
        <v/>
      </c>
    </row>
    <row r="227" ht="15" customHeight="1">
      <c r="A227" t="inlineStr">
        <is>
          <t>A 34376-2025</t>
        </is>
      </c>
      <c r="B227" s="1" t="n">
        <v>45846.53386574074</v>
      </c>
      <c r="C227" s="1" t="n">
        <v>46086</v>
      </c>
      <c r="D227" t="inlineStr">
        <is>
          <t>GÄVLEBORGS LÄN</t>
        </is>
      </c>
      <c r="E227" t="inlineStr">
        <is>
          <t>LJUSDAL</t>
        </is>
      </c>
      <c r="F227" t="inlineStr">
        <is>
          <t>Bergvik skog väst AB</t>
        </is>
      </c>
      <c r="G227" t="n">
        <v>0.8</v>
      </c>
      <c r="H227" t="n">
        <v>0</v>
      </c>
      <c r="I227" t="n">
        <v>1</v>
      </c>
      <c r="J227" t="n">
        <v>2</v>
      </c>
      <c r="K227" t="n">
        <v>0</v>
      </c>
      <c r="L227" t="n">
        <v>0</v>
      </c>
      <c r="M227" t="n">
        <v>0</v>
      </c>
      <c r="N227" t="n">
        <v>0</v>
      </c>
      <c r="O227" t="n">
        <v>2</v>
      </c>
      <c r="P227" t="n">
        <v>0</v>
      </c>
      <c r="Q227" t="n">
        <v>3</v>
      </c>
      <c r="R227" s="2" t="inlineStr">
        <is>
          <t>Garnlav
Vedskivlav
Dropptaggsvamp</t>
        </is>
      </c>
      <c r="S227">
        <f>HYPERLINK("https://klasma.github.io/Logging_2161/artfynd/A 34376-2025 artfynd.xlsx", "A 34376-2025")</f>
        <v/>
      </c>
      <c r="T227">
        <f>HYPERLINK("https://klasma.github.io/Logging_2161/kartor/A 34376-2025 karta.png", "A 34376-2025")</f>
        <v/>
      </c>
      <c r="V227">
        <f>HYPERLINK("https://klasma.github.io/Logging_2161/klagomål/A 34376-2025 FSC-klagomål.docx", "A 34376-2025")</f>
        <v/>
      </c>
      <c r="W227">
        <f>HYPERLINK("https://klasma.github.io/Logging_2161/klagomålsmail/A 34376-2025 FSC-klagomål mail.docx", "A 34376-2025")</f>
        <v/>
      </c>
      <c r="X227">
        <f>HYPERLINK("https://klasma.github.io/Logging_2161/tillsyn/A 34376-2025 tillsynsbegäran.docx", "A 34376-2025")</f>
        <v/>
      </c>
      <c r="Y227">
        <f>HYPERLINK("https://klasma.github.io/Logging_2161/tillsynsmail/A 34376-2025 tillsynsbegäran mail.docx", "A 34376-2025")</f>
        <v/>
      </c>
    </row>
    <row r="228" ht="15" customHeight="1">
      <c r="A228" t="inlineStr">
        <is>
          <t>A 35610-2025</t>
        </is>
      </c>
      <c r="B228" s="1" t="n">
        <v>45859.35157407408</v>
      </c>
      <c r="C228" s="1" t="n">
        <v>46086</v>
      </c>
      <c r="D228" t="inlineStr">
        <is>
          <t>GÄVLEBORGS LÄN</t>
        </is>
      </c>
      <c r="E228" t="inlineStr">
        <is>
          <t>OCKELBO</t>
        </is>
      </c>
      <c r="F228" t="inlineStr">
        <is>
          <t>Bergvik skog väst AB</t>
        </is>
      </c>
      <c r="G228" t="n">
        <v>8.4</v>
      </c>
      <c r="H228" t="n">
        <v>0</v>
      </c>
      <c r="I228" t="n">
        <v>1</v>
      </c>
      <c r="J228" t="n">
        <v>2</v>
      </c>
      <c r="K228" t="n">
        <v>0</v>
      </c>
      <c r="L228" t="n">
        <v>0</v>
      </c>
      <c r="M228" t="n">
        <v>0</v>
      </c>
      <c r="N228" t="n">
        <v>0</v>
      </c>
      <c r="O228" t="n">
        <v>2</v>
      </c>
      <c r="P228" t="n">
        <v>0</v>
      </c>
      <c r="Q228" t="n">
        <v>3</v>
      </c>
      <c r="R228" s="2" t="inlineStr">
        <is>
          <t>Garnlav
Vedskivlav
Dropptaggsvamp</t>
        </is>
      </c>
      <c r="S228">
        <f>HYPERLINK("https://klasma.github.io/Logging_2101/artfynd/A 35610-2025 artfynd.xlsx", "A 35610-2025")</f>
        <v/>
      </c>
      <c r="T228">
        <f>HYPERLINK("https://klasma.github.io/Logging_2101/kartor/A 35610-2025 karta.png", "A 35610-2025")</f>
        <v/>
      </c>
      <c r="V228">
        <f>HYPERLINK("https://klasma.github.io/Logging_2101/klagomål/A 35610-2025 FSC-klagomål.docx", "A 35610-2025")</f>
        <v/>
      </c>
      <c r="W228">
        <f>HYPERLINK("https://klasma.github.io/Logging_2101/klagomålsmail/A 35610-2025 FSC-klagomål mail.docx", "A 35610-2025")</f>
        <v/>
      </c>
      <c r="X228">
        <f>HYPERLINK("https://klasma.github.io/Logging_2101/tillsyn/A 35610-2025 tillsynsbegäran.docx", "A 35610-2025")</f>
        <v/>
      </c>
      <c r="Y228">
        <f>HYPERLINK("https://klasma.github.io/Logging_2101/tillsynsmail/A 35610-2025 tillsynsbegäran mail.docx", "A 35610-2025")</f>
        <v/>
      </c>
    </row>
    <row r="229" ht="15" customHeight="1">
      <c r="A229" t="inlineStr">
        <is>
          <t>A 35739-2025</t>
        </is>
      </c>
      <c r="B229" s="1" t="n">
        <v>45860.524375</v>
      </c>
      <c r="C229" s="1" t="n">
        <v>46086</v>
      </c>
      <c r="D229" t="inlineStr">
        <is>
          <t>GÄVLEBORGS LÄN</t>
        </is>
      </c>
      <c r="E229" t="inlineStr">
        <is>
          <t>LJUSDAL</t>
        </is>
      </c>
      <c r="F229" t="inlineStr">
        <is>
          <t>Bergvik skog väst AB</t>
        </is>
      </c>
      <c r="G229" t="n">
        <v>11</v>
      </c>
      <c r="H229" t="n">
        <v>1</v>
      </c>
      <c r="I229" t="n">
        <v>0</v>
      </c>
      <c r="J229" t="n">
        <v>2</v>
      </c>
      <c r="K229" t="n">
        <v>0</v>
      </c>
      <c r="L229" t="n">
        <v>0</v>
      </c>
      <c r="M229" t="n">
        <v>0</v>
      </c>
      <c r="N229" t="n">
        <v>0</v>
      </c>
      <c r="O229" t="n">
        <v>2</v>
      </c>
      <c r="P229" t="n">
        <v>0</v>
      </c>
      <c r="Q229" t="n">
        <v>3</v>
      </c>
      <c r="R229" s="2" t="inlineStr">
        <is>
          <t>Garnlav
Lunglav
Revlummer</t>
        </is>
      </c>
      <c r="S229">
        <f>HYPERLINK("https://klasma.github.io/Logging_2161/artfynd/A 35739-2025 artfynd.xlsx", "A 35739-2025")</f>
        <v/>
      </c>
      <c r="T229">
        <f>HYPERLINK("https://klasma.github.io/Logging_2161/kartor/A 35739-2025 karta.png", "A 35739-2025")</f>
        <v/>
      </c>
      <c r="V229">
        <f>HYPERLINK("https://klasma.github.io/Logging_2161/klagomål/A 35739-2025 FSC-klagomål.docx", "A 35739-2025")</f>
        <v/>
      </c>
      <c r="W229">
        <f>HYPERLINK("https://klasma.github.io/Logging_2161/klagomålsmail/A 35739-2025 FSC-klagomål mail.docx", "A 35739-2025")</f>
        <v/>
      </c>
      <c r="X229">
        <f>HYPERLINK("https://klasma.github.io/Logging_2161/tillsyn/A 35739-2025 tillsynsbegäran.docx", "A 35739-2025")</f>
        <v/>
      </c>
      <c r="Y229">
        <f>HYPERLINK("https://klasma.github.io/Logging_2161/tillsynsmail/A 35739-2025 tillsynsbegäran mail.docx", "A 35739-2025")</f>
        <v/>
      </c>
    </row>
    <row r="230" ht="15" customHeight="1">
      <c r="A230" t="inlineStr">
        <is>
          <t>A 21474-2023</t>
        </is>
      </c>
      <c r="B230" s="1" t="n">
        <v>45063.47291666667</v>
      </c>
      <c r="C230" s="1" t="n">
        <v>46086</v>
      </c>
      <c r="D230" t="inlineStr">
        <is>
          <t>GÄVLEBORGS LÄN</t>
        </is>
      </c>
      <c r="E230" t="inlineStr">
        <is>
          <t>LJUSDAL</t>
        </is>
      </c>
      <c r="F230" t="inlineStr">
        <is>
          <t>Sveaskog</t>
        </is>
      </c>
      <c r="G230" t="n">
        <v>4.3</v>
      </c>
      <c r="H230" t="n">
        <v>2</v>
      </c>
      <c r="I230" t="n">
        <v>0</v>
      </c>
      <c r="J230" t="n">
        <v>1</v>
      </c>
      <c r="K230" t="n">
        <v>1</v>
      </c>
      <c r="L230" t="n">
        <v>0</v>
      </c>
      <c r="M230" t="n">
        <v>0</v>
      </c>
      <c r="N230" t="n">
        <v>0</v>
      </c>
      <c r="O230" t="n">
        <v>2</v>
      </c>
      <c r="P230" t="n">
        <v>1</v>
      </c>
      <c r="Q230" t="n">
        <v>3</v>
      </c>
      <c r="R230" s="2" t="inlineStr">
        <is>
          <t>Knärot
Garnlav
Tjäder</t>
        </is>
      </c>
      <c r="S230">
        <f>HYPERLINK("https://klasma.github.io/Logging_2161/artfynd/A 21474-2023 artfynd.xlsx", "A 21474-2023")</f>
        <v/>
      </c>
      <c r="T230">
        <f>HYPERLINK("https://klasma.github.io/Logging_2161/kartor/A 21474-2023 karta.png", "A 21474-2023")</f>
        <v/>
      </c>
      <c r="U230">
        <f>HYPERLINK("https://klasma.github.io/Logging_2161/knärot/A 21474-2023 karta knärot.png", "A 21474-2023")</f>
        <v/>
      </c>
      <c r="V230">
        <f>HYPERLINK("https://klasma.github.io/Logging_2161/klagomål/A 21474-2023 FSC-klagomål.docx", "A 21474-2023")</f>
        <v/>
      </c>
      <c r="W230">
        <f>HYPERLINK("https://klasma.github.io/Logging_2161/klagomålsmail/A 21474-2023 FSC-klagomål mail.docx", "A 21474-2023")</f>
        <v/>
      </c>
      <c r="X230">
        <f>HYPERLINK("https://klasma.github.io/Logging_2161/tillsyn/A 21474-2023 tillsynsbegäran.docx", "A 21474-2023")</f>
        <v/>
      </c>
      <c r="Y230">
        <f>HYPERLINK("https://klasma.github.io/Logging_2161/tillsynsmail/A 21474-2023 tillsynsbegäran mail.docx", "A 21474-2023")</f>
        <v/>
      </c>
      <c r="Z230">
        <f>HYPERLINK("https://klasma.github.io/Logging_2161/fåglar/A 21474-2023 prioriterade fågelarter.docx", "A 21474-2023")</f>
        <v/>
      </c>
    </row>
    <row r="231" ht="15" customHeight="1">
      <c r="A231" t="inlineStr">
        <is>
          <t>A 47876-2025</t>
        </is>
      </c>
      <c r="B231" s="1" t="n">
        <v>45932.45586805556</v>
      </c>
      <c r="C231" s="1" t="n">
        <v>46086</v>
      </c>
      <c r="D231" t="inlineStr">
        <is>
          <t>GÄVLEBORGS LÄN</t>
        </is>
      </c>
      <c r="E231" t="inlineStr">
        <is>
          <t>LJUSDAL</t>
        </is>
      </c>
      <c r="F231" t="inlineStr">
        <is>
          <t>Bergvik skog väst AB</t>
        </is>
      </c>
      <c r="G231" t="n">
        <v>0.9</v>
      </c>
      <c r="H231" t="n">
        <v>0</v>
      </c>
      <c r="I231" t="n">
        <v>0</v>
      </c>
      <c r="J231" t="n">
        <v>3</v>
      </c>
      <c r="K231" t="n">
        <v>0</v>
      </c>
      <c r="L231" t="n">
        <v>0</v>
      </c>
      <c r="M231" t="n">
        <v>0</v>
      </c>
      <c r="N231" t="n">
        <v>0</v>
      </c>
      <c r="O231" t="n">
        <v>3</v>
      </c>
      <c r="P231" t="n">
        <v>0</v>
      </c>
      <c r="Q231" t="n">
        <v>3</v>
      </c>
      <c r="R231" s="2" t="inlineStr">
        <is>
          <t>Garnlav
Kolflarnlav
Motaggsvamp</t>
        </is>
      </c>
      <c r="S231">
        <f>HYPERLINK("https://klasma.github.io/Logging_2161/artfynd/A 47876-2025 artfynd.xlsx", "A 47876-2025")</f>
        <v/>
      </c>
      <c r="T231">
        <f>HYPERLINK("https://klasma.github.io/Logging_2161/kartor/A 47876-2025 karta.png", "A 47876-2025")</f>
        <v/>
      </c>
      <c r="V231">
        <f>HYPERLINK("https://klasma.github.io/Logging_2161/klagomål/A 47876-2025 FSC-klagomål.docx", "A 47876-2025")</f>
        <v/>
      </c>
      <c r="W231">
        <f>HYPERLINK("https://klasma.github.io/Logging_2161/klagomålsmail/A 47876-2025 FSC-klagomål mail.docx", "A 47876-2025")</f>
        <v/>
      </c>
      <c r="X231">
        <f>HYPERLINK("https://klasma.github.io/Logging_2161/tillsyn/A 47876-2025 tillsynsbegäran.docx", "A 47876-2025")</f>
        <v/>
      </c>
      <c r="Y231">
        <f>HYPERLINK("https://klasma.github.io/Logging_2161/tillsynsmail/A 47876-2025 tillsynsbegäran mail.docx", "A 47876-2025")</f>
        <v/>
      </c>
    </row>
    <row r="232" ht="15" customHeight="1">
      <c r="A232" t="inlineStr">
        <is>
          <t>A 37835-2025</t>
        </is>
      </c>
      <c r="B232" s="1" t="n">
        <v>45881.42501157407</v>
      </c>
      <c r="C232" s="1" t="n">
        <v>46086</v>
      </c>
      <c r="D232" t="inlineStr">
        <is>
          <t>GÄVLEBORGS LÄN</t>
        </is>
      </c>
      <c r="E232" t="inlineStr">
        <is>
          <t>LJUSDAL</t>
        </is>
      </c>
      <c r="F232" t="inlineStr">
        <is>
          <t>Bergvik skog väst AB</t>
        </is>
      </c>
      <c r="G232" t="n">
        <v>2.3</v>
      </c>
      <c r="H232" t="n">
        <v>1</v>
      </c>
      <c r="I232" t="n">
        <v>0</v>
      </c>
      <c r="J232" t="n">
        <v>3</v>
      </c>
      <c r="K232" t="n">
        <v>0</v>
      </c>
      <c r="L232" t="n">
        <v>0</v>
      </c>
      <c r="M232" t="n">
        <v>0</v>
      </c>
      <c r="N232" t="n">
        <v>0</v>
      </c>
      <c r="O232" t="n">
        <v>3</v>
      </c>
      <c r="P232" t="n">
        <v>0</v>
      </c>
      <c r="Q232" t="n">
        <v>3</v>
      </c>
      <c r="R232" s="2" t="inlineStr">
        <is>
          <t>Garnlav
Lunglav
Talltita</t>
        </is>
      </c>
      <c r="S232">
        <f>HYPERLINK("https://klasma.github.io/Logging_2161/artfynd/A 37835-2025 artfynd.xlsx", "A 37835-2025")</f>
        <v/>
      </c>
      <c r="T232">
        <f>HYPERLINK("https://klasma.github.io/Logging_2161/kartor/A 37835-2025 karta.png", "A 37835-2025")</f>
        <v/>
      </c>
      <c r="V232">
        <f>HYPERLINK("https://klasma.github.io/Logging_2161/klagomål/A 37835-2025 FSC-klagomål.docx", "A 37835-2025")</f>
        <v/>
      </c>
      <c r="W232">
        <f>HYPERLINK("https://klasma.github.io/Logging_2161/klagomålsmail/A 37835-2025 FSC-klagomål mail.docx", "A 37835-2025")</f>
        <v/>
      </c>
      <c r="X232">
        <f>HYPERLINK("https://klasma.github.io/Logging_2161/tillsyn/A 37835-2025 tillsynsbegäran.docx", "A 37835-2025")</f>
        <v/>
      </c>
      <c r="Y232">
        <f>HYPERLINK("https://klasma.github.io/Logging_2161/tillsynsmail/A 37835-2025 tillsynsbegäran mail.docx", "A 37835-2025")</f>
        <v/>
      </c>
      <c r="Z232">
        <f>HYPERLINK("https://klasma.github.io/Logging_2161/fåglar/A 37835-2025 prioriterade fågelarter.docx", "A 37835-2025")</f>
        <v/>
      </c>
    </row>
    <row r="233" ht="15" customHeight="1">
      <c r="A233" t="inlineStr">
        <is>
          <t>A 26606-2025</t>
        </is>
      </c>
      <c r="B233" s="1" t="n">
        <v>45809</v>
      </c>
      <c r="C233" s="1" t="n">
        <v>46086</v>
      </c>
      <c r="D233" t="inlineStr">
        <is>
          <t>GÄVLEBORGS LÄN</t>
        </is>
      </c>
      <c r="E233" t="inlineStr">
        <is>
          <t>LJUSDAL</t>
        </is>
      </c>
      <c r="G233" t="n">
        <v>11.1</v>
      </c>
      <c r="H233" t="n">
        <v>0</v>
      </c>
      <c r="I233" t="n">
        <v>0</v>
      </c>
      <c r="J233" t="n">
        <v>3</v>
      </c>
      <c r="K233" t="n">
        <v>0</v>
      </c>
      <c r="L233" t="n">
        <v>0</v>
      </c>
      <c r="M233" t="n">
        <v>0</v>
      </c>
      <c r="N233" t="n">
        <v>0</v>
      </c>
      <c r="O233" t="n">
        <v>3</v>
      </c>
      <c r="P233" t="n">
        <v>0</v>
      </c>
      <c r="Q233" t="n">
        <v>3</v>
      </c>
      <c r="R233" s="2" t="inlineStr">
        <is>
          <t>Garnlav
Talltaggsvamp
Vedskivlav</t>
        </is>
      </c>
      <c r="S233">
        <f>HYPERLINK("https://klasma.github.io/Logging_2161/artfynd/A 26606-2025 artfynd.xlsx", "A 26606-2025")</f>
        <v/>
      </c>
      <c r="T233">
        <f>HYPERLINK("https://klasma.github.io/Logging_2161/kartor/A 26606-2025 karta.png", "A 26606-2025")</f>
        <v/>
      </c>
      <c r="V233">
        <f>HYPERLINK("https://klasma.github.io/Logging_2161/klagomål/A 26606-2025 FSC-klagomål.docx", "A 26606-2025")</f>
        <v/>
      </c>
      <c r="W233">
        <f>HYPERLINK("https://klasma.github.io/Logging_2161/klagomålsmail/A 26606-2025 FSC-klagomål mail.docx", "A 26606-2025")</f>
        <v/>
      </c>
      <c r="X233">
        <f>HYPERLINK("https://klasma.github.io/Logging_2161/tillsyn/A 26606-2025 tillsynsbegäran.docx", "A 26606-2025")</f>
        <v/>
      </c>
      <c r="Y233">
        <f>HYPERLINK("https://klasma.github.io/Logging_2161/tillsynsmail/A 26606-2025 tillsynsbegäran mail.docx", "A 26606-2025")</f>
        <v/>
      </c>
    </row>
    <row r="234" ht="15" customHeight="1">
      <c r="A234" t="inlineStr">
        <is>
          <t>A 30610-2023</t>
        </is>
      </c>
      <c r="B234" s="1" t="n">
        <v>45112.40128472223</v>
      </c>
      <c r="C234" s="1" t="n">
        <v>46086</v>
      </c>
      <c r="D234" t="inlineStr">
        <is>
          <t>GÄVLEBORGS LÄN</t>
        </is>
      </c>
      <c r="E234" t="inlineStr">
        <is>
          <t>LJUSDAL</t>
        </is>
      </c>
      <c r="F234" t="inlineStr">
        <is>
          <t>Sveaskog</t>
        </is>
      </c>
      <c r="G234" t="n">
        <v>3.2</v>
      </c>
      <c r="H234" t="n">
        <v>2</v>
      </c>
      <c r="I234" t="n">
        <v>0</v>
      </c>
      <c r="J234" t="n">
        <v>2</v>
      </c>
      <c r="K234" t="n">
        <v>1</v>
      </c>
      <c r="L234" t="n">
        <v>0</v>
      </c>
      <c r="M234" t="n">
        <v>0</v>
      </c>
      <c r="N234" t="n">
        <v>0</v>
      </c>
      <c r="O234" t="n">
        <v>3</v>
      </c>
      <c r="P234" t="n">
        <v>1</v>
      </c>
      <c r="Q234" t="n">
        <v>3</v>
      </c>
      <c r="R234" s="2" t="inlineStr">
        <is>
          <t>Knärot
Knottrig blåslav
Talltita</t>
        </is>
      </c>
      <c r="S234">
        <f>HYPERLINK("https://klasma.github.io/Logging_2161/artfynd/A 30610-2023 artfynd.xlsx", "A 30610-2023")</f>
        <v/>
      </c>
      <c r="T234">
        <f>HYPERLINK("https://klasma.github.io/Logging_2161/kartor/A 30610-2023 karta.png", "A 30610-2023")</f>
        <v/>
      </c>
      <c r="U234">
        <f>HYPERLINK("https://klasma.github.io/Logging_2161/knärot/A 30610-2023 karta knärot.png", "A 30610-2023")</f>
        <v/>
      </c>
      <c r="V234">
        <f>HYPERLINK("https://klasma.github.io/Logging_2161/klagomål/A 30610-2023 FSC-klagomål.docx", "A 30610-2023")</f>
        <v/>
      </c>
      <c r="W234">
        <f>HYPERLINK("https://klasma.github.io/Logging_2161/klagomålsmail/A 30610-2023 FSC-klagomål mail.docx", "A 30610-2023")</f>
        <v/>
      </c>
      <c r="X234">
        <f>HYPERLINK("https://klasma.github.io/Logging_2161/tillsyn/A 30610-2023 tillsynsbegäran.docx", "A 30610-2023")</f>
        <v/>
      </c>
      <c r="Y234">
        <f>HYPERLINK("https://klasma.github.io/Logging_2161/tillsynsmail/A 30610-2023 tillsynsbegäran mail.docx", "A 30610-2023")</f>
        <v/>
      </c>
      <c r="Z234">
        <f>HYPERLINK("https://klasma.github.io/Logging_2161/fåglar/A 30610-2023 prioriterade fågelarter.docx", "A 30610-2023")</f>
        <v/>
      </c>
    </row>
    <row r="235" ht="15" customHeight="1">
      <c r="A235" t="inlineStr">
        <is>
          <t>A 50654-2025</t>
        </is>
      </c>
      <c r="B235" s="1" t="n">
        <v>45945.68238425926</v>
      </c>
      <c r="C235" s="1" t="n">
        <v>46086</v>
      </c>
      <c r="D235" t="inlineStr">
        <is>
          <t>GÄVLEBORGS LÄN</t>
        </is>
      </c>
      <c r="E235" t="inlineStr">
        <is>
          <t>LJUSDAL</t>
        </is>
      </c>
      <c r="F235" t="inlineStr">
        <is>
          <t>Sveaskog</t>
        </is>
      </c>
      <c r="G235" t="n">
        <v>6.3</v>
      </c>
      <c r="H235" t="n">
        <v>0</v>
      </c>
      <c r="I235" t="n">
        <v>0</v>
      </c>
      <c r="J235" t="n">
        <v>3</v>
      </c>
      <c r="K235" t="n">
        <v>0</v>
      </c>
      <c r="L235" t="n">
        <v>0</v>
      </c>
      <c r="M235" t="n">
        <v>0</v>
      </c>
      <c r="N235" t="n">
        <v>0</v>
      </c>
      <c r="O235" t="n">
        <v>3</v>
      </c>
      <c r="P235" t="n">
        <v>0</v>
      </c>
      <c r="Q235" t="n">
        <v>3</v>
      </c>
      <c r="R235" s="2" t="inlineStr">
        <is>
          <t>Garnlav
Lunglav
Skrovellav</t>
        </is>
      </c>
      <c r="S235">
        <f>HYPERLINK("https://klasma.github.io/Logging_2161/artfynd/A 50654-2025 artfynd.xlsx", "A 50654-2025")</f>
        <v/>
      </c>
      <c r="T235">
        <f>HYPERLINK("https://klasma.github.io/Logging_2161/kartor/A 50654-2025 karta.png", "A 50654-2025")</f>
        <v/>
      </c>
      <c r="V235">
        <f>HYPERLINK("https://klasma.github.io/Logging_2161/klagomål/A 50654-2025 FSC-klagomål.docx", "A 50654-2025")</f>
        <v/>
      </c>
      <c r="W235">
        <f>HYPERLINK("https://klasma.github.io/Logging_2161/klagomålsmail/A 50654-2025 FSC-klagomål mail.docx", "A 50654-2025")</f>
        <v/>
      </c>
      <c r="X235">
        <f>HYPERLINK("https://klasma.github.io/Logging_2161/tillsyn/A 50654-2025 tillsynsbegäran.docx", "A 50654-2025")</f>
        <v/>
      </c>
      <c r="Y235">
        <f>HYPERLINK("https://klasma.github.io/Logging_2161/tillsynsmail/A 50654-2025 tillsynsbegäran mail.docx", "A 50654-2025")</f>
        <v/>
      </c>
    </row>
    <row r="236" ht="15" customHeight="1">
      <c r="A236" t="inlineStr">
        <is>
          <t>A 50662-2025</t>
        </is>
      </c>
      <c r="B236" s="1" t="n">
        <v>45945.69081018519</v>
      </c>
      <c r="C236" s="1" t="n">
        <v>46086</v>
      </c>
      <c r="D236" t="inlineStr">
        <is>
          <t>GÄVLEBORGS LÄN</t>
        </is>
      </c>
      <c r="E236" t="inlineStr">
        <is>
          <t>LJUSDAL</t>
        </is>
      </c>
      <c r="F236" t="inlineStr">
        <is>
          <t>Sveaskog</t>
        </is>
      </c>
      <c r="G236" t="n">
        <v>16.9</v>
      </c>
      <c r="H236" t="n">
        <v>1</v>
      </c>
      <c r="I236" t="n">
        <v>0</v>
      </c>
      <c r="J236" t="n">
        <v>2</v>
      </c>
      <c r="K236" t="n">
        <v>0</v>
      </c>
      <c r="L236" t="n">
        <v>0</v>
      </c>
      <c r="M236" t="n">
        <v>0</v>
      </c>
      <c r="N236" t="n">
        <v>0</v>
      </c>
      <c r="O236" t="n">
        <v>2</v>
      </c>
      <c r="P236" t="n">
        <v>0</v>
      </c>
      <c r="Q236" t="n">
        <v>3</v>
      </c>
      <c r="R236" s="2" t="inlineStr">
        <is>
          <t>Lunglav
Skrovellav
Tjäder</t>
        </is>
      </c>
      <c r="S236">
        <f>HYPERLINK("https://klasma.github.io/Logging_2161/artfynd/A 50662-2025 artfynd.xlsx", "A 50662-2025")</f>
        <v/>
      </c>
      <c r="T236">
        <f>HYPERLINK("https://klasma.github.io/Logging_2161/kartor/A 50662-2025 karta.png", "A 50662-2025")</f>
        <v/>
      </c>
      <c r="V236">
        <f>HYPERLINK("https://klasma.github.io/Logging_2161/klagomål/A 50662-2025 FSC-klagomål.docx", "A 50662-2025")</f>
        <v/>
      </c>
      <c r="W236">
        <f>HYPERLINK("https://klasma.github.io/Logging_2161/klagomålsmail/A 50662-2025 FSC-klagomål mail.docx", "A 50662-2025")</f>
        <v/>
      </c>
      <c r="X236">
        <f>HYPERLINK("https://klasma.github.io/Logging_2161/tillsyn/A 50662-2025 tillsynsbegäran.docx", "A 50662-2025")</f>
        <v/>
      </c>
      <c r="Y236">
        <f>HYPERLINK("https://klasma.github.io/Logging_2161/tillsynsmail/A 50662-2025 tillsynsbegäran mail.docx", "A 50662-2025")</f>
        <v/>
      </c>
      <c r="Z236">
        <f>HYPERLINK("https://klasma.github.io/Logging_2161/fåglar/A 50662-2025 prioriterade fågelarter.docx", "A 50662-2025")</f>
        <v/>
      </c>
    </row>
    <row r="237" ht="15" customHeight="1">
      <c r="A237" t="inlineStr">
        <is>
          <t>A 50819-2025</t>
        </is>
      </c>
      <c r="B237" s="1" t="n">
        <v>45946.5324537037</v>
      </c>
      <c r="C237" s="1" t="n">
        <v>46086</v>
      </c>
      <c r="D237" t="inlineStr">
        <is>
          <t>GÄVLEBORGS LÄN</t>
        </is>
      </c>
      <c r="E237" t="inlineStr">
        <is>
          <t>HUDIKSVALL</t>
        </is>
      </c>
      <c r="G237" t="n">
        <v>2.1</v>
      </c>
      <c r="H237" t="n">
        <v>1</v>
      </c>
      <c r="I237" t="n">
        <v>2</v>
      </c>
      <c r="J237" t="n">
        <v>0</v>
      </c>
      <c r="K237" t="n">
        <v>0</v>
      </c>
      <c r="L237" t="n">
        <v>0</v>
      </c>
      <c r="M237" t="n">
        <v>0</v>
      </c>
      <c r="N237" t="n">
        <v>0</v>
      </c>
      <c r="O237" t="n">
        <v>0</v>
      </c>
      <c r="P237" t="n">
        <v>0</v>
      </c>
      <c r="Q237" t="n">
        <v>3</v>
      </c>
      <c r="R237" s="2" t="inlineStr">
        <is>
          <t>Svart trolldruva
Tibast
Revlummer</t>
        </is>
      </c>
      <c r="S237">
        <f>HYPERLINK("https://klasma.github.io/Logging_2184/artfynd/A 50819-2025 artfynd.xlsx", "A 50819-2025")</f>
        <v/>
      </c>
      <c r="T237">
        <f>HYPERLINK("https://klasma.github.io/Logging_2184/kartor/A 50819-2025 karta.png", "A 50819-2025")</f>
        <v/>
      </c>
      <c r="V237">
        <f>HYPERLINK("https://klasma.github.io/Logging_2184/klagomål/A 50819-2025 FSC-klagomål.docx", "A 50819-2025")</f>
        <v/>
      </c>
      <c r="W237">
        <f>HYPERLINK("https://klasma.github.io/Logging_2184/klagomålsmail/A 50819-2025 FSC-klagomål mail.docx", "A 50819-2025")</f>
        <v/>
      </c>
      <c r="X237">
        <f>HYPERLINK("https://klasma.github.io/Logging_2184/tillsyn/A 50819-2025 tillsynsbegäran.docx", "A 50819-2025")</f>
        <v/>
      </c>
      <c r="Y237">
        <f>HYPERLINK("https://klasma.github.io/Logging_2184/tillsynsmail/A 50819-2025 tillsynsbegäran mail.docx", "A 50819-2025")</f>
        <v/>
      </c>
    </row>
    <row r="238" ht="15" customHeight="1">
      <c r="A238" t="inlineStr">
        <is>
          <t>A 38485-2025</t>
        </is>
      </c>
      <c r="B238" s="1" t="n">
        <v>45884.3415625</v>
      </c>
      <c r="C238" s="1" t="n">
        <v>46086</v>
      </c>
      <c r="D238" t="inlineStr">
        <is>
          <t>GÄVLEBORGS LÄN</t>
        </is>
      </c>
      <c r="E238" t="inlineStr">
        <is>
          <t>LJUSDAL</t>
        </is>
      </c>
      <c r="F238" t="inlineStr">
        <is>
          <t>Bergvik skog väst AB</t>
        </is>
      </c>
      <c r="G238" t="n">
        <v>9.300000000000001</v>
      </c>
      <c r="H238" t="n">
        <v>0</v>
      </c>
      <c r="I238" t="n">
        <v>1</v>
      </c>
      <c r="J238" t="n">
        <v>2</v>
      </c>
      <c r="K238" t="n">
        <v>0</v>
      </c>
      <c r="L238" t="n">
        <v>0</v>
      </c>
      <c r="M238" t="n">
        <v>0</v>
      </c>
      <c r="N238" t="n">
        <v>0</v>
      </c>
      <c r="O238" t="n">
        <v>2</v>
      </c>
      <c r="P238" t="n">
        <v>0</v>
      </c>
      <c r="Q238" t="n">
        <v>3</v>
      </c>
      <c r="R238" s="2" t="inlineStr">
        <is>
          <t>Kortskaftad ärgspik
Lunglav
Skinnlav</t>
        </is>
      </c>
      <c r="S238">
        <f>HYPERLINK("https://klasma.github.io/Logging_2161/artfynd/A 38485-2025 artfynd.xlsx", "A 38485-2025")</f>
        <v/>
      </c>
      <c r="T238">
        <f>HYPERLINK("https://klasma.github.io/Logging_2161/kartor/A 38485-2025 karta.png", "A 38485-2025")</f>
        <v/>
      </c>
      <c r="V238">
        <f>HYPERLINK("https://klasma.github.io/Logging_2161/klagomål/A 38485-2025 FSC-klagomål.docx", "A 38485-2025")</f>
        <v/>
      </c>
      <c r="W238">
        <f>HYPERLINK("https://klasma.github.io/Logging_2161/klagomålsmail/A 38485-2025 FSC-klagomål mail.docx", "A 38485-2025")</f>
        <v/>
      </c>
      <c r="X238">
        <f>HYPERLINK("https://klasma.github.io/Logging_2161/tillsyn/A 38485-2025 tillsynsbegäran.docx", "A 38485-2025")</f>
        <v/>
      </c>
      <c r="Y238">
        <f>HYPERLINK("https://klasma.github.io/Logging_2161/tillsynsmail/A 38485-2025 tillsynsbegäran mail.docx", "A 38485-2025")</f>
        <v/>
      </c>
    </row>
    <row r="239" ht="15" customHeight="1">
      <c r="A239" t="inlineStr">
        <is>
          <t>A 64533-2023</t>
        </is>
      </c>
      <c r="B239" s="1" t="n">
        <v>45281</v>
      </c>
      <c r="C239" s="1" t="n">
        <v>46086</v>
      </c>
      <c r="D239" t="inlineStr">
        <is>
          <t>GÄVLEBORGS LÄN</t>
        </is>
      </c>
      <c r="E239" t="inlineStr">
        <is>
          <t>GÄVLE</t>
        </is>
      </c>
      <c r="G239" t="n">
        <v>1.1</v>
      </c>
      <c r="H239" t="n">
        <v>0</v>
      </c>
      <c r="I239" t="n">
        <v>2</v>
      </c>
      <c r="J239" t="n">
        <v>1</v>
      </c>
      <c r="K239" t="n">
        <v>0</v>
      </c>
      <c r="L239" t="n">
        <v>0</v>
      </c>
      <c r="M239" t="n">
        <v>0</v>
      </c>
      <c r="N239" t="n">
        <v>0</v>
      </c>
      <c r="O239" t="n">
        <v>1</v>
      </c>
      <c r="P239" t="n">
        <v>0</v>
      </c>
      <c r="Q239" t="n">
        <v>3</v>
      </c>
      <c r="R239" s="2" t="inlineStr">
        <is>
          <t>Asppraktbagge
Aspvedgnagare
Jättesvampmal</t>
        </is>
      </c>
      <c r="S239">
        <f>HYPERLINK("https://klasma.github.io/Logging_2180/artfynd/A 64533-2023 artfynd.xlsx", "A 64533-2023")</f>
        <v/>
      </c>
      <c r="T239">
        <f>HYPERLINK("https://klasma.github.io/Logging_2180/kartor/A 64533-2023 karta.png", "A 64533-2023")</f>
        <v/>
      </c>
      <c r="V239">
        <f>HYPERLINK("https://klasma.github.io/Logging_2180/klagomål/A 64533-2023 FSC-klagomål.docx", "A 64533-2023")</f>
        <v/>
      </c>
      <c r="W239">
        <f>HYPERLINK("https://klasma.github.io/Logging_2180/klagomålsmail/A 64533-2023 FSC-klagomål mail.docx", "A 64533-2023")</f>
        <v/>
      </c>
      <c r="X239">
        <f>HYPERLINK("https://klasma.github.io/Logging_2180/tillsyn/A 64533-2023 tillsynsbegäran.docx", "A 64533-2023")</f>
        <v/>
      </c>
      <c r="Y239">
        <f>HYPERLINK("https://klasma.github.io/Logging_2180/tillsynsmail/A 64533-2023 tillsynsbegäran mail.docx", "A 64533-2023")</f>
        <v/>
      </c>
    </row>
    <row r="240" ht="15" customHeight="1">
      <c r="A240" t="inlineStr">
        <is>
          <t>A 17707-2025</t>
        </is>
      </c>
      <c r="B240" s="1" t="n">
        <v>45758</v>
      </c>
      <c r="C240" s="1" t="n">
        <v>46086</v>
      </c>
      <c r="D240" t="inlineStr">
        <is>
          <t>GÄVLEBORGS LÄN</t>
        </is>
      </c>
      <c r="E240" t="inlineStr">
        <is>
          <t>LJUSDAL</t>
        </is>
      </c>
      <c r="F240" t="inlineStr">
        <is>
          <t>Kyrkan</t>
        </is>
      </c>
      <c r="G240" t="n">
        <v>7.2</v>
      </c>
      <c r="H240" t="n">
        <v>2</v>
      </c>
      <c r="I240" t="n">
        <v>2</v>
      </c>
      <c r="J240" t="n">
        <v>0</v>
      </c>
      <c r="K240" t="n">
        <v>1</v>
      </c>
      <c r="L240" t="n">
        <v>0</v>
      </c>
      <c r="M240" t="n">
        <v>0</v>
      </c>
      <c r="N240" t="n">
        <v>0</v>
      </c>
      <c r="O240" t="n">
        <v>1</v>
      </c>
      <c r="P240" t="n">
        <v>1</v>
      </c>
      <c r="Q240" t="n">
        <v>3</v>
      </c>
      <c r="R240" s="2" t="inlineStr">
        <is>
          <t>Knärot
Grönpyrola
Plattlummer</t>
        </is>
      </c>
      <c r="S240">
        <f>HYPERLINK("https://klasma.github.io/Logging_2161/artfynd/A 17707-2025 artfynd.xlsx", "A 17707-2025")</f>
        <v/>
      </c>
      <c r="T240">
        <f>HYPERLINK("https://klasma.github.io/Logging_2161/kartor/A 17707-2025 karta.png", "A 17707-2025")</f>
        <v/>
      </c>
      <c r="U240">
        <f>HYPERLINK("https://klasma.github.io/Logging_2161/knärot/A 17707-2025 karta knärot.png", "A 17707-2025")</f>
        <v/>
      </c>
      <c r="V240">
        <f>HYPERLINK("https://klasma.github.io/Logging_2161/klagomål/A 17707-2025 FSC-klagomål.docx", "A 17707-2025")</f>
        <v/>
      </c>
      <c r="W240">
        <f>HYPERLINK("https://klasma.github.io/Logging_2161/klagomålsmail/A 17707-2025 FSC-klagomål mail.docx", "A 17707-2025")</f>
        <v/>
      </c>
      <c r="X240">
        <f>HYPERLINK("https://klasma.github.io/Logging_2161/tillsyn/A 17707-2025 tillsynsbegäran.docx", "A 17707-2025")</f>
        <v/>
      </c>
      <c r="Y240">
        <f>HYPERLINK("https://klasma.github.io/Logging_2161/tillsynsmail/A 17707-2025 tillsynsbegäran mail.docx", "A 17707-2025")</f>
        <v/>
      </c>
    </row>
    <row r="241" ht="15" customHeight="1">
      <c r="A241" t="inlineStr">
        <is>
          <t>A 54503-2025</t>
        </is>
      </c>
      <c r="B241" s="1" t="n">
        <v>45965.61570601852</v>
      </c>
      <c r="C241" s="1" t="n">
        <v>46086</v>
      </c>
      <c r="D241" t="inlineStr">
        <is>
          <t>GÄVLEBORGS LÄN</t>
        </is>
      </c>
      <c r="E241" t="inlineStr">
        <is>
          <t>OVANÅKER</t>
        </is>
      </c>
      <c r="G241" t="n">
        <v>2.1</v>
      </c>
      <c r="H241" t="n">
        <v>2</v>
      </c>
      <c r="I241" t="n">
        <v>0</v>
      </c>
      <c r="J241" t="n">
        <v>0</v>
      </c>
      <c r="K241" t="n">
        <v>0</v>
      </c>
      <c r="L241" t="n">
        <v>2</v>
      </c>
      <c r="M241" t="n">
        <v>0</v>
      </c>
      <c r="N241" t="n">
        <v>0</v>
      </c>
      <c r="O241" t="n">
        <v>2</v>
      </c>
      <c r="P241" t="n">
        <v>2</v>
      </c>
      <c r="Q241" t="n">
        <v>3</v>
      </c>
      <c r="R241" s="2" t="inlineStr">
        <is>
          <t>Bredgentiana
Fältgentiana
Fläcknycklar</t>
        </is>
      </c>
      <c r="S241">
        <f>HYPERLINK("https://klasma.github.io/Logging_2121/artfynd/A 54503-2025 artfynd.xlsx", "A 54503-2025")</f>
        <v/>
      </c>
      <c r="T241">
        <f>HYPERLINK("https://klasma.github.io/Logging_2121/kartor/A 54503-2025 karta.png", "A 54503-2025")</f>
        <v/>
      </c>
      <c r="V241">
        <f>HYPERLINK("https://klasma.github.io/Logging_2121/klagomål/A 54503-2025 FSC-klagomål.docx", "A 54503-2025")</f>
        <v/>
      </c>
      <c r="W241">
        <f>HYPERLINK("https://klasma.github.io/Logging_2121/klagomålsmail/A 54503-2025 FSC-klagomål mail.docx", "A 54503-2025")</f>
        <v/>
      </c>
      <c r="X241">
        <f>HYPERLINK("https://klasma.github.io/Logging_2121/tillsyn/A 54503-2025 tillsynsbegäran.docx", "A 54503-2025")</f>
        <v/>
      </c>
      <c r="Y241">
        <f>HYPERLINK("https://klasma.github.io/Logging_2121/tillsynsmail/A 54503-2025 tillsynsbegäran mail.docx", "A 54503-2025")</f>
        <v/>
      </c>
    </row>
    <row r="242" ht="15" customHeight="1">
      <c r="A242" t="inlineStr">
        <is>
          <t>A 36621-2024</t>
        </is>
      </c>
      <c r="B242" s="1" t="n">
        <v>45537.58864583333</v>
      </c>
      <c r="C242" s="1" t="n">
        <v>46086</v>
      </c>
      <c r="D242" t="inlineStr">
        <is>
          <t>GÄVLEBORGS LÄN</t>
        </is>
      </c>
      <c r="E242" t="inlineStr">
        <is>
          <t>LJUSDAL</t>
        </is>
      </c>
      <c r="F242" t="inlineStr">
        <is>
          <t>Sveaskog</t>
        </is>
      </c>
      <c r="G242" t="n">
        <v>2.9</v>
      </c>
      <c r="H242" t="n">
        <v>0</v>
      </c>
      <c r="I242" t="n">
        <v>0</v>
      </c>
      <c r="J242" t="n">
        <v>3</v>
      </c>
      <c r="K242" t="n">
        <v>0</v>
      </c>
      <c r="L242" t="n">
        <v>0</v>
      </c>
      <c r="M242" t="n">
        <v>0</v>
      </c>
      <c r="N242" t="n">
        <v>0</v>
      </c>
      <c r="O242" t="n">
        <v>3</v>
      </c>
      <c r="P242" t="n">
        <v>0</v>
      </c>
      <c r="Q242" t="n">
        <v>3</v>
      </c>
      <c r="R242" s="2" t="inlineStr">
        <is>
          <t>Kolflarnlav
Lunglav
Mörk kolflarnlav</t>
        </is>
      </c>
      <c r="S242">
        <f>HYPERLINK("https://klasma.github.io/Logging_2161/artfynd/A 36621-2024 artfynd.xlsx", "A 36621-2024")</f>
        <v/>
      </c>
      <c r="T242">
        <f>HYPERLINK("https://klasma.github.io/Logging_2161/kartor/A 36621-2024 karta.png", "A 36621-2024")</f>
        <v/>
      </c>
      <c r="V242">
        <f>HYPERLINK("https://klasma.github.io/Logging_2161/klagomål/A 36621-2024 FSC-klagomål.docx", "A 36621-2024")</f>
        <v/>
      </c>
      <c r="W242">
        <f>HYPERLINK("https://klasma.github.io/Logging_2161/klagomålsmail/A 36621-2024 FSC-klagomål mail.docx", "A 36621-2024")</f>
        <v/>
      </c>
      <c r="X242">
        <f>HYPERLINK("https://klasma.github.io/Logging_2161/tillsyn/A 36621-2024 tillsynsbegäran.docx", "A 36621-2024")</f>
        <v/>
      </c>
      <c r="Y242">
        <f>HYPERLINK("https://klasma.github.io/Logging_2161/tillsynsmail/A 36621-2024 tillsynsbegäran mail.docx", "A 36621-2024")</f>
        <v/>
      </c>
    </row>
    <row r="243" ht="15" customHeight="1">
      <c r="A243" t="inlineStr">
        <is>
          <t>A 36629-2024</t>
        </is>
      </c>
      <c r="B243" s="1" t="n">
        <v>45537</v>
      </c>
      <c r="C243" s="1" t="n">
        <v>46086</v>
      </c>
      <c r="D243" t="inlineStr">
        <is>
          <t>GÄVLEBORGS LÄN</t>
        </is>
      </c>
      <c r="E243" t="inlineStr">
        <is>
          <t>LJUSDAL</t>
        </is>
      </c>
      <c r="F243" t="inlineStr">
        <is>
          <t>Sveaskog</t>
        </is>
      </c>
      <c r="G243" t="n">
        <v>1.1</v>
      </c>
      <c r="H243" t="n">
        <v>0</v>
      </c>
      <c r="I243" t="n">
        <v>0</v>
      </c>
      <c r="J243" t="n">
        <v>3</v>
      </c>
      <c r="K243" t="n">
        <v>0</v>
      </c>
      <c r="L243" t="n">
        <v>0</v>
      </c>
      <c r="M243" t="n">
        <v>0</v>
      </c>
      <c r="N243" t="n">
        <v>0</v>
      </c>
      <c r="O243" t="n">
        <v>3</v>
      </c>
      <c r="P243" t="n">
        <v>0</v>
      </c>
      <c r="Q243" t="n">
        <v>3</v>
      </c>
      <c r="R243" s="2" t="inlineStr">
        <is>
          <t>Garnlav
Kolflarnlav
Mörk kolflarnlav</t>
        </is>
      </c>
      <c r="S243">
        <f>HYPERLINK("https://klasma.github.io/Logging_2161/artfynd/A 36629-2024 artfynd.xlsx", "A 36629-2024")</f>
        <v/>
      </c>
      <c r="T243">
        <f>HYPERLINK("https://klasma.github.io/Logging_2161/kartor/A 36629-2024 karta.png", "A 36629-2024")</f>
        <v/>
      </c>
      <c r="V243">
        <f>HYPERLINK("https://klasma.github.io/Logging_2161/klagomål/A 36629-2024 FSC-klagomål.docx", "A 36629-2024")</f>
        <v/>
      </c>
      <c r="W243">
        <f>HYPERLINK("https://klasma.github.io/Logging_2161/klagomålsmail/A 36629-2024 FSC-klagomål mail.docx", "A 36629-2024")</f>
        <v/>
      </c>
      <c r="X243">
        <f>HYPERLINK("https://klasma.github.io/Logging_2161/tillsyn/A 36629-2024 tillsynsbegäran.docx", "A 36629-2024")</f>
        <v/>
      </c>
      <c r="Y243">
        <f>HYPERLINK("https://klasma.github.io/Logging_2161/tillsynsmail/A 36629-2024 tillsynsbegäran mail.docx", "A 36629-2024")</f>
        <v/>
      </c>
    </row>
    <row r="244" ht="15" customHeight="1">
      <c r="A244" t="inlineStr">
        <is>
          <t>A 31805-2024</t>
        </is>
      </c>
      <c r="B244" s="1" t="n">
        <v>45509</v>
      </c>
      <c r="C244" s="1" t="n">
        <v>46086</v>
      </c>
      <c r="D244" t="inlineStr">
        <is>
          <t>GÄVLEBORGS LÄN</t>
        </is>
      </c>
      <c r="E244" t="inlineStr">
        <is>
          <t>SÖDERHAMN</t>
        </is>
      </c>
      <c r="G244" t="n">
        <v>7.3</v>
      </c>
      <c r="H244" t="n">
        <v>3</v>
      </c>
      <c r="I244" t="n">
        <v>0</v>
      </c>
      <c r="J244" t="n">
        <v>1</v>
      </c>
      <c r="K244" t="n">
        <v>1</v>
      </c>
      <c r="L244" t="n">
        <v>0</v>
      </c>
      <c r="M244" t="n">
        <v>0</v>
      </c>
      <c r="N244" t="n">
        <v>0</v>
      </c>
      <c r="O244" t="n">
        <v>2</v>
      </c>
      <c r="P244" t="n">
        <v>1</v>
      </c>
      <c r="Q244" t="n">
        <v>3</v>
      </c>
      <c r="R244" s="2" t="inlineStr">
        <is>
          <t>Knärot
Duvhök
Kungsfågel</t>
        </is>
      </c>
      <c r="S244">
        <f>HYPERLINK("https://klasma.github.io/Logging_2182/artfynd/A 31805-2024 artfynd.xlsx", "A 31805-2024")</f>
        <v/>
      </c>
      <c r="T244">
        <f>HYPERLINK("https://klasma.github.io/Logging_2182/kartor/A 31805-2024 karta.png", "A 31805-2024")</f>
        <v/>
      </c>
      <c r="U244">
        <f>HYPERLINK("https://klasma.github.io/Logging_2182/knärot/A 31805-2024 karta knärot.png", "A 31805-2024")</f>
        <v/>
      </c>
      <c r="V244">
        <f>HYPERLINK("https://klasma.github.io/Logging_2182/klagomål/A 31805-2024 FSC-klagomål.docx", "A 31805-2024")</f>
        <v/>
      </c>
      <c r="W244">
        <f>HYPERLINK("https://klasma.github.io/Logging_2182/klagomålsmail/A 31805-2024 FSC-klagomål mail.docx", "A 31805-2024")</f>
        <v/>
      </c>
      <c r="X244">
        <f>HYPERLINK("https://klasma.github.io/Logging_2182/tillsyn/A 31805-2024 tillsynsbegäran.docx", "A 31805-2024")</f>
        <v/>
      </c>
      <c r="Y244">
        <f>HYPERLINK("https://klasma.github.io/Logging_2182/tillsynsmail/A 31805-2024 tillsynsbegäran mail.docx", "A 31805-2024")</f>
        <v/>
      </c>
      <c r="Z244">
        <f>HYPERLINK("https://klasma.github.io/Logging_2182/fåglar/A 31805-2024 prioriterade fågelarter.docx", "A 31805-2024")</f>
        <v/>
      </c>
    </row>
    <row r="245" ht="15" customHeight="1">
      <c r="A245" t="inlineStr">
        <is>
          <t>A 55108-2025</t>
        </is>
      </c>
      <c r="B245" s="1" t="n">
        <v>45968.37034722222</v>
      </c>
      <c r="C245" s="1" t="n">
        <v>46086</v>
      </c>
      <c r="D245" t="inlineStr">
        <is>
          <t>GÄVLEBORGS LÄN</t>
        </is>
      </c>
      <c r="E245" t="inlineStr">
        <is>
          <t>LJUSDAL</t>
        </is>
      </c>
      <c r="F245" t="inlineStr">
        <is>
          <t>Sveaskog</t>
        </is>
      </c>
      <c r="G245" t="n">
        <v>3.2</v>
      </c>
      <c r="H245" t="n">
        <v>0</v>
      </c>
      <c r="I245" t="n">
        <v>0</v>
      </c>
      <c r="J245" t="n">
        <v>3</v>
      </c>
      <c r="K245" t="n">
        <v>0</v>
      </c>
      <c r="L245" t="n">
        <v>0</v>
      </c>
      <c r="M245" t="n">
        <v>0</v>
      </c>
      <c r="N245" t="n">
        <v>0</v>
      </c>
      <c r="O245" t="n">
        <v>3</v>
      </c>
      <c r="P245" t="n">
        <v>0</v>
      </c>
      <c r="Q245" t="n">
        <v>3</v>
      </c>
      <c r="R245" s="2" t="inlineStr">
        <is>
          <t>Garnlav
Lunglav
Tallticka</t>
        </is>
      </c>
      <c r="S245">
        <f>HYPERLINK("https://klasma.github.io/Logging_2161/artfynd/A 55108-2025 artfynd.xlsx", "A 55108-2025")</f>
        <v/>
      </c>
      <c r="T245">
        <f>HYPERLINK("https://klasma.github.io/Logging_2161/kartor/A 55108-2025 karta.png", "A 55108-2025")</f>
        <v/>
      </c>
      <c r="V245">
        <f>HYPERLINK("https://klasma.github.io/Logging_2161/klagomål/A 55108-2025 FSC-klagomål.docx", "A 55108-2025")</f>
        <v/>
      </c>
      <c r="W245">
        <f>HYPERLINK("https://klasma.github.io/Logging_2161/klagomålsmail/A 55108-2025 FSC-klagomål mail.docx", "A 55108-2025")</f>
        <v/>
      </c>
      <c r="X245">
        <f>HYPERLINK("https://klasma.github.io/Logging_2161/tillsyn/A 55108-2025 tillsynsbegäran.docx", "A 55108-2025")</f>
        <v/>
      </c>
      <c r="Y245">
        <f>HYPERLINK("https://klasma.github.io/Logging_2161/tillsynsmail/A 55108-2025 tillsynsbegäran mail.docx", "A 55108-2025")</f>
        <v/>
      </c>
    </row>
    <row r="246" ht="15" customHeight="1">
      <c r="A246" t="inlineStr">
        <is>
          <t>A 58515-2021</t>
        </is>
      </c>
      <c r="B246" s="1" t="n">
        <v>44488.65100694444</v>
      </c>
      <c r="C246" s="1" t="n">
        <v>46086</v>
      </c>
      <c r="D246" t="inlineStr">
        <is>
          <t>GÄVLEBORGS LÄN</t>
        </is>
      </c>
      <c r="E246" t="inlineStr">
        <is>
          <t>BOLLNÄS</t>
        </is>
      </c>
      <c r="G246" t="n">
        <v>1.1</v>
      </c>
      <c r="H246" t="n">
        <v>1</v>
      </c>
      <c r="I246" t="n">
        <v>0</v>
      </c>
      <c r="J246" t="n">
        <v>2</v>
      </c>
      <c r="K246" t="n">
        <v>1</v>
      </c>
      <c r="L246" t="n">
        <v>0</v>
      </c>
      <c r="M246" t="n">
        <v>0</v>
      </c>
      <c r="N246" t="n">
        <v>0</v>
      </c>
      <c r="O246" t="n">
        <v>3</v>
      </c>
      <c r="P246" t="n">
        <v>1</v>
      </c>
      <c r="Q246" t="n">
        <v>3</v>
      </c>
      <c r="R246" s="2" t="inlineStr">
        <is>
          <t>Knärot
Rosenticka
Ullticka</t>
        </is>
      </c>
      <c r="S246">
        <f>HYPERLINK("https://klasma.github.io/Logging_2183/artfynd/A 58515-2021 artfynd.xlsx", "A 58515-2021")</f>
        <v/>
      </c>
      <c r="T246">
        <f>HYPERLINK("https://klasma.github.io/Logging_2183/kartor/A 58515-2021 karta.png", "A 58515-2021")</f>
        <v/>
      </c>
      <c r="U246">
        <f>HYPERLINK("https://klasma.github.io/Logging_2183/knärot/A 58515-2021 karta knärot.png", "A 58515-2021")</f>
        <v/>
      </c>
      <c r="V246">
        <f>HYPERLINK("https://klasma.github.io/Logging_2183/klagomål/A 58515-2021 FSC-klagomål.docx", "A 58515-2021")</f>
        <v/>
      </c>
      <c r="W246">
        <f>HYPERLINK("https://klasma.github.io/Logging_2183/klagomålsmail/A 58515-2021 FSC-klagomål mail.docx", "A 58515-2021")</f>
        <v/>
      </c>
      <c r="X246">
        <f>HYPERLINK("https://klasma.github.io/Logging_2183/tillsyn/A 58515-2021 tillsynsbegäran.docx", "A 58515-2021")</f>
        <v/>
      </c>
      <c r="Y246">
        <f>HYPERLINK("https://klasma.github.io/Logging_2183/tillsynsmail/A 58515-2021 tillsynsbegäran mail.docx", "A 58515-2021")</f>
        <v/>
      </c>
    </row>
    <row r="247" ht="15" customHeight="1">
      <c r="A247" t="inlineStr">
        <is>
          <t>A 24802-2023</t>
        </is>
      </c>
      <c r="B247" s="1" t="n">
        <v>45084</v>
      </c>
      <c r="C247" s="1" t="n">
        <v>46086</v>
      </c>
      <c r="D247" t="inlineStr">
        <is>
          <t>GÄVLEBORGS LÄN</t>
        </is>
      </c>
      <c r="E247" t="inlineStr">
        <is>
          <t>SANDVIKEN</t>
        </is>
      </c>
      <c r="F247" t="inlineStr">
        <is>
          <t>Bergvik skog öst AB</t>
        </is>
      </c>
      <c r="G247" t="n">
        <v>3</v>
      </c>
      <c r="H247" t="n">
        <v>0</v>
      </c>
      <c r="I247" t="n">
        <v>2</v>
      </c>
      <c r="J247" t="n">
        <v>1</v>
      </c>
      <c r="K247" t="n">
        <v>0</v>
      </c>
      <c r="L247" t="n">
        <v>0</v>
      </c>
      <c r="M247" t="n">
        <v>0</v>
      </c>
      <c r="N247" t="n">
        <v>0</v>
      </c>
      <c r="O247" t="n">
        <v>1</v>
      </c>
      <c r="P247" t="n">
        <v>0</v>
      </c>
      <c r="Q247" t="n">
        <v>3</v>
      </c>
      <c r="R247" s="2" t="inlineStr">
        <is>
          <t>Koralltaggsvamp
Brandticka
Svart trolldruva</t>
        </is>
      </c>
      <c r="S247">
        <f>HYPERLINK("https://klasma.github.io/Logging_2181/artfynd/A 24802-2023 artfynd.xlsx", "A 24802-2023")</f>
        <v/>
      </c>
      <c r="T247">
        <f>HYPERLINK("https://klasma.github.io/Logging_2181/kartor/A 24802-2023 karta.png", "A 24802-2023")</f>
        <v/>
      </c>
      <c r="V247">
        <f>HYPERLINK("https://klasma.github.io/Logging_2181/klagomål/A 24802-2023 FSC-klagomål.docx", "A 24802-2023")</f>
        <v/>
      </c>
      <c r="W247">
        <f>HYPERLINK("https://klasma.github.io/Logging_2181/klagomålsmail/A 24802-2023 FSC-klagomål mail.docx", "A 24802-2023")</f>
        <v/>
      </c>
      <c r="X247">
        <f>HYPERLINK("https://klasma.github.io/Logging_2181/tillsyn/A 24802-2023 tillsynsbegäran.docx", "A 24802-2023")</f>
        <v/>
      </c>
      <c r="Y247">
        <f>HYPERLINK("https://klasma.github.io/Logging_2181/tillsynsmail/A 24802-2023 tillsynsbegäran mail.docx", "A 24802-2023")</f>
        <v/>
      </c>
    </row>
    <row r="248" ht="15" customHeight="1">
      <c r="A248" t="inlineStr">
        <is>
          <t>A 60173-2025</t>
        </is>
      </c>
      <c r="B248" s="1" t="n">
        <v>45994.44869212963</v>
      </c>
      <c r="C248" s="1" t="n">
        <v>46086</v>
      </c>
      <c r="D248" t="inlineStr">
        <is>
          <t>GÄVLEBORGS LÄN</t>
        </is>
      </c>
      <c r="E248" t="inlineStr">
        <is>
          <t>NORDANSTIG</t>
        </is>
      </c>
      <c r="F248" t="inlineStr">
        <is>
          <t>SCA</t>
        </is>
      </c>
      <c r="G248" t="n">
        <v>6</v>
      </c>
      <c r="H248" t="n">
        <v>0</v>
      </c>
      <c r="I248" t="n">
        <v>1</v>
      </c>
      <c r="J248" t="n">
        <v>2</v>
      </c>
      <c r="K248" t="n">
        <v>0</v>
      </c>
      <c r="L248" t="n">
        <v>0</v>
      </c>
      <c r="M248" t="n">
        <v>0</v>
      </c>
      <c r="N248" t="n">
        <v>0</v>
      </c>
      <c r="O248" t="n">
        <v>2</v>
      </c>
      <c r="P248" t="n">
        <v>0</v>
      </c>
      <c r="Q248" t="n">
        <v>3</v>
      </c>
      <c r="R248" s="2" t="inlineStr">
        <is>
          <t>Blå taggsvamp
Talltaggsvamp
Dropptaggsvamp</t>
        </is>
      </c>
      <c r="S248">
        <f>HYPERLINK("https://klasma.github.io/Logging_2132/artfynd/A 60173-2025 artfynd.xlsx", "A 60173-2025")</f>
        <v/>
      </c>
      <c r="T248">
        <f>HYPERLINK("https://klasma.github.io/Logging_2132/kartor/A 60173-2025 karta.png", "A 60173-2025")</f>
        <v/>
      </c>
      <c r="V248">
        <f>HYPERLINK("https://klasma.github.io/Logging_2132/klagomål/A 60173-2025 FSC-klagomål.docx", "A 60173-2025")</f>
        <v/>
      </c>
      <c r="W248">
        <f>HYPERLINK("https://klasma.github.io/Logging_2132/klagomålsmail/A 60173-2025 FSC-klagomål mail.docx", "A 60173-2025")</f>
        <v/>
      </c>
      <c r="X248">
        <f>HYPERLINK("https://klasma.github.io/Logging_2132/tillsyn/A 60173-2025 tillsynsbegäran.docx", "A 60173-2025")</f>
        <v/>
      </c>
      <c r="Y248">
        <f>HYPERLINK("https://klasma.github.io/Logging_2132/tillsynsmail/A 60173-2025 tillsynsbegäran mail.docx", "A 60173-2025")</f>
        <v/>
      </c>
    </row>
    <row r="249" ht="15" customHeight="1">
      <c r="A249" t="inlineStr">
        <is>
          <t>A 39024-2024</t>
        </is>
      </c>
      <c r="B249" s="1" t="n">
        <v>45548</v>
      </c>
      <c r="C249" s="1" t="n">
        <v>46086</v>
      </c>
      <c r="D249" t="inlineStr">
        <is>
          <t>GÄVLEBORGS LÄN</t>
        </is>
      </c>
      <c r="E249" t="inlineStr">
        <is>
          <t>LJUSDAL</t>
        </is>
      </c>
      <c r="F249" t="inlineStr">
        <is>
          <t>Sveaskog</t>
        </is>
      </c>
      <c r="G249" t="n">
        <v>17</v>
      </c>
      <c r="H249" t="n">
        <v>0</v>
      </c>
      <c r="I249" t="n">
        <v>0</v>
      </c>
      <c r="J249" t="n">
        <v>3</v>
      </c>
      <c r="K249" t="n">
        <v>0</v>
      </c>
      <c r="L249" t="n">
        <v>0</v>
      </c>
      <c r="M249" t="n">
        <v>0</v>
      </c>
      <c r="N249" t="n">
        <v>0</v>
      </c>
      <c r="O249" t="n">
        <v>3</v>
      </c>
      <c r="P249" t="n">
        <v>0</v>
      </c>
      <c r="Q249" t="n">
        <v>3</v>
      </c>
      <c r="R249" s="2" t="inlineStr">
        <is>
          <t>Garnlav
Lunglav
Skrovellav</t>
        </is>
      </c>
      <c r="S249">
        <f>HYPERLINK("https://klasma.github.io/Logging_2161/artfynd/A 39024-2024 artfynd.xlsx", "A 39024-2024")</f>
        <v/>
      </c>
      <c r="T249">
        <f>HYPERLINK("https://klasma.github.io/Logging_2161/kartor/A 39024-2024 karta.png", "A 39024-2024")</f>
        <v/>
      </c>
      <c r="V249">
        <f>HYPERLINK("https://klasma.github.io/Logging_2161/klagomål/A 39024-2024 FSC-klagomål.docx", "A 39024-2024")</f>
        <v/>
      </c>
      <c r="W249">
        <f>HYPERLINK("https://klasma.github.io/Logging_2161/klagomålsmail/A 39024-2024 FSC-klagomål mail.docx", "A 39024-2024")</f>
        <v/>
      </c>
      <c r="X249">
        <f>HYPERLINK("https://klasma.github.io/Logging_2161/tillsyn/A 39024-2024 tillsynsbegäran.docx", "A 39024-2024")</f>
        <v/>
      </c>
      <c r="Y249">
        <f>HYPERLINK("https://klasma.github.io/Logging_2161/tillsynsmail/A 39024-2024 tillsynsbegäran mail.docx", "A 39024-2024")</f>
        <v/>
      </c>
    </row>
    <row r="250" ht="15" customHeight="1">
      <c r="A250" t="inlineStr">
        <is>
          <t>A 44451-2024</t>
        </is>
      </c>
      <c r="B250" s="1" t="n">
        <v>45574</v>
      </c>
      <c r="C250" s="1" t="n">
        <v>46086</v>
      </c>
      <c r="D250" t="inlineStr">
        <is>
          <t>GÄVLEBORGS LÄN</t>
        </is>
      </c>
      <c r="E250" t="inlineStr">
        <is>
          <t>LJUSDAL</t>
        </is>
      </c>
      <c r="G250" t="n">
        <v>1.4</v>
      </c>
      <c r="H250" t="n">
        <v>1</v>
      </c>
      <c r="I250" t="n">
        <v>1</v>
      </c>
      <c r="J250" t="n">
        <v>2</v>
      </c>
      <c r="K250" t="n">
        <v>0</v>
      </c>
      <c r="L250" t="n">
        <v>0</v>
      </c>
      <c r="M250" t="n">
        <v>0</v>
      </c>
      <c r="N250" t="n">
        <v>0</v>
      </c>
      <c r="O250" t="n">
        <v>2</v>
      </c>
      <c r="P250" t="n">
        <v>0</v>
      </c>
      <c r="Q250" t="n">
        <v>3</v>
      </c>
      <c r="R250" s="2" t="inlineStr">
        <is>
          <t>Kolflarnlav
Vedflamlav
Plattlummer</t>
        </is>
      </c>
      <c r="S250">
        <f>HYPERLINK("https://klasma.github.io/Logging_2161/artfynd/A 44451-2024 artfynd.xlsx", "A 44451-2024")</f>
        <v/>
      </c>
      <c r="T250">
        <f>HYPERLINK("https://klasma.github.io/Logging_2161/kartor/A 44451-2024 karta.png", "A 44451-2024")</f>
        <v/>
      </c>
      <c r="V250">
        <f>HYPERLINK("https://klasma.github.io/Logging_2161/klagomål/A 44451-2024 FSC-klagomål.docx", "A 44451-2024")</f>
        <v/>
      </c>
      <c r="W250">
        <f>HYPERLINK("https://klasma.github.io/Logging_2161/klagomålsmail/A 44451-2024 FSC-klagomål mail.docx", "A 44451-2024")</f>
        <v/>
      </c>
      <c r="X250">
        <f>HYPERLINK("https://klasma.github.io/Logging_2161/tillsyn/A 44451-2024 tillsynsbegäran.docx", "A 44451-2024")</f>
        <v/>
      </c>
      <c r="Y250">
        <f>HYPERLINK("https://klasma.github.io/Logging_2161/tillsynsmail/A 44451-2024 tillsynsbegäran mail.docx", "A 44451-2024")</f>
        <v/>
      </c>
    </row>
    <row r="251" ht="15" customHeight="1">
      <c r="A251" t="inlineStr">
        <is>
          <t>A 17701-2025</t>
        </is>
      </c>
      <c r="B251" s="1" t="n">
        <v>45758</v>
      </c>
      <c r="C251" s="1" t="n">
        <v>46086</v>
      </c>
      <c r="D251" t="inlineStr">
        <is>
          <t>GÄVLEBORGS LÄN</t>
        </is>
      </c>
      <c r="E251" t="inlineStr">
        <is>
          <t>LJUSDAL</t>
        </is>
      </c>
      <c r="F251" t="inlineStr">
        <is>
          <t>Kyrkan</t>
        </is>
      </c>
      <c r="G251" t="n">
        <v>3.5</v>
      </c>
      <c r="H251" t="n">
        <v>2</v>
      </c>
      <c r="I251" t="n">
        <v>0</v>
      </c>
      <c r="J251" t="n">
        <v>0</v>
      </c>
      <c r="K251" t="n">
        <v>2</v>
      </c>
      <c r="L251" t="n">
        <v>0</v>
      </c>
      <c r="M251" t="n">
        <v>0</v>
      </c>
      <c r="N251" t="n">
        <v>0</v>
      </c>
      <c r="O251" t="n">
        <v>2</v>
      </c>
      <c r="P251" t="n">
        <v>2</v>
      </c>
      <c r="Q251" t="n">
        <v>3</v>
      </c>
      <c r="R251" s="2" t="inlineStr">
        <is>
          <t>Knärot
Rynkskinn
Tjäder</t>
        </is>
      </c>
      <c r="S251">
        <f>HYPERLINK("https://klasma.github.io/Logging_2161/artfynd/A 17701-2025 artfynd.xlsx", "A 17701-2025")</f>
        <v/>
      </c>
      <c r="T251">
        <f>HYPERLINK("https://klasma.github.io/Logging_2161/kartor/A 17701-2025 karta.png", "A 17701-2025")</f>
        <v/>
      </c>
      <c r="U251">
        <f>HYPERLINK("https://klasma.github.io/Logging_2161/knärot/A 17701-2025 karta knärot.png", "A 17701-2025")</f>
        <v/>
      </c>
      <c r="V251">
        <f>HYPERLINK("https://klasma.github.io/Logging_2161/klagomål/A 17701-2025 FSC-klagomål.docx", "A 17701-2025")</f>
        <v/>
      </c>
      <c r="W251">
        <f>HYPERLINK("https://klasma.github.io/Logging_2161/klagomålsmail/A 17701-2025 FSC-klagomål mail.docx", "A 17701-2025")</f>
        <v/>
      </c>
      <c r="X251">
        <f>HYPERLINK("https://klasma.github.io/Logging_2161/tillsyn/A 17701-2025 tillsynsbegäran.docx", "A 17701-2025")</f>
        <v/>
      </c>
      <c r="Y251">
        <f>HYPERLINK("https://klasma.github.io/Logging_2161/tillsynsmail/A 17701-2025 tillsynsbegäran mail.docx", "A 17701-2025")</f>
        <v/>
      </c>
      <c r="Z251">
        <f>HYPERLINK("https://klasma.github.io/Logging_2161/fåglar/A 17701-2025 prioriterade fågelarter.docx", "A 17701-2025")</f>
        <v/>
      </c>
    </row>
    <row r="252" ht="15" customHeight="1">
      <c r="A252" t="inlineStr">
        <is>
          <t>A 22229-2024</t>
        </is>
      </c>
      <c r="B252" s="1" t="n">
        <v>45446.42638888889</v>
      </c>
      <c r="C252" s="1" t="n">
        <v>46086</v>
      </c>
      <c r="D252" t="inlineStr">
        <is>
          <t>GÄVLEBORGS LÄN</t>
        </is>
      </c>
      <c r="E252" t="inlineStr">
        <is>
          <t>LJUSDAL</t>
        </is>
      </c>
      <c r="F252" t="inlineStr">
        <is>
          <t>Sveaskog</t>
        </is>
      </c>
      <c r="G252" t="n">
        <v>4.2</v>
      </c>
      <c r="H252" t="n">
        <v>2</v>
      </c>
      <c r="I252" t="n">
        <v>0</v>
      </c>
      <c r="J252" t="n">
        <v>2</v>
      </c>
      <c r="K252" t="n">
        <v>1</v>
      </c>
      <c r="L252" t="n">
        <v>0</v>
      </c>
      <c r="M252" t="n">
        <v>0</v>
      </c>
      <c r="N252" t="n">
        <v>0</v>
      </c>
      <c r="O252" t="n">
        <v>3</v>
      </c>
      <c r="P252" t="n">
        <v>1</v>
      </c>
      <c r="Q252" t="n">
        <v>3</v>
      </c>
      <c r="R252" s="2" t="inlineStr">
        <is>
          <t>Topplåsbräken
Höstlåsbräken
Månlåsbräken</t>
        </is>
      </c>
      <c r="S252">
        <f>HYPERLINK("https://klasma.github.io/Logging_2161/artfynd/A 22229-2024 artfynd.xlsx", "A 22229-2024")</f>
        <v/>
      </c>
      <c r="T252">
        <f>HYPERLINK("https://klasma.github.io/Logging_2161/kartor/A 22229-2024 karta.png", "A 22229-2024")</f>
        <v/>
      </c>
      <c r="V252">
        <f>HYPERLINK("https://klasma.github.io/Logging_2161/klagomål/A 22229-2024 FSC-klagomål.docx", "A 22229-2024")</f>
        <v/>
      </c>
      <c r="W252">
        <f>HYPERLINK("https://klasma.github.io/Logging_2161/klagomålsmail/A 22229-2024 FSC-klagomål mail.docx", "A 22229-2024")</f>
        <v/>
      </c>
      <c r="X252">
        <f>HYPERLINK("https://klasma.github.io/Logging_2161/tillsyn/A 22229-2024 tillsynsbegäran.docx", "A 22229-2024")</f>
        <v/>
      </c>
      <c r="Y252">
        <f>HYPERLINK("https://klasma.github.io/Logging_2161/tillsynsmail/A 22229-2024 tillsynsbegäran mail.docx", "A 22229-2024")</f>
        <v/>
      </c>
    </row>
    <row r="253" ht="15" customHeight="1">
      <c r="A253" t="inlineStr">
        <is>
          <t>A 12105-2023</t>
        </is>
      </c>
      <c r="B253" s="1" t="n">
        <v>44998</v>
      </c>
      <c r="C253" s="1" t="n">
        <v>46086</v>
      </c>
      <c r="D253" t="inlineStr">
        <is>
          <t>GÄVLEBORGS LÄN</t>
        </is>
      </c>
      <c r="E253" t="inlineStr">
        <is>
          <t>LJUSDAL</t>
        </is>
      </c>
      <c r="G253" t="n">
        <v>11.7</v>
      </c>
      <c r="H253" t="n">
        <v>1</v>
      </c>
      <c r="I253" t="n">
        <v>2</v>
      </c>
      <c r="J253" t="n">
        <v>0</v>
      </c>
      <c r="K253" t="n">
        <v>1</v>
      </c>
      <c r="L253" t="n">
        <v>0</v>
      </c>
      <c r="M253" t="n">
        <v>0</v>
      </c>
      <c r="N253" t="n">
        <v>0</v>
      </c>
      <c r="O253" t="n">
        <v>1</v>
      </c>
      <c r="P253" t="n">
        <v>1</v>
      </c>
      <c r="Q253" t="n">
        <v>3</v>
      </c>
      <c r="R253" s="2" t="inlineStr">
        <is>
          <t>Knärot
Korallblylav
Mörk husmossa</t>
        </is>
      </c>
      <c r="S253">
        <f>HYPERLINK("https://klasma.github.io/Logging_2161/artfynd/A 12105-2023 artfynd.xlsx", "A 12105-2023")</f>
        <v/>
      </c>
      <c r="T253">
        <f>HYPERLINK("https://klasma.github.io/Logging_2161/kartor/A 12105-2023 karta.png", "A 12105-2023")</f>
        <v/>
      </c>
      <c r="U253">
        <f>HYPERLINK("https://klasma.github.io/Logging_2161/knärot/A 12105-2023 karta knärot.png", "A 12105-2023")</f>
        <v/>
      </c>
      <c r="V253">
        <f>HYPERLINK("https://klasma.github.io/Logging_2161/klagomål/A 12105-2023 FSC-klagomål.docx", "A 12105-2023")</f>
        <v/>
      </c>
      <c r="W253">
        <f>HYPERLINK("https://klasma.github.io/Logging_2161/klagomålsmail/A 12105-2023 FSC-klagomål mail.docx", "A 12105-2023")</f>
        <v/>
      </c>
      <c r="X253">
        <f>HYPERLINK("https://klasma.github.io/Logging_2161/tillsyn/A 12105-2023 tillsynsbegäran.docx", "A 12105-2023")</f>
        <v/>
      </c>
      <c r="Y253">
        <f>HYPERLINK("https://klasma.github.io/Logging_2161/tillsynsmail/A 12105-2023 tillsynsbegäran mail.docx", "A 12105-2023")</f>
        <v/>
      </c>
    </row>
    <row r="254" ht="15" customHeight="1">
      <c r="A254" t="inlineStr">
        <is>
          <t>A 43259-2021</t>
        </is>
      </c>
      <c r="B254" s="1" t="n">
        <v>44432</v>
      </c>
      <c r="C254" s="1" t="n">
        <v>46086</v>
      </c>
      <c r="D254" t="inlineStr">
        <is>
          <t>GÄVLEBORGS LÄN</t>
        </is>
      </c>
      <c r="E254" t="inlineStr">
        <is>
          <t>BOLLNÄS</t>
        </is>
      </c>
      <c r="G254" t="n">
        <v>3.8</v>
      </c>
      <c r="H254" t="n">
        <v>2</v>
      </c>
      <c r="I254" t="n">
        <v>1</v>
      </c>
      <c r="J254" t="n">
        <v>1</v>
      </c>
      <c r="K254" t="n">
        <v>1</v>
      </c>
      <c r="L254" t="n">
        <v>0</v>
      </c>
      <c r="M254" t="n">
        <v>0</v>
      </c>
      <c r="N254" t="n">
        <v>0</v>
      </c>
      <c r="O254" t="n">
        <v>2</v>
      </c>
      <c r="P254" t="n">
        <v>1</v>
      </c>
      <c r="Q254" t="n">
        <v>3</v>
      </c>
      <c r="R254" s="2" t="inlineStr">
        <is>
          <t>Knärot
Brunlångöra
Grönpyrola</t>
        </is>
      </c>
      <c r="S254">
        <f>HYPERLINK("https://klasma.github.io/Logging_2183/artfynd/A 43259-2021 artfynd.xlsx", "A 43259-2021")</f>
        <v/>
      </c>
      <c r="T254">
        <f>HYPERLINK("https://klasma.github.io/Logging_2183/kartor/A 43259-2021 karta.png", "A 43259-2021")</f>
        <v/>
      </c>
      <c r="U254">
        <f>HYPERLINK("https://klasma.github.io/Logging_2183/knärot/A 43259-2021 karta knärot.png", "A 43259-2021")</f>
        <v/>
      </c>
      <c r="V254">
        <f>HYPERLINK("https://klasma.github.io/Logging_2183/klagomål/A 43259-2021 FSC-klagomål.docx", "A 43259-2021")</f>
        <v/>
      </c>
      <c r="W254">
        <f>HYPERLINK("https://klasma.github.io/Logging_2183/klagomålsmail/A 43259-2021 FSC-klagomål mail.docx", "A 43259-2021")</f>
        <v/>
      </c>
      <c r="X254">
        <f>HYPERLINK("https://klasma.github.io/Logging_2183/tillsyn/A 43259-2021 tillsynsbegäran.docx", "A 43259-2021")</f>
        <v/>
      </c>
      <c r="Y254">
        <f>HYPERLINK("https://klasma.github.io/Logging_2183/tillsynsmail/A 43259-2021 tillsynsbegäran mail.docx", "A 43259-2021")</f>
        <v/>
      </c>
    </row>
    <row r="255" ht="15" customHeight="1">
      <c r="A255" t="inlineStr">
        <is>
          <t>A 23-2026</t>
        </is>
      </c>
      <c r="B255" s="1" t="n">
        <v>46023.85459490741</v>
      </c>
      <c r="C255" s="1" t="n">
        <v>46086</v>
      </c>
      <c r="D255" t="inlineStr">
        <is>
          <t>GÄVLEBORGS LÄN</t>
        </is>
      </c>
      <c r="E255" t="inlineStr">
        <is>
          <t>LJUSDAL</t>
        </is>
      </c>
      <c r="G255" t="n">
        <v>3.7</v>
      </c>
      <c r="H255" t="n">
        <v>0</v>
      </c>
      <c r="I255" t="n">
        <v>1</v>
      </c>
      <c r="J255" t="n">
        <v>1</v>
      </c>
      <c r="K255" t="n">
        <v>1</v>
      </c>
      <c r="L255" t="n">
        <v>0</v>
      </c>
      <c r="M255" t="n">
        <v>0</v>
      </c>
      <c r="N255" t="n">
        <v>0</v>
      </c>
      <c r="O255" t="n">
        <v>2</v>
      </c>
      <c r="P255" t="n">
        <v>1</v>
      </c>
      <c r="Q255" t="n">
        <v>3</v>
      </c>
      <c r="R255" s="2" t="inlineStr">
        <is>
          <t>Smalfotad taggsvamp
Garnlav
Dropptaggsvamp</t>
        </is>
      </c>
      <c r="S255">
        <f>HYPERLINK("https://klasma.github.io/Logging_2161/artfynd/A 23-2026 artfynd.xlsx", "A 23-2026")</f>
        <v/>
      </c>
      <c r="T255">
        <f>HYPERLINK("https://klasma.github.io/Logging_2161/kartor/A 23-2026 karta.png", "A 23-2026")</f>
        <v/>
      </c>
      <c r="V255">
        <f>HYPERLINK("https://klasma.github.io/Logging_2161/klagomål/A 23-2026 FSC-klagomål.docx", "A 23-2026")</f>
        <v/>
      </c>
      <c r="W255">
        <f>HYPERLINK("https://klasma.github.io/Logging_2161/klagomålsmail/A 23-2026 FSC-klagomål mail.docx", "A 23-2026")</f>
        <v/>
      </c>
      <c r="X255">
        <f>HYPERLINK("https://klasma.github.io/Logging_2161/tillsyn/A 23-2026 tillsynsbegäran.docx", "A 23-2026")</f>
        <v/>
      </c>
      <c r="Y255">
        <f>HYPERLINK("https://klasma.github.io/Logging_2161/tillsynsmail/A 23-2026 tillsynsbegäran mail.docx", "A 23-2026")</f>
        <v/>
      </c>
    </row>
    <row r="256" ht="15" customHeight="1">
      <c r="A256" t="inlineStr">
        <is>
          <t>A 22239-2024</t>
        </is>
      </c>
      <c r="B256" s="1" t="n">
        <v>45446.44012731482</v>
      </c>
      <c r="C256" s="1" t="n">
        <v>46086</v>
      </c>
      <c r="D256" t="inlineStr">
        <is>
          <t>GÄVLEBORGS LÄN</t>
        </is>
      </c>
      <c r="E256" t="inlineStr">
        <is>
          <t>LJUSDAL</t>
        </is>
      </c>
      <c r="F256" t="inlineStr">
        <is>
          <t>Sveaskog</t>
        </is>
      </c>
      <c r="G256" t="n">
        <v>4.4</v>
      </c>
      <c r="H256" t="n">
        <v>0</v>
      </c>
      <c r="I256" t="n">
        <v>0</v>
      </c>
      <c r="J256" t="n">
        <v>3</v>
      </c>
      <c r="K256" t="n">
        <v>0</v>
      </c>
      <c r="L256" t="n">
        <v>0</v>
      </c>
      <c r="M256" t="n">
        <v>0</v>
      </c>
      <c r="N256" t="n">
        <v>0</v>
      </c>
      <c r="O256" t="n">
        <v>3</v>
      </c>
      <c r="P256" t="n">
        <v>0</v>
      </c>
      <c r="Q256" t="n">
        <v>3</v>
      </c>
      <c r="R256" s="2" t="inlineStr">
        <is>
          <t>Kolflarnlav
Vedflamlav
Vedskivlav</t>
        </is>
      </c>
      <c r="S256">
        <f>HYPERLINK("https://klasma.github.io/Logging_2161/artfynd/A 22239-2024 artfynd.xlsx", "A 22239-2024")</f>
        <v/>
      </c>
      <c r="T256">
        <f>HYPERLINK("https://klasma.github.io/Logging_2161/kartor/A 22239-2024 karta.png", "A 22239-2024")</f>
        <v/>
      </c>
      <c r="V256">
        <f>HYPERLINK("https://klasma.github.io/Logging_2161/klagomål/A 22239-2024 FSC-klagomål.docx", "A 22239-2024")</f>
        <v/>
      </c>
      <c r="W256">
        <f>HYPERLINK("https://klasma.github.io/Logging_2161/klagomålsmail/A 22239-2024 FSC-klagomål mail.docx", "A 22239-2024")</f>
        <v/>
      </c>
      <c r="X256">
        <f>HYPERLINK("https://klasma.github.io/Logging_2161/tillsyn/A 22239-2024 tillsynsbegäran.docx", "A 22239-2024")</f>
        <v/>
      </c>
      <c r="Y256">
        <f>HYPERLINK("https://klasma.github.io/Logging_2161/tillsynsmail/A 22239-2024 tillsynsbegäran mail.docx", "A 22239-2024")</f>
        <v/>
      </c>
    </row>
    <row r="257" ht="15" customHeight="1">
      <c r="A257" t="inlineStr">
        <is>
          <t>A 31473-2023</t>
        </is>
      </c>
      <c r="B257" s="1" t="n">
        <v>45114</v>
      </c>
      <c r="C257" s="1" t="n">
        <v>46086</v>
      </c>
      <c r="D257" t="inlineStr">
        <is>
          <t>GÄVLEBORGS LÄN</t>
        </is>
      </c>
      <c r="E257" t="inlineStr">
        <is>
          <t>LJUSDAL</t>
        </is>
      </c>
      <c r="F257" t="inlineStr">
        <is>
          <t>Sveaskog</t>
        </is>
      </c>
      <c r="G257" t="n">
        <v>15.5</v>
      </c>
      <c r="H257" t="n">
        <v>1</v>
      </c>
      <c r="I257" t="n">
        <v>1</v>
      </c>
      <c r="J257" t="n">
        <v>2</v>
      </c>
      <c r="K257" t="n">
        <v>0</v>
      </c>
      <c r="L257" t="n">
        <v>0</v>
      </c>
      <c r="M257" t="n">
        <v>0</v>
      </c>
      <c r="N257" t="n">
        <v>0</v>
      </c>
      <c r="O257" t="n">
        <v>2</v>
      </c>
      <c r="P257" t="n">
        <v>0</v>
      </c>
      <c r="Q257" t="n">
        <v>3</v>
      </c>
      <c r="R257" s="2" t="inlineStr">
        <is>
          <t>Kolflarnlav
Lunglav
Plattlummer</t>
        </is>
      </c>
      <c r="S257">
        <f>HYPERLINK("https://klasma.github.io/Logging_2161/artfynd/A 31473-2023 artfynd.xlsx", "A 31473-2023")</f>
        <v/>
      </c>
      <c r="T257">
        <f>HYPERLINK("https://klasma.github.io/Logging_2161/kartor/A 31473-2023 karta.png", "A 31473-2023")</f>
        <v/>
      </c>
      <c r="V257">
        <f>HYPERLINK("https://klasma.github.io/Logging_2161/klagomål/A 31473-2023 FSC-klagomål.docx", "A 31473-2023")</f>
        <v/>
      </c>
      <c r="W257">
        <f>HYPERLINK("https://klasma.github.io/Logging_2161/klagomålsmail/A 31473-2023 FSC-klagomål mail.docx", "A 31473-2023")</f>
        <v/>
      </c>
      <c r="X257">
        <f>HYPERLINK("https://klasma.github.io/Logging_2161/tillsyn/A 31473-2023 tillsynsbegäran.docx", "A 31473-2023")</f>
        <v/>
      </c>
      <c r="Y257">
        <f>HYPERLINK("https://klasma.github.io/Logging_2161/tillsynsmail/A 31473-2023 tillsynsbegäran mail.docx", "A 31473-2023")</f>
        <v/>
      </c>
    </row>
    <row r="258" ht="15" customHeight="1">
      <c r="A258" t="inlineStr">
        <is>
          <t>A 36627-2024</t>
        </is>
      </c>
      <c r="B258" s="1" t="n">
        <v>45537</v>
      </c>
      <c r="C258" s="1" t="n">
        <v>46086</v>
      </c>
      <c r="D258" t="inlineStr">
        <is>
          <t>GÄVLEBORGS LÄN</t>
        </is>
      </c>
      <c r="E258" t="inlineStr">
        <is>
          <t>LJUSDAL</t>
        </is>
      </c>
      <c r="F258" t="inlineStr">
        <is>
          <t>Sveaskog</t>
        </is>
      </c>
      <c r="G258" t="n">
        <v>11.8</v>
      </c>
      <c r="H258" t="n">
        <v>0</v>
      </c>
      <c r="I258" t="n">
        <v>0</v>
      </c>
      <c r="J258" t="n">
        <v>3</v>
      </c>
      <c r="K258" t="n">
        <v>0</v>
      </c>
      <c r="L258" t="n">
        <v>0</v>
      </c>
      <c r="M258" t="n">
        <v>0</v>
      </c>
      <c r="N258" t="n">
        <v>0</v>
      </c>
      <c r="O258" t="n">
        <v>3</v>
      </c>
      <c r="P258" t="n">
        <v>0</v>
      </c>
      <c r="Q258" t="n">
        <v>3</v>
      </c>
      <c r="R258" s="2" t="inlineStr">
        <is>
          <t>Garnlav
Kolflarnlav
Mörk kolflarnlav</t>
        </is>
      </c>
      <c r="S258">
        <f>HYPERLINK("https://klasma.github.io/Logging_2161/artfynd/A 36627-2024 artfynd.xlsx", "A 36627-2024")</f>
        <v/>
      </c>
      <c r="T258">
        <f>HYPERLINK("https://klasma.github.io/Logging_2161/kartor/A 36627-2024 karta.png", "A 36627-2024")</f>
        <v/>
      </c>
      <c r="V258">
        <f>HYPERLINK("https://klasma.github.io/Logging_2161/klagomål/A 36627-2024 FSC-klagomål.docx", "A 36627-2024")</f>
        <v/>
      </c>
      <c r="W258">
        <f>HYPERLINK("https://klasma.github.io/Logging_2161/klagomålsmail/A 36627-2024 FSC-klagomål mail.docx", "A 36627-2024")</f>
        <v/>
      </c>
      <c r="X258">
        <f>HYPERLINK("https://klasma.github.io/Logging_2161/tillsyn/A 36627-2024 tillsynsbegäran.docx", "A 36627-2024")</f>
        <v/>
      </c>
      <c r="Y258">
        <f>HYPERLINK("https://klasma.github.io/Logging_2161/tillsynsmail/A 36627-2024 tillsynsbegäran mail.docx", "A 36627-2024")</f>
        <v/>
      </c>
    </row>
    <row r="259" ht="15" customHeight="1">
      <c r="A259" t="inlineStr">
        <is>
          <t>A 46244-2024</t>
        </is>
      </c>
      <c r="B259" s="1" t="n">
        <v>45581.59032407407</v>
      </c>
      <c r="C259" s="1" t="n">
        <v>46086</v>
      </c>
      <c r="D259" t="inlineStr">
        <is>
          <t>GÄVLEBORGS LÄN</t>
        </is>
      </c>
      <c r="E259" t="inlineStr">
        <is>
          <t>LJUSDAL</t>
        </is>
      </c>
      <c r="F259" t="inlineStr">
        <is>
          <t>Sveaskog</t>
        </is>
      </c>
      <c r="G259" t="n">
        <v>5.8</v>
      </c>
      <c r="H259" t="n">
        <v>0</v>
      </c>
      <c r="I259" t="n">
        <v>1</v>
      </c>
      <c r="J259" t="n">
        <v>2</v>
      </c>
      <c r="K259" t="n">
        <v>0</v>
      </c>
      <c r="L259" t="n">
        <v>0</v>
      </c>
      <c r="M259" t="n">
        <v>0</v>
      </c>
      <c r="N259" t="n">
        <v>0</v>
      </c>
      <c r="O259" t="n">
        <v>2</v>
      </c>
      <c r="P259" t="n">
        <v>0</v>
      </c>
      <c r="Q259" t="n">
        <v>3</v>
      </c>
      <c r="R259" s="2" t="inlineStr">
        <is>
          <t>Motaggsvamp
Skrovlig taggsvamp
Dropptaggsvamp</t>
        </is>
      </c>
      <c r="S259">
        <f>HYPERLINK("https://klasma.github.io/Logging_2161/artfynd/A 46244-2024 artfynd.xlsx", "A 46244-2024")</f>
        <v/>
      </c>
      <c r="T259">
        <f>HYPERLINK("https://klasma.github.io/Logging_2161/kartor/A 46244-2024 karta.png", "A 46244-2024")</f>
        <v/>
      </c>
      <c r="V259">
        <f>HYPERLINK("https://klasma.github.io/Logging_2161/klagomål/A 46244-2024 FSC-klagomål.docx", "A 46244-2024")</f>
        <v/>
      </c>
      <c r="W259">
        <f>HYPERLINK("https://klasma.github.io/Logging_2161/klagomålsmail/A 46244-2024 FSC-klagomål mail.docx", "A 46244-2024")</f>
        <v/>
      </c>
      <c r="X259">
        <f>HYPERLINK("https://klasma.github.io/Logging_2161/tillsyn/A 46244-2024 tillsynsbegäran.docx", "A 46244-2024")</f>
        <v/>
      </c>
      <c r="Y259">
        <f>HYPERLINK("https://klasma.github.io/Logging_2161/tillsynsmail/A 46244-2024 tillsynsbegäran mail.docx", "A 46244-2024")</f>
        <v/>
      </c>
    </row>
    <row r="260" ht="15" customHeight="1">
      <c r="A260" t="inlineStr">
        <is>
          <t>A 10436-2022</t>
        </is>
      </c>
      <c r="B260" s="1" t="n">
        <v>44623</v>
      </c>
      <c r="C260" s="1" t="n">
        <v>46086</v>
      </c>
      <c r="D260" t="inlineStr">
        <is>
          <t>GÄVLEBORGS LÄN</t>
        </is>
      </c>
      <c r="E260" t="inlineStr">
        <is>
          <t>HOFORS</t>
        </is>
      </c>
      <c r="G260" t="n">
        <v>6.3</v>
      </c>
      <c r="H260" t="n">
        <v>1</v>
      </c>
      <c r="I260" t="n">
        <v>2</v>
      </c>
      <c r="J260" t="n">
        <v>0</v>
      </c>
      <c r="K260" t="n">
        <v>1</v>
      </c>
      <c r="L260" t="n">
        <v>0</v>
      </c>
      <c r="M260" t="n">
        <v>0</v>
      </c>
      <c r="N260" t="n">
        <v>0</v>
      </c>
      <c r="O260" t="n">
        <v>1</v>
      </c>
      <c r="P260" t="n">
        <v>1</v>
      </c>
      <c r="Q260" t="n">
        <v>3</v>
      </c>
      <c r="R260" s="2" t="inlineStr">
        <is>
          <t>Knärot
Björksplintborre
Vedticka</t>
        </is>
      </c>
      <c r="S260">
        <f>HYPERLINK("https://klasma.github.io/Logging_2104/artfynd/A 10436-2022 artfynd.xlsx", "A 10436-2022")</f>
        <v/>
      </c>
      <c r="T260">
        <f>HYPERLINK("https://klasma.github.io/Logging_2104/kartor/A 10436-2022 karta.png", "A 10436-2022")</f>
        <v/>
      </c>
      <c r="U260">
        <f>HYPERLINK("https://klasma.github.io/Logging_2104/knärot/A 10436-2022 karta knärot.png", "A 10436-2022")</f>
        <v/>
      </c>
      <c r="V260">
        <f>HYPERLINK("https://klasma.github.io/Logging_2104/klagomål/A 10436-2022 FSC-klagomål.docx", "A 10436-2022")</f>
        <v/>
      </c>
      <c r="W260">
        <f>HYPERLINK("https://klasma.github.io/Logging_2104/klagomålsmail/A 10436-2022 FSC-klagomål mail.docx", "A 10436-2022")</f>
        <v/>
      </c>
      <c r="X260">
        <f>HYPERLINK("https://klasma.github.io/Logging_2104/tillsyn/A 10436-2022 tillsynsbegäran.docx", "A 10436-2022")</f>
        <v/>
      </c>
      <c r="Y260">
        <f>HYPERLINK("https://klasma.github.io/Logging_2104/tillsynsmail/A 10436-2022 tillsynsbegäran mail.docx", "A 10436-2022")</f>
        <v/>
      </c>
    </row>
    <row r="261" ht="15" customHeight="1">
      <c r="A261" t="inlineStr">
        <is>
          <t>A 23161-2023</t>
        </is>
      </c>
      <c r="B261" s="1" t="n">
        <v>45075</v>
      </c>
      <c r="C261" s="1" t="n">
        <v>46086</v>
      </c>
      <c r="D261" t="inlineStr">
        <is>
          <t>GÄVLEBORGS LÄN</t>
        </is>
      </c>
      <c r="E261" t="inlineStr">
        <is>
          <t>SANDVIKEN</t>
        </is>
      </c>
      <c r="F261" t="inlineStr">
        <is>
          <t>Bergvik skog öst AB</t>
        </is>
      </c>
      <c r="G261" t="n">
        <v>6.1</v>
      </c>
      <c r="H261" t="n">
        <v>0</v>
      </c>
      <c r="I261" t="n">
        <v>3</v>
      </c>
      <c r="J261" t="n">
        <v>0</v>
      </c>
      <c r="K261" t="n">
        <v>0</v>
      </c>
      <c r="L261" t="n">
        <v>0</v>
      </c>
      <c r="M261" t="n">
        <v>0</v>
      </c>
      <c r="N261" t="n">
        <v>0</v>
      </c>
      <c r="O261" t="n">
        <v>0</v>
      </c>
      <c r="P261" t="n">
        <v>0</v>
      </c>
      <c r="Q261" t="n">
        <v>3</v>
      </c>
      <c r="R261" s="2" t="inlineStr">
        <is>
          <t>Brandticka
Slanklav
Stubbspretmossa</t>
        </is>
      </c>
      <c r="S261">
        <f>HYPERLINK("https://klasma.github.io/Logging_2181/artfynd/A 23161-2023 artfynd.xlsx", "A 23161-2023")</f>
        <v/>
      </c>
      <c r="T261">
        <f>HYPERLINK("https://klasma.github.io/Logging_2181/kartor/A 23161-2023 karta.png", "A 23161-2023")</f>
        <v/>
      </c>
      <c r="V261">
        <f>HYPERLINK("https://klasma.github.io/Logging_2181/klagomål/A 23161-2023 FSC-klagomål.docx", "A 23161-2023")</f>
        <v/>
      </c>
      <c r="W261">
        <f>HYPERLINK("https://klasma.github.io/Logging_2181/klagomålsmail/A 23161-2023 FSC-klagomål mail.docx", "A 23161-2023")</f>
        <v/>
      </c>
      <c r="X261">
        <f>HYPERLINK("https://klasma.github.io/Logging_2181/tillsyn/A 23161-2023 tillsynsbegäran.docx", "A 23161-2023")</f>
        <v/>
      </c>
      <c r="Y261">
        <f>HYPERLINK("https://klasma.github.io/Logging_2181/tillsynsmail/A 23161-2023 tillsynsbegäran mail.docx", "A 23161-2023")</f>
        <v/>
      </c>
    </row>
    <row r="262" ht="15" customHeight="1">
      <c r="A262" t="inlineStr">
        <is>
          <t>A 20931-2025</t>
        </is>
      </c>
      <c r="B262" s="1" t="n">
        <v>45777.42643518518</v>
      </c>
      <c r="C262" s="1" t="n">
        <v>46086</v>
      </c>
      <c r="D262" t="inlineStr">
        <is>
          <t>GÄVLEBORGS LÄN</t>
        </is>
      </c>
      <c r="E262" t="inlineStr">
        <is>
          <t>OVANÅKER</t>
        </is>
      </c>
      <c r="F262" t="inlineStr">
        <is>
          <t>Sveaskog</t>
        </is>
      </c>
      <c r="G262" t="n">
        <v>17.4</v>
      </c>
      <c r="H262" t="n">
        <v>1</v>
      </c>
      <c r="I262" t="n">
        <v>0</v>
      </c>
      <c r="J262" t="n">
        <v>2</v>
      </c>
      <c r="K262" t="n">
        <v>0</v>
      </c>
      <c r="L262" t="n">
        <v>0</v>
      </c>
      <c r="M262" t="n">
        <v>0</v>
      </c>
      <c r="N262" t="n">
        <v>0</v>
      </c>
      <c r="O262" t="n">
        <v>2</v>
      </c>
      <c r="P262" t="n">
        <v>0</v>
      </c>
      <c r="Q262" t="n">
        <v>3</v>
      </c>
      <c r="R262" s="2" t="inlineStr">
        <is>
          <t>Garnlav
Lunglav
Nattviol</t>
        </is>
      </c>
      <c r="S262">
        <f>HYPERLINK("https://klasma.github.io/Logging_2121/artfynd/A 20931-2025 artfynd.xlsx", "A 20931-2025")</f>
        <v/>
      </c>
      <c r="T262">
        <f>HYPERLINK("https://klasma.github.io/Logging_2121/kartor/A 20931-2025 karta.png", "A 20931-2025")</f>
        <v/>
      </c>
      <c r="V262">
        <f>HYPERLINK("https://klasma.github.io/Logging_2121/klagomål/A 20931-2025 FSC-klagomål.docx", "A 20931-2025")</f>
        <v/>
      </c>
      <c r="W262">
        <f>HYPERLINK("https://klasma.github.io/Logging_2121/klagomålsmail/A 20931-2025 FSC-klagomål mail.docx", "A 20931-2025")</f>
        <v/>
      </c>
      <c r="X262">
        <f>HYPERLINK("https://klasma.github.io/Logging_2121/tillsyn/A 20931-2025 tillsynsbegäran.docx", "A 20931-2025")</f>
        <v/>
      </c>
      <c r="Y262">
        <f>HYPERLINK("https://klasma.github.io/Logging_2121/tillsynsmail/A 20931-2025 tillsynsbegäran mail.docx", "A 20931-2025")</f>
        <v/>
      </c>
    </row>
    <row r="263" ht="15" customHeight="1">
      <c r="A263" t="inlineStr">
        <is>
          <t>A 72433-2021</t>
        </is>
      </c>
      <c r="B263" s="1" t="n">
        <v>44545</v>
      </c>
      <c r="C263" s="1" t="n">
        <v>46086</v>
      </c>
      <c r="D263" t="inlineStr">
        <is>
          <t>GÄVLEBORGS LÄN</t>
        </is>
      </c>
      <c r="E263" t="inlineStr">
        <is>
          <t>NORDANSTIG</t>
        </is>
      </c>
      <c r="G263" t="n">
        <v>6.1</v>
      </c>
      <c r="H263" t="n">
        <v>3</v>
      </c>
      <c r="I263" t="n">
        <v>0</v>
      </c>
      <c r="J263" t="n">
        <v>1</v>
      </c>
      <c r="K263" t="n">
        <v>0</v>
      </c>
      <c r="L263" t="n">
        <v>0</v>
      </c>
      <c r="M263" t="n">
        <v>0</v>
      </c>
      <c r="N263" t="n">
        <v>0</v>
      </c>
      <c r="O263" t="n">
        <v>1</v>
      </c>
      <c r="P263" t="n">
        <v>0</v>
      </c>
      <c r="Q263" t="n">
        <v>3</v>
      </c>
      <c r="R263" s="2" t="inlineStr">
        <is>
          <t>Järpe
Grönsiska
Tjäder</t>
        </is>
      </c>
      <c r="S263">
        <f>HYPERLINK("https://klasma.github.io/Logging_2132/artfynd/A 72433-2021 artfynd.xlsx", "A 72433-2021")</f>
        <v/>
      </c>
      <c r="T263">
        <f>HYPERLINK("https://klasma.github.io/Logging_2132/kartor/A 72433-2021 karta.png", "A 72433-2021")</f>
        <v/>
      </c>
      <c r="V263">
        <f>HYPERLINK("https://klasma.github.io/Logging_2132/klagomål/A 72433-2021 FSC-klagomål.docx", "A 72433-2021")</f>
        <v/>
      </c>
      <c r="W263">
        <f>HYPERLINK("https://klasma.github.io/Logging_2132/klagomålsmail/A 72433-2021 FSC-klagomål mail.docx", "A 72433-2021")</f>
        <v/>
      </c>
      <c r="X263">
        <f>HYPERLINK("https://klasma.github.io/Logging_2132/tillsyn/A 72433-2021 tillsynsbegäran.docx", "A 72433-2021")</f>
        <v/>
      </c>
      <c r="Y263">
        <f>HYPERLINK("https://klasma.github.io/Logging_2132/tillsynsmail/A 72433-2021 tillsynsbegäran mail.docx", "A 72433-2021")</f>
        <v/>
      </c>
      <c r="Z263">
        <f>HYPERLINK("https://klasma.github.io/Logging_2132/fåglar/A 72433-2021 prioriterade fågelarter.docx", "A 72433-2021")</f>
        <v/>
      </c>
    </row>
    <row r="264" ht="15" customHeight="1">
      <c r="A264" t="inlineStr">
        <is>
          <t>A 23643-2025</t>
        </is>
      </c>
      <c r="B264" s="1" t="n">
        <v>45792.68582175926</v>
      </c>
      <c r="C264" s="1" t="n">
        <v>46086</v>
      </c>
      <c r="D264" t="inlineStr">
        <is>
          <t>GÄVLEBORGS LÄN</t>
        </is>
      </c>
      <c r="E264" t="inlineStr">
        <is>
          <t>LJUSDAL</t>
        </is>
      </c>
      <c r="F264" t="inlineStr">
        <is>
          <t>Sveaskog</t>
        </is>
      </c>
      <c r="G264" t="n">
        <v>23.8</v>
      </c>
      <c r="H264" t="n">
        <v>0</v>
      </c>
      <c r="I264" t="n">
        <v>0</v>
      </c>
      <c r="J264" t="n">
        <v>3</v>
      </c>
      <c r="K264" t="n">
        <v>0</v>
      </c>
      <c r="L264" t="n">
        <v>0</v>
      </c>
      <c r="M264" t="n">
        <v>0</v>
      </c>
      <c r="N264" t="n">
        <v>0</v>
      </c>
      <c r="O264" t="n">
        <v>3</v>
      </c>
      <c r="P264" t="n">
        <v>0</v>
      </c>
      <c r="Q264" t="n">
        <v>3</v>
      </c>
      <c r="R264" s="2" t="inlineStr">
        <is>
          <t>Kolflarnlav
Lunglav
Vedflamlav</t>
        </is>
      </c>
      <c r="S264">
        <f>HYPERLINK("https://klasma.github.io/Logging_2161/artfynd/A 23643-2025 artfynd.xlsx", "A 23643-2025")</f>
        <v/>
      </c>
      <c r="T264">
        <f>HYPERLINK("https://klasma.github.io/Logging_2161/kartor/A 23643-2025 karta.png", "A 23643-2025")</f>
        <v/>
      </c>
      <c r="V264">
        <f>HYPERLINK("https://klasma.github.io/Logging_2161/klagomål/A 23643-2025 FSC-klagomål.docx", "A 23643-2025")</f>
        <v/>
      </c>
      <c r="W264">
        <f>HYPERLINK("https://klasma.github.io/Logging_2161/klagomålsmail/A 23643-2025 FSC-klagomål mail.docx", "A 23643-2025")</f>
        <v/>
      </c>
      <c r="X264">
        <f>HYPERLINK("https://klasma.github.io/Logging_2161/tillsyn/A 23643-2025 tillsynsbegäran.docx", "A 23643-2025")</f>
        <v/>
      </c>
      <c r="Y264">
        <f>HYPERLINK("https://klasma.github.io/Logging_2161/tillsynsmail/A 23643-2025 tillsynsbegäran mail.docx", "A 23643-2025")</f>
        <v/>
      </c>
    </row>
    <row r="265" ht="15" customHeight="1">
      <c r="A265" t="inlineStr">
        <is>
          <t>A 24606-2025</t>
        </is>
      </c>
      <c r="B265" s="1" t="n">
        <v>45798.57554398148</v>
      </c>
      <c r="C265" s="1" t="n">
        <v>46086</v>
      </c>
      <c r="D265" t="inlineStr">
        <is>
          <t>GÄVLEBORGS LÄN</t>
        </is>
      </c>
      <c r="E265" t="inlineStr">
        <is>
          <t>SÖDERHAMN</t>
        </is>
      </c>
      <c r="G265" t="n">
        <v>2.2</v>
      </c>
      <c r="H265" t="n">
        <v>1</v>
      </c>
      <c r="I265" t="n">
        <v>0</v>
      </c>
      <c r="J265" t="n">
        <v>2</v>
      </c>
      <c r="K265" t="n">
        <v>1</v>
      </c>
      <c r="L265" t="n">
        <v>0</v>
      </c>
      <c r="M265" t="n">
        <v>0</v>
      </c>
      <c r="N265" t="n">
        <v>0</v>
      </c>
      <c r="O265" t="n">
        <v>3</v>
      </c>
      <c r="P265" t="n">
        <v>1</v>
      </c>
      <c r="Q265" t="n">
        <v>3</v>
      </c>
      <c r="R265" s="2" t="inlineStr">
        <is>
          <t>Knärot
Rosenticka
Ullticka</t>
        </is>
      </c>
      <c r="S265">
        <f>HYPERLINK("https://klasma.github.io/Logging_2182/artfynd/A 24606-2025 artfynd.xlsx", "A 24606-2025")</f>
        <v/>
      </c>
      <c r="T265">
        <f>HYPERLINK("https://klasma.github.io/Logging_2182/kartor/A 24606-2025 karta.png", "A 24606-2025")</f>
        <v/>
      </c>
      <c r="U265">
        <f>HYPERLINK("https://klasma.github.io/Logging_2182/knärot/A 24606-2025 karta knärot.png", "A 24606-2025")</f>
        <v/>
      </c>
      <c r="V265">
        <f>HYPERLINK("https://klasma.github.io/Logging_2182/klagomål/A 24606-2025 FSC-klagomål.docx", "A 24606-2025")</f>
        <v/>
      </c>
      <c r="W265">
        <f>HYPERLINK("https://klasma.github.io/Logging_2182/klagomålsmail/A 24606-2025 FSC-klagomål mail.docx", "A 24606-2025")</f>
        <v/>
      </c>
      <c r="X265">
        <f>HYPERLINK("https://klasma.github.io/Logging_2182/tillsyn/A 24606-2025 tillsynsbegäran.docx", "A 24606-2025")</f>
        <v/>
      </c>
      <c r="Y265">
        <f>HYPERLINK("https://klasma.github.io/Logging_2182/tillsynsmail/A 24606-2025 tillsynsbegäran mail.docx", "A 24606-2025")</f>
        <v/>
      </c>
    </row>
    <row r="266" ht="15" customHeight="1">
      <c r="A266" t="inlineStr">
        <is>
          <t>A 44116-2022</t>
        </is>
      </c>
      <c r="B266" s="1" t="n">
        <v>44839</v>
      </c>
      <c r="C266" s="1" t="n">
        <v>46086</v>
      </c>
      <c r="D266" t="inlineStr">
        <is>
          <t>GÄVLEBORGS LÄN</t>
        </is>
      </c>
      <c r="E266" t="inlineStr">
        <is>
          <t>LJUSDAL</t>
        </is>
      </c>
      <c r="F266" t="inlineStr">
        <is>
          <t>Sveaskog</t>
        </is>
      </c>
      <c r="G266" t="n">
        <v>9.199999999999999</v>
      </c>
      <c r="H266" t="n">
        <v>0</v>
      </c>
      <c r="I266" t="n">
        <v>0</v>
      </c>
      <c r="J266" t="n">
        <v>2</v>
      </c>
      <c r="K266" t="n">
        <v>0</v>
      </c>
      <c r="L266" t="n">
        <v>0</v>
      </c>
      <c r="M266" t="n">
        <v>0</v>
      </c>
      <c r="N266" t="n">
        <v>0</v>
      </c>
      <c r="O266" t="n">
        <v>2</v>
      </c>
      <c r="P266" t="n">
        <v>0</v>
      </c>
      <c r="Q266" t="n">
        <v>2</v>
      </c>
      <c r="R266" s="2" t="inlineStr">
        <is>
          <t>Kolflarnlav
Lunglav</t>
        </is>
      </c>
      <c r="S266">
        <f>HYPERLINK("https://klasma.github.io/Logging_2161/artfynd/A 44116-2022 artfynd.xlsx", "A 44116-2022")</f>
        <v/>
      </c>
      <c r="T266">
        <f>HYPERLINK("https://klasma.github.io/Logging_2161/kartor/A 44116-2022 karta.png", "A 44116-2022")</f>
        <v/>
      </c>
      <c r="V266">
        <f>HYPERLINK("https://klasma.github.io/Logging_2161/klagomål/A 44116-2022 FSC-klagomål.docx", "A 44116-2022")</f>
        <v/>
      </c>
      <c r="W266">
        <f>HYPERLINK("https://klasma.github.io/Logging_2161/klagomålsmail/A 44116-2022 FSC-klagomål mail.docx", "A 44116-2022")</f>
        <v/>
      </c>
      <c r="X266">
        <f>HYPERLINK("https://klasma.github.io/Logging_2161/tillsyn/A 44116-2022 tillsynsbegäran.docx", "A 44116-2022")</f>
        <v/>
      </c>
      <c r="Y266">
        <f>HYPERLINK("https://klasma.github.io/Logging_2161/tillsynsmail/A 44116-2022 tillsynsbegäran mail.docx", "A 44116-2022")</f>
        <v/>
      </c>
    </row>
    <row r="267" ht="15" customHeight="1">
      <c r="A267" t="inlineStr">
        <is>
          <t>A 44692-2021</t>
        </is>
      </c>
      <c r="B267" s="1" t="n">
        <v>44438</v>
      </c>
      <c r="C267" s="1" t="n">
        <v>46086</v>
      </c>
      <c r="D267" t="inlineStr">
        <is>
          <t>GÄVLEBORGS LÄN</t>
        </is>
      </c>
      <c r="E267" t="inlineStr">
        <is>
          <t>LJUSDAL</t>
        </is>
      </c>
      <c r="F267" t="inlineStr">
        <is>
          <t>Sveaskog</t>
        </is>
      </c>
      <c r="G267" t="n">
        <v>2.5</v>
      </c>
      <c r="H267" t="n">
        <v>0</v>
      </c>
      <c r="I267" t="n">
        <v>0</v>
      </c>
      <c r="J267" t="n">
        <v>2</v>
      </c>
      <c r="K267" t="n">
        <v>0</v>
      </c>
      <c r="L267" t="n">
        <v>0</v>
      </c>
      <c r="M267" t="n">
        <v>0</v>
      </c>
      <c r="N267" t="n">
        <v>0</v>
      </c>
      <c r="O267" t="n">
        <v>2</v>
      </c>
      <c r="P267" t="n">
        <v>0</v>
      </c>
      <c r="Q267" t="n">
        <v>2</v>
      </c>
      <c r="R267" s="2" t="inlineStr">
        <is>
          <t>Kolflarnlav
Lunglav</t>
        </is>
      </c>
      <c r="S267">
        <f>HYPERLINK("https://klasma.github.io/Logging_2161/artfynd/A 44692-2021 artfynd.xlsx", "A 44692-2021")</f>
        <v/>
      </c>
      <c r="T267">
        <f>HYPERLINK("https://klasma.github.io/Logging_2161/kartor/A 44692-2021 karta.png", "A 44692-2021")</f>
        <v/>
      </c>
      <c r="V267">
        <f>HYPERLINK("https://klasma.github.io/Logging_2161/klagomål/A 44692-2021 FSC-klagomål.docx", "A 44692-2021")</f>
        <v/>
      </c>
      <c r="W267">
        <f>HYPERLINK("https://klasma.github.io/Logging_2161/klagomålsmail/A 44692-2021 FSC-klagomål mail.docx", "A 44692-2021")</f>
        <v/>
      </c>
      <c r="X267">
        <f>HYPERLINK("https://klasma.github.io/Logging_2161/tillsyn/A 44692-2021 tillsynsbegäran.docx", "A 44692-2021")</f>
        <v/>
      </c>
      <c r="Y267">
        <f>HYPERLINK("https://klasma.github.io/Logging_2161/tillsynsmail/A 44692-2021 tillsynsbegäran mail.docx", "A 44692-2021")</f>
        <v/>
      </c>
    </row>
    <row r="268" ht="15" customHeight="1">
      <c r="A268" t="inlineStr">
        <is>
          <t>A 67300-2021</t>
        </is>
      </c>
      <c r="B268" s="1" t="n">
        <v>44523.6453125</v>
      </c>
      <c r="C268" s="1" t="n">
        <v>46086</v>
      </c>
      <c r="D268" t="inlineStr">
        <is>
          <t>GÄVLEBORGS LÄN</t>
        </is>
      </c>
      <c r="E268" t="inlineStr">
        <is>
          <t>SÖDERHAMN</t>
        </is>
      </c>
      <c r="G268" t="n">
        <v>9.5</v>
      </c>
      <c r="H268" t="n">
        <v>1</v>
      </c>
      <c r="I268" t="n">
        <v>0</v>
      </c>
      <c r="J268" t="n">
        <v>1</v>
      </c>
      <c r="K268" t="n">
        <v>0</v>
      </c>
      <c r="L268" t="n">
        <v>0</v>
      </c>
      <c r="M268" t="n">
        <v>0</v>
      </c>
      <c r="N268" t="n">
        <v>0</v>
      </c>
      <c r="O268" t="n">
        <v>1</v>
      </c>
      <c r="P268" t="n">
        <v>0</v>
      </c>
      <c r="Q268" t="n">
        <v>2</v>
      </c>
      <c r="R268" s="2" t="inlineStr">
        <is>
          <t>Garnlav
Fläcknycklar</t>
        </is>
      </c>
      <c r="S268">
        <f>HYPERLINK("https://klasma.github.io/Logging_2182/artfynd/A 67300-2021 artfynd.xlsx", "A 67300-2021")</f>
        <v/>
      </c>
      <c r="T268">
        <f>HYPERLINK("https://klasma.github.io/Logging_2182/kartor/A 67300-2021 karta.png", "A 67300-2021")</f>
        <v/>
      </c>
      <c r="V268">
        <f>HYPERLINK("https://klasma.github.io/Logging_2182/klagomål/A 67300-2021 FSC-klagomål.docx", "A 67300-2021")</f>
        <v/>
      </c>
      <c r="W268">
        <f>HYPERLINK("https://klasma.github.io/Logging_2182/klagomålsmail/A 67300-2021 FSC-klagomål mail.docx", "A 67300-2021")</f>
        <v/>
      </c>
      <c r="X268">
        <f>HYPERLINK("https://klasma.github.io/Logging_2182/tillsyn/A 67300-2021 tillsynsbegäran.docx", "A 67300-2021")</f>
        <v/>
      </c>
      <c r="Y268">
        <f>HYPERLINK("https://klasma.github.io/Logging_2182/tillsynsmail/A 67300-2021 tillsynsbegäran mail.docx", "A 67300-2021")</f>
        <v/>
      </c>
    </row>
    <row r="269" ht="15" customHeight="1">
      <c r="A269" t="inlineStr">
        <is>
          <t>A 40023-2021</t>
        </is>
      </c>
      <c r="B269" s="1" t="n">
        <v>44418.43170138889</v>
      </c>
      <c r="C269" s="1" t="n">
        <v>46086</v>
      </c>
      <c r="D269" t="inlineStr">
        <is>
          <t>GÄVLEBORGS LÄN</t>
        </is>
      </c>
      <c r="E269" t="inlineStr">
        <is>
          <t>GÄVLE</t>
        </is>
      </c>
      <c r="F269" t="inlineStr">
        <is>
          <t>Bergvik skog öst AB</t>
        </is>
      </c>
      <c r="G269" t="n">
        <v>2.4</v>
      </c>
      <c r="H269" t="n">
        <v>1</v>
      </c>
      <c r="I269" t="n">
        <v>0</v>
      </c>
      <c r="J269" t="n">
        <v>1</v>
      </c>
      <c r="K269" t="n">
        <v>0</v>
      </c>
      <c r="L269" t="n">
        <v>0</v>
      </c>
      <c r="M269" t="n">
        <v>0</v>
      </c>
      <c r="N269" t="n">
        <v>0</v>
      </c>
      <c r="O269" t="n">
        <v>1</v>
      </c>
      <c r="P269" t="n">
        <v>0</v>
      </c>
      <c r="Q269" t="n">
        <v>2</v>
      </c>
      <c r="R269" s="2" t="inlineStr">
        <is>
          <t>Sumpviol
Tjäder</t>
        </is>
      </c>
      <c r="S269">
        <f>HYPERLINK("https://klasma.github.io/Logging_2180/artfynd/A 40023-2021 artfynd.xlsx", "A 40023-2021")</f>
        <v/>
      </c>
      <c r="T269">
        <f>HYPERLINK("https://klasma.github.io/Logging_2180/kartor/A 40023-2021 karta.png", "A 40023-2021")</f>
        <v/>
      </c>
      <c r="V269">
        <f>HYPERLINK("https://klasma.github.io/Logging_2180/klagomål/A 40023-2021 FSC-klagomål.docx", "A 40023-2021")</f>
        <v/>
      </c>
      <c r="W269">
        <f>HYPERLINK("https://klasma.github.io/Logging_2180/klagomålsmail/A 40023-2021 FSC-klagomål mail.docx", "A 40023-2021")</f>
        <v/>
      </c>
      <c r="X269">
        <f>HYPERLINK("https://klasma.github.io/Logging_2180/tillsyn/A 40023-2021 tillsynsbegäran.docx", "A 40023-2021")</f>
        <v/>
      </c>
      <c r="Y269">
        <f>HYPERLINK("https://klasma.github.io/Logging_2180/tillsynsmail/A 40023-2021 tillsynsbegäran mail.docx", "A 40023-2021")</f>
        <v/>
      </c>
      <c r="Z269">
        <f>HYPERLINK("https://klasma.github.io/Logging_2180/fåglar/A 40023-2021 prioriterade fågelarter.docx", "A 40023-2021")</f>
        <v/>
      </c>
    </row>
    <row r="270" ht="15" customHeight="1">
      <c r="A270" t="inlineStr">
        <is>
          <t>A 42203-2022</t>
        </is>
      </c>
      <c r="B270" s="1" t="n">
        <v>44830.65797453704</v>
      </c>
      <c r="C270" s="1" t="n">
        <v>46086</v>
      </c>
      <c r="D270" t="inlineStr">
        <is>
          <t>GÄVLEBORGS LÄN</t>
        </is>
      </c>
      <c r="E270" t="inlineStr">
        <is>
          <t>HUDIKSVALL</t>
        </is>
      </c>
      <c r="G270" t="n">
        <v>2.3</v>
      </c>
      <c r="H270" t="n">
        <v>2</v>
      </c>
      <c r="I270" t="n">
        <v>0</v>
      </c>
      <c r="J270" t="n">
        <v>0</v>
      </c>
      <c r="K270" t="n">
        <v>0</v>
      </c>
      <c r="L270" t="n">
        <v>0</v>
      </c>
      <c r="M270" t="n">
        <v>0</v>
      </c>
      <c r="N270" t="n">
        <v>0</v>
      </c>
      <c r="O270" t="n">
        <v>0</v>
      </c>
      <c r="P270" t="n">
        <v>0</v>
      </c>
      <c r="Q270" t="n">
        <v>2</v>
      </c>
      <c r="R270" s="2" t="inlineStr">
        <is>
          <t>Fläcknycklar
Revlummer</t>
        </is>
      </c>
      <c r="S270">
        <f>HYPERLINK("https://klasma.github.io/Logging_2184/artfynd/A 42203-2022 artfynd.xlsx", "A 42203-2022")</f>
        <v/>
      </c>
      <c r="T270">
        <f>HYPERLINK("https://klasma.github.io/Logging_2184/kartor/A 42203-2022 karta.png", "A 42203-2022")</f>
        <v/>
      </c>
      <c r="V270">
        <f>HYPERLINK("https://klasma.github.io/Logging_2184/klagomål/A 42203-2022 FSC-klagomål.docx", "A 42203-2022")</f>
        <v/>
      </c>
      <c r="W270">
        <f>HYPERLINK("https://klasma.github.io/Logging_2184/klagomålsmail/A 42203-2022 FSC-klagomål mail.docx", "A 42203-2022")</f>
        <v/>
      </c>
      <c r="X270">
        <f>HYPERLINK("https://klasma.github.io/Logging_2184/tillsyn/A 42203-2022 tillsynsbegäran.docx", "A 42203-2022")</f>
        <v/>
      </c>
      <c r="Y270">
        <f>HYPERLINK("https://klasma.github.io/Logging_2184/tillsynsmail/A 42203-2022 tillsynsbegäran mail.docx", "A 42203-2022")</f>
        <v/>
      </c>
    </row>
    <row r="271" ht="15" customHeight="1">
      <c r="A271" t="inlineStr">
        <is>
          <t>A 35588-2022</t>
        </is>
      </c>
      <c r="B271" s="1" t="n">
        <v>44799</v>
      </c>
      <c r="C271" s="1" t="n">
        <v>46086</v>
      </c>
      <c r="D271" t="inlineStr">
        <is>
          <t>GÄVLEBORGS LÄN</t>
        </is>
      </c>
      <c r="E271" t="inlineStr">
        <is>
          <t>LJUSDAL</t>
        </is>
      </c>
      <c r="F271" t="inlineStr">
        <is>
          <t>Sveaskog</t>
        </is>
      </c>
      <c r="G271" t="n">
        <v>3.4</v>
      </c>
      <c r="H271" t="n">
        <v>0</v>
      </c>
      <c r="I271" t="n">
        <v>0</v>
      </c>
      <c r="J271" t="n">
        <v>2</v>
      </c>
      <c r="K271" t="n">
        <v>0</v>
      </c>
      <c r="L271" t="n">
        <v>0</v>
      </c>
      <c r="M271" t="n">
        <v>0</v>
      </c>
      <c r="N271" t="n">
        <v>0</v>
      </c>
      <c r="O271" t="n">
        <v>2</v>
      </c>
      <c r="P271" t="n">
        <v>0</v>
      </c>
      <c r="Q271" t="n">
        <v>2</v>
      </c>
      <c r="R271" s="2" t="inlineStr">
        <is>
          <t>Garnlav
Lunglav</t>
        </is>
      </c>
      <c r="S271">
        <f>HYPERLINK("https://klasma.github.io/Logging_2161/artfynd/A 35588-2022 artfynd.xlsx", "A 35588-2022")</f>
        <v/>
      </c>
      <c r="T271">
        <f>HYPERLINK("https://klasma.github.io/Logging_2161/kartor/A 35588-2022 karta.png", "A 35588-2022")</f>
        <v/>
      </c>
      <c r="V271">
        <f>HYPERLINK("https://klasma.github.io/Logging_2161/klagomål/A 35588-2022 FSC-klagomål.docx", "A 35588-2022")</f>
        <v/>
      </c>
      <c r="W271">
        <f>HYPERLINK("https://klasma.github.io/Logging_2161/klagomålsmail/A 35588-2022 FSC-klagomål mail.docx", "A 35588-2022")</f>
        <v/>
      </c>
      <c r="X271">
        <f>HYPERLINK("https://klasma.github.io/Logging_2161/tillsyn/A 35588-2022 tillsynsbegäran.docx", "A 35588-2022")</f>
        <v/>
      </c>
      <c r="Y271">
        <f>HYPERLINK("https://klasma.github.io/Logging_2161/tillsynsmail/A 35588-2022 tillsynsbegäran mail.docx", "A 35588-2022")</f>
        <v/>
      </c>
    </row>
    <row r="272" ht="15" customHeight="1">
      <c r="A272" t="inlineStr">
        <is>
          <t>A 23866-2022</t>
        </is>
      </c>
      <c r="B272" s="1" t="n">
        <v>44722</v>
      </c>
      <c r="C272" s="1" t="n">
        <v>46086</v>
      </c>
      <c r="D272" t="inlineStr">
        <is>
          <t>GÄVLEBORGS LÄN</t>
        </is>
      </c>
      <c r="E272" t="inlineStr">
        <is>
          <t>LJUSDAL</t>
        </is>
      </c>
      <c r="F272" t="inlineStr">
        <is>
          <t>Sveaskog</t>
        </is>
      </c>
      <c r="G272" t="n">
        <v>2.5</v>
      </c>
      <c r="H272" t="n">
        <v>1</v>
      </c>
      <c r="I272" t="n">
        <v>0</v>
      </c>
      <c r="J272" t="n">
        <v>1</v>
      </c>
      <c r="K272" t="n">
        <v>1</v>
      </c>
      <c r="L272" t="n">
        <v>0</v>
      </c>
      <c r="M272" t="n">
        <v>0</v>
      </c>
      <c r="N272" t="n">
        <v>0</v>
      </c>
      <c r="O272" t="n">
        <v>2</v>
      </c>
      <c r="P272" t="n">
        <v>1</v>
      </c>
      <c r="Q272" t="n">
        <v>2</v>
      </c>
      <c r="R272" s="2" t="inlineStr">
        <is>
          <t>Knärot
Lunglav</t>
        </is>
      </c>
      <c r="S272">
        <f>HYPERLINK("https://klasma.github.io/Logging_2161/artfynd/A 23866-2022 artfynd.xlsx", "A 23866-2022")</f>
        <v/>
      </c>
      <c r="T272">
        <f>HYPERLINK("https://klasma.github.io/Logging_2161/kartor/A 23866-2022 karta.png", "A 23866-2022")</f>
        <v/>
      </c>
      <c r="U272">
        <f>HYPERLINK("https://klasma.github.io/Logging_2161/knärot/A 23866-2022 karta knärot.png", "A 23866-2022")</f>
        <v/>
      </c>
      <c r="V272">
        <f>HYPERLINK("https://klasma.github.io/Logging_2161/klagomål/A 23866-2022 FSC-klagomål.docx", "A 23866-2022")</f>
        <v/>
      </c>
      <c r="W272">
        <f>HYPERLINK("https://klasma.github.io/Logging_2161/klagomålsmail/A 23866-2022 FSC-klagomål mail.docx", "A 23866-2022")</f>
        <v/>
      </c>
      <c r="X272">
        <f>HYPERLINK("https://klasma.github.io/Logging_2161/tillsyn/A 23866-2022 tillsynsbegäran.docx", "A 23866-2022")</f>
        <v/>
      </c>
      <c r="Y272">
        <f>HYPERLINK("https://klasma.github.io/Logging_2161/tillsynsmail/A 23866-2022 tillsynsbegäran mail.docx", "A 23866-2022")</f>
        <v/>
      </c>
    </row>
    <row r="273" ht="15" customHeight="1">
      <c r="A273" t="inlineStr">
        <is>
          <t>A 22073-2021</t>
        </is>
      </c>
      <c r="B273" s="1" t="n">
        <v>44323.59449074074</v>
      </c>
      <c r="C273" s="1" t="n">
        <v>46086</v>
      </c>
      <c r="D273" t="inlineStr">
        <is>
          <t>GÄVLEBORGS LÄN</t>
        </is>
      </c>
      <c r="E273" t="inlineStr">
        <is>
          <t>GÄVLE</t>
        </is>
      </c>
      <c r="F273" t="inlineStr">
        <is>
          <t>Bergvik skog öst AB</t>
        </is>
      </c>
      <c r="G273" t="n">
        <v>0.5</v>
      </c>
      <c r="H273" t="n">
        <v>2</v>
      </c>
      <c r="I273" t="n">
        <v>0</v>
      </c>
      <c r="J273" t="n">
        <v>2</v>
      </c>
      <c r="K273" t="n">
        <v>0</v>
      </c>
      <c r="L273" t="n">
        <v>0</v>
      </c>
      <c r="M273" t="n">
        <v>0</v>
      </c>
      <c r="N273" t="n">
        <v>0</v>
      </c>
      <c r="O273" t="n">
        <v>2</v>
      </c>
      <c r="P273" t="n">
        <v>0</v>
      </c>
      <c r="Q273" t="n">
        <v>2</v>
      </c>
      <c r="R273" s="2" t="inlineStr">
        <is>
          <t>Blå kärrhök
Havsörn</t>
        </is>
      </c>
      <c r="S273">
        <f>HYPERLINK("https://klasma.github.io/Logging_2180/artfynd/A 22073-2021 artfynd.xlsx", "A 22073-2021")</f>
        <v/>
      </c>
      <c r="T273">
        <f>HYPERLINK("https://klasma.github.io/Logging_2180/kartor/A 22073-2021 karta.png", "A 22073-2021")</f>
        <v/>
      </c>
      <c r="V273">
        <f>HYPERLINK("https://klasma.github.io/Logging_2180/klagomål/A 22073-2021 FSC-klagomål.docx", "A 22073-2021")</f>
        <v/>
      </c>
      <c r="W273">
        <f>HYPERLINK("https://klasma.github.io/Logging_2180/klagomålsmail/A 22073-2021 FSC-klagomål mail.docx", "A 22073-2021")</f>
        <v/>
      </c>
      <c r="X273">
        <f>HYPERLINK("https://klasma.github.io/Logging_2180/tillsyn/A 22073-2021 tillsynsbegäran.docx", "A 22073-2021")</f>
        <v/>
      </c>
      <c r="Y273">
        <f>HYPERLINK("https://klasma.github.io/Logging_2180/tillsynsmail/A 22073-2021 tillsynsbegäran mail.docx", "A 22073-2021")</f>
        <v/>
      </c>
      <c r="Z273">
        <f>HYPERLINK("https://klasma.github.io/Logging_2180/fåglar/A 22073-2021 prioriterade fågelarter.docx", "A 22073-2021")</f>
        <v/>
      </c>
    </row>
    <row r="274" ht="15" customHeight="1">
      <c r="A274" t="inlineStr">
        <is>
          <t>A 37642-2021</t>
        </is>
      </c>
      <c r="B274" s="1" t="n">
        <v>44400.37202546297</v>
      </c>
      <c r="C274" s="1" t="n">
        <v>46086</v>
      </c>
      <c r="D274" t="inlineStr">
        <is>
          <t>GÄVLEBORGS LÄN</t>
        </is>
      </c>
      <c r="E274" t="inlineStr">
        <is>
          <t>LJUSDAL</t>
        </is>
      </c>
      <c r="F274" t="inlineStr">
        <is>
          <t>Sveaskog</t>
        </is>
      </c>
      <c r="G274" t="n">
        <v>1.9</v>
      </c>
      <c r="H274" t="n">
        <v>1</v>
      </c>
      <c r="I274" t="n">
        <v>0</v>
      </c>
      <c r="J274" t="n">
        <v>1</v>
      </c>
      <c r="K274" t="n">
        <v>1</v>
      </c>
      <c r="L274" t="n">
        <v>0</v>
      </c>
      <c r="M274" t="n">
        <v>0</v>
      </c>
      <c r="N274" t="n">
        <v>0</v>
      </c>
      <c r="O274" t="n">
        <v>2</v>
      </c>
      <c r="P274" t="n">
        <v>1</v>
      </c>
      <c r="Q274" t="n">
        <v>2</v>
      </c>
      <c r="R274" s="2" t="inlineStr">
        <is>
          <t>Knärot
Lunglav</t>
        </is>
      </c>
      <c r="S274">
        <f>HYPERLINK("https://klasma.github.io/Logging_2161/artfynd/A 37642-2021 artfynd.xlsx", "A 37642-2021")</f>
        <v/>
      </c>
      <c r="T274">
        <f>HYPERLINK("https://klasma.github.io/Logging_2161/kartor/A 37642-2021 karta.png", "A 37642-2021")</f>
        <v/>
      </c>
      <c r="U274">
        <f>HYPERLINK("https://klasma.github.io/Logging_2161/knärot/A 37642-2021 karta knärot.png", "A 37642-2021")</f>
        <v/>
      </c>
      <c r="V274">
        <f>HYPERLINK("https://klasma.github.io/Logging_2161/klagomål/A 37642-2021 FSC-klagomål.docx", "A 37642-2021")</f>
        <v/>
      </c>
      <c r="W274">
        <f>HYPERLINK("https://klasma.github.io/Logging_2161/klagomålsmail/A 37642-2021 FSC-klagomål mail.docx", "A 37642-2021")</f>
        <v/>
      </c>
      <c r="X274">
        <f>HYPERLINK("https://klasma.github.io/Logging_2161/tillsyn/A 37642-2021 tillsynsbegäran.docx", "A 37642-2021")</f>
        <v/>
      </c>
      <c r="Y274">
        <f>HYPERLINK("https://klasma.github.io/Logging_2161/tillsynsmail/A 37642-2021 tillsynsbegäran mail.docx", "A 37642-2021")</f>
        <v/>
      </c>
    </row>
    <row r="275" ht="15" customHeight="1">
      <c r="A275" t="inlineStr">
        <is>
          <t>A 21765-2021</t>
        </is>
      </c>
      <c r="B275" s="1" t="n">
        <v>44322</v>
      </c>
      <c r="C275" s="1" t="n">
        <v>46086</v>
      </c>
      <c r="D275" t="inlineStr">
        <is>
          <t>GÄVLEBORGS LÄN</t>
        </is>
      </c>
      <c r="E275" t="inlineStr">
        <is>
          <t>LJUSDAL</t>
        </is>
      </c>
      <c r="F275" t="inlineStr">
        <is>
          <t>Sveaskog</t>
        </is>
      </c>
      <c r="G275" t="n">
        <v>1</v>
      </c>
      <c r="H275" t="n">
        <v>2</v>
      </c>
      <c r="I275" t="n">
        <v>0</v>
      </c>
      <c r="J275" t="n">
        <v>2</v>
      </c>
      <c r="K275" t="n">
        <v>0</v>
      </c>
      <c r="L275" t="n">
        <v>0</v>
      </c>
      <c r="M275" t="n">
        <v>0</v>
      </c>
      <c r="N275" t="n">
        <v>0</v>
      </c>
      <c r="O275" t="n">
        <v>2</v>
      </c>
      <c r="P275" t="n">
        <v>0</v>
      </c>
      <c r="Q275" t="n">
        <v>2</v>
      </c>
      <c r="R275" s="2" t="inlineStr">
        <is>
          <t>Stenfalk
Ärtsångare</t>
        </is>
      </c>
      <c r="S275">
        <f>HYPERLINK("https://klasma.github.io/Logging_2161/artfynd/A 21765-2021 artfynd.xlsx", "A 21765-2021")</f>
        <v/>
      </c>
      <c r="T275">
        <f>HYPERLINK("https://klasma.github.io/Logging_2161/kartor/A 21765-2021 karta.png", "A 21765-2021")</f>
        <v/>
      </c>
      <c r="V275">
        <f>HYPERLINK("https://klasma.github.io/Logging_2161/klagomål/A 21765-2021 FSC-klagomål.docx", "A 21765-2021")</f>
        <v/>
      </c>
      <c r="W275">
        <f>HYPERLINK("https://klasma.github.io/Logging_2161/klagomålsmail/A 21765-2021 FSC-klagomål mail.docx", "A 21765-2021")</f>
        <v/>
      </c>
      <c r="X275">
        <f>HYPERLINK("https://klasma.github.io/Logging_2161/tillsyn/A 21765-2021 tillsynsbegäran.docx", "A 21765-2021")</f>
        <v/>
      </c>
      <c r="Y275">
        <f>HYPERLINK("https://klasma.github.io/Logging_2161/tillsynsmail/A 21765-2021 tillsynsbegäran mail.docx", "A 21765-2021")</f>
        <v/>
      </c>
      <c r="Z275">
        <f>HYPERLINK("https://klasma.github.io/Logging_2161/fåglar/A 21765-2021 prioriterade fågelarter.docx", "A 21765-2021")</f>
        <v/>
      </c>
    </row>
    <row r="276" ht="15" customHeight="1">
      <c r="A276" t="inlineStr">
        <is>
          <t>A 57726-2021</t>
        </is>
      </c>
      <c r="B276" s="1" t="n">
        <v>44484</v>
      </c>
      <c r="C276" s="1" t="n">
        <v>46086</v>
      </c>
      <c r="D276" t="inlineStr">
        <is>
          <t>GÄVLEBORGS LÄN</t>
        </is>
      </c>
      <c r="E276" t="inlineStr">
        <is>
          <t>LJUSDAL</t>
        </is>
      </c>
      <c r="F276" t="inlineStr">
        <is>
          <t>Sveaskog</t>
        </is>
      </c>
      <c r="G276" t="n">
        <v>4.2</v>
      </c>
      <c r="H276" t="n">
        <v>0</v>
      </c>
      <c r="I276" t="n">
        <v>0</v>
      </c>
      <c r="J276" t="n">
        <v>2</v>
      </c>
      <c r="K276" t="n">
        <v>0</v>
      </c>
      <c r="L276" t="n">
        <v>0</v>
      </c>
      <c r="M276" t="n">
        <v>0</v>
      </c>
      <c r="N276" t="n">
        <v>0</v>
      </c>
      <c r="O276" t="n">
        <v>2</v>
      </c>
      <c r="P276" t="n">
        <v>0</v>
      </c>
      <c r="Q276" t="n">
        <v>2</v>
      </c>
      <c r="R276" s="2" t="inlineStr">
        <is>
          <t>Garnlav
Mörk kolflarnlav</t>
        </is>
      </c>
      <c r="S276">
        <f>HYPERLINK("https://klasma.github.io/Logging_2161/artfynd/A 57726-2021 artfynd.xlsx", "A 57726-2021")</f>
        <v/>
      </c>
      <c r="T276">
        <f>HYPERLINK("https://klasma.github.io/Logging_2161/kartor/A 57726-2021 karta.png", "A 57726-2021")</f>
        <v/>
      </c>
      <c r="V276">
        <f>HYPERLINK("https://klasma.github.io/Logging_2161/klagomål/A 57726-2021 FSC-klagomål.docx", "A 57726-2021")</f>
        <v/>
      </c>
      <c r="W276">
        <f>HYPERLINK("https://klasma.github.io/Logging_2161/klagomålsmail/A 57726-2021 FSC-klagomål mail.docx", "A 57726-2021")</f>
        <v/>
      </c>
      <c r="X276">
        <f>HYPERLINK("https://klasma.github.io/Logging_2161/tillsyn/A 57726-2021 tillsynsbegäran.docx", "A 57726-2021")</f>
        <v/>
      </c>
      <c r="Y276">
        <f>HYPERLINK("https://klasma.github.io/Logging_2161/tillsynsmail/A 57726-2021 tillsynsbegäran mail.docx", "A 57726-2021")</f>
        <v/>
      </c>
    </row>
    <row r="277" ht="15" customHeight="1">
      <c r="A277" t="inlineStr">
        <is>
          <t>A 51330-2022</t>
        </is>
      </c>
      <c r="B277" s="1" t="n">
        <v>44869.30180555556</v>
      </c>
      <c r="C277" s="1" t="n">
        <v>46086</v>
      </c>
      <c r="D277" t="inlineStr">
        <is>
          <t>GÄVLEBORGS LÄN</t>
        </is>
      </c>
      <c r="E277" t="inlineStr">
        <is>
          <t>LJUSDAL</t>
        </is>
      </c>
      <c r="F277" t="inlineStr">
        <is>
          <t>Bergvik skog väst AB</t>
        </is>
      </c>
      <c r="G277" t="n">
        <v>9.199999999999999</v>
      </c>
      <c r="H277" t="n">
        <v>2</v>
      </c>
      <c r="I277" t="n">
        <v>0</v>
      </c>
      <c r="J277" t="n">
        <v>1</v>
      </c>
      <c r="K277" t="n">
        <v>0</v>
      </c>
      <c r="L277" t="n">
        <v>0</v>
      </c>
      <c r="M277" t="n">
        <v>0</v>
      </c>
      <c r="N277" t="n">
        <v>0</v>
      </c>
      <c r="O277" t="n">
        <v>1</v>
      </c>
      <c r="P277" t="n">
        <v>0</v>
      </c>
      <c r="Q277" t="n">
        <v>2</v>
      </c>
      <c r="R277" s="2" t="inlineStr">
        <is>
          <t>Järpe
Orre</t>
        </is>
      </c>
      <c r="S277">
        <f>HYPERLINK("https://klasma.github.io/Logging_2161/artfynd/A 51330-2022 artfynd.xlsx", "A 51330-2022")</f>
        <v/>
      </c>
      <c r="T277">
        <f>HYPERLINK("https://klasma.github.io/Logging_2161/kartor/A 51330-2022 karta.png", "A 51330-2022")</f>
        <v/>
      </c>
      <c r="V277">
        <f>HYPERLINK("https://klasma.github.io/Logging_2161/klagomål/A 51330-2022 FSC-klagomål.docx", "A 51330-2022")</f>
        <v/>
      </c>
      <c r="W277">
        <f>HYPERLINK("https://klasma.github.io/Logging_2161/klagomålsmail/A 51330-2022 FSC-klagomål mail.docx", "A 51330-2022")</f>
        <v/>
      </c>
      <c r="X277">
        <f>HYPERLINK("https://klasma.github.io/Logging_2161/tillsyn/A 51330-2022 tillsynsbegäran.docx", "A 51330-2022")</f>
        <v/>
      </c>
      <c r="Y277">
        <f>HYPERLINK("https://klasma.github.io/Logging_2161/tillsynsmail/A 51330-2022 tillsynsbegäran mail.docx", "A 51330-2022")</f>
        <v/>
      </c>
      <c r="Z277">
        <f>HYPERLINK("https://klasma.github.io/Logging_2161/fåglar/A 51330-2022 prioriterade fågelarter.docx", "A 51330-2022")</f>
        <v/>
      </c>
    </row>
    <row r="278" ht="15" customHeight="1">
      <c r="A278" t="inlineStr">
        <is>
          <t>A 49956-2024</t>
        </is>
      </c>
      <c r="B278" s="1" t="n">
        <v>45597.61802083333</v>
      </c>
      <c r="C278" s="1" t="n">
        <v>46086</v>
      </c>
      <c r="D278" t="inlineStr">
        <is>
          <t>GÄVLEBORGS LÄN</t>
        </is>
      </c>
      <c r="E278" t="inlineStr">
        <is>
          <t>LJUSDAL</t>
        </is>
      </c>
      <c r="G278" t="n">
        <v>1.3</v>
      </c>
      <c r="H278" t="n">
        <v>1</v>
      </c>
      <c r="I278" t="n">
        <v>0</v>
      </c>
      <c r="J278" t="n">
        <v>1</v>
      </c>
      <c r="K278" t="n">
        <v>0</v>
      </c>
      <c r="L278" t="n">
        <v>0</v>
      </c>
      <c r="M278" t="n">
        <v>0</v>
      </c>
      <c r="N278" t="n">
        <v>0</v>
      </c>
      <c r="O278" t="n">
        <v>1</v>
      </c>
      <c r="P278" t="n">
        <v>0</v>
      </c>
      <c r="Q278" t="n">
        <v>2</v>
      </c>
      <c r="R278" s="2" t="inlineStr">
        <is>
          <t>Garnlav
Kungsfågel</t>
        </is>
      </c>
      <c r="S278">
        <f>HYPERLINK("https://klasma.github.io/Logging_2161/artfynd/A 49956-2024 artfynd.xlsx", "A 49956-2024")</f>
        <v/>
      </c>
      <c r="T278">
        <f>HYPERLINK("https://klasma.github.io/Logging_2161/kartor/A 49956-2024 karta.png", "A 49956-2024")</f>
        <v/>
      </c>
      <c r="V278">
        <f>HYPERLINK("https://klasma.github.io/Logging_2161/klagomål/A 49956-2024 FSC-klagomål.docx", "A 49956-2024")</f>
        <v/>
      </c>
      <c r="W278">
        <f>HYPERLINK("https://klasma.github.io/Logging_2161/klagomålsmail/A 49956-2024 FSC-klagomål mail.docx", "A 49956-2024")</f>
        <v/>
      </c>
      <c r="X278">
        <f>HYPERLINK("https://klasma.github.io/Logging_2161/tillsyn/A 49956-2024 tillsynsbegäran.docx", "A 49956-2024")</f>
        <v/>
      </c>
      <c r="Y278">
        <f>HYPERLINK("https://klasma.github.io/Logging_2161/tillsynsmail/A 49956-2024 tillsynsbegäran mail.docx", "A 49956-2024")</f>
        <v/>
      </c>
      <c r="Z278">
        <f>HYPERLINK("https://klasma.github.io/Logging_2161/fåglar/A 49956-2024 prioriterade fågelarter.docx", "A 49956-2024")</f>
        <v/>
      </c>
    </row>
    <row r="279" ht="15" customHeight="1">
      <c r="A279" t="inlineStr">
        <is>
          <t>A 38855-2022</t>
        </is>
      </c>
      <c r="B279" s="1" t="n">
        <v>44816</v>
      </c>
      <c r="C279" s="1" t="n">
        <v>46086</v>
      </c>
      <c r="D279" t="inlineStr">
        <is>
          <t>GÄVLEBORGS LÄN</t>
        </is>
      </c>
      <c r="E279" t="inlineStr">
        <is>
          <t>HOFORS</t>
        </is>
      </c>
      <c r="G279" t="n">
        <v>7.1</v>
      </c>
      <c r="H279" t="n">
        <v>2</v>
      </c>
      <c r="I279" t="n">
        <v>0</v>
      </c>
      <c r="J279" t="n">
        <v>0</v>
      </c>
      <c r="K279" t="n">
        <v>1</v>
      </c>
      <c r="L279" t="n">
        <v>0</v>
      </c>
      <c r="M279" t="n">
        <v>0</v>
      </c>
      <c r="N279" t="n">
        <v>0</v>
      </c>
      <c r="O279" t="n">
        <v>1</v>
      </c>
      <c r="P279" t="n">
        <v>1</v>
      </c>
      <c r="Q279" t="n">
        <v>2</v>
      </c>
      <c r="R279" s="2" t="inlineStr">
        <is>
          <t>Knärot
Blåsippa</t>
        </is>
      </c>
      <c r="S279">
        <f>HYPERLINK("https://klasma.github.io/Logging_2104/artfynd/A 38855-2022 artfynd.xlsx", "A 38855-2022")</f>
        <v/>
      </c>
      <c r="T279">
        <f>HYPERLINK("https://klasma.github.io/Logging_2104/kartor/A 38855-2022 karta.png", "A 38855-2022")</f>
        <v/>
      </c>
      <c r="U279">
        <f>HYPERLINK("https://klasma.github.io/Logging_2104/knärot/A 38855-2022 karta knärot.png", "A 38855-2022")</f>
        <v/>
      </c>
      <c r="V279">
        <f>HYPERLINK("https://klasma.github.io/Logging_2104/klagomål/A 38855-2022 FSC-klagomål.docx", "A 38855-2022")</f>
        <v/>
      </c>
      <c r="W279">
        <f>HYPERLINK("https://klasma.github.io/Logging_2104/klagomålsmail/A 38855-2022 FSC-klagomål mail.docx", "A 38855-2022")</f>
        <v/>
      </c>
      <c r="X279">
        <f>HYPERLINK("https://klasma.github.io/Logging_2104/tillsyn/A 38855-2022 tillsynsbegäran.docx", "A 38855-2022")</f>
        <v/>
      </c>
      <c r="Y279">
        <f>HYPERLINK("https://klasma.github.io/Logging_2104/tillsynsmail/A 38855-2022 tillsynsbegäran mail.docx", "A 38855-2022")</f>
        <v/>
      </c>
    </row>
    <row r="280" ht="15" customHeight="1">
      <c r="A280" t="inlineStr">
        <is>
          <t>A 4287-2024</t>
        </is>
      </c>
      <c r="B280" s="1" t="n">
        <v>45324.5987037037</v>
      </c>
      <c r="C280" s="1" t="n">
        <v>46086</v>
      </c>
      <c r="D280" t="inlineStr">
        <is>
          <t>GÄVLEBORGS LÄN</t>
        </is>
      </c>
      <c r="E280" t="inlineStr">
        <is>
          <t>GÄVLE</t>
        </is>
      </c>
      <c r="G280" t="n">
        <v>1.6</v>
      </c>
      <c r="H280" t="n">
        <v>2</v>
      </c>
      <c r="I280" t="n">
        <v>0</v>
      </c>
      <c r="J280" t="n">
        <v>1</v>
      </c>
      <c r="K280" t="n">
        <v>0</v>
      </c>
      <c r="L280" t="n">
        <v>0</v>
      </c>
      <c r="M280" t="n">
        <v>0</v>
      </c>
      <c r="N280" t="n">
        <v>0</v>
      </c>
      <c r="O280" t="n">
        <v>1</v>
      </c>
      <c r="P280" t="n">
        <v>0</v>
      </c>
      <c r="Q280" t="n">
        <v>2</v>
      </c>
      <c r="R280" s="2" t="inlineStr">
        <is>
          <t>Rödvingetrast
Järnsparv</t>
        </is>
      </c>
      <c r="S280">
        <f>HYPERLINK("https://klasma.github.io/Logging_2180/artfynd/A 4287-2024 artfynd.xlsx", "A 4287-2024")</f>
        <v/>
      </c>
      <c r="T280">
        <f>HYPERLINK("https://klasma.github.io/Logging_2180/kartor/A 4287-2024 karta.png", "A 4287-2024")</f>
        <v/>
      </c>
      <c r="V280">
        <f>HYPERLINK("https://klasma.github.io/Logging_2180/klagomål/A 4287-2024 FSC-klagomål.docx", "A 4287-2024")</f>
        <v/>
      </c>
      <c r="W280">
        <f>HYPERLINK("https://klasma.github.io/Logging_2180/klagomålsmail/A 4287-2024 FSC-klagomål mail.docx", "A 4287-2024")</f>
        <v/>
      </c>
      <c r="X280">
        <f>HYPERLINK("https://klasma.github.io/Logging_2180/tillsyn/A 4287-2024 tillsynsbegäran.docx", "A 4287-2024")</f>
        <v/>
      </c>
      <c r="Y280">
        <f>HYPERLINK("https://klasma.github.io/Logging_2180/tillsynsmail/A 4287-2024 tillsynsbegäran mail.docx", "A 4287-2024")</f>
        <v/>
      </c>
      <c r="Z280">
        <f>HYPERLINK("https://klasma.github.io/Logging_2180/fåglar/A 4287-2024 prioriterade fågelarter.docx", "A 4287-2024")</f>
        <v/>
      </c>
    </row>
    <row r="281" ht="15" customHeight="1">
      <c r="A281" t="inlineStr">
        <is>
          <t>A 29821-2023</t>
        </is>
      </c>
      <c r="B281" s="1" t="n">
        <v>45107.56270833333</v>
      </c>
      <c r="C281" s="1" t="n">
        <v>46086</v>
      </c>
      <c r="D281" t="inlineStr">
        <is>
          <t>GÄVLEBORGS LÄN</t>
        </is>
      </c>
      <c r="E281" t="inlineStr">
        <is>
          <t>GÄVLE</t>
        </is>
      </c>
      <c r="G281" t="n">
        <v>5.3</v>
      </c>
      <c r="H281" t="n">
        <v>2</v>
      </c>
      <c r="I281" t="n">
        <v>0</v>
      </c>
      <c r="J281" t="n">
        <v>1</v>
      </c>
      <c r="K281" t="n">
        <v>0</v>
      </c>
      <c r="L281" t="n">
        <v>0</v>
      </c>
      <c r="M281" t="n">
        <v>0</v>
      </c>
      <c r="N281" t="n">
        <v>0</v>
      </c>
      <c r="O281" t="n">
        <v>1</v>
      </c>
      <c r="P281" t="n">
        <v>0</v>
      </c>
      <c r="Q281" t="n">
        <v>2</v>
      </c>
      <c r="R281" s="2" t="inlineStr">
        <is>
          <t>Svartvit flugsnappare
Järnsparv</t>
        </is>
      </c>
      <c r="S281">
        <f>HYPERLINK("https://klasma.github.io/Logging_2180/artfynd/A 29821-2023 artfynd.xlsx", "A 29821-2023")</f>
        <v/>
      </c>
      <c r="T281">
        <f>HYPERLINK("https://klasma.github.io/Logging_2180/kartor/A 29821-2023 karta.png", "A 29821-2023")</f>
        <v/>
      </c>
      <c r="V281">
        <f>HYPERLINK("https://klasma.github.io/Logging_2180/klagomål/A 29821-2023 FSC-klagomål.docx", "A 29821-2023")</f>
        <v/>
      </c>
      <c r="W281">
        <f>HYPERLINK("https://klasma.github.io/Logging_2180/klagomålsmail/A 29821-2023 FSC-klagomål mail.docx", "A 29821-2023")</f>
        <v/>
      </c>
      <c r="X281">
        <f>HYPERLINK("https://klasma.github.io/Logging_2180/tillsyn/A 29821-2023 tillsynsbegäran.docx", "A 29821-2023")</f>
        <v/>
      </c>
      <c r="Y281">
        <f>HYPERLINK("https://klasma.github.io/Logging_2180/tillsynsmail/A 29821-2023 tillsynsbegäran mail.docx", "A 29821-2023")</f>
        <v/>
      </c>
      <c r="Z281">
        <f>HYPERLINK("https://klasma.github.io/Logging_2180/fåglar/A 29821-2023 prioriterade fågelarter.docx", "A 29821-2023")</f>
        <v/>
      </c>
    </row>
    <row r="282" ht="15" customHeight="1">
      <c r="A282" t="inlineStr">
        <is>
          <t>A 13727-2025</t>
        </is>
      </c>
      <c r="B282" s="1" t="n">
        <v>45737.38288194445</v>
      </c>
      <c r="C282" s="1" t="n">
        <v>46086</v>
      </c>
      <c r="D282" t="inlineStr">
        <is>
          <t>GÄVLEBORGS LÄN</t>
        </is>
      </c>
      <c r="E282" t="inlineStr">
        <is>
          <t>GÄVLE</t>
        </is>
      </c>
      <c r="F282" t="inlineStr">
        <is>
          <t>Bergvik skog öst AB</t>
        </is>
      </c>
      <c r="G282" t="n">
        <v>7.6</v>
      </c>
      <c r="H282" t="n">
        <v>1</v>
      </c>
      <c r="I282" t="n">
        <v>0</v>
      </c>
      <c r="J282" t="n">
        <v>2</v>
      </c>
      <c r="K282" t="n">
        <v>0</v>
      </c>
      <c r="L282" t="n">
        <v>0</v>
      </c>
      <c r="M282" t="n">
        <v>0</v>
      </c>
      <c r="N282" t="n">
        <v>0</v>
      </c>
      <c r="O282" t="n">
        <v>2</v>
      </c>
      <c r="P282" t="n">
        <v>0</v>
      </c>
      <c r="Q282" t="n">
        <v>2</v>
      </c>
      <c r="R282" s="2" t="inlineStr">
        <is>
          <t>Järpe
Ullticka</t>
        </is>
      </c>
      <c r="S282">
        <f>HYPERLINK("https://klasma.github.io/Logging_2180/artfynd/A 13727-2025 artfynd.xlsx", "A 13727-2025")</f>
        <v/>
      </c>
      <c r="T282">
        <f>HYPERLINK("https://klasma.github.io/Logging_2180/kartor/A 13727-2025 karta.png", "A 13727-2025")</f>
        <v/>
      </c>
      <c r="V282">
        <f>HYPERLINK("https://klasma.github.io/Logging_2180/klagomål/A 13727-2025 FSC-klagomål.docx", "A 13727-2025")</f>
        <v/>
      </c>
      <c r="W282">
        <f>HYPERLINK("https://klasma.github.io/Logging_2180/klagomålsmail/A 13727-2025 FSC-klagomål mail.docx", "A 13727-2025")</f>
        <v/>
      </c>
      <c r="X282">
        <f>HYPERLINK("https://klasma.github.io/Logging_2180/tillsyn/A 13727-2025 tillsynsbegäran.docx", "A 13727-2025")</f>
        <v/>
      </c>
      <c r="Y282">
        <f>HYPERLINK("https://klasma.github.io/Logging_2180/tillsynsmail/A 13727-2025 tillsynsbegäran mail.docx", "A 13727-2025")</f>
        <v/>
      </c>
      <c r="Z282">
        <f>HYPERLINK("https://klasma.github.io/Logging_2180/fåglar/A 13727-2025 prioriterade fågelarter.docx", "A 13727-2025")</f>
        <v/>
      </c>
    </row>
    <row r="283" ht="15" customHeight="1">
      <c r="A283" t="inlineStr">
        <is>
          <t>A 31053-2024</t>
        </is>
      </c>
      <c r="B283" s="1" t="n">
        <v>45502.36028935185</v>
      </c>
      <c r="C283" s="1" t="n">
        <v>46086</v>
      </c>
      <c r="D283" t="inlineStr">
        <is>
          <t>GÄVLEBORGS LÄN</t>
        </is>
      </c>
      <c r="E283" t="inlineStr">
        <is>
          <t>NORDANSTIG</t>
        </is>
      </c>
      <c r="F283" t="inlineStr">
        <is>
          <t>Holmen skog AB</t>
        </is>
      </c>
      <c r="G283" t="n">
        <v>5.5</v>
      </c>
      <c r="H283" t="n">
        <v>1</v>
      </c>
      <c r="I283" t="n">
        <v>1</v>
      </c>
      <c r="J283" t="n">
        <v>0</v>
      </c>
      <c r="K283" t="n">
        <v>0</v>
      </c>
      <c r="L283" t="n">
        <v>0</v>
      </c>
      <c r="M283" t="n">
        <v>0</v>
      </c>
      <c r="N283" t="n">
        <v>0</v>
      </c>
      <c r="O283" t="n">
        <v>0</v>
      </c>
      <c r="P283" t="n">
        <v>0</v>
      </c>
      <c r="Q283" t="n">
        <v>2</v>
      </c>
      <c r="R283" s="2" t="inlineStr">
        <is>
          <t>Smal svampklubba
Fläcknycklar</t>
        </is>
      </c>
      <c r="S283">
        <f>HYPERLINK("https://klasma.github.io/Logging_2132/artfynd/A 31053-2024 artfynd.xlsx", "A 31053-2024")</f>
        <v/>
      </c>
      <c r="T283">
        <f>HYPERLINK("https://klasma.github.io/Logging_2132/kartor/A 31053-2024 karta.png", "A 31053-2024")</f>
        <v/>
      </c>
      <c r="V283">
        <f>HYPERLINK("https://klasma.github.io/Logging_2132/klagomål/A 31053-2024 FSC-klagomål.docx", "A 31053-2024")</f>
        <v/>
      </c>
      <c r="W283">
        <f>HYPERLINK("https://klasma.github.io/Logging_2132/klagomålsmail/A 31053-2024 FSC-klagomål mail.docx", "A 31053-2024")</f>
        <v/>
      </c>
      <c r="X283">
        <f>HYPERLINK("https://klasma.github.io/Logging_2132/tillsyn/A 31053-2024 tillsynsbegäran.docx", "A 31053-2024")</f>
        <v/>
      </c>
      <c r="Y283">
        <f>HYPERLINK("https://klasma.github.io/Logging_2132/tillsynsmail/A 31053-2024 tillsynsbegäran mail.docx", "A 31053-2024")</f>
        <v/>
      </c>
    </row>
    <row r="284" ht="15" customHeight="1">
      <c r="A284" t="inlineStr">
        <is>
          <t>A 22470-2024</t>
        </is>
      </c>
      <c r="B284" s="1" t="n">
        <v>45446</v>
      </c>
      <c r="C284" s="1" t="n">
        <v>46086</v>
      </c>
      <c r="D284" t="inlineStr">
        <is>
          <t>GÄVLEBORGS LÄN</t>
        </is>
      </c>
      <c r="E284" t="inlineStr">
        <is>
          <t>LJUSDAL</t>
        </is>
      </c>
      <c r="F284" t="inlineStr">
        <is>
          <t>SCA</t>
        </is>
      </c>
      <c r="G284" t="n">
        <v>5.3</v>
      </c>
      <c r="H284" t="n">
        <v>2</v>
      </c>
      <c r="I284" t="n">
        <v>0</v>
      </c>
      <c r="J284" t="n">
        <v>0</v>
      </c>
      <c r="K284" t="n">
        <v>1</v>
      </c>
      <c r="L284" t="n">
        <v>0</v>
      </c>
      <c r="M284" t="n">
        <v>0</v>
      </c>
      <c r="N284" t="n">
        <v>0</v>
      </c>
      <c r="O284" t="n">
        <v>1</v>
      </c>
      <c r="P284" t="n">
        <v>1</v>
      </c>
      <c r="Q284" t="n">
        <v>2</v>
      </c>
      <c r="R284" s="2" t="inlineStr">
        <is>
          <t>Knärot
Lopplummer (aggregat)</t>
        </is>
      </c>
      <c r="S284">
        <f>HYPERLINK("https://klasma.github.io/Logging_2161/artfynd/A 22470-2024 artfynd.xlsx", "A 22470-2024")</f>
        <v/>
      </c>
      <c r="T284">
        <f>HYPERLINK("https://klasma.github.io/Logging_2161/kartor/A 22470-2024 karta.png", "A 22470-2024")</f>
        <v/>
      </c>
      <c r="U284">
        <f>HYPERLINK("https://klasma.github.io/Logging_2161/knärot/A 22470-2024 karta knärot.png", "A 22470-2024")</f>
        <v/>
      </c>
      <c r="V284">
        <f>HYPERLINK("https://klasma.github.io/Logging_2161/klagomål/A 22470-2024 FSC-klagomål.docx", "A 22470-2024")</f>
        <v/>
      </c>
      <c r="W284">
        <f>HYPERLINK("https://klasma.github.io/Logging_2161/klagomålsmail/A 22470-2024 FSC-klagomål mail.docx", "A 22470-2024")</f>
        <v/>
      </c>
      <c r="X284">
        <f>HYPERLINK("https://klasma.github.io/Logging_2161/tillsyn/A 22470-2024 tillsynsbegäran.docx", "A 22470-2024")</f>
        <v/>
      </c>
      <c r="Y284">
        <f>HYPERLINK("https://klasma.github.io/Logging_2161/tillsynsmail/A 22470-2024 tillsynsbegäran mail.docx", "A 22470-2024")</f>
        <v/>
      </c>
    </row>
    <row r="285" ht="15" customHeight="1">
      <c r="A285" t="inlineStr">
        <is>
          <t>A 36310-2024</t>
        </is>
      </c>
      <c r="B285" s="1" t="n">
        <v>45534.62892361111</v>
      </c>
      <c r="C285" s="1" t="n">
        <v>46086</v>
      </c>
      <c r="D285" t="inlineStr">
        <is>
          <t>GÄVLEBORGS LÄN</t>
        </is>
      </c>
      <c r="E285" t="inlineStr">
        <is>
          <t>NORDANSTIG</t>
        </is>
      </c>
      <c r="F285" t="inlineStr">
        <is>
          <t>Holmen skog AB</t>
        </is>
      </c>
      <c r="G285" t="n">
        <v>6.5</v>
      </c>
      <c r="H285" t="n">
        <v>1</v>
      </c>
      <c r="I285" t="n">
        <v>1</v>
      </c>
      <c r="J285" t="n">
        <v>0</v>
      </c>
      <c r="K285" t="n">
        <v>0</v>
      </c>
      <c r="L285" t="n">
        <v>0</v>
      </c>
      <c r="M285" t="n">
        <v>0</v>
      </c>
      <c r="N285" t="n">
        <v>0</v>
      </c>
      <c r="O285" t="n">
        <v>0</v>
      </c>
      <c r="P285" t="n">
        <v>0</v>
      </c>
      <c r="Q285" t="n">
        <v>2</v>
      </c>
      <c r="R285" s="2" t="inlineStr">
        <is>
          <t>Nästlav
Revlummer</t>
        </is>
      </c>
      <c r="S285">
        <f>HYPERLINK("https://klasma.github.io/Logging_2132/artfynd/A 36310-2024 artfynd.xlsx", "A 36310-2024")</f>
        <v/>
      </c>
      <c r="T285">
        <f>HYPERLINK("https://klasma.github.io/Logging_2132/kartor/A 36310-2024 karta.png", "A 36310-2024")</f>
        <v/>
      </c>
      <c r="V285">
        <f>HYPERLINK("https://klasma.github.io/Logging_2132/klagomål/A 36310-2024 FSC-klagomål.docx", "A 36310-2024")</f>
        <v/>
      </c>
      <c r="W285">
        <f>HYPERLINK("https://klasma.github.io/Logging_2132/klagomålsmail/A 36310-2024 FSC-klagomål mail.docx", "A 36310-2024")</f>
        <v/>
      </c>
      <c r="X285">
        <f>HYPERLINK("https://klasma.github.io/Logging_2132/tillsyn/A 36310-2024 tillsynsbegäran.docx", "A 36310-2024")</f>
        <v/>
      </c>
      <c r="Y285">
        <f>HYPERLINK("https://klasma.github.io/Logging_2132/tillsynsmail/A 36310-2024 tillsynsbegäran mail.docx", "A 36310-2024")</f>
        <v/>
      </c>
    </row>
    <row r="286" ht="15" customHeight="1">
      <c r="A286" t="inlineStr">
        <is>
          <t>A 23399-2024</t>
        </is>
      </c>
      <c r="B286" s="1" t="n">
        <v>45453</v>
      </c>
      <c r="C286" s="1" t="n">
        <v>46086</v>
      </c>
      <c r="D286" t="inlineStr">
        <is>
          <t>GÄVLEBORGS LÄN</t>
        </is>
      </c>
      <c r="E286" t="inlineStr">
        <is>
          <t>LJUSDAL</t>
        </is>
      </c>
      <c r="G286" t="n">
        <v>1.7</v>
      </c>
      <c r="H286" t="n">
        <v>0</v>
      </c>
      <c r="I286" t="n">
        <v>0</v>
      </c>
      <c r="J286" t="n">
        <v>2</v>
      </c>
      <c r="K286" t="n">
        <v>0</v>
      </c>
      <c r="L286" t="n">
        <v>0</v>
      </c>
      <c r="M286" t="n">
        <v>0</v>
      </c>
      <c r="N286" t="n">
        <v>0</v>
      </c>
      <c r="O286" t="n">
        <v>2</v>
      </c>
      <c r="P286" t="n">
        <v>0</v>
      </c>
      <c r="Q286" t="n">
        <v>2</v>
      </c>
      <c r="R286" s="2" t="inlineStr">
        <is>
          <t>Kolflarnlav
Vedflamlav</t>
        </is>
      </c>
      <c r="S286">
        <f>HYPERLINK("https://klasma.github.io/Logging_2161/artfynd/A 23399-2024 artfynd.xlsx", "A 23399-2024")</f>
        <v/>
      </c>
      <c r="T286">
        <f>HYPERLINK("https://klasma.github.io/Logging_2161/kartor/A 23399-2024 karta.png", "A 23399-2024")</f>
        <v/>
      </c>
      <c r="V286">
        <f>HYPERLINK("https://klasma.github.io/Logging_2161/klagomål/A 23399-2024 FSC-klagomål.docx", "A 23399-2024")</f>
        <v/>
      </c>
      <c r="W286">
        <f>HYPERLINK("https://klasma.github.io/Logging_2161/klagomålsmail/A 23399-2024 FSC-klagomål mail.docx", "A 23399-2024")</f>
        <v/>
      </c>
      <c r="X286">
        <f>HYPERLINK("https://klasma.github.io/Logging_2161/tillsyn/A 23399-2024 tillsynsbegäran.docx", "A 23399-2024")</f>
        <v/>
      </c>
      <c r="Y286">
        <f>HYPERLINK("https://klasma.github.io/Logging_2161/tillsynsmail/A 23399-2024 tillsynsbegäran mail.docx", "A 23399-2024")</f>
        <v/>
      </c>
    </row>
    <row r="287" ht="15" customHeight="1">
      <c r="A287" t="inlineStr">
        <is>
          <t>A 34997-2024</t>
        </is>
      </c>
      <c r="B287" s="1" t="n">
        <v>45527.56431712963</v>
      </c>
      <c r="C287" s="1" t="n">
        <v>46086</v>
      </c>
      <c r="D287" t="inlineStr">
        <is>
          <t>GÄVLEBORGS LÄN</t>
        </is>
      </c>
      <c r="E287" t="inlineStr">
        <is>
          <t>LJUSDAL</t>
        </is>
      </c>
      <c r="F287" t="inlineStr">
        <is>
          <t>Sveaskog</t>
        </is>
      </c>
      <c r="G287" t="n">
        <v>5.3</v>
      </c>
      <c r="H287" t="n">
        <v>0</v>
      </c>
      <c r="I287" t="n">
        <v>0</v>
      </c>
      <c r="J287" t="n">
        <v>2</v>
      </c>
      <c r="K287" t="n">
        <v>0</v>
      </c>
      <c r="L287" t="n">
        <v>0</v>
      </c>
      <c r="M287" t="n">
        <v>0</v>
      </c>
      <c r="N287" t="n">
        <v>0</v>
      </c>
      <c r="O287" t="n">
        <v>2</v>
      </c>
      <c r="P287" t="n">
        <v>0</v>
      </c>
      <c r="Q287" t="n">
        <v>2</v>
      </c>
      <c r="R287" s="2" t="inlineStr">
        <is>
          <t>Kolflarnlav
Lunglav</t>
        </is>
      </c>
      <c r="S287">
        <f>HYPERLINK("https://klasma.github.io/Logging_2161/artfynd/A 34997-2024 artfynd.xlsx", "A 34997-2024")</f>
        <v/>
      </c>
      <c r="T287">
        <f>HYPERLINK("https://klasma.github.io/Logging_2161/kartor/A 34997-2024 karta.png", "A 34997-2024")</f>
        <v/>
      </c>
      <c r="V287">
        <f>HYPERLINK("https://klasma.github.io/Logging_2161/klagomål/A 34997-2024 FSC-klagomål.docx", "A 34997-2024")</f>
        <v/>
      </c>
      <c r="W287">
        <f>HYPERLINK("https://klasma.github.io/Logging_2161/klagomålsmail/A 34997-2024 FSC-klagomål mail.docx", "A 34997-2024")</f>
        <v/>
      </c>
      <c r="X287">
        <f>HYPERLINK("https://klasma.github.io/Logging_2161/tillsyn/A 34997-2024 tillsynsbegäran.docx", "A 34997-2024")</f>
        <v/>
      </c>
      <c r="Y287">
        <f>HYPERLINK("https://klasma.github.io/Logging_2161/tillsynsmail/A 34997-2024 tillsynsbegäran mail.docx", "A 34997-2024")</f>
        <v/>
      </c>
    </row>
    <row r="288" ht="15" customHeight="1">
      <c r="A288" t="inlineStr">
        <is>
          <t>A 22067-2024</t>
        </is>
      </c>
      <c r="B288" s="1" t="n">
        <v>45443.63162037037</v>
      </c>
      <c r="C288" s="1" t="n">
        <v>46086</v>
      </c>
      <c r="D288" t="inlineStr">
        <is>
          <t>GÄVLEBORGS LÄN</t>
        </is>
      </c>
      <c r="E288" t="inlineStr">
        <is>
          <t>LJUSDAL</t>
        </is>
      </c>
      <c r="F288" t="inlineStr">
        <is>
          <t>Sveaskog</t>
        </is>
      </c>
      <c r="G288" t="n">
        <v>2.9</v>
      </c>
      <c r="H288" t="n">
        <v>0</v>
      </c>
      <c r="I288" t="n">
        <v>0</v>
      </c>
      <c r="J288" t="n">
        <v>2</v>
      </c>
      <c r="K288" t="n">
        <v>0</v>
      </c>
      <c r="L288" t="n">
        <v>0</v>
      </c>
      <c r="M288" t="n">
        <v>0</v>
      </c>
      <c r="N288" t="n">
        <v>0</v>
      </c>
      <c r="O288" t="n">
        <v>2</v>
      </c>
      <c r="P288" t="n">
        <v>0</v>
      </c>
      <c r="Q288" t="n">
        <v>2</v>
      </c>
      <c r="R288" s="2" t="inlineStr">
        <is>
          <t>Garnlav
Skrovellav</t>
        </is>
      </c>
      <c r="S288">
        <f>HYPERLINK("https://klasma.github.io/Logging_2161/artfynd/A 22067-2024 artfynd.xlsx", "A 22067-2024")</f>
        <v/>
      </c>
      <c r="T288">
        <f>HYPERLINK("https://klasma.github.io/Logging_2161/kartor/A 22067-2024 karta.png", "A 22067-2024")</f>
        <v/>
      </c>
      <c r="V288">
        <f>HYPERLINK("https://klasma.github.io/Logging_2161/klagomål/A 22067-2024 FSC-klagomål.docx", "A 22067-2024")</f>
        <v/>
      </c>
      <c r="W288">
        <f>HYPERLINK("https://klasma.github.io/Logging_2161/klagomålsmail/A 22067-2024 FSC-klagomål mail.docx", "A 22067-2024")</f>
        <v/>
      </c>
      <c r="X288">
        <f>HYPERLINK("https://klasma.github.io/Logging_2161/tillsyn/A 22067-2024 tillsynsbegäran.docx", "A 22067-2024")</f>
        <v/>
      </c>
      <c r="Y288">
        <f>HYPERLINK("https://klasma.github.io/Logging_2161/tillsynsmail/A 22067-2024 tillsynsbegäran mail.docx", "A 22067-2024")</f>
        <v/>
      </c>
    </row>
    <row r="289" ht="15" customHeight="1">
      <c r="A289" t="inlineStr">
        <is>
          <t>A 10623-2025</t>
        </is>
      </c>
      <c r="B289" s="1" t="n">
        <v>45721</v>
      </c>
      <c r="C289" s="1" t="n">
        <v>46086</v>
      </c>
      <c r="D289" t="inlineStr">
        <is>
          <t>GÄVLEBORGS LÄN</t>
        </is>
      </c>
      <c r="E289" t="inlineStr">
        <is>
          <t>SANDVIKEN</t>
        </is>
      </c>
      <c r="F289" t="inlineStr">
        <is>
          <t>Bergvik skog öst AB</t>
        </is>
      </c>
      <c r="G289" t="n">
        <v>4.6</v>
      </c>
      <c r="H289" t="n">
        <v>2</v>
      </c>
      <c r="I289" t="n">
        <v>0</v>
      </c>
      <c r="J289" t="n">
        <v>0</v>
      </c>
      <c r="K289" t="n">
        <v>1</v>
      </c>
      <c r="L289" t="n">
        <v>0</v>
      </c>
      <c r="M289" t="n">
        <v>0</v>
      </c>
      <c r="N289" t="n">
        <v>0</v>
      </c>
      <c r="O289" t="n">
        <v>1</v>
      </c>
      <c r="P289" t="n">
        <v>1</v>
      </c>
      <c r="Q289" t="n">
        <v>2</v>
      </c>
      <c r="R289" s="2" t="inlineStr">
        <is>
          <t>Knärot
Revlummer</t>
        </is>
      </c>
      <c r="S289">
        <f>HYPERLINK("https://klasma.github.io/Logging_2181/artfynd/A 10623-2025 artfynd.xlsx", "A 10623-2025")</f>
        <v/>
      </c>
      <c r="T289">
        <f>HYPERLINK("https://klasma.github.io/Logging_2181/kartor/A 10623-2025 karta.png", "A 10623-2025")</f>
        <v/>
      </c>
      <c r="U289">
        <f>HYPERLINK("https://klasma.github.io/Logging_2181/knärot/A 10623-2025 karta knärot.png", "A 10623-2025")</f>
        <v/>
      </c>
      <c r="V289">
        <f>HYPERLINK("https://klasma.github.io/Logging_2181/klagomål/A 10623-2025 FSC-klagomål.docx", "A 10623-2025")</f>
        <v/>
      </c>
      <c r="W289">
        <f>HYPERLINK("https://klasma.github.io/Logging_2181/klagomålsmail/A 10623-2025 FSC-klagomål mail.docx", "A 10623-2025")</f>
        <v/>
      </c>
      <c r="X289">
        <f>HYPERLINK("https://klasma.github.io/Logging_2181/tillsyn/A 10623-2025 tillsynsbegäran.docx", "A 10623-2025")</f>
        <v/>
      </c>
      <c r="Y289">
        <f>HYPERLINK("https://klasma.github.io/Logging_2181/tillsynsmail/A 10623-2025 tillsynsbegäran mail.docx", "A 10623-2025")</f>
        <v/>
      </c>
    </row>
    <row r="290" ht="15" customHeight="1">
      <c r="A290" t="inlineStr">
        <is>
          <t>A 38564-2025</t>
        </is>
      </c>
      <c r="B290" s="1" t="n">
        <v>45884.44935185185</v>
      </c>
      <c r="C290" s="1" t="n">
        <v>46086</v>
      </c>
      <c r="D290" t="inlineStr">
        <is>
          <t>GÄVLEBORGS LÄN</t>
        </is>
      </c>
      <c r="E290" t="inlineStr">
        <is>
          <t>GÄVLE</t>
        </is>
      </c>
      <c r="F290" t="inlineStr">
        <is>
          <t>Bergvik skog öst AB</t>
        </is>
      </c>
      <c r="G290" t="n">
        <v>2.8</v>
      </c>
      <c r="H290" t="n">
        <v>1</v>
      </c>
      <c r="I290" t="n">
        <v>1</v>
      </c>
      <c r="J290" t="n">
        <v>1</v>
      </c>
      <c r="K290" t="n">
        <v>0</v>
      </c>
      <c r="L290" t="n">
        <v>0</v>
      </c>
      <c r="M290" t="n">
        <v>0</v>
      </c>
      <c r="N290" t="n">
        <v>0</v>
      </c>
      <c r="O290" t="n">
        <v>1</v>
      </c>
      <c r="P290" t="n">
        <v>0</v>
      </c>
      <c r="Q290" t="n">
        <v>2</v>
      </c>
      <c r="R290" s="2" t="inlineStr">
        <is>
          <t>Spillkråka
Vårärt</t>
        </is>
      </c>
      <c r="S290">
        <f>HYPERLINK("https://klasma.github.io/Logging_2180/artfynd/A 38564-2025 artfynd.xlsx", "A 38564-2025")</f>
        <v/>
      </c>
      <c r="T290">
        <f>HYPERLINK("https://klasma.github.io/Logging_2180/kartor/A 38564-2025 karta.png", "A 38564-2025")</f>
        <v/>
      </c>
      <c r="V290">
        <f>HYPERLINK("https://klasma.github.io/Logging_2180/klagomål/A 38564-2025 FSC-klagomål.docx", "A 38564-2025")</f>
        <v/>
      </c>
      <c r="W290">
        <f>HYPERLINK("https://klasma.github.io/Logging_2180/klagomålsmail/A 38564-2025 FSC-klagomål mail.docx", "A 38564-2025")</f>
        <v/>
      </c>
      <c r="X290">
        <f>HYPERLINK("https://klasma.github.io/Logging_2180/tillsyn/A 38564-2025 tillsynsbegäran.docx", "A 38564-2025")</f>
        <v/>
      </c>
      <c r="Y290">
        <f>HYPERLINK("https://klasma.github.io/Logging_2180/tillsynsmail/A 38564-2025 tillsynsbegäran mail.docx", "A 38564-2025")</f>
        <v/>
      </c>
      <c r="Z290">
        <f>HYPERLINK("https://klasma.github.io/Logging_2180/fåglar/A 38564-2025 prioriterade fågelarter.docx", "A 38564-2025")</f>
        <v/>
      </c>
    </row>
    <row r="291" ht="15" customHeight="1">
      <c r="A291" t="inlineStr">
        <is>
          <t>A 38971-2024</t>
        </is>
      </c>
      <c r="B291" s="1" t="n">
        <v>45548</v>
      </c>
      <c r="C291" s="1" t="n">
        <v>46086</v>
      </c>
      <c r="D291" t="inlineStr">
        <is>
          <t>GÄVLEBORGS LÄN</t>
        </is>
      </c>
      <c r="E291" t="inlineStr">
        <is>
          <t>BOLLNÄS</t>
        </is>
      </c>
      <c r="F291" t="inlineStr">
        <is>
          <t>Sveaskog</t>
        </is>
      </c>
      <c r="G291" t="n">
        <v>5.7</v>
      </c>
      <c r="H291" t="n">
        <v>2</v>
      </c>
      <c r="I291" t="n">
        <v>0</v>
      </c>
      <c r="J291" t="n">
        <v>0</v>
      </c>
      <c r="K291" t="n">
        <v>0</v>
      </c>
      <c r="L291" t="n">
        <v>0</v>
      </c>
      <c r="M291" t="n">
        <v>0</v>
      </c>
      <c r="N291" t="n">
        <v>0</v>
      </c>
      <c r="O291" t="n">
        <v>0</v>
      </c>
      <c r="P291" t="n">
        <v>0</v>
      </c>
      <c r="Q291" t="n">
        <v>2</v>
      </c>
      <c r="R291" s="2" t="inlineStr">
        <is>
          <t>Lavskrika
Pärluggla</t>
        </is>
      </c>
      <c r="S291">
        <f>HYPERLINK("https://klasma.github.io/Logging_2183/artfynd/A 38971-2024 artfynd.xlsx", "A 38971-2024")</f>
        <v/>
      </c>
      <c r="T291">
        <f>HYPERLINK("https://klasma.github.io/Logging_2183/kartor/A 38971-2024 karta.png", "A 38971-2024")</f>
        <v/>
      </c>
      <c r="V291">
        <f>HYPERLINK("https://klasma.github.io/Logging_2183/klagomål/A 38971-2024 FSC-klagomål.docx", "A 38971-2024")</f>
        <v/>
      </c>
      <c r="W291">
        <f>HYPERLINK("https://klasma.github.io/Logging_2183/klagomålsmail/A 38971-2024 FSC-klagomål mail.docx", "A 38971-2024")</f>
        <v/>
      </c>
      <c r="X291">
        <f>HYPERLINK("https://klasma.github.io/Logging_2183/tillsyn/A 38971-2024 tillsynsbegäran.docx", "A 38971-2024")</f>
        <v/>
      </c>
      <c r="Y291">
        <f>HYPERLINK("https://klasma.github.io/Logging_2183/tillsynsmail/A 38971-2024 tillsynsbegäran mail.docx", "A 38971-2024")</f>
        <v/>
      </c>
      <c r="Z291">
        <f>HYPERLINK("https://klasma.github.io/Logging_2183/fåglar/A 38971-2024 prioriterade fågelarter.docx", "A 38971-2024")</f>
        <v/>
      </c>
    </row>
    <row r="292" ht="15" customHeight="1">
      <c r="A292" t="inlineStr">
        <is>
          <t>A 21196-2024</t>
        </is>
      </c>
      <c r="B292" s="1" t="n">
        <v>45440</v>
      </c>
      <c r="C292" s="1" t="n">
        <v>46086</v>
      </c>
      <c r="D292" t="inlineStr">
        <is>
          <t>GÄVLEBORGS LÄN</t>
        </is>
      </c>
      <c r="E292" t="inlineStr">
        <is>
          <t>SANDVIKEN</t>
        </is>
      </c>
      <c r="F292" t="inlineStr">
        <is>
          <t>Kommuner</t>
        </is>
      </c>
      <c r="G292" t="n">
        <v>45.5</v>
      </c>
      <c r="H292" t="n">
        <v>1</v>
      </c>
      <c r="I292" t="n">
        <v>0</v>
      </c>
      <c r="J292" t="n">
        <v>1</v>
      </c>
      <c r="K292" t="n">
        <v>1</v>
      </c>
      <c r="L292" t="n">
        <v>0</v>
      </c>
      <c r="M292" t="n">
        <v>0</v>
      </c>
      <c r="N292" t="n">
        <v>0</v>
      </c>
      <c r="O292" t="n">
        <v>2</v>
      </c>
      <c r="P292" t="n">
        <v>1</v>
      </c>
      <c r="Q292" t="n">
        <v>2</v>
      </c>
      <c r="R292" s="2" t="inlineStr">
        <is>
          <t>Lappuggla
Ullticka</t>
        </is>
      </c>
      <c r="S292">
        <f>HYPERLINK("https://klasma.github.io/Logging_2181/artfynd/A 21196-2024 artfynd.xlsx", "A 21196-2024")</f>
        <v/>
      </c>
      <c r="T292">
        <f>HYPERLINK("https://klasma.github.io/Logging_2181/kartor/A 21196-2024 karta.png", "A 21196-2024")</f>
        <v/>
      </c>
      <c r="V292">
        <f>HYPERLINK("https://klasma.github.io/Logging_2181/klagomål/A 21196-2024 FSC-klagomål.docx", "A 21196-2024")</f>
        <v/>
      </c>
      <c r="W292">
        <f>HYPERLINK("https://klasma.github.io/Logging_2181/klagomålsmail/A 21196-2024 FSC-klagomål mail.docx", "A 21196-2024")</f>
        <v/>
      </c>
      <c r="X292">
        <f>HYPERLINK("https://klasma.github.io/Logging_2181/tillsyn/A 21196-2024 tillsynsbegäran.docx", "A 21196-2024")</f>
        <v/>
      </c>
      <c r="Y292">
        <f>HYPERLINK("https://klasma.github.io/Logging_2181/tillsynsmail/A 21196-2024 tillsynsbegäran mail.docx", "A 21196-2024")</f>
        <v/>
      </c>
      <c r="Z292">
        <f>HYPERLINK("https://klasma.github.io/Logging_2181/fåglar/A 21196-2024 prioriterade fågelarter.docx", "A 21196-2024")</f>
        <v/>
      </c>
    </row>
    <row r="293" ht="15" customHeight="1">
      <c r="A293" t="inlineStr">
        <is>
          <t>A 10855-2026</t>
        </is>
      </c>
      <c r="B293" s="1" t="n">
        <v>46078.66032407407</v>
      </c>
      <c r="C293" s="1" t="n">
        <v>46086</v>
      </c>
      <c r="D293" t="inlineStr">
        <is>
          <t>GÄVLEBORGS LÄN</t>
        </is>
      </c>
      <c r="E293" t="inlineStr">
        <is>
          <t>OVANÅKER</t>
        </is>
      </c>
      <c r="G293" t="n">
        <v>6.6</v>
      </c>
      <c r="H293" t="n">
        <v>0</v>
      </c>
      <c r="I293" t="n">
        <v>0</v>
      </c>
      <c r="J293" t="n">
        <v>2</v>
      </c>
      <c r="K293" t="n">
        <v>0</v>
      </c>
      <c r="L293" t="n">
        <v>0</v>
      </c>
      <c r="M293" t="n">
        <v>0</v>
      </c>
      <c r="N293" t="n">
        <v>0</v>
      </c>
      <c r="O293" t="n">
        <v>2</v>
      </c>
      <c r="P293" t="n">
        <v>0</v>
      </c>
      <c r="Q293" t="n">
        <v>2</v>
      </c>
      <c r="R293" s="2" t="inlineStr">
        <is>
          <t>Garnlav
Kolflarnlav</t>
        </is>
      </c>
      <c r="S293">
        <f>HYPERLINK("https://klasma.github.io/Logging_2121/artfynd/A 10855-2026 artfynd.xlsx", "A 10855-2026")</f>
        <v/>
      </c>
      <c r="T293">
        <f>HYPERLINK("https://klasma.github.io/Logging_2121/kartor/A 10855-2026 karta.png", "A 10855-2026")</f>
        <v/>
      </c>
      <c r="V293">
        <f>HYPERLINK("https://klasma.github.io/Logging_2121/klagomål/A 10855-2026 FSC-klagomål.docx", "A 10855-2026")</f>
        <v/>
      </c>
      <c r="W293">
        <f>HYPERLINK("https://klasma.github.io/Logging_2121/klagomålsmail/A 10855-2026 FSC-klagomål mail.docx", "A 10855-2026")</f>
        <v/>
      </c>
      <c r="X293">
        <f>HYPERLINK("https://klasma.github.io/Logging_2121/tillsyn/A 10855-2026 tillsynsbegäran.docx", "A 10855-2026")</f>
        <v/>
      </c>
      <c r="Y293">
        <f>HYPERLINK("https://klasma.github.io/Logging_2121/tillsynsmail/A 10855-2026 tillsynsbegäran mail.docx", "A 10855-2026")</f>
        <v/>
      </c>
    </row>
    <row r="294" ht="15" customHeight="1">
      <c r="A294" t="inlineStr">
        <is>
          <t>A 8591-2026</t>
        </is>
      </c>
      <c r="B294" s="1" t="n">
        <v>46065</v>
      </c>
      <c r="C294" s="1" t="n">
        <v>46086</v>
      </c>
      <c r="D294" t="inlineStr">
        <is>
          <t>GÄVLEBORGS LÄN</t>
        </is>
      </c>
      <c r="E294" t="inlineStr">
        <is>
          <t>OCKELBO</t>
        </is>
      </c>
      <c r="F294" t="inlineStr">
        <is>
          <t>Bergvik skog väst AB</t>
        </is>
      </c>
      <c r="G294" t="n">
        <v>8.1</v>
      </c>
      <c r="H294" t="n">
        <v>0</v>
      </c>
      <c r="I294" t="n">
        <v>0</v>
      </c>
      <c r="J294" t="n">
        <v>2</v>
      </c>
      <c r="K294" t="n">
        <v>0</v>
      </c>
      <c r="L294" t="n">
        <v>0</v>
      </c>
      <c r="M294" t="n">
        <v>0</v>
      </c>
      <c r="N294" t="n">
        <v>0</v>
      </c>
      <c r="O294" t="n">
        <v>2</v>
      </c>
      <c r="P294" t="n">
        <v>0</v>
      </c>
      <c r="Q294" t="n">
        <v>2</v>
      </c>
      <c r="R294" s="2" t="inlineStr">
        <is>
          <t>Mörk kolflarnlav
Vedskivlav</t>
        </is>
      </c>
      <c r="S294">
        <f>HYPERLINK("https://klasma.github.io/Logging_2101/artfynd/A 8591-2026 artfynd.xlsx", "A 8591-2026")</f>
        <v/>
      </c>
      <c r="T294">
        <f>HYPERLINK("https://klasma.github.io/Logging_2101/kartor/A 8591-2026 karta.png", "A 8591-2026")</f>
        <v/>
      </c>
      <c r="V294">
        <f>HYPERLINK("https://klasma.github.io/Logging_2101/klagomål/A 8591-2026 FSC-klagomål.docx", "A 8591-2026")</f>
        <v/>
      </c>
      <c r="W294">
        <f>HYPERLINK("https://klasma.github.io/Logging_2101/klagomålsmail/A 8591-2026 FSC-klagomål mail.docx", "A 8591-2026")</f>
        <v/>
      </c>
      <c r="X294">
        <f>HYPERLINK("https://klasma.github.io/Logging_2101/tillsyn/A 8591-2026 tillsynsbegäran.docx", "A 8591-2026")</f>
        <v/>
      </c>
      <c r="Y294">
        <f>HYPERLINK("https://klasma.github.io/Logging_2101/tillsynsmail/A 8591-2026 tillsynsbegäran mail.docx", "A 8591-2026")</f>
        <v/>
      </c>
    </row>
    <row r="295" ht="15" customHeight="1">
      <c r="A295" t="inlineStr">
        <is>
          <t>A 27122-2025</t>
        </is>
      </c>
      <c r="B295" s="1" t="n">
        <v>45811.77063657407</v>
      </c>
      <c r="C295" s="1" t="n">
        <v>46086</v>
      </c>
      <c r="D295" t="inlineStr">
        <is>
          <t>GÄVLEBORGS LÄN</t>
        </is>
      </c>
      <c r="E295" t="inlineStr">
        <is>
          <t>LJUSDAL</t>
        </is>
      </c>
      <c r="F295" t="inlineStr">
        <is>
          <t>Sveaskog</t>
        </is>
      </c>
      <c r="G295" t="n">
        <v>1.9</v>
      </c>
      <c r="H295" t="n">
        <v>0</v>
      </c>
      <c r="I295" t="n">
        <v>0</v>
      </c>
      <c r="J295" t="n">
        <v>2</v>
      </c>
      <c r="K295" t="n">
        <v>0</v>
      </c>
      <c r="L295" t="n">
        <v>0</v>
      </c>
      <c r="M295" t="n">
        <v>0</v>
      </c>
      <c r="N295" t="n">
        <v>0</v>
      </c>
      <c r="O295" t="n">
        <v>2</v>
      </c>
      <c r="P295" t="n">
        <v>0</v>
      </c>
      <c r="Q295" t="n">
        <v>2</v>
      </c>
      <c r="R295" s="2" t="inlineStr">
        <is>
          <t>Lunglav
Skrovellav</t>
        </is>
      </c>
      <c r="S295">
        <f>HYPERLINK("https://klasma.github.io/Logging_2161/artfynd/A 27122-2025 artfynd.xlsx", "A 27122-2025")</f>
        <v/>
      </c>
      <c r="T295">
        <f>HYPERLINK("https://klasma.github.io/Logging_2161/kartor/A 27122-2025 karta.png", "A 27122-2025")</f>
        <v/>
      </c>
      <c r="V295">
        <f>HYPERLINK("https://klasma.github.io/Logging_2161/klagomål/A 27122-2025 FSC-klagomål.docx", "A 27122-2025")</f>
        <v/>
      </c>
      <c r="W295">
        <f>HYPERLINK("https://klasma.github.io/Logging_2161/klagomålsmail/A 27122-2025 FSC-klagomål mail.docx", "A 27122-2025")</f>
        <v/>
      </c>
      <c r="X295">
        <f>HYPERLINK("https://klasma.github.io/Logging_2161/tillsyn/A 27122-2025 tillsynsbegäran.docx", "A 27122-2025")</f>
        <v/>
      </c>
      <c r="Y295">
        <f>HYPERLINK("https://klasma.github.io/Logging_2161/tillsynsmail/A 27122-2025 tillsynsbegäran mail.docx", "A 27122-2025")</f>
        <v/>
      </c>
    </row>
    <row r="296" ht="15" customHeight="1">
      <c r="A296" t="inlineStr">
        <is>
          <t>A 42056-2023</t>
        </is>
      </c>
      <c r="B296" s="1" t="n">
        <v>45177</v>
      </c>
      <c r="C296" s="1" t="n">
        <v>46086</v>
      </c>
      <c r="D296" t="inlineStr">
        <is>
          <t>GÄVLEBORGS LÄN</t>
        </is>
      </c>
      <c r="E296" t="inlineStr">
        <is>
          <t>OVANÅKER</t>
        </is>
      </c>
      <c r="G296" t="n">
        <v>14.7</v>
      </c>
      <c r="H296" t="n">
        <v>0</v>
      </c>
      <c r="I296" t="n">
        <v>1</v>
      </c>
      <c r="J296" t="n">
        <v>1</v>
      </c>
      <c r="K296" t="n">
        <v>0</v>
      </c>
      <c r="L296" t="n">
        <v>0</v>
      </c>
      <c r="M296" t="n">
        <v>0</v>
      </c>
      <c r="N296" t="n">
        <v>0</v>
      </c>
      <c r="O296" t="n">
        <v>1</v>
      </c>
      <c r="P296" t="n">
        <v>0</v>
      </c>
      <c r="Q296" t="n">
        <v>2</v>
      </c>
      <c r="R296" s="2" t="inlineStr">
        <is>
          <t>Lunglav
Korallblylav</t>
        </is>
      </c>
      <c r="S296">
        <f>HYPERLINK("https://klasma.github.io/Logging_2121/artfynd/A 42056-2023 artfynd.xlsx", "A 42056-2023")</f>
        <v/>
      </c>
      <c r="T296">
        <f>HYPERLINK("https://klasma.github.io/Logging_2121/kartor/A 42056-2023 karta.png", "A 42056-2023")</f>
        <v/>
      </c>
      <c r="V296">
        <f>HYPERLINK("https://klasma.github.io/Logging_2121/klagomål/A 42056-2023 FSC-klagomål.docx", "A 42056-2023")</f>
        <v/>
      </c>
      <c r="W296">
        <f>HYPERLINK("https://klasma.github.io/Logging_2121/klagomålsmail/A 42056-2023 FSC-klagomål mail.docx", "A 42056-2023")</f>
        <v/>
      </c>
      <c r="X296">
        <f>HYPERLINK("https://klasma.github.io/Logging_2121/tillsyn/A 42056-2023 tillsynsbegäran.docx", "A 42056-2023")</f>
        <v/>
      </c>
      <c r="Y296">
        <f>HYPERLINK("https://klasma.github.io/Logging_2121/tillsynsmail/A 42056-2023 tillsynsbegäran mail.docx", "A 42056-2023")</f>
        <v/>
      </c>
    </row>
    <row r="297" ht="15" customHeight="1">
      <c r="A297" t="inlineStr">
        <is>
          <t>A 27882-2025</t>
        </is>
      </c>
      <c r="B297" s="1" t="n">
        <v>45817.44679398148</v>
      </c>
      <c r="C297" s="1" t="n">
        <v>46086</v>
      </c>
      <c r="D297" t="inlineStr">
        <is>
          <t>GÄVLEBORGS LÄN</t>
        </is>
      </c>
      <c r="E297" t="inlineStr">
        <is>
          <t>LJUSDAL</t>
        </is>
      </c>
      <c r="F297" t="inlineStr">
        <is>
          <t>Sveaskog</t>
        </is>
      </c>
      <c r="G297" t="n">
        <v>7.1</v>
      </c>
      <c r="H297" t="n">
        <v>1</v>
      </c>
      <c r="I297" t="n">
        <v>0</v>
      </c>
      <c r="J297" t="n">
        <v>1</v>
      </c>
      <c r="K297" t="n">
        <v>1</v>
      </c>
      <c r="L297" t="n">
        <v>0</v>
      </c>
      <c r="M297" t="n">
        <v>0</v>
      </c>
      <c r="N297" t="n">
        <v>0</v>
      </c>
      <c r="O297" t="n">
        <v>2</v>
      </c>
      <c r="P297" t="n">
        <v>1</v>
      </c>
      <c r="Q297" t="n">
        <v>2</v>
      </c>
      <c r="R297" s="2" t="inlineStr">
        <is>
          <t>Doftticka
Lunglav</t>
        </is>
      </c>
      <c r="S297">
        <f>HYPERLINK("https://klasma.github.io/Logging_2161/artfynd/A 27882-2025 artfynd.xlsx", "A 27882-2025")</f>
        <v/>
      </c>
      <c r="T297">
        <f>HYPERLINK("https://klasma.github.io/Logging_2161/kartor/A 27882-2025 karta.png", "A 27882-2025")</f>
        <v/>
      </c>
      <c r="V297">
        <f>HYPERLINK("https://klasma.github.io/Logging_2161/klagomål/A 27882-2025 FSC-klagomål.docx", "A 27882-2025")</f>
        <v/>
      </c>
      <c r="W297">
        <f>HYPERLINK("https://klasma.github.io/Logging_2161/klagomålsmail/A 27882-2025 FSC-klagomål mail.docx", "A 27882-2025")</f>
        <v/>
      </c>
      <c r="X297">
        <f>HYPERLINK("https://klasma.github.io/Logging_2161/tillsyn/A 27882-2025 tillsynsbegäran.docx", "A 27882-2025")</f>
        <v/>
      </c>
      <c r="Y297">
        <f>HYPERLINK("https://klasma.github.io/Logging_2161/tillsynsmail/A 27882-2025 tillsynsbegäran mail.docx", "A 27882-2025")</f>
        <v/>
      </c>
    </row>
    <row r="298" ht="15" customHeight="1">
      <c r="A298" t="inlineStr">
        <is>
          <t>A 38698-2025</t>
        </is>
      </c>
      <c r="B298" s="1" t="n">
        <v>45884.78145833333</v>
      </c>
      <c r="C298" s="1" t="n">
        <v>46086</v>
      </c>
      <c r="D298" t="inlineStr">
        <is>
          <t>GÄVLEBORGS LÄN</t>
        </is>
      </c>
      <c r="E298" t="inlineStr">
        <is>
          <t>LJUSDAL</t>
        </is>
      </c>
      <c r="F298" t="inlineStr">
        <is>
          <t>Sveaskog</t>
        </is>
      </c>
      <c r="G298" t="n">
        <v>6.4</v>
      </c>
      <c r="H298" t="n">
        <v>1</v>
      </c>
      <c r="I298" t="n">
        <v>0</v>
      </c>
      <c r="J298" t="n">
        <v>1</v>
      </c>
      <c r="K298" t="n">
        <v>0</v>
      </c>
      <c r="L298" t="n">
        <v>0</v>
      </c>
      <c r="M298" t="n">
        <v>0</v>
      </c>
      <c r="N298" t="n">
        <v>0</v>
      </c>
      <c r="O298" t="n">
        <v>1</v>
      </c>
      <c r="P298" t="n">
        <v>0</v>
      </c>
      <c r="Q298" t="n">
        <v>2</v>
      </c>
      <c r="R298" s="2" t="inlineStr">
        <is>
          <t>Skrovellav
Fläcknycklar</t>
        </is>
      </c>
      <c r="S298">
        <f>HYPERLINK("https://klasma.github.io/Logging_2161/artfynd/A 38698-2025 artfynd.xlsx", "A 38698-2025")</f>
        <v/>
      </c>
      <c r="T298">
        <f>HYPERLINK("https://klasma.github.io/Logging_2161/kartor/A 38698-2025 karta.png", "A 38698-2025")</f>
        <v/>
      </c>
      <c r="V298">
        <f>HYPERLINK("https://klasma.github.io/Logging_2161/klagomål/A 38698-2025 FSC-klagomål.docx", "A 38698-2025")</f>
        <v/>
      </c>
      <c r="W298">
        <f>HYPERLINK("https://klasma.github.io/Logging_2161/klagomålsmail/A 38698-2025 FSC-klagomål mail.docx", "A 38698-2025")</f>
        <v/>
      </c>
      <c r="X298">
        <f>HYPERLINK("https://klasma.github.io/Logging_2161/tillsyn/A 38698-2025 tillsynsbegäran.docx", "A 38698-2025")</f>
        <v/>
      </c>
      <c r="Y298">
        <f>HYPERLINK("https://klasma.github.io/Logging_2161/tillsynsmail/A 38698-2025 tillsynsbegäran mail.docx", "A 38698-2025")</f>
        <v/>
      </c>
    </row>
    <row r="299" ht="15" customHeight="1">
      <c r="A299" t="inlineStr">
        <is>
          <t>A 8123-2026</t>
        </is>
      </c>
      <c r="B299" s="1" t="n">
        <v>46063</v>
      </c>
      <c r="C299" s="1" t="n">
        <v>46086</v>
      </c>
      <c r="D299" t="inlineStr">
        <is>
          <t>GÄVLEBORGS LÄN</t>
        </is>
      </c>
      <c r="E299" t="inlineStr">
        <is>
          <t>HUDIKSVALL</t>
        </is>
      </c>
      <c r="G299" t="n">
        <v>12.9</v>
      </c>
      <c r="H299" t="n">
        <v>1</v>
      </c>
      <c r="I299" t="n">
        <v>1</v>
      </c>
      <c r="J299" t="n">
        <v>0</v>
      </c>
      <c r="K299" t="n">
        <v>1</v>
      </c>
      <c r="L299" t="n">
        <v>0</v>
      </c>
      <c r="M299" t="n">
        <v>0</v>
      </c>
      <c r="N299" t="n">
        <v>0</v>
      </c>
      <c r="O299" t="n">
        <v>1</v>
      </c>
      <c r="P299" t="n">
        <v>1</v>
      </c>
      <c r="Q299" t="n">
        <v>2</v>
      </c>
      <c r="R299" s="2" t="inlineStr">
        <is>
          <t>Knärot
Dropptaggsvamp</t>
        </is>
      </c>
      <c r="S299">
        <f>HYPERLINK("https://klasma.github.io/Logging_2184/artfynd/A 8123-2026 artfynd.xlsx", "A 8123-2026")</f>
        <v/>
      </c>
      <c r="T299">
        <f>HYPERLINK("https://klasma.github.io/Logging_2184/kartor/A 8123-2026 karta.png", "A 8123-2026")</f>
        <v/>
      </c>
      <c r="U299">
        <f>HYPERLINK("https://klasma.github.io/Logging_2184/knärot/A 8123-2026 karta knärot.png", "A 8123-2026")</f>
        <v/>
      </c>
      <c r="V299">
        <f>HYPERLINK("https://klasma.github.io/Logging_2184/klagomål/A 8123-2026 FSC-klagomål.docx", "A 8123-2026")</f>
        <v/>
      </c>
      <c r="W299">
        <f>HYPERLINK("https://klasma.github.io/Logging_2184/klagomålsmail/A 8123-2026 FSC-klagomål mail.docx", "A 8123-2026")</f>
        <v/>
      </c>
      <c r="X299">
        <f>HYPERLINK("https://klasma.github.io/Logging_2184/tillsyn/A 8123-2026 tillsynsbegäran.docx", "A 8123-2026")</f>
        <v/>
      </c>
      <c r="Y299">
        <f>HYPERLINK("https://klasma.github.io/Logging_2184/tillsynsmail/A 8123-2026 tillsynsbegäran mail.docx", "A 8123-2026")</f>
        <v/>
      </c>
    </row>
    <row r="300" ht="15" customHeight="1">
      <c r="A300" t="inlineStr">
        <is>
          <t>A 30885-2024</t>
        </is>
      </c>
      <c r="B300" s="1" t="n">
        <v>45498.37140046297</v>
      </c>
      <c r="C300" s="1" t="n">
        <v>46086</v>
      </c>
      <c r="D300" t="inlineStr">
        <is>
          <t>GÄVLEBORGS LÄN</t>
        </is>
      </c>
      <c r="E300" t="inlineStr">
        <is>
          <t>LJUSDAL</t>
        </is>
      </c>
      <c r="F300" t="inlineStr">
        <is>
          <t>Sveaskog</t>
        </is>
      </c>
      <c r="G300" t="n">
        <v>11.2</v>
      </c>
      <c r="H300" t="n">
        <v>1</v>
      </c>
      <c r="I300" t="n">
        <v>1</v>
      </c>
      <c r="J300" t="n">
        <v>1</v>
      </c>
      <c r="K300" t="n">
        <v>0</v>
      </c>
      <c r="L300" t="n">
        <v>0</v>
      </c>
      <c r="M300" t="n">
        <v>0</v>
      </c>
      <c r="N300" t="n">
        <v>0</v>
      </c>
      <c r="O300" t="n">
        <v>1</v>
      </c>
      <c r="P300" t="n">
        <v>0</v>
      </c>
      <c r="Q300" t="n">
        <v>2</v>
      </c>
      <c r="R300" s="2" t="inlineStr">
        <is>
          <t>Kolflarnlav
Plattlummer</t>
        </is>
      </c>
      <c r="S300">
        <f>HYPERLINK("https://klasma.github.io/Logging_2161/artfynd/A 30885-2024 artfynd.xlsx", "A 30885-2024")</f>
        <v/>
      </c>
      <c r="T300">
        <f>HYPERLINK("https://klasma.github.io/Logging_2161/kartor/A 30885-2024 karta.png", "A 30885-2024")</f>
        <v/>
      </c>
      <c r="V300">
        <f>HYPERLINK("https://klasma.github.io/Logging_2161/klagomål/A 30885-2024 FSC-klagomål.docx", "A 30885-2024")</f>
        <v/>
      </c>
      <c r="W300">
        <f>HYPERLINK("https://klasma.github.io/Logging_2161/klagomålsmail/A 30885-2024 FSC-klagomål mail.docx", "A 30885-2024")</f>
        <v/>
      </c>
      <c r="X300">
        <f>HYPERLINK("https://klasma.github.io/Logging_2161/tillsyn/A 30885-2024 tillsynsbegäran.docx", "A 30885-2024")</f>
        <v/>
      </c>
      <c r="Y300">
        <f>HYPERLINK("https://klasma.github.io/Logging_2161/tillsynsmail/A 30885-2024 tillsynsbegäran mail.docx", "A 30885-2024")</f>
        <v/>
      </c>
    </row>
    <row r="301" ht="15" customHeight="1">
      <c r="A301" t="inlineStr">
        <is>
          <t>A 27011-2024</t>
        </is>
      </c>
      <c r="B301" s="1" t="n">
        <v>45471.40319444444</v>
      </c>
      <c r="C301" s="1" t="n">
        <v>46086</v>
      </c>
      <c r="D301" t="inlineStr">
        <is>
          <t>GÄVLEBORGS LÄN</t>
        </is>
      </c>
      <c r="E301" t="inlineStr">
        <is>
          <t>BOLLNÄS</t>
        </is>
      </c>
      <c r="F301" t="inlineStr">
        <is>
          <t>Sveaskog</t>
        </is>
      </c>
      <c r="G301" t="n">
        <v>4.1</v>
      </c>
      <c r="H301" t="n">
        <v>2</v>
      </c>
      <c r="I301" t="n">
        <v>1</v>
      </c>
      <c r="J301" t="n">
        <v>0</v>
      </c>
      <c r="K301" t="n">
        <v>1</v>
      </c>
      <c r="L301" t="n">
        <v>0</v>
      </c>
      <c r="M301" t="n">
        <v>0</v>
      </c>
      <c r="N301" t="n">
        <v>0</v>
      </c>
      <c r="O301" t="n">
        <v>1</v>
      </c>
      <c r="P301" t="n">
        <v>1</v>
      </c>
      <c r="Q301" t="n">
        <v>2</v>
      </c>
      <c r="R301" s="2" t="inlineStr">
        <is>
          <t>Knärot
Korallrot</t>
        </is>
      </c>
      <c r="S301">
        <f>HYPERLINK("https://klasma.github.io/Logging_2183/artfynd/A 27011-2024 artfynd.xlsx", "A 27011-2024")</f>
        <v/>
      </c>
      <c r="T301">
        <f>HYPERLINK("https://klasma.github.io/Logging_2183/kartor/A 27011-2024 karta.png", "A 27011-2024")</f>
        <v/>
      </c>
      <c r="U301">
        <f>HYPERLINK("https://klasma.github.io/Logging_2183/knärot/A 27011-2024 karta knärot.png", "A 27011-2024")</f>
        <v/>
      </c>
      <c r="V301">
        <f>HYPERLINK("https://klasma.github.io/Logging_2183/klagomål/A 27011-2024 FSC-klagomål.docx", "A 27011-2024")</f>
        <v/>
      </c>
      <c r="W301">
        <f>HYPERLINK("https://klasma.github.io/Logging_2183/klagomålsmail/A 27011-2024 FSC-klagomål mail.docx", "A 27011-2024")</f>
        <v/>
      </c>
      <c r="X301">
        <f>HYPERLINK("https://klasma.github.io/Logging_2183/tillsyn/A 27011-2024 tillsynsbegäran.docx", "A 27011-2024")</f>
        <v/>
      </c>
      <c r="Y301">
        <f>HYPERLINK("https://klasma.github.io/Logging_2183/tillsynsmail/A 27011-2024 tillsynsbegäran mail.docx", "A 27011-2024")</f>
        <v/>
      </c>
    </row>
    <row r="302" ht="15" customHeight="1">
      <c r="A302" t="inlineStr">
        <is>
          <t>A 30530-2025</t>
        </is>
      </c>
      <c r="B302" s="1" t="n">
        <v>45831.36056712963</v>
      </c>
      <c r="C302" s="1" t="n">
        <v>46086</v>
      </c>
      <c r="D302" t="inlineStr">
        <is>
          <t>GÄVLEBORGS LÄN</t>
        </is>
      </c>
      <c r="E302" t="inlineStr">
        <is>
          <t>LJUSDAL</t>
        </is>
      </c>
      <c r="F302" t="inlineStr">
        <is>
          <t>Sveaskog</t>
        </is>
      </c>
      <c r="G302" t="n">
        <v>5</v>
      </c>
      <c r="H302" t="n">
        <v>1</v>
      </c>
      <c r="I302" t="n">
        <v>2</v>
      </c>
      <c r="J302" t="n">
        <v>0</v>
      </c>
      <c r="K302" t="n">
        <v>0</v>
      </c>
      <c r="L302" t="n">
        <v>0</v>
      </c>
      <c r="M302" t="n">
        <v>0</v>
      </c>
      <c r="N302" t="n">
        <v>0</v>
      </c>
      <c r="O302" t="n">
        <v>0</v>
      </c>
      <c r="P302" t="n">
        <v>0</v>
      </c>
      <c r="Q302" t="n">
        <v>2</v>
      </c>
      <c r="R302" s="2" t="inlineStr">
        <is>
          <t>Dropptaggsvamp
Tvåblad</t>
        </is>
      </c>
      <c r="S302">
        <f>HYPERLINK("https://klasma.github.io/Logging_2161/artfynd/A 30530-2025 artfynd.xlsx", "A 30530-2025")</f>
        <v/>
      </c>
      <c r="T302">
        <f>HYPERLINK("https://klasma.github.io/Logging_2161/kartor/A 30530-2025 karta.png", "A 30530-2025")</f>
        <v/>
      </c>
      <c r="V302">
        <f>HYPERLINK("https://klasma.github.io/Logging_2161/klagomål/A 30530-2025 FSC-klagomål.docx", "A 30530-2025")</f>
        <v/>
      </c>
      <c r="W302">
        <f>HYPERLINK("https://klasma.github.io/Logging_2161/klagomålsmail/A 30530-2025 FSC-klagomål mail.docx", "A 30530-2025")</f>
        <v/>
      </c>
      <c r="X302">
        <f>HYPERLINK("https://klasma.github.io/Logging_2161/tillsyn/A 30530-2025 tillsynsbegäran.docx", "A 30530-2025")</f>
        <v/>
      </c>
      <c r="Y302">
        <f>HYPERLINK("https://klasma.github.io/Logging_2161/tillsynsmail/A 30530-2025 tillsynsbegäran mail.docx", "A 30530-2025")</f>
        <v/>
      </c>
    </row>
    <row r="303" ht="15" customHeight="1">
      <c r="A303" t="inlineStr">
        <is>
          <t>A 31062-2025</t>
        </is>
      </c>
      <c r="B303" s="1" t="n">
        <v>45832.57438657407</v>
      </c>
      <c r="C303" s="1" t="n">
        <v>46086</v>
      </c>
      <c r="D303" t="inlineStr">
        <is>
          <t>GÄVLEBORGS LÄN</t>
        </is>
      </c>
      <c r="E303" t="inlineStr">
        <is>
          <t>LJUSDAL</t>
        </is>
      </c>
      <c r="F303" t="inlineStr">
        <is>
          <t>Allmännings- och besparingsskogar</t>
        </is>
      </c>
      <c r="G303" t="n">
        <v>8.4</v>
      </c>
      <c r="H303" t="n">
        <v>2</v>
      </c>
      <c r="I303" t="n">
        <v>1</v>
      </c>
      <c r="J303" t="n">
        <v>0</v>
      </c>
      <c r="K303" t="n">
        <v>0</v>
      </c>
      <c r="L303" t="n">
        <v>0</v>
      </c>
      <c r="M303" t="n">
        <v>0</v>
      </c>
      <c r="N303" t="n">
        <v>0</v>
      </c>
      <c r="O303" t="n">
        <v>0</v>
      </c>
      <c r="P303" t="n">
        <v>0</v>
      </c>
      <c r="Q303" t="n">
        <v>2</v>
      </c>
      <c r="R303" s="2" t="inlineStr">
        <is>
          <t>Spindelblomster
Fläcknycklar</t>
        </is>
      </c>
      <c r="S303">
        <f>HYPERLINK("https://klasma.github.io/Logging_2161/artfynd/A 31062-2025 artfynd.xlsx", "A 31062-2025")</f>
        <v/>
      </c>
      <c r="T303">
        <f>HYPERLINK("https://klasma.github.io/Logging_2161/kartor/A 31062-2025 karta.png", "A 31062-2025")</f>
        <v/>
      </c>
      <c r="V303">
        <f>HYPERLINK("https://klasma.github.io/Logging_2161/klagomål/A 31062-2025 FSC-klagomål.docx", "A 31062-2025")</f>
        <v/>
      </c>
      <c r="W303">
        <f>HYPERLINK("https://klasma.github.io/Logging_2161/klagomålsmail/A 31062-2025 FSC-klagomål mail.docx", "A 31062-2025")</f>
        <v/>
      </c>
      <c r="X303">
        <f>HYPERLINK("https://klasma.github.io/Logging_2161/tillsyn/A 31062-2025 tillsynsbegäran.docx", "A 31062-2025")</f>
        <v/>
      </c>
      <c r="Y303">
        <f>HYPERLINK("https://klasma.github.io/Logging_2161/tillsynsmail/A 31062-2025 tillsynsbegäran mail.docx", "A 31062-2025")</f>
        <v/>
      </c>
    </row>
    <row r="304" ht="15" customHeight="1">
      <c r="A304" t="inlineStr">
        <is>
          <t>A 41242-2025</t>
        </is>
      </c>
      <c r="B304" s="1" t="n">
        <v>45898.59783564815</v>
      </c>
      <c r="C304" s="1" t="n">
        <v>46086</v>
      </c>
      <c r="D304" t="inlineStr">
        <is>
          <t>GÄVLEBORGS LÄN</t>
        </is>
      </c>
      <c r="E304" t="inlineStr">
        <is>
          <t>GÄVLE</t>
        </is>
      </c>
      <c r="F304" t="inlineStr">
        <is>
          <t>Bergvik skog väst AB</t>
        </is>
      </c>
      <c r="G304" t="n">
        <v>1.6</v>
      </c>
      <c r="H304" t="n">
        <v>0</v>
      </c>
      <c r="I304" t="n">
        <v>0</v>
      </c>
      <c r="J304" t="n">
        <v>2</v>
      </c>
      <c r="K304" t="n">
        <v>0</v>
      </c>
      <c r="L304" t="n">
        <v>0</v>
      </c>
      <c r="M304" t="n">
        <v>0</v>
      </c>
      <c r="N304" t="n">
        <v>0</v>
      </c>
      <c r="O304" t="n">
        <v>2</v>
      </c>
      <c r="P304" t="n">
        <v>0</v>
      </c>
      <c r="Q304" t="n">
        <v>2</v>
      </c>
      <c r="R304" s="2" t="inlineStr">
        <is>
          <t>Kolflarnlav
Skrovlig taggsvamp</t>
        </is>
      </c>
      <c r="S304">
        <f>HYPERLINK("https://klasma.github.io/Logging_2180/artfynd/A 41242-2025 artfynd.xlsx", "A 41242-2025")</f>
        <v/>
      </c>
      <c r="T304">
        <f>HYPERLINK("https://klasma.github.io/Logging_2180/kartor/A 41242-2025 karta.png", "A 41242-2025")</f>
        <v/>
      </c>
      <c r="V304">
        <f>HYPERLINK("https://klasma.github.io/Logging_2180/klagomål/A 41242-2025 FSC-klagomål.docx", "A 41242-2025")</f>
        <v/>
      </c>
      <c r="W304">
        <f>HYPERLINK("https://klasma.github.io/Logging_2180/klagomålsmail/A 41242-2025 FSC-klagomål mail.docx", "A 41242-2025")</f>
        <v/>
      </c>
      <c r="X304">
        <f>HYPERLINK("https://klasma.github.io/Logging_2180/tillsyn/A 41242-2025 tillsynsbegäran.docx", "A 41242-2025")</f>
        <v/>
      </c>
      <c r="Y304">
        <f>HYPERLINK("https://klasma.github.io/Logging_2180/tillsynsmail/A 41242-2025 tillsynsbegäran mail.docx", "A 41242-2025")</f>
        <v/>
      </c>
    </row>
    <row r="305" ht="15" customHeight="1">
      <c r="A305" t="inlineStr">
        <is>
          <t>A 31078-2025</t>
        </is>
      </c>
      <c r="B305" s="1" t="n">
        <v>45832.5844212963</v>
      </c>
      <c r="C305" s="1" t="n">
        <v>46086</v>
      </c>
      <c r="D305" t="inlineStr">
        <is>
          <t>GÄVLEBORGS LÄN</t>
        </is>
      </c>
      <c r="E305" t="inlineStr">
        <is>
          <t>LJUSDAL</t>
        </is>
      </c>
      <c r="F305" t="inlineStr">
        <is>
          <t>Allmännings- och besparingsskogar</t>
        </is>
      </c>
      <c r="G305" t="n">
        <v>2.9</v>
      </c>
      <c r="H305" t="n">
        <v>1</v>
      </c>
      <c r="I305" t="n">
        <v>1</v>
      </c>
      <c r="J305" t="n">
        <v>1</v>
      </c>
      <c r="K305" t="n">
        <v>0</v>
      </c>
      <c r="L305" t="n">
        <v>0</v>
      </c>
      <c r="M305" t="n">
        <v>0</v>
      </c>
      <c r="N305" t="n">
        <v>0</v>
      </c>
      <c r="O305" t="n">
        <v>1</v>
      </c>
      <c r="P305" t="n">
        <v>0</v>
      </c>
      <c r="Q305" t="n">
        <v>2</v>
      </c>
      <c r="R305" s="2" t="inlineStr">
        <is>
          <t>Garnlav
Spindelblomster</t>
        </is>
      </c>
      <c r="S305">
        <f>HYPERLINK("https://klasma.github.io/Logging_2161/artfynd/A 31078-2025 artfynd.xlsx", "A 31078-2025")</f>
        <v/>
      </c>
      <c r="T305">
        <f>HYPERLINK("https://klasma.github.io/Logging_2161/kartor/A 31078-2025 karta.png", "A 31078-2025")</f>
        <v/>
      </c>
      <c r="V305">
        <f>HYPERLINK("https://klasma.github.io/Logging_2161/klagomål/A 31078-2025 FSC-klagomål.docx", "A 31078-2025")</f>
        <v/>
      </c>
      <c r="W305">
        <f>HYPERLINK("https://klasma.github.io/Logging_2161/klagomålsmail/A 31078-2025 FSC-klagomål mail.docx", "A 31078-2025")</f>
        <v/>
      </c>
      <c r="X305">
        <f>HYPERLINK("https://klasma.github.io/Logging_2161/tillsyn/A 31078-2025 tillsynsbegäran.docx", "A 31078-2025")</f>
        <v/>
      </c>
      <c r="Y305">
        <f>HYPERLINK("https://klasma.github.io/Logging_2161/tillsynsmail/A 31078-2025 tillsynsbegäran mail.docx", "A 31078-2025")</f>
        <v/>
      </c>
    </row>
    <row r="306" ht="15" customHeight="1">
      <c r="A306" t="inlineStr">
        <is>
          <t>A 31740-2025</t>
        </is>
      </c>
      <c r="B306" s="1" t="n">
        <v>45834.47508101852</v>
      </c>
      <c r="C306" s="1" t="n">
        <v>46086</v>
      </c>
      <c r="D306" t="inlineStr">
        <is>
          <t>GÄVLEBORGS LÄN</t>
        </is>
      </c>
      <c r="E306" t="inlineStr">
        <is>
          <t>LJUSDAL</t>
        </is>
      </c>
      <c r="F306" t="inlineStr">
        <is>
          <t>Allmännings- och besparingsskogar</t>
        </is>
      </c>
      <c r="G306" t="n">
        <v>7.3</v>
      </c>
      <c r="H306" t="n">
        <v>0</v>
      </c>
      <c r="I306" t="n">
        <v>0</v>
      </c>
      <c r="J306" t="n">
        <v>2</v>
      </c>
      <c r="K306" t="n">
        <v>0</v>
      </c>
      <c r="L306" t="n">
        <v>0</v>
      </c>
      <c r="M306" t="n">
        <v>0</v>
      </c>
      <c r="N306" t="n">
        <v>0</v>
      </c>
      <c r="O306" t="n">
        <v>2</v>
      </c>
      <c r="P306" t="n">
        <v>0</v>
      </c>
      <c r="Q306" t="n">
        <v>2</v>
      </c>
      <c r="R306" s="2" t="inlineStr">
        <is>
          <t>Garnlav
Vedskivlav</t>
        </is>
      </c>
      <c r="S306">
        <f>HYPERLINK("https://klasma.github.io/Logging_2161/artfynd/A 31740-2025 artfynd.xlsx", "A 31740-2025")</f>
        <v/>
      </c>
      <c r="T306">
        <f>HYPERLINK("https://klasma.github.io/Logging_2161/kartor/A 31740-2025 karta.png", "A 31740-2025")</f>
        <v/>
      </c>
      <c r="V306">
        <f>HYPERLINK("https://klasma.github.io/Logging_2161/klagomål/A 31740-2025 FSC-klagomål.docx", "A 31740-2025")</f>
        <v/>
      </c>
      <c r="W306">
        <f>HYPERLINK("https://klasma.github.io/Logging_2161/klagomålsmail/A 31740-2025 FSC-klagomål mail.docx", "A 31740-2025")</f>
        <v/>
      </c>
      <c r="X306">
        <f>HYPERLINK("https://klasma.github.io/Logging_2161/tillsyn/A 31740-2025 tillsynsbegäran.docx", "A 31740-2025")</f>
        <v/>
      </c>
      <c r="Y306">
        <f>HYPERLINK("https://klasma.github.io/Logging_2161/tillsynsmail/A 31740-2025 tillsynsbegäran mail.docx", "A 31740-2025")</f>
        <v/>
      </c>
    </row>
    <row r="307" ht="15" customHeight="1">
      <c r="A307" t="inlineStr">
        <is>
          <t>A 54108-2022</t>
        </is>
      </c>
      <c r="B307" s="1" t="n">
        <v>44881.55616898148</v>
      </c>
      <c r="C307" s="1" t="n">
        <v>46086</v>
      </c>
      <c r="D307" t="inlineStr">
        <is>
          <t>GÄVLEBORGS LÄN</t>
        </is>
      </c>
      <c r="E307" t="inlineStr">
        <is>
          <t>LJUSDAL</t>
        </is>
      </c>
      <c r="F307" t="inlineStr">
        <is>
          <t>Sveaskog</t>
        </is>
      </c>
      <c r="G307" t="n">
        <v>7.9</v>
      </c>
      <c r="H307" t="n">
        <v>0</v>
      </c>
      <c r="I307" t="n">
        <v>1</v>
      </c>
      <c r="J307" t="n">
        <v>1</v>
      </c>
      <c r="K307" t="n">
        <v>0</v>
      </c>
      <c r="L307" t="n">
        <v>0</v>
      </c>
      <c r="M307" t="n">
        <v>0</v>
      </c>
      <c r="N307" t="n">
        <v>0</v>
      </c>
      <c r="O307" t="n">
        <v>1</v>
      </c>
      <c r="P307" t="n">
        <v>0</v>
      </c>
      <c r="Q307" t="n">
        <v>2</v>
      </c>
      <c r="R307" s="2" t="inlineStr">
        <is>
          <t>Kolflarnlav
Dropptaggsvamp</t>
        </is>
      </c>
      <c r="S307">
        <f>HYPERLINK("https://klasma.github.io/Logging_2161/artfynd/A 54108-2022 artfynd.xlsx", "A 54108-2022")</f>
        <v/>
      </c>
      <c r="T307">
        <f>HYPERLINK("https://klasma.github.io/Logging_2161/kartor/A 54108-2022 karta.png", "A 54108-2022")</f>
        <v/>
      </c>
      <c r="V307">
        <f>HYPERLINK("https://klasma.github.io/Logging_2161/klagomål/A 54108-2022 FSC-klagomål.docx", "A 54108-2022")</f>
        <v/>
      </c>
      <c r="W307">
        <f>HYPERLINK("https://klasma.github.io/Logging_2161/klagomålsmail/A 54108-2022 FSC-klagomål mail.docx", "A 54108-2022")</f>
        <v/>
      </c>
      <c r="X307">
        <f>HYPERLINK("https://klasma.github.io/Logging_2161/tillsyn/A 54108-2022 tillsynsbegäran.docx", "A 54108-2022")</f>
        <v/>
      </c>
      <c r="Y307">
        <f>HYPERLINK("https://klasma.github.io/Logging_2161/tillsynsmail/A 54108-2022 tillsynsbegäran mail.docx", "A 54108-2022")</f>
        <v/>
      </c>
    </row>
    <row r="308" ht="15" customHeight="1">
      <c r="A308" t="inlineStr">
        <is>
          <t>A 42261-2025</t>
        </is>
      </c>
      <c r="B308" s="1" t="n">
        <v>45903</v>
      </c>
      <c r="C308" s="1" t="n">
        <v>46086</v>
      </c>
      <c r="D308" t="inlineStr">
        <is>
          <t>GÄVLEBORGS LÄN</t>
        </is>
      </c>
      <c r="E308" t="inlineStr">
        <is>
          <t>GÄVLE</t>
        </is>
      </c>
      <c r="F308" t="inlineStr">
        <is>
          <t>Bergvik skog väst AB</t>
        </is>
      </c>
      <c r="G308" t="n">
        <v>15.6</v>
      </c>
      <c r="H308" t="n">
        <v>1</v>
      </c>
      <c r="I308" t="n">
        <v>1</v>
      </c>
      <c r="J308" t="n">
        <v>0</v>
      </c>
      <c r="K308" t="n">
        <v>0</v>
      </c>
      <c r="L308" t="n">
        <v>0</v>
      </c>
      <c r="M308" t="n">
        <v>0</v>
      </c>
      <c r="N308" t="n">
        <v>0</v>
      </c>
      <c r="O308" t="n">
        <v>0</v>
      </c>
      <c r="P308" t="n">
        <v>0</v>
      </c>
      <c r="Q308" t="n">
        <v>2</v>
      </c>
      <c r="R308" s="2" t="inlineStr">
        <is>
          <t>Svavelriska
Blåsippa</t>
        </is>
      </c>
      <c r="S308">
        <f>HYPERLINK("https://klasma.github.io/Logging_2180/artfynd/A 42261-2025 artfynd.xlsx", "A 42261-2025")</f>
        <v/>
      </c>
      <c r="T308">
        <f>HYPERLINK("https://klasma.github.io/Logging_2180/kartor/A 42261-2025 karta.png", "A 42261-2025")</f>
        <v/>
      </c>
      <c r="V308">
        <f>HYPERLINK("https://klasma.github.io/Logging_2180/klagomål/A 42261-2025 FSC-klagomål.docx", "A 42261-2025")</f>
        <v/>
      </c>
      <c r="W308">
        <f>HYPERLINK("https://klasma.github.io/Logging_2180/klagomålsmail/A 42261-2025 FSC-klagomål mail.docx", "A 42261-2025")</f>
        <v/>
      </c>
      <c r="X308">
        <f>HYPERLINK("https://klasma.github.io/Logging_2180/tillsyn/A 42261-2025 tillsynsbegäran.docx", "A 42261-2025")</f>
        <v/>
      </c>
      <c r="Y308">
        <f>HYPERLINK("https://klasma.github.io/Logging_2180/tillsynsmail/A 42261-2025 tillsynsbegäran mail.docx", "A 42261-2025")</f>
        <v/>
      </c>
    </row>
    <row r="309" ht="15" customHeight="1">
      <c r="A309" t="inlineStr">
        <is>
          <t>A 42489-2025</t>
        </is>
      </c>
      <c r="B309" s="1" t="n">
        <v>45905.49579861111</v>
      </c>
      <c r="C309" s="1" t="n">
        <v>46086</v>
      </c>
      <c r="D309" t="inlineStr">
        <is>
          <t>GÄVLEBORGS LÄN</t>
        </is>
      </c>
      <c r="E309" t="inlineStr">
        <is>
          <t>HUDIKSVALL</t>
        </is>
      </c>
      <c r="G309" t="n">
        <v>1.5</v>
      </c>
      <c r="H309" t="n">
        <v>0</v>
      </c>
      <c r="I309" t="n">
        <v>0</v>
      </c>
      <c r="J309" t="n">
        <v>0</v>
      </c>
      <c r="K309" t="n">
        <v>1</v>
      </c>
      <c r="L309" t="n">
        <v>1</v>
      </c>
      <c r="M309" t="n">
        <v>0</v>
      </c>
      <c r="N309" t="n">
        <v>0</v>
      </c>
      <c r="O309" t="n">
        <v>2</v>
      </c>
      <c r="P309" t="n">
        <v>2</v>
      </c>
      <c r="Q309" t="n">
        <v>2</v>
      </c>
      <c r="R309" s="2" t="inlineStr">
        <is>
          <t>Raggtaggsvamp
Koppartaggsvamp</t>
        </is>
      </c>
      <c r="S309">
        <f>HYPERLINK("https://klasma.github.io/Logging_2184/artfynd/A 42489-2025 artfynd.xlsx", "A 42489-2025")</f>
        <v/>
      </c>
      <c r="T309">
        <f>HYPERLINK("https://klasma.github.io/Logging_2184/kartor/A 42489-2025 karta.png", "A 42489-2025")</f>
        <v/>
      </c>
      <c r="V309">
        <f>HYPERLINK("https://klasma.github.io/Logging_2184/klagomål/A 42489-2025 FSC-klagomål.docx", "A 42489-2025")</f>
        <v/>
      </c>
      <c r="W309">
        <f>HYPERLINK("https://klasma.github.io/Logging_2184/klagomålsmail/A 42489-2025 FSC-klagomål mail.docx", "A 42489-2025")</f>
        <v/>
      </c>
      <c r="X309">
        <f>HYPERLINK("https://klasma.github.io/Logging_2184/tillsyn/A 42489-2025 tillsynsbegäran.docx", "A 42489-2025")</f>
        <v/>
      </c>
      <c r="Y309">
        <f>HYPERLINK("https://klasma.github.io/Logging_2184/tillsynsmail/A 42489-2025 tillsynsbegäran mail.docx", "A 42489-2025")</f>
        <v/>
      </c>
    </row>
    <row r="310" ht="15" customHeight="1">
      <c r="A310" t="inlineStr">
        <is>
          <t>A 807-2026</t>
        </is>
      </c>
      <c r="B310" s="1" t="n">
        <v>46030</v>
      </c>
      <c r="C310" s="1" t="n">
        <v>46086</v>
      </c>
      <c r="D310" t="inlineStr">
        <is>
          <t>GÄVLEBORGS LÄN</t>
        </is>
      </c>
      <c r="E310" t="inlineStr">
        <is>
          <t>SÖDERHAMN</t>
        </is>
      </c>
      <c r="G310" t="n">
        <v>17.5</v>
      </c>
      <c r="H310" t="n">
        <v>2</v>
      </c>
      <c r="I310" t="n">
        <v>0</v>
      </c>
      <c r="J310" t="n">
        <v>0</v>
      </c>
      <c r="K310" t="n">
        <v>0</v>
      </c>
      <c r="L310" t="n">
        <v>0</v>
      </c>
      <c r="M310" t="n">
        <v>0</v>
      </c>
      <c r="N310" t="n">
        <v>0</v>
      </c>
      <c r="O310" t="n">
        <v>0</v>
      </c>
      <c r="P310" t="n">
        <v>0</v>
      </c>
      <c r="Q310" t="n">
        <v>2</v>
      </c>
      <c r="R310" s="2" t="inlineStr">
        <is>
          <t>Fläcknycklar
Revlummer</t>
        </is>
      </c>
      <c r="S310">
        <f>HYPERLINK("https://klasma.github.io/Logging_2182/artfynd/A 807-2026 artfynd.xlsx", "A 807-2026")</f>
        <v/>
      </c>
      <c r="T310">
        <f>HYPERLINK("https://klasma.github.io/Logging_2182/kartor/A 807-2026 karta.png", "A 807-2026")</f>
        <v/>
      </c>
      <c r="V310">
        <f>HYPERLINK("https://klasma.github.io/Logging_2182/klagomål/A 807-2026 FSC-klagomål.docx", "A 807-2026")</f>
        <v/>
      </c>
      <c r="W310">
        <f>HYPERLINK("https://klasma.github.io/Logging_2182/klagomålsmail/A 807-2026 FSC-klagomål mail.docx", "A 807-2026")</f>
        <v/>
      </c>
      <c r="X310">
        <f>HYPERLINK("https://klasma.github.io/Logging_2182/tillsyn/A 807-2026 tillsynsbegäran.docx", "A 807-2026")</f>
        <v/>
      </c>
      <c r="Y310">
        <f>HYPERLINK("https://klasma.github.io/Logging_2182/tillsynsmail/A 807-2026 tillsynsbegäran mail.docx", "A 807-2026")</f>
        <v/>
      </c>
    </row>
    <row r="311" ht="15" customHeight="1">
      <c r="A311" t="inlineStr">
        <is>
          <t>A 33332-2025</t>
        </is>
      </c>
      <c r="B311" s="1" t="n">
        <v>45841.35319444445</v>
      </c>
      <c r="C311" s="1" t="n">
        <v>46086</v>
      </c>
      <c r="D311" t="inlineStr">
        <is>
          <t>GÄVLEBORGS LÄN</t>
        </is>
      </c>
      <c r="E311" t="inlineStr">
        <is>
          <t>LJUSDAL</t>
        </is>
      </c>
      <c r="F311" t="inlineStr">
        <is>
          <t>Sveaskog</t>
        </is>
      </c>
      <c r="G311" t="n">
        <v>22.3</v>
      </c>
      <c r="H311" t="n">
        <v>1</v>
      </c>
      <c r="I311" t="n">
        <v>0</v>
      </c>
      <c r="J311" t="n">
        <v>1</v>
      </c>
      <c r="K311" t="n">
        <v>0</v>
      </c>
      <c r="L311" t="n">
        <v>0</v>
      </c>
      <c r="M311" t="n">
        <v>0</v>
      </c>
      <c r="N311" t="n">
        <v>0</v>
      </c>
      <c r="O311" t="n">
        <v>1</v>
      </c>
      <c r="P311" t="n">
        <v>0</v>
      </c>
      <c r="Q311" t="n">
        <v>2</v>
      </c>
      <c r="R311" s="2" t="inlineStr">
        <is>
          <t>Lunglav
Fläcknycklar</t>
        </is>
      </c>
      <c r="S311">
        <f>HYPERLINK("https://klasma.github.io/Logging_2161/artfynd/A 33332-2025 artfynd.xlsx", "A 33332-2025")</f>
        <v/>
      </c>
      <c r="T311">
        <f>HYPERLINK("https://klasma.github.io/Logging_2161/kartor/A 33332-2025 karta.png", "A 33332-2025")</f>
        <v/>
      </c>
      <c r="V311">
        <f>HYPERLINK("https://klasma.github.io/Logging_2161/klagomål/A 33332-2025 FSC-klagomål.docx", "A 33332-2025")</f>
        <v/>
      </c>
      <c r="W311">
        <f>HYPERLINK("https://klasma.github.io/Logging_2161/klagomålsmail/A 33332-2025 FSC-klagomål mail.docx", "A 33332-2025")</f>
        <v/>
      </c>
      <c r="X311">
        <f>HYPERLINK("https://klasma.github.io/Logging_2161/tillsyn/A 33332-2025 tillsynsbegäran.docx", "A 33332-2025")</f>
        <v/>
      </c>
      <c r="Y311">
        <f>HYPERLINK("https://klasma.github.io/Logging_2161/tillsynsmail/A 33332-2025 tillsynsbegäran mail.docx", "A 33332-2025")</f>
        <v/>
      </c>
    </row>
    <row r="312" ht="15" customHeight="1">
      <c r="A312" t="inlineStr">
        <is>
          <t>A 33367-2025</t>
        </is>
      </c>
      <c r="B312" s="1" t="n">
        <v>45841.38859953704</v>
      </c>
      <c r="C312" s="1" t="n">
        <v>46086</v>
      </c>
      <c r="D312" t="inlineStr">
        <is>
          <t>GÄVLEBORGS LÄN</t>
        </is>
      </c>
      <c r="E312" t="inlineStr">
        <is>
          <t>OCKELBO</t>
        </is>
      </c>
      <c r="G312" t="n">
        <v>1.7</v>
      </c>
      <c r="H312" t="n">
        <v>1</v>
      </c>
      <c r="I312" t="n">
        <v>0</v>
      </c>
      <c r="J312" t="n">
        <v>1</v>
      </c>
      <c r="K312" t="n">
        <v>0</v>
      </c>
      <c r="L312" t="n">
        <v>0</v>
      </c>
      <c r="M312" t="n">
        <v>0</v>
      </c>
      <c r="N312" t="n">
        <v>0</v>
      </c>
      <c r="O312" t="n">
        <v>1</v>
      </c>
      <c r="P312" t="n">
        <v>0</v>
      </c>
      <c r="Q312" t="n">
        <v>2</v>
      </c>
      <c r="R312" s="2" t="inlineStr">
        <is>
          <t>Vedskivlav
Tjäder</t>
        </is>
      </c>
      <c r="S312">
        <f>HYPERLINK("https://klasma.github.io/Logging_2101/artfynd/A 33367-2025 artfynd.xlsx", "A 33367-2025")</f>
        <v/>
      </c>
      <c r="T312">
        <f>HYPERLINK("https://klasma.github.io/Logging_2101/kartor/A 33367-2025 karta.png", "A 33367-2025")</f>
        <v/>
      </c>
      <c r="V312">
        <f>HYPERLINK("https://klasma.github.io/Logging_2101/klagomål/A 33367-2025 FSC-klagomål.docx", "A 33367-2025")</f>
        <v/>
      </c>
      <c r="W312">
        <f>HYPERLINK("https://klasma.github.io/Logging_2101/klagomålsmail/A 33367-2025 FSC-klagomål mail.docx", "A 33367-2025")</f>
        <v/>
      </c>
      <c r="X312">
        <f>HYPERLINK("https://klasma.github.io/Logging_2101/tillsyn/A 33367-2025 tillsynsbegäran.docx", "A 33367-2025")</f>
        <v/>
      </c>
      <c r="Y312">
        <f>HYPERLINK("https://klasma.github.io/Logging_2101/tillsynsmail/A 33367-2025 tillsynsbegäran mail.docx", "A 33367-2025")</f>
        <v/>
      </c>
      <c r="Z312">
        <f>HYPERLINK("https://klasma.github.io/Logging_2101/fåglar/A 33367-2025 prioriterade fågelarter.docx", "A 33367-2025")</f>
        <v/>
      </c>
    </row>
    <row r="313" ht="15" customHeight="1">
      <c r="A313" t="inlineStr">
        <is>
          <t>A 43718-2025</t>
        </is>
      </c>
      <c r="B313" s="1" t="n">
        <v>45912.42587962963</v>
      </c>
      <c r="C313" s="1" t="n">
        <v>46086</v>
      </c>
      <c r="D313" t="inlineStr">
        <is>
          <t>GÄVLEBORGS LÄN</t>
        </is>
      </c>
      <c r="E313" t="inlineStr">
        <is>
          <t>GÄVLE</t>
        </is>
      </c>
      <c r="G313" t="n">
        <v>9.699999999999999</v>
      </c>
      <c r="H313" t="n">
        <v>1</v>
      </c>
      <c r="I313" t="n">
        <v>1</v>
      </c>
      <c r="J313" t="n">
        <v>1</v>
      </c>
      <c r="K313" t="n">
        <v>0</v>
      </c>
      <c r="L313" t="n">
        <v>0</v>
      </c>
      <c r="M313" t="n">
        <v>0</v>
      </c>
      <c r="N313" t="n">
        <v>0</v>
      </c>
      <c r="O313" t="n">
        <v>1</v>
      </c>
      <c r="P313" t="n">
        <v>0</v>
      </c>
      <c r="Q313" t="n">
        <v>2</v>
      </c>
      <c r="R313" s="2" t="inlineStr">
        <is>
          <t>Järpe
Scharlakansskål</t>
        </is>
      </c>
      <c r="S313">
        <f>HYPERLINK("https://klasma.github.io/Logging_2180/artfynd/A 43718-2025 artfynd.xlsx", "A 43718-2025")</f>
        <v/>
      </c>
      <c r="T313">
        <f>HYPERLINK("https://klasma.github.io/Logging_2180/kartor/A 43718-2025 karta.png", "A 43718-2025")</f>
        <v/>
      </c>
      <c r="V313">
        <f>HYPERLINK("https://klasma.github.io/Logging_2180/klagomål/A 43718-2025 FSC-klagomål.docx", "A 43718-2025")</f>
        <v/>
      </c>
      <c r="W313">
        <f>HYPERLINK("https://klasma.github.io/Logging_2180/klagomålsmail/A 43718-2025 FSC-klagomål mail.docx", "A 43718-2025")</f>
        <v/>
      </c>
      <c r="X313">
        <f>HYPERLINK("https://klasma.github.io/Logging_2180/tillsyn/A 43718-2025 tillsynsbegäran.docx", "A 43718-2025")</f>
        <v/>
      </c>
      <c r="Y313">
        <f>HYPERLINK("https://klasma.github.io/Logging_2180/tillsynsmail/A 43718-2025 tillsynsbegäran mail.docx", "A 43718-2025")</f>
        <v/>
      </c>
      <c r="Z313">
        <f>HYPERLINK("https://klasma.github.io/Logging_2180/fåglar/A 43718-2025 prioriterade fågelarter.docx", "A 43718-2025")</f>
        <v/>
      </c>
    </row>
    <row r="314" ht="15" customHeight="1">
      <c r="A314" t="inlineStr">
        <is>
          <t>A 43850-2025</t>
        </is>
      </c>
      <c r="B314" s="1" t="n">
        <v>45912.63934027778</v>
      </c>
      <c r="C314" s="1" t="n">
        <v>46086</v>
      </c>
      <c r="D314" t="inlineStr">
        <is>
          <t>GÄVLEBORGS LÄN</t>
        </is>
      </c>
      <c r="E314" t="inlineStr">
        <is>
          <t>LJUSDAL</t>
        </is>
      </c>
      <c r="F314" t="inlineStr">
        <is>
          <t>Sveaskog</t>
        </is>
      </c>
      <c r="G314" t="n">
        <v>1.5</v>
      </c>
      <c r="H314" t="n">
        <v>0</v>
      </c>
      <c r="I314" t="n">
        <v>1</v>
      </c>
      <c r="J314" t="n">
        <v>1</v>
      </c>
      <c r="K314" t="n">
        <v>0</v>
      </c>
      <c r="L314" t="n">
        <v>0</v>
      </c>
      <c r="M314" t="n">
        <v>0</v>
      </c>
      <c r="N314" t="n">
        <v>0</v>
      </c>
      <c r="O314" t="n">
        <v>1</v>
      </c>
      <c r="P314" t="n">
        <v>0</v>
      </c>
      <c r="Q314" t="n">
        <v>2</v>
      </c>
      <c r="R314" s="2" t="inlineStr">
        <is>
          <t>Kolflarnlav
Dropptaggsvamp</t>
        </is>
      </c>
      <c r="S314">
        <f>HYPERLINK("https://klasma.github.io/Logging_2161/artfynd/A 43850-2025 artfynd.xlsx", "A 43850-2025")</f>
        <v/>
      </c>
      <c r="T314">
        <f>HYPERLINK("https://klasma.github.io/Logging_2161/kartor/A 43850-2025 karta.png", "A 43850-2025")</f>
        <v/>
      </c>
      <c r="V314">
        <f>HYPERLINK("https://klasma.github.io/Logging_2161/klagomål/A 43850-2025 FSC-klagomål.docx", "A 43850-2025")</f>
        <v/>
      </c>
      <c r="W314">
        <f>HYPERLINK("https://klasma.github.io/Logging_2161/klagomålsmail/A 43850-2025 FSC-klagomål mail.docx", "A 43850-2025")</f>
        <v/>
      </c>
      <c r="X314">
        <f>HYPERLINK("https://klasma.github.io/Logging_2161/tillsyn/A 43850-2025 tillsynsbegäran.docx", "A 43850-2025")</f>
        <v/>
      </c>
      <c r="Y314">
        <f>HYPERLINK("https://klasma.github.io/Logging_2161/tillsynsmail/A 43850-2025 tillsynsbegäran mail.docx", "A 43850-2025")</f>
        <v/>
      </c>
    </row>
    <row r="315" ht="15" customHeight="1">
      <c r="A315" t="inlineStr">
        <is>
          <t>A 11908-2026</t>
        </is>
      </c>
      <c r="B315" s="1" t="n">
        <v>46085.54519675926</v>
      </c>
      <c r="C315" s="1" t="n">
        <v>46086</v>
      </c>
      <c r="D315" t="inlineStr">
        <is>
          <t>GÄVLEBORGS LÄN</t>
        </is>
      </c>
      <c r="E315" t="inlineStr">
        <is>
          <t>SANDVIKEN</t>
        </is>
      </c>
      <c r="G315" t="n">
        <v>2.6</v>
      </c>
      <c r="H315" t="n">
        <v>2</v>
      </c>
      <c r="I315" t="n">
        <v>1</v>
      </c>
      <c r="J315" t="n">
        <v>0</v>
      </c>
      <c r="K315" t="n">
        <v>1</v>
      </c>
      <c r="L315" t="n">
        <v>0</v>
      </c>
      <c r="M315" t="n">
        <v>0</v>
      </c>
      <c r="N315" t="n">
        <v>0</v>
      </c>
      <c r="O315" t="n">
        <v>1</v>
      </c>
      <c r="P315" t="n">
        <v>1</v>
      </c>
      <c r="Q315" t="n">
        <v>2</v>
      </c>
      <c r="R315" s="2" t="inlineStr">
        <is>
          <t>Knärot
Plattlummer</t>
        </is>
      </c>
      <c r="S315">
        <f>HYPERLINK("https://klasma.github.io/Logging_2181/artfynd/A 11908-2026 artfynd.xlsx", "A 11908-2026")</f>
        <v/>
      </c>
      <c r="T315">
        <f>HYPERLINK("https://klasma.github.io/Logging_2181/kartor/A 11908-2026 karta.png", "A 11908-2026")</f>
        <v/>
      </c>
      <c r="U315">
        <f>HYPERLINK("https://klasma.github.io/Logging_2181/knärot/A 11908-2026 karta knärot.png", "A 11908-2026")</f>
        <v/>
      </c>
      <c r="V315">
        <f>HYPERLINK("https://klasma.github.io/Logging_2181/klagomål/A 11908-2026 FSC-klagomål.docx", "A 11908-2026")</f>
        <v/>
      </c>
      <c r="W315">
        <f>HYPERLINK("https://klasma.github.io/Logging_2181/klagomålsmail/A 11908-2026 FSC-klagomål mail.docx", "A 11908-2026")</f>
        <v/>
      </c>
      <c r="X315">
        <f>HYPERLINK("https://klasma.github.io/Logging_2181/tillsyn/A 11908-2026 tillsynsbegäran.docx", "A 11908-2026")</f>
        <v/>
      </c>
      <c r="Y315">
        <f>HYPERLINK("https://klasma.github.io/Logging_2181/tillsynsmail/A 11908-2026 tillsynsbegäran mail.docx", "A 11908-2026")</f>
        <v/>
      </c>
    </row>
    <row r="316" ht="15" customHeight="1">
      <c r="A316" t="inlineStr">
        <is>
          <t>A 11868-2026</t>
        </is>
      </c>
      <c r="B316" s="1" t="n">
        <v>46085.4871412037</v>
      </c>
      <c r="C316" s="1" t="n">
        <v>46086</v>
      </c>
      <c r="D316" t="inlineStr">
        <is>
          <t>GÄVLEBORGS LÄN</t>
        </is>
      </c>
      <c r="E316" t="inlineStr">
        <is>
          <t>HOFORS</t>
        </is>
      </c>
      <c r="G316" t="n">
        <v>1.1</v>
      </c>
      <c r="H316" t="n">
        <v>0</v>
      </c>
      <c r="I316" t="n">
        <v>2</v>
      </c>
      <c r="J316" t="n">
        <v>0</v>
      </c>
      <c r="K316" t="n">
        <v>0</v>
      </c>
      <c r="L316" t="n">
        <v>0</v>
      </c>
      <c r="M316" t="n">
        <v>0</v>
      </c>
      <c r="N316" t="n">
        <v>0</v>
      </c>
      <c r="O316" t="n">
        <v>0</v>
      </c>
      <c r="P316" t="n">
        <v>0</v>
      </c>
      <c r="Q316" t="n">
        <v>2</v>
      </c>
      <c r="R316" s="2" t="inlineStr">
        <is>
          <t>Trådticka
Zontaggsvamp</t>
        </is>
      </c>
      <c r="S316">
        <f>HYPERLINK("https://klasma.github.io/Logging_2104/artfynd/A 11868-2026 artfynd.xlsx", "A 11868-2026")</f>
        <v/>
      </c>
      <c r="T316">
        <f>HYPERLINK("https://klasma.github.io/Logging_2104/kartor/A 11868-2026 karta.png", "A 11868-2026")</f>
        <v/>
      </c>
      <c r="V316">
        <f>HYPERLINK("https://klasma.github.io/Logging_2104/klagomål/A 11868-2026 FSC-klagomål.docx", "A 11868-2026")</f>
        <v/>
      </c>
      <c r="W316">
        <f>HYPERLINK("https://klasma.github.io/Logging_2104/klagomålsmail/A 11868-2026 FSC-klagomål mail.docx", "A 11868-2026")</f>
        <v/>
      </c>
      <c r="X316">
        <f>HYPERLINK("https://klasma.github.io/Logging_2104/tillsyn/A 11868-2026 tillsynsbegäran.docx", "A 11868-2026")</f>
        <v/>
      </c>
      <c r="Y316">
        <f>HYPERLINK("https://klasma.github.io/Logging_2104/tillsynsmail/A 11868-2026 tillsynsbegäran mail.docx", "A 11868-2026")</f>
        <v/>
      </c>
    </row>
    <row r="317" ht="15" customHeight="1">
      <c r="A317" t="inlineStr">
        <is>
          <t>A 35742-2025</t>
        </is>
      </c>
      <c r="B317" s="1" t="n">
        <v>45860.53805555555</v>
      </c>
      <c r="C317" s="1" t="n">
        <v>46086</v>
      </c>
      <c r="D317" t="inlineStr">
        <is>
          <t>GÄVLEBORGS LÄN</t>
        </is>
      </c>
      <c r="E317" t="inlineStr">
        <is>
          <t>HOFORS</t>
        </is>
      </c>
      <c r="F317" t="inlineStr">
        <is>
          <t>Sveaskog</t>
        </is>
      </c>
      <c r="G317" t="n">
        <v>6.1</v>
      </c>
      <c r="H317" t="n">
        <v>1</v>
      </c>
      <c r="I317" t="n">
        <v>1</v>
      </c>
      <c r="J317" t="n">
        <v>0</v>
      </c>
      <c r="K317" t="n">
        <v>1</v>
      </c>
      <c r="L317" t="n">
        <v>0</v>
      </c>
      <c r="M317" t="n">
        <v>0</v>
      </c>
      <c r="N317" t="n">
        <v>0</v>
      </c>
      <c r="O317" t="n">
        <v>1</v>
      </c>
      <c r="P317" t="n">
        <v>1</v>
      </c>
      <c r="Q317" t="n">
        <v>2</v>
      </c>
      <c r="R317" s="2" t="inlineStr">
        <is>
          <t>Knärot
Mörk husmossa</t>
        </is>
      </c>
      <c r="S317">
        <f>HYPERLINK("https://klasma.github.io/Logging_2104/artfynd/A 35742-2025 artfynd.xlsx", "A 35742-2025")</f>
        <v/>
      </c>
      <c r="T317">
        <f>HYPERLINK("https://klasma.github.io/Logging_2104/kartor/A 35742-2025 karta.png", "A 35742-2025")</f>
        <v/>
      </c>
      <c r="U317">
        <f>HYPERLINK("https://klasma.github.io/Logging_2104/knärot/A 35742-2025 karta knärot.png", "A 35742-2025")</f>
        <v/>
      </c>
      <c r="V317">
        <f>HYPERLINK("https://klasma.github.io/Logging_2104/klagomål/A 35742-2025 FSC-klagomål.docx", "A 35742-2025")</f>
        <v/>
      </c>
      <c r="W317">
        <f>HYPERLINK("https://klasma.github.io/Logging_2104/klagomålsmail/A 35742-2025 FSC-klagomål mail.docx", "A 35742-2025")</f>
        <v/>
      </c>
      <c r="X317">
        <f>HYPERLINK("https://klasma.github.io/Logging_2104/tillsyn/A 35742-2025 tillsynsbegäran.docx", "A 35742-2025")</f>
        <v/>
      </c>
      <c r="Y317">
        <f>HYPERLINK("https://klasma.github.io/Logging_2104/tillsynsmail/A 35742-2025 tillsynsbegäran mail.docx", "A 35742-2025")</f>
        <v/>
      </c>
    </row>
    <row r="318" ht="15" customHeight="1">
      <c r="A318" t="inlineStr">
        <is>
          <t>A 46311-2025</t>
        </is>
      </c>
      <c r="B318" s="1" t="n">
        <v>45925.43980324074</v>
      </c>
      <c r="C318" s="1" t="n">
        <v>46086</v>
      </c>
      <c r="D318" t="inlineStr">
        <is>
          <t>GÄVLEBORGS LÄN</t>
        </is>
      </c>
      <c r="E318" t="inlineStr">
        <is>
          <t>LJUSDAL</t>
        </is>
      </c>
      <c r="F318" t="inlineStr">
        <is>
          <t>Sveaskog</t>
        </is>
      </c>
      <c r="G318" t="n">
        <v>2</v>
      </c>
      <c r="H318" t="n">
        <v>0</v>
      </c>
      <c r="I318" t="n">
        <v>0</v>
      </c>
      <c r="J318" t="n">
        <v>2</v>
      </c>
      <c r="K318" t="n">
        <v>0</v>
      </c>
      <c r="L318" t="n">
        <v>0</v>
      </c>
      <c r="M318" t="n">
        <v>0</v>
      </c>
      <c r="N318" t="n">
        <v>0</v>
      </c>
      <c r="O318" t="n">
        <v>2</v>
      </c>
      <c r="P318" t="n">
        <v>0</v>
      </c>
      <c r="Q318" t="n">
        <v>2</v>
      </c>
      <c r="R318" s="2" t="inlineStr">
        <is>
          <t>Garnlav
Kolflarnlav</t>
        </is>
      </c>
      <c r="S318">
        <f>HYPERLINK("https://klasma.github.io/Logging_2161/artfynd/A 46311-2025 artfynd.xlsx", "A 46311-2025")</f>
        <v/>
      </c>
      <c r="T318">
        <f>HYPERLINK("https://klasma.github.io/Logging_2161/kartor/A 46311-2025 karta.png", "A 46311-2025")</f>
        <v/>
      </c>
      <c r="V318">
        <f>HYPERLINK("https://klasma.github.io/Logging_2161/klagomål/A 46311-2025 FSC-klagomål.docx", "A 46311-2025")</f>
        <v/>
      </c>
      <c r="W318">
        <f>HYPERLINK("https://klasma.github.io/Logging_2161/klagomålsmail/A 46311-2025 FSC-klagomål mail.docx", "A 46311-2025")</f>
        <v/>
      </c>
      <c r="X318">
        <f>HYPERLINK("https://klasma.github.io/Logging_2161/tillsyn/A 46311-2025 tillsynsbegäran.docx", "A 46311-2025")</f>
        <v/>
      </c>
      <c r="Y318">
        <f>HYPERLINK("https://klasma.github.io/Logging_2161/tillsynsmail/A 46311-2025 tillsynsbegäran mail.docx", "A 46311-2025")</f>
        <v/>
      </c>
    </row>
    <row r="319" ht="15" customHeight="1">
      <c r="A319" t="inlineStr">
        <is>
          <t>A 46651-2025</t>
        </is>
      </c>
      <c r="B319" s="1" t="n">
        <v>45926.48703703703</v>
      </c>
      <c r="C319" s="1" t="n">
        <v>46086</v>
      </c>
      <c r="D319" t="inlineStr">
        <is>
          <t>GÄVLEBORGS LÄN</t>
        </is>
      </c>
      <c r="E319" t="inlineStr">
        <is>
          <t>LJUSDAL</t>
        </is>
      </c>
      <c r="F319" t="inlineStr">
        <is>
          <t>Sveaskog</t>
        </is>
      </c>
      <c r="G319" t="n">
        <v>7.4</v>
      </c>
      <c r="H319" t="n">
        <v>0</v>
      </c>
      <c r="I319" t="n">
        <v>0</v>
      </c>
      <c r="J319" t="n">
        <v>2</v>
      </c>
      <c r="K319" t="n">
        <v>0</v>
      </c>
      <c r="L319" t="n">
        <v>0</v>
      </c>
      <c r="M319" t="n">
        <v>0</v>
      </c>
      <c r="N319" t="n">
        <v>0</v>
      </c>
      <c r="O319" t="n">
        <v>2</v>
      </c>
      <c r="P319" t="n">
        <v>0</v>
      </c>
      <c r="Q319" t="n">
        <v>2</v>
      </c>
      <c r="R319" s="2" t="inlineStr">
        <is>
          <t>Garnlav
Lunglav</t>
        </is>
      </c>
      <c r="S319">
        <f>HYPERLINK("https://klasma.github.io/Logging_2161/artfynd/A 46651-2025 artfynd.xlsx", "A 46651-2025")</f>
        <v/>
      </c>
      <c r="T319">
        <f>HYPERLINK("https://klasma.github.io/Logging_2161/kartor/A 46651-2025 karta.png", "A 46651-2025")</f>
        <v/>
      </c>
      <c r="V319">
        <f>HYPERLINK("https://klasma.github.io/Logging_2161/klagomål/A 46651-2025 FSC-klagomål.docx", "A 46651-2025")</f>
        <v/>
      </c>
      <c r="W319">
        <f>HYPERLINK("https://klasma.github.io/Logging_2161/klagomålsmail/A 46651-2025 FSC-klagomål mail.docx", "A 46651-2025")</f>
        <v/>
      </c>
      <c r="X319">
        <f>HYPERLINK("https://klasma.github.io/Logging_2161/tillsyn/A 46651-2025 tillsynsbegäran.docx", "A 46651-2025")</f>
        <v/>
      </c>
      <c r="Y319">
        <f>HYPERLINK("https://klasma.github.io/Logging_2161/tillsynsmail/A 46651-2025 tillsynsbegäran mail.docx", "A 46651-2025")</f>
        <v/>
      </c>
    </row>
    <row r="320" ht="15" customHeight="1">
      <c r="A320" t="inlineStr">
        <is>
          <t>A 19848-2024</t>
        </is>
      </c>
      <c r="B320" s="1" t="n">
        <v>45433.39409722222</v>
      </c>
      <c r="C320" s="1" t="n">
        <v>46086</v>
      </c>
      <c r="D320" t="inlineStr">
        <is>
          <t>GÄVLEBORGS LÄN</t>
        </is>
      </c>
      <c r="E320" t="inlineStr">
        <is>
          <t>LJUSDAL</t>
        </is>
      </c>
      <c r="F320" t="inlineStr">
        <is>
          <t>Sveaskog</t>
        </is>
      </c>
      <c r="G320" t="n">
        <v>3.1</v>
      </c>
      <c r="H320" t="n">
        <v>0</v>
      </c>
      <c r="I320" t="n">
        <v>0</v>
      </c>
      <c r="J320" t="n">
        <v>2</v>
      </c>
      <c r="K320" t="n">
        <v>0</v>
      </c>
      <c r="L320" t="n">
        <v>0</v>
      </c>
      <c r="M320" t="n">
        <v>0</v>
      </c>
      <c r="N320" t="n">
        <v>0</v>
      </c>
      <c r="O320" t="n">
        <v>2</v>
      </c>
      <c r="P320" t="n">
        <v>0</v>
      </c>
      <c r="Q320" t="n">
        <v>2</v>
      </c>
      <c r="R320" s="2" t="inlineStr">
        <is>
          <t>Kolflarnlav
Lunglav</t>
        </is>
      </c>
      <c r="S320">
        <f>HYPERLINK("https://klasma.github.io/Logging_2161/artfynd/A 19848-2024 artfynd.xlsx", "A 19848-2024")</f>
        <v/>
      </c>
      <c r="T320">
        <f>HYPERLINK("https://klasma.github.io/Logging_2161/kartor/A 19848-2024 karta.png", "A 19848-2024")</f>
        <v/>
      </c>
      <c r="V320">
        <f>HYPERLINK("https://klasma.github.io/Logging_2161/klagomål/A 19848-2024 FSC-klagomål.docx", "A 19848-2024")</f>
        <v/>
      </c>
      <c r="W320">
        <f>HYPERLINK("https://klasma.github.io/Logging_2161/klagomålsmail/A 19848-2024 FSC-klagomål mail.docx", "A 19848-2024")</f>
        <v/>
      </c>
      <c r="X320">
        <f>HYPERLINK("https://klasma.github.io/Logging_2161/tillsyn/A 19848-2024 tillsynsbegäran.docx", "A 19848-2024")</f>
        <v/>
      </c>
      <c r="Y320">
        <f>HYPERLINK("https://klasma.github.io/Logging_2161/tillsynsmail/A 19848-2024 tillsynsbegäran mail.docx", "A 19848-2024")</f>
        <v/>
      </c>
    </row>
    <row r="321" ht="15" customHeight="1">
      <c r="A321" t="inlineStr">
        <is>
          <t>A 18101-2024</t>
        </is>
      </c>
      <c r="B321" s="1" t="n">
        <v>45420</v>
      </c>
      <c r="C321" s="1" t="n">
        <v>46086</v>
      </c>
      <c r="D321" t="inlineStr">
        <is>
          <t>GÄVLEBORGS LÄN</t>
        </is>
      </c>
      <c r="E321" t="inlineStr">
        <is>
          <t>LJUSDAL</t>
        </is>
      </c>
      <c r="F321" t="inlineStr">
        <is>
          <t>Sveaskog</t>
        </is>
      </c>
      <c r="G321" t="n">
        <v>2.8</v>
      </c>
      <c r="H321" t="n">
        <v>0</v>
      </c>
      <c r="I321" t="n">
        <v>0</v>
      </c>
      <c r="J321" t="n">
        <v>2</v>
      </c>
      <c r="K321" t="n">
        <v>0</v>
      </c>
      <c r="L321" t="n">
        <v>0</v>
      </c>
      <c r="M321" t="n">
        <v>0</v>
      </c>
      <c r="N321" t="n">
        <v>0</v>
      </c>
      <c r="O321" t="n">
        <v>2</v>
      </c>
      <c r="P321" t="n">
        <v>0</v>
      </c>
      <c r="Q321" t="n">
        <v>2</v>
      </c>
      <c r="R321" s="2" t="inlineStr">
        <is>
          <t>Kolflarnlav
Mörk kolflarnlav</t>
        </is>
      </c>
      <c r="S321">
        <f>HYPERLINK("https://klasma.github.io/Logging_2161/artfynd/A 18101-2024 artfynd.xlsx", "A 18101-2024")</f>
        <v/>
      </c>
      <c r="T321">
        <f>HYPERLINK("https://klasma.github.io/Logging_2161/kartor/A 18101-2024 karta.png", "A 18101-2024")</f>
        <v/>
      </c>
      <c r="V321">
        <f>HYPERLINK("https://klasma.github.io/Logging_2161/klagomål/A 18101-2024 FSC-klagomål.docx", "A 18101-2024")</f>
        <v/>
      </c>
      <c r="W321">
        <f>HYPERLINK("https://klasma.github.io/Logging_2161/klagomålsmail/A 18101-2024 FSC-klagomål mail.docx", "A 18101-2024")</f>
        <v/>
      </c>
      <c r="X321">
        <f>HYPERLINK("https://klasma.github.io/Logging_2161/tillsyn/A 18101-2024 tillsynsbegäran.docx", "A 18101-2024")</f>
        <v/>
      </c>
      <c r="Y321">
        <f>HYPERLINK("https://klasma.github.io/Logging_2161/tillsynsmail/A 18101-2024 tillsynsbegäran mail.docx", "A 18101-2024")</f>
        <v/>
      </c>
    </row>
    <row r="322" ht="15" customHeight="1">
      <c r="A322" t="inlineStr">
        <is>
          <t>A 48297-2025</t>
        </is>
      </c>
      <c r="B322" s="1" t="n">
        <v>45933.60915509259</v>
      </c>
      <c r="C322" s="1" t="n">
        <v>46086</v>
      </c>
      <c r="D322" t="inlineStr">
        <is>
          <t>GÄVLEBORGS LÄN</t>
        </is>
      </c>
      <c r="E322" t="inlineStr">
        <is>
          <t>LJUSDAL</t>
        </is>
      </c>
      <c r="F322" t="inlineStr">
        <is>
          <t>Sveaskog</t>
        </is>
      </c>
      <c r="G322" t="n">
        <v>3</v>
      </c>
      <c r="H322" t="n">
        <v>0</v>
      </c>
      <c r="I322" t="n">
        <v>1</v>
      </c>
      <c r="J322" t="n">
        <v>1</v>
      </c>
      <c r="K322" t="n">
        <v>0</v>
      </c>
      <c r="L322" t="n">
        <v>0</v>
      </c>
      <c r="M322" t="n">
        <v>0</v>
      </c>
      <c r="N322" t="n">
        <v>0</v>
      </c>
      <c r="O322" t="n">
        <v>1</v>
      </c>
      <c r="P322" t="n">
        <v>0</v>
      </c>
      <c r="Q322" t="n">
        <v>2</v>
      </c>
      <c r="R322" s="2" t="inlineStr">
        <is>
          <t>Kolflarnlav
Dropptaggsvamp</t>
        </is>
      </c>
      <c r="S322">
        <f>HYPERLINK("https://klasma.github.io/Logging_2161/artfynd/A 48297-2025 artfynd.xlsx", "A 48297-2025")</f>
        <v/>
      </c>
      <c r="T322">
        <f>HYPERLINK("https://klasma.github.io/Logging_2161/kartor/A 48297-2025 karta.png", "A 48297-2025")</f>
        <v/>
      </c>
      <c r="V322">
        <f>HYPERLINK("https://klasma.github.io/Logging_2161/klagomål/A 48297-2025 FSC-klagomål.docx", "A 48297-2025")</f>
        <v/>
      </c>
      <c r="W322">
        <f>HYPERLINK("https://klasma.github.io/Logging_2161/klagomålsmail/A 48297-2025 FSC-klagomål mail.docx", "A 48297-2025")</f>
        <v/>
      </c>
      <c r="X322">
        <f>HYPERLINK("https://klasma.github.io/Logging_2161/tillsyn/A 48297-2025 tillsynsbegäran.docx", "A 48297-2025")</f>
        <v/>
      </c>
      <c r="Y322">
        <f>HYPERLINK("https://klasma.github.io/Logging_2161/tillsynsmail/A 48297-2025 tillsynsbegäran mail.docx", "A 48297-2025")</f>
        <v/>
      </c>
    </row>
    <row r="323" ht="15" customHeight="1">
      <c r="A323" t="inlineStr">
        <is>
          <t>A 36759-2025</t>
        </is>
      </c>
      <c r="B323" s="1" t="n">
        <v>45873.5665625</v>
      </c>
      <c r="C323" s="1" t="n">
        <v>46086</v>
      </c>
      <c r="D323" t="inlineStr">
        <is>
          <t>GÄVLEBORGS LÄN</t>
        </is>
      </c>
      <c r="E323" t="inlineStr">
        <is>
          <t>OVANÅKER</t>
        </is>
      </c>
      <c r="F323" t="inlineStr">
        <is>
          <t>Bergvik skog väst AB</t>
        </is>
      </c>
      <c r="G323" t="n">
        <v>20.7</v>
      </c>
      <c r="H323" t="n">
        <v>2</v>
      </c>
      <c r="I323" t="n">
        <v>0</v>
      </c>
      <c r="J323" t="n">
        <v>2</v>
      </c>
      <c r="K323" t="n">
        <v>0</v>
      </c>
      <c r="L323" t="n">
        <v>0</v>
      </c>
      <c r="M323" t="n">
        <v>0</v>
      </c>
      <c r="N323" t="n">
        <v>0</v>
      </c>
      <c r="O323" t="n">
        <v>2</v>
      </c>
      <c r="P323" t="n">
        <v>0</v>
      </c>
      <c r="Q323" t="n">
        <v>2</v>
      </c>
      <c r="R323" s="2" t="inlineStr">
        <is>
          <t>Slaguggla
Spillkråka</t>
        </is>
      </c>
      <c r="S323">
        <f>HYPERLINK("https://klasma.github.io/Logging_2121/artfynd/A 36759-2025 artfynd.xlsx", "A 36759-2025")</f>
        <v/>
      </c>
      <c r="T323">
        <f>HYPERLINK("https://klasma.github.io/Logging_2121/kartor/A 36759-2025 karta.png", "A 36759-2025")</f>
        <v/>
      </c>
      <c r="V323">
        <f>HYPERLINK("https://klasma.github.io/Logging_2121/klagomål/A 36759-2025 FSC-klagomål.docx", "A 36759-2025")</f>
        <v/>
      </c>
      <c r="W323">
        <f>HYPERLINK("https://klasma.github.io/Logging_2121/klagomålsmail/A 36759-2025 FSC-klagomål mail.docx", "A 36759-2025")</f>
        <v/>
      </c>
      <c r="X323">
        <f>HYPERLINK("https://klasma.github.io/Logging_2121/tillsyn/A 36759-2025 tillsynsbegäran.docx", "A 36759-2025")</f>
        <v/>
      </c>
      <c r="Y323">
        <f>HYPERLINK("https://klasma.github.io/Logging_2121/tillsynsmail/A 36759-2025 tillsynsbegäran mail.docx", "A 36759-2025")</f>
        <v/>
      </c>
      <c r="Z323">
        <f>HYPERLINK("https://klasma.github.io/Logging_2121/fåglar/A 36759-2025 prioriterade fågelarter.docx", "A 36759-2025")</f>
        <v/>
      </c>
    </row>
    <row r="324" ht="15" customHeight="1">
      <c r="A324" t="inlineStr">
        <is>
          <t>A 47877-2025</t>
        </is>
      </c>
      <c r="B324" s="1" t="n">
        <v>45932.45855324074</v>
      </c>
      <c r="C324" s="1" t="n">
        <v>46086</v>
      </c>
      <c r="D324" t="inlineStr">
        <is>
          <t>GÄVLEBORGS LÄN</t>
        </is>
      </c>
      <c r="E324" t="inlineStr">
        <is>
          <t>LJUSDAL</t>
        </is>
      </c>
      <c r="F324" t="inlineStr">
        <is>
          <t>Bergvik skog väst AB</t>
        </is>
      </c>
      <c r="G324" t="n">
        <v>1.1</v>
      </c>
      <c r="H324" t="n">
        <v>1</v>
      </c>
      <c r="I324" t="n">
        <v>0</v>
      </c>
      <c r="J324" t="n">
        <v>1</v>
      </c>
      <c r="K324" t="n">
        <v>1</v>
      </c>
      <c r="L324" t="n">
        <v>0</v>
      </c>
      <c r="M324" t="n">
        <v>0</v>
      </c>
      <c r="N324" t="n">
        <v>0</v>
      </c>
      <c r="O324" t="n">
        <v>2</v>
      </c>
      <c r="P324" t="n">
        <v>1</v>
      </c>
      <c r="Q324" t="n">
        <v>2</v>
      </c>
      <c r="R324" s="2" t="inlineStr">
        <is>
          <t>Knärot
Garnlav</t>
        </is>
      </c>
      <c r="S324">
        <f>HYPERLINK("https://klasma.github.io/Logging_2161/artfynd/A 47877-2025 artfynd.xlsx", "A 47877-2025")</f>
        <v/>
      </c>
      <c r="T324">
        <f>HYPERLINK("https://klasma.github.io/Logging_2161/kartor/A 47877-2025 karta.png", "A 47877-2025")</f>
        <v/>
      </c>
      <c r="U324">
        <f>HYPERLINK("https://klasma.github.io/Logging_2161/knärot/A 47877-2025 karta knärot.png", "A 47877-2025")</f>
        <v/>
      </c>
      <c r="V324">
        <f>HYPERLINK("https://klasma.github.io/Logging_2161/klagomål/A 47877-2025 FSC-klagomål.docx", "A 47877-2025")</f>
        <v/>
      </c>
      <c r="W324">
        <f>HYPERLINK("https://klasma.github.io/Logging_2161/klagomålsmail/A 47877-2025 FSC-klagomål mail.docx", "A 47877-2025")</f>
        <v/>
      </c>
      <c r="X324">
        <f>HYPERLINK("https://klasma.github.io/Logging_2161/tillsyn/A 47877-2025 tillsynsbegäran.docx", "A 47877-2025")</f>
        <v/>
      </c>
      <c r="Y324">
        <f>HYPERLINK("https://klasma.github.io/Logging_2161/tillsynsmail/A 47877-2025 tillsynsbegäran mail.docx", "A 47877-2025")</f>
        <v/>
      </c>
    </row>
    <row r="325" ht="15" customHeight="1">
      <c r="A325" t="inlineStr">
        <is>
          <t>A 37207-2025</t>
        </is>
      </c>
      <c r="B325" s="1" t="n">
        <v>45875.70487268519</v>
      </c>
      <c r="C325" s="1" t="n">
        <v>46086</v>
      </c>
      <c r="D325" t="inlineStr">
        <is>
          <t>GÄVLEBORGS LÄN</t>
        </is>
      </c>
      <c r="E325" t="inlineStr">
        <is>
          <t>HUDIKSVALL</t>
        </is>
      </c>
      <c r="G325" t="n">
        <v>5</v>
      </c>
      <c r="H325" t="n">
        <v>1</v>
      </c>
      <c r="I325" t="n">
        <v>1</v>
      </c>
      <c r="J325" t="n">
        <v>1</v>
      </c>
      <c r="K325" t="n">
        <v>0</v>
      </c>
      <c r="L325" t="n">
        <v>0</v>
      </c>
      <c r="M325" t="n">
        <v>0</v>
      </c>
      <c r="N325" t="n">
        <v>0</v>
      </c>
      <c r="O325" t="n">
        <v>1</v>
      </c>
      <c r="P325" t="n">
        <v>0</v>
      </c>
      <c r="Q325" t="n">
        <v>2</v>
      </c>
      <c r="R325" s="2" t="inlineStr">
        <is>
          <t>Talltita
Bronshjon</t>
        </is>
      </c>
      <c r="S325">
        <f>HYPERLINK("https://klasma.github.io/Logging_2184/artfynd/A 37207-2025 artfynd.xlsx", "A 37207-2025")</f>
        <v/>
      </c>
      <c r="T325">
        <f>HYPERLINK("https://klasma.github.io/Logging_2184/kartor/A 37207-2025 karta.png", "A 37207-2025")</f>
        <v/>
      </c>
      <c r="V325">
        <f>HYPERLINK("https://klasma.github.io/Logging_2184/klagomål/A 37207-2025 FSC-klagomål.docx", "A 37207-2025")</f>
        <v/>
      </c>
      <c r="W325">
        <f>HYPERLINK("https://klasma.github.io/Logging_2184/klagomålsmail/A 37207-2025 FSC-klagomål mail.docx", "A 37207-2025")</f>
        <v/>
      </c>
      <c r="X325">
        <f>HYPERLINK("https://klasma.github.io/Logging_2184/tillsyn/A 37207-2025 tillsynsbegäran.docx", "A 37207-2025")</f>
        <v/>
      </c>
      <c r="Y325">
        <f>HYPERLINK("https://klasma.github.io/Logging_2184/tillsynsmail/A 37207-2025 tillsynsbegäran mail.docx", "A 37207-2025")</f>
        <v/>
      </c>
      <c r="Z325">
        <f>HYPERLINK("https://klasma.github.io/Logging_2184/fåglar/A 37207-2025 prioriterade fågelarter.docx", "A 37207-2025")</f>
        <v/>
      </c>
    </row>
    <row r="326" ht="15" customHeight="1">
      <c r="A326" t="inlineStr">
        <is>
          <t>A 25992-2023</t>
        </is>
      </c>
      <c r="B326" s="1" t="n">
        <v>45090</v>
      </c>
      <c r="C326" s="1" t="n">
        <v>46086</v>
      </c>
      <c r="D326" t="inlineStr">
        <is>
          <t>GÄVLEBORGS LÄN</t>
        </is>
      </c>
      <c r="E326" t="inlineStr">
        <is>
          <t>LJUSDAL</t>
        </is>
      </c>
      <c r="G326" t="n">
        <v>3.8</v>
      </c>
      <c r="H326" t="n">
        <v>2</v>
      </c>
      <c r="I326" t="n">
        <v>0</v>
      </c>
      <c r="J326" t="n">
        <v>0</v>
      </c>
      <c r="K326" t="n">
        <v>0</v>
      </c>
      <c r="L326" t="n">
        <v>0</v>
      </c>
      <c r="M326" t="n">
        <v>0</v>
      </c>
      <c r="N326" t="n">
        <v>0</v>
      </c>
      <c r="O326" t="n">
        <v>0</v>
      </c>
      <c r="P326" t="n">
        <v>0</v>
      </c>
      <c r="Q326" t="n">
        <v>2</v>
      </c>
      <c r="R326" s="2" t="inlineStr">
        <is>
          <t>Järnsparv
Blåsippa</t>
        </is>
      </c>
      <c r="S326">
        <f>HYPERLINK("https://klasma.github.io/Logging_2161/artfynd/A 25992-2023 artfynd.xlsx", "A 25992-2023")</f>
        <v/>
      </c>
      <c r="T326">
        <f>HYPERLINK("https://klasma.github.io/Logging_2161/kartor/A 25992-2023 karta.png", "A 25992-2023")</f>
        <v/>
      </c>
      <c r="V326">
        <f>HYPERLINK("https://klasma.github.io/Logging_2161/klagomål/A 25992-2023 FSC-klagomål.docx", "A 25992-2023")</f>
        <v/>
      </c>
      <c r="W326">
        <f>HYPERLINK("https://klasma.github.io/Logging_2161/klagomålsmail/A 25992-2023 FSC-klagomål mail.docx", "A 25992-2023")</f>
        <v/>
      </c>
      <c r="X326">
        <f>HYPERLINK("https://klasma.github.io/Logging_2161/tillsyn/A 25992-2023 tillsynsbegäran.docx", "A 25992-2023")</f>
        <v/>
      </c>
      <c r="Y326">
        <f>HYPERLINK("https://klasma.github.io/Logging_2161/tillsynsmail/A 25992-2023 tillsynsbegäran mail.docx", "A 25992-2023")</f>
        <v/>
      </c>
      <c r="Z326">
        <f>HYPERLINK("https://klasma.github.io/Logging_2161/fåglar/A 25992-2023 prioriterade fågelarter.docx", "A 25992-2023")</f>
        <v/>
      </c>
    </row>
    <row r="327" ht="15" customHeight="1">
      <c r="A327" t="inlineStr">
        <is>
          <t>A 48669-2025</t>
        </is>
      </c>
      <c r="B327" s="1" t="n">
        <v>45936.57709490741</v>
      </c>
      <c r="C327" s="1" t="n">
        <v>46086</v>
      </c>
      <c r="D327" t="inlineStr">
        <is>
          <t>GÄVLEBORGS LÄN</t>
        </is>
      </c>
      <c r="E327" t="inlineStr">
        <is>
          <t>GÄVLE</t>
        </is>
      </c>
      <c r="F327" t="inlineStr">
        <is>
          <t>Bergvik skog öst AB</t>
        </is>
      </c>
      <c r="G327" t="n">
        <v>4.5</v>
      </c>
      <c r="H327" t="n">
        <v>1</v>
      </c>
      <c r="I327" t="n">
        <v>0</v>
      </c>
      <c r="J327" t="n">
        <v>0</v>
      </c>
      <c r="K327" t="n">
        <v>1</v>
      </c>
      <c r="L327" t="n">
        <v>0</v>
      </c>
      <c r="M327" t="n">
        <v>0</v>
      </c>
      <c r="N327" t="n">
        <v>0</v>
      </c>
      <c r="O327" t="n">
        <v>1</v>
      </c>
      <c r="P327" t="n">
        <v>1</v>
      </c>
      <c r="Q327" t="n">
        <v>2</v>
      </c>
      <c r="R327" s="2" t="inlineStr">
        <is>
          <t>Rynkskinn
Blåsippa</t>
        </is>
      </c>
      <c r="S327">
        <f>HYPERLINK("https://klasma.github.io/Logging_2180/artfynd/A 48669-2025 artfynd.xlsx", "A 48669-2025")</f>
        <v/>
      </c>
      <c r="T327">
        <f>HYPERLINK("https://klasma.github.io/Logging_2180/kartor/A 48669-2025 karta.png", "A 48669-2025")</f>
        <v/>
      </c>
      <c r="V327">
        <f>HYPERLINK("https://klasma.github.io/Logging_2180/klagomål/A 48669-2025 FSC-klagomål.docx", "A 48669-2025")</f>
        <v/>
      </c>
      <c r="W327">
        <f>HYPERLINK("https://klasma.github.io/Logging_2180/klagomålsmail/A 48669-2025 FSC-klagomål mail.docx", "A 48669-2025")</f>
        <v/>
      </c>
      <c r="X327">
        <f>HYPERLINK("https://klasma.github.io/Logging_2180/tillsyn/A 48669-2025 tillsynsbegäran.docx", "A 48669-2025")</f>
        <v/>
      </c>
      <c r="Y327">
        <f>HYPERLINK("https://klasma.github.io/Logging_2180/tillsynsmail/A 48669-2025 tillsynsbegäran mail.docx", "A 48669-2025")</f>
        <v/>
      </c>
    </row>
    <row r="328" ht="15" customHeight="1">
      <c r="A328" t="inlineStr">
        <is>
          <t>A 56538-2022</t>
        </is>
      </c>
      <c r="B328" s="1" t="n">
        <v>44887</v>
      </c>
      <c r="C328" s="1" t="n">
        <v>46086</v>
      </c>
      <c r="D328" t="inlineStr">
        <is>
          <t>GÄVLEBORGS LÄN</t>
        </is>
      </c>
      <c r="E328" t="inlineStr">
        <is>
          <t>GÄVLE</t>
        </is>
      </c>
      <c r="F328" t="inlineStr">
        <is>
          <t>Bergvik skog väst AB</t>
        </is>
      </c>
      <c r="G328" t="n">
        <v>2.1</v>
      </c>
      <c r="H328" t="n">
        <v>1</v>
      </c>
      <c r="I328" t="n">
        <v>1</v>
      </c>
      <c r="J328" t="n">
        <v>0</v>
      </c>
      <c r="K328" t="n">
        <v>0</v>
      </c>
      <c r="L328" t="n">
        <v>0</v>
      </c>
      <c r="M328" t="n">
        <v>0</v>
      </c>
      <c r="N328" t="n">
        <v>0</v>
      </c>
      <c r="O328" t="n">
        <v>0</v>
      </c>
      <c r="P328" t="n">
        <v>0</v>
      </c>
      <c r="Q328" t="n">
        <v>2</v>
      </c>
      <c r="R328" s="2" t="inlineStr">
        <is>
          <t>Dropptaggsvamp
Blåsippa</t>
        </is>
      </c>
      <c r="S328">
        <f>HYPERLINK("https://klasma.github.io/Logging_2180/artfynd/A 56538-2022 artfynd.xlsx", "A 56538-2022")</f>
        <v/>
      </c>
      <c r="T328">
        <f>HYPERLINK("https://klasma.github.io/Logging_2180/kartor/A 56538-2022 karta.png", "A 56538-2022")</f>
        <v/>
      </c>
      <c r="V328">
        <f>HYPERLINK("https://klasma.github.io/Logging_2180/klagomål/A 56538-2022 FSC-klagomål.docx", "A 56538-2022")</f>
        <v/>
      </c>
      <c r="W328">
        <f>HYPERLINK("https://klasma.github.io/Logging_2180/klagomålsmail/A 56538-2022 FSC-klagomål mail.docx", "A 56538-2022")</f>
        <v/>
      </c>
      <c r="X328">
        <f>HYPERLINK("https://klasma.github.io/Logging_2180/tillsyn/A 56538-2022 tillsynsbegäran.docx", "A 56538-2022")</f>
        <v/>
      </c>
      <c r="Y328">
        <f>HYPERLINK("https://klasma.github.io/Logging_2180/tillsynsmail/A 56538-2022 tillsynsbegäran mail.docx", "A 56538-2022")</f>
        <v/>
      </c>
    </row>
    <row r="329" ht="15" customHeight="1">
      <c r="A329" t="inlineStr">
        <is>
          <t>A 38035-2025</t>
        </is>
      </c>
      <c r="B329" s="1" t="n">
        <v>45882.3721875</v>
      </c>
      <c r="C329" s="1" t="n">
        <v>46086</v>
      </c>
      <c r="D329" t="inlineStr">
        <is>
          <t>GÄVLEBORGS LÄN</t>
        </is>
      </c>
      <c r="E329" t="inlineStr">
        <is>
          <t>OCKELBO</t>
        </is>
      </c>
      <c r="F329" t="inlineStr">
        <is>
          <t>Bergvik skog väst AB</t>
        </is>
      </c>
      <c r="G329" t="n">
        <v>6.5</v>
      </c>
      <c r="H329" t="n">
        <v>0</v>
      </c>
      <c r="I329" t="n">
        <v>2</v>
      </c>
      <c r="J329" t="n">
        <v>0</v>
      </c>
      <c r="K329" t="n">
        <v>0</v>
      </c>
      <c r="L329" t="n">
        <v>0</v>
      </c>
      <c r="M329" t="n">
        <v>0</v>
      </c>
      <c r="N329" t="n">
        <v>0</v>
      </c>
      <c r="O329" t="n">
        <v>0</v>
      </c>
      <c r="P329" t="n">
        <v>0</v>
      </c>
      <c r="Q329" t="n">
        <v>2</v>
      </c>
      <c r="R329" s="2" t="inlineStr">
        <is>
          <t>Blomkålssvamp
Grönpyrola</t>
        </is>
      </c>
      <c r="S329">
        <f>HYPERLINK("https://klasma.github.io/Logging_2101/artfynd/A 38035-2025 artfynd.xlsx", "A 38035-2025")</f>
        <v/>
      </c>
      <c r="T329">
        <f>HYPERLINK("https://klasma.github.io/Logging_2101/kartor/A 38035-2025 karta.png", "A 38035-2025")</f>
        <v/>
      </c>
      <c r="V329">
        <f>HYPERLINK("https://klasma.github.io/Logging_2101/klagomål/A 38035-2025 FSC-klagomål.docx", "A 38035-2025")</f>
        <v/>
      </c>
      <c r="W329">
        <f>HYPERLINK("https://klasma.github.io/Logging_2101/klagomålsmail/A 38035-2025 FSC-klagomål mail.docx", "A 38035-2025")</f>
        <v/>
      </c>
      <c r="X329">
        <f>HYPERLINK("https://klasma.github.io/Logging_2101/tillsyn/A 38035-2025 tillsynsbegäran.docx", "A 38035-2025")</f>
        <v/>
      </c>
      <c r="Y329">
        <f>HYPERLINK("https://klasma.github.io/Logging_2101/tillsynsmail/A 38035-2025 tillsynsbegäran mail.docx", "A 38035-2025")</f>
        <v/>
      </c>
    </row>
    <row r="330" ht="15" customHeight="1">
      <c r="A330" t="inlineStr">
        <is>
          <t>A 38084-2025</t>
        </is>
      </c>
      <c r="B330" s="1" t="n">
        <v>45882</v>
      </c>
      <c r="C330" s="1" t="n">
        <v>46086</v>
      </c>
      <c r="D330" t="inlineStr">
        <is>
          <t>GÄVLEBORGS LÄN</t>
        </is>
      </c>
      <c r="E330" t="inlineStr">
        <is>
          <t>LJUSDAL</t>
        </is>
      </c>
      <c r="F330" t="inlineStr">
        <is>
          <t>Sveaskog</t>
        </is>
      </c>
      <c r="G330" t="n">
        <v>2.2</v>
      </c>
      <c r="H330" t="n">
        <v>0</v>
      </c>
      <c r="I330" t="n">
        <v>0</v>
      </c>
      <c r="J330" t="n">
        <v>2</v>
      </c>
      <c r="K330" t="n">
        <v>0</v>
      </c>
      <c r="L330" t="n">
        <v>0</v>
      </c>
      <c r="M330" t="n">
        <v>0</v>
      </c>
      <c r="N330" t="n">
        <v>0</v>
      </c>
      <c r="O330" t="n">
        <v>2</v>
      </c>
      <c r="P330" t="n">
        <v>0</v>
      </c>
      <c r="Q330" t="n">
        <v>2</v>
      </c>
      <c r="R330" s="2" t="inlineStr">
        <is>
          <t>Kolflarnlav
Vedflamlav</t>
        </is>
      </c>
      <c r="S330">
        <f>HYPERLINK("https://klasma.github.io/Logging_2161/artfynd/A 38084-2025 artfynd.xlsx", "A 38084-2025")</f>
        <v/>
      </c>
      <c r="T330">
        <f>HYPERLINK("https://klasma.github.io/Logging_2161/kartor/A 38084-2025 karta.png", "A 38084-2025")</f>
        <v/>
      </c>
      <c r="V330">
        <f>HYPERLINK("https://klasma.github.io/Logging_2161/klagomål/A 38084-2025 FSC-klagomål.docx", "A 38084-2025")</f>
        <v/>
      </c>
      <c r="W330">
        <f>HYPERLINK("https://klasma.github.io/Logging_2161/klagomålsmail/A 38084-2025 FSC-klagomål mail.docx", "A 38084-2025")</f>
        <v/>
      </c>
      <c r="X330">
        <f>HYPERLINK("https://klasma.github.io/Logging_2161/tillsyn/A 38084-2025 tillsynsbegäran.docx", "A 38084-2025")</f>
        <v/>
      </c>
      <c r="Y330">
        <f>HYPERLINK("https://klasma.github.io/Logging_2161/tillsynsmail/A 38084-2025 tillsynsbegäran mail.docx", "A 38084-2025")</f>
        <v/>
      </c>
    </row>
    <row r="331" ht="15" customHeight="1">
      <c r="A331" t="inlineStr">
        <is>
          <t>A 38088-2025</t>
        </is>
      </c>
      <c r="B331" s="1" t="n">
        <v>45882.47858796296</v>
      </c>
      <c r="C331" s="1" t="n">
        <v>46086</v>
      </c>
      <c r="D331" t="inlineStr">
        <is>
          <t>GÄVLEBORGS LÄN</t>
        </is>
      </c>
      <c r="E331" t="inlineStr">
        <is>
          <t>LJUSDAL</t>
        </is>
      </c>
      <c r="F331" t="inlineStr">
        <is>
          <t>Sveaskog</t>
        </is>
      </c>
      <c r="G331" t="n">
        <v>3</v>
      </c>
      <c r="H331" t="n">
        <v>0</v>
      </c>
      <c r="I331" t="n">
        <v>0</v>
      </c>
      <c r="J331" t="n">
        <v>2</v>
      </c>
      <c r="K331" t="n">
        <v>0</v>
      </c>
      <c r="L331" t="n">
        <v>0</v>
      </c>
      <c r="M331" t="n">
        <v>0</v>
      </c>
      <c r="N331" t="n">
        <v>0</v>
      </c>
      <c r="O331" t="n">
        <v>2</v>
      </c>
      <c r="P331" t="n">
        <v>0</v>
      </c>
      <c r="Q331" t="n">
        <v>2</v>
      </c>
      <c r="R331" s="2" t="inlineStr">
        <is>
          <t>Kolflarnlav
Vedflamlav</t>
        </is>
      </c>
      <c r="S331">
        <f>HYPERLINK("https://klasma.github.io/Logging_2161/artfynd/A 38088-2025 artfynd.xlsx", "A 38088-2025")</f>
        <v/>
      </c>
      <c r="T331">
        <f>HYPERLINK("https://klasma.github.io/Logging_2161/kartor/A 38088-2025 karta.png", "A 38088-2025")</f>
        <v/>
      </c>
      <c r="V331">
        <f>HYPERLINK("https://klasma.github.io/Logging_2161/klagomål/A 38088-2025 FSC-klagomål.docx", "A 38088-2025")</f>
        <v/>
      </c>
      <c r="W331">
        <f>HYPERLINK("https://klasma.github.io/Logging_2161/klagomålsmail/A 38088-2025 FSC-klagomål mail.docx", "A 38088-2025")</f>
        <v/>
      </c>
      <c r="X331">
        <f>HYPERLINK("https://klasma.github.io/Logging_2161/tillsyn/A 38088-2025 tillsynsbegäran.docx", "A 38088-2025")</f>
        <v/>
      </c>
      <c r="Y331">
        <f>HYPERLINK("https://klasma.github.io/Logging_2161/tillsynsmail/A 38088-2025 tillsynsbegäran mail.docx", "A 38088-2025")</f>
        <v/>
      </c>
    </row>
    <row r="332" ht="15" customHeight="1">
      <c r="A332" t="inlineStr">
        <is>
          <t>A 38196-2025</t>
        </is>
      </c>
      <c r="B332" s="1" t="n">
        <v>45882.66326388889</v>
      </c>
      <c r="C332" s="1" t="n">
        <v>46086</v>
      </c>
      <c r="D332" t="inlineStr">
        <is>
          <t>GÄVLEBORGS LÄN</t>
        </is>
      </c>
      <c r="E332" t="inlineStr">
        <is>
          <t>LJUSDAL</t>
        </is>
      </c>
      <c r="F332" t="inlineStr">
        <is>
          <t>Sveaskog</t>
        </is>
      </c>
      <c r="G332" t="n">
        <v>19.3</v>
      </c>
      <c r="H332" t="n">
        <v>0</v>
      </c>
      <c r="I332" t="n">
        <v>0</v>
      </c>
      <c r="J332" t="n">
        <v>2</v>
      </c>
      <c r="K332" t="n">
        <v>0</v>
      </c>
      <c r="L332" t="n">
        <v>0</v>
      </c>
      <c r="M332" t="n">
        <v>0</v>
      </c>
      <c r="N332" t="n">
        <v>0</v>
      </c>
      <c r="O332" t="n">
        <v>2</v>
      </c>
      <c r="P332" t="n">
        <v>0</v>
      </c>
      <c r="Q332" t="n">
        <v>2</v>
      </c>
      <c r="R332" s="2" t="inlineStr">
        <is>
          <t>Garnlav
Kortskaftad ärgspik</t>
        </is>
      </c>
      <c r="S332">
        <f>HYPERLINK("https://klasma.github.io/Logging_2161/artfynd/A 38196-2025 artfynd.xlsx", "A 38196-2025")</f>
        <v/>
      </c>
      <c r="T332">
        <f>HYPERLINK("https://klasma.github.io/Logging_2161/kartor/A 38196-2025 karta.png", "A 38196-2025")</f>
        <v/>
      </c>
      <c r="V332">
        <f>HYPERLINK("https://klasma.github.io/Logging_2161/klagomål/A 38196-2025 FSC-klagomål.docx", "A 38196-2025")</f>
        <v/>
      </c>
      <c r="W332">
        <f>HYPERLINK("https://klasma.github.io/Logging_2161/klagomålsmail/A 38196-2025 FSC-klagomål mail.docx", "A 38196-2025")</f>
        <v/>
      </c>
      <c r="X332">
        <f>HYPERLINK("https://klasma.github.io/Logging_2161/tillsyn/A 38196-2025 tillsynsbegäran.docx", "A 38196-2025")</f>
        <v/>
      </c>
      <c r="Y332">
        <f>HYPERLINK("https://klasma.github.io/Logging_2161/tillsynsmail/A 38196-2025 tillsynsbegäran mail.docx", "A 38196-2025")</f>
        <v/>
      </c>
    </row>
    <row r="333" ht="15" customHeight="1">
      <c r="A333" t="inlineStr">
        <is>
          <t>A 49369-2025</t>
        </is>
      </c>
      <c r="B333" s="1" t="n">
        <v>45938.62832175926</v>
      </c>
      <c r="C333" s="1" t="n">
        <v>46086</v>
      </c>
      <c r="D333" t="inlineStr">
        <is>
          <t>GÄVLEBORGS LÄN</t>
        </is>
      </c>
      <c r="E333" t="inlineStr">
        <is>
          <t>SANDVIKEN</t>
        </is>
      </c>
      <c r="G333" t="n">
        <v>4.8</v>
      </c>
      <c r="H333" t="n">
        <v>0</v>
      </c>
      <c r="I333" t="n">
        <v>1</v>
      </c>
      <c r="J333" t="n">
        <v>1</v>
      </c>
      <c r="K333" t="n">
        <v>0</v>
      </c>
      <c r="L333" t="n">
        <v>0</v>
      </c>
      <c r="M333" t="n">
        <v>0</v>
      </c>
      <c r="N333" t="n">
        <v>0</v>
      </c>
      <c r="O333" t="n">
        <v>1</v>
      </c>
      <c r="P333" t="n">
        <v>0</v>
      </c>
      <c r="Q333" t="n">
        <v>2</v>
      </c>
      <c r="R333" s="2" t="inlineStr">
        <is>
          <t>Motaggsvamp
Dropptaggsvamp</t>
        </is>
      </c>
      <c r="S333">
        <f>HYPERLINK("https://klasma.github.io/Logging_2181/artfynd/A 49369-2025 artfynd.xlsx", "A 49369-2025")</f>
        <v/>
      </c>
      <c r="T333">
        <f>HYPERLINK("https://klasma.github.io/Logging_2181/kartor/A 49369-2025 karta.png", "A 49369-2025")</f>
        <v/>
      </c>
      <c r="V333">
        <f>HYPERLINK("https://klasma.github.io/Logging_2181/klagomål/A 49369-2025 FSC-klagomål.docx", "A 49369-2025")</f>
        <v/>
      </c>
      <c r="W333">
        <f>HYPERLINK("https://klasma.github.io/Logging_2181/klagomålsmail/A 49369-2025 FSC-klagomål mail.docx", "A 49369-2025")</f>
        <v/>
      </c>
      <c r="X333">
        <f>HYPERLINK("https://klasma.github.io/Logging_2181/tillsyn/A 49369-2025 tillsynsbegäran.docx", "A 49369-2025")</f>
        <v/>
      </c>
      <c r="Y333">
        <f>HYPERLINK("https://klasma.github.io/Logging_2181/tillsynsmail/A 49369-2025 tillsynsbegäran mail.docx", "A 49369-2025")</f>
        <v/>
      </c>
    </row>
    <row r="334" ht="15" customHeight="1">
      <c r="A334" t="inlineStr">
        <is>
          <t>A 33608-2024</t>
        </is>
      </c>
      <c r="B334" s="1" t="n">
        <v>45520.3830787037</v>
      </c>
      <c r="C334" s="1" t="n">
        <v>46086</v>
      </c>
      <c r="D334" t="inlineStr">
        <is>
          <t>GÄVLEBORGS LÄN</t>
        </is>
      </c>
      <c r="E334" t="inlineStr">
        <is>
          <t>HUDIKSVALL</t>
        </is>
      </c>
      <c r="F334" t="inlineStr">
        <is>
          <t>Holmen skog AB</t>
        </is>
      </c>
      <c r="G334" t="n">
        <v>19.7</v>
      </c>
      <c r="H334" t="n">
        <v>1</v>
      </c>
      <c r="I334" t="n">
        <v>0</v>
      </c>
      <c r="J334" t="n">
        <v>1</v>
      </c>
      <c r="K334" t="n">
        <v>1</v>
      </c>
      <c r="L334" t="n">
        <v>0</v>
      </c>
      <c r="M334" t="n">
        <v>0</v>
      </c>
      <c r="N334" t="n">
        <v>0</v>
      </c>
      <c r="O334" t="n">
        <v>2</v>
      </c>
      <c r="P334" t="n">
        <v>1</v>
      </c>
      <c r="Q334" t="n">
        <v>2</v>
      </c>
      <c r="R334" s="2" t="inlineStr">
        <is>
          <t>Knärot
Garnlav</t>
        </is>
      </c>
      <c r="S334">
        <f>HYPERLINK("https://klasma.github.io/Logging_2184/artfynd/A 33608-2024 artfynd.xlsx", "A 33608-2024")</f>
        <v/>
      </c>
      <c r="T334">
        <f>HYPERLINK("https://klasma.github.io/Logging_2184/kartor/A 33608-2024 karta.png", "A 33608-2024")</f>
        <v/>
      </c>
      <c r="U334">
        <f>HYPERLINK("https://klasma.github.io/Logging_2184/knärot/A 33608-2024 karta knärot.png", "A 33608-2024")</f>
        <v/>
      </c>
      <c r="V334">
        <f>HYPERLINK("https://klasma.github.io/Logging_2184/klagomål/A 33608-2024 FSC-klagomål.docx", "A 33608-2024")</f>
        <v/>
      </c>
      <c r="W334">
        <f>HYPERLINK("https://klasma.github.io/Logging_2184/klagomålsmail/A 33608-2024 FSC-klagomål mail.docx", "A 33608-2024")</f>
        <v/>
      </c>
      <c r="X334">
        <f>HYPERLINK("https://klasma.github.io/Logging_2184/tillsyn/A 33608-2024 tillsynsbegäran.docx", "A 33608-2024")</f>
        <v/>
      </c>
      <c r="Y334">
        <f>HYPERLINK("https://klasma.github.io/Logging_2184/tillsynsmail/A 33608-2024 tillsynsbegäran mail.docx", "A 33608-2024")</f>
        <v/>
      </c>
    </row>
    <row r="335" ht="15" customHeight="1">
      <c r="A335" t="inlineStr">
        <is>
          <t>A 52290-2025</t>
        </is>
      </c>
      <c r="B335" s="1" t="n">
        <v>45953.59731481481</v>
      </c>
      <c r="C335" s="1" t="n">
        <v>46086</v>
      </c>
      <c r="D335" t="inlineStr">
        <is>
          <t>GÄVLEBORGS LÄN</t>
        </is>
      </c>
      <c r="E335" t="inlineStr">
        <is>
          <t>HUDIKSVALL</t>
        </is>
      </c>
      <c r="G335" t="n">
        <v>3</v>
      </c>
      <c r="H335" t="n">
        <v>1</v>
      </c>
      <c r="I335" t="n">
        <v>0</v>
      </c>
      <c r="J335" t="n">
        <v>1</v>
      </c>
      <c r="K335" t="n">
        <v>0</v>
      </c>
      <c r="L335" t="n">
        <v>0</v>
      </c>
      <c r="M335" t="n">
        <v>0</v>
      </c>
      <c r="N335" t="n">
        <v>0</v>
      </c>
      <c r="O335" t="n">
        <v>1</v>
      </c>
      <c r="P335" t="n">
        <v>0</v>
      </c>
      <c r="Q335" t="n">
        <v>2</v>
      </c>
      <c r="R335" s="2" t="inlineStr">
        <is>
          <t>Slåtterfibbla
Brudsporre</t>
        </is>
      </c>
      <c r="S335">
        <f>HYPERLINK("https://klasma.github.io/Logging_2184/artfynd/A 52290-2025 artfynd.xlsx", "A 52290-2025")</f>
        <v/>
      </c>
      <c r="T335">
        <f>HYPERLINK("https://klasma.github.io/Logging_2184/kartor/A 52290-2025 karta.png", "A 52290-2025")</f>
        <v/>
      </c>
      <c r="V335">
        <f>HYPERLINK("https://klasma.github.io/Logging_2184/klagomål/A 52290-2025 FSC-klagomål.docx", "A 52290-2025")</f>
        <v/>
      </c>
      <c r="W335">
        <f>HYPERLINK("https://klasma.github.io/Logging_2184/klagomålsmail/A 52290-2025 FSC-klagomål mail.docx", "A 52290-2025")</f>
        <v/>
      </c>
      <c r="X335">
        <f>HYPERLINK("https://klasma.github.io/Logging_2184/tillsyn/A 52290-2025 tillsynsbegäran.docx", "A 52290-2025")</f>
        <v/>
      </c>
      <c r="Y335">
        <f>HYPERLINK("https://klasma.github.io/Logging_2184/tillsynsmail/A 52290-2025 tillsynsbegäran mail.docx", "A 52290-2025")</f>
        <v/>
      </c>
    </row>
    <row r="336" ht="15" customHeight="1">
      <c r="A336" t="inlineStr">
        <is>
          <t>A 20098-2025</t>
        </is>
      </c>
      <c r="B336" s="1" t="n">
        <v>45772.46837962963</v>
      </c>
      <c r="C336" s="1" t="n">
        <v>46086</v>
      </c>
      <c r="D336" t="inlineStr">
        <is>
          <t>GÄVLEBORGS LÄN</t>
        </is>
      </c>
      <c r="E336" t="inlineStr">
        <is>
          <t>LJUSDAL</t>
        </is>
      </c>
      <c r="F336" t="inlineStr">
        <is>
          <t>Sveaskog</t>
        </is>
      </c>
      <c r="G336" t="n">
        <v>14.7</v>
      </c>
      <c r="H336" t="n">
        <v>0</v>
      </c>
      <c r="I336" t="n">
        <v>0</v>
      </c>
      <c r="J336" t="n">
        <v>2</v>
      </c>
      <c r="K336" t="n">
        <v>0</v>
      </c>
      <c r="L336" t="n">
        <v>0</v>
      </c>
      <c r="M336" t="n">
        <v>0</v>
      </c>
      <c r="N336" t="n">
        <v>0</v>
      </c>
      <c r="O336" t="n">
        <v>2</v>
      </c>
      <c r="P336" t="n">
        <v>0</v>
      </c>
      <c r="Q336" t="n">
        <v>2</v>
      </c>
      <c r="R336" s="2" t="inlineStr">
        <is>
          <t>Kolflarnlav
Mörk kolflarnlav</t>
        </is>
      </c>
      <c r="S336">
        <f>HYPERLINK("https://klasma.github.io/Logging_2161/artfynd/A 20098-2025 artfynd.xlsx", "A 20098-2025")</f>
        <v/>
      </c>
      <c r="T336">
        <f>HYPERLINK("https://klasma.github.io/Logging_2161/kartor/A 20098-2025 karta.png", "A 20098-2025")</f>
        <v/>
      </c>
      <c r="V336">
        <f>HYPERLINK("https://klasma.github.io/Logging_2161/klagomål/A 20098-2025 FSC-klagomål.docx", "A 20098-2025")</f>
        <v/>
      </c>
      <c r="W336">
        <f>HYPERLINK("https://klasma.github.io/Logging_2161/klagomålsmail/A 20098-2025 FSC-klagomål mail.docx", "A 20098-2025")</f>
        <v/>
      </c>
      <c r="X336">
        <f>HYPERLINK("https://klasma.github.io/Logging_2161/tillsyn/A 20098-2025 tillsynsbegäran.docx", "A 20098-2025")</f>
        <v/>
      </c>
      <c r="Y336">
        <f>HYPERLINK("https://klasma.github.io/Logging_2161/tillsynsmail/A 20098-2025 tillsynsbegäran mail.docx", "A 20098-2025")</f>
        <v/>
      </c>
    </row>
    <row r="337" ht="15" customHeight="1">
      <c r="A337" t="inlineStr">
        <is>
          <t>A 47084-2025</t>
        </is>
      </c>
      <c r="B337" s="1" t="n">
        <v>45929</v>
      </c>
      <c r="C337" s="1" t="n">
        <v>46086</v>
      </c>
      <c r="D337" t="inlineStr">
        <is>
          <t>GÄVLEBORGS LÄN</t>
        </is>
      </c>
      <c r="E337" t="inlineStr">
        <is>
          <t>HOFORS</t>
        </is>
      </c>
      <c r="G337" t="n">
        <v>12</v>
      </c>
      <c r="H337" t="n">
        <v>1</v>
      </c>
      <c r="I337" t="n">
        <v>0</v>
      </c>
      <c r="J337" t="n">
        <v>1</v>
      </c>
      <c r="K337" t="n">
        <v>0</v>
      </c>
      <c r="L337" t="n">
        <v>0</v>
      </c>
      <c r="M337" t="n">
        <v>0</v>
      </c>
      <c r="N337" t="n">
        <v>0</v>
      </c>
      <c r="O337" t="n">
        <v>1</v>
      </c>
      <c r="P337" t="n">
        <v>0</v>
      </c>
      <c r="Q337" t="n">
        <v>2</v>
      </c>
      <c r="R337" s="2" t="inlineStr">
        <is>
          <t>Ullticka
Revlummer</t>
        </is>
      </c>
      <c r="S337">
        <f>HYPERLINK("https://klasma.github.io/Logging_2104/artfynd/A 47084-2025 artfynd.xlsx", "A 47084-2025")</f>
        <v/>
      </c>
      <c r="T337">
        <f>HYPERLINK("https://klasma.github.io/Logging_2104/kartor/A 47084-2025 karta.png", "A 47084-2025")</f>
        <v/>
      </c>
      <c r="V337">
        <f>HYPERLINK("https://klasma.github.io/Logging_2104/klagomål/A 47084-2025 FSC-klagomål.docx", "A 47084-2025")</f>
        <v/>
      </c>
      <c r="W337">
        <f>HYPERLINK("https://klasma.github.io/Logging_2104/klagomålsmail/A 47084-2025 FSC-klagomål mail.docx", "A 47084-2025")</f>
        <v/>
      </c>
      <c r="X337">
        <f>HYPERLINK("https://klasma.github.io/Logging_2104/tillsyn/A 47084-2025 tillsynsbegäran.docx", "A 47084-2025")</f>
        <v/>
      </c>
      <c r="Y337">
        <f>HYPERLINK("https://klasma.github.io/Logging_2104/tillsynsmail/A 47084-2025 tillsynsbegäran mail.docx", "A 47084-2025")</f>
        <v/>
      </c>
    </row>
    <row r="338" ht="15" customHeight="1">
      <c r="A338" t="inlineStr">
        <is>
          <t>A 60541-2022</t>
        </is>
      </c>
      <c r="B338" s="1" t="n">
        <v>44911</v>
      </c>
      <c r="C338" s="1" t="n">
        <v>46086</v>
      </c>
      <c r="D338" t="inlineStr">
        <is>
          <t>GÄVLEBORGS LÄN</t>
        </is>
      </c>
      <c r="E338" t="inlineStr">
        <is>
          <t>LJUSDAL</t>
        </is>
      </c>
      <c r="F338" t="inlineStr">
        <is>
          <t>Bergvik skog väst AB</t>
        </is>
      </c>
      <c r="G338" t="n">
        <v>5.4</v>
      </c>
      <c r="H338" t="n">
        <v>2</v>
      </c>
      <c r="I338" t="n">
        <v>0</v>
      </c>
      <c r="J338" t="n">
        <v>0</v>
      </c>
      <c r="K338" t="n">
        <v>0</v>
      </c>
      <c r="L338" t="n">
        <v>0</v>
      </c>
      <c r="M338" t="n">
        <v>0</v>
      </c>
      <c r="N338" t="n">
        <v>0</v>
      </c>
      <c r="O338" t="n">
        <v>0</v>
      </c>
      <c r="P338" t="n">
        <v>0</v>
      </c>
      <c r="Q338" t="n">
        <v>2</v>
      </c>
      <c r="R338" s="2" t="inlineStr">
        <is>
          <t>Orre
Pärluggla</t>
        </is>
      </c>
      <c r="S338">
        <f>HYPERLINK("https://klasma.github.io/Logging_2161/artfynd/A 60541-2022 artfynd.xlsx", "A 60541-2022")</f>
        <v/>
      </c>
      <c r="T338">
        <f>HYPERLINK("https://klasma.github.io/Logging_2161/kartor/A 60541-2022 karta.png", "A 60541-2022")</f>
        <v/>
      </c>
      <c r="V338">
        <f>HYPERLINK("https://klasma.github.io/Logging_2161/klagomål/A 60541-2022 FSC-klagomål.docx", "A 60541-2022")</f>
        <v/>
      </c>
      <c r="W338">
        <f>HYPERLINK("https://klasma.github.io/Logging_2161/klagomålsmail/A 60541-2022 FSC-klagomål mail.docx", "A 60541-2022")</f>
        <v/>
      </c>
      <c r="X338">
        <f>HYPERLINK("https://klasma.github.io/Logging_2161/tillsyn/A 60541-2022 tillsynsbegäran.docx", "A 60541-2022")</f>
        <v/>
      </c>
      <c r="Y338">
        <f>HYPERLINK("https://klasma.github.io/Logging_2161/tillsynsmail/A 60541-2022 tillsynsbegäran mail.docx", "A 60541-2022")</f>
        <v/>
      </c>
      <c r="Z338">
        <f>HYPERLINK("https://klasma.github.io/Logging_2161/fåglar/A 60541-2022 prioriterade fågelarter.docx", "A 60541-2022")</f>
        <v/>
      </c>
    </row>
    <row r="339" ht="15" customHeight="1">
      <c r="A339" t="inlineStr">
        <is>
          <t>A 26325-2023</t>
        </is>
      </c>
      <c r="B339" s="1" t="n">
        <v>45091</v>
      </c>
      <c r="C339" s="1" t="n">
        <v>46086</v>
      </c>
      <c r="D339" t="inlineStr">
        <is>
          <t>GÄVLEBORGS LÄN</t>
        </is>
      </c>
      <c r="E339" t="inlineStr">
        <is>
          <t>NORDANSTIG</t>
        </is>
      </c>
      <c r="F339" t="inlineStr">
        <is>
          <t>Holmen skog AB</t>
        </is>
      </c>
      <c r="G339" t="n">
        <v>9.9</v>
      </c>
      <c r="H339" t="n">
        <v>0</v>
      </c>
      <c r="I339" t="n">
        <v>0</v>
      </c>
      <c r="J339" t="n">
        <v>1</v>
      </c>
      <c r="K339" t="n">
        <v>1</v>
      </c>
      <c r="L339" t="n">
        <v>0</v>
      </c>
      <c r="M339" t="n">
        <v>0</v>
      </c>
      <c r="N339" t="n">
        <v>0</v>
      </c>
      <c r="O339" t="n">
        <v>2</v>
      </c>
      <c r="P339" t="n">
        <v>1</v>
      </c>
      <c r="Q339" t="n">
        <v>2</v>
      </c>
      <c r="R339" s="2" t="inlineStr">
        <is>
          <t>Ringlav
Rosenticka</t>
        </is>
      </c>
      <c r="S339">
        <f>HYPERLINK("https://klasma.github.io/Logging_2132/artfynd/A 26325-2023 artfynd.xlsx", "A 26325-2023")</f>
        <v/>
      </c>
      <c r="T339">
        <f>HYPERLINK("https://klasma.github.io/Logging_2132/kartor/A 26325-2023 karta.png", "A 26325-2023")</f>
        <v/>
      </c>
      <c r="V339">
        <f>HYPERLINK("https://klasma.github.io/Logging_2132/klagomål/A 26325-2023 FSC-klagomål.docx", "A 26325-2023")</f>
        <v/>
      </c>
      <c r="W339">
        <f>HYPERLINK("https://klasma.github.io/Logging_2132/klagomålsmail/A 26325-2023 FSC-klagomål mail.docx", "A 26325-2023")</f>
        <v/>
      </c>
      <c r="X339">
        <f>HYPERLINK("https://klasma.github.io/Logging_2132/tillsyn/A 26325-2023 tillsynsbegäran.docx", "A 26325-2023")</f>
        <v/>
      </c>
      <c r="Y339">
        <f>HYPERLINK("https://klasma.github.io/Logging_2132/tillsynsmail/A 26325-2023 tillsynsbegäran mail.docx", "A 26325-2023")</f>
        <v/>
      </c>
    </row>
    <row r="340" ht="15" customHeight="1">
      <c r="A340" t="inlineStr">
        <is>
          <t>A 39889-2024</t>
        </is>
      </c>
      <c r="B340" s="1" t="n">
        <v>45553</v>
      </c>
      <c r="C340" s="1" t="n">
        <v>46086</v>
      </c>
      <c r="D340" t="inlineStr">
        <is>
          <t>GÄVLEBORGS LÄN</t>
        </is>
      </c>
      <c r="E340" t="inlineStr">
        <is>
          <t>LJUSDAL</t>
        </is>
      </c>
      <c r="F340" t="inlineStr">
        <is>
          <t>Sveaskog</t>
        </is>
      </c>
      <c r="G340" t="n">
        <v>1.5</v>
      </c>
      <c r="H340" t="n">
        <v>1</v>
      </c>
      <c r="I340" t="n">
        <v>0</v>
      </c>
      <c r="J340" t="n">
        <v>1</v>
      </c>
      <c r="K340" t="n">
        <v>1</v>
      </c>
      <c r="L340" t="n">
        <v>0</v>
      </c>
      <c r="M340" t="n">
        <v>0</v>
      </c>
      <c r="N340" t="n">
        <v>0</v>
      </c>
      <c r="O340" t="n">
        <v>2</v>
      </c>
      <c r="P340" t="n">
        <v>1</v>
      </c>
      <c r="Q340" t="n">
        <v>2</v>
      </c>
      <c r="R340" s="2" t="inlineStr">
        <is>
          <t>Knärot
Ullticka</t>
        </is>
      </c>
      <c r="S340">
        <f>HYPERLINK("https://klasma.github.io/Logging_2161/artfynd/A 39889-2024 artfynd.xlsx", "A 39889-2024")</f>
        <v/>
      </c>
      <c r="T340">
        <f>HYPERLINK("https://klasma.github.io/Logging_2161/kartor/A 39889-2024 karta.png", "A 39889-2024")</f>
        <v/>
      </c>
      <c r="U340">
        <f>HYPERLINK("https://klasma.github.io/Logging_2161/knärot/A 39889-2024 karta knärot.png", "A 39889-2024")</f>
        <v/>
      </c>
      <c r="V340">
        <f>HYPERLINK("https://klasma.github.io/Logging_2161/klagomål/A 39889-2024 FSC-klagomål.docx", "A 39889-2024")</f>
        <v/>
      </c>
      <c r="W340">
        <f>HYPERLINK("https://klasma.github.io/Logging_2161/klagomålsmail/A 39889-2024 FSC-klagomål mail.docx", "A 39889-2024")</f>
        <v/>
      </c>
      <c r="X340">
        <f>HYPERLINK("https://klasma.github.io/Logging_2161/tillsyn/A 39889-2024 tillsynsbegäran.docx", "A 39889-2024")</f>
        <v/>
      </c>
      <c r="Y340">
        <f>HYPERLINK("https://klasma.github.io/Logging_2161/tillsynsmail/A 39889-2024 tillsynsbegäran mail.docx", "A 39889-2024")</f>
        <v/>
      </c>
    </row>
    <row r="341" ht="15" customHeight="1">
      <c r="A341" t="inlineStr">
        <is>
          <t>A 18731-2024</t>
        </is>
      </c>
      <c r="B341" s="1" t="n">
        <v>45426</v>
      </c>
      <c r="C341" s="1" t="n">
        <v>46086</v>
      </c>
      <c r="D341" t="inlineStr">
        <is>
          <t>GÄVLEBORGS LÄN</t>
        </is>
      </c>
      <c r="E341" t="inlineStr">
        <is>
          <t>LJUSDAL</t>
        </is>
      </c>
      <c r="F341" t="inlineStr">
        <is>
          <t>Sveaskog</t>
        </is>
      </c>
      <c r="G341" t="n">
        <v>6.8</v>
      </c>
      <c r="H341" t="n">
        <v>0</v>
      </c>
      <c r="I341" t="n">
        <v>0</v>
      </c>
      <c r="J341" t="n">
        <v>2</v>
      </c>
      <c r="K341" t="n">
        <v>0</v>
      </c>
      <c r="L341" t="n">
        <v>0</v>
      </c>
      <c r="M341" t="n">
        <v>0</v>
      </c>
      <c r="N341" t="n">
        <v>0</v>
      </c>
      <c r="O341" t="n">
        <v>2</v>
      </c>
      <c r="P341" t="n">
        <v>0</v>
      </c>
      <c r="Q341" t="n">
        <v>2</v>
      </c>
      <c r="R341" s="2" t="inlineStr">
        <is>
          <t>Lunglav
Skrovellav</t>
        </is>
      </c>
      <c r="S341">
        <f>HYPERLINK("https://klasma.github.io/Logging_2161/artfynd/A 18731-2024 artfynd.xlsx", "A 18731-2024")</f>
        <v/>
      </c>
      <c r="T341">
        <f>HYPERLINK("https://klasma.github.io/Logging_2161/kartor/A 18731-2024 karta.png", "A 18731-2024")</f>
        <v/>
      </c>
      <c r="V341">
        <f>HYPERLINK("https://klasma.github.io/Logging_2161/klagomål/A 18731-2024 FSC-klagomål.docx", "A 18731-2024")</f>
        <v/>
      </c>
      <c r="W341">
        <f>HYPERLINK("https://klasma.github.io/Logging_2161/klagomålsmail/A 18731-2024 FSC-klagomål mail.docx", "A 18731-2024")</f>
        <v/>
      </c>
      <c r="X341">
        <f>HYPERLINK("https://klasma.github.io/Logging_2161/tillsyn/A 18731-2024 tillsynsbegäran.docx", "A 18731-2024")</f>
        <v/>
      </c>
      <c r="Y341">
        <f>HYPERLINK("https://klasma.github.io/Logging_2161/tillsynsmail/A 18731-2024 tillsynsbegäran mail.docx", "A 18731-2024")</f>
        <v/>
      </c>
    </row>
    <row r="342" ht="15" customHeight="1">
      <c r="A342" t="inlineStr">
        <is>
          <t>A 58878-2025</t>
        </is>
      </c>
      <c r="B342" s="1" t="n">
        <v>45987.47013888889</v>
      </c>
      <c r="C342" s="1" t="n">
        <v>46086</v>
      </c>
      <c r="D342" t="inlineStr">
        <is>
          <t>GÄVLEBORGS LÄN</t>
        </is>
      </c>
      <c r="E342" t="inlineStr">
        <is>
          <t>LJUSDAL</t>
        </is>
      </c>
      <c r="F342" t="inlineStr">
        <is>
          <t>Sveaskog</t>
        </is>
      </c>
      <c r="G342" t="n">
        <v>6.9</v>
      </c>
      <c r="H342" t="n">
        <v>1</v>
      </c>
      <c r="I342" t="n">
        <v>0</v>
      </c>
      <c r="J342" t="n">
        <v>1</v>
      </c>
      <c r="K342" t="n">
        <v>1</v>
      </c>
      <c r="L342" t="n">
        <v>0</v>
      </c>
      <c r="M342" t="n">
        <v>0</v>
      </c>
      <c r="N342" t="n">
        <v>0</v>
      </c>
      <c r="O342" t="n">
        <v>2</v>
      </c>
      <c r="P342" t="n">
        <v>1</v>
      </c>
      <c r="Q342" t="n">
        <v>2</v>
      </c>
      <c r="R342" s="2" t="inlineStr">
        <is>
          <t>Knärot
Lunglav</t>
        </is>
      </c>
      <c r="S342">
        <f>HYPERLINK("https://klasma.github.io/Logging_2161/artfynd/A 58878-2025 artfynd.xlsx", "A 58878-2025")</f>
        <v/>
      </c>
      <c r="T342">
        <f>HYPERLINK("https://klasma.github.io/Logging_2161/kartor/A 58878-2025 karta.png", "A 58878-2025")</f>
        <v/>
      </c>
      <c r="U342">
        <f>HYPERLINK("https://klasma.github.io/Logging_2161/knärot/A 58878-2025 karta knärot.png", "A 58878-2025")</f>
        <v/>
      </c>
      <c r="V342">
        <f>HYPERLINK("https://klasma.github.io/Logging_2161/klagomål/A 58878-2025 FSC-klagomål.docx", "A 58878-2025")</f>
        <v/>
      </c>
      <c r="W342">
        <f>HYPERLINK("https://klasma.github.io/Logging_2161/klagomålsmail/A 58878-2025 FSC-klagomål mail.docx", "A 58878-2025")</f>
        <v/>
      </c>
      <c r="X342">
        <f>HYPERLINK("https://klasma.github.io/Logging_2161/tillsyn/A 58878-2025 tillsynsbegäran.docx", "A 58878-2025")</f>
        <v/>
      </c>
      <c r="Y342">
        <f>HYPERLINK("https://klasma.github.io/Logging_2161/tillsynsmail/A 58878-2025 tillsynsbegäran mail.docx", "A 58878-2025")</f>
        <v/>
      </c>
    </row>
    <row r="343" ht="15" customHeight="1">
      <c r="A343" t="inlineStr">
        <is>
          <t>A 633-2026</t>
        </is>
      </c>
      <c r="B343" s="1" t="n">
        <v>46029.55769675926</v>
      </c>
      <c r="C343" s="1" t="n">
        <v>46086</v>
      </c>
      <c r="D343" t="inlineStr">
        <is>
          <t>GÄVLEBORGS LÄN</t>
        </is>
      </c>
      <c r="E343" t="inlineStr">
        <is>
          <t>BOLLNÄS</t>
        </is>
      </c>
      <c r="G343" t="n">
        <v>37</v>
      </c>
      <c r="H343" t="n">
        <v>2</v>
      </c>
      <c r="I343" t="n">
        <v>0</v>
      </c>
      <c r="J343" t="n">
        <v>0</v>
      </c>
      <c r="K343" t="n">
        <v>0</v>
      </c>
      <c r="L343" t="n">
        <v>0</v>
      </c>
      <c r="M343" t="n">
        <v>0</v>
      </c>
      <c r="N343" t="n">
        <v>0</v>
      </c>
      <c r="O343" t="n">
        <v>0</v>
      </c>
      <c r="P343" t="n">
        <v>0</v>
      </c>
      <c r="Q343" t="n">
        <v>2</v>
      </c>
      <c r="R343" s="2" t="inlineStr">
        <is>
          <t>Fläcknycklar
Revlummer</t>
        </is>
      </c>
      <c r="S343">
        <f>HYPERLINK("https://klasma.github.io/Logging_2183/artfynd/A 633-2026 artfynd.xlsx", "A 633-2026")</f>
        <v/>
      </c>
      <c r="T343">
        <f>HYPERLINK("https://klasma.github.io/Logging_2183/kartor/A 633-2026 karta.png", "A 633-2026")</f>
        <v/>
      </c>
      <c r="V343">
        <f>HYPERLINK("https://klasma.github.io/Logging_2183/klagomål/A 633-2026 FSC-klagomål.docx", "A 633-2026")</f>
        <v/>
      </c>
      <c r="W343">
        <f>HYPERLINK("https://klasma.github.io/Logging_2183/klagomålsmail/A 633-2026 FSC-klagomål mail.docx", "A 633-2026")</f>
        <v/>
      </c>
      <c r="X343">
        <f>HYPERLINK("https://klasma.github.io/Logging_2183/tillsyn/A 633-2026 tillsynsbegäran.docx", "A 633-2026")</f>
        <v/>
      </c>
      <c r="Y343">
        <f>HYPERLINK("https://klasma.github.io/Logging_2183/tillsynsmail/A 633-2026 tillsynsbegäran mail.docx", "A 633-2026")</f>
        <v/>
      </c>
    </row>
    <row r="344" ht="15" customHeight="1">
      <c r="A344" t="inlineStr">
        <is>
          <t>A 2857-2025</t>
        </is>
      </c>
      <c r="B344" s="1" t="n">
        <v>45677.66832175926</v>
      </c>
      <c r="C344" s="1" t="n">
        <v>46086</v>
      </c>
      <c r="D344" t="inlineStr">
        <is>
          <t>GÄVLEBORGS LÄN</t>
        </is>
      </c>
      <c r="E344" t="inlineStr">
        <is>
          <t>SANDVIKEN</t>
        </is>
      </c>
      <c r="G344" t="n">
        <v>1.3</v>
      </c>
      <c r="H344" t="n">
        <v>0</v>
      </c>
      <c r="I344" t="n">
        <v>2</v>
      </c>
      <c r="J344" t="n">
        <v>0</v>
      </c>
      <c r="K344" t="n">
        <v>0</v>
      </c>
      <c r="L344" t="n">
        <v>0</v>
      </c>
      <c r="M344" t="n">
        <v>0</v>
      </c>
      <c r="N344" t="n">
        <v>0</v>
      </c>
      <c r="O344" t="n">
        <v>0</v>
      </c>
      <c r="P344" t="n">
        <v>0</v>
      </c>
      <c r="Q344" t="n">
        <v>2</v>
      </c>
      <c r="R344" s="2" t="inlineStr">
        <is>
          <t>Bronshjon
Thomsons trägnagare</t>
        </is>
      </c>
      <c r="S344">
        <f>HYPERLINK("https://klasma.github.io/Logging_2181/artfynd/A 2857-2025 artfynd.xlsx", "A 2857-2025")</f>
        <v/>
      </c>
      <c r="T344">
        <f>HYPERLINK("https://klasma.github.io/Logging_2181/kartor/A 2857-2025 karta.png", "A 2857-2025")</f>
        <v/>
      </c>
      <c r="V344">
        <f>HYPERLINK("https://klasma.github.io/Logging_2181/klagomål/A 2857-2025 FSC-klagomål.docx", "A 2857-2025")</f>
        <v/>
      </c>
      <c r="W344">
        <f>HYPERLINK("https://klasma.github.io/Logging_2181/klagomålsmail/A 2857-2025 FSC-klagomål mail.docx", "A 2857-2025")</f>
        <v/>
      </c>
      <c r="X344">
        <f>HYPERLINK("https://klasma.github.io/Logging_2181/tillsyn/A 2857-2025 tillsynsbegäran.docx", "A 2857-2025")</f>
        <v/>
      </c>
      <c r="Y344">
        <f>HYPERLINK("https://klasma.github.io/Logging_2181/tillsynsmail/A 2857-2025 tillsynsbegäran mail.docx", "A 2857-2025")</f>
        <v/>
      </c>
    </row>
    <row r="345" ht="15" customHeight="1">
      <c r="A345" t="inlineStr">
        <is>
          <t>A 59431-2025</t>
        </is>
      </c>
      <c r="B345" s="1" t="n">
        <v>45989.55064814815</v>
      </c>
      <c r="C345" s="1" t="n">
        <v>46086</v>
      </c>
      <c r="D345" t="inlineStr">
        <is>
          <t>GÄVLEBORGS LÄN</t>
        </is>
      </c>
      <c r="E345" t="inlineStr">
        <is>
          <t>BOLLNÄS</t>
        </is>
      </c>
      <c r="G345" t="n">
        <v>5.4</v>
      </c>
      <c r="H345" t="n">
        <v>0</v>
      </c>
      <c r="I345" t="n">
        <v>1</v>
      </c>
      <c r="J345" t="n">
        <v>1</v>
      </c>
      <c r="K345" t="n">
        <v>0</v>
      </c>
      <c r="L345" t="n">
        <v>0</v>
      </c>
      <c r="M345" t="n">
        <v>0</v>
      </c>
      <c r="N345" t="n">
        <v>0</v>
      </c>
      <c r="O345" t="n">
        <v>1</v>
      </c>
      <c r="P345" t="n">
        <v>0</v>
      </c>
      <c r="Q345" t="n">
        <v>2</v>
      </c>
      <c r="R345" s="2" t="inlineStr">
        <is>
          <t>Kolflarnlav
Bollvitmossa</t>
        </is>
      </c>
      <c r="S345">
        <f>HYPERLINK("https://klasma.github.io/Logging_2183/artfynd/A 59431-2025 artfynd.xlsx", "A 59431-2025")</f>
        <v/>
      </c>
      <c r="T345">
        <f>HYPERLINK("https://klasma.github.io/Logging_2183/kartor/A 59431-2025 karta.png", "A 59431-2025")</f>
        <v/>
      </c>
      <c r="V345">
        <f>HYPERLINK("https://klasma.github.io/Logging_2183/klagomål/A 59431-2025 FSC-klagomål.docx", "A 59431-2025")</f>
        <v/>
      </c>
      <c r="W345">
        <f>HYPERLINK("https://klasma.github.io/Logging_2183/klagomålsmail/A 59431-2025 FSC-klagomål mail.docx", "A 59431-2025")</f>
        <v/>
      </c>
      <c r="X345">
        <f>HYPERLINK("https://klasma.github.io/Logging_2183/tillsyn/A 59431-2025 tillsynsbegäran.docx", "A 59431-2025")</f>
        <v/>
      </c>
      <c r="Y345">
        <f>HYPERLINK("https://klasma.github.io/Logging_2183/tillsynsmail/A 59431-2025 tillsynsbegäran mail.docx", "A 59431-2025")</f>
        <v/>
      </c>
    </row>
    <row r="346" ht="15" customHeight="1">
      <c r="A346" t="inlineStr">
        <is>
          <t>A 35741-2025</t>
        </is>
      </c>
      <c r="B346" s="1" t="n">
        <v>45860</v>
      </c>
      <c r="C346" s="1" t="n">
        <v>46086</v>
      </c>
      <c r="D346" t="inlineStr">
        <is>
          <t>GÄVLEBORGS LÄN</t>
        </is>
      </c>
      <c r="E346" t="inlineStr">
        <is>
          <t>HOFORS</t>
        </is>
      </c>
      <c r="F346" t="inlineStr">
        <is>
          <t>Sveaskog</t>
        </is>
      </c>
      <c r="G346" t="n">
        <v>3.9</v>
      </c>
      <c r="H346" t="n">
        <v>1</v>
      </c>
      <c r="I346" t="n">
        <v>0</v>
      </c>
      <c r="J346" t="n">
        <v>1</v>
      </c>
      <c r="K346" t="n">
        <v>1</v>
      </c>
      <c r="L346" t="n">
        <v>0</v>
      </c>
      <c r="M346" t="n">
        <v>0</v>
      </c>
      <c r="N346" t="n">
        <v>0</v>
      </c>
      <c r="O346" t="n">
        <v>2</v>
      </c>
      <c r="P346" t="n">
        <v>1</v>
      </c>
      <c r="Q346" t="n">
        <v>2</v>
      </c>
      <c r="R346" s="2" t="inlineStr">
        <is>
          <t>Knärot
Vedskivlav</t>
        </is>
      </c>
      <c r="S346">
        <f>HYPERLINK("https://klasma.github.io/Logging_2104/artfynd/A 35741-2025 artfynd.xlsx", "A 35741-2025")</f>
        <v/>
      </c>
      <c r="T346">
        <f>HYPERLINK("https://klasma.github.io/Logging_2104/kartor/A 35741-2025 karta.png", "A 35741-2025")</f>
        <v/>
      </c>
      <c r="U346">
        <f>HYPERLINK("https://klasma.github.io/Logging_2104/knärot/A 35741-2025 karta knärot.png", "A 35741-2025")</f>
        <v/>
      </c>
      <c r="V346">
        <f>HYPERLINK("https://klasma.github.io/Logging_2104/klagomål/A 35741-2025 FSC-klagomål.docx", "A 35741-2025")</f>
        <v/>
      </c>
      <c r="W346">
        <f>HYPERLINK("https://klasma.github.io/Logging_2104/klagomålsmail/A 35741-2025 FSC-klagomål mail.docx", "A 35741-2025")</f>
        <v/>
      </c>
      <c r="X346">
        <f>HYPERLINK("https://klasma.github.io/Logging_2104/tillsyn/A 35741-2025 tillsynsbegäran.docx", "A 35741-2025")</f>
        <v/>
      </c>
      <c r="Y346">
        <f>HYPERLINK("https://klasma.github.io/Logging_2104/tillsynsmail/A 35741-2025 tillsynsbegäran mail.docx", "A 35741-2025")</f>
        <v/>
      </c>
    </row>
    <row r="347" ht="15" customHeight="1">
      <c r="A347" t="inlineStr">
        <is>
          <t>A 60231-2025</t>
        </is>
      </c>
      <c r="B347" s="1" t="n">
        <v>45994.57239583333</v>
      </c>
      <c r="C347" s="1" t="n">
        <v>46086</v>
      </c>
      <c r="D347" t="inlineStr">
        <is>
          <t>GÄVLEBORGS LÄN</t>
        </is>
      </c>
      <c r="E347" t="inlineStr">
        <is>
          <t>NORDANSTIG</t>
        </is>
      </c>
      <c r="G347" t="n">
        <v>5.2</v>
      </c>
      <c r="H347" t="n">
        <v>1</v>
      </c>
      <c r="I347" t="n">
        <v>1</v>
      </c>
      <c r="J347" t="n">
        <v>0</v>
      </c>
      <c r="K347" t="n">
        <v>0</v>
      </c>
      <c r="L347" t="n">
        <v>0</v>
      </c>
      <c r="M347" t="n">
        <v>0</v>
      </c>
      <c r="N347" t="n">
        <v>0</v>
      </c>
      <c r="O347" t="n">
        <v>0</v>
      </c>
      <c r="P347" t="n">
        <v>0</v>
      </c>
      <c r="Q347" t="n">
        <v>2</v>
      </c>
      <c r="R347" s="2" t="inlineStr">
        <is>
          <t>Dropptaggsvamp
Revlummer</t>
        </is>
      </c>
      <c r="S347">
        <f>HYPERLINK("https://klasma.github.io/Logging_2132/artfynd/A 60231-2025 artfynd.xlsx", "A 60231-2025")</f>
        <v/>
      </c>
      <c r="T347">
        <f>HYPERLINK("https://klasma.github.io/Logging_2132/kartor/A 60231-2025 karta.png", "A 60231-2025")</f>
        <v/>
      </c>
      <c r="V347">
        <f>HYPERLINK("https://klasma.github.io/Logging_2132/klagomål/A 60231-2025 FSC-klagomål.docx", "A 60231-2025")</f>
        <v/>
      </c>
      <c r="W347">
        <f>HYPERLINK("https://klasma.github.io/Logging_2132/klagomålsmail/A 60231-2025 FSC-klagomål mail.docx", "A 60231-2025")</f>
        <v/>
      </c>
      <c r="X347">
        <f>HYPERLINK("https://klasma.github.io/Logging_2132/tillsyn/A 60231-2025 tillsynsbegäran.docx", "A 60231-2025")</f>
        <v/>
      </c>
      <c r="Y347">
        <f>HYPERLINK("https://klasma.github.io/Logging_2132/tillsynsmail/A 60231-2025 tillsynsbegäran mail.docx", "A 60231-2025")</f>
        <v/>
      </c>
    </row>
    <row r="348" ht="15" customHeight="1">
      <c r="A348" t="inlineStr">
        <is>
          <t>A 60202-2025</t>
        </is>
      </c>
      <c r="B348" s="1" t="n">
        <v>45994.49478009259</v>
      </c>
      <c r="C348" s="1" t="n">
        <v>46086</v>
      </c>
      <c r="D348" t="inlineStr">
        <is>
          <t>GÄVLEBORGS LÄN</t>
        </is>
      </c>
      <c r="E348" t="inlineStr">
        <is>
          <t>GÄVLE</t>
        </is>
      </c>
      <c r="G348" t="n">
        <v>4.3</v>
      </c>
      <c r="H348" t="n">
        <v>1</v>
      </c>
      <c r="I348" t="n">
        <v>0</v>
      </c>
      <c r="J348" t="n">
        <v>2</v>
      </c>
      <c r="K348" t="n">
        <v>0</v>
      </c>
      <c r="L348" t="n">
        <v>0</v>
      </c>
      <c r="M348" t="n">
        <v>0</v>
      </c>
      <c r="N348" t="n">
        <v>0</v>
      </c>
      <c r="O348" t="n">
        <v>2</v>
      </c>
      <c r="P348" t="n">
        <v>0</v>
      </c>
      <c r="Q348" t="n">
        <v>2</v>
      </c>
      <c r="R348" s="2" t="inlineStr">
        <is>
          <t>Garnlav
Spillkråka</t>
        </is>
      </c>
      <c r="S348">
        <f>HYPERLINK("https://klasma.github.io/Logging_2180/artfynd/A 60202-2025 artfynd.xlsx", "A 60202-2025")</f>
        <v/>
      </c>
      <c r="T348">
        <f>HYPERLINK("https://klasma.github.io/Logging_2180/kartor/A 60202-2025 karta.png", "A 60202-2025")</f>
        <v/>
      </c>
      <c r="V348">
        <f>HYPERLINK("https://klasma.github.io/Logging_2180/klagomål/A 60202-2025 FSC-klagomål.docx", "A 60202-2025")</f>
        <v/>
      </c>
      <c r="W348">
        <f>HYPERLINK("https://klasma.github.io/Logging_2180/klagomålsmail/A 60202-2025 FSC-klagomål mail.docx", "A 60202-2025")</f>
        <v/>
      </c>
      <c r="X348">
        <f>HYPERLINK("https://klasma.github.io/Logging_2180/tillsyn/A 60202-2025 tillsynsbegäran.docx", "A 60202-2025")</f>
        <v/>
      </c>
      <c r="Y348">
        <f>HYPERLINK("https://klasma.github.io/Logging_2180/tillsynsmail/A 60202-2025 tillsynsbegäran mail.docx", "A 60202-2025")</f>
        <v/>
      </c>
      <c r="Z348">
        <f>HYPERLINK("https://klasma.github.io/Logging_2180/fåglar/A 60202-2025 prioriterade fågelarter.docx", "A 60202-2025")</f>
        <v/>
      </c>
    </row>
    <row r="349" ht="15" customHeight="1">
      <c r="A349" t="inlineStr">
        <is>
          <t>A 30941-2024</t>
        </is>
      </c>
      <c r="B349" s="1" t="n">
        <v>45499.33694444445</v>
      </c>
      <c r="C349" s="1" t="n">
        <v>46086</v>
      </c>
      <c r="D349" t="inlineStr">
        <is>
          <t>GÄVLEBORGS LÄN</t>
        </is>
      </c>
      <c r="E349" t="inlineStr">
        <is>
          <t>OVANÅKER</t>
        </is>
      </c>
      <c r="F349" t="inlineStr">
        <is>
          <t>Sveaskog</t>
        </is>
      </c>
      <c r="G349" t="n">
        <v>3.3</v>
      </c>
      <c r="H349" t="n">
        <v>0</v>
      </c>
      <c r="I349" t="n">
        <v>0</v>
      </c>
      <c r="J349" t="n">
        <v>2</v>
      </c>
      <c r="K349" t="n">
        <v>0</v>
      </c>
      <c r="L349" t="n">
        <v>0</v>
      </c>
      <c r="M349" t="n">
        <v>0</v>
      </c>
      <c r="N349" t="n">
        <v>0</v>
      </c>
      <c r="O349" t="n">
        <v>2</v>
      </c>
      <c r="P349" t="n">
        <v>0</v>
      </c>
      <c r="Q349" t="n">
        <v>2</v>
      </c>
      <c r="R349" s="2" t="inlineStr">
        <is>
          <t>Lunglav
Skrovellav</t>
        </is>
      </c>
      <c r="S349">
        <f>HYPERLINK("https://klasma.github.io/Logging_2121/artfynd/A 30941-2024 artfynd.xlsx", "A 30941-2024")</f>
        <v/>
      </c>
      <c r="T349">
        <f>HYPERLINK("https://klasma.github.io/Logging_2121/kartor/A 30941-2024 karta.png", "A 30941-2024")</f>
        <v/>
      </c>
      <c r="V349">
        <f>HYPERLINK("https://klasma.github.io/Logging_2121/klagomål/A 30941-2024 FSC-klagomål.docx", "A 30941-2024")</f>
        <v/>
      </c>
      <c r="W349">
        <f>HYPERLINK("https://klasma.github.io/Logging_2121/klagomålsmail/A 30941-2024 FSC-klagomål mail.docx", "A 30941-2024")</f>
        <v/>
      </c>
      <c r="X349">
        <f>HYPERLINK("https://klasma.github.io/Logging_2121/tillsyn/A 30941-2024 tillsynsbegäran.docx", "A 30941-2024")</f>
        <v/>
      </c>
      <c r="Y349">
        <f>HYPERLINK("https://klasma.github.io/Logging_2121/tillsynsmail/A 30941-2024 tillsynsbegäran mail.docx", "A 30941-2024")</f>
        <v/>
      </c>
    </row>
    <row r="350" ht="15" customHeight="1">
      <c r="A350" t="inlineStr">
        <is>
          <t>A 5020-2026</t>
        </is>
      </c>
      <c r="B350" s="1" t="n">
        <v>46049.43936342592</v>
      </c>
      <c r="C350" s="1" t="n">
        <v>46086</v>
      </c>
      <c r="D350" t="inlineStr">
        <is>
          <t>GÄVLEBORGS LÄN</t>
        </is>
      </c>
      <c r="E350" t="inlineStr">
        <is>
          <t>SANDVIKEN</t>
        </is>
      </c>
      <c r="F350" t="inlineStr">
        <is>
          <t>Kommuner</t>
        </is>
      </c>
      <c r="G350" t="n">
        <v>2.1</v>
      </c>
      <c r="H350" t="n">
        <v>0</v>
      </c>
      <c r="I350" t="n">
        <v>0</v>
      </c>
      <c r="J350" t="n">
        <v>2</v>
      </c>
      <c r="K350" t="n">
        <v>0</v>
      </c>
      <c r="L350" t="n">
        <v>0</v>
      </c>
      <c r="M350" t="n">
        <v>0</v>
      </c>
      <c r="N350" t="n">
        <v>0</v>
      </c>
      <c r="O350" t="n">
        <v>2</v>
      </c>
      <c r="P350" t="n">
        <v>0</v>
      </c>
      <c r="Q350" t="n">
        <v>2</v>
      </c>
      <c r="R350" s="2" t="inlineStr">
        <is>
          <t>Dofttaggsvamp
Orange taggsvamp</t>
        </is>
      </c>
      <c r="S350">
        <f>HYPERLINK("https://klasma.github.io/Logging_2181/artfynd/A 5020-2026 artfynd.xlsx", "A 5020-2026")</f>
        <v/>
      </c>
      <c r="T350">
        <f>HYPERLINK("https://klasma.github.io/Logging_2181/kartor/A 5020-2026 karta.png", "A 5020-2026")</f>
        <v/>
      </c>
      <c r="V350">
        <f>HYPERLINK("https://klasma.github.io/Logging_2181/klagomål/A 5020-2026 FSC-klagomål.docx", "A 5020-2026")</f>
        <v/>
      </c>
      <c r="W350">
        <f>HYPERLINK("https://klasma.github.io/Logging_2181/klagomålsmail/A 5020-2026 FSC-klagomål mail.docx", "A 5020-2026")</f>
        <v/>
      </c>
      <c r="X350">
        <f>HYPERLINK("https://klasma.github.io/Logging_2181/tillsyn/A 5020-2026 tillsynsbegäran.docx", "A 5020-2026")</f>
        <v/>
      </c>
      <c r="Y350">
        <f>HYPERLINK("https://klasma.github.io/Logging_2181/tillsynsmail/A 5020-2026 tillsynsbegäran mail.docx", "A 5020-2026")</f>
        <v/>
      </c>
    </row>
    <row r="351" ht="15" customHeight="1">
      <c r="A351" t="inlineStr">
        <is>
          <t>A 5347-2026</t>
        </is>
      </c>
      <c r="B351" s="1" t="n">
        <v>46050.43341435185</v>
      </c>
      <c r="C351" s="1" t="n">
        <v>46086</v>
      </c>
      <c r="D351" t="inlineStr">
        <is>
          <t>GÄVLEBORGS LÄN</t>
        </is>
      </c>
      <c r="E351" t="inlineStr">
        <is>
          <t>OVANÅKER</t>
        </is>
      </c>
      <c r="G351" t="n">
        <v>4.9</v>
      </c>
      <c r="H351" t="n">
        <v>1</v>
      </c>
      <c r="I351" t="n">
        <v>0</v>
      </c>
      <c r="J351" t="n">
        <v>1</v>
      </c>
      <c r="K351" t="n">
        <v>0</v>
      </c>
      <c r="L351" t="n">
        <v>0</v>
      </c>
      <c r="M351" t="n">
        <v>0</v>
      </c>
      <c r="N351" t="n">
        <v>0</v>
      </c>
      <c r="O351" t="n">
        <v>1</v>
      </c>
      <c r="P351" t="n">
        <v>0</v>
      </c>
      <c r="Q351" t="n">
        <v>2</v>
      </c>
      <c r="R351" s="2" t="inlineStr">
        <is>
          <t>Garnlav
Fläcknycklar</t>
        </is>
      </c>
      <c r="S351">
        <f>HYPERLINK("https://klasma.github.io/Logging_2121/artfynd/A 5347-2026 artfynd.xlsx", "A 5347-2026")</f>
        <v/>
      </c>
      <c r="T351">
        <f>HYPERLINK("https://klasma.github.io/Logging_2121/kartor/A 5347-2026 karta.png", "A 5347-2026")</f>
        <v/>
      </c>
      <c r="V351">
        <f>HYPERLINK("https://klasma.github.io/Logging_2121/klagomål/A 5347-2026 FSC-klagomål.docx", "A 5347-2026")</f>
        <v/>
      </c>
      <c r="W351">
        <f>HYPERLINK("https://klasma.github.io/Logging_2121/klagomålsmail/A 5347-2026 FSC-klagomål mail.docx", "A 5347-2026")</f>
        <v/>
      </c>
      <c r="X351">
        <f>HYPERLINK("https://klasma.github.io/Logging_2121/tillsyn/A 5347-2026 tillsynsbegäran.docx", "A 5347-2026")</f>
        <v/>
      </c>
      <c r="Y351">
        <f>HYPERLINK("https://klasma.github.io/Logging_2121/tillsynsmail/A 5347-2026 tillsynsbegäran mail.docx", "A 5347-2026")</f>
        <v/>
      </c>
    </row>
    <row r="352" ht="15" customHeight="1">
      <c r="A352" t="inlineStr">
        <is>
          <t>A 53562-2024</t>
        </is>
      </c>
      <c r="B352" s="1" t="n">
        <v>45614.65710648148</v>
      </c>
      <c r="C352" s="1" t="n">
        <v>46086</v>
      </c>
      <c r="D352" t="inlineStr">
        <is>
          <t>GÄVLEBORGS LÄN</t>
        </is>
      </c>
      <c r="E352" t="inlineStr">
        <is>
          <t>SÖDERHAMN</t>
        </is>
      </c>
      <c r="F352" t="inlineStr">
        <is>
          <t>Bergvik skog väst AB</t>
        </is>
      </c>
      <c r="G352" t="n">
        <v>3.6</v>
      </c>
      <c r="H352" t="n">
        <v>2</v>
      </c>
      <c r="I352" t="n">
        <v>0</v>
      </c>
      <c r="J352" t="n">
        <v>1</v>
      </c>
      <c r="K352" t="n">
        <v>0</v>
      </c>
      <c r="L352" t="n">
        <v>0</v>
      </c>
      <c r="M352" t="n">
        <v>0</v>
      </c>
      <c r="N352" t="n">
        <v>0</v>
      </c>
      <c r="O352" t="n">
        <v>1</v>
      </c>
      <c r="P352" t="n">
        <v>0</v>
      </c>
      <c r="Q352" t="n">
        <v>2</v>
      </c>
      <c r="R352" s="2" t="inlineStr">
        <is>
          <t>Havsörn
Fläcknycklar</t>
        </is>
      </c>
      <c r="S352">
        <f>HYPERLINK("https://klasma.github.io/Logging_2182/artfynd/A 53562-2024 artfynd.xlsx", "A 53562-2024")</f>
        <v/>
      </c>
      <c r="T352">
        <f>HYPERLINK("https://klasma.github.io/Logging_2182/kartor/A 53562-2024 karta.png", "A 53562-2024")</f>
        <v/>
      </c>
      <c r="V352">
        <f>HYPERLINK("https://klasma.github.io/Logging_2182/klagomål/A 53562-2024 FSC-klagomål.docx", "A 53562-2024")</f>
        <v/>
      </c>
      <c r="W352">
        <f>HYPERLINK("https://klasma.github.io/Logging_2182/klagomålsmail/A 53562-2024 FSC-klagomål mail.docx", "A 53562-2024")</f>
        <v/>
      </c>
      <c r="X352">
        <f>HYPERLINK("https://klasma.github.io/Logging_2182/tillsyn/A 53562-2024 tillsynsbegäran.docx", "A 53562-2024")</f>
        <v/>
      </c>
      <c r="Y352">
        <f>HYPERLINK("https://klasma.github.io/Logging_2182/tillsynsmail/A 53562-2024 tillsynsbegäran mail.docx", "A 53562-2024")</f>
        <v/>
      </c>
      <c r="Z352">
        <f>HYPERLINK("https://klasma.github.io/Logging_2182/fåglar/A 53562-2024 prioriterade fågelarter.docx", "A 53562-2024")</f>
        <v/>
      </c>
    </row>
    <row r="353" ht="15" customHeight="1">
      <c r="A353" t="inlineStr">
        <is>
          <t>A 6473-2024</t>
        </is>
      </c>
      <c r="B353" s="1" t="n">
        <v>45338</v>
      </c>
      <c r="C353" s="1" t="n">
        <v>46086</v>
      </c>
      <c r="D353" t="inlineStr">
        <is>
          <t>GÄVLEBORGS LÄN</t>
        </is>
      </c>
      <c r="E353" t="inlineStr">
        <is>
          <t>GÄVLE</t>
        </is>
      </c>
      <c r="G353" t="n">
        <v>4</v>
      </c>
      <c r="H353" t="n">
        <v>1</v>
      </c>
      <c r="I353" t="n">
        <v>1</v>
      </c>
      <c r="J353" t="n">
        <v>0</v>
      </c>
      <c r="K353" t="n">
        <v>0</v>
      </c>
      <c r="L353" t="n">
        <v>0</v>
      </c>
      <c r="M353" t="n">
        <v>0</v>
      </c>
      <c r="N353" t="n">
        <v>0</v>
      </c>
      <c r="O353" t="n">
        <v>0</v>
      </c>
      <c r="P353" t="n">
        <v>0</v>
      </c>
      <c r="Q353" t="n">
        <v>2</v>
      </c>
      <c r="R353" s="2" t="inlineStr">
        <is>
          <t>Tibast
Nattviol</t>
        </is>
      </c>
      <c r="S353">
        <f>HYPERLINK("https://klasma.github.io/Logging_2180/artfynd/A 6473-2024 artfynd.xlsx", "A 6473-2024")</f>
        <v/>
      </c>
      <c r="T353">
        <f>HYPERLINK("https://klasma.github.io/Logging_2180/kartor/A 6473-2024 karta.png", "A 6473-2024")</f>
        <v/>
      </c>
      <c r="V353">
        <f>HYPERLINK("https://klasma.github.io/Logging_2180/klagomål/A 6473-2024 FSC-klagomål.docx", "A 6473-2024")</f>
        <v/>
      </c>
      <c r="W353">
        <f>HYPERLINK("https://klasma.github.io/Logging_2180/klagomålsmail/A 6473-2024 FSC-klagomål mail.docx", "A 6473-2024")</f>
        <v/>
      </c>
      <c r="X353">
        <f>HYPERLINK("https://klasma.github.io/Logging_2180/tillsyn/A 6473-2024 tillsynsbegäran.docx", "A 6473-2024")</f>
        <v/>
      </c>
      <c r="Y353">
        <f>HYPERLINK("https://klasma.github.io/Logging_2180/tillsynsmail/A 6473-2024 tillsynsbegäran mail.docx", "A 6473-2024")</f>
        <v/>
      </c>
    </row>
    <row r="354" ht="15" customHeight="1">
      <c r="A354" t="inlineStr">
        <is>
          <t>A 4501-2026</t>
        </is>
      </c>
      <c r="B354" s="1" t="n">
        <v>46045</v>
      </c>
      <c r="C354" s="1" t="n">
        <v>46086</v>
      </c>
      <c r="D354" t="inlineStr">
        <is>
          <t>GÄVLEBORGS LÄN</t>
        </is>
      </c>
      <c r="E354" t="inlineStr">
        <is>
          <t>SANDVIKEN</t>
        </is>
      </c>
      <c r="G354" t="n">
        <v>7.3</v>
      </c>
      <c r="H354" t="n">
        <v>1</v>
      </c>
      <c r="I354" t="n">
        <v>1</v>
      </c>
      <c r="J354" t="n">
        <v>0</v>
      </c>
      <c r="K354" t="n">
        <v>0</v>
      </c>
      <c r="L354" t="n">
        <v>0</v>
      </c>
      <c r="M354" t="n">
        <v>0</v>
      </c>
      <c r="N354" t="n">
        <v>0</v>
      </c>
      <c r="O354" t="n">
        <v>0</v>
      </c>
      <c r="P354" t="n">
        <v>0</v>
      </c>
      <c r="Q354" t="n">
        <v>2</v>
      </c>
      <c r="R354" s="2" t="inlineStr">
        <is>
          <t>Björksplintborre
Fläcknycklar</t>
        </is>
      </c>
      <c r="S354">
        <f>HYPERLINK("https://klasma.github.io/Logging_2181/artfynd/A 4501-2026 artfynd.xlsx", "A 4501-2026")</f>
        <v/>
      </c>
      <c r="T354">
        <f>HYPERLINK("https://klasma.github.io/Logging_2181/kartor/A 4501-2026 karta.png", "A 4501-2026")</f>
        <v/>
      </c>
      <c r="V354">
        <f>HYPERLINK("https://klasma.github.io/Logging_2181/klagomål/A 4501-2026 FSC-klagomål.docx", "A 4501-2026")</f>
        <v/>
      </c>
      <c r="W354">
        <f>HYPERLINK("https://klasma.github.io/Logging_2181/klagomålsmail/A 4501-2026 FSC-klagomål mail.docx", "A 4501-2026")</f>
        <v/>
      </c>
      <c r="X354">
        <f>HYPERLINK("https://klasma.github.io/Logging_2181/tillsyn/A 4501-2026 tillsynsbegäran.docx", "A 4501-2026")</f>
        <v/>
      </c>
      <c r="Y354">
        <f>HYPERLINK("https://klasma.github.io/Logging_2181/tillsynsmail/A 4501-2026 tillsynsbegäran mail.docx", "A 4501-2026")</f>
        <v/>
      </c>
    </row>
    <row r="355" ht="15" customHeight="1">
      <c r="A355" t="inlineStr">
        <is>
          <t>A 45270-2024</t>
        </is>
      </c>
      <c r="B355" s="1" t="n">
        <v>45576.35777777778</v>
      </c>
      <c r="C355" s="1" t="n">
        <v>46086</v>
      </c>
      <c r="D355" t="inlineStr">
        <is>
          <t>GÄVLEBORGS LÄN</t>
        </is>
      </c>
      <c r="E355" t="inlineStr">
        <is>
          <t>LJUSDAL</t>
        </is>
      </c>
      <c r="F355" t="inlineStr">
        <is>
          <t>Sveaskog</t>
        </is>
      </c>
      <c r="G355" t="n">
        <v>5</v>
      </c>
      <c r="H355" t="n">
        <v>0</v>
      </c>
      <c r="I355" t="n">
        <v>0</v>
      </c>
      <c r="J355" t="n">
        <v>2</v>
      </c>
      <c r="K355" t="n">
        <v>0</v>
      </c>
      <c r="L355" t="n">
        <v>0</v>
      </c>
      <c r="M355" t="n">
        <v>0</v>
      </c>
      <c r="N355" t="n">
        <v>0</v>
      </c>
      <c r="O355" t="n">
        <v>2</v>
      </c>
      <c r="P355" t="n">
        <v>0</v>
      </c>
      <c r="Q355" t="n">
        <v>2</v>
      </c>
      <c r="R355" s="2" t="inlineStr">
        <is>
          <t>Kolflarnlav
Mörk kolflarnlav</t>
        </is>
      </c>
      <c r="S355">
        <f>HYPERLINK("https://klasma.github.io/Logging_2161/artfynd/A 45270-2024 artfynd.xlsx", "A 45270-2024")</f>
        <v/>
      </c>
      <c r="T355">
        <f>HYPERLINK("https://klasma.github.io/Logging_2161/kartor/A 45270-2024 karta.png", "A 45270-2024")</f>
        <v/>
      </c>
      <c r="V355">
        <f>HYPERLINK("https://klasma.github.io/Logging_2161/klagomål/A 45270-2024 FSC-klagomål.docx", "A 45270-2024")</f>
        <v/>
      </c>
      <c r="W355">
        <f>HYPERLINK("https://klasma.github.io/Logging_2161/klagomålsmail/A 45270-2024 FSC-klagomål mail.docx", "A 45270-2024")</f>
        <v/>
      </c>
      <c r="X355">
        <f>HYPERLINK("https://klasma.github.io/Logging_2161/tillsyn/A 45270-2024 tillsynsbegäran.docx", "A 45270-2024")</f>
        <v/>
      </c>
      <c r="Y355">
        <f>HYPERLINK("https://klasma.github.io/Logging_2161/tillsynsmail/A 45270-2024 tillsynsbegäran mail.docx", "A 45270-2024")</f>
        <v/>
      </c>
    </row>
    <row r="356" ht="15" customHeight="1">
      <c r="A356" t="inlineStr">
        <is>
          <t>A 63918-2025</t>
        </is>
      </c>
      <c r="B356" s="1" t="n">
        <v>46020</v>
      </c>
      <c r="C356" s="1" t="n">
        <v>46086</v>
      </c>
      <c r="D356" t="inlineStr">
        <is>
          <t>GÄVLEBORGS LÄN</t>
        </is>
      </c>
      <c r="E356" t="inlineStr">
        <is>
          <t>HUDIKSVALL</t>
        </is>
      </c>
      <c r="G356" t="n">
        <v>7.9</v>
      </c>
      <c r="H356" t="n">
        <v>1</v>
      </c>
      <c r="I356" t="n">
        <v>1</v>
      </c>
      <c r="J356" t="n">
        <v>1</v>
      </c>
      <c r="K356" t="n">
        <v>0</v>
      </c>
      <c r="L356" t="n">
        <v>0</v>
      </c>
      <c r="M356" t="n">
        <v>0</v>
      </c>
      <c r="N356" t="n">
        <v>0</v>
      </c>
      <c r="O356" t="n">
        <v>1</v>
      </c>
      <c r="P356" t="n">
        <v>0</v>
      </c>
      <c r="Q356" t="n">
        <v>2</v>
      </c>
      <c r="R356" s="2" t="inlineStr">
        <is>
          <t>Talltita
Trådticka</t>
        </is>
      </c>
      <c r="S356">
        <f>HYPERLINK("https://klasma.github.io/Logging_2184/artfynd/A 63918-2025 artfynd.xlsx", "A 63918-2025")</f>
        <v/>
      </c>
      <c r="T356">
        <f>HYPERLINK("https://klasma.github.io/Logging_2184/kartor/A 63918-2025 karta.png", "A 63918-2025")</f>
        <v/>
      </c>
      <c r="V356">
        <f>HYPERLINK("https://klasma.github.io/Logging_2184/klagomål/A 63918-2025 FSC-klagomål.docx", "A 63918-2025")</f>
        <v/>
      </c>
      <c r="W356">
        <f>HYPERLINK("https://klasma.github.io/Logging_2184/klagomålsmail/A 63918-2025 FSC-klagomål mail.docx", "A 63918-2025")</f>
        <v/>
      </c>
      <c r="X356">
        <f>HYPERLINK("https://klasma.github.io/Logging_2184/tillsyn/A 63918-2025 tillsynsbegäran.docx", "A 63918-2025")</f>
        <v/>
      </c>
      <c r="Y356">
        <f>HYPERLINK("https://klasma.github.io/Logging_2184/tillsynsmail/A 63918-2025 tillsynsbegäran mail.docx", "A 63918-2025")</f>
        <v/>
      </c>
      <c r="Z356">
        <f>HYPERLINK("https://klasma.github.io/Logging_2184/fåglar/A 63918-2025 prioriterade fågelarter.docx", "A 63918-2025")</f>
        <v/>
      </c>
    </row>
    <row r="357" ht="15" customHeight="1">
      <c r="A357" t="inlineStr">
        <is>
          <t>A 8347-2026</t>
        </is>
      </c>
      <c r="B357" s="1" t="n">
        <v>46064.64020833333</v>
      </c>
      <c r="C357" s="1" t="n">
        <v>46086</v>
      </c>
      <c r="D357" t="inlineStr">
        <is>
          <t>GÄVLEBORGS LÄN</t>
        </is>
      </c>
      <c r="E357" t="inlineStr">
        <is>
          <t>HOFORS</t>
        </is>
      </c>
      <c r="G357" t="n">
        <v>0.9</v>
      </c>
      <c r="H357" t="n">
        <v>0</v>
      </c>
      <c r="I357" t="n">
        <v>2</v>
      </c>
      <c r="J357" t="n">
        <v>0</v>
      </c>
      <c r="K357" t="n">
        <v>0</v>
      </c>
      <c r="L357" t="n">
        <v>0</v>
      </c>
      <c r="M357" t="n">
        <v>0</v>
      </c>
      <c r="N357" t="n">
        <v>0</v>
      </c>
      <c r="O357" t="n">
        <v>0</v>
      </c>
      <c r="P357" t="n">
        <v>0</v>
      </c>
      <c r="Q357" t="n">
        <v>2</v>
      </c>
      <c r="R357" s="2" t="inlineStr">
        <is>
          <t>Sotriska
Trådticka</t>
        </is>
      </c>
      <c r="S357">
        <f>HYPERLINK("https://klasma.github.io/Logging_2104/artfynd/A 8347-2026 artfynd.xlsx", "A 8347-2026")</f>
        <v/>
      </c>
      <c r="T357">
        <f>HYPERLINK("https://klasma.github.io/Logging_2104/kartor/A 8347-2026 karta.png", "A 8347-2026")</f>
        <v/>
      </c>
      <c r="V357">
        <f>HYPERLINK("https://klasma.github.io/Logging_2104/klagomål/A 8347-2026 FSC-klagomål.docx", "A 8347-2026")</f>
        <v/>
      </c>
      <c r="W357">
        <f>HYPERLINK("https://klasma.github.io/Logging_2104/klagomålsmail/A 8347-2026 FSC-klagomål mail.docx", "A 8347-2026")</f>
        <v/>
      </c>
      <c r="X357">
        <f>HYPERLINK("https://klasma.github.io/Logging_2104/tillsyn/A 8347-2026 tillsynsbegäran.docx", "A 8347-2026")</f>
        <v/>
      </c>
      <c r="Y357">
        <f>HYPERLINK("https://klasma.github.io/Logging_2104/tillsynsmail/A 8347-2026 tillsynsbegäran mail.docx", "A 8347-2026")</f>
        <v/>
      </c>
    </row>
    <row r="358" ht="15" customHeight="1">
      <c r="A358" t="inlineStr">
        <is>
          <t>A 6288-2025</t>
        </is>
      </c>
      <c r="B358" s="1" t="n">
        <v>45698.64865740741</v>
      </c>
      <c r="C358" s="1" t="n">
        <v>46086</v>
      </c>
      <c r="D358" t="inlineStr">
        <is>
          <t>GÄVLEBORGS LÄN</t>
        </is>
      </c>
      <c r="E358" t="inlineStr">
        <is>
          <t>OVANÅKER</t>
        </is>
      </c>
      <c r="G358" t="n">
        <v>2.6</v>
      </c>
      <c r="H358" t="n">
        <v>0</v>
      </c>
      <c r="I358" t="n">
        <v>1</v>
      </c>
      <c r="J358" t="n">
        <v>1</v>
      </c>
      <c r="K358" t="n">
        <v>0</v>
      </c>
      <c r="L358" t="n">
        <v>0</v>
      </c>
      <c r="M358" t="n">
        <v>0</v>
      </c>
      <c r="N358" t="n">
        <v>0</v>
      </c>
      <c r="O358" t="n">
        <v>1</v>
      </c>
      <c r="P358" t="n">
        <v>0</v>
      </c>
      <c r="Q358" t="n">
        <v>2</v>
      </c>
      <c r="R358" s="2" t="inlineStr">
        <is>
          <t>Stiftgelélav
Skinnlav</t>
        </is>
      </c>
      <c r="S358">
        <f>HYPERLINK("https://klasma.github.io/Logging_2121/artfynd/A 6288-2025 artfynd.xlsx", "A 6288-2025")</f>
        <v/>
      </c>
      <c r="T358">
        <f>HYPERLINK("https://klasma.github.io/Logging_2121/kartor/A 6288-2025 karta.png", "A 6288-2025")</f>
        <v/>
      </c>
      <c r="V358">
        <f>HYPERLINK("https://klasma.github.io/Logging_2121/klagomål/A 6288-2025 FSC-klagomål.docx", "A 6288-2025")</f>
        <v/>
      </c>
      <c r="W358">
        <f>HYPERLINK("https://klasma.github.io/Logging_2121/klagomålsmail/A 6288-2025 FSC-klagomål mail.docx", "A 6288-2025")</f>
        <v/>
      </c>
      <c r="X358">
        <f>HYPERLINK("https://klasma.github.io/Logging_2121/tillsyn/A 6288-2025 tillsynsbegäran.docx", "A 6288-2025")</f>
        <v/>
      </c>
      <c r="Y358">
        <f>HYPERLINK("https://klasma.github.io/Logging_2121/tillsynsmail/A 6288-2025 tillsynsbegäran mail.docx", "A 6288-2025")</f>
        <v/>
      </c>
    </row>
    <row r="359" ht="15" customHeight="1">
      <c r="A359" t="inlineStr">
        <is>
          <t>A 8376-2026</t>
        </is>
      </c>
      <c r="B359" s="1" t="n">
        <v>46064.75513888889</v>
      </c>
      <c r="C359" s="1" t="n">
        <v>46086</v>
      </c>
      <c r="D359" t="inlineStr">
        <is>
          <t>GÄVLEBORGS LÄN</t>
        </is>
      </c>
      <c r="E359" t="inlineStr">
        <is>
          <t>HUDIKSVALL</t>
        </is>
      </c>
      <c r="G359" t="n">
        <v>32.4</v>
      </c>
      <c r="H359" t="n">
        <v>2</v>
      </c>
      <c r="I359" t="n">
        <v>1</v>
      </c>
      <c r="J359" t="n">
        <v>0</v>
      </c>
      <c r="K359" t="n">
        <v>0</v>
      </c>
      <c r="L359" t="n">
        <v>0</v>
      </c>
      <c r="M359" t="n">
        <v>0</v>
      </c>
      <c r="N359" t="n">
        <v>0</v>
      </c>
      <c r="O359" t="n">
        <v>0</v>
      </c>
      <c r="P359" t="n">
        <v>0</v>
      </c>
      <c r="Q359" t="n">
        <v>2</v>
      </c>
      <c r="R359" s="2" t="inlineStr">
        <is>
          <t>Skogsknipprot
Fläcknycklar</t>
        </is>
      </c>
      <c r="S359">
        <f>HYPERLINK("https://klasma.github.io/Logging_2184/artfynd/A 8376-2026 artfynd.xlsx", "A 8376-2026")</f>
        <v/>
      </c>
      <c r="T359">
        <f>HYPERLINK("https://klasma.github.io/Logging_2184/kartor/A 8376-2026 karta.png", "A 8376-2026")</f>
        <v/>
      </c>
      <c r="V359">
        <f>HYPERLINK("https://klasma.github.io/Logging_2184/klagomål/A 8376-2026 FSC-klagomål.docx", "A 8376-2026")</f>
        <v/>
      </c>
      <c r="W359">
        <f>HYPERLINK("https://klasma.github.io/Logging_2184/klagomålsmail/A 8376-2026 FSC-klagomål mail.docx", "A 8376-2026")</f>
        <v/>
      </c>
      <c r="X359">
        <f>HYPERLINK("https://klasma.github.io/Logging_2184/tillsyn/A 8376-2026 tillsynsbegäran.docx", "A 8376-2026")</f>
        <v/>
      </c>
      <c r="Y359">
        <f>HYPERLINK("https://klasma.github.io/Logging_2184/tillsynsmail/A 8376-2026 tillsynsbegäran mail.docx", "A 8376-2026")</f>
        <v/>
      </c>
    </row>
    <row r="360" ht="15" customHeight="1">
      <c r="A360" t="inlineStr">
        <is>
          <t>A 20247-2025</t>
        </is>
      </c>
      <c r="B360" s="1" t="n">
        <v>45772.7460300926</v>
      </c>
      <c r="C360" s="1" t="n">
        <v>46086</v>
      </c>
      <c r="D360" t="inlineStr">
        <is>
          <t>GÄVLEBORGS LÄN</t>
        </is>
      </c>
      <c r="E360" t="inlineStr">
        <is>
          <t>LJUSDAL</t>
        </is>
      </c>
      <c r="F360" t="inlineStr">
        <is>
          <t>Sveaskog</t>
        </is>
      </c>
      <c r="G360" t="n">
        <v>6</v>
      </c>
      <c r="H360" t="n">
        <v>0</v>
      </c>
      <c r="I360" t="n">
        <v>0</v>
      </c>
      <c r="J360" t="n">
        <v>2</v>
      </c>
      <c r="K360" t="n">
        <v>0</v>
      </c>
      <c r="L360" t="n">
        <v>0</v>
      </c>
      <c r="M360" t="n">
        <v>0</v>
      </c>
      <c r="N360" t="n">
        <v>0</v>
      </c>
      <c r="O360" t="n">
        <v>2</v>
      </c>
      <c r="P360" t="n">
        <v>0</v>
      </c>
      <c r="Q360" t="n">
        <v>2</v>
      </c>
      <c r="R360" s="2" t="inlineStr">
        <is>
          <t>Kolflarnlav
Lunglav</t>
        </is>
      </c>
      <c r="S360">
        <f>HYPERLINK("https://klasma.github.io/Logging_2161/artfynd/A 20247-2025 artfynd.xlsx", "A 20247-2025")</f>
        <v/>
      </c>
      <c r="T360">
        <f>HYPERLINK("https://klasma.github.io/Logging_2161/kartor/A 20247-2025 karta.png", "A 20247-2025")</f>
        <v/>
      </c>
      <c r="V360">
        <f>HYPERLINK("https://klasma.github.io/Logging_2161/klagomål/A 20247-2025 FSC-klagomål.docx", "A 20247-2025")</f>
        <v/>
      </c>
      <c r="W360">
        <f>HYPERLINK("https://klasma.github.io/Logging_2161/klagomålsmail/A 20247-2025 FSC-klagomål mail.docx", "A 20247-2025")</f>
        <v/>
      </c>
      <c r="X360">
        <f>HYPERLINK("https://klasma.github.io/Logging_2161/tillsyn/A 20247-2025 tillsynsbegäran.docx", "A 20247-2025")</f>
        <v/>
      </c>
      <c r="Y360">
        <f>HYPERLINK("https://klasma.github.io/Logging_2161/tillsynsmail/A 20247-2025 tillsynsbegäran mail.docx", "A 20247-2025")</f>
        <v/>
      </c>
    </row>
    <row r="361" ht="15" customHeight="1">
      <c r="A361" t="inlineStr">
        <is>
          <t>A 9190-2026</t>
        </is>
      </c>
      <c r="B361" s="1" t="n">
        <v>46070.38195601852</v>
      </c>
      <c r="C361" s="1" t="n">
        <v>46086</v>
      </c>
      <c r="D361" t="inlineStr">
        <is>
          <t>GÄVLEBORGS LÄN</t>
        </is>
      </c>
      <c r="E361" t="inlineStr">
        <is>
          <t>LJUSDAL</t>
        </is>
      </c>
      <c r="G361" t="n">
        <v>1.5</v>
      </c>
      <c r="H361" t="n">
        <v>2</v>
      </c>
      <c r="I361" t="n">
        <v>0</v>
      </c>
      <c r="J361" t="n">
        <v>0</v>
      </c>
      <c r="K361" t="n">
        <v>1</v>
      </c>
      <c r="L361" t="n">
        <v>0</v>
      </c>
      <c r="M361" t="n">
        <v>0</v>
      </c>
      <c r="N361" t="n">
        <v>0</v>
      </c>
      <c r="O361" t="n">
        <v>1</v>
      </c>
      <c r="P361" t="n">
        <v>1</v>
      </c>
      <c r="Q361" t="n">
        <v>2</v>
      </c>
      <c r="R361" s="2" t="inlineStr">
        <is>
          <t>Knärot
Nattviol</t>
        </is>
      </c>
      <c r="S361">
        <f>HYPERLINK("https://klasma.github.io/Logging_2161/artfynd/A 9190-2026 artfynd.xlsx", "A 9190-2026")</f>
        <v/>
      </c>
      <c r="T361">
        <f>HYPERLINK("https://klasma.github.io/Logging_2161/kartor/A 9190-2026 karta.png", "A 9190-2026")</f>
        <v/>
      </c>
      <c r="U361">
        <f>HYPERLINK("https://klasma.github.io/Logging_2161/knärot/A 9190-2026 karta knärot.png", "A 9190-2026")</f>
        <v/>
      </c>
      <c r="V361">
        <f>HYPERLINK("https://klasma.github.io/Logging_2161/klagomål/A 9190-2026 FSC-klagomål.docx", "A 9190-2026")</f>
        <v/>
      </c>
      <c r="W361">
        <f>HYPERLINK("https://klasma.github.io/Logging_2161/klagomålsmail/A 9190-2026 FSC-klagomål mail.docx", "A 9190-2026")</f>
        <v/>
      </c>
      <c r="X361">
        <f>HYPERLINK("https://klasma.github.io/Logging_2161/tillsyn/A 9190-2026 tillsynsbegäran.docx", "A 9190-2026")</f>
        <v/>
      </c>
      <c r="Y361">
        <f>HYPERLINK("https://klasma.github.io/Logging_2161/tillsynsmail/A 9190-2026 tillsynsbegäran mail.docx", "A 9190-2026")</f>
        <v/>
      </c>
    </row>
    <row r="362" ht="15" customHeight="1">
      <c r="A362" t="inlineStr">
        <is>
          <t>A 23504-2023</t>
        </is>
      </c>
      <c r="B362" s="1" t="n">
        <v>45076</v>
      </c>
      <c r="C362" s="1" t="n">
        <v>46086</v>
      </c>
      <c r="D362" t="inlineStr">
        <is>
          <t>GÄVLEBORGS LÄN</t>
        </is>
      </c>
      <c r="E362" t="inlineStr">
        <is>
          <t>BOLLNÄS</t>
        </is>
      </c>
      <c r="F362" t="inlineStr">
        <is>
          <t>Sveaskog</t>
        </is>
      </c>
      <c r="G362" t="n">
        <v>11.6</v>
      </c>
      <c r="H362" t="n">
        <v>2</v>
      </c>
      <c r="I362" t="n">
        <v>0</v>
      </c>
      <c r="J362" t="n">
        <v>0</v>
      </c>
      <c r="K362" t="n">
        <v>0</v>
      </c>
      <c r="L362" t="n">
        <v>0</v>
      </c>
      <c r="M362" t="n">
        <v>0</v>
      </c>
      <c r="N362" t="n">
        <v>0</v>
      </c>
      <c r="O362" t="n">
        <v>0</v>
      </c>
      <c r="P362" t="n">
        <v>0</v>
      </c>
      <c r="Q362" t="n">
        <v>2</v>
      </c>
      <c r="R362" s="2" t="inlineStr">
        <is>
          <t>Lavskrika
Fläcknycklar</t>
        </is>
      </c>
      <c r="S362">
        <f>HYPERLINK("https://klasma.github.io/Logging_2183/artfynd/A 23504-2023 artfynd.xlsx", "A 23504-2023")</f>
        <v/>
      </c>
      <c r="T362">
        <f>HYPERLINK("https://klasma.github.io/Logging_2183/kartor/A 23504-2023 karta.png", "A 23504-2023")</f>
        <v/>
      </c>
      <c r="V362">
        <f>HYPERLINK("https://klasma.github.io/Logging_2183/klagomål/A 23504-2023 FSC-klagomål.docx", "A 23504-2023")</f>
        <v/>
      </c>
      <c r="W362">
        <f>HYPERLINK("https://klasma.github.io/Logging_2183/klagomålsmail/A 23504-2023 FSC-klagomål mail.docx", "A 23504-2023")</f>
        <v/>
      </c>
      <c r="X362">
        <f>HYPERLINK("https://klasma.github.io/Logging_2183/tillsyn/A 23504-2023 tillsynsbegäran.docx", "A 23504-2023")</f>
        <v/>
      </c>
      <c r="Y362">
        <f>HYPERLINK("https://klasma.github.io/Logging_2183/tillsynsmail/A 23504-2023 tillsynsbegäran mail.docx", "A 23504-2023")</f>
        <v/>
      </c>
      <c r="Z362">
        <f>HYPERLINK("https://klasma.github.io/Logging_2183/fåglar/A 23504-2023 prioriterade fågelarter.docx", "A 23504-2023")</f>
        <v/>
      </c>
    </row>
    <row r="363" ht="15" customHeight="1">
      <c r="A363" t="inlineStr">
        <is>
          <t>A 737-2026</t>
        </is>
      </c>
      <c r="B363" s="1" t="n">
        <v>46029.65667824074</v>
      </c>
      <c r="C363" s="1" t="n">
        <v>46086</v>
      </c>
      <c r="D363" t="inlineStr">
        <is>
          <t>GÄVLEBORGS LÄN</t>
        </is>
      </c>
      <c r="E363" t="inlineStr">
        <is>
          <t>BOLLNÄS</t>
        </is>
      </c>
      <c r="G363" t="n">
        <v>13.3</v>
      </c>
      <c r="H363" t="n">
        <v>1</v>
      </c>
      <c r="I363" t="n">
        <v>1</v>
      </c>
      <c r="J363" t="n">
        <v>0</v>
      </c>
      <c r="K363" t="n">
        <v>0</v>
      </c>
      <c r="L363" t="n">
        <v>0</v>
      </c>
      <c r="M363" t="n">
        <v>0</v>
      </c>
      <c r="N363" t="n">
        <v>0</v>
      </c>
      <c r="O363" t="n">
        <v>0</v>
      </c>
      <c r="P363" t="n">
        <v>0</v>
      </c>
      <c r="Q363" t="n">
        <v>2</v>
      </c>
      <c r="R363" s="2" t="inlineStr">
        <is>
          <t>Gräsull
Fläcknycklar</t>
        </is>
      </c>
      <c r="S363">
        <f>HYPERLINK("https://klasma.github.io/Logging_2183/artfynd/A 737-2026 artfynd.xlsx", "A 737-2026")</f>
        <v/>
      </c>
      <c r="T363">
        <f>HYPERLINK("https://klasma.github.io/Logging_2183/kartor/A 737-2026 karta.png", "A 737-2026")</f>
        <v/>
      </c>
      <c r="V363">
        <f>HYPERLINK("https://klasma.github.io/Logging_2183/klagomål/A 737-2026 FSC-klagomål.docx", "A 737-2026")</f>
        <v/>
      </c>
      <c r="W363">
        <f>HYPERLINK("https://klasma.github.io/Logging_2183/klagomålsmail/A 737-2026 FSC-klagomål mail.docx", "A 737-2026")</f>
        <v/>
      </c>
      <c r="X363">
        <f>HYPERLINK("https://klasma.github.io/Logging_2183/tillsyn/A 737-2026 tillsynsbegäran.docx", "A 737-2026")</f>
        <v/>
      </c>
      <c r="Y363">
        <f>HYPERLINK("https://klasma.github.io/Logging_2183/tillsynsmail/A 737-2026 tillsynsbegäran mail.docx", "A 737-2026")</f>
        <v/>
      </c>
    </row>
    <row r="364" ht="15" customHeight="1">
      <c r="A364" t="inlineStr">
        <is>
          <t>A 18986-2024</t>
        </is>
      </c>
      <c r="B364" s="1" t="n">
        <v>45427</v>
      </c>
      <c r="C364" s="1" t="n">
        <v>46086</v>
      </c>
      <c r="D364" t="inlineStr">
        <is>
          <t>GÄVLEBORGS LÄN</t>
        </is>
      </c>
      <c r="E364" t="inlineStr">
        <is>
          <t>LJUSDAL</t>
        </is>
      </c>
      <c r="F364" t="inlineStr">
        <is>
          <t>Sveaskog</t>
        </is>
      </c>
      <c r="G364" t="n">
        <v>5.7</v>
      </c>
      <c r="H364" t="n">
        <v>0</v>
      </c>
      <c r="I364" t="n">
        <v>0</v>
      </c>
      <c r="J364" t="n">
        <v>2</v>
      </c>
      <c r="K364" t="n">
        <v>0</v>
      </c>
      <c r="L364" t="n">
        <v>0</v>
      </c>
      <c r="M364" t="n">
        <v>0</v>
      </c>
      <c r="N364" t="n">
        <v>0</v>
      </c>
      <c r="O364" t="n">
        <v>2</v>
      </c>
      <c r="P364" t="n">
        <v>0</v>
      </c>
      <c r="Q364" t="n">
        <v>2</v>
      </c>
      <c r="R364" s="2" t="inlineStr">
        <is>
          <t>Kolflarnlav
Mörk kolflarnlav</t>
        </is>
      </c>
      <c r="S364">
        <f>HYPERLINK("https://klasma.github.io/Logging_2161/artfynd/A 18986-2024 artfynd.xlsx", "A 18986-2024")</f>
        <v/>
      </c>
      <c r="T364">
        <f>HYPERLINK("https://klasma.github.io/Logging_2161/kartor/A 18986-2024 karta.png", "A 18986-2024")</f>
        <v/>
      </c>
      <c r="V364">
        <f>HYPERLINK("https://klasma.github.io/Logging_2161/klagomål/A 18986-2024 FSC-klagomål.docx", "A 18986-2024")</f>
        <v/>
      </c>
      <c r="W364">
        <f>HYPERLINK("https://klasma.github.io/Logging_2161/klagomålsmail/A 18986-2024 FSC-klagomål mail.docx", "A 18986-2024")</f>
        <v/>
      </c>
      <c r="X364">
        <f>HYPERLINK("https://klasma.github.io/Logging_2161/tillsyn/A 18986-2024 tillsynsbegäran.docx", "A 18986-2024")</f>
        <v/>
      </c>
      <c r="Y364">
        <f>HYPERLINK("https://klasma.github.io/Logging_2161/tillsynsmail/A 18986-2024 tillsynsbegäran mail.docx", "A 18986-2024")</f>
        <v/>
      </c>
    </row>
    <row r="365" ht="15" customHeight="1">
      <c r="A365" t="inlineStr">
        <is>
          <t>A 46247-2024</t>
        </is>
      </c>
      <c r="B365" s="1" t="n">
        <v>45581.59246527778</v>
      </c>
      <c r="C365" s="1" t="n">
        <v>46086</v>
      </c>
      <c r="D365" t="inlineStr">
        <is>
          <t>GÄVLEBORGS LÄN</t>
        </is>
      </c>
      <c r="E365" t="inlineStr">
        <is>
          <t>LJUSDAL</t>
        </is>
      </c>
      <c r="F365" t="inlineStr">
        <is>
          <t>Sveaskog</t>
        </is>
      </c>
      <c r="G365" t="n">
        <v>3</v>
      </c>
      <c r="H365" t="n">
        <v>0</v>
      </c>
      <c r="I365" t="n">
        <v>1</v>
      </c>
      <c r="J365" t="n">
        <v>1</v>
      </c>
      <c r="K365" t="n">
        <v>0</v>
      </c>
      <c r="L365" t="n">
        <v>0</v>
      </c>
      <c r="M365" t="n">
        <v>0</v>
      </c>
      <c r="N365" t="n">
        <v>0</v>
      </c>
      <c r="O365" t="n">
        <v>1</v>
      </c>
      <c r="P365" t="n">
        <v>0</v>
      </c>
      <c r="Q365" t="n">
        <v>2</v>
      </c>
      <c r="R365" s="2" t="inlineStr">
        <is>
          <t>Garnlav
Dropptaggsvamp</t>
        </is>
      </c>
      <c r="S365">
        <f>HYPERLINK("https://klasma.github.io/Logging_2161/artfynd/A 46247-2024 artfynd.xlsx", "A 46247-2024")</f>
        <v/>
      </c>
      <c r="T365">
        <f>HYPERLINK("https://klasma.github.io/Logging_2161/kartor/A 46247-2024 karta.png", "A 46247-2024")</f>
        <v/>
      </c>
      <c r="V365">
        <f>HYPERLINK("https://klasma.github.io/Logging_2161/klagomål/A 46247-2024 FSC-klagomål.docx", "A 46247-2024")</f>
        <v/>
      </c>
      <c r="W365">
        <f>HYPERLINK("https://klasma.github.io/Logging_2161/klagomålsmail/A 46247-2024 FSC-klagomål mail.docx", "A 46247-2024")</f>
        <v/>
      </c>
      <c r="X365">
        <f>HYPERLINK("https://klasma.github.io/Logging_2161/tillsyn/A 46247-2024 tillsynsbegäran.docx", "A 46247-2024")</f>
        <v/>
      </c>
      <c r="Y365">
        <f>HYPERLINK("https://klasma.github.io/Logging_2161/tillsynsmail/A 46247-2024 tillsynsbegäran mail.docx", "A 46247-2024")</f>
        <v/>
      </c>
    </row>
    <row r="366" ht="15" customHeight="1">
      <c r="A366" t="inlineStr">
        <is>
          <t>A 42624-2024</t>
        </is>
      </c>
      <c r="B366" s="1" t="n">
        <v>45565.85583333333</v>
      </c>
      <c r="C366" s="1" t="n">
        <v>46086</v>
      </c>
      <c r="D366" t="inlineStr">
        <is>
          <t>GÄVLEBORGS LÄN</t>
        </is>
      </c>
      <c r="E366" t="inlineStr">
        <is>
          <t>HUDIKSVALL</t>
        </is>
      </c>
      <c r="G366" t="n">
        <v>1.5</v>
      </c>
      <c r="H366" t="n">
        <v>0</v>
      </c>
      <c r="I366" t="n">
        <v>0</v>
      </c>
      <c r="J366" t="n">
        <v>2</v>
      </c>
      <c r="K366" t="n">
        <v>0</v>
      </c>
      <c r="L366" t="n">
        <v>0</v>
      </c>
      <c r="M366" t="n">
        <v>0</v>
      </c>
      <c r="N366" t="n">
        <v>0</v>
      </c>
      <c r="O366" t="n">
        <v>2</v>
      </c>
      <c r="P366" t="n">
        <v>0</v>
      </c>
      <c r="Q366" t="n">
        <v>2</v>
      </c>
      <c r="R366" s="2" t="inlineStr">
        <is>
          <t>Vedflikmossa
Violettgrå tagellav</t>
        </is>
      </c>
      <c r="S366">
        <f>HYPERLINK("https://klasma.github.io/Logging_2184/artfynd/A 42624-2024 artfynd.xlsx", "A 42624-2024")</f>
        <v/>
      </c>
      <c r="T366">
        <f>HYPERLINK("https://klasma.github.io/Logging_2184/kartor/A 42624-2024 karta.png", "A 42624-2024")</f>
        <v/>
      </c>
      <c r="V366">
        <f>HYPERLINK("https://klasma.github.io/Logging_2184/klagomål/A 42624-2024 FSC-klagomål.docx", "A 42624-2024")</f>
        <v/>
      </c>
      <c r="W366">
        <f>HYPERLINK("https://klasma.github.io/Logging_2184/klagomålsmail/A 42624-2024 FSC-klagomål mail.docx", "A 42624-2024")</f>
        <v/>
      </c>
      <c r="X366">
        <f>HYPERLINK("https://klasma.github.io/Logging_2184/tillsyn/A 42624-2024 tillsynsbegäran.docx", "A 42624-2024")</f>
        <v/>
      </c>
      <c r="Y366">
        <f>HYPERLINK("https://klasma.github.io/Logging_2184/tillsynsmail/A 42624-2024 tillsynsbegäran mail.docx", "A 42624-2024")</f>
        <v/>
      </c>
    </row>
    <row r="367" ht="15" customHeight="1">
      <c r="A367" t="inlineStr">
        <is>
          <t>A 9973-2026</t>
        </is>
      </c>
      <c r="B367" s="1" t="n">
        <v>46073.52119212963</v>
      </c>
      <c r="C367" s="1" t="n">
        <v>46086</v>
      </c>
      <c r="D367" t="inlineStr">
        <is>
          <t>GÄVLEBORGS LÄN</t>
        </is>
      </c>
      <c r="E367" t="inlineStr">
        <is>
          <t>NORDANSTIG</t>
        </is>
      </c>
      <c r="G367" t="n">
        <v>17.9</v>
      </c>
      <c r="H367" t="n">
        <v>1</v>
      </c>
      <c r="I367" t="n">
        <v>1</v>
      </c>
      <c r="J367" t="n">
        <v>0</v>
      </c>
      <c r="K367" t="n">
        <v>0</v>
      </c>
      <c r="L367" t="n">
        <v>0</v>
      </c>
      <c r="M367" t="n">
        <v>0</v>
      </c>
      <c r="N367" t="n">
        <v>0</v>
      </c>
      <c r="O367" t="n">
        <v>0</v>
      </c>
      <c r="P367" t="n">
        <v>0</v>
      </c>
      <c r="Q367" t="n">
        <v>2</v>
      </c>
      <c r="R367" s="2" t="inlineStr">
        <is>
          <t>Zontaggsvamp
Blåsippa</t>
        </is>
      </c>
      <c r="S367">
        <f>HYPERLINK("https://klasma.github.io/Logging_2132/artfynd/A 9973-2026 artfynd.xlsx", "A 9973-2026")</f>
        <v/>
      </c>
      <c r="T367">
        <f>HYPERLINK("https://klasma.github.io/Logging_2132/kartor/A 9973-2026 karta.png", "A 9973-2026")</f>
        <v/>
      </c>
      <c r="V367">
        <f>HYPERLINK("https://klasma.github.io/Logging_2132/klagomål/A 9973-2026 FSC-klagomål.docx", "A 9973-2026")</f>
        <v/>
      </c>
      <c r="W367">
        <f>HYPERLINK("https://klasma.github.io/Logging_2132/klagomålsmail/A 9973-2026 FSC-klagomål mail.docx", "A 9973-2026")</f>
        <v/>
      </c>
      <c r="X367">
        <f>HYPERLINK("https://klasma.github.io/Logging_2132/tillsyn/A 9973-2026 tillsynsbegäran.docx", "A 9973-2026")</f>
        <v/>
      </c>
      <c r="Y367">
        <f>HYPERLINK("https://klasma.github.io/Logging_2132/tillsynsmail/A 9973-2026 tillsynsbegäran mail.docx", "A 9973-2026")</f>
        <v/>
      </c>
    </row>
    <row r="368" ht="15" customHeight="1">
      <c r="A368" t="inlineStr">
        <is>
          <t>A 1179-2026</t>
        </is>
      </c>
      <c r="B368" s="1" t="n">
        <v>46031.35736111111</v>
      </c>
      <c r="C368" s="1" t="n">
        <v>46086</v>
      </c>
      <c r="D368" t="inlineStr">
        <is>
          <t>GÄVLEBORGS LÄN</t>
        </is>
      </c>
      <c r="E368" t="inlineStr">
        <is>
          <t>SANDVIKEN</t>
        </is>
      </c>
      <c r="G368" t="n">
        <v>2.7</v>
      </c>
      <c r="H368" t="n">
        <v>1</v>
      </c>
      <c r="I368" t="n">
        <v>1</v>
      </c>
      <c r="J368" t="n">
        <v>0</v>
      </c>
      <c r="K368" t="n">
        <v>0</v>
      </c>
      <c r="L368" t="n">
        <v>0</v>
      </c>
      <c r="M368" t="n">
        <v>0</v>
      </c>
      <c r="N368" t="n">
        <v>0</v>
      </c>
      <c r="O368" t="n">
        <v>0</v>
      </c>
      <c r="P368" t="n">
        <v>0</v>
      </c>
      <c r="Q368" t="n">
        <v>2</v>
      </c>
      <c r="R368" s="2" t="inlineStr">
        <is>
          <t>Strutbräken
Revlummer</t>
        </is>
      </c>
      <c r="S368">
        <f>HYPERLINK("https://klasma.github.io/Logging_2181/artfynd/A 1179-2026 artfynd.xlsx", "A 1179-2026")</f>
        <v/>
      </c>
      <c r="T368">
        <f>HYPERLINK("https://klasma.github.io/Logging_2181/kartor/A 1179-2026 karta.png", "A 1179-2026")</f>
        <v/>
      </c>
      <c r="V368">
        <f>HYPERLINK("https://klasma.github.io/Logging_2181/klagomål/A 1179-2026 FSC-klagomål.docx", "A 1179-2026")</f>
        <v/>
      </c>
      <c r="W368">
        <f>HYPERLINK("https://klasma.github.io/Logging_2181/klagomålsmail/A 1179-2026 FSC-klagomål mail.docx", "A 1179-2026")</f>
        <v/>
      </c>
      <c r="X368">
        <f>HYPERLINK("https://klasma.github.io/Logging_2181/tillsyn/A 1179-2026 tillsynsbegäran.docx", "A 1179-2026")</f>
        <v/>
      </c>
      <c r="Y368">
        <f>HYPERLINK("https://klasma.github.io/Logging_2181/tillsynsmail/A 1179-2026 tillsynsbegäran mail.docx", "A 1179-2026")</f>
        <v/>
      </c>
    </row>
    <row r="369" ht="15" customHeight="1">
      <c r="A369" t="inlineStr">
        <is>
          <t>A 10424-2026</t>
        </is>
      </c>
      <c r="B369" s="1" t="n">
        <v>46077.36678240741</v>
      </c>
      <c r="C369" s="1" t="n">
        <v>46086</v>
      </c>
      <c r="D369" t="inlineStr">
        <is>
          <t>GÄVLEBORGS LÄN</t>
        </is>
      </c>
      <c r="E369" t="inlineStr">
        <is>
          <t>HUDIKSVALL</t>
        </is>
      </c>
      <c r="G369" t="n">
        <v>2</v>
      </c>
      <c r="H369" t="n">
        <v>0</v>
      </c>
      <c r="I369" t="n">
        <v>0</v>
      </c>
      <c r="J369" t="n">
        <v>2</v>
      </c>
      <c r="K369" t="n">
        <v>0</v>
      </c>
      <c r="L369" t="n">
        <v>0</v>
      </c>
      <c r="M369" t="n">
        <v>0</v>
      </c>
      <c r="N369" t="n">
        <v>0</v>
      </c>
      <c r="O369" t="n">
        <v>2</v>
      </c>
      <c r="P369" t="n">
        <v>0</v>
      </c>
      <c r="Q369" t="n">
        <v>2</v>
      </c>
      <c r="R369" s="2" t="inlineStr">
        <is>
          <t>Rosenticka
Ullticka</t>
        </is>
      </c>
      <c r="S369">
        <f>HYPERLINK("https://klasma.github.io/Logging_2184/artfynd/A 10424-2026 artfynd.xlsx", "A 10424-2026")</f>
        <v/>
      </c>
      <c r="T369">
        <f>HYPERLINK("https://klasma.github.io/Logging_2184/kartor/A 10424-2026 karta.png", "A 10424-2026")</f>
        <v/>
      </c>
      <c r="V369">
        <f>HYPERLINK("https://klasma.github.io/Logging_2184/klagomål/A 10424-2026 FSC-klagomål.docx", "A 10424-2026")</f>
        <v/>
      </c>
      <c r="W369">
        <f>HYPERLINK("https://klasma.github.io/Logging_2184/klagomålsmail/A 10424-2026 FSC-klagomål mail.docx", "A 10424-2026")</f>
        <v/>
      </c>
      <c r="X369">
        <f>HYPERLINK("https://klasma.github.io/Logging_2184/tillsyn/A 10424-2026 tillsynsbegäran.docx", "A 10424-2026")</f>
        <v/>
      </c>
      <c r="Y369">
        <f>HYPERLINK("https://klasma.github.io/Logging_2184/tillsynsmail/A 10424-2026 tillsynsbegäran mail.docx", "A 10424-2026")</f>
        <v/>
      </c>
    </row>
    <row r="370" ht="15" customHeight="1">
      <c r="A370" t="inlineStr">
        <is>
          <t>A 8230-2026</t>
        </is>
      </c>
      <c r="B370" s="1" t="n">
        <v>46064</v>
      </c>
      <c r="C370" s="1" t="n">
        <v>46086</v>
      </c>
      <c r="D370" t="inlineStr">
        <is>
          <t>GÄVLEBORGS LÄN</t>
        </is>
      </c>
      <c r="E370" t="inlineStr">
        <is>
          <t>BOLLNÄS</t>
        </is>
      </c>
      <c r="F370" t="inlineStr">
        <is>
          <t>Bergvik skog väst AB</t>
        </is>
      </c>
      <c r="G370" t="n">
        <v>2.2</v>
      </c>
      <c r="H370" t="n">
        <v>2</v>
      </c>
      <c r="I370" t="n">
        <v>0</v>
      </c>
      <c r="J370" t="n">
        <v>1</v>
      </c>
      <c r="K370" t="n">
        <v>0</v>
      </c>
      <c r="L370" t="n">
        <v>0</v>
      </c>
      <c r="M370" t="n">
        <v>0</v>
      </c>
      <c r="N370" t="n">
        <v>0</v>
      </c>
      <c r="O370" t="n">
        <v>1</v>
      </c>
      <c r="P370" t="n">
        <v>0</v>
      </c>
      <c r="Q370" t="n">
        <v>2</v>
      </c>
      <c r="R370" s="2" t="inlineStr">
        <is>
          <t>Nordfladdermus
Vattenfladdermus</t>
        </is>
      </c>
      <c r="S370">
        <f>HYPERLINK("https://klasma.github.io/Logging_2183/artfynd/A 8230-2026 artfynd.xlsx", "A 8230-2026")</f>
        <v/>
      </c>
      <c r="T370">
        <f>HYPERLINK("https://klasma.github.io/Logging_2183/kartor/A 8230-2026 karta.png", "A 8230-2026")</f>
        <v/>
      </c>
      <c r="V370">
        <f>HYPERLINK("https://klasma.github.io/Logging_2183/klagomål/A 8230-2026 FSC-klagomål.docx", "A 8230-2026")</f>
        <v/>
      </c>
      <c r="W370">
        <f>HYPERLINK("https://klasma.github.io/Logging_2183/klagomålsmail/A 8230-2026 FSC-klagomål mail.docx", "A 8230-2026")</f>
        <v/>
      </c>
      <c r="X370">
        <f>HYPERLINK("https://klasma.github.io/Logging_2183/tillsyn/A 8230-2026 tillsynsbegäran.docx", "A 8230-2026")</f>
        <v/>
      </c>
      <c r="Y370">
        <f>HYPERLINK("https://klasma.github.io/Logging_2183/tillsynsmail/A 8230-2026 tillsynsbegäran mail.docx", "A 8230-2026")</f>
        <v/>
      </c>
    </row>
    <row r="371" ht="15" customHeight="1">
      <c r="A371" t="inlineStr">
        <is>
          <t>A 20710-2023</t>
        </is>
      </c>
      <c r="B371" s="1" t="n">
        <v>45058</v>
      </c>
      <c r="C371" s="1" t="n">
        <v>46086</v>
      </c>
      <c r="D371" t="inlineStr">
        <is>
          <t>GÄVLEBORGS LÄN</t>
        </is>
      </c>
      <c r="E371" t="inlineStr">
        <is>
          <t>BOLLNÄS</t>
        </is>
      </c>
      <c r="G371" t="n">
        <v>8.800000000000001</v>
      </c>
      <c r="H371" t="n">
        <v>2</v>
      </c>
      <c r="I371" t="n">
        <v>0</v>
      </c>
      <c r="J371" t="n">
        <v>0</v>
      </c>
      <c r="K371" t="n">
        <v>1</v>
      </c>
      <c r="L371" t="n">
        <v>0</v>
      </c>
      <c r="M371" t="n">
        <v>0</v>
      </c>
      <c r="N371" t="n">
        <v>0</v>
      </c>
      <c r="O371" t="n">
        <v>1</v>
      </c>
      <c r="P371" t="n">
        <v>1</v>
      </c>
      <c r="Q371" t="n">
        <v>2</v>
      </c>
      <c r="R371" s="2" t="inlineStr">
        <is>
          <t>Knärot
Lavskrika</t>
        </is>
      </c>
      <c r="S371">
        <f>HYPERLINK("https://klasma.github.io/Logging_2183/artfynd/A 20710-2023 artfynd.xlsx", "A 20710-2023")</f>
        <v/>
      </c>
      <c r="T371">
        <f>HYPERLINK("https://klasma.github.io/Logging_2183/kartor/A 20710-2023 karta.png", "A 20710-2023")</f>
        <v/>
      </c>
      <c r="U371">
        <f>HYPERLINK("https://klasma.github.io/Logging_2183/knärot/A 20710-2023 karta knärot.png", "A 20710-2023")</f>
        <v/>
      </c>
      <c r="V371">
        <f>HYPERLINK("https://klasma.github.io/Logging_2183/klagomål/A 20710-2023 FSC-klagomål.docx", "A 20710-2023")</f>
        <v/>
      </c>
      <c r="W371">
        <f>HYPERLINK("https://klasma.github.io/Logging_2183/klagomålsmail/A 20710-2023 FSC-klagomål mail.docx", "A 20710-2023")</f>
        <v/>
      </c>
      <c r="X371">
        <f>HYPERLINK("https://klasma.github.io/Logging_2183/tillsyn/A 20710-2023 tillsynsbegäran.docx", "A 20710-2023")</f>
        <v/>
      </c>
      <c r="Y371">
        <f>HYPERLINK("https://klasma.github.io/Logging_2183/tillsynsmail/A 20710-2023 tillsynsbegäran mail.docx", "A 20710-2023")</f>
        <v/>
      </c>
      <c r="Z371">
        <f>HYPERLINK("https://klasma.github.io/Logging_2183/fåglar/A 20710-2023 prioriterade fågelarter.docx", "A 20710-2023")</f>
        <v/>
      </c>
    </row>
    <row r="372" ht="15" customHeight="1">
      <c r="A372" t="inlineStr">
        <is>
          <t>A 39528-2021</t>
        </is>
      </c>
      <c r="B372" s="1" t="n">
        <v>44415</v>
      </c>
      <c r="C372" s="1" t="n">
        <v>46086</v>
      </c>
      <c r="D372" t="inlineStr">
        <is>
          <t>GÄVLEBORGS LÄN</t>
        </is>
      </c>
      <c r="E372" t="inlineStr">
        <is>
          <t>HUDIKSVALL</t>
        </is>
      </c>
      <c r="G372" t="n">
        <v>5.2</v>
      </c>
      <c r="H372" t="n">
        <v>1</v>
      </c>
      <c r="I372" t="n">
        <v>1</v>
      </c>
      <c r="J372" t="n">
        <v>0</v>
      </c>
      <c r="K372" t="n">
        <v>1</v>
      </c>
      <c r="L372" t="n">
        <v>0</v>
      </c>
      <c r="M372" t="n">
        <v>0</v>
      </c>
      <c r="N372" t="n">
        <v>0</v>
      </c>
      <c r="O372" t="n">
        <v>1</v>
      </c>
      <c r="P372" t="n">
        <v>1</v>
      </c>
      <c r="Q372" t="n">
        <v>2</v>
      </c>
      <c r="R372" s="2" t="inlineStr">
        <is>
          <t>Knärot
Stuplav</t>
        </is>
      </c>
      <c r="S372">
        <f>HYPERLINK("https://klasma.github.io/Logging_2184/artfynd/A 39528-2021 artfynd.xlsx", "A 39528-2021")</f>
        <v/>
      </c>
      <c r="T372">
        <f>HYPERLINK("https://klasma.github.io/Logging_2184/kartor/A 39528-2021 karta.png", "A 39528-2021")</f>
        <v/>
      </c>
      <c r="U372">
        <f>HYPERLINK("https://klasma.github.io/Logging_2184/knärot/A 39528-2021 karta knärot.png", "A 39528-2021")</f>
        <v/>
      </c>
      <c r="V372">
        <f>HYPERLINK("https://klasma.github.io/Logging_2184/klagomål/A 39528-2021 FSC-klagomål.docx", "A 39528-2021")</f>
        <v/>
      </c>
      <c r="W372">
        <f>HYPERLINK("https://klasma.github.io/Logging_2184/klagomålsmail/A 39528-2021 FSC-klagomål mail.docx", "A 39528-2021")</f>
        <v/>
      </c>
      <c r="X372">
        <f>HYPERLINK("https://klasma.github.io/Logging_2184/tillsyn/A 39528-2021 tillsynsbegäran.docx", "A 39528-2021")</f>
        <v/>
      </c>
      <c r="Y372">
        <f>HYPERLINK("https://klasma.github.io/Logging_2184/tillsynsmail/A 39528-2021 tillsynsbegäran mail.docx", "A 39528-2021")</f>
        <v/>
      </c>
    </row>
    <row r="373" ht="15" customHeight="1">
      <c r="A373" t="inlineStr">
        <is>
          <t>A 18926-2022</t>
        </is>
      </c>
      <c r="B373" s="1" t="n">
        <v>44690.64179398148</v>
      </c>
      <c r="C373" s="1" t="n">
        <v>46086</v>
      </c>
      <c r="D373" t="inlineStr">
        <is>
          <t>GÄVLEBORGS LÄN</t>
        </is>
      </c>
      <c r="E373" t="inlineStr">
        <is>
          <t>NORDANSTIG</t>
        </is>
      </c>
      <c r="F373" t="inlineStr">
        <is>
          <t>Holmen skog AB</t>
        </is>
      </c>
      <c r="G373" t="n">
        <v>11.4</v>
      </c>
      <c r="H373" t="n">
        <v>2</v>
      </c>
      <c r="I373" t="n">
        <v>0</v>
      </c>
      <c r="J373" t="n">
        <v>1</v>
      </c>
      <c r="K373" t="n">
        <v>0</v>
      </c>
      <c r="L373" t="n">
        <v>0</v>
      </c>
      <c r="M373" t="n">
        <v>0</v>
      </c>
      <c r="N373" t="n">
        <v>0</v>
      </c>
      <c r="O373" t="n">
        <v>1</v>
      </c>
      <c r="P373" t="n">
        <v>0</v>
      </c>
      <c r="Q373" t="n">
        <v>2</v>
      </c>
      <c r="R373" s="2" t="inlineStr">
        <is>
          <t>Spillkråka
Trana</t>
        </is>
      </c>
      <c r="S373">
        <f>HYPERLINK("https://klasma.github.io/Logging_2132/artfynd/A 18926-2022 artfynd.xlsx", "A 18926-2022")</f>
        <v/>
      </c>
      <c r="T373">
        <f>HYPERLINK("https://klasma.github.io/Logging_2132/kartor/A 18926-2022 karta.png", "A 18926-2022")</f>
        <v/>
      </c>
      <c r="V373">
        <f>HYPERLINK("https://klasma.github.io/Logging_2132/klagomål/A 18926-2022 FSC-klagomål.docx", "A 18926-2022")</f>
        <v/>
      </c>
      <c r="W373">
        <f>HYPERLINK("https://klasma.github.io/Logging_2132/klagomålsmail/A 18926-2022 FSC-klagomål mail.docx", "A 18926-2022")</f>
        <v/>
      </c>
      <c r="X373">
        <f>HYPERLINK("https://klasma.github.io/Logging_2132/tillsyn/A 18926-2022 tillsynsbegäran.docx", "A 18926-2022")</f>
        <v/>
      </c>
      <c r="Y373">
        <f>HYPERLINK("https://klasma.github.io/Logging_2132/tillsynsmail/A 18926-2022 tillsynsbegäran mail.docx", "A 18926-2022")</f>
        <v/>
      </c>
      <c r="Z373">
        <f>HYPERLINK("https://klasma.github.io/Logging_2132/fåglar/A 18926-2022 prioriterade fågelarter.docx", "A 18926-2022")</f>
        <v/>
      </c>
    </row>
    <row r="374" ht="15" customHeight="1">
      <c r="A374" t="inlineStr">
        <is>
          <t>A 30364-2022</t>
        </is>
      </c>
      <c r="B374" s="1" t="n">
        <v>44760.60001157408</v>
      </c>
      <c r="C374" s="1" t="n">
        <v>46086</v>
      </c>
      <c r="D374" t="inlineStr">
        <is>
          <t>GÄVLEBORGS LÄN</t>
        </is>
      </c>
      <c r="E374" t="inlineStr">
        <is>
          <t>OVANÅKER</t>
        </is>
      </c>
      <c r="F374" t="inlineStr">
        <is>
          <t>Bergvik skog öst AB</t>
        </is>
      </c>
      <c r="G374" t="n">
        <v>1.9</v>
      </c>
      <c r="H374" t="n">
        <v>1</v>
      </c>
      <c r="I374" t="n">
        <v>1</v>
      </c>
      <c r="J374" t="n">
        <v>0</v>
      </c>
      <c r="K374" t="n">
        <v>0</v>
      </c>
      <c r="L374" t="n">
        <v>0</v>
      </c>
      <c r="M374" t="n">
        <v>0</v>
      </c>
      <c r="N374" t="n">
        <v>0</v>
      </c>
      <c r="O374" t="n">
        <v>0</v>
      </c>
      <c r="P374" t="n">
        <v>0</v>
      </c>
      <c r="Q374" t="n">
        <v>2</v>
      </c>
      <c r="R374" s="2" t="inlineStr">
        <is>
          <t>Skinnlav
Blåsippa</t>
        </is>
      </c>
      <c r="S374">
        <f>HYPERLINK("https://klasma.github.io/Logging_2121/artfynd/A 30364-2022 artfynd.xlsx", "A 30364-2022")</f>
        <v/>
      </c>
      <c r="T374">
        <f>HYPERLINK("https://klasma.github.io/Logging_2121/kartor/A 30364-2022 karta.png", "A 30364-2022")</f>
        <v/>
      </c>
      <c r="V374">
        <f>HYPERLINK("https://klasma.github.io/Logging_2121/klagomål/A 30364-2022 FSC-klagomål.docx", "A 30364-2022")</f>
        <v/>
      </c>
      <c r="W374">
        <f>HYPERLINK("https://klasma.github.io/Logging_2121/klagomålsmail/A 30364-2022 FSC-klagomål mail.docx", "A 30364-2022")</f>
        <v/>
      </c>
      <c r="X374">
        <f>HYPERLINK("https://klasma.github.io/Logging_2121/tillsyn/A 30364-2022 tillsynsbegäran.docx", "A 30364-2022")</f>
        <v/>
      </c>
      <c r="Y374">
        <f>HYPERLINK("https://klasma.github.io/Logging_2121/tillsynsmail/A 30364-2022 tillsynsbegäran mail.docx", "A 30364-2022")</f>
        <v/>
      </c>
    </row>
    <row r="375" ht="15" customHeight="1">
      <c r="A375" t="inlineStr">
        <is>
          <t>A 18098-2024</t>
        </is>
      </c>
      <c r="B375" s="1" t="n">
        <v>45420</v>
      </c>
      <c r="C375" s="1" t="n">
        <v>46086</v>
      </c>
      <c r="D375" t="inlineStr">
        <is>
          <t>GÄVLEBORGS LÄN</t>
        </is>
      </c>
      <c r="E375" t="inlineStr">
        <is>
          <t>LJUSDAL</t>
        </is>
      </c>
      <c r="F375" t="inlineStr">
        <is>
          <t>Sveaskog</t>
        </is>
      </c>
      <c r="G375" t="n">
        <v>3.3</v>
      </c>
      <c r="H375" t="n">
        <v>1</v>
      </c>
      <c r="I375" t="n">
        <v>0</v>
      </c>
      <c r="J375" t="n">
        <v>2</v>
      </c>
      <c r="K375" t="n">
        <v>0</v>
      </c>
      <c r="L375" t="n">
        <v>0</v>
      </c>
      <c r="M375" t="n">
        <v>0</v>
      </c>
      <c r="N375" t="n">
        <v>0</v>
      </c>
      <c r="O375" t="n">
        <v>2</v>
      </c>
      <c r="P375" t="n">
        <v>0</v>
      </c>
      <c r="Q375" t="n">
        <v>2</v>
      </c>
      <c r="R375" s="2" t="inlineStr">
        <is>
          <t>Kolflarnlav
Varglav</t>
        </is>
      </c>
      <c r="S375">
        <f>HYPERLINK("https://klasma.github.io/Logging_2161/artfynd/A 18098-2024 artfynd.xlsx", "A 18098-2024")</f>
        <v/>
      </c>
      <c r="T375">
        <f>HYPERLINK("https://klasma.github.io/Logging_2161/kartor/A 18098-2024 karta.png", "A 18098-2024")</f>
        <v/>
      </c>
      <c r="V375">
        <f>HYPERLINK("https://klasma.github.io/Logging_2161/klagomål/A 18098-2024 FSC-klagomål.docx", "A 18098-2024")</f>
        <v/>
      </c>
      <c r="W375">
        <f>HYPERLINK("https://klasma.github.io/Logging_2161/klagomålsmail/A 18098-2024 FSC-klagomål mail.docx", "A 18098-2024")</f>
        <v/>
      </c>
      <c r="X375">
        <f>HYPERLINK("https://klasma.github.io/Logging_2161/tillsyn/A 18098-2024 tillsynsbegäran.docx", "A 18098-2024")</f>
        <v/>
      </c>
      <c r="Y375">
        <f>HYPERLINK("https://klasma.github.io/Logging_2161/tillsynsmail/A 18098-2024 tillsynsbegäran mail.docx", "A 18098-2024")</f>
        <v/>
      </c>
    </row>
    <row r="376" ht="15" customHeight="1">
      <c r="A376" t="inlineStr">
        <is>
          <t>A 18103-2024</t>
        </is>
      </c>
      <c r="B376" s="1" t="n">
        <v>45420.48034722222</v>
      </c>
      <c r="C376" s="1" t="n">
        <v>46086</v>
      </c>
      <c r="D376" t="inlineStr">
        <is>
          <t>GÄVLEBORGS LÄN</t>
        </is>
      </c>
      <c r="E376" t="inlineStr">
        <is>
          <t>LJUSDAL</t>
        </is>
      </c>
      <c r="F376" t="inlineStr">
        <is>
          <t>Sveaskog</t>
        </is>
      </c>
      <c r="G376" t="n">
        <v>3.9</v>
      </c>
      <c r="H376" t="n">
        <v>0</v>
      </c>
      <c r="I376" t="n">
        <v>0</v>
      </c>
      <c r="J376" t="n">
        <v>2</v>
      </c>
      <c r="K376" t="n">
        <v>0</v>
      </c>
      <c r="L376" t="n">
        <v>0</v>
      </c>
      <c r="M376" t="n">
        <v>0</v>
      </c>
      <c r="N376" t="n">
        <v>0</v>
      </c>
      <c r="O376" t="n">
        <v>2</v>
      </c>
      <c r="P376" t="n">
        <v>0</v>
      </c>
      <c r="Q376" t="n">
        <v>2</v>
      </c>
      <c r="R376" s="2" t="inlineStr">
        <is>
          <t>Kolflarnlav
Mörk kolflarnlav</t>
        </is>
      </c>
      <c r="S376">
        <f>HYPERLINK("https://klasma.github.io/Logging_2161/artfynd/A 18103-2024 artfynd.xlsx", "A 18103-2024")</f>
        <v/>
      </c>
      <c r="T376">
        <f>HYPERLINK("https://klasma.github.io/Logging_2161/kartor/A 18103-2024 karta.png", "A 18103-2024")</f>
        <v/>
      </c>
      <c r="V376">
        <f>HYPERLINK("https://klasma.github.io/Logging_2161/klagomål/A 18103-2024 FSC-klagomål.docx", "A 18103-2024")</f>
        <v/>
      </c>
      <c r="W376">
        <f>HYPERLINK("https://klasma.github.io/Logging_2161/klagomålsmail/A 18103-2024 FSC-klagomål mail.docx", "A 18103-2024")</f>
        <v/>
      </c>
      <c r="X376">
        <f>HYPERLINK("https://klasma.github.io/Logging_2161/tillsyn/A 18103-2024 tillsynsbegäran.docx", "A 18103-2024")</f>
        <v/>
      </c>
      <c r="Y376">
        <f>HYPERLINK("https://klasma.github.io/Logging_2161/tillsynsmail/A 18103-2024 tillsynsbegäran mail.docx", "A 18103-2024")</f>
        <v/>
      </c>
    </row>
    <row r="377" ht="15" customHeight="1">
      <c r="A377" t="inlineStr">
        <is>
          <t>A 35350-2024</t>
        </is>
      </c>
      <c r="B377" s="1" t="n">
        <v>45531</v>
      </c>
      <c r="C377" s="1" t="n">
        <v>46086</v>
      </c>
      <c r="D377" t="inlineStr">
        <is>
          <t>GÄVLEBORGS LÄN</t>
        </is>
      </c>
      <c r="E377" t="inlineStr">
        <is>
          <t>OVANÅKER</t>
        </is>
      </c>
      <c r="F377" t="inlineStr">
        <is>
          <t>Sveaskog</t>
        </is>
      </c>
      <c r="G377" t="n">
        <v>3.3</v>
      </c>
      <c r="H377" t="n">
        <v>0</v>
      </c>
      <c r="I377" t="n">
        <v>0</v>
      </c>
      <c r="J377" t="n">
        <v>2</v>
      </c>
      <c r="K377" t="n">
        <v>0</v>
      </c>
      <c r="L377" t="n">
        <v>0</v>
      </c>
      <c r="M377" t="n">
        <v>0</v>
      </c>
      <c r="N377" t="n">
        <v>0</v>
      </c>
      <c r="O377" t="n">
        <v>2</v>
      </c>
      <c r="P377" t="n">
        <v>0</v>
      </c>
      <c r="Q377" t="n">
        <v>2</v>
      </c>
      <c r="R377" s="2" t="inlineStr">
        <is>
          <t>Lunglav
Skrovellav</t>
        </is>
      </c>
      <c r="S377">
        <f>HYPERLINK("https://klasma.github.io/Logging_2121/artfynd/A 35350-2024 artfynd.xlsx", "A 35350-2024")</f>
        <v/>
      </c>
      <c r="T377">
        <f>HYPERLINK("https://klasma.github.io/Logging_2121/kartor/A 35350-2024 karta.png", "A 35350-2024")</f>
        <v/>
      </c>
      <c r="V377">
        <f>HYPERLINK("https://klasma.github.io/Logging_2121/klagomål/A 35350-2024 FSC-klagomål.docx", "A 35350-2024")</f>
        <v/>
      </c>
      <c r="W377">
        <f>HYPERLINK("https://klasma.github.io/Logging_2121/klagomålsmail/A 35350-2024 FSC-klagomål mail.docx", "A 35350-2024")</f>
        <v/>
      </c>
      <c r="X377">
        <f>HYPERLINK("https://klasma.github.io/Logging_2121/tillsyn/A 35350-2024 tillsynsbegäran.docx", "A 35350-2024")</f>
        <v/>
      </c>
      <c r="Y377">
        <f>HYPERLINK("https://klasma.github.io/Logging_2121/tillsynsmail/A 35350-2024 tillsynsbegäran mail.docx", "A 35350-2024")</f>
        <v/>
      </c>
    </row>
    <row r="378" ht="15" customHeight="1">
      <c r="A378" t="inlineStr">
        <is>
          <t>A 31303-2023</t>
        </is>
      </c>
      <c r="B378" s="1" t="n">
        <v>45114.44133101852</v>
      </c>
      <c r="C378" s="1" t="n">
        <v>46086</v>
      </c>
      <c r="D378" t="inlineStr">
        <is>
          <t>GÄVLEBORGS LÄN</t>
        </is>
      </c>
      <c r="E378" t="inlineStr">
        <is>
          <t>OCKELBO</t>
        </is>
      </c>
      <c r="F378" t="inlineStr">
        <is>
          <t>Bergvik skog väst AB</t>
        </is>
      </c>
      <c r="G378" t="n">
        <v>9.699999999999999</v>
      </c>
      <c r="H378" t="n">
        <v>2</v>
      </c>
      <c r="I378" t="n">
        <v>0</v>
      </c>
      <c r="J378" t="n">
        <v>1</v>
      </c>
      <c r="K378" t="n">
        <v>0</v>
      </c>
      <c r="L378" t="n">
        <v>0</v>
      </c>
      <c r="M378" t="n">
        <v>0</v>
      </c>
      <c r="N378" t="n">
        <v>0</v>
      </c>
      <c r="O378" t="n">
        <v>1</v>
      </c>
      <c r="P378" t="n">
        <v>0</v>
      </c>
      <c r="Q378" t="n">
        <v>2</v>
      </c>
      <c r="R378" s="2" t="inlineStr">
        <is>
          <t>Spillkråka
Tjäder</t>
        </is>
      </c>
      <c r="S378">
        <f>HYPERLINK("https://klasma.github.io/Logging_2101/artfynd/A 31303-2023 artfynd.xlsx", "A 31303-2023")</f>
        <v/>
      </c>
      <c r="T378">
        <f>HYPERLINK("https://klasma.github.io/Logging_2101/kartor/A 31303-2023 karta.png", "A 31303-2023")</f>
        <v/>
      </c>
      <c r="V378">
        <f>HYPERLINK("https://klasma.github.io/Logging_2101/klagomål/A 31303-2023 FSC-klagomål.docx", "A 31303-2023")</f>
        <v/>
      </c>
      <c r="W378">
        <f>HYPERLINK("https://klasma.github.io/Logging_2101/klagomålsmail/A 31303-2023 FSC-klagomål mail.docx", "A 31303-2023")</f>
        <v/>
      </c>
      <c r="X378">
        <f>HYPERLINK("https://klasma.github.io/Logging_2101/tillsyn/A 31303-2023 tillsynsbegäran.docx", "A 31303-2023")</f>
        <v/>
      </c>
      <c r="Y378">
        <f>HYPERLINK("https://klasma.github.io/Logging_2101/tillsynsmail/A 31303-2023 tillsynsbegäran mail.docx", "A 31303-2023")</f>
        <v/>
      </c>
      <c r="Z378">
        <f>HYPERLINK("https://klasma.github.io/Logging_2101/fåglar/A 31303-2023 prioriterade fågelarter.docx", "A 31303-2023")</f>
        <v/>
      </c>
    </row>
    <row r="379" ht="15" customHeight="1">
      <c r="A379" t="inlineStr">
        <is>
          <t>A 62767-2022</t>
        </is>
      </c>
      <c r="B379" s="1" t="n">
        <v>44884</v>
      </c>
      <c r="C379" s="1" t="n">
        <v>46086</v>
      </c>
      <c r="D379" t="inlineStr">
        <is>
          <t>GÄVLEBORGS LÄN</t>
        </is>
      </c>
      <c r="E379" t="inlineStr">
        <is>
          <t>NORDANSTIG</t>
        </is>
      </c>
      <c r="F379" t="inlineStr">
        <is>
          <t>SCA</t>
        </is>
      </c>
      <c r="G379" t="n">
        <v>13.3</v>
      </c>
      <c r="H379" t="n">
        <v>2</v>
      </c>
      <c r="I379" t="n">
        <v>1</v>
      </c>
      <c r="J379" t="n">
        <v>0</v>
      </c>
      <c r="K379" t="n">
        <v>0</v>
      </c>
      <c r="L379" t="n">
        <v>0</v>
      </c>
      <c r="M379" t="n">
        <v>0</v>
      </c>
      <c r="N379" t="n">
        <v>0</v>
      </c>
      <c r="O379" t="n">
        <v>0</v>
      </c>
      <c r="P379" t="n">
        <v>0</v>
      </c>
      <c r="Q379" t="n">
        <v>2</v>
      </c>
      <c r="R379" s="2" t="inlineStr">
        <is>
          <t>Skogsknipprot
Törnskata</t>
        </is>
      </c>
      <c r="S379">
        <f>HYPERLINK("https://klasma.github.io/Logging_2132/artfynd/A 62767-2022 artfynd.xlsx", "A 62767-2022")</f>
        <v/>
      </c>
      <c r="T379">
        <f>HYPERLINK("https://klasma.github.io/Logging_2132/kartor/A 62767-2022 karta.png", "A 62767-2022")</f>
        <v/>
      </c>
      <c r="V379">
        <f>HYPERLINK("https://klasma.github.io/Logging_2132/klagomål/A 62767-2022 FSC-klagomål.docx", "A 62767-2022")</f>
        <v/>
      </c>
      <c r="W379">
        <f>HYPERLINK("https://klasma.github.io/Logging_2132/klagomålsmail/A 62767-2022 FSC-klagomål mail.docx", "A 62767-2022")</f>
        <v/>
      </c>
      <c r="X379">
        <f>HYPERLINK("https://klasma.github.io/Logging_2132/tillsyn/A 62767-2022 tillsynsbegäran.docx", "A 62767-2022")</f>
        <v/>
      </c>
      <c r="Y379">
        <f>HYPERLINK("https://klasma.github.io/Logging_2132/tillsynsmail/A 62767-2022 tillsynsbegäran mail.docx", "A 62767-2022")</f>
        <v/>
      </c>
      <c r="Z379">
        <f>HYPERLINK("https://klasma.github.io/Logging_2132/fåglar/A 62767-2022 prioriterade fågelarter.docx", "A 62767-2022")</f>
        <v/>
      </c>
    </row>
    <row r="380" ht="15" customHeight="1">
      <c r="A380" t="inlineStr">
        <is>
          <t>A 38306-2024</t>
        </is>
      </c>
      <c r="B380" s="1" t="n">
        <v>45545.64211805556</v>
      </c>
      <c r="C380" s="1" t="n">
        <v>46086</v>
      </c>
      <c r="D380" t="inlineStr">
        <is>
          <t>GÄVLEBORGS LÄN</t>
        </is>
      </c>
      <c r="E380" t="inlineStr">
        <is>
          <t>LJUSDAL</t>
        </is>
      </c>
      <c r="F380" t="inlineStr">
        <is>
          <t>Sveaskog</t>
        </is>
      </c>
      <c r="G380" t="n">
        <v>4.1</v>
      </c>
      <c r="H380" t="n">
        <v>0</v>
      </c>
      <c r="I380" t="n">
        <v>0</v>
      </c>
      <c r="J380" t="n">
        <v>2</v>
      </c>
      <c r="K380" t="n">
        <v>0</v>
      </c>
      <c r="L380" t="n">
        <v>0</v>
      </c>
      <c r="M380" t="n">
        <v>0</v>
      </c>
      <c r="N380" t="n">
        <v>0</v>
      </c>
      <c r="O380" t="n">
        <v>2</v>
      </c>
      <c r="P380" t="n">
        <v>0</v>
      </c>
      <c r="Q380" t="n">
        <v>2</v>
      </c>
      <c r="R380" s="2" t="inlineStr">
        <is>
          <t>Garnlav
Lunglav</t>
        </is>
      </c>
      <c r="S380">
        <f>HYPERLINK("https://klasma.github.io/Logging_2161/artfynd/A 38306-2024 artfynd.xlsx", "A 38306-2024")</f>
        <v/>
      </c>
      <c r="T380">
        <f>HYPERLINK("https://klasma.github.io/Logging_2161/kartor/A 38306-2024 karta.png", "A 38306-2024")</f>
        <v/>
      </c>
      <c r="V380">
        <f>HYPERLINK("https://klasma.github.io/Logging_2161/klagomål/A 38306-2024 FSC-klagomål.docx", "A 38306-2024")</f>
        <v/>
      </c>
      <c r="W380">
        <f>HYPERLINK("https://klasma.github.io/Logging_2161/klagomålsmail/A 38306-2024 FSC-klagomål mail.docx", "A 38306-2024")</f>
        <v/>
      </c>
      <c r="X380">
        <f>HYPERLINK("https://klasma.github.io/Logging_2161/tillsyn/A 38306-2024 tillsynsbegäran.docx", "A 38306-2024")</f>
        <v/>
      </c>
      <c r="Y380">
        <f>HYPERLINK("https://klasma.github.io/Logging_2161/tillsynsmail/A 38306-2024 tillsynsbegäran mail.docx", "A 38306-2024")</f>
        <v/>
      </c>
    </row>
    <row r="381" ht="15" customHeight="1">
      <c r="A381" t="inlineStr">
        <is>
          <t>A 4081-2024</t>
        </is>
      </c>
      <c r="B381" s="1" t="n">
        <v>45323</v>
      </c>
      <c r="C381" s="1" t="n">
        <v>46086</v>
      </c>
      <c r="D381" t="inlineStr">
        <is>
          <t>GÄVLEBORGS LÄN</t>
        </is>
      </c>
      <c r="E381" t="inlineStr">
        <is>
          <t>OVANÅKER</t>
        </is>
      </c>
      <c r="G381" t="n">
        <v>3.3</v>
      </c>
      <c r="H381" t="n">
        <v>0</v>
      </c>
      <c r="I381" t="n">
        <v>0</v>
      </c>
      <c r="J381" t="n">
        <v>2</v>
      </c>
      <c r="K381" t="n">
        <v>0</v>
      </c>
      <c r="L381" t="n">
        <v>0</v>
      </c>
      <c r="M381" t="n">
        <v>0</v>
      </c>
      <c r="N381" t="n">
        <v>0</v>
      </c>
      <c r="O381" t="n">
        <v>2</v>
      </c>
      <c r="P381" t="n">
        <v>0</v>
      </c>
      <c r="Q381" t="n">
        <v>2</v>
      </c>
      <c r="R381" s="2" t="inlineStr">
        <is>
          <t>Rosenticka
Ullticka</t>
        </is>
      </c>
      <c r="S381">
        <f>HYPERLINK("https://klasma.github.io/Logging_2121/artfynd/A 4081-2024 artfynd.xlsx", "A 4081-2024")</f>
        <v/>
      </c>
      <c r="T381">
        <f>HYPERLINK("https://klasma.github.io/Logging_2121/kartor/A 4081-2024 karta.png", "A 4081-2024")</f>
        <v/>
      </c>
      <c r="V381">
        <f>HYPERLINK("https://klasma.github.io/Logging_2121/klagomål/A 4081-2024 FSC-klagomål.docx", "A 4081-2024")</f>
        <v/>
      </c>
      <c r="W381">
        <f>HYPERLINK("https://klasma.github.io/Logging_2121/klagomålsmail/A 4081-2024 FSC-klagomål mail.docx", "A 4081-2024")</f>
        <v/>
      </c>
      <c r="X381">
        <f>HYPERLINK("https://klasma.github.io/Logging_2121/tillsyn/A 4081-2024 tillsynsbegäran.docx", "A 4081-2024")</f>
        <v/>
      </c>
      <c r="Y381">
        <f>HYPERLINK("https://klasma.github.io/Logging_2121/tillsynsmail/A 4081-2024 tillsynsbegäran mail.docx", "A 4081-2024")</f>
        <v/>
      </c>
    </row>
    <row r="382" ht="15" customHeight="1">
      <c r="A382" t="inlineStr">
        <is>
          <t>A 60875-2023</t>
        </is>
      </c>
      <c r="B382" s="1" t="n">
        <v>45261.29287037037</v>
      </c>
      <c r="C382" s="1" t="n">
        <v>46086</v>
      </c>
      <c r="D382" t="inlineStr">
        <is>
          <t>GÄVLEBORGS LÄN</t>
        </is>
      </c>
      <c r="E382" t="inlineStr">
        <is>
          <t>NORDANSTIG</t>
        </is>
      </c>
      <c r="F382" t="inlineStr">
        <is>
          <t>Holmen skog AB</t>
        </is>
      </c>
      <c r="G382" t="n">
        <v>1.3</v>
      </c>
      <c r="H382" t="n">
        <v>0</v>
      </c>
      <c r="I382" t="n">
        <v>2</v>
      </c>
      <c r="J382" t="n">
        <v>0</v>
      </c>
      <c r="K382" t="n">
        <v>0</v>
      </c>
      <c r="L382" t="n">
        <v>0</v>
      </c>
      <c r="M382" t="n">
        <v>0</v>
      </c>
      <c r="N382" t="n">
        <v>0</v>
      </c>
      <c r="O382" t="n">
        <v>0</v>
      </c>
      <c r="P382" t="n">
        <v>0</v>
      </c>
      <c r="Q382" t="n">
        <v>2</v>
      </c>
      <c r="R382" s="2" t="inlineStr">
        <is>
          <t>Skogshakmossa
Strutbräken</t>
        </is>
      </c>
      <c r="S382">
        <f>HYPERLINK("https://klasma.github.io/Logging_2132/artfynd/A 60875-2023 artfynd.xlsx", "A 60875-2023")</f>
        <v/>
      </c>
      <c r="T382">
        <f>HYPERLINK("https://klasma.github.io/Logging_2132/kartor/A 60875-2023 karta.png", "A 60875-2023")</f>
        <v/>
      </c>
      <c r="V382">
        <f>HYPERLINK("https://klasma.github.io/Logging_2132/klagomål/A 60875-2023 FSC-klagomål.docx", "A 60875-2023")</f>
        <v/>
      </c>
      <c r="W382">
        <f>HYPERLINK("https://klasma.github.io/Logging_2132/klagomålsmail/A 60875-2023 FSC-klagomål mail.docx", "A 60875-2023")</f>
        <v/>
      </c>
      <c r="X382">
        <f>HYPERLINK("https://klasma.github.io/Logging_2132/tillsyn/A 60875-2023 tillsynsbegäran.docx", "A 60875-2023")</f>
        <v/>
      </c>
      <c r="Y382">
        <f>HYPERLINK("https://klasma.github.io/Logging_2132/tillsynsmail/A 60875-2023 tillsynsbegäran mail.docx", "A 60875-2023")</f>
        <v/>
      </c>
    </row>
    <row r="383" ht="15" customHeight="1">
      <c r="A383" t="inlineStr">
        <is>
          <t>A 26527-2023</t>
        </is>
      </c>
      <c r="B383" s="1" t="n">
        <v>45092.56577546296</v>
      </c>
      <c r="C383" s="1" t="n">
        <v>46086</v>
      </c>
      <c r="D383" t="inlineStr">
        <is>
          <t>GÄVLEBORGS LÄN</t>
        </is>
      </c>
      <c r="E383" t="inlineStr">
        <is>
          <t>LJUSDAL</t>
        </is>
      </c>
      <c r="F383" t="inlineStr">
        <is>
          <t>Sveaskog</t>
        </is>
      </c>
      <c r="G383" t="n">
        <v>2.8</v>
      </c>
      <c r="H383" t="n">
        <v>0</v>
      </c>
      <c r="I383" t="n">
        <v>1</v>
      </c>
      <c r="J383" t="n">
        <v>1</v>
      </c>
      <c r="K383" t="n">
        <v>0</v>
      </c>
      <c r="L383" t="n">
        <v>0</v>
      </c>
      <c r="M383" t="n">
        <v>0</v>
      </c>
      <c r="N383" t="n">
        <v>0</v>
      </c>
      <c r="O383" t="n">
        <v>1</v>
      </c>
      <c r="P383" t="n">
        <v>0</v>
      </c>
      <c r="Q383" t="n">
        <v>2</v>
      </c>
      <c r="R383" s="2" t="inlineStr">
        <is>
          <t>Garnlav
Stuplav</t>
        </is>
      </c>
      <c r="S383">
        <f>HYPERLINK("https://klasma.github.io/Logging_2161/artfynd/A 26527-2023 artfynd.xlsx", "A 26527-2023")</f>
        <v/>
      </c>
      <c r="T383">
        <f>HYPERLINK("https://klasma.github.io/Logging_2161/kartor/A 26527-2023 karta.png", "A 26527-2023")</f>
        <v/>
      </c>
      <c r="V383">
        <f>HYPERLINK("https://klasma.github.io/Logging_2161/klagomål/A 26527-2023 FSC-klagomål.docx", "A 26527-2023")</f>
        <v/>
      </c>
      <c r="W383">
        <f>HYPERLINK("https://klasma.github.io/Logging_2161/klagomålsmail/A 26527-2023 FSC-klagomål mail.docx", "A 26527-2023")</f>
        <v/>
      </c>
      <c r="X383">
        <f>HYPERLINK("https://klasma.github.io/Logging_2161/tillsyn/A 26527-2023 tillsynsbegäran.docx", "A 26527-2023")</f>
        <v/>
      </c>
      <c r="Y383">
        <f>HYPERLINK("https://klasma.github.io/Logging_2161/tillsynsmail/A 26527-2023 tillsynsbegäran mail.docx", "A 26527-2023")</f>
        <v/>
      </c>
    </row>
    <row r="384" ht="15" customHeight="1">
      <c r="A384" t="inlineStr">
        <is>
          <t>A 7608-2023</t>
        </is>
      </c>
      <c r="B384" s="1" t="n">
        <v>44972</v>
      </c>
      <c r="C384" s="1" t="n">
        <v>46086</v>
      </c>
      <c r="D384" t="inlineStr">
        <is>
          <t>GÄVLEBORGS LÄN</t>
        </is>
      </c>
      <c r="E384" t="inlineStr">
        <is>
          <t>NORDANSTIG</t>
        </is>
      </c>
      <c r="F384" t="inlineStr">
        <is>
          <t>Holmen skog AB</t>
        </is>
      </c>
      <c r="G384" t="n">
        <v>13</v>
      </c>
      <c r="H384" t="n">
        <v>0</v>
      </c>
      <c r="I384" t="n">
        <v>1</v>
      </c>
      <c r="J384" t="n">
        <v>1</v>
      </c>
      <c r="K384" t="n">
        <v>0</v>
      </c>
      <c r="L384" t="n">
        <v>0</v>
      </c>
      <c r="M384" t="n">
        <v>0</v>
      </c>
      <c r="N384" t="n">
        <v>0</v>
      </c>
      <c r="O384" t="n">
        <v>1</v>
      </c>
      <c r="P384" t="n">
        <v>0</v>
      </c>
      <c r="Q384" t="n">
        <v>2</v>
      </c>
      <c r="R384" s="2" t="inlineStr">
        <is>
          <t>Tallticka
Mindre märgborre</t>
        </is>
      </c>
      <c r="S384">
        <f>HYPERLINK("https://klasma.github.io/Logging_2132/artfynd/A 7608-2023 artfynd.xlsx", "A 7608-2023")</f>
        <v/>
      </c>
      <c r="T384">
        <f>HYPERLINK("https://klasma.github.io/Logging_2132/kartor/A 7608-2023 karta.png", "A 7608-2023")</f>
        <v/>
      </c>
      <c r="V384">
        <f>HYPERLINK("https://klasma.github.io/Logging_2132/klagomål/A 7608-2023 FSC-klagomål.docx", "A 7608-2023")</f>
        <v/>
      </c>
      <c r="W384">
        <f>HYPERLINK("https://klasma.github.io/Logging_2132/klagomålsmail/A 7608-2023 FSC-klagomål mail.docx", "A 7608-2023")</f>
        <v/>
      </c>
      <c r="X384">
        <f>HYPERLINK("https://klasma.github.io/Logging_2132/tillsyn/A 7608-2023 tillsynsbegäran.docx", "A 7608-2023")</f>
        <v/>
      </c>
      <c r="Y384">
        <f>HYPERLINK("https://klasma.github.io/Logging_2132/tillsynsmail/A 7608-2023 tillsynsbegäran mail.docx", "A 7608-2023")</f>
        <v/>
      </c>
    </row>
    <row r="385" ht="15" customHeight="1">
      <c r="A385" t="inlineStr">
        <is>
          <t>A 64567-2023</t>
        </is>
      </c>
      <c r="B385" s="1" t="n">
        <v>45281</v>
      </c>
      <c r="C385" s="1" t="n">
        <v>46086</v>
      </c>
      <c r="D385" t="inlineStr">
        <is>
          <t>GÄVLEBORGS LÄN</t>
        </is>
      </c>
      <c r="E385" t="inlineStr">
        <is>
          <t>GÄVLE</t>
        </is>
      </c>
      <c r="G385" t="n">
        <v>2.6</v>
      </c>
      <c r="H385" t="n">
        <v>0</v>
      </c>
      <c r="I385" t="n">
        <v>1</v>
      </c>
      <c r="J385" t="n">
        <v>0</v>
      </c>
      <c r="K385" t="n">
        <v>0</v>
      </c>
      <c r="L385" t="n">
        <v>1</v>
      </c>
      <c r="M385" t="n">
        <v>0</v>
      </c>
      <c r="N385" t="n">
        <v>0</v>
      </c>
      <c r="O385" t="n">
        <v>1</v>
      </c>
      <c r="P385" t="n">
        <v>1</v>
      </c>
      <c r="Q385" t="n">
        <v>2</v>
      </c>
      <c r="R385" s="2" t="inlineStr">
        <is>
          <t>Ask
Jättesvampmal</t>
        </is>
      </c>
      <c r="S385">
        <f>HYPERLINK("https://klasma.github.io/Logging_2180/artfynd/A 64567-2023 artfynd.xlsx", "A 64567-2023")</f>
        <v/>
      </c>
      <c r="T385">
        <f>HYPERLINK("https://klasma.github.io/Logging_2180/kartor/A 64567-2023 karta.png", "A 64567-2023")</f>
        <v/>
      </c>
      <c r="V385">
        <f>HYPERLINK("https://klasma.github.io/Logging_2180/klagomål/A 64567-2023 FSC-klagomål.docx", "A 64567-2023")</f>
        <v/>
      </c>
      <c r="W385">
        <f>HYPERLINK("https://klasma.github.io/Logging_2180/klagomålsmail/A 64567-2023 FSC-klagomål mail.docx", "A 64567-2023")</f>
        <v/>
      </c>
      <c r="X385">
        <f>HYPERLINK("https://klasma.github.io/Logging_2180/tillsyn/A 64567-2023 tillsynsbegäran.docx", "A 64567-2023")</f>
        <v/>
      </c>
      <c r="Y385">
        <f>HYPERLINK("https://klasma.github.io/Logging_2180/tillsynsmail/A 64567-2023 tillsynsbegäran mail.docx", "A 64567-2023")</f>
        <v/>
      </c>
    </row>
    <row r="386" ht="15" customHeight="1">
      <c r="A386" t="inlineStr">
        <is>
          <t>A 17472-2025</t>
        </is>
      </c>
      <c r="B386" s="1" t="n">
        <v>45757.47945601852</v>
      </c>
      <c r="C386" s="1" t="n">
        <v>46086</v>
      </c>
      <c r="D386" t="inlineStr">
        <is>
          <t>GÄVLEBORGS LÄN</t>
        </is>
      </c>
      <c r="E386" t="inlineStr">
        <is>
          <t>LJUSDAL</t>
        </is>
      </c>
      <c r="F386" t="inlineStr">
        <is>
          <t>Sveaskog</t>
        </is>
      </c>
      <c r="G386" t="n">
        <v>3</v>
      </c>
      <c r="H386" t="n">
        <v>0</v>
      </c>
      <c r="I386" t="n">
        <v>0</v>
      </c>
      <c r="J386" t="n">
        <v>2</v>
      </c>
      <c r="K386" t="n">
        <v>0</v>
      </c>
      <c r="L386" t="n">
        <v>0</v>
      </c>
      <c r="M386" t="n">
        <v>0</v>
      </c>
      <c r="N386" t="n">
        <v>0</v>
      </c>
      <c r="O386" t="n">
        <v>2</v>
      </c>
      <c r="P386" t="n">
        <v>0</v>
      </c>
      <c r="Q386" t="n">
        <v>2</v>
      </c>
      <c r="R386" s="2" t="inlineStr">
        <is>
          <t>Kolflarnlav
Mörk kolflarnlav</t>
        </is>
      </c>
      <c r="S386">
        <f>HYPERLINK("https://klasma.github.io/Logging_2161/artfynd/A 17472-2025 artfynd.xlsx", "A 17472-2025")</f>
        <v/>
      </c>
      <c r="T386">
        <f>HYPERLINK("https://klasma.github.io/Logging_2161/kartor/A 17472-2025 karta.png", "A 17472-2025")</f>
        <v/>
      </c>
      <c r="V386">
        <f>HYPERLINK("https://klasma.github.io/Logging_2161/klagomål/A 17472-2025 FSC-klagomål.docx", "A 17472-2025")</f>
        <v/>
      </c>
      <c r="W386">
        <f>HYPERLINK("https://klasma.github.io/Logging_2161/klagomålsmail/A 17472-2025 FSC-klagomål mail.docx", "A 17472-2025")</f>
        <v/>
      </c>
      <c r="X386">
        <f>HYPERLINK("https://klasma.github.io/Logging_2161/tillsyn/A 17472-2025 tillsynsbegäran.docx", "A 17472-2025")</f>
        <v/>
      </c>
      <c r="Y386">
        <f>HYPERLINK("https://klasma.github.io/Logging_2161/tillsynsmail/A 17472-2025 tillsynsbegäran mail.docx", "A 17472-2025")</f>
        <v/>
      </c>
    </row>
    <row r="387" ht="15" customHeight="1">
      <c r="A387" t="inlineStr">
        <is>
          <t>A 22667-2024</t>
        </is>
      </c>
      <c r="B387" s="1" t="n">
        <v>45447.94438657408</v>
      </c>
      <c r="C387" s="1" t="n">
        <v>46086</v>
      </c>
      <c r="D387" t="inlineStr">
        <is>
          <t>GÄVLEBORGS LÄN</t>
        </is>
      </c>
      <c r="E387" t="inlineStr">
        <is>
          <t>LJUSDAL</t>
        </is>
      </c>
      <c r="F387" t="inlineStr">
        <is>
          <t>SCA</t>
        </is>
      </c>
      <c r="G387" t="n">
        <v>5.3</v>
      </c>
      <c r="H387" t="n">
        <v>2</v>
      </c>
      <c r="I387" t="n">
        <v>0</v>
      </c>
      <c r="J387" t="n">
        <v>0</v>
      </c>
      <c r="K387" t="n">
        <v>1</v>
      </c>
      <c r="L387" t="n">
        <v>0</v>
      </c>
      <c r="M387" t="n">
        <v>0</v>
      </c>
      <c r="N387" t="n">
        <v>0</v>
      </c>
      <c r="O387" t="n">
        <v>1</v>
      </c>
      <c r="P387" t="n">
        <v>1</v>
      </c>
      <c r="Q387" t="n">
        <v>2</v>
      </c>
      <c r="R387" s="2" t="inlineStr">
        <is>
          <t>Knärot
Lopplummer (aggregat)</t>
        </is>
      </c>
      <c r="S387">
        <f>HYPERLINK("https://klasma.github.io/Logging_2161/artfynd/A 22667-2024 artfynd.xlsx", "A 22667-2024")</f>
        <v/>
      </c>
      <c r="T387">
        <f>HYPERLINK("https://klasma.github.io/Logging_2161/kartor/A 22667-2024 karta.png", "A 22667-2024")</f>
        <v/>
      </c>
      <c r="U387">
        <f>HYPERLINK("https://klasma.github.io/Logging_2161/knärot/A 22667-2024 karta knärot.png", "A 22667-2024")</f>
        <v/>
      </c>
      <c r="V387">
        <f>HYPERLINK("https://klasma.github.io/Logging_2161/klagomål/A 22667-2024 FSC-klagomål.docx", "A 22667-2024")</f>
        <v/>
      </c>
      <c r="W387">
        <f>HYPERLINK("https://klasma.github.io/Logging_2161/klagomålsmail/A 22667-2024 FSC-klagomål mail.docx", "A 22667-2024")</f>
        <v/>
      </c>
      <c r="X387">
        <f>HYPERLINK("https://klasma.github.io/Logging_2161/tillsyn/A 22667-2024 tillsynsbegäran.docx", "A 22667-2024")</f>
        <v/>
      </c>
      <c r="Y387">
        <f>HYPERLINK("https://klasma.github.io/Logging_2161/tillsynsmail/A 22667-2024 tillsynsbegäran mail.docx", "A 22667-2024")</f>
        <v/>
      </c>
    </row>
    <row r="388" ht="15" customHeight="1">
      <c r="A388" t="inlineStr">
        <is>
          <t>A 17474-2025</t>
        </is>
      </c>
      <c r="B388" s="1" t="n">
        <v>45757.48214120371</v>
      </c>
      <c r="C388" s="1" t="n">
        <v>46086</v>
      </c>
      <c r="D388" t="inlineStr">
        <is>
          <t>GÄVLEBORGS LÄN</t>
        </is>
      </c>
      <c r="E388" t="inlineStr">
        <is>
          <t>LJUSDAL</t>
        </is>
      </c>
      <c r="F388" t="inlineStr">
        <is>
          <t>Sveaskog</t>
        </is>
      </c>
      <c r="G388" t="n">
        <v>9.4</v>
      </c>
      <c r="H388" t="n">
        <v>0</v>
      </c>
      <c r="I388" t="n">
        <v>0</v>
      </c>
      <c r="J388" t="n">
        <v>2</v>
      </c>
      <c r="K388" t="n">
        <v>0</v>
      </c>
      <c r="L388" t="n">
        <v>0</v>
      </c>
      <c r="M388" t="n">
        <v>0</v>
      </c>
      <c r="N388" t="n">
        <v>0</v>
      </c>
      <c r="O388" t="n">
        <v>2</v>
      </c>
      <c r="P388" t="n">
        <v>0</v>
      </c>
      <c r="Q388" t="n">
        <v>2</v>
      </c>
      <c r="R388" s="2" t="inlineStr">
        <is>
          <t>Kolflarnlav
Lunglav</t>
        </is>
      </c>
      <c r="S388">
        <f>HYPERLINK("https://klasma.github.io/Logging_2161/artfynd/A 17474-2025 artfynd.xlsx", "A 17474-2025")</f>
        <v/>
      </c>
      <c r="T388">
        <f>HYPERLINK("https://klasma.github.io/Logging_2161/kartor/A 17474-2025 karta.png", "A 17474-2025")</f>
        <v/>
      </c>
      <c r="V388">
        <f>HYPERLINK("https://klasma.github.io/Logging_2161/klagomål/A 17474-2025 FSC-klagomål.docx", "A 17474-2025")</f>
        <v/>
      </c>
      <c r="W388">
        <f>HYPERLINK("https://klasma.github.io/Logging_2161/klagomålsmail/A 17474-2025 FSC-klagomål mail.docx", "A 17474-2025")</f>
        <v/>
      </c>
      <c r="X388">
        <f>HYPERLINK("https://klasma.github.io/Logging_2161/tillsyn/A 17474-2025 tillsynsbegäran.docx", "A 17474-2025")</f>
        <v/>
      </c>
      <c r="Y388">
        <f>HYPERLINK("https://klasma.github.io/Logging_2161/tillsynsmail/A 17474-2025 tillsynsbegäran mail.docx", "A 17474-2025")</f>
        <v/>
      </c>
    </row>
    <row r="389" ht="15" customHeight="1">
      <c r="A389" t="inlineStr">
        <is>
          <t>A 47483-2021</t>
        </is>
      </c>
      <c r="B389" s="1" t="n">
        <v>44447</v>
      </c>
      <c r="C389" s="1" t="n">
        <v>46086</v>
      </c>
      <c r="D389" t="inlineStr">
        <is>
          <t>GÄVLEBORGS LÄN</t>
        </is>
      </c>
      <c r="E389" t="inlineStr">
        <is>
          <t>HOFORS</t>
        </is>
      </c>
      <c r="G389" t="n">
        <v>6.9</v>
      </c>
      <c r="H389" t="n">
        <v>1</v>
      </c>
      <c r="I389" t="n">
        <v>1</v>
      </c>
      <c r="J389" t="n">
        <v>0</v>
      </c>
      <c r="K389" t="n">
        <v>1</v>
      </c>
      <c r="L389" t="n">
        <v>0</v>
      </c>
      <c r="M389" t="n">
        <v>0</v>
      </c>
      <c r="N389" t="n">
        <v>0</v>
      </c>
      <c r="O389" t="n">
        <v>1</v>
      </c>
      <c r="P389" t="n">
        <v>1</v>
      </c>
      <c r="Q389" t="n">
        <v>2</v>
      </c>
      <c r="R389" s="2" t="inlineStr">
        <is>
          <t>Knärot
Mindre märgborre</t>
        </is>
      </c>
      <c r="S389">
        <f>HYPERLINK("https://klasma.github.io/Logging_2104/artfynd/A 47483-2021 artfynd.xlsx", "A 47483-2021")</f>
        <v/>
      </c>
      <c r="T389">
        <f>HYPERLINK("https://klasma.github.io/Logging_2104/kartor/A 47483-2021 karta.png", "A 47483-2021")</f>
        <v/>
      </c>
      <c r="U389">
        <f>HYPERLINK("https://klasma.github.io/Logging_2104/knärot/A 47483-2021 karta knärot.png", "A 47483-2021")</f>
        <v/>
      </c>
      <c r="V389">
        <f>HYPERLINK("https://klasma.github.io/Logging_2104/klagomål/A 47483-2021 FSC-klagomål.docx", "A 47483-2021")</f>
        <v/>
      </c>
      <c r="W389">
        <f>HYPERLINK("https://klasma.github.io/Logging_2104/klagomålsmail/A 47483-2021 FSC-klagomål mail.docx", "A 47483-2021")</f>
        <v/>
      </c>
      <c r="X389">
        <f>HYPERLINK("https://klasma.github.io/Logging_2104/tillsyn/A 47483-2021 tillsynsbegäran.docx", "A 47483-2021")</f>
        <v/>
      </c>
      <c r="Y389">
        <f>HYPERLINK("https://klasma.github.io/Logging_2104/tillsynsmail/A 47483-2021 tillsynsbegäran mail.docx", "A 47483-2021")</f>
        <v/>
      </c>
    </row>
    <row r="390" ht="15" customHeight="1">
      <c r="A390" t="inlineStr">
        <is>
          <t>A 13026-2022</t>
        </is>
      </c>
      <c r="B390" s="1" t="n">
        <v>44643</v>
      </c>
      <c r="C390" s="1" t="n">
        <v>46086</v>
      </c>
      <c r="D390" t="inlineStr">
        <is>
          <t>GÄVLEBORGS LÄN</t>
        </is>
      </c>
      <c r="E390" t="inlineStr">
        <is>
          <t>NORDANSTIG</t>
        </is>
      </c>
      <c r="G390" t="n">
        <v>17.3</v>
      </c>
      <c r="H390" t="n">
        <v>1</v>
      </c>
      <c r="I390" t="n">
        <v>0</v>
      </c>
      <c r="J390" t="n">
        <v>2</v>
      </c>
      <c r="K390" t="n">
        <v>0</v>
      </c>
      <c r="L390" t="n">
        <v>0</v>
      </c>
      <c r="M390" t="n">
        <v>0</v>
      </c>
      <c r="N390" t="n">
        <v>0</v>
      </c>
      <c r="O390" t="n">
        <v>2</v>
      </c>
      <c r="P390" t="n">
        <v>0</v>
      </c>
      <c r="Q390" t="n">
        <v>2</v>
      </c>
      <c r="R390" s="2" t="inlineStr">
        <is>
          <t>Garnlav
Talltita</t>
        </is>
      </c>
      <c r="S390">
        <f>HYPERLINK("https://klasma.github.io/Logging_2132/artfynd/A 13026-2022 artfynd.xlsx", "A 13026-2022")</f>
        <v/>
      </c>
      <c r="T390">
        <f>HYPERLINK("https://klasma.github.io/Logging_2132/kartor/A 13026-2022 karta.png", "A 13026-2022")</f>
        <v/>
      </c>
      <c r="V390">
        <f>HYPERLINK("https://klasma.github.io/Logging_2132/klagomål/A 13026-2022 FSC-klagomål.docx", "A 13026-2022")</f>
        <v/>
      </c>
      <c r="W390">
        <f>HYPERLINK("https://klasma.github.io/Logging_2132/klagomålsmail/A 13026-2022 FSC-klagomål mail.docx", "A 13026-2022")</f>
        <v/>
      </c>
      <c r="X390">
        <f>HYPERLINK("https://klasma.github.io/Logging_2132/tillsyn/A 13026-2022 tillsynsbegäran.docx", "A 13026-2022")</f>
        <v/>
      </c>
      <c r="Y390">
        <f>HYPERLINK("https://klasma.github.io/Logging_2132/tillsynsmail/A 13026-2022 tillsynsbegäran mail.docx", "A 13026-2022")</f>
        <v/>
      </c>
      <c r="Z390">
        <f>HYPERLINK("https://klasma.github.io/Logging_2132/fåglar/A 13026-2022 prioriterade fågelarter.docx", "A 13026-2022")</f>
        <v/>
      </c>
    </row>
    <row r="391" ht="15" customHeight="1">
      <c r="A391" t="inlineStr">
        <is>
          <t>A 47230-2024</t>
        </is>
      </c>
      <c r="B391" s="1" t="n">
        <v>45586</v>
      </c>
      <c r="C391" s="1" t="n">
        <v>46086</v>
      </c>
      <c r="D391" t="inlineStr">
        <is>
          <t>GÄVLEBORGS LÄN</t>
        </is>
      </c>
      <c r="E391" t="inlineStr">
        <is>
          <t>LJUSDAL</t>
        </is>
      </c>
      <c r="F391" t="inlineStr">
        <is>
          <t>Sveaskog</t>
        </is>
      </c>
      <c r="G391" t="n">
        <v>16.1</v>
      </c>
      <c r="H391" t="n">
        <v>0</v>
      </c>
      <c r="I391" t="n">
        <v>0</v>
      </c>
      <c r="J391" t="n">
        <v>2</v>
      </c>
      <c r="K391" t="n">
        <v>0</v>
      </c>
      <c r="L391" t="n">
        <v>0</v>
      </c>
      <c r="M391" t="n">
        <v>0</v>
      </c>
      <c r="N391" t="n">
        <v>0</v>
      </c>
      <c r="O391" t="n">
        <v>2</v>
      </c>
      <c r="P391" t="n">
        <v>0</v>
      </c>
      <c r="Q391" t="n">
        <v>2</v>
      </c>
      <c r="R391" s="2" t="inlineStr">
        <is>
          <t>Grantaggsvamp
Lunglav</t>
        </is>
      </c>
      <c r="S391">
        <f>HYPERLINK("https://klasma.github.io/Logging_2161/artfynd/A 47230-2024 artfynd.xlsx", "A 47230-2024")</f>
        <v/>
      </c>
      <c r="T391">
        <f>HYPERLINK("https://klasma.github.io/Logging_2161/kartor/A 47230-2024 karta.png", "A 47230-2024")</f>
        <v/>
      </c>
      <c r="V391">
        <f>HYPERLINK("https://klasma.github.io/Logging_2161/klagomål/A 47230-2024 FSC-klagomål.docx", "A 47230-2024")</f>
        <v/>
      </c>
      <c r="W391">
        <f>HYPERLINK("https://klasma.github.io/Logging_2161/klagomålsmail/A 47230-2024 FSC-klagomål mail.docx", "A 47230-2024")</f>
        <v/>
      </c>
      <c r="X391">
        <f>HYPERLINK("https://klasma.github.io/Logging_2161/tillsyn/A 47230-2024 tillsynsbegäran.docx", "A 47230-2024")</f>
        <v/>
      </c>
      <c r="Y391">
        <f>HYPERLINK("https://klasma.github.io/Logging_2161/tillsynsmail/A 47230-2024 tillsynsbegäran mail.docx", "A 47230-2024")</f>
        <v/>
      </c>
    </row>
    <row r="392" ht="15" customHeight="1">
      <c r="A392" t="inlineStr">
        <is>
          <t>A 32502-2023</t>
        </is>
      </c>
      <c r="B392" s="1" t="n">
        <v>45121</v>
      </c>
      <c r="C392" s="1" t="n">
        <v>46086</v>
      </c>
      <c r="D392" t="inlineStr">
        <is>
          <t>GÄVLEBORGS LÄN</t>
        </is>
      </c>
      <c r="E392" t="inlineStr">
        <is>
          <t>LJUSDAL</t>
        </is>
      </c>
      <c r="F392" t="inlineStr">
        <is>
          <t>Sveaskog</t>
        </is>
      </c>
      <c r="G392" t="n">
        <v>9.199999999999999</v>
      </c>
      <c r="H392" t="n">
        <v>0</v>
      </c>
      <c r="I392" t="n">
        <v>1</v>
      </c>
      <c r="J392" t="n">
        <v>1</v>
      </c>
      <c r="K392" t="n">
        <v>0</v>
      </c>
      <c r="L392" t="n">
        <v>0</v>
      </c>
      <c r="M392" t="n">
        <v>0</v>
      </c>
      <c r="N392" t="n">
        <v>0</v>
      </c>
      <c r="O392" t="n">
        <v>1</v>
      </c>
      <c r="P392" t="n">
        <v>0</v>
      </c>
      <c r="Q392" t="n">
        <v>2</v>
      </c>
      <c r="R392" s="2" t="inlineStr">
        <is>
          <t>Garnlav
Dropptaggsvamp</t>
        </is>
      </c>
      <c r="S392">
        <f>HYPERLINK("https://klasma.github.io/Logging_2161/artfynd/A 32502-2023 artfynd.xlsx", "A 32502-2023")</f>
        <v/>
      </c>
      <c r="T392">
        <f>HYPERLINK("https://klasma.github.io/Logging_2161/kartor/A 32502-2023 karta.png", "A 32502-2023")</f>
        <v/>
      </c>
      <c r="V392">
        <f>HYPERLINK("https://klasma.github.io/Logging_2161/klagomål/A 32502-2023 FSC-klagomål.docx", "A 32502-2023")</f>
        <v/>
      </c>
      <c r="W392">
        <f>HYPERLINK("https://klasma.github.io/Logging_2161/klagomålsmail/A 32502-2023 FSC-klagomål mail.docx", "A 32502-2023")</f>
        <v/>
      </c>
      <c r="X392">
        <f>HYPERLINK("https://klasma.github.io/Logging_2161/tillsyn/A 32502-2023 tillsynsbegäran.docx", "A 32502-2023")</f>
        <v/>
      </c>
      <c r="Y392">
        <f>HYPERLINK("https://klasma.github.io/Logging_2161/tillsynsmail/A 32502-2023 tillsynsbegäran mail.docx", "A 32502-2023")</f>
        <v/>
      </c>
    </row>
    <row r="393" ht="15" customHeight="1">
      <c r="A393" t="inlineStr">
        <is>
          <t>A 28422-2024</t>
        </is>
      </c>
      <c r="B393" s="1" t="n">
        <v>45477</v>
      </c>
      <c r="C393" s="1" t="n">
        <v>46086</v>
      </c>
      <c r="D393" t="inlineStr">
        <is>
          <t>GÄVLEBORGS LÄN</t>
        </is>
      </c>
      <c r="E393" t="inlineStr">
        <is>
          <t>LJUSDAL</t>
        </is>
      </c>
      <c r="F393" t="inlineStr">
        <is>
          <t>Allmännings- och besparingsskogar</t>
        </is>
      </c>
      <c r="G393" t="n">
        <v>11.9</v>
      </c>
      <c r="H393" t="n">
        <v>0</v>
      </c>
      <c r="I393" t="n">
        <v>0</v>
      </c>
      <c r="J393" t="n">
        <v>2</v>
      </c>
      <c r="K393" t="n">
        <v>0</v>
      </c>
      <c r="L393" t="n">
        <v>0</v>
      </c>
      <c r="M393" t="n">
        <v>0</v>
      </c>
      <c r="N393" t="n">
        <v>0</v>
      </c>
      <c r="O393" t="n">
        <v>2</v>
      </c>
      <c r="P393" t="n">
        <v>0</v>
      </c>
      <c r="Q393" t="n">
        <v>2</v>
      </c>
      <c r="R393" s="2" t="inlineStr">
        <is>
          <t>Garnlav
Lunglav</t>
        </is>
      </c>
      <c r="S393">
        <f>HYPERLINK("https://klasma.github.io/Logging_2161/artfynd/A 28422-2024 artfynd.xlsx", "A 28422-2024")</f>
        <v/>
      </c>
      <c r="T393">
        <f>HYPERLINK("https://klasma.github.io/Logging_2161/kartor/A 28422-2024 karta.png", "A 28422-2024")</f>
        <v/>
      </c>
      <c r="V393">
        <f>HYPERLINK("https://klasma.github.io/Logging_2161/klagomål/A 28422-2024 FSC-klagomål.docx", "A 28422-2024")</f>
        <v/>
      </c>
      <c r="W393">
        <f>HYPERLINK("https://klasma.github.io/Logging_2161/klagomålsmail/A 28422-2024 FSC-klagomål mail.docx", "A 28422-2024")</f>
        <v/>
      </c>
      <c r="X393">
        <f>HYPERLINK("https://klasma.github.io/Logging_2161/tillsyn/A 28422-2024 tillsynsbegäran.docx", "A 28422-2024")</f>
        <v/>
      </c>
      <c r="Y393">
        <f>HYPERLINK("https://klasma.github.io/Logging_2161/tillsynsmail/A 28422-2024 tillsynsbegäran mail.docx", "A 28422-2024")</f>
        <v/>
      </c>
    </row>
    <row r="394" ht="15" customHeight="1">
      <c r="A394" t="inlineStr">
        <is>
          <t>A 23483-2025</t>
        </is>
      </c>
      <c r="B394" s="1" t="n">
        <v>45792.46190972222</v>
      </c>
      <c r="C394" s="1" t="n">
        <v>46086</v>
      </c>
      <c r="D394" t="inlineStr">
        <is>
          <t>GÄVLEBORGS LÄN</t>
        </is>
      </c>
      <c r="E394" t="inlineStr">
        <is>
          <t>LJUSDAL</t>
        </is>
      </c>
      <c r="F394" t="inlineStr">
        <is>
          <t>Sveaskog</t>
        </is>
      </c>
      <c r="G394" t="n">
        <v>3.6</v>
      </c>
      <c r="H394" t="n">
        <v>0</v>
      </c>
      <c r="I394" t="n">
        <v>0</v>
      </c>
      <c r="J394" t="n">
        <v>2</v>
      </c>
      <c r="K394" t="n">
        <v>0</v>
      </c>
      <c r="L394" t="n">
        <v>0</v>
      </c>
      <c r="M394" t="n">
        <v>0</v>
      </c>
      <c r="N394" t="n">
        <v>0</v>
      </c>
      <c r="O394" t="n">
        <v>2</v>
      </c>
      <c r="P394" t="n">
        <v>0</v>
      </c>
      <c r="Q394" t="n">
        <v>2</v>
      </c>
      <c r="R394" s="2" t="inlineStr">
        <is>
          <t>Kolflarnlav
Lunglav</t>
        </is>
      </c>
      <c r="S394">
        <f>HYPERLINK("https://klasma.github.io/Logging_2161/artfynd/A 23483-2025 artfynd.xlsx", "A 23483-2025")</f>
        <v/>
      </c>
      <c r="T394">
        <f>HYPERLINK("https://klasma.github.io/Logging_2161/kartor/A 23483-2025 karta.png", "A 23483-2025")</f>
        <v/>
      </c>
      <c r="V394">
        <f>HYPERLINK("https://klasma.github.io/Logging_2161/klagomål/A 23483-2025 FSC-klagomål.docx", "A 23483-2025")</f>
        <v/>
      </c>
      <c r="W394">
        <f>HYPERLINK("https://klasma.github.io/Logging_2161/klagomålsmail/A 23483-2025 FSC-klagomål mail.docx", "A 23483-2025")</f>
        <v/>
      </c>
      <c r="X394">
        <f>HYPERLINK("https://klasma.github.io/Logging_2161/tillsyn/A 23483-2025 tillsynsbegäran.docx", "A 23483-2025")</f>
        <v/>
      </c>
      <c r="Y394">
        <f>HYPERLINK("https://klasma.github.io/Logging_2161/tillsynsmail/A 23483-2025 tillsynsbegäran mail.docx", "A 23483-2025")</f>
        <v/>
      </c>
    </row>
    <row r="395" ht="15" customHeight="1">
      <c r="A395" t="inlineStr">
        <is>
          <t>A 24949-2025</t>
        </is>
      </c>
      <c r="B395" s="1" t="n">
        <v>45799.56797453704</v>
      </c>
      <c r="C395" s="1" t="n">
        <v>46086</v>
      </c>
      <c r="D395" t="inlineStr">
        <is>
          <t>GÄVLEBORGS LÄN</t>
        </is>
      </c>
      <c r="E395" t="inlineStr">
        <is>
          <t>LJUSDAL</t>
        </is>
      </c>
      <c r="F395" t="inlineStr">
        <is>
          <t>Sveaskog</t>
        </is>
      </c>
      <c r="G395" t="n">
        <v>3</v>
      </c>
      <c r="H395" t="n">
        <v>0</v>
      </c>
      <c r="I395" t="n">
        <v>0</v>
      </c>
      <c r="J395" t="n">
        <v>2</v>
      </c>
      <c r="K395" t="n">
        <v>0</v>
      </c>
      <c r="L395" t="n">
        <v>0</v>
      </c>
      <c r="M395" t="n">
        <v>0</v>
      </c>
      <c r="N395" t="n">
        <v>0</v>
      </c>
      <c r="O395" t="n">
        <v>2</v>
      </c>
      <c r="P395" t="n">
        <v>0</v>
      </c>
      <c r="Q395" t="n">
        <v>2</v>
      </c>
      <c r="R395" s="2" t="inlineStr">
        <is>
          <t>Kolflarnlav
Vedflamlav</t>
        </is>
      </c>
      <c r="S395">
        <f>HYPERLINK("https://klasma.github.io/Logging_2161/artfynd/A 24949-2025 artfynd.xlsx", "A 24949-2025")</f>
        <v/>
      </c>
      <c r="T395">
        <f>HYPERLINK("https://klasma.github.io/Logging_2161/kartor/A 24949-2025 karta.png", "A 24949-2025")</f>
        <v/>
      </c>
      <c r="V395">
        <f>HYPERLINK("https://klasma.github.io/Logging_2161/klagomål/A 24949-2025 FSC-klagomål.docx", "A 24949-2025")</f>
        <v/>
      </c>
      <c r="W395">
        <f>HYPERLINK("https://klasma.github.io/Logging_2161/klagomålsmail/A 24949-2025 FSC-klagomål mail.docx", "A 24949-2025")</f>
        <v/>
      </c>
      <c r="X395">
        <f>HYPERLINK("https://klasma.github.io/Logging_2161/tillsyn/A 24949-2025 tillsynsbegäran.docx", "A 24949-2025")</f>
        <v/>
      </c>
      <c r="Y395">
        <f>HYPERLINK("https://klasma.github.io/Logging_2161/tillsynsmail/A 24949-2025 tillsynsbegäran mail.docx", "A 24949-2025")</f>
        <v/>
      </c>
    </row>
    <row r="396" ht="15" customHeight="1">
      <c r="A396" t="inlineStr">
        <is>
          <t>A 24608-2025</t>
        </is>
      </c>
      <c r="B396" s="1" t="n">
        <v>45798.57803240741</v>
      </c>
      <c r="C396" s="1" t="n">
        <v>46086</v>
      </c>
      <c r="D396" t="inlineStr">
        <is>
          <t>GÄVLEBORGS LÄN</t>
        </is>
      </c>
      <c r="E396" t="inlineStr">
        <is>
          <t>SÖDERHAMN</t>
        </is>
      </c>
      <c r="G396" t="n">
        <v>1</v>
      </c>
      <c r="H396" t="n">
        <v>0</v>
      </c>
      <c r="I396" t="n">
        <v>0</v>
      </c>
      <c r="J396" t="n">
        <v>2</v>
      </c>
      <c r="K396" t="n">
        <v>0</v>
      </c>
      <c r="L396" t="n">
        <v>0</v>
      </c>
      <c r="M396" t="n">
        <v>0</v>
      </c>
      <c r="N396" t="n">
        <v>0</v>
      </c>
      <c r="O396" t="n">
        <v>2</v>
      </c>
      <c r="P396" t="n">
        <v>0</v>
      </c>
      <c r="Q396" t="n">
        <v>2</v>
      </c>
      <c r="R396" s="2" t="inlineStr">
        <is>
          <t>Rosenticka
Ullticka</t>
        </is>
      </c>
      <c r="S396">
        <f>HYPERLINK("https://klasma.github.io/Logging_2182/artfynd/A 24608-2025 artfynd.xlsx", "A 24608-2025")</f>
        <v/>
      </c>
      <c r="T396">
        <f>HYPERLINK("https://klasma.github.io/Logging_2182/kartor/A 24608-2025 karta.png", "A 24608-2025")</f>
        <v/>
      </c>
      <c r="U396">
        <f>HYPERLINK("https://klasma.github.io/Logging_2182/knärot/A 24608-2025 karta knärot.png", "A 24608-2025")</f>
        <v/>
      </c>
      <c r="V396">
        <f>HYPERLINK("https://klasma.github.io/Logging_2182/klagomål/A 24608-2025 FSC-klagomål.docx", "A 24608-2025")</f>
        <v/>
      </c>
      <c r="W396">
        <f>HYPERLINK("https://klasma.github.io/Logging_2182/klagomålsmail/A 24608-2025 FSC-klagomål mail.docx", "A 24608-2025")</f>
        <v/>
      </c>
      <c r="X396">
        <f>HYPERLINK("https://klasma.github.io/Logging_2182/tillsyn/A 24608-2025 tillsynsbegäran.docx", "A 24608-2025")</f>
        <v/>
      </c>
      <c r="Y396">
        <f>HYPERLINK("https://klasma.github.io/Logging_2182/tillsynsmail/A 24608-2025 tillsynsbegäran mail.docx", "A 24608-2025")</f>
        <v/>
      </c>
    </row>
    <row r="397" ht="15" customHeight="1">
      <c r="A397" t="inlineStr">
        <is>
          <t>A 18546-2024</t>
        </is>
      </c>
      <c r="B397" s="1" t="n">
        <v>45425.6449537037</v>
      </c>
      <c r="C397" s="1" t="n">
        <v>46086</v>
      </c>
      <c r="D397" t="inlineStr">
        <is>
          <t>GÄVLEBORGS LÄN</t>
        </is>
      </c>
      <c r="E397" t="inlineStr">
        <is>
          <t>SÖDERHAMN</t>
        </is>
      </c>
      <c r="F397" t="inlineStr">
        <is>
          <t>Bergvik skog väst AB</t>
        </is>
      </c>
      <c r="G397" t="n">
        <v>1.7</v>
      </c>
      <c r="H397" t="n">
        <v>2</v>
      </c>
      <c r="I397" t="n">
        <v>1</v>
      </c>
      <c r="J397" t="n">
        <v>1</v>
      </c>
      <c r="K397" t="n">
        <v>0</v>
      </c>
      <c r="L397" t="n">
        <v>0</v>
      </c>
      <c r="M397" t="n">
        <v>0</v>
      </c>
      <c r="N397" t="n">
        <v>0</v>
      </c>
      <c r="O397" t="n">
        <v>1</v>
      </c>
      <c r="P397" t="n">
        <v>0</v>
      </c>
      <c r="Q397" t="n">
        <v>2</v>
      </c>
      <c r="R397" s="2" t="inlineStr">
        <is>
          <t>Spillkråka
Grön sköldmossa</t>
        </is>
      </c>
      <c r="S397">
        <f>HYPERLINK("https://klasma.github.io/Logging_2182/artfynd/A 18546-2024 artfynd.xlsx", "A 18546-2024")</f>
        <v/>
      </c>
      <c r="T397">
        <f>HYPERLINK("https://klasma.github.io/Logging_2182/kartor/A 18546-2024 karta.png", "A 18546-2024")</f>
        <v/>
      </c>
      <c r="V397">
        <f>HYPERLINK("https://klasma.github.io/Logging_2182/klagomål/A 18546-2024 FSC-klagomål.docx", "A 18546-2024")</f>
        <v/>
      </c>
      <c r="W397">
        <f>HYPERLINK("https://klasma.github.io/Logging_2182/klagomålsmail/A 18546-2024 FSC-klagomål mail.docx", "A 18546-2024")</f>
        <v/>
      </c>
      <c r="X397">
        <f>HYPERLINK("https://klasma.github.io/Logging_2182/tillsyn/A 18546-2024 tillsynsbegäran.docx", "A 18546-2024")</f>
        <v/>
      </c>
      <c r="Y397">
        <f>HYPERLINK("https://klasma.github.io/Logging_2182/tillsynsmail/A 18546-2024 tillsynsbegäran mail.docx", "A 18546-2024")</f>
        <v/>
      </c>
      <c r="Z397">
        <f>HYPERLINK("https://klasma.github.io/Logging_2182/fåglar/A 18546-2024 prioriterade fågelarter.docx", "A 18546-2024")</f>
        <v/>
      </c>
    </row>
    <row r="398" ht="15" customHeight="1">
      <c r="A398" t="inlineStr">
        <is>
          <t>A 26415-2025</t>
        </is>
      </c>
      <c r="B398" s="1" t="n">
        <v>45807.361875</v>
      </c>
      <c r="C398" s="1" t="n">
        <v>46086</v>
      </c>
      <c r="D398" t="inlineStr">
        <is>
          <t>GÄVLEBORGS LÄN</t>
        </is>
      </c>
      <c r="E398" t="inlineStr">
        <is>
          <t>LJUSDAL</t>
        </is>
      </c>
      <c r="F398" t="inlineStr">
        <is>
          <t>Naturvårdsverket</t>
        </is>
      </c>
      <c r="G398" t="n">
        <v>16.2</v>
      </c>
      <c r="H398" t="n">
        <v>2</v>
      </c>
      <c r="I398" t="n">
        <v>0</v>
      </c>
      <c r="J398" t="n">
        <v>1</v>
      </c>
      <c r="K398" t="n">
        <v>0</v>
      </c>
      <c r="L398" t="n">
        <v>0</v>
      </c>
      <c r="M398" t="n">
        <v>0</v>
      </c>
      <c r="N398" t="n">
        <v>0</v>
      </c>
      <c r="O398" t="n">
        <v>1</v>
      </c>
      <c r="P398" t="n">
        <v>0</v>
      </c>
      <c r="Q398" t="n">
        <v>2</v>
      </c>
      <c r="R398" s="2" t="inlineStr">
        <is>
          <t>Spillkråka
Revlummer</t>
        </is>
      </c>
      <c r="S398">
        <f>HYPERLINK("https://klasma.github.io/Logging_2161/artfynd/A 26415-2025 artfynd.xlsx", "A 26415-2025")</f>
        <v/>
      </c>
      <c r="T398">
        <f>HYPERLINK("https://klasma.github.io/Logging_2161/kartor/A 26415-2025 karta.png", "A 26415-2025")</f>
        <v/>
      </c>
      <c r="V398">
        <f>HYPERLINK("https://klasma.github.io/Logging_2161/klagomål/A 26415-2025 FSC-klagomål.docx", "A 26415-2025")</f>
        <v/>
      </c>
      <c r="W398">
        <f>HYPERLINK("https://klasma.github.io/Logging_2161/klagomålsmail/A 26415-2025 FSC-klagomål mail.docx", "A 26415-2025")</f>
        <v/>
      </c>
      <c r="X398">
        <f>HYPERLINK("https://klasma.github.io/Logging_2161/tillsyn/A 26415-2025 tillsynsbegäran.docx", "A 26415-2025")</f>
        <v/>
      </c>
      <c r="Y398">
        <f>HYPERLINK("https://klasma.github.io/Logging_2161/tillsynsmail/A 26415-2025 tillsynsbegäran mail.docx", "A 26415-2025")</f>
        <v/>
      </c>
      <c r="Z398">
        <f>HYPERLINK("https://klasma.github.io/Logging_2161/fåglar/A 26415-2025 prioriterade fågelarter.docx", "A 26415-2025")</f>
        <v/>
      </c>
    </row>
    <row r="399" ht="15" customHeight="1">
      <c r="A399" t="inlineStr">
        <is>
          <t>A 27966-2022</t>
        </is>
      </c>
      <c r="B399" s="1" t="n">
        <v>44744</v>
      </c>
      <c r="C399" s="1" t="n">
        <v>46086</v>
      </c>
      <c r="D399" t="inlineStr">
        <is>
          <t>GÄVLEBORGS LÄN</t>
        </is>
      </c>
      <c r="E399" t="inlineStr">
        <is>
          <t>SANDVIKEN</t>
        </is>
      </c>
      <c r="G399" t="n">
        <v>2.6</v>
      </c>
      <c r="H399" t="n">
        <v>0</v>
      </c>
      <c r="I399" t="n">
        <v>0</v>
      </c>
      <c r="J399" t="n">
        <v>1</v>
      </c>
      <c r="K399" t="n">
        <v>0</v>
      </c>
      <c r="L399" t="n">
        <v>0</v>
      </c>
      <c r="M399" t="n">
        <v>0</v>
      </c>
      <c r="N399" t="n">
        <v>0</v>
      </c>
      <c r="O399" t="n">
        <v>1</v>
      </c>
      <c r="P399" t="n">
        <v>0</v>
      </c>
      <c r="Q399" t="n">
        <v>1</v>
      </c>
      <c r="R399" s="2" t="inlineStr">
        <is>
          <t>Kortskaftad ärgspik</t>
        </is>
      </c>
      <c r="S399">
        <f>HYPERLINK("https://klasma.github.io/Logging_2181/artfynd/A 27966-2022 artfynd.xlsx", "A 27966-2022")</f>
        <v/>
      </c>
      <c r="T399">
        <f>HYPERLINK("https://klasma.github.io/Logging_2181/kartor/A 27966-2022 karta.png", "A 27966-2022")</f>
        <v/>
      </c>
      <c r="V399">
        <f>HYPERLINK("https://klasma.github.io/Logging_2181/klagomål/A 27966-2022 FSC-klagomål.docx", "A 27966-2022")</f>
        <v/>
      </c>
      <c r="W399">
        <f>HYPERLINK("https://klasma.github.io/Logging_2181/klagomålsmail/A 27966-2022 FSC-klagomål mail.docx", "A 27966-2022")</f>
        <v/>
      </c>
      <c r="X399">
        <f>HYPERLINK("https://klasma.github.io/Logging_2181/tillsyn/A 27966-2022 tillsynsbegäran.docx", "A 27966-2022")</f>
        <v/>
      </c>
      <c r="Y399">
        <f>HYPERLINK("https://klasma.github.io/Logging_2181/tillsynsmail/A 27966-2022 tillsynsbegäran mail.docx", "A 27966-2022")</f>
        <v/>
      </c>
    </row>
    <row r="400" ht="15" customHeight="1">
      <c r="A400" t="inlineStr">
        <is>
          <t>A 38115-2021</t>
        </is>
      </c>
      <c r="B400" s="1" t="n">
        <v>44405</v>
      </c>
      <c r="C400" s="1" t="n">
        <v>46086</v>
      </c>
      <c r="D400" t="inlineStr">
        <is>
          <t>GÄVLEBORGS LÄN</t>
        </is>
      </c>
      <c r="E400" t="inlineStr">
        <is>
          <t>LJUSDAL</t>
        </is>
      </c>
      <c r="F400" t="inlineStr">
        <is>
          <t>Sveaskog</t>
        </is>
      </c>
      <c r="G400" t="n">
        <v>2.7</v>
      </c>
      <c r="H400" t="n">
        <v>1</v>
      </c>
      <c r="I400" t="n">
        <v>0</v>
      </c>
      <c r="J400" t="n">
        <v>0</v>
      </c>
      <c r="K400" t="n">
        <v>1</v>
      </c>
      <c r="L400" t="n">
        <v>0</v>
      </c>
      <c r="M400" t="n">
        <v>0</v>
      </c>
      <c r="N400" t="n">
        <v>0</v>
      </c>
      <c r="O400" t="n">
        <v>1</v>
      </c>
      <c r="P400" t="n">
        <v>1</v>
      </c>
      <c r="Q400" t="n">
        <v>1</v>
      </c>
      <c r="R400" s="2" t="inlineStr">
        <is>
          <t>Knärot</t>
        </is>
      </c>
      <c r="S400">
        <f>HYPERLINK("https://klasma.github.io/Logging_2161/artfynd/A 38115-2021 artfynd.xlsx", "A 38115-2021")</f>
        <v/>
      </c>
      <c r="T400">
        <f>HYPERLINK("https://klasma.github.io/Logging_2161/kartor/A 38115-2021 karta.png", "A 38115-2021")</f>
        <v/>
      </c>
      <c r="U400">
        <f>HYPERLINK("https://klasma.github.io/Logging_2161/knärot/A 38115-2021 karta knärot.png", "A 38115-2021")</f>
        <v/>
      </c>
      <c r="V400">
        <f>HYPERLINK("https://klasma.github.io/Logging_2161/klagomål/A 38115-2021 FSC-klagomål.docx", "A 38115-2021")</f>
        <v/>
      </c>
      <c r="W400">
        <f>HYPERLINK("https://klasma.github.io/Logging_2161/klagomålsmail/A 38115-2021 FSC-klagomål mail.docx", "A 38115-2021")</f>
        <v/>
      </c>
      <c r="X400">
        <f>HYPERLINK("https://klasma.github.io/Logging_2161/tillsyn/A 38115-2021 tillsynsbegäran.docx", "A 38115-2021")</f>
        <v/>
      </c>
      <c r="Y400">
        <f>HYPERLINK("https://klasma.github.io/Logging_2161/tillsynsmail/A 38115-2021 tillsynsbegäran mail.docx", "A 38115-2021")</f>
        <v/>
      </c>
    </row>
    <row r="401" ht="15" customHeight="1">
      <c r="A401" t="inlineStr">
        <is>
          <t>A 23857-2022</t>
        </is>
      </c>
      <c r="B401" s="1" t="n">
        <v>44722.54952546296</v>
      </c>
      <c r="C401" s="1" t="n">
        <v>46086</v>
      </c>
      <c r="D401" t="inlineStr">
        <is>
          <t>GÄVLEBORGS LÄN</t>
        </is>
      </c>
      <c r="E401" t="inlineStr">
        <is>
          <t>LJUSDAL</t>
        </is>
      </c>
      <c r="F401" t="inlineStr">
        <is>
          <t>Sveaskog</t>
        </is>
      </c>
      <c r="G401" t="n">
        <v>5.5</v>
      </c>
      <c r="H401" t="n">
        <v>0</v>
      </c>
      <c r="I401" t="n">
        <v>0</v>
      </c>
      <c r="J401" t="n">
        <v>1</v>
      </c>
      <c r="K401" t="n">
        <v>0</v>
      </c>
      <c r="L401" t="n">
        <v>0</v>
      </c>
      <c r="M401" t="n">
        <v>0</v>
      </c>
      <c r="N401" t="n">
        <v>0</v>
      </c>
      <c r="O401" t="n">
        <v>1</v>
      </c>
      <c r="P401" t="n">
        <v>0</v>
      </c>
      <c r="Q401" t="n">
        <v>1</v>
      </c>
      <c r="R401" s="2" t="inlineStr">
        <is>
          <t>Lunglav</t>
        </is>
      </c>
      <c r="S401">
        <f>HYPERLINK("https://klasma.github.io/Logging_2161/artfynd/A 23857-2022 artfynd.xlsx", "A 23857-2022")</f>
        <v/>
      </c>
      <c r="T401">
        <f>HYPERLINK("https://klasma.github.io/Logging_2161/kartor/A 23857-2022 karta.png", "A 23857-2022")</f>
        <v/>
      </c>
      <c r="V401">
        <f>HYPERLINK("https://klasma.github.io/Logging_2161/klagomål/A 23857-2022 FSC-klagomål.docx", "A 23857-2022")</f>
        <v/>
      </c>
      <c r="W401">
        <f>HYPERLINK("https://klasma.github.io/Logging_2161/klagomålsmail/A 23857-2022 FSC-klagomål mail.docx", "A 23857-2022")</f>
        <v/>
      </c>
      <c r="X401">
        <f>HYPERLINK("https://klasma.github.io/Logging_2161/tillsyn/A 23857-2022 tillsynsbegäran.docx", "A 23857-2022")</f>
        <v/>
      </c>
      <c r="Y401">
        <f>HYPERLINK("https://klasma.github.io/Logging_2161/tillsynsmail/A 23857-2022 tillsynsbegäran mail.docx", "A 23857-2022")</f>
        <v/>
      </c>
    </row>
    <row r="402" ht="15" customHeight="1">
      <c r="A402" t="inlineStr">
        <is>
          <t>A 53487-2022</t>
        </is>
      </c>
      <c r="B402" s="1" t="n">
        <v>44879.56619212963</v>
      </c>
      <c r="C402" s="1" t="n">
        <v>46086</v>
      </c>
      <c r="D402" t="inlineStr">
        <is>
          <t>GÄVLEBORGS LÄN</t>
        </is>
      </c>
      <c r="E402" t="inlineStr">
        <is>
          <t>LJUSDAL</t>
        </is>
      </c>
      <c r="G402" t="n">
        <v>1.7</v>
      </c>
      <c r="H402" t="n">
        <v>0</v>
      </c>
      <c r="I402" t="n">
        <v>0</v>
      </c>
      <c r="J402" t="n">
        <v>1</v>
      </c>
      <c r="K402" t="n">
        <v>0</v>
      </c>
      <c r="L402" t="n">
        <v>0</v>
      </c>
      <c r="M402" t="n">
        <v>0</v>
      </c>
      <c r="N402" t="n">
        <v>0</v>
      </c>
      <c r="O402" t="n">
        <v>1</v>
      </c>
      <c r="P402" t="n">
        <v>0</v>
      </c>
      <c r="Q402" t="n">
        <v>1</v>
      </c>
      <c r="R402" s="2" t="inlineStr">
        <is>
          <t>Garnlav</t>
        </is>
      </c>
      <c r="S402">
        <f>HYPERLINK("https://klasma.github.io/Logging_2161/artfynd/A 53487-2022 artfynd.xlsx", "A 53487-2022")</f>
        <v/>
      </c>
      <c r="T402">
        <f>HYPERLINK("https://klasma.github.io/Logging_2161/kartor/A 53487-2022 karta.png", "A 53487-2022")</f>
        <v/>
      </c>
      <c r="V402">
        <f>HYPERLINK("https://klasma.github.io/Logging_2161/klagomål/A 53487-2022 FSC-klagomål.docx", "A 53487-2022")</f>
        <v/>
      </c>
      <c r="W402">
        <f>HYPERLINK("https://klasma.github.io/Logging_2161/klagomålsmail/A 53487-2022 FSC-klagomål mail.docx", "A 53487-2022")</f>
        <v/>
      </c>
      <c r="X402">
        <f>HYPERLINK("https://klasma.github.io/Logging_2161/tillsyn/A 53487-2022 tillsynsbegäran.docx", "A 53487-2022")</f>
        <v/>
      </c>
      <c r="Y402">
        <f>HYPERLINK("https://klasma.github.io/Logging_2161/tillsynsmail/A 53487-2022 tillsynsbegäran mail.docx", "A 53487-2022")</f>
        <v/>
      </c>
    </row>
    <row r="403" ht="15" customHeight="1">
      <c r="A403" t="inlineStr">
        <is>
          <t>A 44694-2021</t>
        </is>
      </c>
      <c r="B403" s="1" t="n">
        <v>44438</v>
      </c>
      <c r="C403" s="1" t="n">
        <v>46086</v>
      </c>
      <c r="D403" t="inlineStr">
        <is>
          <t>GÄVLEBORGS LÄN</t>
        </is>
      </c>
      <c r="E403" t="inlineStr">
        <is>
          <t>LJUSDAL</t>
        </is>
      </c>
      <c r="F403" t="inlineStr">
        <is>
          <t>Sveaskog</t>
        </is>
      </c>
      <c r="G403" t="n">
        <v>3.2</v>
      </c>
      <c r="H403" t="n">
        <v>0</v>
      </c>
      <c r="I403" t="n">
        <v>0</v>
      </c>
      <c r="J403" t="n">
        <v>1</v>
      </c>
      <c r="K403" t="n">
        <v>0</v>
      </c>
      <c r="L403" t="n">
        <v>0</v>
      </c>
      <c r="M403" t="n">
        <v>0</v>
      </c>
      <c r="N403" t="n">
        <v>0</v>
      </c>
      <c r="O403" t="n">
        <v>1</v>
      </c>
      <c r="P403" t="n">
        <v>0</v>
      </c>
      <c r="Q403" t="n">
        <v>1</v>
      </c>
      <c r="R403" s="2" t="inlineStr">
        <is>
          <t>Granticka</t>
        </is>
      </c>
      <c r="S403">
        <f>HYPERLINK("https://klasma.github.io/Logging_2161/artfynd/A 44694-2021 artfynd.xlsx", "A 44694-2021")</f>
        <v/>
      </c>
      <c r="T403">
        <f>HYPERLINK("https://klasma.github.io/Logging_2161/kartor/A 44694-2021 karta.png", "A 44694-2021")</f>
        <v/>
      </c>
      <c r="V403">
        <f>HYPERLINK("https://klasma.github.io/Logging_2161/klagomål/A 44694-2021 FSC-klagomål.docx", "A 44694-2021")</f>
        <v/>
      </c>
      <c r="W403">
        <f>HYPERLINK("https://klasma.github.io/Logging_2161/klagomålsmail/A 44694-2021 FSC-klagomål mail.docx", "A 44694-2021")</f>
        <v/>
      </c>
      <c r="X403">
        <f>HYPERLINK("https://klasma.github.io/Logging_2161/tillsyn/A 44694-2021 tillsynsbegäran.docx", "A 44694-2021")</f>
        <v/>
      </c>
      <c r="Y403">
        <f>HYPERLINK("https://klasma.github.io/Logging_2161/tillsynsmail/A 44694-2021 tillsynsbegäran mail.docx", "A 44694-2021")</f>
        <v/>
      </c>
    </row>
    <row r="404" ht="15" customHeight="1">
      <c r="A404" t="inlineStr">
        <is>
          <t>A 34345-2022</t>
        </is>
      </c>
      <c r="B404" s="1" t="n">
        <v>44792</v>
      </c>
      <c r="C404" s="1" t="n">
        <v>46086</v>
      </c>
      <c r="D404" t="inlineStr">
        <is>
          <t>GÄVLEBORGS LÄN</t>
        </is>
      </c>
      <c r="E404" t="inlineStr">
        <is>
          <t>HUDIKSVALL</t>
        </is>
      </c>
      <c r="F404" t="inlineStr">
        <is>
          <t>Holmen skog AB</t>
        </is>
      </c>
      <c r="G404" t="n">
        <v>4.4</v>
      </c>
      <c r="H404" t="n">
        <v>0</v>
      </c>
      <c r="I404" t="n">
        <v>1</v>
      </c>
      <c r="J404" t="n">
        <v>0</v>
      </c>
      <c r="K404" t="n">
        <v>0</v>
      </c>
      <c r="L404" t="n">
        <v>0</v>
      </c>
      <c r="M404" t="n">
        <v>0</v>
      </c>
      <c r="N404" t="n">
        <v>0</v>
      </c>
      <c r="O404" t="n">
        <v>0</v>
      </c>
      <c r="P404" t="n">
        <v>0</v>
      </c>
      <c r="Q404" t="n">
        <v>1</v>
      </c>
      <c r="R404" s="2" t="inlineStr">
        <is>
          <t>Stuplav</t>
        </is>
      </c>
      <c r="S404">
        <f>HYPERLINK("https://klasma.github.io/Logging_2184/artfynd/A 34345-2022 artfynd.xlsx", "A 34345-2022")</f>
        <v/>
      </c>
      <c r="T404">
        <f>HYPERLINK("https://klasma.github.io/Logging_2184/kartor/A 34345-2022 karta.png", "A 34345-2022")</f>
        <v/>
      </c>
      <c r="V404">
        <f>HYPERLINK("https://klasma.github.io/Logging_2184/klagomål/A 34345-2022 FSC-klagomål.docx", "A 34345-2022")</f>
        <v/>
      </c>
      <c r="W404">
        <f>HYPERLINK("https://klasma.github.io/Logging_2184/klagomålsmail/A 34345-2022 FSC-klagomål mail.docx", "A 34345-2022")</f>
        <v/>
      </c>
      <c r="X404">
        <f>HYPERLINK("https://klasma.github.io/Logging_2184/tillsyn/A 34345-2022 tillsynsbegäran.docx", "A 34345-2022")</f>
        <v/>
      </c>
      <c r="Y404">
        <f>HYPERLINK("https://klasma.github.io/Logging_2184/tillsynsmail/A 34345-2022 tillsynsbegäran mail.docx", "A 34345-2022")</f>
        <v/>
      </c>
    </row>
    <row r="405" ht="15" customHeight="1">
      <c r="A405" t="inlineStr">
        <is>
          <t>A 15102-2022</t>
        </is>
      </c>
      <c r="B405" s="1" t="n">
        <v>44658</v>
      </c>
      <c r="C405" s="1" t="n">
        <v>46086</v>
      </c>
      <c r="D405" t="inlineStr">
        <is>
          <t>GÄVLEBORGS LÄN</t>
        </is>
      </c>
      <c r="E405" t="inlineStr">
        <is>
          <t>GÄVLE</t>
        </is>
      </c>
      <c r="F405" t="inlineStr">
        <is>
          <t>Bergvik skog öst AB</t>
        </is>
      </c>
      <c r="G405" t="n">
        <v>4.5</v>
      </c>
      <c r="H405" t="n">
        <v>0</v>
      </c>
      <c r="I405" t="n">
        <v>0</v>
      </c>
      <c r="J405" t="n">
        <v>1</v>
      </c>
      <c r="K405" t="n">
        <v>0</v>
      </c>
      <c r="L405" t="n">
        <v>0</v>
      </c>
      <c r="M405" t="n">
        <v>0</v>
      </c>
      <c r="N405" t="n">
        <v>0</v>
      </c>
      <c r="O405" t="n">
        <v>1</v>
      </c>
      <c r="P405" t="n">
        <v>0</v>
      </c>
      <c r="Q405" t="n">
        <v>1</v>
      </c>
      <c r="R405" s="2" t="inlineStr">
        <is>
          <t>Sumpviol</t>
        </is>
      </c>
      <c r="S405">
        <f>HYPERLINK("https://klasma.github.io/Logging_2180/artfynd/A 15102-2022 artfynd.xlsx", "A 15102-2022")</f>
        <v/>
      </c>
      <c r="T405">
        <f>HYPERLINK("https://klasma.github.io/Logging_2180/kartor/A 15102-2022 karta.png", "A 15102-2022")</f>
        <v/>
      </c>
      <c r="V405">
        <f>HYPERLINK("https://klasma.github.io/Logging_2180/klagomål/A 15102-2022 FSC-klagomål.docx", "A 15102-2022")</f>
        <v/>
      </c>
      <c r="W405">
        <f>HYPERLINK("https://klasma.github.io/Logging_2180/klagomålsmail/A 15102-2022 FSC-klagomål mail.docx", "A 15102-2022")</f>
        <v/>
      </c>
      <c r="X405">
        <f>HYPERLINK("https://klasma.github.io/Logging_2180/tillsyn/A 15102-2022 tillsynsbegäran.docx", "A 15102-2022")</f>
        <v/>
      </c>
      <c r="Y405">
        <f>HYPERLINK("https://klasma.github.io/Logging_2180/tillsynsmail/A 15102-2022 tillsynsbegäran mail.docx", "A 15102-2022")</f>
        <v/>
      </c>
    </row>
    <row r="406" ht="15" customHeight="1">
      <c r="A406" t="inlineStr">
        <is>
          <t>A 35582-2022</t>
        </is>
      </c>
      <c r="B406" s="1" t="n">
        <v>44799.43017361111</v>
      </c>
      <c r="C406" s="1" t="n">
        <v>46086</v>
      </c>
      <c r="D406" t="inlineStr">
        <is>
          <t>GÄVLEBORGS LÄN</t>
        </is>
      </c>
      <c r="E406" t="inlineStr">
        <is>
          <t>LJUSDAL</t>
        </is>
      </c>
      <c r="F406" t="inlineStr">
        <is>
          <t>Sveaskog</t>
        </is>
      </c>
      <c r="G406" t="n">
        <v>3.3</v>
      </c>
      <c r="H406" t="n">
        <v>0</v>
      </c>
      <c r="I406" t="n">
        <v>0</v>
      </c>
      <c r="J406" t="n">
        <v>1</v>
      </c>
      <c r="K406" t="n">
        <v>0</v>
      </c>
      <c r="L406" t="n">
        <v>0</v>
      </c>
      <c r="M406" t="n">
        <v>0</v>
      </c>
      <c r="N406" t="n">
        <v>0</v>
      </c>
      <c r="O406" t="n">
        <v>1</v>
      </c>
      <c r="P406" t="n">
        <v>0</v>
      </c>
      <c r="Q406" t="n">
        <v>1</v>
      </c>
      <c r="R406" s="2" t="inlineStr">
        <is>
          <t>Lunglav</t>
        </is>
      </c>
      <c r="S406">
        <f>HYPERLINK("https://klasma.github.io/Logging_2161/artfynd/A 35582-2022 artfynd.xlsx", "A 35582-2022")</f>
        <v/>
      </c>
      <c r="T406">
        <f>HYPERLINK("https://klasma.github.io/Logging_2161/kartor/A 35582-2022 karta.png", "A 35582-2022")</f>
        <v/>
      </c>
      <c r="V406">
        <f>HYPERLINK("https://klasma.github.io/Logging_2161/klagomål/A 35582-2022 FSC-klagomål.docx", "A 35582-2022")</f>
        <v/>
      </c>
      <c r="W406">
        <f>HYPERLINK("https://klasma.github.io/Logging_2161/klagomålsmail/A 35582-2022 FSC-klagomål mail.docx", "A 35582-2022")</f>
        <v/>
      </c>
      <c r="X406">
        <f>HYPERLINK("https://klasma.github.io/Logging_2161/tillsyn/A 35582-2022 tillsynsbegäran.docx", "A 35582-2022")</f>
        <v/>
      </c>
      <c r="Y406">
        <f>HYPERLINK("https://klasma.github.io/Logging_2161/tillsynsmail/A 35582-2022 tillsynsbegäran mail.docx", "A 35582-2022")</f>
        <v/>
      </c>
    </row>
    <row r="407" ht="15" customHeight="1">
      <c r="A407" t="inlineStr">
        <is>
          <t>A 34219-2021</t>
        </is>
      </c>
      <c r="B407" s="1" t="n">
        <v>44379</v>
      </c>
      <c r="C407" s="1" t="n">
        <v>46086</v>
      </c>
      <c r="D407" t="inlineStr">
        <is>
          <t>GÄVLEBORGS LÄN</t>
        </is>
      </c>
      <c r="E407" t="inlineStr">
        <is>
          <t>OVANÅKER</t>
        </is>
      </c>
      <c r="F407" t="inlineStr">
        <is>
          <t>Kyrkan</t>
        </is>
      </c>
      <c r="G407" t="n">
        <v>24.7</v>
      </c>
      <c r="H407" t="n">
        <v>1</v>
      </c>
      <c r="I407" t="n">
        <v>0</v>
      </c>
      <c r="J407" t="n">
        <v>1</v>
      </c>
      <c r="K407" t="n">
        <v>0</v>
      </c>
      <c r="L407" t="n">
        <v>0</v>
      </c>
      <c r="M407" t="n">
        <v>0</v>
      </c>
      <c r="N407" t="n">
        <v>0</v>
      </c>
      <c r="O407" t="n">
        <v>1</v>
      </c>
      <c r="P407" t="n">
        <v>0</v>
      </c>
      <c r="Q407" t="n">
        <v>1</v>
      </c>
      <c r="R407" s="2" t="inlineStr">
        <is>
          <t>Svartvit flugsnappare</t>
        </is>
      </c>
      <c r="S407">
        <f>HYPERLINK("https://klasma.github.io/Logging_2121/artfynd/A 34219-2021 artfynd.xlsx", "A 34219-2021")</f>
        <v/>
      </c>
      <c r="T407">
        <f>HYPERLINK("https://klasma.github.io/Logging_2121/kartor/A 34219-2021 karta.png", "A 34219-2021")</f>
        <v/>
      </c>
      <c r="V407">
        <f>HYPERLINK("https://klasma.github.io/Logging_2121/klagomål/A 34219-2021 FSC-klagomål.docx", "A 34219-2021")</f>
        <v/>
      </c>
      <c r="W407">
        <f>HYPERLINK("https://klasma.github.io/Logging_2121/klagomålsmail/A 34219-2021 FSC-klagomål mail.docx", "A 34219-2021")</f>
        <v/>
      </c>
      <c r="X407">
        <f>HYPERLINK("https://klasma.github.io/Logging_2121/tillsyn/A 34219-2021 tillsynsbegäran.docx", "A 34219-2021")</f>
        <v/>
      </c>
      <c r="Y407">
        <f>HYPERLINK("https://klasma.github.io/Logging_2121/tillsynsmail/A 34219-2021 tillsynsbegäran mail.docx", "A 34219-2021")</f>
        <v/>
      </c>
      <c r="Z407">
        <f>HYPERLINK("https://klasma.github.io/Logging_2121/fåglar/A 34219-2021 prioriterade fågelarter.docx", "A 34219-2021")</f>
        <v/>
      </c>
    </row>
    <row r="408" ht="15" customHeight="1">
      <c r="A408" t="inlineStr">
        <is>
          <t>A 64604-2021</t>
        </is>
      </c>
      <c r="B408" s="1" t="n">
        <v>44511</v>
      </c>
      <c r="C408" s="1" t="n">
        <v>46086</v>
      </c>
      <c r="D408" t="inlineStr">
        <is>
          <t>GÄVLEBORGS LÄN</t>
        </is>
      </c>
      <c r="E408" t="inlineStr">
        <is>
          <t>HOFORS</t>
        </is>
      </c>
      <c r="F408" t="inlineStr">
        <is>
          <t>Kyrkan</t>
        </is>
      </c>
      <c r="G408" t="n">
        <v>1.7</v>
      </c>
      <c r="H408" t="n">
        <v>0</v>
      </c>
      <c r="I408" t="n">
        <v>1</v>
      </c>
      <c r="J408" t="n">
        <v>0</v>
      </c>
      <c r="K408" t="n">
        <v>0</v>
      </c>
      <c r="L408" t="n">
        <v>0</v>
      </c>
      <c r="M408" t="n">
        <v>0</v>
      </c>
      <c r="N408" t="n">
        <v>0</v>
      </c>
      <c r="O408" t="n">
        <v>0</v>
      </c>
      <c r="P408" t="n">
        <v>0</v>
      </c>
      <c r="Q408" t="n">
        <v>1</v>
      </c>
      <c r="R408" s="2" t="inlineStr">
        <is>
          <t>Bågpraktmossa</t>
        </is>
      </c>
      <c r="S408">
        <f>HYPERLINK("https://klasma.github.io/Logging_2104/artfynd/A 64604-2021 artfynd.xlsx", "A 64604-2021")</f>
        <v/>
      </c>
      <c r="T408">
        <f>HYPERLINK("https://klasma.github.io/Logging_2104/kartor/A 64604-2021 karta.png", "A 64604-2021")</f>
        <v/>
      </c>
      <c r="V408">
        <f>HYPERLINK("https://klasma.github.io/Logging_2104/klagomål/A 64604-2021 FSC-klagomål.docx", "A 64604-2021")</f>
        <v/>
      </c>
      <c r="W408">
        <f>HYPERLINK("https://klasma.github.io/Logging_2104/klagomålsmail/A 64604-2021 FSC-klagomål mail.docx", "A 64604-2021")</f>
        <v/>
      </c>
      <c r="X408">
        <f>HYPERLINK("https://klasma.github.io/Logging_2104/tillsyn/A 64604-2021 tillsynsbegäran.docx", "A 64604-2021")</f>
        <v/>
      </c>
      <c r="Y408">
        <f>HYPERLINK("https://klasma.github.io/Logging_2104/tillsynsmail/A 64604-2021 tillsynsbegäran mail.docx", "A 64604-2021")</f>
        <v/>
      </c>
    </row>
    <row r="409" ht="15" customHeight="1">
      <c r="A409" t="inlineStr">
        <is>
          <t>A 63033-2021</t>
        </is>
      </c>
      <c r="B409" s="1" t="n">
        <v>44505.46231481482</v>
      </c>
      <c r="C409" s="1" t="n">
        <v>46086</v>
      </c>
      <c r="D409" t="inlineStr">
        <is>
          <t>GÄVLEBORGS LÄN</t>
        </is>
      </c>
      <c r="E409" t="inlineStr">
        <is>
          <t>SANDVIKEN</t>
        </is>
      </c>
      <c r="G409" t="n">
        <v>0.5</v>
      </c>
      <c r="H409" t="n">
        <v>1</v>
      </c>
      <c r="I409" t="n">
        <v>0</v>
      </c>
      <c r="J409" t="n">
        <v>1</v>
      </c>
      <c r="K409" t="n">
        <v>0</v>
      </c>
      <c r="L409" t="n">
        <v>0</v>
      </c>
      <c r="M409" t="n">
        <v>0</v>
      </c>
      <c r="N409" t="n">
        <v>0</v>
      </c>
      <c r="O409" t="n">
        <v>1</v>
      </c>
      <c r="P409" t="n">
        <v>0</v>
      </c>
      <c r="Q409" t="n">
        <v>1</v>
      </c>
      <c r="R409" s="2" t="inlineStr">
        <is>
          <t>Talltita</t>
        </is>
      </c>
      <c r="S409">
        <f>HYPERLINK("https://klasma.github.io/Logging_2181/artfynd/A 63033-2021 artfynd.xlsx", "A 63033-2021")</f>
        <v/>
      </c>
      <c r="T409">
        <f>HYPERLINK("https://klasma.github.io/Logging_2181/kartor/A 63033-2021 karta.png", "A 63033-2021")</f>
        <v/>
      </c>
      <c r="V409">
        <f>HYPERLINK("https://klasma.github.io/Logging_2181/klagomål/A 63033-2021 FSC-klagomål.docx", "A 63033-2021")</f>
        <v/>
      </c>
      <c r="W409">
        <f>HYPERLINK("https://klasma.github.io/Logging_2181/klagomålsmail/A 63033-2021 FSC-klagomål mail.docx", "A 63033-2021")</f>
        <v/>
      </c>
      <c r="X409">
        <f>HYPERLINK("https://klasma.github.io/Logging_2181/tillsyn/A 63033-2021 tillsynsbegäran.docx", "A 63033-2021")</f>
        <v/>
      </c>
      <c r="Y409">
        <f>HYPERLINK("https://klasma.github.io/Logging_2181/tillsynsmail/A 63033-2021 tillsynsbegäran mail.docx", "A 63033-2021")</f>
        <v/>
      </c>
      <c r="Z409">
        <f>HYPERLINK("https://klasma.github.io/Logging_2181/fåglar/A 63033-2021 prioriterade fågelarter.docx", "A 63033-2021")</f>
        <v/>
      </c>
    </row>
    <row r="410" ht="15" customHeight="1">
      <c r="A410" t="inlineStr">
        <is>
          <t>A 13261-2021</t>
        </is>
      </c>
      <c r="B410" s="1" t="n">
        <v>44272</v>
      </c>
      <c r="C410" s="1" t="n">
        <v>46086</v>
      </c>
      <c r="D410" t="inlineStr">
        <is>
          <t>GÄVLEBORGS LÄN</t>
        </is>
      </c>
      <c r="E410" t="inlineStr">
        <is>
          <t>GÄVLE</t>
        </is>
      </c>
      <c r="G410" t="n">
        <v>4.7</v>
      </c>
      <c r="H410" t="n">
        <v>0</v>
      </c>
      <c r="I410" t="n">
        <v>0</v>
      </c>
      <c r="J410" t="n">
        <v>1</v>
      </c>
      <c r="K410" t="n">
        <v>0</v>
      </c>
      <c r="L410" t="n">
        <v>0</v>
      </c>
      <c r="M410" t="n">
        <v>0</v>
      </c>
      <c r="N410" t="n">
        <v>0</v>
      </c>
      <c r="O410" t="n">
        <v>1</v>
      </c>
      <c r="P410" t="n">
        <v>0</v>
      </c>
      <c r="Q410" t="n">
        <v>1</v>
      </c>
      <c r="R410" s="2" t="inlineStr">
        <is>
          <t>Motaggsvamp</t>
        </is>
      </c>
      <c r="S410">
        <f>HYPERLINK("https://klasma.github.io/Logging_2180/artfynd/A 13261-2021 artfynd.xlsx", "A 13261-2021")</f>
        <v/>
      </c>
      <c r="T410">
        <f>HYPERLINK("https://klasma.github.io/Logging_2180/kartor/A 13261-2021 karta.png", "A 13261-2021")</f>
        <v/>
      </c>
      <c r="V410">
        <f>HYPERLINK("https://klasma.github.io/Logging_2180/klagomål/A 13261-2021 FSC-klagomål.docx", "A 13261-2021")</f>
        <v/>
      </c>
      <c r="W410">
        <f>HYPERLINK("https://klasma.github.io/Logging_2180/klagomålsmail/A 13261-2021 FSC-klagomål mail.docx", "A 13261-2021")</f>
        <v/>
      </c>
      <c r="X410">
        <f>HYPERLINK("https://klasma.github.io/Logging_2180/tillsyn/A 13261-2021 tillsynsbegäran.docx", "A 13261-2021")</f>
        <v/>
      </c>
      <c r="Y410">
        <f>HYPERLINK("https://klasma.github.io/Logging_2180/tillsynsmail/A 13261-2021 tillsynsbegäran mail.docx", "A 13261-2021")</f>
        <v/>
      </c>
    </row>
    <row r="411" ht="15" customHeight="1">
      <c r="A411" t="inlineStr">
        <is>
          <t>A 56589-2021</t>
        </is>
      </c>
      <c r="B411" s="1" t="n">
        <v>44480</v>
      </c>
      <c r="C411" s="1" t="n">
        <v>46086</v>
      </c>
      <c r="D411" t="inlineStr">
        <is>
          <t>GÄVLEBORGS LÄN</t>
        </is>
      </c>
      <c r="E411" t="inlineStr">
        <is>
          <t>LJUSDAL</t>
        </is>
      </c>
      <c r="G411" t="n">
        <v>11.4</v>
      </c>
      <c r="H411" t="n">
        <v>1</v>
      </c>
      <c r="I411" t="n">
        <v>0</v>
      </c>
      <c r="J411" t="n">
        <v>0</v>
      </c>
      <c r="K411" t="n">
        <v>1</v>
      </c>
      <c r="L411" t="n">
        <v>0</v>
      </c>
      <c r="M411" t="n">
        <v>0</v>
      </c>
      <c r="N411" t="n">
        <v>0</v>
      </c>
      <c r="O411" t="n">
        <v>1</v>
      </c>
      <c r="P411" t="n">
        <v>1</v>
      </c>
      <c r="Q411" t="n">
        <v>1</v>
      </c>
      <c r="R411" s="2" t="inlineStr">
        <is>
          <t>Tallbit</t>
        </is>
      </c>
      <c r="S411">
        <f>HYPERLINK("https://klasma.github.io/Logging_2161/artfynd/A 56589-2021 artfynd.xlsx", "A 56589-2021")</f>
        <v/>
      </c>
      <c r="T411">
        <f>HYPERLINK("https://klasma.github.io/Logging_2161/kartor/A 56589-2021 karta.png", "A 56589-2021")</f>
        <v/>
      </c>
      <c r="V411">
        <f>HYPERLINK("https://klasma.github.io/Logging_2161/klagomål/A 56589-2021 FSC-klagomål.docx", "A 56589-2021")</f>
        <v/>
      </c>
      <c r="W411">
        <f>HYPERLINK("https://klasma.github.io/Logging_2161/klagomålsmail/A 56589-2021 FSC-klagomål mail.docx", "A 56589-2021")</f>
        <v/>
      </c>
      <c r="X411">
        <f>HYPERLINK("https://klasma.github.io/Logging_2161/tillsyn/A 56589-2021 tillsynsbegäran.docx", "A 56589-2021")</f>
        <v/>
      </c>
      <c r="Y411">
        <f>HYPERLINK("https://klasma.github.io/Logging_2161/tillsynsmail/A 56589-2021 tillsynsbegäran mail.docx", "A 56589-2021")</f>
        <v/>
      </c>
      <c r="Z411">
        <f>HYPERLINK("https://klasma.github.io/Logging_2161/fåglar/A 56589-2021 prioriterade fågelarter.docx", "A 56589-2021")</f>
        <v/>
      </c>
    </row>
    <row r="412" ht="15" customHeight="1">
      <c r="A412" t="inlineStr">
        <is>
          <t>A 68162-2021</t>
        </is>
      </c>
      <c r="B412" s="1" t="n">
        <v>44526</v>
      </c>
      <c r="C412" s="1" t="n">
        <v>46086</v>
      </c>
      <c r="D412" t="inlineStr">
        <is>
          <t>GÄVLEBORGS LÄN</t>
        </is>
      </c>
      <c r="E412" t="inlineStr">
        <is>
          <t>HUDIKSVALL</t>
        </is>
      </c>
      <c r="G412" t="n">
        <v>1.1</v>
      </c>
      <c r="H412" t="n">
        <v>1</v>
      </c>
      <c r="I412" t="n">
        <v>0</v>
      </c>
      <c r="J412" t="n">
        <v>0</v>
      </c>
      <c r="K412" t="n">
        <v>0</v>
      </c>
      <c r="L412" t="n">
        <v>0</v>
      </c>
      <c r="M412" t="n">
        <v>0</v>
      </c>
      <c r="N412" t="n">
        <v>0</v>
      </c>
      <c r="O412" t="n">
        <v>0</v>
      </c>
      <c r="P412" t="n">
        <v>0</v>
      </c>
      <c r="Q412" t="n">
        <v>1</v>
      </c>
      <c r="R412" s="2" t="inlineStr">
        <is>
          <t>Större vattensalamander</t>
        </is>
      </c>
      <c r="S412">
        <f>HYPERLINK("https://klasma.github.io/Logging_2184/artfynd/A 68162-2021 artfynd.xlsx", "A 68162-2021")</f>
        <v/>
      </c>
      <c r="T412">
        <f>HYPERLINK("https://klasma.github.io/Logging_2184/kartor/A 68162-2021 karta.png", "A 68162-2021")</f>
        <v/>
      </c>
      <c r="V412">
        <f>HYPERLINK("https://klasma.github.io/Logging_2184/klagomål/A 68162-2021 FSC-klagomål.docx", "A 68162-2021")</f>
        <v/>
      </c>
      <c r="W412">
        <f>HYPERLINK("https://klasma.github.io/Logging_2184/klagomålsmail/A 68162-2021 FSC-klagomål mail.docx", "A 68162-2021")</f>
        <v/>
      </c>
      <c r="X412">
        <f>HYPERLINK("https://klasma.github.io/Logging_2184/tillsyn/A 68162-2021 tillsynsbegäran.docx", "A 68162-2021")</f>
        <v/>
      </c>
      <c r="Y412">
        <f>HYPERLINK("https://klasma.github.io/Logging_2184/tillsynsmail/A 68162-2021 tillsynsbegäran mail.docx", "A 68162-2021")</f>
        <v/>
      </c>
    </row>
    <row r="413" ht="15" customHeight="1">
      <c r="A413" t="inlineStr">
        <is>
          <t>A 74349-2021</t>
        </is>
      </c>
      <c r="B413" s="1" t="n">
        <v>44559.54373842593</v>
      </c>
      <c r="C413" s="1" t="n">
        <v>46086</v>
      </c>
      <c r="D413" t="inlineStr">
        <is>
          <t>GÄVLEBORGS LÄN</t>
        </is>
      </c>
      <c r="E413" t="inlineStr">
        <is>
          <t>HOFORS</t>
        </is>
      </c>
      <c r="G413" t="n">
        <v>1.3</v>
      </c>
      <c r="H413" t="n">
        <v>0</v>
      </c>
      <c r="I413" t="n">
        <v>0</v>
      </c>
      <c r="J413" t="n">
        <v>1</v>
      </c>
      <c r="K413" t="n">
        <v>0</v>
      </c>
      <c r="L413" t="n">
        <v>0</v>
      </c>
      <c r="M413" t="n">
        <v>0</v>
      </c>
      <c r="N413" t="n">
        <v>0</v>
      </c>
      <c r="O413" t="n">
        <v>1</v>
      </c>
      <c r="P413" t="n">
        <v>0</v>
      </c>
      <c r="Q413" t="n">
        <v>1</v>
      </c>
      <c r="R413" s="2" t="inlineStr">
        <is>
          <t>Brunklöver</t>
        </is>
      </c>
      <c r="S413">
        <f>HYPERLINK("https://klasma.github.io/Logging_2104/artfynd/A 74349-2021 artfynd.xlsx", "A 74349-2021")</f>
        <v/>
      </c>
      <c r="T413">
        <f>HYPERLINK("https://klasma.github.io/Logging_2104/kartor/A 74349-2021 karta.png", "A 74349-2021")</f>
        <v/>
      </c>
      <c r="V413">
        <f>HYPERLINK("https://klasma.github.io/Logging_2104/klagomål/A 74349-2021 FSC-klagomål.docx", "A 74349-2021")</f>
        <v/>
      </c>
      <c r="W413">
        <f>HYPERLINK("https://klasma.github.io/Logging_2104/klagomålsmail/A 74349-2021 FSC-klagomål mail.docx", "A 74349-2021")</f>
        <v/>
      </c>
      <c r="X413">
        <f>HYPERLINK("https://klasma.github.io/Logging_2104/tillsyn/A 74349-2021 tillsynsbegäran.docx", "A 74349-2021")</f>
        <v/>
      </c>
      <c r="Y413">
        <f>HYPERLINK("https://klasma.github.io/Logging_2104/tillsynsmail/A 74349-2021 tillsynsbegäran mail.docx", "A 74349-2021")</f>
        <v/>
      </c>
    </row>
    <row r="414" ht="15" customHeight="1">
      <c r="A414" t="inlineStr">
        <is>
          <t>A 30954-2021</t>
        </is>
      </c>
      <c r="B414" s="1" t="n">
        <v>44365</v>
      </c>
      <c r="C414" s="1" t="n">
        <v>46086</v>
      </c>
      <c r="D414" t="inlineStr">
        <is>
          <t>GÄVLEBORGS LÄN</t>
        </is>
      </c>
      <c r="E414" t="inlineStr">
        <is>
          <t>OVANÅKER</t>
        </is>
      </c>
      <c r="F414" t="inlineStr">
        <is>
          <t>Sveaskog</t>
        </is>
      </c>
      <c r="G414" t="n">
        <v>2.7</v>
      </c>
      <c r="H414" t="n">
        <v>0</v>
      </c>
      <c r="I414" t="n">
        <v>1</v>
      </c>
      <c r="J414" t="n">
        <v>0</v>
      </c>
      <c r="K414" t="n">
        <v>0</v>
      </c>
      <c r="L414" t="n">
        <v>0</v>
      </c>
      <c r="M414" t="n">
        <v>0</v>
      </c>
      <c r="N414" t="n">
        <v>0</v>
      </c>
      <c r="O414" t="n">
        <v>0</v>
      </c>
      <c r="P414" t="n">
        <v>0</v>
      </c>
      <c r="Q414" t="n">
        <v>1</v>
      </c>
      <c r="R414" s="2" t="inlineStr">
        <is>
          <t>Dropptaggsvamp</t>
        </is>
      </c>
      <c r="S414">
        <f>HYPERLINK("https://klasma.github.io/Logging_2121/artfynd/A 30954-2021 artfynd.xlsx", "A 30954-2021")</f>
        <v/>
      </c>
      <c r="T414">
        <f>HYPERLINK("https://klasma.github.io/Logging_2121/kartor/A 30954-2021 karta.png", "A 30954-2021")</f>
        <v/>
      </c>
      <c r="V414">
        <f>HYPERLINK("https://klasma.github.io/Logging_2121/klagomål/A 30954-2021 FSC-klagomål.docx", "A 30954-2021")</f>
        <v/>
      </c>
      <c r="W414">
        <f>HYPERLINK("https://klasma.github.io/Logging_2121/klagomålsmail/A 30954-2021 FSC-klagomål mail.docx", "A 30954-2021")</f>
        <v/>
      </c>
      <c r="X414">
        <f>HYPERLINK("https://klasma.github.io/Logging_2121/tillsyn/A 30954-2021 tillsynsbegäran.docx", "A 30954-2021")</f>
        <v/>
      </c>
      <c r="Y414">
        <f>HYPERLINK("https://klasma.github.io/Logging_2121/tillsynsmail/A 30954-2021 tillsynsbegäran mail.docx", "A 30954-2021")</f>
        <v/>
      </c>
    </row>
    <row r="415" ht="15" customHeight="1">
      <c r="A415" t="inlineStr">
        <is>
          <t>A 52166-2021</t>
        </is>
      </c>
      <c r="B415" s="1" t="n">
        <v>44463.53784722222</v>
      </c>
      <c r="C415" s="1" t="n">
        <v>46086</v>
      </c>
      <c r="D415" t="inlineStr">
        <is>
          <t>GÄVLEBORGS LÄN</t>
        </is>
      </c>
      <c r="E415" t="inlineStr">
        <is>
          <t>OVANÅKER</t>
        </is>
      </c>
      <c r="F415" t="inlineStr">
        <is>
          <t>Sveaskog</t>
        </is>
      </c>
      <c r="G415" t="n">
        <v>0.4</v>
      </c>
      <c r="H415" t="n">
        <v>0</v>
      </c>
      <c r="I415" t="n">
        <v>1</v>
      </c>
      <c r="J415" t="n">
        <v>0</v>
      </c>
      <c r="K415" t="n">
        <v>0</v>
      </c>
      <c r="L415" t="n">
        <v>0</v>
      </c>
      <c r="M415" t="n">
        <v>0</v>
      </c>
      <c r="N415" t="n">
        <v>0</v>
      </c>
      <c r="O415" t="n">
        <v>0</v>
      </c>
      <c r="P415" t="n">
        <v>0</v>
      </c>
      <c r="Q415" t="n">
        <v>1</v>
      </c>
      <c r="R415" s="2" t="inlineStr">
        <is>
          <t>Dropptaggsvamp</t>
        </is>
      </c>
      <c r="S415">
        <f>HYPERLINK("https://klasma.github.io/Logging_2121/artfynd/A 52166-2021 artfynd.xlsx", "A 52166-2021")</f>
        <v/>
      </c>
      <c r="T415">
        <f>HYPERLINK("https://klasma.github.io/Logging_2121/kartor/A 52166-2021 karta.png", "A 52166-2021")</f>
        <v/>
      </c>
      <c r="V415">
        <f>HYPERLINK("https://klasma.github.io/Logging_2121/klagomål/A 52166-2021 FSC-klagomål.docx", "A 52166-2021")</f>
        <v/>
      </c>
      <c r="W415">
        <f>HYPERLINK("https://klasma.github.io/Logging_2121/klagomålsmail/A 52166-2021 FSC-klagomål mail.docx", "A 52166-2021")</f>
        <v/>
      </c>
      <c r="X415">
        <f>HYPERLINK("https://klasma.github.io/Logging_2121/tillsyn/A 52166-2021 tillsynsbegäran.docx", "A 52166-2021")</f>
        <v/>
      </c>
      <c r="Y415">
        <f>HYPERLINK("https://klasma.github.io/Logging_2121/tillsynsmail/A 52166-2021 tillsynsbegäran mail.docx", "A 52166-2021")</f>
        <v/>
      </c>
    </row>
    <row r="416" ht="15" customHeight="1">
      <c r="A416" t="inlineStr">
        <is>
          <t>A 59607-2021</t>
        </is>
      </c>
      <c r="B416" s="1" t="n">
        <v>44491</v>
      </c>
      <c r="C416" s="1" t="n">
        <v>46086</v>
      </c>
      <c r="D416" t="inlineStr">
        <is>
          <t>GÄVLEBORGS LÄN</t>
        </is>
      </c>
      <c r="E416" t="inlineStr">
        <is>
          <t>LJUSDAL</t>
        </is>
      </c>
      <c r="F416" t="inlineStr">
        <is>
          <t>Sveaskog</t>
        </is>
      </c>
      <c r="G416" t="n">
        <v>1.7</v>
      </c>
      <c r="H416" t="n">
        <v>1</v>
      </c>
      <c r="I416" t="n">
        <v>0</v>
      </c>
      <c r="J416" t="n">
        <v>0</v>
      </c>
      <c r="K416" t="n">
        <v>1</v>
      </c>
      <c r="L416" t="n">
        <v>0</v>
      </c>
      <c r="M416" t="n">
        <v>0</v>
      </c>
      <c r="N416" t="n">
        <v>0</v>
      </c>
      <c r="O416" t="n">
        <v>1</v>
      </c>
      <c r="P416" t="n">
        <v>1</v>
      </c>
      <c r="Q416" t="n">
        <v>1</v>
      </c>
      <c r="R416" s="2" t="inlineStr">
        <is>
          <t>Knärot</t>
        </is>
      </c>
      <c r="S416">
        <f>HYPERLINK("https://klasma.github.io/Logging_2161/artfynd/A 59607-2021 artfynd.xlsx", "A 59607-2021")</f>
        <v/>
      </c>
      <c r="T416">
        <f>HYPERLINK("https://klasma.github.io/Logging_2161/kartor/A 59607-2021 karta.png", "A 59607-2021")</f>
        <v/>
      </c>
      <c r="U416">
        <f>HYPERLINK("https://klasma.github.io/Logging_2161/knärot/A 59607-2021 karta knärot.png", "A 59607-2021")</f>
        <v/>
      </c>
      <c r="V416">
        <f>HYPERLINK("https://klasma.github.io/Logging_2161/klagomål/A 59607-2021 FSC-klagomål.docx", "A 59607-2021")</f>
        <v/>
      </c>
      <c r="W416">
        <f>HYPERLINK("https://klasma.github.io/Logging_2161/klagomålsmail/A 59607-2021 FSC-klagomål mail.docx", "A 59607-2021")</f>
        <v/>
      </c>
      <c r="X416">
        <f>HYPERLINK("https://klasma.github.io/Logging_2161/tillsyn/A 59607-2021 tillsynsbegäran.docx", "A 59607-2021")</f>
        <v/>
      </c>
      <c r="Y416">
        <f>HYPERLINK("https://klasma.github.io/Logging_2161/tillsynsmail/A 59607-2021 tillsynsbegäran mail.docx", "A 59607-2021")</f>
        <v/>
      </c>
    </row>
    <row r="417" ht="15" customHeight="1">
      <c r="A417" t="inlineStr">
        <is>
          <t>A 71122-2021</t>
        </is>
      </c>
      <c r="B417" s="1" t="n">
        <v>44539</v>
      </c>
      <c r="C417" s="1" t="n">
        <v>46086</v>
      </c>
      <c r="D417" t="inlineStr">
        <is>
          <t>GÄVLEBORGS LÄN</t>
        </is>
      </c>
      <c r="E417" t="inlineStr">
        <is>
          <t>HUDIKSVALL</t>
        </is>
      </c>
      <c r="G417" t="n">
        <v>2.6</v>
      </c>
      <c r="H417" t="n">
        <v>1</v>
      </c>
      <c r="I417" t="n">
        <v>0</v>
      </c>
      <c r="J417" t="n">
        <v>0</v>
      </c>
      <c r="K417" t="n">
        <v>1</v>
      </c>
      <c r="L417" t="n">
        <v>0</v>
      </c>
      <c r="M417" t="n">
        <v>0</v>
      </c>
      <c r="N417" t="n">
        <v>0</v>
      </c>
      <c r="O417" t="n">
        <v>1</v>
      </c>
      <c r="P417" t="n">
        <v>1</v>
      </c>
      <c r="Q417" t="n">
        <v>1</v>
      </c>
      <c r="R417" s="2" t="inlineStr">
        <is>
          <t>Knärot</t>
        </is>
      </c>
      <c r="S417">
        <f>HYPERLINK("https://klasma.github.io/Logging_2184/artfynd/A 71122-2021 artfynd.xlsx", "A 71122-2021")</f>
        <v/>
      </c>
      <c r="T417">
        <f>HYPERLINK("https://klasma.github.io/Logging_2184/kartor/A 71122-2021 karta.png", "A 71122-2021")</f>
        <v/>
      </c>
      <c r="U417">
        <f>HYPERLINK("https://klasma.github.io/Logging_2184/knärot/A 71122-2021 karta knärot.png", "A 71122-2021")</f>
        <v/>
      </c>
      <c r="V417">
        <f>HYPERLINK("https://klasma.github.io/Logging_2184/klagomål/A 71122-2021 FSC-klagomål.docx", "A 71122-2021")</f>
        <v/>
      </c>
      <c r="W417">
        <f>HYPERLINK("https://klasma.github.io/Logging_2184/klagomålsmail/A 71122-2021 FSC-klagomål mail.docx", "A 71122-2021")</f>
        <v/>
      </c>
      <c r="X417">
        <f>HYPERLINK("https://klasma.github.io/Logging_2184/tillsyn/A 71122-2021 tillsynsbegäran.docx", "A 71122-2021")</f>
        <v/>
      </c>
      <c r="Y417">
        <f>HYPERLINK("https://klasma.github.io/Logging_2184/tillsynsmail/A 71122-2021 tillsynsbegäran mail.docx", "A 71122-2021")</f>
        <v/>
      </c>
    </row>
    <row r="418" ht="15" customHeight="1">
      <c r="A418" t="inlineStr">
        <is>
          <t>A 35525-2022</t>
        </is>
      </c>
      <c r="B418" s="1" t="n">
        <v>44799.29469907407</v>
      </c>
      <c r="C418" s="1" t="n">
        <v>46086</v>
      </c>
      <c r="D418" t="inlineStr">
        <is>
          <t>GÄVLEBORGS LÄN</t>
        </is>
      </c>
      <c r="E418" t="inlineStr">
        <is>
          <t>SANDVIKEN</t>
        </is>
      </c>
      <c r="G418" t="n">
        <v>0.7</v>
      </c>
      <c r="H418" t="n">
        <v>1</v>
      </c>
      <c r="I418" t="n">
        <v>0</v>
      </c>
      <c r="J418" t="n">
        <v>0</v>
      </c>
      <c r="K418" t="n">
        <v>0</v>
      </c>
      <c r="L418" t="n">
        <v>0</v>
      </c>
      <c r="M418" t="n">
        <v>0</v>
      </c>
      <c r="N418" t="n">
        <v>0</v>
      </c>
      <c r="O418" t="n">
        <v>0</v>
      </c>
      <c r="P418" t="n">
        <v>0</v>
      </c>
      <c r="Q418" t="n">
        <v>1</v>
      </c>
      <c r="R418" s="2" t="inlineStr">
        <is>
          <t>Lopplummer (aggregat)</t>
        </is>
      </c>
      <c r="S418">
        <f>HYPERLINK("https://klasma.github.io/Logging_2181/artfynd/A 35525-2022 artfynd.xlsx", "A 35525-2022")</f>
        <v/>
      </c>
      <c r="T418">
        <f>HYPERLINK("https://klasma.github.io/Logging_2181/kartor/A 35525-2022 karta.png", "A 35525-2022")</f>
        <v/>
      </c>
      <c r="V418">
        <f>HYPERLINK("https://klasma.github.io/Logging_2181/klagomål/A 35525-2022 FSC-klagomål.docx", "A 35525-2022")</f>
        <v/>
      </c>
      <c r="W418">
        <f>HYPERLINK("https://klasma.github.io/Logging_2181/klagomålsmail/A 35525-2022 FSC-klagomål mail.docx", "A 35525-2022")</f>
        <v/>
      </c>
      <c r="X418">
        <f>HYPERLINK("https://klasma.github.io/Logging_2181/tillsyn/A 35525-2022 tillsynsbegäran.docx", "A 35525-2022")</f>
        <v/>
      </c>
      <c r="Y418">
        <f>HYPERLINK("https://klasma.github.io/Logging_2181/tillsynsmail/A 35525-2022 tillsynsbegäran mail.docx", "A 35525-2022")</f>
        <v/>
      </c>
    </row>
    <row r="419" ht="15" customHeight="1">
      <c r="A419" t="inlineStr">
        <is>
          <t>A 58845-2023</t>
        </is>
      </c>
      <c r="B419" s="1" t="n">
        <v>45252</v>
      </c>
      <c r="C419" s="1" t="n">
        <v>46086</v>
      </c>
      <c r="D419" t="inlineStr">
        <is>
          <t>GÄVLEBORGS LÄN</t>
        </is>
      </c>
      <c r="E419" t="inlineStr">
        <is>
          <t>SANDVIKEN</t>
        </is>
      </c>
      <c r="G419" t="n">
        <v>1.5</v>
      </c>
      <c r="H419" t="n">
        <v>1</v>
      </c>
      <c r="I419" t="n">
        <v>0</v>
      </c>
      <c r="J419" t="n">
        <v>0</v>
      </c>
      <c r="K419" t="n">
        <v>0</v>
      </c>
      <c r="L419" t="n">
        <v>0</v>
      </c>
      <c r="M419" t="n">
        <v>0</v>
      </c>
      <c r="N419" t="n">
        <v>0</v>
      </c>
      <c r="O419" t="n">
        <v>0</v>
      </c>
      <c r="P419" t="n">
        <v>0</v>
      </c>
      <c r="Q419" t="n">
        <v>1</v>
      </c>
      <c r="R419" s="2" t="inlineStr">
        <is>
          <t>Vanlig padda</t>
        </is>
      </c>
      <c r="S419">
        <f>HYPERLINK("https://klasma.github.io/Logging_2181/artfynd/A 58845-2023 artfynd.xlsx", "A 58845-2023")</f>
        <v/>
      </c>
      <c r="T419">
        <f>HYPERLINK("https://klasma.github.io/Logging_2181/kartor/A 58845-2023 karta.png", "A 58845-2023")</f>
        <v/>
      </c>
      <c r="V419">
        <f>HYPERLINK("https://klasma.github.io/Logging_2181/klagomål/A 58845-2023 FSC-klagomål.docx", "A 58845-2023")</f>
        <v/>
      </c>
      <c r="W419">
        <f>HYPERLINK("https://klasma.github.io/Logging_2181/klagomålsmail/A 58845-2023 FSC-klagomål mail.docx", "A 58845-2023")</f>
        <v/>
      </c>
      <c r="X419">
        <f>HYPERLINK("https://klasma.github.io/Logging_2181/tillsyn/A 58845-2023 tillsynsbegäran.docx", "A 58845-2023")</f>
        <v/>
      </c>
      <c r="Y419">
        <f>HYPERLINK("https://klasma.github.io/Logging_2181/tillsynsmail/A 58845-2023 tillsynsbegäran mail.docx", "A 58845-2023")</f>
        <v/>
      </c>
    </row>
    <row r="420" ht="15" customHeight="1">
      <c r="A420" t="inlineStr">
        <is>
          <t>A 58082-2024</t>
        </is>
      </c>
      <c r="B420" s="1" t="n">
        <v>45632.33841435185</v>
      </c>
      <c r="C420" s="1" t="n">
        <v>46086</v>
      </c>
      <c r="D420" t="inlineStr">
        <is>
          <t>GÄVLEBORGS LÄN</t>
        </is>
      </c>
      <c r="E420" t="inlineStr">
        <is>
          <t>SÖDERHAMN</t>
        </is>
      </c>
      <c r="F420" t="inlineStr">
        <is>
          <t>Bergvik skog väst AB</t>
        </is>
      </c>
      <c r="G420" t="n">
        <v>5.5</v>
      </c>
      <c r="H420" t="n">
        <v>1</v>
      </c>
      <c r="I420" t="n">
        <v>0</v>
      </c>
      <c r="J420" t="n">
        <v>1</v>
      </c>
      <c r="K420" t="n">
        <v>0</v>
      </c>
      <c r="L420" t="n">
        <v>0</v>
      </c>
      <c r="M420" t="n">
        <v>0</v>
      </c>
      <c r="N420" t="n">
        <v>0</v>
      </c>
      <c r="O420" t="n">
        <v>1</v>
      </c>
      <c r="P420" t="n">
        <v>0</v>
      </c>
      <c r="Q420" t="n">
        <v>1</v>
      </c>
      <c r="R420" s="2" t="inlineStr">
        <is>
          <t>Spillkråka</t>
        </is>
      </c>
      <c r="S420">
        <f>HYPERLINK("https://klasma.github.io/Logging_2182/artfynd/A 58082-2024 artfynd.xlsx", "A 58082-2024")</f>
        <v/>
      </c>
      <c r="T420">
        <f>HYPERLINK("https://klasma.github.io/Logging_2182/kartor/A 58082-2024 karta.png", "A 58082-2024")</f>
        <v/>
      </c>
      <c r="V420">
        <f>HYPERLINK("https://klasma.github.io/Logging_2182/klagomål/A 58082-2024 FSC-klagomål.docx", "A 58082-2024")</f>
        <v/>
      </c>
      <c r="W420">
        <f>HYPERLINK("https://klasma.github.io/Logging_2182/klagomålsmail/A 58082-2024 FSC-klagomål mail.docx", "A 58082-2024")</f>
        <v/>
      </c>
      <c r="X420">
        <f>HYPERLINK("https://klasma.github.io/Logging_2182/tillsyn/A 58082-2024 tillsynsbegäran.docx", "A 58082-2024")</f>
        <v/>
      </c>
      <c r="Y420">
        <f>HYPERLINK("https://klasma.github.io/Logging_2182/tillsynsmail/A 58082-2024 tillsynsbegäran mail.docx", "A 58082-2024")</f>
        <v/>
      </c>
      <c r="Z420">
        <f>HYPERLINK("https://klasma.github.io/Logging_2182/fåglar/A 58082-2024 prioriterade fågelarter.docx", "A 58082-2024")</f>
        <v/>
      </c>
    </row>
    <row r="421" ht="15" customHeight="1">
      <c r="A421" t="inlineStr">
        <is>
          <t>A 44032-2023</t>
        </is>
      </c>
      <c r="B421" s="1" t="n">
        <v>45188.36288194444</v>
      </c>
      <c r="C421" s="1" t="n">
        <v>46086</v>
      </c>
      <c r="D421" t="inlineStr">
        <is>
          <t>GÄVLEBORGS LÄN</t>
        </is>
      </c>
      <c r="E421" t="inlineStr">
        <is>
          <t>NORDANSTIG</t>
        </is>
      </c>
      <c r="F421" t="inlineStr">
        <is>
          <t>Holmen skog AB</t>
        </is>
      </c>
      <c r="G421" t="n">
        <v>5.3</v>
      </c>
      <c r="H421" t="n">
        <v>1</v>
      </c>
      <c r="I421" t="n">
        <v>0</v>
      </c>
      <c r="J421" t="n">
        <v>0</v>
      </c>
      <c r="K421" t="n">
        <v>0</v>
      </c>
      <c r="L421" t="n">
        <v>0</v>
      </c>
      <c r="M421" t="n">
        <v>0</v>
      </c>
      <c r="N421" t="n">
        <v>0</v>
      </c>
      <c r="O421" t="n">
        <v>0</v>
      </c>
      <c r="P421" t="n">
        <v>0</v>
      </c>
      <c r="Q421" t="n">
        <v>1</v>
      </c>
      <c r="R421" s="2" t="inlineStr">
        <is>
          <t>Revlummer</t>
        </is>
      </c>
      <c r="S421">
        <f>HYPERLINK("https://klasma.github.io/Logging_2132/artfynd/A 44032-2023 artfynd.xlsx", "A 44032-2023")</f>
        <v/>
      </c>
      <c r="T421">
        <f>HYPERLINK("https://klasma.github.io/Logging_2132/kartor/A 44032-2023 karta.png", "A 44032-2023")</f>
        <v/>
      </c>
      <c r="V421">
        <f>HYPERLINK("https://klasma.github.io/Logging_2132/klagomål/A 44032-2023 FSC-klagomål.docx", "A 44032-2023")</f>
        <v/>
      </c>
      <c r="W421">
        <f>HYPERLINK("https://klasma.github.io/Logging_2132/klagomålsmail/A 44032-2023 FSC-klagomål mail.docx", "A 44032-2023")</f>
        <v/>
      </c>
      <c r="X421">
        <f>HYPERLINK("https://klasma.github.io/Logging_2132/tillsyn/A 44032-2023 tillsynsbegäran.docx", "A 44032-2023")</f>
        <v/>
      </c>
      <c r="Y421">
        <f>HYPERLINK("https://klasma.github.io/Logging_2132/tillsynsmail/A 44032-2023 tillsynsbegäran mail.docx", "A 44032-2023")</f>
        <v/>
      </c>
    </row>
    <row r="422" ht="15" customHeight="1">
      <c r="A422" t="inlineStr">
        <is>
          <t>A 54083-2022</t>
        </is>
      </c>
      <c r="B422" s="1" t="n">
        <v>44881</v>
      </c>
      <c r="C422" s="1" t="n">
        <v>46086</v>
      </c>
      <c r="D422" t="inlineStr">
        <is>
          <t>GÄVLEBORGS LÄN</t>
        </is>
      </c>
      <c r="E422" t="inlineStr">
        <is>
          <t>BOLLNÄS</t>
        </is>
      </c>
      <c r="F422" t="inlineStr">
        <is>
          <t>Sveaskog</t>
        </is>
      </c>
      <c r="G422" t="n">
        <v>2.7</v>
      </c>
      <c r="H422" t="n">
        <v>1</v>
      </c>
      <c r="I422" t="n">
        <v>0</v>
      </c>
      <c r="J422" t="n">
        <v>0</v>
      </c>
      <c r="K422" t="n">
        <v>0</v>
      </c>
      <c r="L422" t="n">
        <v>0</v>
      </c>
      <c r="M422" t="n">
        <v>0</v>
      </c>
      <c r="N422" t="n">
        <v>0</v>
      </c>
      <c r="O422" t="n">
        <v>0</v>
      </c>
      <c r="P422" t="n">
        <v>0</v>
      </c>
      <c r="Q422" t="n">
        <v>1</v>
      </c>
      <c r="R422" s="2" t="inlineStr">
        <is>
          <t>Fläcknycklar</t>
        </is>
      </c>
      <c r="S422">
        <f>HYPERLINK("https://klasma.github.io/Logging_2183/artfynd/A 54083-2022 artfynd.xlsx", "A 54083-2022")</f>
        <v/>
      </c>
      <c r="T422">
        <f>HYPERLINK("https://klasma.github.io/Logging_2183/kartor/A 54083-2022 karta.png", "A 54083-2022")</f>
        <v/>
      </c>
      <c r="V422">
        <f>HYPERLINK("https://klasma.github.io/Logging_2183/klagomål/A 54083-2022 FSC-klagomål.docx", "A 54083-2022")</f>
        <v/>
      </c>
      <c r="W422">
        <f>HYPERLINK("https://klasma.github.io/Logging_2183/klagomålsmail/A 54083-2022 FSC-klagomål mail.docx", "A 54083-2022")</f>
        <v/>
      </c>
      <c r="X422">
        <f>HYPERLINK("https://klasma.github.io/Logging_2183/tillsyn/A 54083-2022 tillsynsbegäran.docx", "A 54083-2022")</f>
        <v/>
      </c>
      <c r="Y422">
        <f>HYPERLINK("https://klasma.github.io/Logging_2183/tillsynsmail/A 54083-2022 tillsynsbegäran mail.docx", "A 54083-2022")</f>
        <v/>
      </c>
    </row>
    <row r="423" ht="15" customHeight="1">
      <c r="A423" t="inlineStr">
        <is>
          <t>A 47971-2024</t>
        </is>
      </c>
      <c r="B423" s="1" t="n">
        <v>45589.39483796297</v>
      </c>
      <c r="C423" s="1" t="n">
        <v>46086</v>
      </c>
      <c r="D423" t="inlineStr">
        <is>
          <t>GÄVLEBORGS LÄN</t>
        </is>
      </c>
      <c r="E423" t="inlineStr">
        <is>
          <t>SANDVIKEN</t>
        </is>
      </c>
      <c r="F423" t="inlineStr">
        <is>
          <t>Bergvik skog väst AB</t>
        </is>
      </c>
      <c r="G423" t="n">
        <v>0.9</v>
      </c>
      <c r="H423" t="n">
        <v>0</v>
      </c>
      <c r="I423" t="n">
        <v>1</v>
      </c>
      <c r="J423" t="n">
        <v>0</v>
      </c>
      <c r="K423" t="n">
        <v>0</v>
      </c>
      <c r="L423" t="n">
        <v>0</v>
      </c>
      <c r="M423" t="n">
        <v>0</v>
      </c>
      <c r="N423" t="n">
        <v>0</v>
      </c>
      <c r="O423" t="n">
        <v>0</v>
      </c>
      <c r="P423" t="n">
        <v>0</v>
      </c>
      <c r="Q423" t="n">
        <v>1</v>
      </c>
      <c r="R423" s="2" t="inlineStr">
        <is>
          <t>Kamjordstjärna</t>
        </is>
      </c>
      <c r="S423">
        <f>HYPERLINK("https://klasma.github.io/Logging_2181/artfynd/A 47971-2024 artfynd.xlsx", "A 47971-2024")</f>
        <v/>
      </c>
      <c r="T423">
        <f>HYPERLINK("https://klasma.github.io/Logging_2181/kartor/A 47971-2024 karta.png", "A 47971-2024")</f>
        <v/>
      </c>
      <c r="V423">
        <f>HYPERLINK("https://klasma.github.io/Logging_2181/klagomål/A 47971-2024 FSC-klagomål.docx", "A 47971-2024")</f>
        <v/>
      </c>
      <c r="W423">
        <f>HYPERLINK("https://klasma.github.io/Logging_2181/klagomålsmail/A 47971-2024 FSC-klagomål mail.docx", "A 47971-2024")</f>
        <v/>
      </c>
      <c r="X423">
        <f>HYPERLINK("https://klasma.github.io/Logging_2181/tillsyn/A 47971-2024 tillsynsbegäran.docx", "A 47971-2024")</f>
        <v/>
      </c>
      <c r="Y423">
        <f>HYPERLINK("https://klasma.github.io/Logging_2181/tillsynsmail/A 47971-2024 tillsynsbegäran mail.docx", "A 47971-2024")</f>
        <v/>
      </c>
    </row>
    <row r="424" ht="15" customHeight="1">
      <c r="A424" t="inlineStr">
        <is>
          <t>A 55216-2022</t>
        </is>
      </c>
      <c r="B424" s="1" t="n">
        <v>44886</v>
      </c>
      <c r="C424" s="1" t="n">
        <v>46086</v>
      </c>
      <c r="D424" t="inlineStr">
        <is>
          <t>GÄVLEBORGS LÄN</t>
        </is>
      </c>
      <c r="E424" t="inlineStr">
        <is>
          <t>LJUSDAL</t>
        </is>
      </c>
      <c r="F424" t="inlineStr">
        <is>
          <t>SCA</t>
        </is>
      </c>
      <c r="G424" t="n">
        <v>10.1</v>
      </c>
      <c r="H424" t="n">
        <v>1</v>
      </c>
      <c r="I424" t="n">
        <v>0</v>
      </c>
      <c r="J424" t="n">
        <v>0</v>
      </c>
      <c r="K424" t="n">
        <v>0</v>
      </c>
      <c r="L424" t="n">
        <v>0</v>
      </c>
      <c r="M424" t="n">
        <v>0</v>
      </c>
      <c r="N424" t="n">
        <v>0</v>
      </c>
      <c r="O424" t="n">
        <v>0</v>
      </c>
      <c r="P424" t="n">
        <v>0</v>
      </c>
      <c r="Q424" t="n">
        <v>1</v>
      </c>
      <c r="R424" s="2" t="inlineStr">
        <is>
          <t>Kungsfågel</t>
        </is>
      </c>
      <c r="S424">
        <f>HYPERLINK("https://klasma.github.io/Logging_2161/artfynd/A 55216-2022 artfynd.xlsx", "A 55216-2022")</f>
        <v/>
      </c>
      <c r="T424">
        <f>HYPERLINK("https://klasma.github.io/Logging_2161/kartor/A 55216-2022 karta.png", "A 55216-2022")</f>
        <v/>
      </c>
      <c r="V424">
        <f>HYPERLINK("https://klasma.github.io/Logging_2161/klagomål/A 55216-2022 FSC-klagomål.docx", "A 55216-2022")</f>
        <v/>
      </c>
      <c r="W424">
        <f>HYPERLINK("https://klasma.github.io/Logging_2161/klagomålsmail/A 55216-2022 FSC-klagomål mail.docx", "A 55216-2022")</f>
        <v/>
      </c>
      <c r="X424">
        <f>HYPERLINK("https://klasma.github.io/Logging_2161/tillsyn/A 55216-2022 tillsynsbegäran.docx", "A 55216-2022")</f>
        <v/>
      </c>
      <c r="Y424">
        <f>HYPERLINK("https://klasma.github.io/Logging_2161/tillsynsmail/A 55216-2022 tillsynsbegäran mail.docx", "A 55216-2022")</f>
        <v/>
      </c>
      <c r="Z424">
        <f>HYPERLINK("https://klasma.github.io/Logging_2161/fåglar/A 55216-2022 prioriterade fågelarter.docx", "A 55216-2022")</f>
        <v/>
      </c>
    </row>
    <row r="425" ht="15" customHeight="1">
      <c r="A425" t="inlineStr">
        <is>
          <t>A 28587-2024</t>
        </is>
      </c>
      <c r="B425" s="1" t="n">
        <v>45478.41214120371</v>
      </c>
      <c r="C425" s="1" t="n">
        <v>46086</v>
      </c>
      <c r="D425" t="inlineStr">
        <is>
          <t>GÄVLEBORGS LÄN</t>
        </is>
      </c>
      <c r="E425" t="inlineStr">
        <is>
          <t>NORDANSTIG</t>
        </is>
      </c>
      <c r="G425" t="n">
        <v>26.3</v>
      </c>
      <c r="H425" t="n">
        <v>1</v>
      </c>
      <c r="I425" t="n">
        <v>0</v>
      </c>
      <c r="J425" t="n">
        <v>0</v>
      </c>
      <c r="K425" t="n">
        <v>0</v>
      </c>
      <c r="L425" t="n">
        <v>0</v>
      </c>
      <c r="M425" t="n">
        <v>0</v>
      </c>
      <c r="N425" t="n">
        <v>0</v>
      </c>
      <c r="O425" t="n">
        <v>0</v>
      </c>
      <c r="P425" t="n">
        <v>0</v>
      </c>
      <c r="Q425" t="n">
        <v>1</v>
      </c>
      <c r="R425" s="2" t="inlineStr">
        <is>
          <t>Fläcknycklar</t>
        </is>
      </c>
      <c r="S425">
        <f>HYPERLINK("https://klasma.github.io/Logging_2132/artfynd/A 28587-2024 artfynd.xlsx", "A 28587-2024")</f>
        <v/>
      </c>
      <c r="T425">
        <f>HYPERLINK("https://klasma.github.io/Logging_2132/kartor/A 28587-2024 karta.png", "A 28587-2024")</f>
        <v/>
      </c>
      <c r="V425">
        <f>HYPERLINK("https://klasma.github.io/Logging_2132/klagomål/A 28587-2024 FSC-klagomål.docx", "A 28587-2024")</f>
        <v/>
      </c>
      <c r="W425">
        <f>HYPERLINK("https://klasma.github.io/Logging_2132/klagomålsmail/A 28587-2024 FSC-klagomål mail.docx", "A 28587-2024")</f>
        <v/>
      </c>
      <c r="X425">
        <f>HYPERLINK("https://klasma.github.io/Logging_2132/tillsyn/A 28587-2024 tillsynsbegäran.docx", "A 28587-2024")</f>
        <v/>
      </c>
      <c r="Y425">
        <f>HYPERLINK("https://klasma.github.io/Logging_2132/tillsynsmail/A 28587-2024 tillsynsbegäran mail.docx", "A 28587-2024")</f>
        <v/>
      </c>
    </row>
    <row r="426" ht="15" customHeight="1">
      <c r="A426" t="inlineStr">
        <is>
          <t>A 33812-2022</t>
        </is>
      </c>
      <c r="B426" s="1" t="n">
        <v>44790</v>
      </c>
      <c r="C426" s="1" t="n">
        <v>46086</v>
      </c>
      <c r="D426" t="inlineStr">
        <is>
          <t>GÄVLEBORGS LÄN</t>
        </is>
      </c>
      <c r="E426" t="inlineStr">
        <is>
          <t>GÄVLE</t>
        </is>
      </c>
      <c r="G426" t="n">
        <v>2.1</v>
      </c>
      <c r="H426" t="n">
        <v>0</v>
      </c>
      <c r="I426" t="n">
        <v>1</v>
      </c>
      <c r="J426" t="n">
        <v>0</v>
      </c>
      <c r="K426" t="n">
        <v>0</v>
      </c>
      <c r="L426" t="n">
        <v>0</v>
      </c>
      <c r="M426" t="n">
        <v>0</v>
      </c>
      <c r="N426" t="n">
        <v>0</v>
      </c>
      <c r="O426" t="n">
        <v>0</v>
      </c>
      <c r="P426" t="n">
        <v>0</v>
      </c>
      <c r="Q426" t="n">
        <v>1</v>
      </c>
      <c r="R426" s="2" t="inlineStr">
        <is>
          <t>Myskmadra</t>
        </is>
      </c>
      <c r="S426">
        <f>HYPERLINK("https://klasma.github.io/Logging_2180/artfynd/A 33812-2022 artfynd.xlsx", "A 33812-2022")</f>
        <v/>
      </c>
      <c r="T426">
        <f>HYPERLINK("https://klasma.github.io/Logging_2180/kartor/A 33812-2022 karta.png", "A 33812-2022")</f>
        <v/>
      </c>
      <c r="V426">
        <f>HYPERLINK("https://klasma.github.io/Logging_2180/klagomål/A 33812-2022 FSC-klagomål.docx", "A 33812-2022")</f>
        <v/>
      </c>
      <c r="W426">
        <f>HYPERLINK("https://klasma.github.io/Logging_2180/klagomålsmail/A 33812-2022 FSC-klagomål mail.docx", "A 33812-2022")</f>
        <v/>
      </c>
      <c r="X426">
        <f>HYPERLINK("https://klasma.github.io/Logging_2180/tillsyn/A 33812-2022 tillsynsbegäran.docx", "A 33812-2022")</f>
        <v/>
      </c>
      <c r="Y426">
        <f>HYPERLINK("https://klasma.github.io/Logging_2180/tillsynsmail/A 33812-2022 tillsynsbegäran mail.docx", "A 33812-2022")</f>
        <v/>
      </c>
    </row>
    <row r="427" ht="15" customHeight="1">
      <c r="A427" t="inlineStr">
        <is>
          <t>A 311-2024</t>
        </is>
      </c>
      <c r="B427" s="1" t="n">
        <v>45295.51502314815</v>
      </c>
      <c r="C427" s="1" t="n">
        <v>46086</v>
      </c>
      <c r="D427" t="inlineStr">
        <is>
          <t>GÄVLEBORGS LÄN</t>
        </is>
      </c>
      <c r="E427" t="inlineStr">
        <is>
          <t>SANDVIKEN</t>
        </is>
      </c>
      <c r="G427" t="n">
        <v>1.3</v>
      </c>
      <c r="H427" t="n">
        <v>1</v>
      </c>
      <c r="I427" t="n">
        <v>1</v>
      </c>
      <c r="J427" t="n">
        <v>0</v>
      </c>
      <c r="K427" t="n">
        <v>0</v>
      </c>
      <c r="L427" t="n">
        <v>0</v>
      </c>
      <c r="M427" t="n">
        <v>0</v>
      </c>
      <c r="N427" t="n">
        <v>0</v>
      </c>
      <c r="O427" t="n">
        <v>0</v>
      </c>
      <c r="P427" t="n">
        <v>0</v>
      </c>
      <c r="Q427" t="n">
        <v>1</v>
      </c>
      <c r="R427" s="2" t="inlineStr">
        <is>
          <t>Plattlummer</t>
        </is>
      </c>
      <c r="S427">
        <f>HYPERLINK("https://klasma.github.io/Logging_2181/artfynd/A 311-2024 artfynd.xlsx", "A 311-2024")</f>
        <v/>
      </c>
      <c r="T427">
        <f>HYPERLINK("https://klasma.github.io/Logging_2181/kartor/A 311-2024 karta.png", "A 311-2024")</f>
        <v/>
      </c>
      <c r="V427">
        <f>HYPERLINK("https://klasma.github.io/Logging_2181/klagomål/A 311-2024 FSC-klagomål.docx", "A 311-2024")</f>
        <v/>
      </c>
      <c r="W427">
        <f>HYPERLINK("https://klasma.github.io/Logging_2181/klagomålsmail/A 311-2024 FSC-klagomål mail.docx", "A 311-2024")</f>
        <v/>
      </c>
      <c r="X427">
        <f>HYPERLINK("https://klasma.github.io/Logging_2181/tillsyn/A 311-2024 tillsynsbegäran.docx", "A 311-2024")</f>
        <v/>
      </c>
      <c r="Y427">
        <f>HYPERLINK("https://klasma.github.io/Logging_2181/tillsynsmail/A 311-2024 tillsynsbegäran mail.docx", "A 311-2024")</f>
        <v/>
      </c>
    </row>
    <row r="428" ht="15" customHeight="1">
      <c r="A428" t="inlineStr">
        <is>
          <t>A 32254-2023</t>
        </is>
      </c>
      <c r="B428" s="1" t="n">
        <v>45120</v>
      </c>
      <c r="C428" s="1" t="n">
        <v>46086</v>
      </c>
      <c r="D428" t="inlineStr">
        <is>
          <t>GÄVLEBORGS LÄN</t>
        </is>
      </c>
      <c r="E428" t="inlineStr">
        <is>
          <t>GÄVLE</t>
        </is>
      </c>
      <c r="G428" t="n">
        <v>2.5</v>
      </c>
      <c r="H428" t="n">
        <v>0</v>
      </c>
      <c r="I428" t="n">
        <v>0</v>
      </c>
      <c r="J428" t="n">
        <v>1</v>
      </c>
      <c r="K428" t="n">
        <v>0</v>
      </c>
      <c r="L428" t="n">
        <v>0</v>
      </c>
      <c r="M428" t="n">
        <v>0</v>
      </c>
      <c r="N428" t="n">
        <v>0</v>
      </c>
      <c r="O428" t="n">
        <v>1</v>
      </c>
      <c r="P428" t="n">
        <v>0</v>
      </c>
      <c r="Q428" t="n">
        <v>1</v>
      </c>
      <c r="R428" s="2" t="inlineStr">
        <is>
          <t>Slåtterfibbla</t>
        </is>
      </c>
      <c r="S428">
        <f>HYPERLINK("https://klasma.github.io/Logging_2180/artfynd/A 32254-2023 artfynd.xlsx", "A 32254-2023")</f>
        <v/>
      </c>
      <c r="T428">
        <f>HYPERLINK("https://klasma.github.io/Logging_2180/kartor/A 32254-2023 karta.png", "A 32254-2023")</f>
        <v/>
      </c>
      <c r="V428">
        <f>HYPERLINK("https://klasma.github.io/Logging_2180/klagomål/A 32254-2023 FSC-klagomål.docx", "A 32254-2023")</f>
        <v/>
      </c>
      <c r="W428">
        <f>HYPERLINK("https://klasma.github.io/Logging_2180/klagomålsmail/A 32254-2023 FSC-klagomål mail.docx", "A 32254-2023")</f>
        <v/>
      </c>
      <c r="X428">
        <f>HYPERLINK("https://klasma.github.io/Logging_2180/tillsyn/A 32254-2023 tillsynsbegäran.docx", "A 32254-2023")</f>
        <v/>
      </c>
      <c r="Y428">
        <f>HYPERLINK("https://klasma.github.io/Logging_2180/tillsynsmail/A 32254-2023 tillsynsbegäran mail.docx", "A 32254-2023")</f>
        <v/>
      </c>
    </row>
    <row r="429" ht="15" customHeight="1">
      <c r="A429" t="inlineStr">
        <is>
          <t>A 3755-2023</t>
        </is>
      </c>
      <c r="B429" s="1" t="n">
        <v>44951</v>
      </c>
      <c r="C429" s="1" t="n">
        <v>46086</v>
      </c>
      <c r="D429" t="inlineStr">
        <is>
          <t>GÄVLEBORGS LÄN</t>
        </is>
      </c>
      <c r="E429" t="inlineStr">
        <is>
          <t>NORDANSTIG</t>
        </is>
      </c>
      <c r="G429" t="n">
        <v>8.199999999999999</v>
      </c>
      <c r="H429" t="n">
        <v>1</v>
      </c>
      <c r="I429" t="n">
        <v>0</v>
      </c>
      <c r="J429" t="n">
        <v>0</v>
      </c>
      <c r="K429" t="n">
        <v>0</v>
      </c>
      <c r="L429" t="n">
        <v>1</v>
      </c>
      <c r="M429" t="n">
        <v>0</v>
      </c>
      <c r="N429" t="n">
        <v>0</v>
      </c>
      <c r="O429" t="n">
        <v>1</v>
      </c>
      <c r="P429" t="n">
        <v>1</v>
      </c>
      <c r="Q429" t="n">
        <v>1</v>
      </c>
      <c r="R429" s="2" t="inlineStr">
        <is>
          <t>Bredgentiana</t>
        </is>
      </c>
      <c r="S429">
        <f>HYPERLINK("https://klasma.github.io/Logging_2132/artfynd/A 3755-2023 artfynd.xlsx", "A 3755-2023")</f>
        <v/>
      </c>
      <c r="T429">
        <f>HYPERLINK("https://klasma.github.io/Logging_2132/kartor/A 3755-2023 karta.png", "A 3755-2023")</f>
        <v/>
      </c>
      <c r="V429">
        <f>HYPERLINK("https://klasma.github.io/Logging_2132/klagomål/A 3755-2023 FSC-klagomål.docx", "A 3755-2023")</f>
        <v/>
      </c>
      <c r="W429">
        <f>HYPERLINK("https://klasma.github.io/Logging_2132/klagomålsmail/A 3755-2023 FSC-klagomål mail.docx", "A 3755-2023")</f>
        <v/>
      </c>
      <c r="X429">
        <f>HYPERLINK("https://klasma.github.io/Logging_2132/tillsyn/A 3755-2023 tillsynsbegäran.docx", "A 3755-2023")</f>
        <v/>
      </c>
      <c r="Y429">
        <f>HYPERLINK("https://klasma.github.io/Logging_2132/tillsynsmail/A 3755-2023 tillsynsbegäran mail.docx", "A 3755-2023")</f>
        <v/>
      </c>
    </row>
    <row r="430" ht="15" customHeight="1">
      <c r="A430" t="inlineStr">
        <is>
          <t>A 15841-2023</t>
        </is>
      </c>
      <c r="B430" s="1" t="n">
        <v>45022</v>
      </c>
      <c r="C430" s="1" t="n">
        <v>46086</v>
      </c>
      <c r="D430" t="inlineStr">
        <is>
          <t>GÄVLEBORGS LÄN</t>
        </is>
      </c>
      <c r="E430" t="inlineStr">
        <is>
          <t>OCKELBO</t>
        </is>
      </c>
      <c r="F430" t="inlineStr">
        <is>
          <t>Bergvik skog väst AB</t>
        </is>
      </c>
      <c r="G430" t="n">
        <v>2.1</v>
      </c>
      <c r="H430" t="n">
        <v>1</v>
      </c>
      <c r="I430" t="n">
        <v>0</v>
      </c>
      <c r="J430" t="n">
        <v>1</v>
      </c>
      <c r="K430" t="n">
        <v>0</v>
      </c>
      <c r="L430" t="n">
        <v>0</v>
      </c>
      <c r="M430" t="n">
        <v>0</v>
      </c>
      <c r="N430" t="n">
        <v>0</v>
      </c>
      <c r="O430" t="n">
        <v>1</v>
      </c>
      <c r="P430" t="n">
        <v>0</v>
      </c>
      <c r="Q430" t="n">
        <v>1</v>
      </c>
      <c r="R430" s="2" t="inlineStr">
        <is>
          <t>Havsörn</t>
        </is>
      </c>
      <c r="S430">
        <f>HYPERLINK("https://klasma.github.io/Logging_2101/artfynd/A 15841-2023 artfynd.xlsx", "A 15841-2023")</f>
        <v/>
      </c>
      <c r="T430">
        <f>HYPERLINK("https://klasma.github.io/Logging_2101/kartor/A 15841-2023 karta.png", "A 15841-2023")</f>
        <v/>
      </c>
      <c r="V430">
        <f>HYPERLINK("https://klasma.github.io/Logging_2101/klagomål/A 15841-2023 FSC-klagomål.docx", "A 15841-2023")</f>
        <v/>
      </c>
      <c r="W430">
        <f>HYPERLINK("https://klasma.github.io/Logging_2101/klagomålsmail/A 15841-2023 FSC-klagomål mail.docx", "A 15841-2023")</f>
        <v/>
      </c>
      <c r="X430">
        <f>HYPERLINK("https://klasma.github.io/Logging_2101/tillsyn/A 15841-2023 tillsynsbegäran.docx", "A 15841-2023")</f>
        <v/>
      </c>
      <c r="Y430">
        <f>HYPERLINK("https://klasma.github.io/Logging_2101/tillsynsmail/A 15841-2023 tillsynsbegäran mail.docx", "A 15841-2023")</f>
        <v/>
      </c>
      <c r="Z430">
        <f>HYPERLINK("https://klasma.github.io/Logging_2101/fåglar/A 15841-2023 prioriterade fågelarter.docx", "A 15841-2023")</f>
        <v/>
      </c>
    </row>
    <row r="431" ht="15" customHeight="1">
      <c r="A431" t="inlineStr">
        <is>
          <t>A 9479-2025</t>
        </is>
      </c>
      <c r="B431" s="1" t="n">
        <v>45715.47814814815</v>
      </c>
      <c r="C431" s="1" t="n">
        <v>46086</v>
      </c>
      <c r="D431" t="inlineStr">
        <is>
          <t>GÄVLEBORGS LÄN</t>
        </is>
      </c>
      <c r="E431" t="inlineStr">
        <is>
          <t>OCKELBO</t>
        </is>
      </c>
      <c r="F431" t="inlineStr">
        <is>
          <t>Bergvik skog öst AB</t>
        </is>
      </c>
      <c r="G431" t="n">
        <v>5.8</v>
      </c>
      <c r="H431" t="n">
        <v>0</v>
      </c>
      <c r="I431" t="n">
        <v>0</v>
      </c>
      <c r="J431" t="n">
        <v>1</v>
      </c>
      <c r="K431" t="n">
        <v>0</v>
      </c>
      <c r="L431" t="n">
        <v>0</v>
      </c>
      <c r="M431" t="n">
        <v>0</v>
      </c>
      <c r="N431" t="n">
        <v>0</v>
      </c>
      <c r="O431" t="n">
        <v>1</v>
      </c>
      <c r="P431" t="n">
        <v>0</v>
      </c>
      <c r="Q431" t="n">
        <v>1</v>
      </c>
      <c r="R431" s="2" t="inlineStr">
        <is>
          <t>Klofibbla</t>
        </is>
      </c>
      <c r="S431">
        <f>HYPERLINK("https://klasma.github.io/Logging_2101/artfynd/A 9479-2025 artfynd.xlsx", "A 9479-2025")</f>
        <v/>
      </c>
      <c r="T431">
        <f>HYPERLINK("https://klasma.github.io/Logging_2101/kartor/A 9479-2025 karta.png", "A 9479-2025")</f>
        <v/>
      </c>
      <c r="V431">
        <f>HYPERLINK("https://klasma.github.io/Logging_2101/klagomål/A 9479-2025 FSC-klagomål.docx", "A 9479-2025")</f>
        <v/>
      </c>
      <c r="W431">
        <f>HYPERLINK("https://klasma.github.io/Logging_2101/klagomålsmail/A 9479-2025 FSC-klagomål mail.docx", "A 9479-2025")</f>
        <v/>
      </c>
      <c r="X431">
        <f>HYPERLINK("https://klasma.github.io/Logging_2101/tillsyn/A 9479-2025 tillsynsbegäran.docx", "A 9479-2025")</f>
        <v/>
      </c>
      <c r="Y431">
        <f>HYPERLINK("https://klasma.github.io/Logging_2101/tillsynsmail/A 9479-2025 tillsynsbegäran mail.docx", "A 9479-2025")</f>
        <v/>
      </c>
    </row>
    <row r="432" ht="15" customHeight="1">
      <c r="A432" t="inlineStr">
        <is>
          <t>A 20656-2024</t>
        </is>
      </c>
      <c r="B432" s="1" t="n">
        <v>45436</v>
      </c>
      <c r="C432" s="1" t="n">
        <v>46086</v>
      </c>
      <c r="D432" t="inlineStr">
        <is>
          <t>GÄVLEBORGS LÄN</t>
        </is>
      </c>
      <c r="E432" t="inlineStr">
        <is>
          <t>LJUSDAL</t>
        </is>
      </c>
      <c r="F432" t="inlineStr">
        <is>
          <t>Sveaskog</t>
        </is>
      </c>
      <c r="G432" t="n">
        <v>2.7</v>
      </c>
      <c r="H432" t="n">
        <v>0</v>
      </c>
      <c r="I432" t="n">
        <v>0</v>
      </c>
      <c r="J432" t="n">
        <v>1</v>
      </c>
      <c r="K432" t="n">
        <v>0</v>
      </c>
      <c r="L432" t="n">
        <v>0</v>
      </c>
      <c r="M432" t="n">
        <v>0</v>
      </c>
      <c r="N432" t="n">
        <v>0</v>
      </c>
      <c r="O432" t="n">
        <v>1</v>
      </c>
      <c r="P432" t="n">
        <v>0</v>
      </c>
      <c r="Q432" t="n">
        <v>1</v>
      </c>
      <c r="R432" s="2" t="inlineStr">
        <is>
          <t>Tallticka</t>
        </is>
      </c>
      <c r="S432">
        <f>HYPERLINK("https://klasma.github.io/Logging_2161/artfynd/A 20656-2024 artfynd.xlsx", "A 20656-2024")</f>
        <v/>
      </c>
      <c r="T432">
        <f>HYPERLINK("https://klasma.github.io/Logging_2161/kartor/A 20656-2024 karta.png", "A 20656-2024")</f>
        <v/>
      </c>
      <c r="V432">
        <f>HYPERLINK("https://klasma.github.io/Logging_2161/klagomål/A 20656-2024 FSC-klagomål.docx", "A 20656-2024")</f>
        <v/>
      </c>
      <c r="W432">
        <f>HYPERLINK("https://klasma.github.io/Logging_2161/klagomålsmail/A 20656-2024 FSC-klagomål mail.docx", "A 20656-2024")</f>
        <v/>
      </c>
      <c r="X432">
        <f>HYPERLINK("https://klasma.github.io/Logging_2161/tillsyn/A 20656-2024 tillsynsbegäran.docx", "A 20656-2024")</f>
        <v/>
      </c>
      <c r="Y432">
        <f>HYPERLINK("https://klasma.github.io/Logging_2161/tillsynsmail/A 20656-2024 tillsynsbegäran mail.docx", "A 20656-2024")</f>
        <v/>
      </c>
    </row>
    <row r="433" ht="15" customHeight="1">
      <c r="A433" t="inlineStr">
        <is>
          <t>A 28392-2024</t>
        </is>
      </c>
      <c r="B433" s="1" t="n">
        <v>45477.60362268519</v>
      </c>
      <c r="C433" s="1" t="n">
        <v>46086</v>
      </c>
      <c r="D433" t="inlineStr">
        <is>
          <t>GÄVLEBORGS LÄN</t>
        </is>
      </c>
      <c r="E433" t="inlineStr">
        <is>
          <t>HOFORS</t>
        </is>
      </c>
      <c r="F433" t="inlineStr">
        <is>
          <t>Sveaskog</t>
        </is>
      </c>
      <c r="G433" t="n">
        <v>0.5</v>
      </c>
      <c r="H433" t="n">
        <v>1</v>
      </c>
      <c r="I433" t="n">
        <v>0</v>
      </c>
      <c r="J433" t="n">
        <v>0</v>
      </c>
      <c r="K433" t="n">
        <v>0</v>
      </c>
      <c r="L433" t="n">
        <v>0</v>
      </c>
      <c r="M433" t="n">
        <v>0</v>
      </c>
      <c r="N433" t="n">
        <v>0</v>
      </c>
      <c r="O433" t="n">
        <v>0</v>
      </c>
      <c r="P433" t="n">
        <v>0</v>
      </c>
      <c r="Q433" t="n">
        <v>1</v>
      </c>
      <c r="R433" s="2" t="inlineStr">
        <is>
          <t>Fläcknycklar</t>
        </is>
      </c>
      <c r="S433">
        <f>HYPERLINK("https://klasma.github.io/Logging_2104/artfynd/A 28392-2024 artfynd.xlsx", "A 28392-2024")</f>
        <v/>
      </c>
      <c r="T433">
        <f>HYPERLINK("https://klasma.github.io/Logging_2104/kartor/A 28392-2024 karta.png", "A 28392-2024")</f>
        <v/>
      </c>
      <c r="V433">
        <f>HYPERLINK("https://klasma.github.io/Logging_2104/klagomål/A 28392-2024 FSC-klagomål.docx", "A 28392-2024")</f>
        <v/>
      </c>
      <c r="W433">
        <f>HYPERLINK("https://klasma.github.io/Logging_2104/klagomålsmail/A 28392-2024 FSC-klagomål mail.docx", "A 28392-2024")</f>
        <v/>
      </c>
      <c r="X433">
        <f>HYPERLINK("https://klasma.github.io/Logging_2104/tillsyn/A 28392-2024 tillsynsbegäran.docx", "A 28392-2024")</f>
        <v/>
      </c>
      <c r="Y433">
        <f>HYPERLINK("https://klasma.github.io/Logging_2104/tillsynsmail/A 28392-2024 tillsynsbegäran mail.docx", "A 28392-2024")</f>
        <v/>
      </c>
    </row>
    <row r="434" ht="15" customHeight="1">
      <c r="A434" t="inlineStr">
        <is>
          <t>A 31417-2024</t>
        </is>
      </c>
      <c r="B434" s="1" t="n">
        <v>45505.62011574074</v>
      </c>
      <c r="C434" s="1" t="n">
        <v>46086</v>
      </c>
      <c r="D434" t="inlineStr">
        <is>
          <t>GÄVLEBORGS LÄN</t>
        </is>
      </c>
      <c r="E434" t="inlineStr">
        <is>
          <t>LJUSDAL</t>
        </is>
      </c>
      <c r="F434" t="inlineStr">
        <is>
          <t>Sveaskog</t>
        </is>
      </c>
      <c r="G434" t="n">
        <v>3</v>
      </c>
      <c r="H434" t="n">
        <v>0</v>
      </c>
      <c r="I434" t="n">
        <v>0</v>
      </c>
      <c r="J434" t="n">
        <v>1</v>
      </c>
      <c r="K434" t="n">
        <v>0</v>
      </c>
      <c r="L434" t="n">
        <v>0</v>
      </c>
      <c r="M434" t="n">
        <v>0</v>
      </c>
      <c r="N434" t="n">
        <v>0</v>
      </c>
      <c r="O434" t="n">
        <v>1</v>
      </c>
      <c r="P434" t="n">
        <v>0</v>
      </c>
      <c r="Q434" t="n">
        <v>1</v>
      </c>
      <c r="R434" s="2" t="inlineStr">
        <is>
          <t>Kolflarnlav</t>
        </is>
      </c>
      <c r="S434">
        <f>HYPERLINK("https://klasma.github.io/Logging_2161/artfynd/A 31417-2024 artfynd.xlsx", "A 31417-2024")</f>
        <v/>
      </c>
      <c r="T434">
        <f>HYPERLINK("https://klasma.github.io/Logging_2161/kartor/A 31417-2024 karta.png", "A 31417-2024")</f>
        <v/>
      </c>
      <c r="V434">
        <f>HYPERLINK("https://klasma.github.io/Logging_2161/klagomål/A 31417-2024 FSC-klagomål.docx", "A 31417-2024")</f>
        <v/>
      </c>
      <c r="W434">
        <f>HYPERLINK("https://klasma.github.io/Logging_2161/klagomålsmail/A 31417-2024 FSC-klagomål mail.docx", "A 31417-2024")</f>
        <v/>
      </c>
      <c r="X434">
        <f>HYPERLINK("https://klasma.github.io/Logging_2161/tillsyn/A 31417-2024 tillsynsbegäran.docx", "A 31417-2024")</f>
        <v/>
      </c>
      <c r="Y434">
        <f>HYPERLINK("https://klasma.github.io/Logging_2161/tillsynsmail/A 31417-2024 tillsynsbegäran mail.docx", "A 31417-2024")</f>
        <v/>
      </c>
    </row>
    <row r="435" ht="15" customHeight="1">
      <c r="A435" t="inlineStr">
        <is>
          <t>A 55253-2022</t>
        </is>
      </c>
      <c r="B435" s="1" t="n">
        <v>44887</v>
      </c>
      <c r="C435" s="1" t="n">
        <v>46086</v>
      </c>
      <c r="D435" t="inlineStr">
        <is>
          <t>GÄVLEBORGS LÄN</t>
        </is>
      </c>
      <c r="E435" t="inlineStr">
        <is>
          <t>HUDIKSVALL</t>
        </is>
      </c>
      <c r="F435" t="inlineStr">
        <is>
          <t>Holmen skog AB</t>
        </is>
      </c>
      <c r="G435" t="n">
        <v>5.1</v>
      </c>
      <c r="H435" t="n">
        <v>1</v>
      </c>
      <c r="I435" t="n">
        <v>0</v>
      </c>
      <c r="J435" t="n">
        <v>0</v>
      </c>
      <c r="K435" t="n">
        <v>0</v>
      </c>
      <c r="L435" t="n">
        <v>0</v>
      </c>
      <c r="M435" t="n">
        <v>0</v>
      </c>
      <c r="N435" t="n">
        <v>0</v>
      </c>
      <c r="O435" t="n">
        <v>0</v>
      </c>
      <c r="P435" t="n">
        <v>0</v>
      </c>
      <c r="Q435" t="n">
        <v>1</v>
      </c>
      <c r="R435" s="2" t="inlineStr">
        <is>
          <t>Bivråk</t>
        </is>
      </c>
      <c r="S435">
        <f>HYPERLINK("https://klasma.github.io/Logging_2184/artfynd/A 55253-2022 artfynd.xlsx", "A 55253-2022")</f>
        <v/>
      </c>
      <c r="T435">
        <f>HYPERLINK("https://klasma.github.io/Logging_2184/kartor/A 55253-2022 karta.png", "A 55253-2022")</f>
        <v/>
      </c>
      <c r="U435">
        <f>HYPERLINK("https://klasma.github.io/Logging_2184/knärot/A 55253-2022 karta knärot.png", "A 55253-2022")</f>
        <v/>
      </c>
      <c r="V435">
        <f>HYPERLINK("https://klasma.github.io/Logging_2184/klagomål/A 55253-2022 FSC-klagomål.docx", "A 55253-2022")</f>
        <v/>
      </c>
      <c r="W435">
        <f>HYPERLINK("https://klasma.github.io/Logging_2184/klagomålsmail/A 55253-2022 FSC-klagomål mail.docx", "A 55253-2022")</f>
        <v/>
      </c>
      <c r="X435">
        <f>HYPERLINK("https://klasma.github.io/Logging_2184/tillsyn/A 55253-2022 tillsynsbegäran.docx", "A 55253-2022")</f>
        <v/>
      </c>
      <c r="Y435">
        <f>HYPERLINK("https://klasma.github.io/Logging_2184/tillsynsmail/A 55253-2022 tillsynsbegäran mail.docx", "A 55253-2022")</f>
        <v/>
      </c>
      <c r="Z435">
        <f>HYPERLINK("https://klasma.github.io/Logging_2184/fåglar/A 55253-2022 prioriterade fågelarter.docx", "A 55253-2022")</f>
        <v/>
      </c>
    </row>
    <row r="436" ht="15" customHeight="1">
      <c r="A436" t="inlineStr">
        <is>
          <t>A 22595-2025</t>
        </is>
      </c>
      <c r="B436" s="1" t="n">
        <v>45789</v>
      </c>
      <c r="C436" s="1" t="n">
        <v>46086</v>
      </c>
      <c r="D436" t="inlineStr">
        <is>
          <t>GÄVLEBORGS LÄN</t>
        </is>
      </c>
      <c r="E436" t="inlineStr">
        <is>
          <t>HUDIKSVALL</t>
        </is>
      </c>
      <c r="F436" t="inlineStr">
        <is>
          <t>Holmen skog AB</t>
        </is>
      </c>
      <c r="G436" t="n">
        <v>6.6</v>
      </c>
      <c r="H436" t="n">
        <v>1</v>
      </c>
      <c r="I436" t="n">
        <v>0</v>
      </c>
      <c r="J436" t="n">
        <v>0</v>
      </c>
      <c r="K436" t="n">
        <v>0</v>
      </c>
      <c r="L436" t="n">
        <v>0</v>
      </c>
      <c r="M436" t="n">
        <v>0</v>
      </c>
      <c r="N436" t="n">
        <v>0</v>
      </c>
      <c r="O436" t="n">
        <v>0</v>
      </c>
      <c r="P436" t="n">
        <v>0</v>
      </c>
      <c r="Q436" t="n">
        <v>1</v>
      </c>
      <c r="R436" s="2" t="inlineStr">
        <is>
          <t>Revlummer</t>
        </is>
      </c>
      <c r="S436">
        <f>HYPERLINK("https://klasma.github.io/Logging_2184/artfynd/A 22595-2025 artfynd.xlsx", "A 22595-2025")</f>
        <v/>
      </c>
      <c r="T436">
        <f>HYPERLINK("https://klasma.github.io/Logging_2184/kartor/A 22595-2025 karta.png", "A 22595-2025")</f>
        <v/>
      </c>
      <c r="V436">
        <f>HYPERLINK("https://klasma.github.io/Logging_2184/klagomål/A 22595-2025 FSC-klagomål.docx", "A 22595-2025")</f>
        <v/>
      </c>
      <c r="W436">
        <f>HYPERLINK("https://klasma.github.io/Logging_2184/klagomålsmail/A 22595-2025 FSC-klagomål mail.docx", "A 22595-2025")</f>
        <v/>
      </c>
      <c r="X436">
        <f>HYPERLINK("https://klasma.github.io/Logging_2184/tillsyn/A 22595-2025 tillsynsbegäran.docx", "A 22595-2025")</f>
        <v/>
      </c>
      <c r="Y436">
        <f>HYPERLINK("https://klasma.github.io/Logging_2184/tillsynsmail/A 22595-2025 tillsynsbegäran mail.docx", "A 22595-2025")</f>
        <v/>
      </c>
    </row>
    <row r="437" ht="15" customHeight="1">
      <c r="A437" t="inlineStr">
        <is>
          <t>A 38558-2025</t>
        </is>
      </c>
      <c r="B437" s="1" t="n">
        <v>45884.44667824074</v>
      </c>
      <c r="C437" s="1" t="n">
        <v>46086</v>
      </c>
      <c r="D437" t="inlineStr">
        <is>
          <t>GÄVLEBORGS LÄN</t>
        </is>
      </c>
      <c r="E437" t="inlineStr">
        <is>
          <t>GÄVLE</t>
        </is>
      </c>
      <c r="F437" t="inlineStr">
        <is>
          <t>Bergvik skog öst AB</t>
        </is>
      </c>
      <c r="G437" t="n">
        <v>1.1</v>
      </c>
      <c r="H437" t="n">
        <v>0</v>
      </c>
      <c r="I437" t="n">
        <v>0</v>
      </c>
      <c r="J437" t="n">
        <v>0</v>
      </c>
      <c r="K437" t="n">
        <v>1</v>
      </c>
      <c r="L437" t="n">
        <v>0</v>
      </c>
      <c r="M437" t="n">
        <v>0</v>
      </c>
      <c r="N437" t="n">
        <v>0</v>
      </c>
      <c r="O437" t="n">
        <v>1</v>
      </c>
      <c r="P437" t="n">
        <v>1</v>
      </c>
      <c r="Q437" t="n">
        <v>1</v>
      </c>
      <c r="R437" s="2" t="inlineStr">
        <is>
          <t>Rynkskinn</t>
        </is>
      </c>
      <c r="S437">
        <f>HYPERLINK("https://klasma.github.io/Logging_2180/artfynd/A 38558-2025 artfynd.xlsx", "A 38558-2025")</f>
        <v/>
      </c>
      <c r="T437">
        <f>HYPERLINK("https://klasma.github.io/Logging_2180/kartor/A 38558-2025 karta.png", "A 38558-2025")</f>
        <v/>
      </c>
      <c r="V437">
        <f>HYPERLINK("https://klasma.github.io/Logging_2180/klagomål/A 38558-2025 FSC-klagomål.docx", "A 38558-2025")</f>
        <v/>
      </c>
      <c r="W437">
        <f>HYPERLINK("https://klasma.github.io/Logging_2180/klagomålsmail/A 38558-2025 FSC-klagomål mail.docx", "A 38558-2025")</f>
        <v/>
      </c>
      <c r="X437">
        <f>HYPERLINK("https://klasma.github.io/Logging_2180/tillsyn/A 38558-2025 tillsynsbegäran.docx", "A 38558-2025")</f>
        <v/>
      </c>
      <c r="Y437">
        <f>HYPERLINK("https://klasma.github.io/Logging_2180/tillsynsmail/A 38558-2025 tillsynsbegäran mail.docx", "A 38558-2025")</f>
        <v/>
      </c>
    </row>
    <row r="438" ht="15" customHeight="1">
      <c r="A438" t="inlineStr">
        <is>
          <t>A 12338-2025</t>
        </is>
      </c>
      <c r="B438" s="1" t="n">
        <v>45730</v>
      </c>
      <c r="C438" s="1" t="n">
        <v>46086</v>
      </c>
      <c r="D438" t="inlineStr">
        <is>
          <t>GÄVLEBORGS LÄN</t>
        </is>
      </c>
      <c r="E438" t="inlineStr">
        <is>
          <t>GÄVLE</t>
        </is>
      </c>
      <c r="F438" t="inlineStr">
        <is>
          <t>Bergvik skog öst AB</t>
        </is>
      </c>
      <c r="G438" t="n">
        <v>6.8</v>
      </c>
      <c r="H438" t="n">
        <v>0</v>
      </c>
      <c r="I438" t="n">
        <v>0</v>
      </c>
      <c r="J438" t="n">
        <v>1</v>
      </c>
      <c r="K438" t="n">
        <v>0</v>
      </c>
      <c r="L438" t="n">
        <v>0</v>
      </c>
      <c r="M438" t="n">
        <v>0</v>
      </c>
      <c r="N438" t="n">
        <v>0</v>
      </c>
      <c r="O438" t="n">
        <v>1</v>
      </c>
      <c r="P438" t="n">
        <v>0</v>
      </c>
      <c r="Q438" t="n">
        <v>1</v>
      </c>
      <c r="R438" s="2" t="inlineStr">
        <is>
          <t>Skogsklocka</t>
        </is>
      </c>
      <c r="S438">
        <f>HYPERLINK("https://klasma.github.io/Logging_2180/artfynd/A 12338-2025 artfynd.xlsx", "A 12338-2025")</f>
        <v/>
      </c>
      <c r="T438">
        <f>HYPERLINK("https://klasma.github.io/Logging_2180/kartor/A 12338-2025 karta.png", "A 12338-2025")</f>
        <v/>
      </c>
      <c r="V438">
        <f>HYPERLINK("https://klasma.github.io/Logging_2180/klagomål/A 12338-2025 FSC-klagomål.docx", "A 12338-2025")</f>
        <v/>
      </c>
      <c r="W438">
        <f>HYPERLINK("https://klasma.github.io/Logging_2180/klagomålsmail/A 12338-2025 FSC-klagomål mail.docx", "A 12338-2025")</f>
        <v/>
      </c>
      <c r="X438">
        <f>HYPERLINK("https://klasma.github.io/Logging_2180/tillsyn/A 12338-2025 tillsynsbegäran.docx", "A 12338-2025")</f>
        <v/>
      </c>
      <c r="Y438">
        <f>HYPERLINK("https://klasma.github.io/Logging_2180/tillsynsmail/A 12338-2025 tillsynsbegäran mail.docx", "A 12338-2025")</f>
        <v/>
      </c>
    </row>
    <row r="439" ht="15" customHeight="1">
      <c r="A439" t="inlineStr">
        <is>
          <t>A 27434-2025</t>
        </is>
      </c>
      <c r="B439" s="1" t="n">
        <v>45813</v>
      </c>
      <c r="C439" s="1" t="n">
        <v>46086</v>
      </c>
      <c r="D439" t="inlineStr">
        <is>
          <t>GÄVLEBORGS LÄN</t>
        </is>
      </c>
      <c r="E439" t="inlineStr">
        <is>
          <t>HOFORS</t>
        </is>
      </c>
      <c r="F439" t="inlineStr">
        <is>
          <t>Sveaskog</t>
        </is>
      </c>
      <c r="G439" t="n">
        <v>4.2</v>
      </c>
      <c r="H439" t="n">
        <v>1</v>
      </c>
      <c r="I439" t="n">
        <v>0</v>
      </c>
      <c r="J439" t="n">
        <v>0</v>
      </c>
      <c r="K439" t="n">
        <v>0</v>
      </c>
      <c r="L439" t="n">
        <v>0</v>
      </c>
      <c r="M439" t="n">
        <v>0</v>
      </c>
      <c r="N439" t="n">
        <v>0</v>
      </c>
      <c r="O439" t="n">
        <v>0</v>
      </c>
      <c r="P439" t="n">
        <v>0</v>
      </c>
      <c r="Q439" t="n">
        <v>1</v>
      </c>
      <c r="R439" s="2" t="inlineStr">
        <is>
          <t>Revlummer</t>
        </is>
      </c>
      <c r="S439">
        <f>HYPERLINK("https://klasma.github.io/Logging_2104/artfynd/A 27434-2025 artfynd.xlsx", "A 27434-2025")</f>
        <v/>
      </c>
      <c r="T439">
        <f>HYPERLINK("https://klasma.github.io/Logging_2104/kartor/A 27434-2025 karta.png", "A 27434-2025")</f>
        <v/>
      </c>
      <c r="V439">
        <f>HYPERLINK("https://klasma.github.io/Logging_2104/klagomål/A 27434-2025 FSC-klagomål.docx", "A 27434-2025")</f>
        <v/>
      </c>
      <c r="W439">
        <f>HYPERLINK("https://klasma.github.io/Logging_2104/klagomålsmail/A 27434-2025 FSC-klagomål mail.docx", "A 27434-2025")</f>
        <v/>
      </c>
      <c r="X439">
        <f>HYPERLINK("https://klasma.github.io/Logging_2104/tillsyn/A 27434-2025 tillsynsbegäran.docx", "A 27434-2025")</f>
        <v/>
      </c>
      <c r="Y439">
        <f>HYPERLINK("https://klasma.github.io/Logging_2104/tillsynsmail/A 27434-2025 tillsynsbegäran mail.docx", "A 27434-2025")</f>
        <v/>
      </c>
    </row>
    <row r="440" ht="15" customHeight="1">
      <c r="A440" t="inlineStr">
        <is>
          <t>A 38496-2025</t>
        </is>
      </c>
      <c r="B440" s="1" t="n">
        <v>45884</v>
      </c>
      <c r="C440" s="1" t="n">
        <v>46086</v>
      </c>
      <c r="D440" t="inlineStr">
        <is>
          <t>GÄVLEBORGS LÄN</t>
        </is>
      </c>
      <c r="E440" t="inlineStr">
        <is>
          <t>HUDIKSVALL</t>
        </is>
      </c>
      <c r="G440" t="n">
        <v>42.9</v>
      </c>
      <c r="H440" t="n">
        <v>1</v>
      </c>
      <c r="I440" t="n">
        <v>0</v>
      </c>
      <c r="J440" t="n">
        <v>0</v>
      </c>
      <c r="K440" t="n">
        <v>0</v>
      </c>
      <c r="L440" t="n">
        <v>0</v>
      </c>
      <c r="M440" t="n">
        <v>0</v>
      </c>
      <c r="N440" t="n">
        <v>0</v>
      </c>
      <c r="O440" t="n">
        <v>0</v>
      </c>
      <c r="P440" t="n">
        <v>0</v>
      </c>
      <c r="Q440" t="n">
        <v>1</v>
      </c>
      <c r="R440" s="2" t="inlineStr">
        <is>
          <t>Vanlig groda</t>
        </is>
      </c>
      <c r="S440">
        <f>HYPERLINK("https://klasma.github.io/Logging_2184/artfynd/A 38496-2025 artfynd.xlsx", "A 38496-2025")</f>
        <v/>
      </c>
      <c r="T440">
        <f>HYPERLINK("https://klasma.github.io/Logging_2184/kartor/A 38496-2025 karta.png", "A 38496-2025")</f>
        <v/>
      </c>
      <c r="V440">
        <f>HYPERLINK("https://klasma.github.io/Logging_2184/klagomål/A 38496-2025 FSC-klagomål.docx", "A 38496-2025")</f>
        <v/>
      </c>
      <c r="W440">
        <f>HYPERLINK("https://klasma.github.io/Logging_2184/klagomålsmail/A 38496-2025 FSC-klagomål mail.docx", "A 38496-2025")</f>
        <v/>
      </c>
      <c r="X440">
        <f>HYPERLINK("https://klasma.github.io/Logging_2184/tillsyn/A 38496-2025 tillsynsbegäran.docx", "A 38496-2025")</f>
        <v/>
      </c>
      <c r="Y440">
        <f>HYPERLINK("https://klasma.github.io/Logging_2184/tillsynsmail/A 38496-2025 tillsynsbegäran mail.docx", "A 38496-2025")</f>
        <v/>
      </c>
    </row>
    <row r="441" ht="15" customHeight="1">
      <c r="A441" t="inlineStr">
        <is>
          <t>A 27884-2025</t>
        </is>
      </c>
      <c r="B441" s="1" t="n">
        <v>45817.44993055556</v>
      </c>
      <c r="C441" s="1" t="n">
        <v>46086</v>
      </c>
      <c r="D441" t="inlineStr">
        <is>
          <t>GÄVLEBORGS LÄN</t>
        </is>
      </c>
      <c r="E441" t="inlineStr">
        <is>
          <t>LJUSDAL</t>
        </is>
      </c>
      <c r="F441" t="inlineStr">
        <is>
          <t>Sveaskog</t>
        </is>
      </c>
      <c r="G441" t="n">
        <v>5.8</v>
      </c>
      <c r="H441" t="n">
        <v>0</v>
      </c>
      <c r="I441" t="n">
        <v>0</v>
      </c>
      <c r="J441" t="n">
        <v>1</v>
      </c>
      <c r="K441" t="n">
        <v>0</v>
      </c>
      <c r="L441" t="n">
        <v>0</v>
      </c>
      <c r="M441" t="n">
        <v>0</v>
      </c>
      <c r="N441" t="n">
        <v>0</v>
      </c>
      <c r="O441" t="n">
        <v>1</v>
      </c>
      <c r="P441" t="n">
        <v>0</v>
      </c>
      <c r="Q441" t="n">
        <v>1</v>
      </c>
      <c r="R441" s="2" t="inlineStr">
        <is>
          <t>Lunglav</t>
        </is>
      </c>
      <c r="S441">
        <f>HYPERLINK("https://klasma.github.io/Logging_2161/artfynd/A 27884-2025 artfynd.xlsx", "A 27884-2025")</f>
        <v/>
      </c>
      <c r="T441">
        <f>HYPERLINK("https://klasma.github.io/Logging_2161/kartor/A 27884-2025 karta.png", "A 27884-2025")</f>
        <v/>
      </c>
      <c r="V441">
        <f>HYPERLINK("https://klasma.github.io/Logging_2161/klagomål/A 27884-2025 FSC-klagomål.docx", "A 27884-2025")</f>
        <v/>
      </c>
      <c r="W441">
        <f>HYPERLINK("https://klasma.github.io/Logging_2161/klagomålsmail/A 27884-2025 FSC-klagomål mail.docx", "A 27884-2025")</f>
        <v/>
      </c>
      <c r="X441">
        <f>HYPERLINK("https://klasma.github.io/Logging_2161/tillsyn/A 27884-2025 tillsynsbegäran.docx", "A 27884-2025")</f>
        <v/>
      </c>
      <c r="Y441">
        <f>HYPERLINK("https://klasma.github.io/Logging_2161/tillsynsmail/A 27884-2025 tillsynsbegäran mail.docx", "A 27884-2025")</f>
        <v/>
      </c>
    </row>
    <row r="442" ht="15" customHeight="1">
      <c r="A442" t="inlineStr">
        <is>
          <t>A 10894-2026</t>
        </is>
      </c>
      <c r="B442" s="1" t="n">
        <v>46078.82186342592</v>
      </c>
      <c r="C442" s="1" t="n">
        <v>46086</v>
      </c>
      <c r="D442" t="inlineStr">
        <is>
          <t>GÄVLEBORGS LÄN</t>
        </is>
      </c>
      <c r="E442" t="inlineStr">
        <is>
          <t>BOLLNÄS</t>
        </is>
      </c>
      <c r="G442" t="n">
        <v>4.4</v>
      </c>
      <c r="H442" t="n">
        <v>1</v>
      </c>
      <c r="I442" t="n">
        <v>0</v>
      </c>
      <c r="J442" t="n">
        <v>0</v>
      </c>
      <c r="K442" t="n">
        <v>0</v>
      </c>
      <c r="L442" t="n">
        <v>0</v>
      </c>
      <c r="M442" t="n">
        <v>0</v>
      </c>
      <c r="N442" t="n">
        <v>0</v>
      </c>
      <c r="O442" t="n">
        <v>0</v>
      </c>
      <c r="P442" t="n">
        <v>0</v>
      </c>
      <c r="Q442" t="n">
        <v>1</v>
      </c>
      <c r="R442" s="2" t="inlineStr">
        <is>
          <t>Nattviol</t>
        </is>
      </c>
      <c r="S442">
        <f>HYPERLINK("https://klasma.github.io/Logging_2183/artfynd/A 10894-2026 artfynd.xlsx", "A 10894-2026")</f>
        <v/>
      </c>
      <c r="T442">
        <f>HYPERLINK("https://klasma.github.io/Logging_2183/kartor/A 10894-2026 karta.png", "A 10894-2026")</f>
        <v/>
      </c>
      <c r="V442">
        <f>HYPERLINK("https://klasma.github.io/Logging_2183/klagomål/A 10894-2026 FSC-klagomål.docx", "A 10894-2026")</f>
        <v/>
      </c>
      <c r="W442">
        <f>HYPERLINK("https://klasma.github.io/Logging_2183/klagomålsmail/A 10894-2026 FSC-klagomål mail.docx", "A 10894-2026")</f>
        <v/>
      </c>
      <c r="X442">
        <f>HYPERLINK("https://klasma.github.io/Logging_2183/tillsyn/A 10894-2026 tillsynsbegäran.docx", "A 10894-2026")</f>
        <v/>
      </c>
      <c r="Y442">
        <f>HYPERLINK("https://klasma.github.io/Logging_2183/tillsynsmail/A 10894-2026 tillsynsbegäran mail.docx", "A 10894-2026")</f>
        <v/>
      </c>
    </row>
    <row r="443" ht="15" customHeight="1">
      <c r="A443" t="inlineStr">
        <is>
          <t>A 8452-2026</t>
        </is>
      </c>
      <c r="B443" s="1" t="n">
        <v>46065</v>
      </c>
      <c r="C443" s="1" t="n">
        <v>46086</v>
      </c>
      <c r="D443" t="inlineStr">
        <is>
          <t>GÄVLEBORGS LÄN</t>
        </is>
      </c>
      <c r="E443" t="inlineStr">
        <is>
          <t>OVANÅKER</t>
        </is>
      </c>
      <c r="G443" t="n">
        <v>5.5</v>
      </c>
      <c r="H443" t="n">
        <v>0</v>
      </c>
      <c r="I443" t="n">
        <v>0</v>
      </c>
      <c r="J443" t="n">
        <v>1</v>
      </c>
      <c r="K443" t="n">
        <v>0</v>
      </c>
      <c r="L443" t="n">
        <v>0</v>
      </c>
      <c r="M443" t="n">
        <v>0</v>
      </c>
      <c r="N443" t="n">
        <v>0</v>
      </c>
      <c r="O443" t="n">
        <v>1</v>
      </c>
      <c r="P443" t="n">
        <v>0</v>
      </c>
      <c r="Q443" t="n">
        <v>1</v>
      </c>
      <c r="R443" s="2" t="inlineStr">
        <is>
          <t>Skogsklocka</t>
        </is>
      </c>
      <c r="S443">
        <f>HYPERLINK("https://klasma.github.io/Logging_2121/artfynd/A 8452-2026 artfynd.xlsx", "A 8452-2026")</f>
        <v/>
      </c>
      <c r="T443">
        <f>HYPERLINK("https://klasma.github.io/Logging_2121/kartor/A 8452-2026 karta.png", "A 8452-2026")</f>
        <v/>
      </c>
      <c r="V443">
        <f>HYPERLINK("https://klasma.github.io/Logging_2121/klagomål/A 8452-2026 FSC-klagomål.docx", "A 8452-2026")</f>
        <v/>
      </c>
      <c r="W443">
        <f>HYPERLINK("https://klasma.github.io/Logging_2121/klagomålsmail/A 8452-2026 FSC-klagomål mail.docx", "A 8452-2026")</f>
        <v/>
      </c>
      <c r="X443">
        <f>HYPERLINK("https://klasma.github.io/Logging_2121/tillsyn/A 8452-2026 tillsynsbegäran.docx", "A 8452-2026")</f>
        <v/>
      </c>
      <c r="Y443">
        <f>HYPERLINK("https://klasma.github.io/Logging_2121/tillsynsmail/A 8452-2026 tillsynsbegäran mail.docx", "A 8452-2026")</f>
        <v/>
      </c>
    </row>
    <row r="444" ht="15" customHeight="1">
      <c r="A444" t="inlineStr">
        <is>
          <t>A 34233-2024</t>
        </is>
      </c>
      <c r="B444" s="1" t="n">
        <v>45524.56537037037</v>
      </c>
      <c r="C444" s="1" t="n">
        <v>46086</v>
      </c>
      <c r="D444" t="inlineStr">
        <is>
          <t>GÄVLEBORGS LÄN</t>
        </is>
      </c>
      <c r="E444" t="inlineStr">
        <is>
          <t>LJUSDAL</t>
        </is>
      </c>
      <c r="F444" t="inlineStr">
        <is>
          <t>Sveaskog</t>
        </is>
      </c>
      <c r="G444" t="n">
        <v>7.5</v>
      </c>
      <c r="H444" t="n">
        <v>1</v>
      </c>
      <c r="I444" t="n">
        <v>1</v>
      </c>
      <c r="J444" t="n">
        <v>0</v>
      </c>
      <c r="K444" t="n">
        <v>0</v>
      </c>
      <c r="L444" t="n">
        <v>0</v>
      </c>
      <c r="M444" t="n">
        <v>0</v>
      </c>
      <c r="N444" t="n">
        <v>0</v>
      </c>
      <c r="O444" t="n">
        <v>0</v>
      </c>
      <c r="P444" t="n">
        <v>0</v>
      </c>
      <c r="Q444" t="n">
        <v>1</v>
      </c>
      <c r="R444" s="2" t="inlineStr">
        <is>
          <t>Plattlummer</t>
        </is>
      </c>
      <c r="S444">
        <f>HYPERLINK("https://klasma.github.io/Logging_2161/artfynd/A 34233-2024 artfynd.xlsx", "A 34233-2024")</f>
        <v/>
      </c>
      <c r="T444">
        <f>HYPERLINK("https://klasma.github.io/Logging_2161/kartor/A 34233-2024 karta.png", "A 34233-2024")</f>
        <v/>
      </c>
      <c r="V444">
        <f>HYPERLINK("https://klasma.github.io/Logging_2161/klagomål/A 34233-2024 FSC-klagomål.docx", "A 34233-2024")</f>
        <v/>
      </c>
      <c r="W444">
        <f>HYPERLINK("https://klasma.github.io/Logging_2161/klagomålsmail/A 34233-2024 FSC-klagomål mail.docx", "A 34233-2024")</f>
        <v/>
      </c>
      <c r="X444">
        <f>HYPERLINK("https://klasma.github.io/Logging_2161/tillsyn/A 34233-2024 tillsynsbegäran.docx", "A 34233-2024")</f>
        <v/>
      </c>
      <c r="Y444">
        <f>HYPERLINK("https://klasma.github.io/Logging_2161/tillsynsmail/A 34233-2024 tillsynsbegäran mail.docx", "A 34233-2024")</f>
        <v/>
      </c>
    </row>
    <row r="445" ht="15" customHeight="1">
      <c r="A445" t="inlineStr">
        <is>
          <t>A 10754-2026</t>
        </is>
      </c>
      <c r="B445" s="1" t="n">
        <v>46078.54128472223</v>
      </c>
      <c r="C445" s="1" t="n">
        <v>46086</v>
      </c>
      <c r="D445" t="inlineStr">
        <is>
          <t>GÄVLEBORGS LÄN</t>
        </is>
      </c>
      <c r="E445" t="inlineStr">
        <is>
          <t>BOLLNÄS</t>
        </is>
      </c>
      <c r="G445" t="n">
        <v>9.699999999999999</v>
      </c>
      <c r="H445" t="n">
        <v>1</v>
      </c>
      <c r="I445" t="n">
        <v>0</v>
      </c>
      <c r="J445" t="n">
        <v>1</v>
      </c>
      <c r="K445" t="n">
        <v>0</v>
      </c>
      <c r="L445" t="n">
        <v>0</v>
      </c>
      <c r="M445" t="n">
        <v>0</v>
      </c>
      <c r="N445" t="n">
        <v>0</v>
      </c>
      <c r="O445" t="n">
        <v>1</v>
      </c>
      <c r="P445" t="n">
        <v>0</v>
      </c>
      <c r="Q445" t="n">
        <v>1</v>
      </c>
      <c r="R445" s="2" t="inlineStr">
        <is>
          <t>Duvhök</t>
        </is>
      </c>
      <c r="S445">
        <f>HYPERLINK("https://klasma.github.io/Logging_2183/artfynd/A 10754-2026 artfynd.xlsx", "A 10754-2026")</f>
        <v/>
      </c>
      <c r="T445">
        <f>HYPERLINK("https://klasma.github.io/Logging_2183/kartor/A 10754-2026 karta.png", "A 10754-2026")</f>
        <v/>
      </c>
      <c r="V445">
        <f>HYPERLINK("https://klasma.github.io/Logging_2183/klagomål/A 10754-2026 FSC-klagomål.docx", "A 10754-2026")</f>
        <v/>
      </c>
      <c r="W445">
        <f>HYPERLINK("https://klasma.github.io/Logging_2183/klagomålsmail/A 10754-2026 FSC-klagomål mail.docx", "A 10754-2026")</f>
        <v/>
      </c>
      <c r="X445">
        <f>HYPERLINK("https://klasma.github.io/Logging_2183/tillsyn/A 10754-2026 tillsynsbegäran.docx", "A 10754-2026")</f>
        <v/>
      </c>
      <c r="Y445">
        <f>HYPERLINK("https://klasma.github.io/Logging_2183/tillsynsmail/A 10754-2026 tillsynsbegäran mail.docx", "A 10754-2026")</f>
        <v/>
      </c>
      <c r="Z445">
        <f>HYPERLINK("https://klasma.github.io/Logging_2183/fåglar/A 10754-2026 prioriterade fågelarter.docx", "A 10754-2026")</f>
        <v/>
      </c>
    </row>
    <row r="446" ht="15" customHeight="1">
      <c r="A446" t="inlineStr">
        <is>
          <t>A 234-2023</t>
        </is>
      </c>
      <c r="B446" s="1" t="n">
        <v>44928.66260416667</v>
      </c>
      <c r="C446" s="1" t="n">
        <v>46086</v>
      </c>
      <c r="D446" t="inlineStr">
        <is>
          <t>GÄVLEBORGS LÄN</t>
        </is>
      </c>
      <c r="E446" t="inlineStr">
        <is>
          <t>HOFORS</t>
        </is>
      </c>
      <c r="F446" t="inlineStr">
        <is>
          <t>Sveaskog</t>
        </is>
      </c>
      <c r="G446" t="n">
        <v>5.1</v>
      </c>
      <c r="H446" t="n">
        <v>1</v>
      </c>
      <c r="I446" t="n">
        <v>0</v>
      </c>
      <c r="J446" t="n">
        <v>0</v>
      </c>
      <c r="K446" t="n">
        <v>1</v>
      </c>
      <c r="L446" t="n">
        <v>0</v>
      </c>
      <c r="M446" t="n">
        <v>0</v>
      </c>
      <c r="N446" t="n">
        <v>0</v>
      </c>
      <c r="O446" t="n">
        <v>1</v>
      </c>
      <c r="P446" t="n">
        <v>1</v>
      </c>
      <c r="Q446" t="n">
        <v>1</v>
      </c>
      <c r="R446" s="2" t="inlineStr">
        <is>
          <t>Knärot</t>
        </is>
      </c>
      <c r="S446">
        <f>HYPERLINK("https://klasma.github.io/Logging_2104/artfynd/A 234-2023 artfynd.xlsx", "A 234-2023")</f>
        <v/>
      </c>
      <c r="T446">
        <f>HYPERLINK("https://klasma.github.io/Logging_2104/kartor/A 234-2023 karta.png", "A 234-2023")</f>
        <v/>
      </c>
      <c r="U446">
        <f>HYPERLINK("https://klasma.github.io/Logging_2104/knärot/A 234-2023 karta knärot.png", "A 234-2023")</f>
        <v/>
      </c>
      <c r="V446">
        <f>HYPERLINK("https://klasma.github.io/Logging_2104/klagomål/A 234-2023 FSC-klagomål.docx", "A 234-2023")</f>
        <v/>
      </c>
      <c r="W446">
        <f>HYPERLINK("https://klasma.github.io/Logging_2104/klagomålsmail/A 234-2023 FSC-klagomål mail.docx", "A 234-2023")</f>
        <v/>
      </c>
      <c r="X446">
        <f>HYPERLINK("https://klasma.github.io/Logging_2104/tillsyn/A 234-2023 tillsynsbegäran.docx", "A 234-2023")</f>
        <v/>
      </c>
      <c r="Y446">
        <f>HYPERLINK("https://klasma.github.io/Logging_2104/tillsynsmail/A 234-2023 tillsynsbegäran mail.docx", "A 234-2023")</f>
        <v/>
      </c>
    </row>
    <row r="447" ht="15" customHeight="1">
      <c r="A447" t="inlineStr">
        <is>
          <t>A 38699-2025</t>
        </is>
      </c>
      <c r="B447" s="1" t="n">
        <v>45884.78680555556</v>
      </c>
      <c r="C447" s="1" t="n">
        <v>46086</v>
      </c>
      <c r="D447" t="inlineStr">
        <is>
          <t>GÄVLEBORGS LÄN</t>
        </is>
      </c>
      <c r="E447" t="inlineStr">
        <is>
          <t>LJUSDAL</t>
        </is>
      </c>
      <c r="F447" t="inlineStr">
        <is>
          <t>Sveaskog</t>
        </is>
      </c>
      <c r="G447" t="n">
        <v>5.5</v>
      </c>
      <c r="H447" t="n">
        <v>0</v>
      </c>
      <c r="I447" t="n">
        <v>0</v>
      </c>
      <c r="J447" t="n">
        <v>1</v>
      </c>
      <c r="K447" t="n">
        <v>0</v>
      </c>
      <c r="L447" t="n">
        <v>0</v>
      </c>
      <c r="M447" t="n">
        <v>0</v>
      </c>
      <c r="N447" t="n">
        <v>0</v>
      </c>
      <c r="O447" t="n">
        <v>1</v>
      </c>
      <c r="P447" t="n">
        <v>0</v>
      </c>
      <c r="Q447" t="n">
        <v>1</v>
      </c>
      <c r="R447" s="2" t="inlineStr">
        <is>
          <t>Kolflarnlav</t>
        </is>
      </c>
      <c r="S447">
        <f>HYPERLINK("https://klasma.github.io/Logging_2161/artfynd/A 38699-2025 artfynd.xlsx", "A 38699-2025")</f>
        <v/>
      </c>
      <c r="T447">
        <f>HYPERLINK("https://klasma.github.io/Logging_2161/kartor/A 38699-2025 karta.png", "A 38699-2025")</f>
        <v/>
      </c>
      <c r="V447">
        <f>HYPERLINK("https://klasma.github.io/Logging_2161/klagomål/A 38699-2025 FSC-klagomål.docx", "A 38699-2025")</f>
        <v/>
      </c>
      <c r="W447">
        <f>HYPERLINK("https://klasma.github.io/Logging_2161/klagomålsmail/A 38699-2025 FSC-klagomål mail.docx", "A 38699-2025")</f>
        <v/>
      </c>
      <c r="X447">
        <f>HYPERLINK("https://klasma.github.io/Logging_2161/tillsyn/A 38699-2025 tillsynsbegäran.docx", "A 38699-2025")</f>
        <v/>
      </c>
      <c r="Y447">
        <f>HYPERLINK("https://klasma.github.io/Logging_2161/tillsynsmail/A 38699-2025 tillsynsbegäran mail.docx", "A 38699-2025")</f>
        <v/>
      </c>
    </row>
    <row r="448" ht="15" customHeight="1">
      <c r="A448" t="inlineStr">
        <is>
          <t>A 49803-2022</t>
        </is>
      </c>
      <c r="B448" s="1" t="n">
        <v>44862.66302083333</v>
      </c>
      <c r="C448" s="1" t="n">
        <v>46086</v>
      </c>
      <c r="D448" t="inlineStr">
        <is>
          <t>GÄVLEBORGS LÄN</t>
        </is>
      </c>
      <c r="E448" t="inlineStr">
        <is>
          <t>LJUSDAL</t>
        </is>
      </c>
      <c r="F448" t="inlineStr">
        <is>
          <t>Sveaskog</t>
        </is>
      </c>
      <c r="G448" t="n">
        <v>1.9</v>
      </c>
      <c r="H448" t="n">
        <v>1</v>
      </c>
      <c r="I448" t="n">
        <v>0</v>
      </c>
      <c r="J448" t="n">
        <v>0</v>
      </c>
      <c r="K448" t="n">
        <v>0</v>
      </c>
      <c r="L448" t="n">
        <v>0</v>
      </c>
      <c r="M448" t="n">
        <v>0</v>
      </c>
      <c r="N448" t="n">
        <v>0</v>
      </c>
      <c r="O448" t="n">
        <v>0</v>
      </c>
      <c r="P448" t="n">
        <v>0</v>
      </c>
      <c r="Q448" t="n">
        <v>1</v>
      </c>
      <c r="R448" s="2" t="inlineStr">
        <is>
          <t>Fläcknycklar</t>
        </is>
      </c>
      <c r="S448">
        <f>HYPERLINK("https://klasma.github.io/Logging_2161/artfynd/A 49803-2022 artfynd.xlsx", "A 49803-2022")</f>
        <v/>
      </c>
      <c r="T448">
        <f>HYPERLINK("https://klasma.github.io/Logging_2161/kartor/A 49803-2022 karta.png", "A 49803-2022")</f>
        <v/>
      </c>
      <c r="V448">
        <f>HYPERLINK("https://klasma.github.io/Logging_2161/klagomål/A 49803-2022 FSC-klagomål.docx", "A 49803-2022")</f>
        <v/>
      </c>
      <c r="W448">
        <f>HYPERLINK("https://klasma.github.io/Logging_2161/klagomålsmail/A 49803-2022 FSC-klagomål mail.docx", "A 49803-2022")</f>
        <v/>
      </c>
      <c r="X448">
        <f>HYPERLINK("https://klasma.github.io/Logging_2161/tillsyn/A 49803-2022 tillsynsbegäran.docx", "A 49803-2022")</f>
        <v/>
      </c>
      <c r="Y448">
        <f>HYPERLINK("https://klasma.github.io/Logging_2161/tillsynsmail/A 49803-2022 tillsynsbegäran mail.docx", "A 49803-2022")</f>
        <v/>
      </c>
    </row>
    <row r="449" ht="15" customHeight="1">
      <c r="A449" t="inlineStr">
        <is>
          <t>A 56782-2023</t>
        </is>
      </c>
      <c r="B449" s="1" t="n">
        <v>45244</v>
      </c>
      <c r="C449" s="1" t="n">
        <v>46086</v>
      </c>
      <c r="D449" t="inlineStr">
        <is>
          <t>GÄVLEBORGS LÄN</t>
        </is>
      </c>
      <c r="E449" t="inlineStr">
        <is>
          <t>LJUSDAL</t>
        </is>
      </c>
      <c r="F449" t="inlineStr">
        <is>
          <t>Sveaskog</t>
        </is>
      </c>
      <c r="G449" t="n">
        <v>0.8</v>
      </c>
      <c r="H449" t="n">
        <v>1</v>
      </c>
      <c r="I449" t="n">
        <v>0</v>
      </c>
      <c r="J449" t="n">
        <v>1</v>
      </c>
      <c r="K449" t="n">
        <v>0</v>
      </c>
      <c r="L449" t="n">
        <v>0</v>
      </c>
      <c r="M449" t="n">
        <v>0</v>
      </c>
      <c r="N449" t="n">
        <v>0</v>
      </c>
      <c r="O449" t="n">
        <v>1</v>
      </c>
      <c r="P449" t="n">
        <v>0</v>
      </c>
      <c r="Q449" t="n">
        <v>1</v>
      </c>
      <c r="R449" s="2" t="inlineStr">
        <is>
          <t>Järpe</t>
        </is>
      </c>
      <c r="S449">
        <f>HYPERLINK("https://klasma.github.io/Logging_2161/artfynd/A 56782-2023 artfynd.xlsx", "A 56782-2023")</f>
        <v/>
      </c>
      <c r="T449">
        <f>HYPERLINK("https://klasma.github.io/Logging_2161/kartor/A 56782-2023 karta.png", "A 56782-2023")</f>
        <v/>
      </c>
      <c r="U449">
        <f>HYPERLINK("https://klasma.github.io/Logging_2161/knärot/A 56782-2023 karta knärot.png", "A 56782-2023")</f>
        <v/>
      </c>
      <c r="V449">
        <f>HYPERLINK("https://klasma.github.io/Logging_2161/klagomål/A 56782-2023 FSC-klagomål.docx", "A 56782-2023")</f>
        <v/>
      </c>
      <c r="W449">
        <f>HYPERLINK("https://klasma.github.io/Logging_2161/klagomålsmail/A 56782-2023 FSC-klagomål mail.docx", "A 56782-2023")</f>
        <v/>
      </c>
      <c r="X449">
        <f>HYPERLINK("https://klasma.github.io/Logging_2161/tillsyn/A 56782-2023 tillsynsbegäran.docx", "A 56782-2023")</f>
        <v/>
      </c>
      <c r="Y449">
        <f>HYPERLINK("https://klasma.github.io/Logging_2161/tillsynsmail/A 56782-2023 tillsynsbegäran mail.docx", "A 56782-2023")</f>
        <v/>
      </c>
      <c r="Z449">
        <f>HYPERLINK("https://klasma.github.io/Logging_2161/fåglar/A 56782-2023 prioriterade fågelarter.docx", "A 56782-2023")</f>
        <v/>
      </c>
    </row>
    <row r="450" ht="15" customHeight="1">
      <c r="A450" t="inlineStr">
        <is>
          <t>A 28374-2025</t>
        </is>
      </c>
      <c r="B450" s="1" t="n">
        <v>45818</v>
      </c>
      <c r="C450" s="1" t="n">
        <v>46086</v>
      </c>
      <c r="D450" t="inlineStr">
        <is>
          <t>GÄVLEBORGS LÄN</t>
        </is>
      </c>
      <c r="E450" t="inlineStr">
        <is>
          <t>GÄVLE</t>
        </is>
      </c>
      <c r="F450" t="inlineStr">
        <is>
          <t>Bergvik skog väst AB</t>
        </is>
      </c>
      <c r="G450" t="n">
        <v>30.1</v>
      </c>
      <c r="H450" t="n">
        <v>1</v>
      </c>
      <c r="I450" t="n">
        <v>1</v>
      </c>
      <c r="J450" t="n">
        <v>0</v>
      </c>
      <c r="K450" t="n">
        <v>0</v>
      </c>
      <c r="L450" t="n">
        <v>0</v>
      </c>
      <c r="M450" t="n">
        <v>0</v>
      </c>
      <c r="N450" t="n">
        <v>0</v>
      </c>
      <c r="O450" t="n">
        <v>0</v>
      </c>
      <c r="P450" t="n">
        <v>0</v>
      </c>
      <c r="Q450" t="n">
        <v>1</v>
      </c>
      <c r="R450" s="2" t="inlineStr">
        <is>
          <t>Korallrot</t>
        </is>
      </c>
      <c r="S450">
        <f>HYPERLINK("https://klasma.github.io/Logging_2180/artfynd/A 28374-2025 artfynd.xlsx", "A 28374-2025")</f>
        <v/>
      </c>
      <c r="T450">
        <f>HYPERLINK("https://klasma.github.io/Logging_2180/kartor/A 28374-2025 karta.png", "A 28374-2025")</f>
        <v/>
      </c>
      <c r="V450">
        <f>HYPERLINK("https://klasma.github.io/Logging_2180/klagomål/A 28374-2025 FSC-klagomål.docx", "A 28374-2025")</f>
        <v/>
      </c>
      <c r="W450">
        <f>HYPERLINK("https://klasma.github.io/Logging_2180/klagomålsmail/A 28374-2025 FSC-klagomål mail.docx", "A 28374-2025")</f>
        <v/>
      </c>
      <c r="X450">
        <f>HYPERLINK("https://klasma.github.io/Logging_2180/tillsyn/A 28374-2025 tillsynsbegäran.docx", "A 28374-2025")</f>
        <v/>
      </c>
      <c r="Y450">
        <f>HYPERLINK("https://klasma.github.io/Logging_2180/tillsynsmail/A 28374-2025 tillsynsbegäran mail.docx", "A 28374-2025")</f>
        <v/>
      </c>
    </row>
    <row r="451" ht="15" customHeight="1">
      <c r="A451" t="inlineStr">
        <is>
          <t>A 28521-2025</t>
        </is>
      </c>
      <c r="B451" s="1" t="n">
        <v>45819.49046296296</v>
      </c>
      <c r="C451" s="1" t="n">
        <v>46086</v>
      </c>
      <c r="D451" t="inlineStr">
        <is>
          <t>GÄVLEBORGS LÄN</t>
        </is>
      </c>
      <c r="E451" t="inlineStr">
        <is>
          <t>LJUSDAL</t>
        </is>
      </c>
      <c r="F451" t="inlineStr">
        <is>
          <t>Allmännings- och besparingsskogar</t>
        </is>
      </c>
      <c r="G451" t="n">
        <v>1.6</v>
      </c>
      <c r="H451" t="n">
        <v>0</v>
      </c>
      <c r="I451" t="n">
        <v>0</v>
      </c>
      <c r="J451" t="n">
        <v>1</v>
      </c>
      <c r="K451" t="n">
        <v>0</v>
      </c>
      <c r="L451" t="n">
        <v>0</v>
      </c>
      <c r="M451" t="n">
        <v>0</v>
      </c>
      <c r="N451" t="n">
        <v>0</v>
      </c>
      <c r="O451" t="n">
        <v>1</v>
      </c>
      <c r="P451" t="n">
        <v>0</v>
      </c>
      <c r="Q451" t="n">
        <v>1</v>
      </c>
      <c r="R451" s="2" t="inlineStr">
        <is>
          <t>Garnlav</t>
        </is>
      </c>
      <c r="S451">
        <f>HYPERLINK("https://klasma.github.io/Logging_2161/artfynd/A 28521-2025 artfynd.xlsx", "A 28521-2025")</f>
        <v/>
      </c>
      <c r="T451">
        <f>HYPERLINK("https://klasma.github.io/Logging_2161/kartor/A 28521-2025 karta.png", "A 28521-2025")</f>
        <v/>
      </c>
      <c r="V451">
        <f>HYPERLINK("https://klasma.github.io/Logging_2161/klagomål/A 28521-2025 FSC-klagomål.docx", "A 28521-2025")</f>
        <v/>
      </c>
      <c r="W451">
        <f>HYPERLINK("https://klasma.github.io/Logging_2161/klagomålsmail/A 28521-2025 FSC-klagomål mail.docx", "A 28521-2025")</f>
        <v/>
      </c>
      <c r="X451">
        <f>HYPERLINK("https://klasma.github.io/Logging_2161/tillsyn/A 28521-2025 tillsynsbegäran.docx", "A 28521-2025")</f>
        <v/>
      </c>
      <c r="Y451">
        <f>HYPERLINK("https://klasma.github.io/Logging_2161/tillsynsmail/A 28521-2025 tillsynsbegäran mail.docx", "A 28521-2025")</f>
        <v/>
      </c>
    </row>
    <row r="452" ht="15" customHeight="1">
      <c r="A452" t="inlineStr">
        <is>
          <t>A 28397-2024</t>
        </is>
      </c>
      <c r="B452" s="1" t="n">
        <v>45477.60549768519</v>
      </c>
      <c r="C452" s="1" t="n">
        <v>46086</v>
      </c>
      <c r="D452" t="inlineStr">
        <is>
          <t>GÄVLEBORGS LÄN</t>
        </is>
      </c>
      <c r="E452" t="inlineStr">
        <is>
          <t>HOFORS</t>
        </is>
      </c>
      <c r="F452" t="inlineStr">
        <is>
          <t>Sveaskog</t>
        </is>
      </c>
      <c r="G452" t="n">
        <v>5</v>
      </c>
      <c r="H452" t="n">
        <v>1</v>
      </c>
      <c r="I452" t="n">
        <v>0</v>
      </c>
      <c r="J452" t="n">
        <v>0</v>
      </c>
      <c r="K452" t="n">
        <v>0</v>
      </c>
      <c r="L452" t="n">
        <v>0</v>
      </c>
      <c r="M452" t="n">
        <v>0</v>
      </c>
      <c r="N452" t="n">
        <v>0</v>
      </c>
      <c r="O452" t="n">
        <v>0</v>
      </c>
      <c r="P452" t="n">
        <v>0</v>
      </c>
      <c r="Q452" t="n">
        <v>1</v>
      </c>
      <c r="R452" s="2" t="inlineStr">
        <is>
          <t>Fläcknycklar</t>
        </is>
      </c>
      <c r="S452">
        <f>HYPERLINK("https://klasma.github.io/Logging_2104/artfynd/A 28397-2024 artfynd.xlsx", "A 28397-2024")</f>
        <v/>
      </c>
      <c r="T452">
        <f>HYPERLINK("https://klasma.github.io/Logging_2104/kartor/A 28397-2024 karta.png", "A 28397-2024")</f>
        <v/>
      </c>
      <c r="V452">
        <f>HYPERLINK("https://klasma.github.io/Logging_2104/klagomål/A 28397-2024 FSC-klagomål.docx", "A 28397-2024")</f>
        <v/>
      </c>
      <c r="W452">
        <f>HYPERLINK("https://klasma.github.io/Logging_2104/klagomålsmail/A 28397-2024 FSC-klagomål mail.docx", "A 28397-2024")</f>
        <v/>
      </c>
      <c r="X452">
        <f>HYPERLINK("https://klasma.github.io/Logging_2104/tillsyn/A 28397-2024 tillsynsbegäran.docx", "A 28397-2024")</f>
        <v/>
      </c>
      <c r="Y452">
        <f>HYPERLINK("https://klasma.github.io/Logging_2104/tillsynsmail/A 28397-2024 tillsynsbegäran mail.docx", "A 28397-2024")</f>
        <v/>
      </c>
    </row>
    <row r="453" ht="15" customHeight="1">
      <c r="A453" t="inlineStr">
        <is>
          <t>A 39872-2025</t>
        </is>
      </c>
      <c r="B453" s="1" t="n">
        <v>45891.61175925926</v>
      </c>
      <c r="C453" s="1" t="n">
        <v>46086</v>
      </c>
      <c r="D453" t="inlineStr">
        <is>
          <t>GÄVLEBORGS LÄN</t>
        </is>
      </c>
      <c r="E453" t="inlineStr">
        <is>
          <t>SANDVIKEN</t>
        </is>
      </c>
      <c r="F453" t="inlineStr">
        <is>
          <t>Sveaskog</t>
        </is>
      </c>
      <c r="G453" t="n">
        <v>3.5</v>
      </c>
      <c r="H453" t="n">
        <v>1</v>
      </c>
      <c r="I453" t="n">
        <v>1</v>
      </c>
      <c r="J453" t="n">
        <v>0</v>
      </c>
      <c r="K453" t="n">
        <v>0</v>
      </c>
      <c r="L453" t="n">
        <v>0</v>
      </c>
      <c r="M453" t="n">
        <v>0</v>
      </c>
      <c r="N453" t="n">
        <v>0</v>
      </c>
      <c r="O453" t="n">
        <v>0</v>
      </c>
      <c r="P453" t="n">
        <v>0</v>
      </c>
      <c r="Q453" t="n">
        <v>1</v>
      </c>
      <c r="R453" s="2" t="inlineStr">
        <is>
          <t>Plattlummer</t>
        </is>
      </c>
      <c r="S453">
        <f>HYPERLINK("https://klasma.github.io/Logging_2181/artfynd/A 39872-2025 artfynd.xlsx", "A 39872-2025")</f>
        <v/>
      </c>
      <c r="T453">
        <f>HYPERLINK("https://klasma.github.io/Logging_2181/kartor/A 39872-2025 karta.png", "A 39872-2025")</f>
        <v/>
      </c>
      <c r="V453">
        <f>HYPERLINK("https://klasma.github.io/Logging_2181/klagomål/A 39872-2025 FSC-klagomål.docx", "A 39872-2025")</f>
        <v/>
      </c>
      <c r="W453">
        <f>HYPERLINK("https://klasma.github.io/Logging_2181/klagomålsmail/A 39872-2025 FSC-klagomål mail.docx", "A 39872-2025")</f>
        <v/>
      </c>
      <c r="X453">
        <f>HYPERLINK("https://klasma.github.io/Logging_2181/tillsyn/A 39872-2025 tillsynsbegäran.docx", "A 39872-2025")</f>
        <v/>
      </c>
      <c r="Y453">
        <f>HYPERLINK("https://klasma.github.io/Logging_2181/tillsynsmail/A 39872-2025 tillsynsbegäran mail.docx", "A 39872-2025")</f>
        <v/>
      </c>
    </row>
    <row r="454" ht="15" customHeight="1">
      <c r="A454" t="inlineStr">
        <is>
          <t>A 39873-2025</t>
        </is>
      </c>
      <c r="B454" s="1" t="n">
        <v>45891.61375</v>
      </c>
      <c r="C454" s="1" t="n">
        <v>46086</v>
      </c>
      <c r="D454" t="inlineStr">
        <is>
          <t>GÄVLEBORGS LÄN</t>
        </is>
      </c>
      <c r="E454" t="inlineStr">
        <is>
          <t>SANDVIKEN</t>
        </is>
      </c>
      <c r="F454" t="inlineStr">
        <is>
          <t>Sveaskog</t>
        </is>
      </c>
      <c r="G454" t="n">
        <v>3.5</v>
      </c>
      <c r="H454" t="n">
        <v>0</v>
      </c>
      <c r="I454" t="n">
        <v>1</v>
      </c>
      <c r="J454" t="n">
        <v>0</v>
      </c>
      <c r="K454" t="n">
        <v>0</v>
      </c>
      <c r="L454" t="n">
        <v>0</v>
      </c>
      <c r="M454" t="n">
        <v>0</v>
      </c>
      <c r="N454" t="n">
        <v>0</v>
      </c>
      <c r="O454" t="n">
        <v>0</v>
      </c>
      <c r="P454" t="n">
        <v>0</v>
      </c>
      <c r="Q454" t="n">
        <v>1</v>
      </c>
      <c r="R454" s="2" t="inlineStr">
        <is>
          <t>Dropptaggsvamp</t>
        </is>
      </c>
      <c r="S454">
        <f>HYPERLINK("https://klasma.github.io/Logging_2181/artfynd/A 39873-2025 artfynd.xlsx", "A 39873-2025")</f>
        <v/>
      </c>
      <c r="T454">
        <f>HYPERLINK("https://klasma.github.io/Logging_2181/kartor/A 39873-2025 karta.png", "A 39873-2025")</f>
        <v/>
      </c>
      <c r="V454">
        <f>HYPERLINK("https://klasma.github.io/Logging_2181/klagomål/A 39873-2025 FSC-klagomål.docx", "A 39873-2025")</f>
        <v/>
      </c>
      <c r="W454">
        <f>HYPERLINK("https://klasma.github.io/Logging_2181/klagomålsmail/A 39873-2025 FSC-klagomål mail.docx", "A 39873-2025")</f>
        <v/>
      </c>
      <c r="X454">
        <f>HYPERLINK("https://klasma.github.io/Logging_2181/tillsyn/A 39873-2025 tillsynsbegäran.docx", "A 39873-2025")</f>
        <v/>
      </c>
      <c r="Y454">
        <f>HYPERLINK("https://klasma.github.io/Logging_2181/tillsynsmail/A 39873-2025 tillsynsbegäran mail.docx", "A 39873-2025")</f>
        <v/>
      </c>
    </row>
    <row r="455" ht="15" customHeight="1">
      <c r="A455" t="inlineStr">
        <is>
          <t>A 39545-2025</t>
        </is>
      </c>
      <c r="B455" s="1" t="n">
        <v>45890.45697916667</v>
      </c>
      <c r="C455" s="1" t="n">
        <v>46086</v>
      </c>
      <c r="D455" t="inlineStr">
        <is>
          <t>GÄVLEBORGS LÄN</t>
        </is>
      </c>
      <c r="E455" t="inlineStr">
        <is>
          <t>LJUSDAL</t>
        </is>
      </c>
      <c r="F455" t="inlineStr">
        <is>
          <t>Sveaskog</t>
        </is>
      </c>
      <c r="G455" t="n">
        <v>4.3</v>
      </c>
      <c r="H455" t="n">
        <v>0</v>
      </c>
      <c r="I455" t="n">
        <v>0</v>
      </c>
      <c r="J455" t="n">
        <v>1</v>
      </c>
      <c r="K455" t="n">
        <v>0</v>
      </c>
      <c r="L455" t="n">
        <v>0</v>
      </c>
      <c r="M455" t="n">
        <v>0</v>
      </c>
      <c r="N455" t="n">
        <v>0</v>
      </c>
      <c r="O455" t="n">
        <v>1</v>
      </c>
      <c r="P455" t="n">
        <v>0</v>
      </c>
      <c r="Q455" t="n">
        <v>1</v>
      </c>
      <c r="R455" s="2" t="inlineStr">
        <is>
          <t>Lunglav</t>
        </is>
      </c>
      <c r="S455">
        <f>HYPERLINK("https://klasma.github.io/Logging_2161/artfynd/A 39545-2025 artfynd.xlsx", "A 39545-2025")</f>
        <v/>
      </c>
      <c r="T455">
        <f>HYPERLINK("https://klasma.github.io/Logging_2161/kartor/A 39545-2025 karta.png", "A 39545-2025")</f>
        <v/>
      </c>
      <c r="V455">
        <f>HYPERLINK("https://klasma.github.io/Logging_2161/klagomål/A 39545-2025 FSC-klagomål.docx", "A 39545-2025")</f>
        <v/>
      </c>
      <c r="W455">
        <f>HYPERLINK("https://klasma.github.io/Logging_2161/klagomålsmail/A 39545-2025 FSC-klagomål mail.docx", "A 39545-2025")</f>
        <v/>
      </c>
      <c r="X455">
        <f>HYPERLINK("https://klasma.github.io/Logging_2161/tillsyn/A 39545-2025 tillsynsbegäran.docx", "A 39545-2025")</f>
        <v/>
      </c>
      <c r="Y455">
        <f>HYPERLINK("https://klasma.github.io/Logging_2161/tillsynsmail/A 39545-2025 tillsynsbegäran mail.docx", "A 39545-2025")</f>
        <v/>
      </c>
    </row>
    <row r="456" ht="15" customHeight="1">
      <c r="A456" t="inlineStr">
        <is>
          <t>A 39547-2025</t>
        </is>
      </c>
      <c r="B456" s="1" t="n">
        <v>45890.45960648148</v>
      </c>
      <c r="C456" s="1" t="n">
        <v>46086</v>
      </c>
      <c r="D456" t="inlineStr">
        <is>
          <t>GÄVLEBORGS LÄN</t>
        </is>
      </c>
      <c r="E456" t="inlineStr">
        <is>
          <t>LJUSDAL</t>
        </is>
      </c>
      <c r="F456" t="inlineStr">
        <is>
          <t>Sveaskog</t>
        </is>
      </c>
      <c r="G456" t="n">
        <v>2.6</v>
      </c>
      <c r="H456" t="n">
        <v>0</v>
      </c>
      <c r="I456" t="n">
        <v>0</v>
      </c>
      <c r="J456" t="n">
        <v>1</v>
      </c>
      <c r="K456" t="n">
        <v>0</v>
      </c>
      <c r="L456" t="n">
        <v>0</v>
      </c>
      <c r="M456" t="n">
        <v>0</v>
      </c>
      <c r="N456" t="n">
        <v>0</v>
      </c>
      <c r="O456" t="n">
        <v>1</v>
      </c>
      <c r="P456" t="n">
        <v>0</v>
      </c>
      <c r="Q456" t="n">
        <v>1</v>
      </c>
      <c r="R456" s="2" t="inlineStr">
        <is>
          <t>Lunglav</t>
        </is>
      </c>
      <c r="S456">
        <f>HYPERLINK("https://klasma.github.io/Logging_2161/artfynd/A 39547-2025 artfynd.xlsx", "A 39547-2025")</f>
        <v/>
      </c>
      <c r="T456">
        <f>HYPERLINK("https://klasma.github.io/Logging_2161/kartor/A 39547-2025 karta.png", "A 39547-2025")</f>
        <v/>
      </c>
      <c r="V456">
        <f>HYPERLINK("https://klasma.github.io/Logging_2161/klagomål/A 39547-2025 FSC-klagomål.docx", "A 39547-2025")</f>
        <v/>
      </c>
      <c r="W456">
        <f>HYPERLINK("https://klasma.github.io/Logging_2161/klagomålsmail/A 39547-2025 FSC-klagomål mail.docx", "A 39547-2025")</f>
        <v/>
      </c>
      <c r="X456">
        <f>HYPERLINK("https://klasma.github.io/Logging_2161/tillsyn/A 39547-2025 tillsynsbegäran.docx", "A 39547-2025")</f>
        <v/>
      </c>
      <c r="Y456">
        <f>HYPERLINK("https://klasma.github.io/Logging_2161/tillsynsmail/A 39547-2025 tillsynsbegäran mail.docx", "A 39547-2025")</f>
        <v/>
      </c>
    </row>
    <row r="457" ht="15" customHeight="1">
      <c r="A457" t="inlineStr">
        <is>
          <t>A 29292-2025</t>
        </is>
      </c>
      <c r="B457" s="1" t="n">
        <v>45824.44224537037</v>
      </c>
      <c r="C457" s="1" t="n">
        <v>46086</v>
      </c>
      <c r="D457" t="inlineStr">
        <is>
          <t>GÄVLEBORGS LÄN</t>
        </is>
      </c>
      <c r="E457" t="inlineStr">
        <is>
          <t>LJUSDAL</t>
        </is>
      </c>
      <c r="F457" t="inlineStr">
        <is>
          <t>Sveaskog</t>
        </is>
      </c>
      <c r="G457" t="n">
        <v>4.6</v>
      </c>
      <c r="H457" t="n">
        <v>0</v>
      </c>
      <c r="I457" t="n">
        <v>0</v>
      </c>
      <c r="J457" t="n">
        <v>1</v>
      </c>
      <c r="K457" t="n">
        <v>0</v>
      </c>
      <c r="L457" t="n">
        <v>0</v>
      </c>
      <c r="M457" t="n">
        <v>0</v>
      </c>
      <c r="N457" t="n">
        <v>0</v>
      </c>
      <c r="O457" t="n">
        <v>1</v>
      </c>
      <c r="P457" t="n">
        <v>0</v>
      </c>
      <c r="Q457" t="n">
        <v>1</v>
      </c>
      <c r="R457" s="2" t="inlineStr">
        <is>
          <t>Kolflarnlav</t>
        </is>
      </c>
      <c r="S457">
        <f>HYPERLINK("https://klasma.github.io/Logging_2161/artfynd/A 29292-2025 artfynd.xlsx", "A 29292-2025")</f>
        <v/>
      </c>
      <c r="T457">
        <f>HYPERLINK("https://klasma.github.io/Logging_2161/kartor/A 29292-2025 karta.png", "A 29292-2025")</f>
        <v/>
      </c>
      <c r="V457">
        <f>HYPERLINK("https://klasma.github.io/Logging_2161/klagomål/A 29292-2025 FSC-klagomål.docx", "A 29292-2025")</f>
        <v/>
      </c>
      <c r="W457">
        <f>HYPERLINK("https://klasma.github.io/Logging_2161/klagomålsmail/A 29292-2025 FSC-klagomål mail.docx", "A 29292-2025")</f>
        <v/>
      </c>
      <c r="X457">
        <f>HYPERLINK("https://klasma.github.io/Logging_2161/tillsyn/A 29292-2025 tillsynsbegäran.docx", "A 29292-2025")</f>
        <v/>
      </c>
      <c r="Y457">
        <f>HYPERLINK("https://klasma.github.io/Logging_2161/tillsynsmail/A 29292-2025 tillsynsbegäran mail.docx", "A 29292-2025")</f>
        <v/>
      </c>
    </row>
    <row r="458" ht="15" customHeight="1">
      <c r="A458" t="inlineStr">
        <is>
          <t>A 43682-2024</t>
        </is>
      </c>
      <c r="B458" s="1" t="n">
        <v>45569</v>
      </c>
      <c r="C458" s="1" t="n">
        <v>46086</v>
      </c>
      <c r="D458" t="inlineStr">
        <is>
          <t>GÄVLEBORGS LÄN</t>
        </is>
      </c>
      <c r="E458" t="inlineStr">
        <is>
          <t>SÖDERHAMN</t>
        </is>
      </c>
      <c r="G458" t="n">
        <v>3.8</v>
      </c>
      <c r="H458" t="n">
        <v>0</v>
      </c>
      <c r="I458" t="n">
        <v>0</v>
      </c>
      <c r="J458" t="n">
        <v>1</v>
      </c>
      <c r="K458" t="n">
        <v>0</v>
      </c>
      <c r="L458" t="n">
        <v>0</v>
      </c>
      <c r="M458" t="n">
        <v>0</v>
      </c>
      <c r="N458" t="n">
        <v>0</v>
      </c>
      <c r="O458" t="n">
        <v>1</v>
      </c>
      <c r="P458" t="n">
        <v>0</v>
      </c>
      <c r="Q458" t="n">
        <v>1</v>
      </c>
      <c r="R458" s="2" t="inlineStr">
        <is>
          <t>Garnlav</t>
        </is>
      </c>
      <c r="S458">
        <f>HYPERLINK("https://klasma.github.io/Logging_2182/artfynd/A 43682-2024 artfynd.xlsx", "A 43682-2024")</f>
        <v/>
      </c>
      <c r="T458">
        <f>HYPERLINK("https://klasma.github.io/Logging_2182/kartor/A 43682-2024 karta.png", "A 43682-2024")</f>
        <v/>
      </c>
      <c r="V458">
        <f>HYPERLINK("https://klasma.github.io/Logging_2182/klagomål/A 43682-2024 FSC-klagomål.docx", "A 43682-2024")</f>
        <v/>
      </c>
      <c r="W458">
        <f>HYPERLINK("https://klasma.github.io/Logging_2182/klagomålsmail/A 43682-2024 FSC-klagomål mail.docx", "A 43682-2024")</f>
        <v/>
      </c>
      <c r="X458">
        <f>HYPERLINK("https://klasma.github.io/Logging_2182/tillsyn/A 43682-2024 tillsynsbegäran.docx", "A 43682-2024")</f>
        <v/>
      </c>
      <c r="Y458">
        <f>HYPERLINK("https://klasma.github.io/Logging_2182/tillsynsmail/A 43682-2024 tillsynsbegäran mail.docx", "A 43682-2024")</f>
        <v/>
      </c>
    </row>
    <row r="459" ht="15" customHeight="1">
      <c r="A459" t="inlineStr">
        <is>
          <t>A 30298-2025</t>
        </is>
      </c>
      <c r="B459" s="1" t="n">
        <v>45827.47530092593</v>
      </c>
      <c r="C459" s="1" t="n">
        <v>46086</v>
      </c>
      <c r="D459" t="inlineStr">
        <is>
          <t>GÄVLEBORGS LÄN</t>
        </is>
      </c>
      <c r="E459" t="inlineStr">
        <is>
          <t>LJUSDAL</t>
        </is>
      </c>
      <c r="F459" t="inlineStr">
        <is>
          <t>Sveaskog</t>
        </is>
      </c>
      <c r="G459" t="n">
        <v>8.800000000000001</v>
      </c>
      <c r="H459" t="n">
        <v>0</v>
      </c>
      <c r="I459" t="n">
        <v>0</v>
      </c>
      <c r="J459" t="n">
        <v>1</v>
      </c>
      <c r="K459" t="n">
        <v>0</v>
      </c>
      <c r="L459" t="n">
        <v>0</v>
      </c>
      <c r="M459" t="n">
        <v>0</v>
      </c>
      <c r="N459" t="n">
        <v>0</v>
      </c>
      <c r="O459" t="n">
        <v>1</v>
      </c>
      <c r="P459" t="n">
        <v>0</v>
      </c>
      <c r="Q459" t="n">
        <v>1</v>
      </c>
      <c r="R459" s="2" t="inlineStr">
        <is>
          <t>Kolflarnlav</t>
        </is>
      </c>
      <c r="S459">
        <f>HYPERLINK("https://klasma.github.io/Logging_2161/artfynd/A 30298-2025 artfynd.xlsx", "A 30298-2025")</f>
        <v/>
      </c>
      <c r="T459">
        <f>HYPERLINK("https://klasma.github.io/Logging_2161/kartor/A 30298-2025 karta.png", "A 30298-2025")</f>
        <v/>
      </c>
      <c r="V459">
        <f>HYPERLINK("https://klasma.github.io/Logging_2161/klagomål/A 30298-2025 FSC-klagomål.docx", "A 30298-2025")</f>
        <v/>
      </c>
      <c r="W459">
        <f>HYPERLINK("https://klasma.github.io/Logging_2161/klagomålsmail/A 30298-2025 FSC-klagomål mail.docx", "A 30298-2025")</f>
        <v/>
      </c>
      <c r="X459">
        <f>HYPERLINK("https://klasma.github.io/Logging_2161/tillsyn/A 30298-2025 tillsynsbegäran.docx", "A 30298-2025")</f>
        <v/>
      </c>
      <c r="Y459">
        <f>HYPERLINK("https://klasma.github.io/Logging_2161/tillsynsmail/A 30298-2025 tillsynsbegäran mail.docx", "A 30298-2025")</f>
        <v/>
      </c>
    </row>
    <row r="460" ht="15" customHeight="1">
      <c r="A460" t="inlineStr">
        <is>
          <t>A 30323-2025</t>
        </is>
      </c>
      <c r="B460" s="1" t="n">
        <v>45827.50162037037</v>
      </c>
      <c r="C460" s="1" t="n">
        <v>46086</v>
      </c>
      <c r="D460" t="inlineStr">
        <is>
          <t>GÄVLEBORGS LÄN</t>
        </is>
      </c>
      <c r="E460" t="inlineStr">
        <is>
          <t>GÄVLE</t>
        </is>
      </c>
      <c r="G460" t="n">
        <v>4.9</v>
      </c>
      <c r="H460" t="n">
        <v>1</v>
      </c>
      <c r="I460" t="n">
        <v>0</v>
      </c>
      <c r="J460" t="n">
        <v>0</v>
      </c>
      <c r="K460" t="n">
        <v>0</v>
      </c>
      <c r="L460" t="n">
        <v>0</v>
      </c>
      <c r="M460" t="n">
        <v>0</v>
      </c>
      <c r="N460" t="n">
        <v>0</v>
      </c>
      <c r="O460" t="n">
        <v>0</v>
      </c>
      <c r="P460" t="n">
        <v>0</v>
      </c>
      <c r="Q460" t="n">
        <v>1</v>
      </c>
      <c r="R460" s="2" t="inlineStr">
        <is>
          <t>Fläcknycklar</t>
        </is>
      </c>
      <c r="S460">
        <f>HYPERLINK("https://klasma.github.io/Logging_2180/artfynd/A 30323-2025 artfynd.xlsx", "A 30323-2025")</f>
        <v/>
      </c>
      <c r="T460">
        <f>HYPERLINK("https://klasma.github.io/Logging_2180/kartor/A 30323-2025 karta.png", "A 30323-2025")</f>
        <v/>
      </c>
      <c r="V460">
        <f>HYPERLINK("https://klasma.github.io/Logging_2180/klagomål/A 30323-2025 FSC-klagomål.docx", "A 30323-2025")</f>
        <v/>
      </c>
      <c r="W460">
        <f>HYPERLINK("https://klasma.github.io/Logging_2180/klagomålsmail/A 30323-2025 FSC-klagomål mail.docx", "A 30323-2025")</f>
        <v/>
      </c>
      <c r="X460">
        <f>HYPERLINK("https://klasma.github.io/Logging_2180/tillsyn/A 30323-2025 tillsynsbegäran.docx", "A 30323-2025")</f>
        <v/>
      </c>
      <c r="Y460">
        <f>HYPERLINK("https://klasma.github.io/Logging_2180/tillsynsmail/A 30323-2025 tillsynsbegäran mail.docx", "A 30323-2025")</f>
        <v/>
      </c>
    </row>
    <row r="461" ht="15" customHeight="1">
      <c r="A461" t="inlineStr">
        <is>
          <t>A 30371-2025</t>
        </is>
      </c>
      <c r="B461" s="1" t="n">
        <v>45827.56134259259</v>
      </c>
      <c r="C461" s="1" t="n">
        <v>46086</v>
      </c>
      <c r="D461" t="inlineStr">
        <is>
          <t>GÄVLEBORGS LÄN</t>
        </is>
      </c>
      <c r="E461" t="inlineStr">
        <is>
          <t>LJUSDAL</t>
        </is>
      </c>
      <c r="F461" t="inlineStr">
        <is>
          <t>Sveaskog</t>
        </is>
      </c>
      <c r="G461" t="n">
        <v>4.6</v>
      </c>
      <c r="H461" t="n">
        <v>0</v>
      </c>
      <c r="I461" t="n">
        <v>0</v>
      </c>
      <c r="J461" t="n">
        <v>1</v>
      </c>
      <c r="K461" t="n">
        <v>0</v>
      </c>
      <c r="L461" t="n">
        <v>0</v>
      </c>
      <c r="M461" t="n">
        <v>0</v>
      </c>
      <c r="N461" t="n">
        <v>0</v>
      </c>
      <c r="O461" t="n">
        <v>1</v>
      </c>
      <c r="P461" t="n">
        <v>0</v>
      </c>
      <c r="Q461" t="n">
        <v>1</v>
      </c>
      <c r="R461" s="2" t="inlineStr">
        <is>
          <t>Kolflarnlav</t>
        </is>
      </c>
      <c r="S461">
        <f>HYPERLINK("https://klasma.github.io/Logging_2161/artfynd/A 30371-2025 artfynd.xlsx", "A 30371-2025")</f>
        <v/>
      </c>
      <c r="T461">
        <f>HYPERLINK("https://klasma.github.io/Logging_2161/kartor/A 30371-2025 karta.png", "A 30371-2025")</f>
        <v/>
      </c>
      <c r="V461">
        <f>HYPERLINK("https://klasma.github.io/Logging_2161/klagomål/A 30371-2025 FSC-klagomål.docx", "A 30371-2025")</f>
        <v/>
      </c>
      <c r="W461">
        <f>HYPERLINK("https://klasma.github.io/Logging_2161/klagomålsmail/A 30371-2025 FSC-klagomål mail.docx", "A 30371-2025")</f>
        <v/>
      </c>
      <c r="X461">
        <f>HYPERLINK("https://klasma.github.io/Logging_2161/tillsyn/A 30371-2025 tillsynsbegäran.docx", "A 30371-2025")</f>
        <v/>
      </c>
      <c r="Y461">
        <f>HYPERLINK("https://klasma.github.io/Logging_2161/tillsynsmail/A 30371-2025 tillsynsbegäran mail.docx", "A 30371-2025")</f>
        <v/>
      </c>
    </row>
    <row r="462" ht="15" customHeight="1">
      <c r="A462" t="inlineStr">
        <is>
          <t>A 30239-2025</t>
        </is>
      </c>
      <c r="B462" s="1" t="n">
        <v>45827.40430555555</v>
      </c>
      <c r="C462" s="1" t="n">
        <v>46086</v>
      </c>
      <c r="D462" t="inlineStr">
        <is>
          <t>GÄVLEBORGS LÄN</t>
        </is>
      </c>
      <c r="E462" t="inlineStr">
        <is>
          <t>OVANÅKER</t>
        </is>
      </c>
      <c r="F462" t="inlineStr">
        <is>
          <t>Sveaskog</t>
        </is>
      </c>
      <c r="G462" t="n">
        <v>20.8</v>
      </c>
      <c r="H462" t="n">
        <v>0</v>
      </c>
      <c r="I462" t="n">
        <v>1</v>
      </c>
      <c r="J462" t="n">
        <v>0</v>
      </c>
      <c r="K462" t="n">
        <v>0</v>
      </c>
      <c r="L462" t="n">
        <v>0</v>
      </c>
      <c r="M462" t="n">
        <v>0</v>
      </c>
      <c r="N462" t="n">
        <v>0</v>
      </c>
      <c r="O462" t="n">
        <v>0</v>
      </c>
      <c r="P462" t="n">
        <v>0</v>
      </c>
      <c r="Q462" t="n">
        <v>1</v>
      </c>
      <c r="R462" s="2" t="inlineStr">
        <is>
          <t>Dropptaggsvamp</t>
        </is>
      </c>
      <c r="S462">
        <f>HYPERLINK("https://klasma.github.io/Logging_2121/artfynd/A 30239-2025 artfynd.xlsx", "A 30239-2025")</f>
        <v/>
      </c>
      <c r="T462">
        <f>HYPERLINK("https://klasma.github.io/Logging_2121/kartor/A 30239-2025 karta.png", "A 30239-2025")</f>
        <v/>
      </c>
      <c r="V462">
        <f>HYPERLINK("https://klasma.github.io/Logging_2121/klagomål/A 30239-2025 FSC-klagomål.docx", "A 30239-2025")</f>
        <v/>
      </c>
      <c r="W462">
        <f>HYPERLINK("https://klasma.github.io/Logging_2121/klagomålsmail/A 30239-2025 FSC-klagomål mail.docx", "A 30239-2025")</f>
        <v/>
      </c>
      <c r="X462">
        <f>HYPERLINK("https://klasma.github.io/Logging_2121/tillsyn/A 30239-2025 tillsynsbegäran.docx", "A 30239-2025")</f>
        <v/>
      </c>
      <c r="Y462">
        <f>HYPERLINK("https://klasma.github.io/Logging_2121/tillsynsmail/A 30239-2025 tillsynsbegäran mail.docx", "A 30239-2025")</f>
        <v/>
      </c>
    </row>
    <row r="463" ht="15" customHeight="1">
      <c r="A463" t="inlineStr">
        <is>
          <t>A 40434-2025</t>
        </is>
      </c>
      <c r="B463" s="1" t="n">
        <v>45895.61741898148</v>
      </c>
      <c r="C463" s="1" t="n">
        <v>46086</v>
      </c>
      <c r="D463" t="inlineStr">
        <is>
          <t>GÄVLEBORGS LÄN</t>
        </is>
      </c>
      <c r="E463" t="inlineStr">
        <is>
          <t>SANDVIKEN</t>
        </is>
      </c>
      <c r="G463" t="n">
        <v>11.7</v>
      </c>
      <c r="H463" t="n">
        <v>0</v>
      </c>
      <c r="I463" t="n">
        <v>1</v>
      </c>
      <c r="J463" t="n">
        <v>0</v>
      </c>
      <c r="K463" t="n">
        <v>0</v>
      </c>
      <c r="L463" t="n">
        <v>0</v>
      </c>
      <c r="M463" t="n">
        <v>0</v>
      </c>
      <c r="N463" t="n">
        <v>0</v>
      </c>
      <c r="O463" t="n">
        <v>0</v>
      </c>
      <c r="P463" t="n">
        <v>0</v>
      </c>
      <c r="Q463" t="n">
        <v>1</v>
      </c>
      <c r="R463" s="2" t="inlineStr">
        <is>
          <t>Grönpyrola</t>
        </is>
      </c>
      <c r="S463">
        <f>HYPERLINK("https://klasma.github.io/Logging_2181/artfynd/A 40434-2025 artfynd.xlsx", "A 40434-2025")</f>
        <v/>
      </c>
      <c r="T463">
        <f>HYPERLINK("https://klasma.github.io/Logging_2181/kartor/A 40434-2025 karta.png", "A 40434-2025")</f>
        <v/>
      </c>
      <c r="V463">
        <f>HYPERLINK("https://klasma.github.io/Logging_2181/klagomål/A 40434-2025 FSC-klagomål.docx", "A 40434-2025")</f>
        <v/>
      </c>
      <c r="W463">
        <f>HYPERLINK("https://klasma.github.io/Logging_2181/klagomålsmail/A 40434-2025 FSC-klagomål mail.docx", "A 40434-2025")</f>
        <v/>
      </c>
      <c r="X463">
        <f>HYPERLINK("https://klasma.github.io/Logging_2181/tillsyn/A 40434-2025 tillsynsbegäran.docx", "A 40434-2025")</f>
        <v/>
      </c>
      <c r="Y463">
        <f>HYPERLINK("https://klasma.github.io/Logging_2181/tillsynsmail/A 40434-2025 tillsynsbegäran mail.docx", "A 40434-2025")</f>
        <v/>
      </c>
    </row>
    <row r="464" ht="15" customHeight="1">
      <c r="A464" t="inlineStr">
        <is>
          <t>A 57441-2024</t>
        </is>
      </c>
      <c r="B464" s="1" t="n">
        <v>45629.87905092593</v>
      </c>
      <c r="C464" s="1" t="n">
        <v>46086</v>
      </c>
      <c r="D464" t="inlineStr">
        <is>
          <t>GÄVLEBORGS LÄN</t>
        </is>
      </c>
      <c r="E464" t="inlineStr">
        <is>
          <t>SÖDERHAMN</t>
        </is>
      </c>
      <c r="G464" t="n">
        <v>0.6</v>
      </c>
      <c r="H464" t="n">
        <v>0</v>
      </c>
      <c r="I464" t="n">
        <v>0</v>
      </c>
      <c r="J464" t="n">
        <v>1</v>
      </c>
      <c r="K464" t="n">
        <v>0</v>
      </c>
      <c r="L464" t="n">
        <v>0</v>
      </c>
      <c r="M464" t="n">
        <v>0</v>
      </c>
      <c r="N464" t="n">
        <v>0</v>
      </c>
      <c r="O464" t="n">
        <v>1</v>
      </c>
      <c r="P464" t="n">
        <v>0</v>
      </c>
      <c r="Q464" t="n">
        <v>1</v>
      </c>
      <c r="R464" s="2" t="inlineStr">
        <is>
          <t>Ullticka</t>
        </is>
      </c>
      <c r="S464">
        <f>HYPERLINK("https://klasma.github.io/Logging_2182/artfynd/A 57441-2024 artfynd.xlsx", "A 57441-2024")</f>
        <v/>
      </c>
      <c r="T464">
        <f>HYPERLINK("https://klasma.github.io/Logging_2182/kartor/A 57441-2024 karta.png", "A 57441-2024")</f>
        <v/>
      </c>
      <c r="V464">
        <f>HYPERLINK("https://klasma.github.io/Logging_2182/klagomål/A 57441-2024 FSC-klagomål.docx", "A 57441-2024")</f>
        <v/>
      </c>
      <c r="W464">
        <f>HYPERLINK("https://klasma.github.io/Logging_2182/klagomålsmail/A 57441-2024 FSC-klagomål mail.docx", "A 57441-2024")</f>
        <v/>
      </c>
      <c r="X464">
        <f>HYPERLINK("https://klasma.github.io/Logging_2182/tillsyn/A 57441-2024 tillsynsbegäran.docx", "A 57441-2024")</f>
        <v/>
      </c>
      <c r="Y464">
        <f>HYPERLINK("https://klasma.github.io/Logging_2182/tillsynsmail/A 57441-2024 tillsynsbegäran mail.docx", "A 57441-2024")</f>
        <v/>
      </c>
    </row>
    <row r="465" ht="15" customHeight="1">
      <c r="A465" t="inlineStr">
        <is>
          <t>A 40214-2025</t>
        </is>
      </c>
      <c r="B465" s="1" t="n">
        <v>45894.68690972222</v>
      </c>
      <c r="C465" s="1" t="n">
        <v>46086</v>
      </c>
      <c r="D465" t="inlineStr">
        <is>
          <t>GÄVLEBORGS LÄN</t>
        </is>
      </c>
      <c r="E465" t="inlineStr">
        <is>
          <t>LJUSDAL</t>
        </is>
      </c>
      <c r="F465" t="inlineStr">
        <is>
          <t>Sveaskog</t>
        </is>
      </c>
      <c r="G465" t="n">
        <v>7.3</v>
      </c>
      <c r="H465" t="n">
        <v>1</v>
      </c>
      <c r="I465" t="n">
        <v>1</v>
      </c>
      <c r="J465" t="n">
        <v>0</v>
      </c>
      <c r="K465" t="n">
        <v>0</v>
      </c>
      <c r="L465" t="n">
        <v>0</v>
      </c>
      <c r="M465" t="n">
        <v>0</v>
      </c>
      <c r="N465" t="n">
        <v>0</v>
      </c>
      <c r="O465" t="n">
        <v>0</v>
      </c>
      <c r="P465" t="n">
        <v>0</v>
      </c>
      <c r="Q465" t="n">
        <v>1</v>
      </c>
      <c r="R465" s="2" t="inlineStr">
        <is>
          <t>Plattlummer</t>
        </is>
      </c>
      <c r="S465">
        <f>HYPERLINK("https://klasma.github.io/Logging_2161/artfynd/A 40214-2025 artfynd.xlsx", "A 40214-2025")</f>
        <v/>
      </c>
      <c r="T465">
        <f>HYPERLINK("https://klasma.github.io/Logging_2161/kartor/A 40214-2025 karta.png", "A 40214-2025")</f>
        <v/>
      </c>
      <c r="U465">
        <f>HYPERLINK("https://klasma.github.io/Logging_2161/knärot/A 40214-2025 karta knärot.png", "A 40214-2025")</f>
        <v/>
      </c>
      <c r="V465">
        <f>HYPERLINK("https://klasma.github.io/Logging_2161/klagomål/A 40214-2025 FSC-klagomål.docx", "A 40214-2025")</f>
        <v/>
      </c>
      <c r="W465">
        <f>HYPERLINK("https://klasma.github.io/Logging_2161/klagomålsmail/A 40214-2025 FSC-klagomål mail.docx", "A 40214-2025")</f>
        <v/>
      </c>
      <c r="X465">
        <f>HYPERLINK("https://klasma.github.io/Logging_2161/tillsyn/A 40214-2025 tillsynsbegäran.docx", "A 40214-2025")</f>
        <v/>
      </c>
      <c r="Y465">
        <f>HYPERLINK("https://klasma.github.io/Logging_2161/tillsynsmail/A 40214-2025 tillsynsbegäran mail.docx", "A 40214-2025")</f>
        <v/>
      </c>
    </row>
    <row r="466" ht="15" customHeight="1">
      <c r="A466" t="inlineStr">
        <is>
          <t>A 30296-2025</t>
        </is>
      </c>
      <c r="B466" s="1" t="n">
        <v>45827.47434027777</v>
      </c>
      <c r="C466" s="1" t="n">
        <v>46086</v>
      </c>
      <c r="D466" t="inlineStr">
        <is>
          <t>GÄVLEBORGS LÄN</t>
        </is>
      </c>
      <c r="E466" t="inlineStr">
        <is>
          <t>LJUSDAL</t>
        </is>
      </c>
      <c r="F466" t="inlineStr">
        <is>
          <t>Sveaskog</t>
        </is>
      </c>
      <c r="G466" t="n">
        <v>5.5</v>
      </c>
      <c r="H466" t="n">
        <v>0</v>
      </c>
      <c r="I466" t="n">
        <v>0</v>
      </c>
      <c r="J466" t="n">
        <v>1</v>
      </c>
      <c r="K466" t="n">
        <v>0</v>
      </c>
      <c r="L466" t="n">
        <v>0</v>
      </c>
      <c r="M466" t="n">
        <v>0</v>
      </c>
      <c r="N466" t="n">
        <v>0</v>
      </c>
      <c r="O466" t="n">
        <v>1</v>
      </c>
      <c r="P466" t="n">
        <v>0</v>
      </c>
      <c r="Q466" t="n">
        <v>1</v>
      </c>
      <c r="R466" s="2" t="inlineStr">
        <is>
          <t>Kolflarnlav</t>
        </is>
      </c>
      <c r="S466">
        <f>HYPERLINK("https://klasma.github.io/Logging_2161/artfynd/A 30296-2025 artfynd.xlsx", "A 30296-2025")</f>
        <v/>
      </c>
      <c r="T466">
        <f>HYPERLINK("https://klasma.github.io/Logging_2161/kartor/A 30296-2025 karta.png", "A 30296-2025")</f>
        <v/>
      </c>
      <c r="V466">
        <f>HYPERLINK("https://klasma.github.io/Logging_2161/klagomål/A 30296-2025 FSC-klagomål.docx", "A 30296-2025")</f>
        <v/>
      </c>
      <c r="W466">
        <f>HYPERLINK("https://klasma.github.io/Logging_2161/klagomålsmail/A 30296-2025 FSC-klagomål mail.docx", "A 30296-2025")</f>
        <v/>
      </c>
      <c r="X466">
        <f>HYPERLINK("https://klasma.github.io/Logging_2161/tillsyn/A 30296-2025 tillsynsbegäran.docx", "A 30296-2025")</f>
        <v/>
      </c>
      <c r="Y466">
        <f>HYPERLINK("https://klasma.github.io/Logging_2161/tillsynsmail/A 30296-2025 tillsynsbegäran mail.docx", "A 30296-2025")</f>
        <v/>
      </c>
    </row>
    <row r="467" ht="15" customHeight="1">
      <c r="A467" t="inlineStr">
        <is>
          <t>A 40179-2025</t>
        </is>
      </c>
      <c r="B467" s="1" t="n">
        <v>45894.6367824074</v>
      </c>
      <c r="C467" s="1" t="n">
        <v>46086</v>
      </c>
      <c r="D467" t="inlineStr">
        <is>
          <t>GÄVLEBORGS LÄN</t>
        </is>
      </c>
      <c r="E467" t="inlineStr">
        <is>
          <t>LJUSDAL</t>
        </is>
      </c>
      <c r="F467" t="inlineStr">
        <is>
          <t>SCA</t>
        </is>
      </c>
      <c r="G467" t="n">
        <v>2.9</v>
      </c>
      <c r="H467" t="n">
        <v>1</v>
      </c>
      <c r="I467" t="n">
        <v>0</v>
      </c>
      <c r="J467" t="n">
        <v>0</v>
      </c>
      <c r="K467" t="n">
        <v>0</v>
      </c>
      <c r="L467" t="n">
        <v>0</v>
      </c>
      <c r="M467" t="n">
        <v>0</v>
      </c>
      <c r="N467" t="n">
        <v>0</v>
      </c>
      <c r="O467" t="n">
        <v>0</v>
      </c>
      <c r="P467" t="n">
        <v>0</v>
      </c>
      <c r="Q467" t="n">
        <v>1</v>
      </c>
      <c r="R467" s="2" t="inlineStr">
        <is>
          <t>Revlummer</t>
        </is>
      </c>
      <c r="S467">
        <f>HYPERLINK("https://klasma.github.io/Logging_2161/artfynd/A 40179-2025 artfynd.xlsx", "A 40179-2025")</f>
        <v/>
      </c>
      <c r="T467">
        <f>HYPERLINK("https://klasma.github.io/Logging_2161/kartor/A 40179-2025 karta.png", "A 40179-2025")</f>
        <v/>
      </c>
      <c r="V467">
        <f>HYPERLINK("https://klasma.github.io/Logging_2161/klagomål/A 40179-2025 FSC-klagomål.docx", "A 40179-2025")</f>
        <v/>
      </c>
      <c r="W467">
        <f>HYPERLINK("https://klasma.github.io/Logging_2161/klagomålsmail/A 40179-2025 FSC-klagomål mail.docx", "A 40179-2025")</f>
        <v/>
      </c>
      <c r="X467">
        <f>HYPERLINK("https://klasma.github.io/Logging_2161/tillsyn/A 40179-2025 tillsynsbegäran.docx", "A 40179-2025")</f>
        <v/>
      </c>
      <c r="Y467">
        <f>HYPERLINK("https://klasma.github.io/Logging_2161/tillsynsmail/A 40179-2025 tillsynsbegäran mail.docx", "A 40179-2025")</f>
        <v/>
      </c>
    </row>
    <row r="468" ht="15" customHeight="1">
      <c r="A468" t="inlineStr">
        <is>
          <t>A 32499-2023</t>
        </is>
      </c>
      <c r="B468" s="1" t="n">
        <v>45121.30815972222</v>
      </c>
      <c r="C468" s="1" t="n">
        <v>46086</v>
      </c>
      <c r="D468" t="inlineStr">
        <is>
          <t>GÄVLEBORGS LÄN</t>
        </is>
      </c>
      <c r="E468" t="inlineStr">
        <is>
          <t>LJUSDAL</t>
        </is>
      </c>
      <c r="F468" t="inlineStr">
        <is>
          <t>Sveaskog</t>
        </is>
      </c>
      <c r="G468" t="n">
        <v>2.6</v>
      </c>
      <c r="H468" t="n">
        <v>1</v>
      </c>
      <c r="I468" t="n">
        <v>0</v>
      </c>
      <c r="J468" t="n">
        <v>0</v>
      </c>
      <c r="K468" t="n">
        <v>1</v>
      </c>
      <c r="L468" t="n">
        <v>0</v>
      </c>
      <c r="M468" t="n">
        <v>0</v>
      </c>
      <c r="N468" t="n">
        <v>0</v>
      </c>
      <c r="O468" t="n">
        <v>1</v>
      </c>
      <c r="P468" t="n">
        <v>1</v>
      </c>
      <c r="Q468" t="n">
        <v>1</v>
      </c>
      <c r="R468" s="2" t="inlineStr">
        <is>
          <t>Knärot</t>
        </is>
      </c>
      <c r="S468">
        <f>HYPERLINK("https://klasma.github.io/Logging_2161/artfynd/A 32499-2023 artfynd.xlsx", "A 32499-2023")</f>
        <v/>
      </c>
      <c r="T468">
        <f>HYPERLINK("https://klasma.github.io/Logging_2161/kartor/A 32499-2023 karta.png", "A 32499-2023")</f>
        <v/>
      </c>
      <c r="U468">
        <f>HYPERLINK("https://klasma.github.io/Logging_2161/knärot/A 32499-2023 karta knärot.png", "A 32499-2023")</f>
        <v/>
      </c>
      <c r="V468">
        <f>HYPERLINK("https://klasma.github.io/Logging_2161/klagomål/A 32499-2023 FSC-klagomål.docx", "A 32499-2023")</f>
        <v/>
      </c>
      <c r="W468">
        <f>HYPERLINK("https://klasma.github.io/Logging_2161/klagomålsmail/A 32499-2023 FSC-klagomål mail.docx", "A 32499-2023")</f>
        <v/>
      </c>
      <c r="X468">
        <f>HYPERLINK("https://klasma.github.io/Logging_2161/tillsyn/A 32499-2023 tillsynsbegäran.docx", "A 32499-2023")</f>
        <v/>
      </c>
      <c r="Y468">
        <f>HYPERLINK("https://klasma.github.io/Logging_2161/tillsynsmail/A 32499-2023 tillsynsbegäran mail.docx", "A 32499-2023")</f>
        <v/>
      </c>
    </row>
    <row r="469" ht="15" customHeight="1">
      <c r="A469" t="inlineStr">
        <is>
          <t>A 23354-2024</t>
        </is>
      </c>
      <c r="B469" s="1" t="n">
        <v>45453</v>
      </c>
      <c r="C469" s="1" t="n">
        <v>46086</v>
      </c>
      <c r="D469" t="inlineStr">
        <is>
          <t>GÄVLEBORGS LÄN</t>
        </is>
      </c>
      <c r="E469" t="inlineStr">
        <is>
          <t>HOFORS</t>
        </is>
      </c>
      <c r="F469" t="inlineStr">
        <is>
          <t>Sveaskog</t>
        </is>
      </c>
      <c r="G469" t="n">
        <v>2</v>
      </c>
      <c r="H469" t="n">
        <v>1</v>
      </c>
      <c r="I469" t="n">
        <v>0</v>
      </c>
      <c r="J469" t="n">
        <v>0</v>
      </c>
      <c r="K469" t="n">
        <v>0</v>
      </c>
      <c r="L469" t="n">
        <v>0</v>
      </c>
      <c r="M469" t="n">
        <v>0</v>
      </c>
      <c r="N469" t="n">
        <v>0</v>
      </c>
      <c r="O469" t="n">
        <v>0</v>
      </c>
      <c r="P469" t="n">
        <v>0</v>
      </c>
      <c r="Q469" t="n">
        <v>1</v>
      </c>
      <c r="R469" s="2" t="inlineStr">
        <is>
          <t>Fläcknycklar</t>
        </is>
      </c>
      <c r="S469">
        <f>HYPERLINK("https://klasma.github.io/Logging_2104/artfynd/A 23354-2024 artfynd.xlsx", "A 23354-2024")</f>
        <v/>
      </c>
      <c r="T469">
        <f>HYPERLINK("https://klasma.github.io/Logging_2104/kartor/A 23354-2024 karta.png", "A 23354-2024")</f>
        <v/>
      </c>
      <c r="V469">
        <f>HYPERLINK("https://klasma.github.io/Logging_2104/klagomål/A 23354-2024 FSC-klagomål.docx", "A 23354-2024")</f>
        <v/>
      </c>
      <c r="W469">
        <f>HYPERLINK("https://klasma.github.io/Logging_2104/klagomålsmail/A 23354-2024 FSC-klagomål mail.docx", "A 23354-2024")</f>
        <v/>
      </c>
      <c r="X469">
        <f>HYPERLINK("https://klasma.github.io/Logging_2104/tillsyn/A 23354-2024 tillsynsbegäran.docx", "A 23354-2024")</f>
        <v/>
      </c>
      <c r="Y469">
        <f>HYPERLINK("https://klasma.github.io/Logging_2104/tillsynsmail/A 23354-2024 tillsynsbegäran mail.docx", "A 23354-2024")</f>
        <v/>
      </c>
    </row>
    <row r="470" ht="15" customHeight="1">
      <c r="A470" t="inlineStr">
        <is>
          <t>A 5576-2025</t>
        </is>
      </c>
      <c r="B470" s="1" t="n">
        <v>45693</v>
      </c>
      <c r="C470" s="1" t="n">
        <v>46086</v>
      </c>
      <c r="D470" t="inlineStr">
        <is>
          <t>GÄVLEBORGS LÄN</t>
        </is>
      </c>
      <c r="E470" t="inlineStr">
        <is>
          <t>GÄVLE</t>
        </is>
      </c>
      <c r="G470" t="n">
        <v>3.8</v>
      </c>
      <c r="H470" t="n">
        <v>1</v>
      </c>
      <c r="I470" t="n">
        <v>0</v>
      </c>
      <c r="J470" t="n">
        <v>1</v>
      </c>
      <c r="K470" t="n">
        <v>0</v>
      </c>
      <c r="L470" t="n">
        <v>0</v>
      </c>
      <c r="M470" t="n">
        <v>0</v>
      </c>
      <c r="N470" t="n">
        <v>0</v>
      </c>
      <c r="O470" t="n">
        <v>1</v>
      </c>
      <c r="P470" t="n">
        <v>0</v>
      </c>
      <c r="Q470" t="n">
        <v>1</v>
      </c>
      <c r="R470" s="2" t="inlineStr">
        <is>
          <t>Spillkråka</t>
        </is>
      </c>
      <c r="S470">
        <f>HYPERLINK("https://klasma.github.io/Logging_2180/artfynd/A 5576-2025 artfynd.xlsx", "A 5576-2025")</f>
        <v/>
      </c>
      <c r="T470">
        <f>HYPERLINK("https://klasma.github.io/Logging_2180/kartor/A 5576-2025 karta.png", "A 5576-2025")</f>
        <v/>
      </c>
      <c r="V470">
        <f>HYPERLINK("https://klasma.github.io/Logging_2180/klagomål/A 5576-2025 FSC-klagomål.docx", "A 5576-2025")</f>
        <v/>
      </c>
      <c r="W470">
        <f>HYPERLINK("https://klasma.github.io/Logging_2180/klagomålsmail/A 5576-2025 FSC-klagomål mail.docx", "A 5576-2025")</f>
        <v/>
      </c>
      <c r="X470">
        <f>HYPERLINK("https://klasma.github.io/Logging_2180/tillsyn/A 5576-2025 tillsynsbegäran.docx", "A 5576-2025")</f>
        <v/>
      </c>
      <c r="Y470">
        <f>HYPERLINK("https://klasma.github.io/Logging_2180/tillsynsmail/A 5576-2025 tillsynsbegäran mail.docx", "A 5576-2025")</f>
        <v/>
      </c>
      <c r="Z470">
        <f>HYPERLINK("https://klasma.github.io/Logging_2180/fåglar/A 5576-2025 prioriterade fågelarter.docx", "A 5576-2025")</f>
        <v/>
      </c>
    </row>
    <row r="471" ht="15" customHeight="1">
      <c r="A471" t="inlineStr">
        <is>
          <t>A 40968-2025</t>
        </is>
      </c>
      <c r="B471" s="1" t="n">
        <v>45897.77994212963</v>
      </c>
      <c r="C471" s="1" t="n">
        <v>46086</v>
      </c>
      <c r="D471" t="inlineStr">
        <is>
          <t>GÄVLEBORGS LÄN</t>
        </is>
      </c>
      <c r="E471" t="inlineStr">
        <is>
          <t>LJUSDAL</t>
        </is>
      </c>
      <c r="F471" t="inlineStr">
        <is>
          <t>Sveaskog</t>
        </is>
      </c>
      <c r="G471" t="n">
        <v>6.7</v>
      </c>
      <c r="H471" t="n">
        <v>0</v>
      </c>
      <c r="I471" t="n">
        <v>0</v>
      </c>
      <c r="J471" t="n">
        <v>1</v>
      </c>
      <c r="K471" t="n">
        <v>0</v>
      </c>
      <c r="L471" t="n">
        <v>0</v>
      </c>
      <c r="M471" t="n">
        <v>0</v>
      </c>
      <c r="N471" t="n">
        <v>0</v>
      </c>
      <c r="O471" t="n">
        <v>1</v>
      </c>
      <c r="P471" t="n">
        <v>0</v>
      </c>
      <c r="Q471" t="n">
        <v>1</v>
      </c>
      <c r="R471" s="2" t="inlineStr">
        <is>
          <t>Lunglav</t>
        </is>
      </c>
      <c r="S471">
        <f>HYPERLINK("https://klasma.github.io/Logging_2161/artfynd/A 40968-2025 artfynd.xlsx", "A 40968-2025")</f>
        <v/>
      </c>
      <c r="T471">
        <f>HYPERLINK("https://klasma.github.io/Logging_2161/kartor/A 40968-2025 karta.png", "A 40968-2025")</f>
        <v/>
      </c>
      <c r="V471">
        <f>HYPERLINK("https://klasma.github.io/Logging_2161/klagomål/A 40968-2025 FSC-klagomål.docx", "A 40968-2025")</f>
        <v/>
      </c>
      <c r="W471">
        <f>HYPERLINK("https://klasma.github.io/Logging_2161/klagomålsmail/A 40968-2025 FSC-klagomål mail.docx", "A 40968-2025")</f>
        <v/>
      </c>
      <c r="X471">
        <f>HYPERLINK("https://klasma.github.io/Logging_2161/tillsyn/A 40968-2025 tillsynsbegäran.docx", "A 40968-2025")</f>
        <v/>
      </c>
      <c r="Y471">
        <f>HYPERLINK("https://klasma.github.io/Logging_2161/tillsynsmail/A 40968-2025 tillsynsbegäran mail.docx", "A 40968-2025")</f>
        <v/>
      </c>
    </row>
    <row r="472" ht="15" customHeight="1">
      <c r="A472" t="inlineStr">
        <is>
          <t>A 41119-2025</t>
        </is>
      </c>
      <c r="B472" s="1" t="n">
        <v>45898.46607638889</v>
      </c>
      <c r="C472" s="1" t="n">
        <v>46086</v>
      </c>
      <c r="D472" t="inlineStr">
        <is>
          <t>GÄVLEBORGS LÄN</t>
        </is>
      </c>
      <c r="E472" t="inlineStr">
        <is>
          <t>HUDIKSVALL</t>
        </is>
      </c>
      <c r="F472" t="inlineStr">
        <is>
          <t>Holmen skog AB</t>
        </is>
      </c>
      <c r="G472" t="n">
        <v>35.1</v>
      </c>
      <c r="H472" t="n">
        <v>0</v>
      </c>
      <c r="I472" t="n">
        <v>1</v>
      </c>
      <c r="J472" t="n">
        <v>0</v>
      </c>
      <c r="K472" t="n">
        <v>0</v>
      </c>
      <c r="L472" t="n">
        <v>0</v>
      </c>
      <c r="M472" t="n">
        <v>0</v>
      </c>
      <c r="N472" t="n">
        <v>0</v>
      </c>
      <c r="O472" t="n">
        <v>0</v>
      </c>
      <c r="P472" t="n">
        <v>0</v>
      </c>
      <c r="Q472" t="n">
        <v>1</v>
      </c>
      <c r="R472" s="2" t="inlineStr">
        <is>
          <t>Ögonpyrola</t>
        </is>
      </c>
      <c r="S472">
        <f>HYPERLINK("https://klasma.github.io/Logging_2184/artfynd/A 41119-2025 artfynd.xlsx", "A 41119-2025")</f>
        <v/>
      </c>
      <c r="T472">
        <f>HYPERLINK("https://klasma.github.io/Logging_2184/kartor/A 41119-2025 karta.png", "A 41119-2025")</f>
        <v/>
      </c>
      <c r="V472">
        <f>HYPERLINK("https://klasma.github.io/Logging_2184/klagomål/A 41119-2025 FSC-klagomål.docx", "A 41119-2025")</f>
        <v/>
      </c>
      <c r="W472">
        <f>HYPERLINK("https://klasma.github.io/Logging_2184/klagomålsmail/A 41119-2025 FSC-klagomål mail.docx", "A 41119-2025")</f>
        <v/>
      </c>
      <c r="X472">
        <f>HYPERLINK("https://klasma.github.io/Logging_2184/tillsyn/A 41119-2025 tillsynsbegäran.docx", "A 41119-2025")</f>
        <v/>
      </c>
      <c r="Y472">
        <f>HYPERLINK("https://klasma.github.io/Logging_2184/tillsynsmail/A 41119-2025 tillsynsbegäran mail.docx", "A 41119-2025")</f>
        <v/>
      </c>
    </row>
    <row r="473" ht="15" customHeight="1">
      <c r="A473" t="inlineStr">
        <is>
          <t>A 7754-2026</t>
        </is>
      </c>
      <c r="B473" s="1" t="n">
        <v>46062.55003472222</v>
      </c>
      <c r="C473" s="1" t="n">
        <v>46086</v>
      </c>
      <c r="D473" t="inlineStr">
        <is>
          <t>GÄVLEBORGS LÄN</t>
        </is>
      </c>
      <c r="E473" t="inlineStr">
        <is>
          <t>OVANÅKER</t>
        </is>
      </c>
      <c r="F473" t="inlineStr">
        <is>
          <t>Sveaskog</t>
        </is>
      </c>
      <c r="G473" t="n">
        <v>4.6</v>
      </c>
      <c r="H473" t="n">
        <v>1</v>
      </c>
      <c r="I473" t="n">
        <v>0</v>
      </c>
      <c r="J473" t="n">
        <v>0</v>
      </c>
      <c r="K473" t="n">
        <v>0</v>
      </c>
      <c r="L473" t="n">
        <v>0</v>
      </c>
      <c r="M473" t="n">
        <v>0</v>
      </c>
      <c r="N473" t="n">
        <v>0</v>
      </c>
      <c r="O473" t="n">
        <v>0</v>
      </c>
      <c r="P473" t="n">
        <v>0</v>
      </c>
      <c r="Q473" t="n">
        <v>1</v>
      </c>
      <c r="R473" s="2" t="inlineStr">
        <is>
          <t>Fläcknycklar</t>
        </is>
      </c>
      <c r="S473">
        <f>HYPERLINK("https://klasma.github.io/Logging_2121/artfynd/A 7754-2026 artfynd.xlsx", "A 7754-2026")</f>
        <v/>
      </c>
      <c r="T473">
        <f>HYPERLINK("https://klasma.github.io/Logging_2121/kartor/A 7754-2026 karta.png", "A 7754-2026")</f>
        <v/>
      </c>
      <c r="V473">
        <f>HYPERLINK("https://klasma.github.io/Logging_2121/klagomål/A 7754-2026 FSC-klagomål.docx", "A 7754-2026")</f>
        <v/>
      </c>
      <c r="W473">
        <f>HYPERLINK("https://klasma.github.io/Logging_2121/klagomålsmail/A 7754-2026 FSC-klagomål mail.docx", "A 7754-2026")</f>
        <v/>
      </c>
      <c r="X473">
        <f>HYPERLINK("https://klasma.github.io/Logging_2121/tillsyn/A 7754-2026 tillsynsbegäran.docx", "A 7754-2026")</f>
        <v/>
      </c>
      <c r="Y473">
        <f>HYPERLINK("https://klasma.github.io/Logging_2121/tillsynsmail/A 7754-2026 tillsynsbegäran mail.docx", "A 7754-2026")</f>
        <v/>
      </c>
    </row>
    <row r="474" ht="15" customHeight="1">
      <c r="A474" t="inlineStr">
        <is>
          <t>A 41621-2025</t>
        </is>
      </c>
      <c r="B474" s="1" t="n">
        <v>45901.70506944445</v>
      </c>
      <c r="C474" s="1" t="n">
        <v>46086</v>
      </c>
      <c r="D474" t="inlineStr">
        <is>
          <t>GÄVLEBORGS LÄN</t>
        </is>
      </c>
      <c r="E474" t="inlineStr">
        <is>
          <t>HOFORS</t>
        </is>
      </c>
      <c r="F474" t="inlineStr">
        <is>
          <t>Sveaskog</t>
        </is>
      </c>
      <c r="G474" t="n">
        <v>2</v>
      </c>
      <c r="H474" t="n">
        <v>1</v>
      </c>
      <c r="I474" t="n">
        <v>1</v>
      </c>
      <c r="J474" t="n">
        <v>0</v>
      </c>
      <c r="K474" t="n">
        <v>0</v>
      </c>
      <c r="L474" t="n">
        <v>0</v>
      </c>
      <c r="M474" t="n">
        <v>0</v>
      </c>
      <c r="N474" t="n">
        <v>0</v>
      </c>
      <c r="O474" t="n">
        <v>0</v>
      </c>
      <c r="P474" t="n">
        <v>0</v>
      </c>
      <c r="Q474" t="n">
        <v>1</v>
      </c>
      <c r="R474" s="2" t="inlineStr">
        <is>
          <t>Plattlummer</t>
        </is>
      </c>
      <c r="S474">
        <f>HYPERLINK("https://klasma.github.io/Logging_2104/artfynd/A 41621-2025 artfynd.xlsx", "A 41621-2025")</f>
        <v/>
      </c>
      <c r="T474">
        <f>HYPERLINK("https://klasma.github.io/Logging_2104/kartor/A 41621-2025 karta.png", "A 41621-2025")</f>
        <v/>
      </c>
      <c r="V474">
        <f>HYPERLINK("https://klasma.github.io/Logging_2104/klagomål/A 41621-2025 FSC-klagomål.docx", "A 41621-2025")</f>
        <v/>
      </c>
      <c r="W474">
        <f>HYPERLINK("https://klasma.github.io/Logging_2104/klagomålsmail/A 41621-2025 FSC-klagomål mail.docx", "A 41621-2025")</f>
        <v/>
      </c>
      <c r="X474">
        <f>HYPERLINK("https://klasma.github.io/Logging_2104/tillsyn/A 41621-2025 tillsynsbegäran.docx", "A 41621-2025")</f>
        <v/>
      </c>
      <c r="Y474">
        <f>HYPERLINK("https://klasma.github.io/Logging_2104/tillsynsmail/A 41621-2025 tillsynsbegäran mail.docx", "A 41621-2025")</f>
        <v/>
      </c>
    </row>
    <row r="475" ht="15" customHeight="1">
      <c r="A475" t="inlineStr">
        <is>
          <t>A 8768-2026</t>
        </is>
      </c>
      <c r="B475" s="1" t="n">
        <v>46066</v>
      </c>
      <c r="C475" s="1" t="n">
        <v>46086</v>
      </c>
      <c r="D475" t="inlineStr">
        <is>
          <t>GÄVLEBORGS LÄN</t>
        </is>
      </c>
      <c r="E475" t="inlineStr">
        <is>
          <t>BOLLNÄS</t>
        </is>
      </c>
      <c r="G475" t="n">
        <v>5.5</v>
      </c>
      <c r="H475" t="n">
        <v>0</v>
      </c>
      <c r="I475" t="n">
        <v>0</v>
      </c>
      <c r="J475" t="n">
        <v>1</v>
      </c>
      <c r="K475" t="n">
        <v>0</v>
      </c>
      <c r="L475" t="n">
        <v>0</v>
      </c>
      <c r="M475" t="n">
        <v>0</v>
      </c>
      <c r="N475" t="n">
        <v>0</v>
      </c>
      <c r="O475" t="n">
        <v>1</v>
      </c>
      <c r="P475" t="n">
        <v>0</v>
      </c>
      <c r="Q475" t="n">
        <v>1</v>
      </c>
      <c r="R475" s="2" t="inlineStr">
        <is>
          <t>Igelkott</t>
        </is>
      </c>
      <c r="S475">
        <f>HYPERLINK("https://klasma.github.io/Logging_2183/artfynd/A 8768-2026 artfynd.xlsx", "A 8768-2026")</f>
        <v/>
      </c>
      <c r="T475">
        <f>HYPERLINK("https://klasma.github.io/Logging_2183/kartor/A 8768-2026 karta.png", "A 8768-2026")</f>
        <v/>
      </c>
      <c r="V475">
        <f>HYPERLINK("https://klasma.github.io/Logging_2183/klagomål/A 8768-2026 FSC-klagomål.docx", "A 8768-2026")</f>
        <v/>
      </c>
      <c r="W475">
        <f>HYPERLINK("https://klasma.github.io/Logging_2183/klagomålsmail/A 8768-2026 FSC-klagomål mail.docx", "A 8768-2026")</f>
        <v/>
      </c>
      <c r="X475">
        <f>HYPERLINK("https://klasma.github.io/Logging_2183/tillsyn/A 8768-2026 tillsynsbegäran.docx", "A 8768-2026")</f>
        <v/>
      </c>
      <c r="Y475">
        <f>HYPERLINK("https://klasma.github.io/Logging_2183/tillsynsmail/A 8768-2026 tillsynsbegäran mail.docx", "A 8768-2026")</f>
        <v/>
      </c>
    </row>
    <row r="476" ht="15" customHeight="1">
      <c r="A476" t="inlineStr">
        <is>
          <t>A 41211-2025</t>
        </is>
      </c>
      <c r="B476" s="1" t="n">
        <v>45898.57900462963</v>
      </c>
      <c r="C476" s="1" t="n">
        <v>46086</v>
      </c>
      <c r="D476" t="inlineStr">
        <is>
          <t>GÄVLEBORGS LÄN</t>
        </is>
      </c>
      <c r="E476" t="inlineStr">
        <is>
          <t>LJUSDAL</t>
        </is>
      </c>
      <c r="F476" t="inlineStr">
        <is>
          <t>Sveaskog</t>
        </is>
      </c>
      <c r="G476" t="n">
        <v>4.9</v>
      </c>
      <c r="H476" t="n">
        <v>0</v>
      </c>
      <c r="I476" t="n">
        <v>0</v>
      </c>
      <c r="J476" t="n">
        <v>1</v>
      </c>
      <c r="K476" t="n">
        <v>0</v>
      </c>
      <c r="L476" t="n">
        <v>0</v>
      </c>
      <c r="M476" t="n">
        <v>0</v>
      </c>
      <c r="N476" t="n">
        <v>0</v>
      </c>
      <c r="O476" t="n">
        <v>1</v>
      </c>
      <c r="P476" t="n">
        <v>0</v>
      </c>
      <c r="Q476" t="n">
        <v>1</v>
      </c>
      <c r="R476" s="2" t="inlineStr">
        <is>
          <t>Lunglav</t>
        </is>
      </c>
      <c r="S476">
        <f>HYPERLINK("https://klasma.github.io/Logging_2161/artfynd/A 41211-2025 artfynd.xlsx", "A 41211-2025")</f>
        <v/>
      </c>
      <c r="T476">
        <f>HYPERLINK("https://klasma.github.io/Logging_2161/kartor/A 41211-2025 karta.png", "A 41211-2025")</f>
        <v/>
      </c>
      <c r="V476">
        <f>HYPERLINK("https://klasma.github.io/Logging_2161/klagomål/A 41211-2025 FSC-klagomål.docx", "A 41211-2025")</f>
        <v/>
      </c>
      <c r="W476">
        <f>HYPERLINK("https://klasma.github.io/Logging_2161/klagomålsmail/A 41211-2025 FSC-klagomål mail.docx", "A 41211-2025")</f>
        <v/>
      </c>
      <c r="X476">
        <f>HYPERLINK("https://klasma.github.io/Logging_2161/tillsyn/A 41211-2025 tillsynsbegäran.docx", "A 41211-2025")</f>
        <v/>
      </c>
      <c r="Y476">
        <f>HYPERLINK("https://klasma.github.io/Logging_2161/tillsynsmail/A 41211-2025 tillsynsbegäran mail.docx", "A 41211-2025")</f>
        <v/>
      </c>
    </row>
    <row r="477" ht="15" customHeight="1">
      <c r="A477" t="inlineStr">
        <is>
          <t>A 34346-2024</t>
        </is>
      </c>
      <c r="B477" s="1" t="n">
        <v>45525.34310185185</v>
      </c>
      <c r="C477" s="1" t="n">
        <v>46086</v>
      </c>
      <c r="D477" t="inlineStr">
        <is>
          <t>GÄVLEBORGS LÄN</t>
        </is>
      </c>
      <c r="E477" t="inlineStr">
        <is>
          <t>LJUSDAL</t>
        </is>
      </c>
      <c r="F477" t="inlineStr">
        <is>
          <t>Holmen skog AB</t>
        </is>
      </c>
      <c r="G477" t="n">
        <v>6.8</v>
      </c>
      <c r="H477" t="n">
        <v>1</v>
      </c>
      <c r="I477" t="n">
        <v>0</v>
      </c>
      <c r="J477" t="n">
        <v>1</v>
      </c>
      <c r="K477" t="n">
        <v>0</v>
      </c>
      <c r="L477" t="n">
        <v>0</v>
      </c>
      <c r="M477" t="n">
        <v>0</v>
      </c>
      <c r="N477" t="n">
        <v>0</v>
      </c>
      <c r="O477" t="n">
        <v>1</v>
      </c>
      <c r="P477" t="n">
        <v>0</v>
      </c>
      <c r="Q477" t="n">
        <v>1</v>
      </c>
      <c r="R477" s="2" t="inlineStr">
        <is>
          <t>Talltita</t>
        </is>
      </c>
      <c r="S477">
        <f>HYPERLINK("https://klasma.github.io/Logging_2161/artfynd/A 34346-2024 artfynd.xlsx", "A 34346-2024")</f>
        <v/>
      </c>
      <c r="T477">
        <f>HYPERLINK("https://klasma.github.io/Logging_2161/kartor/A 34346-2024 karta.png", "A 34346-2024")</f>
        <v/>
      </c>
      <c r="V477">
        <f>HYPERLINK("https://klasma.github.io/Logging_2161/klagomål/A 34346-2024 FSC-klagomål.docx", "A 34346-2024")</f>
        <v/>
      </c>
      <c r="W477">
        <f>HYPERLINK("https://klasma.github.io/Logging_2161/klagomålsmail/A 34346-2024 FSC-klagomål mail.docx", "A 34346-2024")</f>
        <v/>
      </c>
      <c r="X477">
        <f>HYPERLINK("https://klasma.github.io/Logging_2161/tillsyn/A 34346-2024 tillsynsbegäran.docx", "A 34346-2024")</f>
        <v/>
      </c>
      <c r="Y477">
        <f>HYPERLINK("https://klasma.github.io/Logging_2161/tillsynsmail/A 34346-2024 tillsynsbegäran mail.docx", "A 34346-2024")</f>
        <v/>
      </c>
      <c r="Z477">
        <f>HYPERLINK("https://klasma.github.io/Logging_2161/fåglar/A 34346-2024 prioriterade fågelarter.docx", "A 34346-2024")</f>
        <v/>
      </c>
    </row>
    <row r="478" ht="15" customHeight="1">
      <c r="A478" t="inlineStr">
        <is>
          <t>A 14667-2025</t>
        </is>
      </c>
      <c r="B478" s="1" t="n">
        <v>45742.53870370371</v>
      </c>
      <c r="C478" s="1" t="n">
        <v>46086</v>
      </c>
      <c r="D478" t="inlineStr">
        <is>
          <t>GÄVLEBORGS LÄN</t>
        </is>
      </c>
      <c r="E478" t="inlineStr">
        <is>
          <t>OCKELBO</t>
        </is>
      </c>
      <c r="F478" t="inlineStr">
        <is>
          <t>Bergvik skog väst AB</t>
        </is>
      </c>
      <c r="G478" t="n">
        <v>6.6</v>
      </c>
      <c r="H478" t="n">
        <v>1</v>
      </c>
      <c r="I478" t="n">
        <v>0</v>
      </c>
      <c r="J478" t="n">
        <v>0</v>
      </c>
      <c r="K478" t="n">
        <v>0</v>
      </c>
      <c r="L478" t="n">
        <v>0</v>
      </c>
      <c r="M478" t="n">
        <v>0</v>
      </c>
      <c r="N478" t="n">
        <v>0</v>
      </c>
      <c r="O478" t="n">
        <v>0</v>
      </c>
      <c r="P478" t="n">
        <v>0</v>
      </c>
      <c r="Q478" t="n">
        <v>1</v>
      </c>
      <c r="R478" s="2" t="inlineStr">
        <is>
          <t>Fläcknycklar</t>
        </is>
      </c>
      <c r="S478">
        <f>HYPERLINK("https://klasma.github.io/Logging_2101/artfynd/A 14667-2025 artfynd.xlsx", "A 14667-2025")</f>
        <v/>
      </c>
      <c r="T478">
        <f>HYPERLINK("https://klasma.github.io/Logging_2101/kartor/A 14667-2025 karta.png", "A 14667-2025")</f>
        <v/>
      </c>
      <c r="V478">
        <f>HYPERLINK("https://klasma.github.io/Logging_2101/klagomål/A 14667-2025 FSC-klagomål.docx", "A 14667-2025")</f>
        <v/>
      </c>
      <c r="W478">
        <f>HYPERLINK("https://klasma.github.io/Logging_2101/klagomålsmail/A 14667-2025 FSC-klagomål mail.docx", "A 14667-2025")</f>
        <v/>
      </c>
      <c r="X478">
        <f>HYPERLINK("https://klasma.github.io/Logging_2101/tillsyn/A 14667-2025 tillsynsbegäran.docx", "A 14667-2025")</f>
        <v/>
      </c>
      <c r="Y478">
        <f>HYPERLINK("https://klasma.github.io/Logging_2101/tillsynsmail/A 14667-2025 tillsynsbegäran mail.docx", "A 14667-2025")</f>
        <v/>
      </c>
    </row>
    <row r="479" ht="15" customHeight="1">
      <c r="A479" t="inlineStr">
        <is>
          <t>A 41010-2025</t>
        </is>
      </c>
      <c r="B479" s="1" t="n">
        <v>45898.35421296296</v>
      </c>
      <c r="C479" s="1" t="n">
        <v>46086</v>
      </c>
      <c r="D479" t="inlineStr">
        <is>
          <t>GÄVLEBORGS LÄN</t>
        </is>
      </c>
      <c r="E479" t="inlineStr">
        <is>
          <t>LJUSDAL</t>
        </is>
      </c>
      <c r="F479" t="inlineStr">
        <is>
          <t>Sveaskog</t>
        </is>
      </c>
      <c r="G479" t="n">
        <v>10.1</v>
      </c>
      <c r="H479" t="n">
        <v>1</v>
      </c>
      <c r="I479" t="n">
        <v>0</v>
      </c>
      <c r="J479" t="n">
        <v>0</v>
      </c>
      <c r="K479" t="n">
        <v>1</v>
      </c>
      <c r="L479" t="n">
        <v>0</v>
      </c>
      <c r="M479" t="n">
        <v>0</v>
      </c>
      <c r="N479" t="n">
        <v>0</v>
      </c>
      <c r="O479" t="n">
        <v>1</v>
      </c>
      <c r="P479" t="n">
        <v>1</v>
      </c>
      <c r="Q479" t="n">
        <v>1</v>
      </c>
      <c r="R479" s="2" t="inlineStr">
        <is>
          <t>Knärot</t>
        </is>
      </c>
      <c r="S479">
        <f>HYPERLINK("https://klasma.github.io/Logging_2161/artfynd/A 41010-2025 artfynd.xlsx", "A 41010-2025")</f>
        <v/>
      </c>
      <c r="T479">
        <f>HYPERLINK("https://klasma.github.io/Logging_2161/kartor/A 41010-2025 karta.png", "A 41010-2025")</f>
        <v/>
      </c>
      <c r="U479">
        <f>HYPERLINK("https://klasma.github.io/Logging_2161/knärot/A 41010-2025 karta knärot.png", "A 41010-2025")</f>
        <v/>
      </c>
      <c r="V479">
        <f>HYPERLINK("https://klasma.github.io/Logging_2161/klagomål/A 41010-2025 FSC-klagomål.docx", "A 41010-2025")</f>
        <v/>
      </c>
      <c r="W479">
        <f>HYPERLINK("https://klasma.github.io/Logging_2161/klagomålsmail/A 41010-2025 FSC-klagomål mail.docx", "A 41010-2025")</f>
        <v/>
      </c>
      <c r="X479">
        <f>HYPERLINK("https://klasma.github.io/Logging_2161/tillsyn/A 41010-2025 tillsynsbegäran.docx", "A 41010-2025")</f>
        <v/>
      </c>
      <c r="Y479">
        <f>HYPERLINK("https://klasma.github.io/Logging_2161/tillsynsmail/A 41010-2025 tillsynsbegäran mail.docx", "A 41010-2025")</f>
        <v/>
      </c>
    </row>
    <row r="480" ht="15" customHeight="1">
      <c r="A480" t="inlineStr">
        <is>
          <t>A 2482-2026</t>
        </is>
      </c>
      <c r="B480" s="1" t="n">
        <v>46037.38506944444</v>
      </c>
      <c r="C480" s="1" t="n">
        <v>46086</v>
      </c>
      <c r="D480" t="inlineStr">
        <is>
          <t>GÄVLEBORGS LÄN</t>
        </is>
      </c>
      <c r="E480" t="inlineStr">
        <is>
          <t>HUDIKSVALL</t>
        </is>
      </c>
      <c r="G480" t="n">
        <v>6</v>
      </c>
      <c r="H480" t="n">
        <v>0</v>
      </c>
      <c r="I480" t="n">
        <v>0</v>
      </c>
      <c r="J480" t="n">
        <v>1</v>
      </c>
      <c r="K480" t="n">
        <v>0</v>
      </c>
      <c r="L480" t="n">
        <v>0</v>
      </c>
      <c r="M480" t="n">
        <v>0</v>
      </c>
      <c r="N480" t="n">
        <v>0</v>
      </c>
      <c r="O480" t="n">
        <v>1</v>
      </c>
      <c r="P480" t="n">
        <v>0</v>
      </c>
      <c r="Q480" t="n">
        <v>1</v>
      </c>
      <c r="R480" s="2" t="inlineStr">
        <is>
          <t>Violettgrå tagellav</t>
        </is>
      </c>
      <c r="S480">
        <f>HYPERLINK("https://klasma.github.io/Logging_2184/artfynd/A 2482-2026 artfynd.xlsx", "A 2482-2026")</f>
        <v/>
      </c>
      <c r="T480">
        <f>HYPERLINK("https://klasma.github.io/Logging_2184/kartor/A 2482-2026 karta.png", "A 2482-2026")</f>
        <v/>
      </c>
      <c r="V480">
        <f>HYPERLINK("https://klasma.github.io/Logging_2184/klagomål/A 2482-2026 FSC-klagomål.docx", "A 2482-2026")</f>
        <v/>
      </c>
      <c r="W480">
        <f>HYPERLINK("https://klasma.github.io/Logging_2184/klagomålsmail/A 2482-2026 FSC-klagomål mail.docx", "A 2482-2026")</f>
        <v/>
      </c>
      <c r="X480">
        <f>HYPERLINK("https://klasma.github.io/Logging_2184/tillsyn/A 2482-2026 tillsynsbegäran.docx", "A 2482-2026")</f>
        <v/>
      </c>
      <c r="Y480">
        <f>HYPERLINK("https://klasma.github.io/Logging_2184/tillsynsmail/A 2482-2026 tillsynsbegäran mail.docx", "A 2482-2026")</f>
        <v/>
      </c>
    </row>
    <row r="481" ht="15" customHeight="1">
      <c r="A481" t="inlineStr">
        <is>
          <t>A 41568-2025</t>
        </is>
      </c>
      <c r="B481" s="1" t="n">
        <v>45901.6075462963</v>
      </c>
      <c r="C481" s="1" t="n">
        <v>46086</v>
      </c>
      <c r="D481" t="inlineStr">
        <is>
          <t>GÄVLEBORGS LÄN</t>
        </is>
      </c>
      <c r="E481" t="inlineStr">
        <is>
          <t>HOFORS</t>
        </is>
      </c>
      <c r="F481" t="inlineStr">
        <is>
          <t>Sveaskog</t>
        </is>
      </c>
      <c r="G481" t="n">
        <v>6.8</v>
      </c>
      <c r="H481" t="n">
        <v>1</v>
      </c>
      <c r="I481" t="n">
        <v>1</v>
      </c>
      <c r="J481" t="n">
        <v>0</v>
      </c>
      <c r="K481" t="n">
        <v>0</v>
      </c>
      <c r="L481" t="n">
        <v>0</v>
      </c>
      <c r="M481" t="n">
        <v>0</v>
      </c>
      <c r="N481" t="n">
        <v>0</v>
      </c>
      <c r="O481" t="n">
        <v>0</v>
      </c>
      <c r="P481" t="n">
        <v>0</v>
      </c>
      <c r="Q481" t="n">
        <v>1</v>
      </c>
      <c r="R481" s="2" t="inlineStr">
        <is>
          <t>Plattlummer</t>
        </is>
      </c>
      <c r="S481">
        <f>HYPERLINK("https://klasma.github.io/Logging_2104/artfynd/A 41568-2025 artfynd.xlsx", "A 41568-2025")</f>
        <v/>
      </c>
      <c r="T481">
        <f>HYPERLINK("https://klasma.github.io/Logging_2104/kartor/A 41568-2025 karta.png", "A 41568-2025")</f>
        <v/>
      </c>
      <c r="V481">
        <f>HYPERLINK("https://klasma.github.io/Logging_2104/klagomål/A 41568-2025 FSC-klagomål.docx", "A 41568-2025")</f>
        <v/>
      </c>
      <c r="W481">
        <f>HYPERLINK("https://klasma.github.io/Logging_2104/klagomålsmail/A 41568-2025 FSC-klagomål mail.docx", "A 41568-2025")</f>
        <v/>
      </c>
      <c r="X481">
        <f>HYPERLINK("https://klasma.github.io/Logging_2104/tillsyn/A 41568-2025 tillsynsbegäran.docx", "A 41568-2025")</f>
        <v/>
      </c>
      <c r="Y481">
        <f>HYPERLINK("https://klasma.github.io/Logging_2104/tillsynsmail/A 41568-2025 tillsynsbegäran mail.docx", "A 41568-2025")</f>
        <v/>
      </c>
    </row>
    <row r="482" ht="15" customHeight="1">
      <c r="A482" t="inlineStr">
        <is>
          <t>A 31596-2025</t>
        </is>
      </c>
      <c r="B482" s="1" t="n">
        <v>45833.70858796296</v>
      </c>
      <c r="C482" s="1" t="n">
        <v>46086</v>
      </c>
      <c r="D482" t="inlineStr">
        <is>
          <t>GÄVLEBORGS LÄN</t>
        </is>
      </c>
      <c r="E482" t="inlineStr">
        <is>
          <t>GÄVLE</t>
        </is>
      </c>
      <c r="G482" t="n">
        <v>2.1</v>
      </c>
      <c r="H482" t="n">
        <v>1</v>
      </c>
      <c r="I482" t="n">
        <v>0</v>
      </c>
      <c r="J482" t="n">
        <v>0</v>
      </c>
      <c r="K482" t="n">
        <v>0</v>
      </c>
      <c r="L482" t="n">
        <v>0</v>
      </c>
      <c r="M482" t="n">
        <v>0</v>
      </c>
      <c r="N482" t="n">
        <v>0</v>
      </c>
      <c r="O482" t="n">
        <v>0</v>
      </c>
      <c r="P482" t="n">
        <v>0</v>
      </c>
      <c r="Q482" t="n">
        <v>1</v>
      </c>
      <c r="R482" s="2" t="inlineStr">
        <is>
          <t>Fläcknycklar</t>
        </is>
      </c>
      <c r="S482">
        <f>HYPERLINK("https://klasma.github.io/Logging_2180/artfynd/A 31596-2025 artfynd.xlsx", "A 31596-2025")</f>
        <v/>
      </c>
      <c r="T482">
        <f>HYPERLINK("https://klasma.github.io/Logging_2180/kartor/A 31596-2025 karta.png", "A 31596-2025")</f>
        <v/>
      </c>
      <c r="V482">
        <f>HYPERLINK("https://klasma.github.io/Logging_2180/klagomål/A 31596-2025 FSC-klagomål.docx", "A 31596-2025")</f>
        <v/>
      </c>
      <c r="W482">
        <f>HYPERLINK("https://klasma.github.io/Logging_2180/klagomålsmail/A 31596-2025 FSC-klagomål mail.docx", "A 31596-2025")</f>
        <v/>
      </c>
      <c r="X482">
        <f>HYPERLINK("https://klasma.github.io/Logging_2180/tillsyn/A 31596-2025 tillsynsbegäran.docx", "A 31596-2025")</f>
        <v/>
      </c>
      <c r="Y482">
        <f>HYPERLINK("https://klasma.github.io/Logging_2180/tillsynsmail/A 31596-2025 tillsynsbegäran mail.docx", "A 31596-2025")</f>
        <v/>
      </c>
    </row>
    <row r="483" ht="15" customHeight="1">
      <c r="A483" t="inlineStr">
        <is>
          <t>A 41457-2025</t>
        </is>
      </c>
      <c r="B483" s="1" t="n">
        <v>45901.44706018519</v>
      </c>
      <c r="C483" s="1" t="n">
        <v>46086</v>
      </c>
      <c r="D483" t="inlineStr">
        <is>
          <t>GÄVLEBORGS LÄN</t>
        </is>
      </c>
      <c r="E483" t="inlineStr">
        <is>
          <t>LJUSDAL</t>
        </is>
      </c>
      <c r="F483" t="inlineStr">
        <is>
          <t>Bergvik skog väst AB</t>
        </is>
      </c>
      <c r="G483" t="n">
        <v>3.2</v>
      </c>
      <c r="H483" t="n">
        <v>0</v>
      </c>
      <c r="I483" t="n">
        <v>0</v>
      </c>
      <c r="J483" t="n">
        <v>1</v>
      </c>
      <c r="K483" t="n">
        <v>0</v>
      </c>
      <c r="L483" t="n">
        <v>0</v>
      </c>
      <c r="M483" t="n">
        <v>0</v>
      </c>
      <c r="N483" t="n">
        <v>0</v>
      </c>
      <c r="O483" t="n">
        <v>1</v>
      </c>
      <c r="P483" t="n">
        <v>0</v>
      </c>
      <c r="Q483" t="n">
        <v>1</v>
      </c>
      <c r="R483" s="2" t="inlineStr">
        <is>
          <t>Garnlav</t>
        </is>
      </c>
      <c r="S483">
        <f>HYPERLINK("https://klasma.github.io/Logging_2161/artfynd/A 41457-2025 artfynd.xlsx", "A 41457-2025")</f>
        <v/>
      </c>
      <c r="T483">
        <f>HYPERLINK("https://klasma.github.io/Logging_2161/kartor/A 41457-2025 karta.png", "A 41457-2025")</f>
        <v/>
      </c>
      <c r="V483">
        <f>HYPERLINK("https://klasma.github.io/Logging_2161/klagomål/A 41457-2025 FSC-klagomål.docx", "A 41457-2025")</f>
        <v/>
      </c>
      <c r="W483">
        <f>HYPERLINK("https://klasma.github.io/Logging_2161/klagomålsmail/A 41457-2025 FSC-klagomål mail.docx", "A 41457-2025")</f>
        <v/>
      </c>
      <c r="X483">
        <f>HYPERLINK("https://klasma.github.io/Logging_2161/tillsyn/A 41457-2025 tillsynsbegäran.docx", "A 41457-2025")</f>
        <v/>
      </c>
      <c r="Y483">
        <f>HYPERLINK("https://klasma.github.io/Logging_2161/tillsynsmail/A 41457-2025 tillsynsbegäran mail.docx", "A 41457-2025")</f>
        <v/>
      </c>
    </row>
    <row r="484" ht="15" customHeight="1">
      <c r="A484" t="inlineStr">
        <is>
          <t>A 31828-2025</t>
        </is>
      </c>
      <c r="B484" s="1" t="n">
        <v>45834.58667824074</v>
      </c>
      <c r="C484" s="1" t="n">
        <v>46086</v>
      </c>
      <c r="D484" t="inlineStr">
        <is>
          <t>GÄVLEBORGS LÄN</t>
        </is>
      </c>
      <c r="E484" t="inlineStr">
        <is>
          <t>LJUSDAL</t>
        </is>
      </c>
      <c r="F484" t="inlineStr">
        <is>
          <t>Sveaskog</t>
        </is>
      </c>
      <c r="G484" t="n">
        <v>4</v>
      </c>
      <c r="H484" t="n">
        <v>0</v>
      </c>
      <c r="I484" t="n">
        <v>0</v>
      </c>
      <c r="J484" t="n">
        <v>1</v>
      </c>
      <c r="K484" t="n">
        <v>0</v>
      </c>
      <c r="L484" t="n">
        <v>0</v>
      </c>
      <c r="M484" t="n">
        <v>0</v>
      </c>
      <c r="N484" t="n">
        <v>0</v>
      </c>
      <c r="O484" t="n">
        <v>1</v>
      </c>
      <c r="P484" t="n">
        <v>0</v>
      </c>
      <c r="Q484" t="n">
        <v>1</v>
      </c>
      <c r="R484" s="2" t="inlineStr">
        <is>
          <t>Blå taggsvamp</t>
        </is>
      </c>
      <c r="S484">
        <f>HYPERLINK("https://klasma.github.io/Logging_2161/artfynd/A 31828-2025 artfynd.xlsx", "A 31828-2025")</f>
        <v/>
      </c>
      <c r="T484">
        <f>HYPERLINK("https://klasma.github.io/Logging_2161/kartor/A 31828-2025 karta.png", "A 31828-2025")</f>
        <v/>
      </c>
      <c r="V484">
        <f>HYPERLINK("https://klasma.github.io/Logging_2161/klagomål/A 31828-2025 FSC-klagomål.docx", "A 31828-2025")</f>
        <v/>
      </c>
      <c r="W484">
        <f>HYPERLINK("https://klasma.github.io/Logging_2161/klagomålsmail/A 31828-2025 FSC-klagomål mail.docx", "A 31828-2025")</f>
        <v/>
      </c>
      <c r="X484">
        <f>HYPERLINK("https://klasma.github.io/Logging_2161/tillsyn/A 31828-2025 tillsynsbegäran.docx", "A 31828-2025")</f>
        <v/>
      </c>
      <c r="Y484">
        <f>HYPERLINK("https://klasma.github.io/Logging_2161/tillsynsmail/A 31828-2025 tillsynsbegäran mail.docx", "A 31828-2025")</f>
        <v/>
      </c>
    </row>
    <row r="485" ht="15" customHeight="1">
      <c r="A485" t="inlineStr">
        <is>
          <t>A 58239-2022</t>
        </is>
      </c>
      <c r="B485" s="1" t="n">
        <v>44901.40701388889</v>
      </c>
      <c r="C485" s="1" t="n">
        <v>46086</v>
      </c>
      <c r="D485" t="inlineStr">
        <is>
          <t>GÄVLEBORGS LÄN</t>
        </is>
      </c>
      <c r="E485" t="inlineStr">
        <is>
          <t>LJUSDAL</t>
        </is>
      </c>
      <c r="G485" t="n">
        <v>0.5</v>
      </c>
      <c r="H485" t="n">
        <v>1</v>
      </c>
      <c r="I485" t="n">
        <v>0</v>
      </c>
      <c r="J485" t="n">
        <v>0</v>
      </c>
      <c r="K485" t="n">
        <v>0</v>
      </c>
      <c r="L485" t="n">
        <v>0</v>
      </c>
      <c r="M485" t="n">
        <v>0</v>
      </c>
      <c r="N485" t="n">
        <v>0</v>
      </c>
      <c r="O485" t="n">
        <v>0</v>
      </c>
      <c r="P485" t="n">
        <v>0</v>
      </c>
      <c r="Q485" t="n">
        <v>1</v>
      </c>
      <c r="R485" s="2" t="inlineStr">
        <is>
          <t>Blåsippa</t>
        </is>
      </c>
      <c r="S485">
        <f>HYPERLINK("https://klasma.github.io/Logging_2161/artfynd/A 58239-2022 artfynd.xlsx", "A 58239-2022")</f>
        <v/>
      </c>
      <c r="T485">
        <f>HYPERLINK("https://klasma.github.io/Logging_2161/kartor/A 58239-2022 karta.png", "A 58239-2022")</f>
        <v/>
      </c>
      <c r="V485">
        <f>HYPERLINK("https://klasma.github.io/Logging_2161/klagomål/A 58239-2022 FSC-klagomål.docx", "A 58239-2022")</f>
        <v/>
      </c>
      <c r="W485">
        <f>HYPERLINK("https://klasma.github.io/Logging_2161/klagomålsmail/A 58239-2022 FSC-klagomål mail.docx", "A 58239-2022")</f>
        <v/>
      </c>
      <c r="X485">
        <f>HYPERLINK("https://klasma.github.io/Logging_2161/tillsyn/A 58239-2022 tillsynsbegäran.docx", "A 58239-2022")</f>
        <v/>
      </c>
      <c r="Y485">
        <f>HYPERLINK("https://klasma.github.io/Logging_2161/tillsynsmail/A 58239-2022 tillsynsbegäran mail.docx", "A 58239-2022")</f>
        <v/>
      </c>
    </row>
    <row r="486" ht="15" customHeight="1">
      <c r="A486" t="inlineStr">
        <is>
          <t>A 32254-2025</t>
        </is>
      </c>
      <c r="B486" s="1" t="n">
        <v>45835.6319212963</v>
      </c>
      <c r="C486" s="1" t="n">
        <v>46086</v>
      </c>
      <c r="D486" t="inlineStr">
        <is>
          <t>GÄVLEBORGS LÄN</t>
        </is>
      </c>
      <c r="E486" t="inlineStr">
        <is>
          <t>OVANÅKER</t>
        </is>
      </c>
      <c r="F486" t="inlineStr">
        <is>
          <t>Bergvik skog öst AB</t>
        </is>
      </c>
      <c r="G486" t="n">
        <v>3.8</v>
      </c>
      <c r="H486" t="n">
        <v>1</v>
      </c>
      <c r="I486" t="n">
        <v>0</v>
      </c>
      <c r="J486" t="n">
        <v>0</v>
      </c>
      <c r="K486" t="n">
        <v>0</v>
      </c>
      <c r="L486" t="n">
        <v>0</v>
      </c>
      <c r="M486" t="n">
        <v>0</v>
      </c>
      <c r="N486" t="n">
        <v>0</v>
      </c>
      <c r="O486" t="n">
        <v>0</v>
      </c>
      <c r="P486" t="n">
        <v>0</v>
      </c>
      <c r="Q486" t="n">
        <v>1</v>
      </c>
      <c r="R486" s="2" t="inlineStr">
        <is>
          <t>Revlummer</t>
        </is>
      </c>
      <c r="S486">
        <f>HYPERLINK("https://klasma.github.io/Logging_2121/artfynd/A 32254-2025 artfynd.xlsx", "A 32254-2025")</f>
        <v/>
      </c>
      <c r="T486">
        <f>HYPERLINK("https://klasma.github.io/Logging_2121/kartor/A 32254-2025 karta.png", "A 32254-2025")</f>
        <v/>
      </c>
      <c r="V486">
        <f>HYPERLINK("https://klasma.github.io/Logging_2121/klagomål/A 32254-2025 FSC-klagomål.docx", "A 32254-2025")</f>
        <v/>
      </c>
      <c r="W486">
        <f>HYPERLINK("https://klasma.github.io/Logging_2121/klagomålsmail/A 32254-2025 FSC-klagomål mail.docx", "A 32254-2025")</f>
        <v/>
      </c>
      <c r="X486">
        <f>HYPERLINK("https://klasma.github.io/Logging_2121/tillsyn/A 32254-2025 tillsynsbegäran.docx", "A 32254-2025")</f>
        <v/>
      </c>
      <c r="Y486">
        <f>HYPERLINK("https://klasma.github.io/Logging_2121/tillsynsmail/A 32254-2025 tillsynsbegäran mail.docx", "A 32254-2025")</f>
        <v/>
      </c>
    </row>
    <row r="487" ht="15" customHeight="1">
      <c r="A487" t="inlineStr">
        <is>
          <t>A 42008-2025</t>
        </is>
      </c>
      <c r="B487" s="1" t="n">
        <v>45903.56155092592</v>
      </c>
      <c r="C487" s="1" t="n">
        <v>46086</v>
      </c>
      <c r="D487" t="inlineStr">
        <is>
          <t>GÄVLEBORGS LÄN</t>
        </is>
      </c>
      <c r="E487" t="inlineStr">
        <is>
          <t>LJUSDAL</t>
        </is>
      </c>
      <c r="F487" t="inlineStr">
        <is>
          <t>Bergvik skog väst AB</t>
        </is>
      </c>
      <c r="G487" t="n">
        <v>0.8</v>
      </c>
      <c r="H487" t="n">
        <v>0</v>
      </c>
      <c r="I487" t="n">
        <v>0</v>
      </c>
      <c r="J487" t="n">
        <v>1</v>
      </c>
      <c r="K487" t="n">
        <v>0</v>
      </c>
      <c r="L487" t="n">
        <v>0</v>
      </c>
      <c r="M487" t="n">
        <v>0</v>
      </c>
      <c r="N487" t="n">
        <v>0</v>
      </c>
      <c r="O487" t="n">
        <v>1</v>
      </c>
      <c r="P487" t="n">
        <v>0</v>
      </c>
      <c r="Q487" t="n">
        <v>1</v>
      </c>
      <c r="R487" s="2" t="inlineStr">
        <is>
          <t>Lunglav</t>
        </is>
      </c>
      <c r="S487">
        <f>HYPERLINK("https://klasma.github.io/Logging_2161/artfynd/A 42008-2025 artfynd.xlsx", "A 42008-2025")</f>
        <v/>
      </c>
      <c r="T487">
        <f>HYPERLINK("https://klasma.github.io/Logging_2161/kartor/A 42008-2025 karta.png", "A 42008-2025")</f>
        <v/>
      </c>
      <c r="V487">
        <f>HYPERLINK("https://klasma.github.io/Logging_2161/klagomål/A 42008-2025 FSC-klagomål.docx", "A 42008-2025")</f>
        <v/>
      </c>
      <c r="W487">
        <f>HYPERLINK("https://klasma.github.io/Logging_2161/klagomålsmail/A 42008-2025 FSC-klagomål mail.docx", "A 42008-2025")</f>
        <v/>
      </c>
      <c r="X487">
        <f>HYPERLINK("https://klasma.github.io/Logging_2161/tillsyn/A 42008-2025 tillsynsbegäran.docx", "A 42008-2025")</f>
        <v/>
      </c>
      <c r="Y487">
        <f>HYPERLINK("https://klasma.github.io/Logging_2161/tillsynsmail/A 42008-2025 tillsynsbegäran mail.docx", "A 42008-2025")</f>
        <v/>
      </c>
    </row>
    <row r="488" ht="15" customHeight="1">
      <c r="A488" t="inlineStr">
        <is>
          <t>A 42115-2023</t>
        </is>
      </c>
      <c r="B488" s="1" t="n">
        <v>45177</v>
      </c>
      <c r="C488" s="1" t="n">
        <v>46086</v>
      </c>
      <c r="D488" t="inlineStr">
        <is>
          <t>GÄVLEBORGS LÄN</t>
        </is>
      </c>
      <c r="E488" t="inlineStr">
        <is>
          <t>SANDVIKEN</t>
        </is>
      </c>
      <c r="F488" t="inlineStr">
        <is>
          <t>Sveaskog</t>
        </is>
      </c>
      <c r="G488" t="n">
        <v>2.4</v>
      </c>
      <c r="H488" t="n">
        <v>1</v>
      </c>
      <c r="I488" t="n">
        <v>0</v>
      </c>
      <c r="J488" t="n">
        <v>1</v>
      </c>
      <c r="K488" t="n">
        <v>0</v>
      </c>
      <c r="L488" t="n">
        <v>0</v>
      </c>
      <c r="M488" t="n">
        <v>0</v>
      </c>
      <c r="N488" t="n">
        <v>0</v>
      </c>
      <c r="O488" t="n">
        <v>1</v>
      </c>
      <c r="P488" t="n">
        <v>0</v>
      </c>
      <c r="Q488" t="n">
        <v>1</v>
      </c>
      <c r="R488" s="2" t="inlineStr">
        <is>
          <t>Talltita</t>
        </is>
      </c>
      <c r="S488">
        <f>HYPERLINK("https://klasma.github.io/Logging_2181/artfynd/A 42115-2023 artfynd.xlsx", "A 42115-2023")</f>
        <v/>
      </c>
      <c r="T488">
        <f>HYPERLINK("https://klasma.github.io/Logging_2181/kartor/A 42115-2023 karta.png", "A 42115-2023")</f>
        <v/>
      </c>
      <c r="V488">
        <f>HYPERLINK("https://klasma.github.io/Logging_2181/klagomål/A 42115-2023 FSC-klagomål.docx", "A 42115-2023")</f>
        <v/>
      </c>
      <c r="W488">
        <f>HYPERLINK("https://klasma.github.io/Logging_2181/klagomålsmail/A 42115-2023 FSC-klagomål mail.docx", "A 42115-2023")</f>
        <v/>
      </c>
      <c r="X488">
        <f>HYPERLINK("https://klasma.github.io/Logging_2181/tillsyn/A 42115-2023 tillsynsbegäran.docx", "A 42115-2023")</f>
        <v/>
      </c>
      <c r="Y488">
        <f>HYPERLINK("https://klasma.github.io/Logging_2181/tillsynsmail/A 42115-2023 tillsynsbegäran mail.docx", "A 42115-2023")</f>
        <v/>
      </c>
      <c r="Z488">
        <f>HYPERLINK("https://klasma.github.io/Logging_2181/fåglar/A 42115-2023 prioriterade fågelarter.docx", "A 42115-2023")</f>
        <v/>
      </c>
    </row>
    <row r="489" ht="15" customHeight="1">
      <c r="A489" t="inlineStr">
        <is>
          <t>A 32035-2025</t>
        </is>
      </c>
      <c r="B489" s="1" t="n">
        <v>45835.42466435185</v>
      </c>
      <c r="C489" s="1" t="n">
        <v>46086</v>
      </c>
      <c r="D489" t="inlineStr">
        <is>
          <t>GÄVLEBORGS LÄN</t>
        </is>
      </c>
      <c r="E489" t="inlineStr">
        <is>
          <t>NORDANSTIG</t>
        </is>
      </c>
      <c r="G489" t="n">
        <v>6.6</v>
      </c>
      <c r="H489" t="n">
        <v>1</v>
      </c>
      <c r="I489" t="n">
        <v>0</v>
      </c>
      <c r="J489" t="n">
        <v>0</v>
      </c>
      <c r="K489" t="n">
        <v>0</v>
      </c>
      <c r="L489" t="n">
        <v>0</v>
      </c>
      <c r="M489" t="n">
        <v>0</v>
      </c>
      <c r="N489" t="n">
        <v>0</v>
      </c>
      <c r="O489" t="n">
        <v>0</v>
      </c>
      <c r="P489" t="n">
        <v>0</v>
      </c>
      <c r="Q489" t="n">
        <v>1</v>
      </c>
      <c r="R489" s="2" t="inlineStr">
        <is>
          <t>Revlummer</t>
        </is>
      </c>
      <c r="S489">
        <f>HYPERLINK("https://klasma.github.io/Logging_2132/artfynd/A 32035-2025 artfynd.xlsx", "A 32035-2025")</f>
        <v/>
      </c>
      <c r="T489">
        <f>HYPERLINK("https://klasma.github.io/Logging_2132/kartor/A 32035-2025 karta.png", "A 32035-2025")</f>
        <v/>
      </c>
      <c r="V489">
        <f>HYPERLINK("https://klasma.github.io/Logging_2132/klagomål/A 32035-2025 FSC-klagomål.docx", "A 32035-2025")</f>
        <v/>
      </c>
      <c r="W489">
        <f>HYPERLINK("https://klasma.github.io/Logging_2132/klagomålsmail/A 32035-2025 FSC-klagomål mail.docx", "A 32035-2025")</f>
        <v/>
      </c>
      <c r="X489">
        <f>HYPERLINK("https://klasma.github.io/Logging_2132/tillsyn/A 32035-2025 tillsynsbegäran.docx", "A 32035-2025")</f>
        <v/>
      </c>
      <c r="Y489">
        <f>HYPERLINK("https://klasma.github.io/Logging_2132/tillsynsmail/A 32035-2025 tillsynsbegäran mail.docx", "A 32035-2025")</f>
        <v/>
      </c>
    </row>
    <row r="490" ht="15" customHeight="1">
      <c r="A490" t="inlineStr">
        <is>
          <t>A 41663-2025</t>
        </is>
      </c>
      <c r="B490" s="1" t="n">
        <v>45902.35131944445</v>
      </c>
      <c r="C490" s="1" t="n">
        <v>46086</v>
      </c>
      <c r="D490" t="inlineStr">
        <is>
          <t>GÄVLEBORGS LÄN</t>
        </is>
      </c>
      <c r="E490" t="inlineStr">
        <is>
          <t>BOLLNÄS</t>
        </is>
      </c>
      <c r="G490" t="n">
        <v>5</v>
      </c>
      <c r="H490" t="n">
        <v>0</v>
      </c>
      <c r="I490" t="n">
        <v>0</v>
      </c>
      <c r="J490" t="n">
        <v>1</v>
      </c>
      <c r="K490" t="n">
        <v>0</v>
      </c>
      <c r="L490" t="n">
        <v>0</v>
      </c>
      <c r="M490" t="n">
        <v>0</v>
      </c>
      <c r="N490" t="n">
        <v>0</v>
      </c>
      <c r="O490" t="n">
        <v>1</v>
      </c>
      <c r="P490" t="n">
        <v>0</v>
      </c>
      <c r="Q490" t="n">
        <v>1</v>
      </c>
      <c r="R490" s="2" t="inlineStr">
        <is>
          <t>Lunglav</t>
        </is>
      </c>
      <c r="S490">
        <f>HYPERLINK("https://klasma.github.io/Logging_2183/artfynd/A 41663-2025 artfynd.xlsx", "A 41663-2025")</f>
        <v/>
      </c>
      <c r="T490">
        <f>HYPERLINK("https://klasma.github.io/Logging_2183/kartor/A 41663-2025 karta.png", "A 41663-2025")</f>
        <v/>
      </c>
      <c r="V490">
        <f>HYPERLINK("https://klasma.github.io/Logging_2183/klagomål/A 41663-2025 FSC-klagomål.docx", "A 41663-2025")</f>
        <v/>
      </c>
      <c r="W490">
        <f>HYPERLINK("https://klasma.github.io/Logging_2183/klagomålsmail/A 41663-2025 FSC-klagomål mail.docx", "A 41663-2025")</f>
        <v/>
      </c>
      <c r="X490">
        <f>HYPERLINK("https://klasma.github.io/Logging_2183/tillsyn/A 41663-2025 tillsynsbegäran.docx", "A 41663-2025")</f>
        <v/>
      </c>
      <c r="Y490">
        <f>HYPERLINK("https://klasma.github.io/Logging_2183/tillsynsmail/A 41663-2025 tillsynsbegäran mail.docx", "A 41663-2025")</f>
        <v/>
      </c>
    </row>
    <row r="491" ht="15" customHeight="1">
      <c r="A491" t="inlineStr">
        <is>
          <t>A 32152-2025</t>
        </is>
      </c>
      <c r="B491" s="1" t="n">
        <v>45835.53287037037</v>
      </c>
      <c r="C491" s="1" t="n">
        <v>46086</v>
      </c>
      <c r="D491" t="inlineStr">
        <is>
          <t>GÄVLEBORGS LÄN</t>
        </is>
      </c>
      <c r="E491" t="inlineStr">
        <is>
          <t>LJUSDAL</t>
        </is>
      </c>
      <c r="F491" t="inlineStr">
        <is>
          <t>Allmännings- och besparingsskogar</t>
        </is>
      </c>
      <c r="G491" t="n">
        <v>3.1</v>
      </c>
      <c r="H491" t="n">
        <v>1</v>
      </c>
      <c r="I491" t="n">
        <v>0</v>
      </c>
      <c r="J491" t="n">
        <v>1</v>
      </c>
      <c r="K491" t="n">
        <v>0</v>
      </c>
      <c r="L491" t="n">
        <v>0</v>
      </c>
      <c r="M491" t="n">
        <v>0</v>
      </c>
      <c r="N491" t="n">
        <v>0</v>
      </c>
      <c r="O491" t="n">
        <v>1</v>
      </c>
      <c r="P491" t="n">
        <v>0</v>
      </c>
      <c r="Q491" t="n">
        <v>1</v>
      </c>
      <c r="R491" s="2" t="inlineStr">
        <is>
          <t>Talltita</t>
        </is>
      </c>
      <c r="S491">
        <f>HYPERLINK("https://klasma.github.io/Logging_2161/artfynd/A 32152-2025 artfynd.xlsx", "A 32152-2025")</f>
        <v/>
      </c>
      <c r="T491">
        <f>HYPERLINK("https://klasma.github.io/Logging_2161/kartor/A 32152-2025 karta.png", "A 32152-2025")</f>
        <v/>
      </c>
      <c r="V491">
        <f>HYPERLINK("https://klasma.github.io/Logging_2161/klagomål/A 32152-2025 FSC-klagomål.docx", "A 32152-2025")</f>
        <v/>
      </c>
      <c r="W491">
        <f>HYPERLINK("https://klasma.github.io/Logging_2161/klagomålsmail/A 32152-2025 FSC-klagomål mail.docx", "A 32152-2025")</f>
        <v/>
      </c>
      <c r="X491">
        <f>HYPERLINK("https://klasma.github.io/Logging_2161/tillsyn/A 32152-2025 tillsynsbegäran.docx", "A 32152-2025")</f>
        <v/>
      </c>
      <c r="Y491">
        <f>HYPERLINK("https://klasma.github.io/Logging_2161/tillsynsmail/A 32152-2025 tillsynsbegäran mail.docx", "A 32152-2025")</f>
        <v/>
      </c>
      <c r="Z491">
        <f>HYPERLINK("https://klasma.github.io/Logging_2161/fåglar/A 32152-2025 prioriterade fågelarter.docx", "A 32152-2025")</f>
        <v/>
      </c>
    </row>
    <row r="492" ht="15" customHeight="1">
      <c r="A492" t="inlineStr">
        <is>
          <t>A 23777-2025</t>
        </is>
      </c>
      <c r="B492" s="1" t="n">
        <v>45793.50126157407</v>
      </c>
      <c r="C492" s="1" t="n">
        <v>46086</v>
      </c>
      <c r="D492" t="inlineStr">
        <is>
          <t>GÄVLEBORGS LÄN</t>
        </is>
      </c>
      <c r="E492" t="inlineStr">
        <is>
          <t>LJUSDAL</t>
        </is>
      </c>
      <c r="F492" t="inlineStr">
        <is>
          <t>Sveaskog</t>
        </is>
      </c>
      <c r="G492" t="n">
        <v>6.7</v>
      </c>
      <c r="H492" t="n">
        <v>1</v>
      </c>
      <c r="I492" t="n">
        <v>0</v>
      </c>
      <c r="J492" t="n">
        <v>0</v>
      </c>
      <c r="K492" t="n">
        <v>1</v>
      </c>
      <c r="L492" t="n">
        <v>0</v>
      </c>
      <c r="M492" t="n">
        <v>0</v>
      </c>
      <c r="N492" t="n">
        <v>0</v>
      </c>
      <c r="O492" t="n">
        <v>1</v>
      </c>
      <c r="P492" t="n">
        <v>1</v>
      </c>
      <c r="Q492" t="n">
        <v>1</v>
      </c>
      <c r="R492" s="2" t="inlineStr">
        <is>
          <t>Knärot</t>
        </is>
      </c>
      <c r="S492">
        <f>HYPERLINK("https://klasma.github.io/Logging_2161/artfynd/A 23777-2025 artfynd.xlsx", "A 23777-2025")</f>
        <v/>
      </c>
      <c r="T492">
        <f>HYPERLINK("https://klasma.github.io/Logging_2161/kartor/A 23777-2025 karta.png", "A 23777-2025")</f>
        <v/>
      </c>
      <c r="U492">
        <f>HYPERLINK("https://klasma.github.io/Logging_2161/knärot/A 23777-2025 karta knärot.png", "A 23777-2025")</f>
        <v/>
      </c>
      <c r="V492">
        <f>HYPERLINK("https://klasma.github.io/Logging_2161/klagomål/A 23777-2025 FSC-klagomål.docx", "A 23777-2025")</f>
        <v/>
      </c>
      <c r="W492">
        <f>HYPERLINK("https://klasma.github.io/Logging_2161/klagomålsmail/A 23777-2025 FSC-klagomål mail.docx", "A 23777-2025")</f>
        <v/>
      </c>
      <c r="X492">
        <f>HYPERLINK("https://klasma.github.io/Logging_2161/tillsyn/A 23777-2025 tillsynsbegäran.docx", "A 23777-2025")</f>
        <v/>
      </c>
      <c r="Y492">
        <f>HYPERLINK("https://klasma.github.io/Logging_2161/tillsynsmail/A 23777-2025 tillsynsbegäran mail.docx", "A 23777-2025")</f>
        <v/>
      </c>
    </row>
    <row r="493" ht="15" customHeight="1">
      <c r="A493" t="inlineStr">
        <is>
          <t>A 42018-2025</t>
        </is>
      </c>
      <c r="B493" s="1" t="n">
        <v>45903.58424768518</v>
      </c>
      <c r="C493" s="1" t="n">
        <v>46086</v>
      </c>
      <c r="D493" t="inlineStr">
        <is>
          <t>GÄVLEBORGS LÄN</t>
        </is>
      </c>
      <c r="E493" t="inlineStr">
        <is>
          <t>LJUSDAL</t>
        </is>
      </c>
      <c r="F493" t="inlineStr">
        <is>
          <t>Bergvik skog väst AB</t>
        </is>
      </c>
      <c r="G493" t="n">
        <v>0.7</v>
      </c>
      <c r="H493" t="n">
        <v>0</v>
      </c>
      <c r="I493" t="n">
        <v>0</v>
      </c>
      <c r="J493" t="n">
        <v>1</v>
      </c>
      <c r="K493" t="n">
        <v>0</v>
      </c>
      <c r="L493" t="n">
        <v>0</v>
      </c>
      <c r="M493" t="n">
        <v>0</v>
      </c>
      <c r="N493" t="n">
        <v>0</v>
      </c>
      <c r="O493" t="n">
        <v>1</v>
      </c>
      <c r="P493" t="n">
        <v>0</v>
      </c>
      <c r="Q493" t="n">
        <v>1</v>
      </c>
      <c r="R493" s="2" t="inlineStr">
        <is>
          <t>Skogshare</t>
        </is>
      </c>
      <c r="S493">
        <f>HYPERLINK("https://klasma.github.io/Logging_2161/artfynd/A 42018-2025 artfynd.xlsx", "A 42018-2025")</f>
        <v/>
      </c>
      <c r="T493">
        <f>HYPERLINK("https://klasma.github.io/Logging_2161/kartor/A 42018-2025 karta.png", "A 42018-2025")</f>
        <v/>
      </c>
      <c r="V493">
        <f>HYPERLINK("https://klasma.github.io/Logging_2161/klagomål/A 42018-2025 FSC-klagomål.docx", "A 42018-2025")</f>
        <v/>
      </c>
      <c r="W493">
        <f>HYPERLINK("https://klasma.github.io/Logging_2161/klagomålsmail/A 42018-2025 FSC-klagomål mail.docx", "A 42018-2025")</f>
        <v/>
      </c>
      <c r="X493">
        <f>HYPERLINK("https://klasma.github.io/Logging_2161/tillsyn/A 42018-2025 tillsynsbegäran.docx", "A 42018-2025")</f>
        <v/>
      </c>
      <c r="Y493">
        <f>HYPERLINK("https://klasma.github.io/Logging_2161/tillsynsmail/A 42018-2025 tillsynsbegäran mail.docx", "A 42018-2025")</f>
        <v/>
      </c>
    </row>
    <row r="494" ht="15" customHeight="1">
      <c r="A494" t="inlineStr">
        <is>
          <t>A 17653-2025</t>
        </is>
      </c>
      <c r="B494" s="1" t="n">
        <v>45758.33842592593</v>
      </c>
      <c r="C494" s="1" t="n">
        <v>46086</v>
      </c>
      <c r="D494" t="inlineStr">
        <is>
          <t>GÄVLEBORGS LÄN</t>
        </is>
      </c>
      <c r="E494" t="inlineStr">
        <is>
          <t>SANDVIKEN</t>
        </is>
      </c>
      <c r="F494" t="inlineStr">
        <is>
          <t>Bergvik skog öst AB</t>
        </is>
      </c>
      <c r="G494" t="n">
        <v>2.5</v>
      </c>
      <c r="H494" t="n">
        <v>1</v>
      </c>
      <c r="I494" t="n">
        <v>0</v>
      </c>
      <c r="J494" t="n">
        <v>0</v>
      </c>
      <c r="K494" t="n">
        <v>0</v>
      </c>
      <c r="L494" t="n">
        <v>0</v>
      </c>
      <c r="M494" t="n">
        <v>0</v>
      </c>
      <c r="N494" t="n">
        <v>0</v>
      </c>
      <c r="O494" t="n">
        <v>0</v>
      </c>
      <c r="P494" t="n">
        <v>0</v>
      </c>
      <c r="Q494" t="n">
        <v>1</v>
      </c>
      <c r="R494" s="2" t="inlineStr">
        <is>
          <t>Mattlummer</t>
        </is>
      </c>
      <c r="S494">
        <f>HYPERLINK("https://klasma.github.io/Logging_2181/artfynd/A 17653-2025 artfynd.xlsx", "A 17653-2025")</f>
        <v/>
      </c>
      <c r="T494">
        <f>HYPERLINK("https://klasma.github.io/Logging_2181/kartor/A 17653-2025 karta.png", "A 17653-2025")</f>
        <v/>
      </c>
      <c r="V494">
        <f>HYPERLINK("https://klasma.github.io/Logging_2181/klagomål/A 17653-2025 FSC-klagomål.docx", "A 17653-2025")</f>
        <v/>
      </c>
      <c r="W494">
        <f>HYPERLINK("https://klasma.github.io/Logging_2181/klagomålsmail/A 17653-2025 FSC-klagomål mail.docx", "A 17653-2025")</f>
        <v/>
      </c>
      <c r="X494">
        <f>HYPERLINK("https://klasma.github.io/Logging_2181/tillsyn/A 17653-2025 tillsynsbegäran.docx", "A 17653-2025")</f>
        <v/>
      </c>
      <c r="Y494">
        <f>HYPERLINK("https://klasma.github.io/Logging_2181/tillsynsmail/A 17653-2025 tillsynsbegäran mail.docx", "A 17653-2025")</f>
        <v/>
      </c>
    </row>
    <row r="495" ht="15" customHeight="1">
      <c r="A495" t="inlineStr">
        <is>
          <t>A 9324-2026</t>
        </is>
      </c>
      <c r="B495" s="1" t="n">
        <v>46070</v>
      </c>
      <c r="C495" s="1" t="n">
        <v>46086</v>
      </c>
      <c r="D495" t="inlineStr">
        <is>
          <t>GÄVLEBORGS LÄN</t>
        </is>
      </c>
      <c r="E495" t="inlineStr">
        <is>
          <t>OCKELBO</t>
        </is>
      </c>
      <c r="F495" t="inlineStr">
        <is>
          <t>Bergvik skog väst AB</t>
        </is>
      </c>
      <c r="G495" t="n">
        <v>38.6</v>
      </c>
      <c r="H495" t="n">
        <v>1</v>
      </c>
      <c r="I495" t="n">
        <v>0</v>
      </c>
      <c r="J495" t="n">
        <v>1</v>
      </c>
      <c r="K495" t="n">
        <v>0</v>
      </c>
      <c r="L495" t="n">
        <v>0</v>
      </c>
      <c r="M495" t="n">
        <v>0</v>
      </c>
      <c r="N495" t="n">
        <v>0</v>
      </c>
      <c r="O495" t="n">
        <v>1</v>
      </c>
      <c r="P495" t="n">
        <v>0</v>
      </c>
      <c r="Q495" t="n">
        <v>1</v>
      </c>
      <c r="R495" s="2" t="inlineStr">
        <is>
          <t>Spillkråka</t>
        </is>
      </c>
      <c r="S495">
        <f>HYPERLINK("https://klasma.github.io/Logging_2101/artfynd/A 9324-2026 artfynd.xlsx", "A 9324-2026")</f>
        <v/>
      </c>
      <c r="T495">
        <f>HYPERLINK("https://klasma.github.io/Logging_2101/kartor/A 9324-2026 karta.png", "A 9324-2026")</f>
        <v/>
      </c>
      <c r="V495">
        <f>HYPERLINK("https://klasma.github.io/Logging_2101/klagomål/A 9324-2026 FSC-klagomål.docx", "A 9324-2026")</f>
        <v/>
      </c>
      <c r="W495">
        <f>HYPERLINK("https://klasma.github.io/Logging_2101/klagomålsmail/A 9324-2026 FSC-klagomål mail.docx", "A 9324-2026")</f>
        <v/>
      </c>
      <c r="X495">
        <f>HYPERLINK("https://klasma.github.io/Logging_2101/tillsyn/A 9324-2026 tillsynsbegäran.docx", "A 9324-2026")</f>
        <v/>
      </c>
      <c r="Y495">
        <f>HYPERLINK("https://klasma.github.io/Logging_2101/tillsynsmail/A 9324-2026 tillsynsbegäran mail.docx", "A 9324-2026")</f>
        <v/>
      </c>
      <c r="Z495">
        <f>HYPERLINK("https://klasma.github.io/Logging_2101/fåglar/A 9324-2026 prioriterade fågelarter.docx", "A 9324-2026")</f>
        <v/>
      </c>
    </row>
    <row r="496" ht="15" customHeight="1">
      <c r="A496" t="inlineStr">
        <is>
          <t>A 31802-2025</t>
        </is>
      </c>
      <c r="B496" s="1" t="n">
        <v>45834.55302083334</v>
      </c>
      <c r="C496" s="1" t="n">
        <v>46086</v>
      </c>
      <c r="D496" t="inlineStr">
        <is>
          <t>GÄVLEBORGS LÄN</t>
        </is>
      </c>
      <c r="E496" t="inlineStr">
        <is>
          <t>HUDIKSVALL</t>
        </is>
      </c>
      <c r="G496" t="n">
        <v>2.2</v>
      </c>
      <c r="H496" t="n">
        <v>0</v>
      </c>
      <c r="I496" t="n">
        <v>1</v>
      </c>
      <c r="J496" t="n">
        <v>0</v>
      </c>
      <c r="K496" t="n">
        <v>0</v>
      </c>
      <c r="L496" t="n">
        <v>0</v>
      </c>
      <c r="M496" t="n">
        <v>0</v>
      </c>
      <c r="N496" t="n">
        <v>0</v>
      </c>
      <c r="O496" t="n">
        <v>0</v>
      </c>
      <c r="P496" t="n">
        <v>0</v>
      </c>
      <c r="Q496" t="n">
        <v>1</v>
      </c>
      <c r="R496" s="2" t="inlineStr">
        <is>
          <t>Stor aspticka</t>
        </is>
      </c>
      <c r="S496">
        <f>HYPERLINK("https://klasma.github.io/Logging_2184/artfynd/A 31802-2025 artfynd.xlsx", "A 31802-2025")</f>
        <v/>
      </c>
      <c r="T496">
        <f>HYPERLINK("https://klasma.github.io/Logging_2184/kartor/A 31802-2025 karta.png", "A 31802-2025")</f>
        <v/>
      </c>
      <c r="V496">
        <f>HYPERLINK("https://klasma.github.io/Logging_2184/klagomål/A 31802-2025 FSC-klagomål.docx", "A 31802-2025")</f>
        <v/>
      </c>
      <c r="W496">
        <f>HYPERLINK("https://klasma.github.io/Logging_2184/klagomålsmail/A 31802-2025 FSC-klagomål mail.docx", "A 31802-2025")</f>
        <v/>
      </c>
      <c r="X496">
        <f>HYPERLINK("https://klasma.github.io/Logging_2184/tillsyn/A 31802-2025 tillsynsbegäran.docx", "A 31802-2025")</f>
        <v/>
      </c>
      <c r="Y496">
        <f>HYPERLINK("https://klasma.github.io/Logging_2184/tillsynsmail/A 31802-2025 tillsynsbegäran mail.docx", "A 31802-2025")</f>
        <v/>
      </c>
    </row>
    <row r="497" ht="15" customHeight="1">
      <c r="A497" t="inlineStr">
        <is>
          <t>A 5370-2025</t>
        </is>
      </c>
      <c r="B497" s="1" t="n">
        <v>45692</v>
      </c>
      <c r="C497" s="1" t="n">
        <v>46086</v>
      </c>
      <c r="D497" t="inlineStr">
        <is>
          <t>GÄVLEBORGS LÄN</t>
        </is>
      </c>
      <c r="E497" t="inlineStr">
        <is>
          <t>BOLLNÄS</t>
        </is>
      </c>
      <c r="G497" t="n">
        <v>2.5</v>
      </c>
      <c r="H497" t="n">
        <v>0</v>
      </c>
      <c r="I497" t="n">
        <v>0</v>
      </c>
      <c r="J497" t="n">
        <v>1</v>
      </c>
      <c r="K497" t="n">
        <v>0</v>
      </c>
      <c r="L497" t="n">
        <v>0</v>
      </c>
      <c r="M497" t="n">
        <v>0</v>
      </c>
      <c r="N497" t="n">
        <v>0</v>
      </c>
      <c r="O497" t="n">
        <v>1</v>
      </c>
      <c r="P497" t="n">
        <v>0</v>
      </c>
      <c r="Q497" t="n">
        <v>1</v>
      </c>
      <c r="R497" s="2" t="inlineStr">
        <is>
          <t>Ullticka</t>
        </is>
      </c>
      <c r="S497">
        <f>HYPERLINK("https://klasma.github.io/Logging_2183/artfynd/A 5370-2025 artfynd.xlsx", "A 5370-2025")</f>
        <v/>
      </c>
      <c r="T497">
        <f>HYPERLINK("https://klasma.github.io/Logging_2183/kartor/A 5370-2025 karta.png", "A 5370-2025")</f>
        <v/>
      </c>
      <c r="V497">
        <f>HYPERLINK("https://klasma.github.io/Logging_2183/klagomål/A 5370-2025 FSC-klagomål.docx", "A 5370-2025")</f>
        <v/>
      </c>
      <c r="W497">
        <f>HYPERLINK("https://klasma.github.io/Logging_2183/klagomålsmail/A 5370-2025 FSC-klagomål mail.docx", "A 5370-2025")</f>
        <v/>
      </c>
      <c r="X497">
        <f>HYPERLINK("https://klasma.github.io/Logging_2183/tillsyn/A 5370-2025 tillsynsbegäran.docx", "A 5370-2025")</f>
        <v/>
      </c>
      <c r="Y497">
        <f>HYPERLINK("https://klasma.github.io/Logging_2183/tillsynsmail/A 5370-2025 tillsynsbegäran mail.docx", "A 5370-2025")</f>
        <v/>
      </c>
    </row>
    <row r="498" ht="15" customHeight="1">
      <c r="A498" t="inlineStr">
        <is>
          <t>A 8451-2026</t>
        </is>
      </c>
      <c r="B498" s="1" t="n">
        <v>46065</v>
      </c>
      <c r="C498" s="1" t="n">
        <v>46086</v>
      </c>
      <c r="D498" t="inlineStr">
        <is>
          <t>GÄVLEBORGS LÄN</t>
        </is>
      </c>
      <c r="E498" t="inlineStr">
        <is>
          <t>OCKELBO</t>
        </is>
      </c>
      <c r="F498" t="inlineStr">
        <is>
          <t>Bergvik skog väst AB</t>
        </is>
      </c>
      <c r="G498" t="n">
        <v>2</v>
      </c>
      <c r="H498" t="n">
        <v>1</v>
      </c>
      <c r="I498" t="n">
        <v>0</v>
      </c>
      <c r="J498" t="n">
        <v>0</v>
      </c>
      <c r="K498" t="n">
        <v>0</v>
      </c>
      <c r="L498" t="n">
        <v>0</v>
      </c>
      <c r="M498" t="n">
        <v>0</v>
      </c>
      <c r="N498" t="n">
        <v>0</v>
      </c>
      <c r="O498" t="n">
        <v>0</v>
      </c>
      <c r="P498" t="n">
        <v>0</v>
      </c>
      <c r="Q498" t="n">
        <v>1</v>
      </c>
      <c r="R498" s="2" t="inlineStr">
        <is>
          <t>Lavskrika</t>
        </is>
      </c>
      <c r="S498">
        <f>HYPERLINK("https://klasma.github.io/Logging_2101/artfynd/A 8451-2026 artfynd.xlsx", "A 8451-2026")</f>
        <v/>
      </c>
      <c r="T498">
        <f>HYPERLINK("https://klasma.github.io/Logging_2101/kartor/A 8451-2026 karta.png", "A 8451-2026")</f>
        <v/>
      </c>
      <c r="V498">
        <f>HYPERLINK("https://klasma.github.io/Logging_2101/klagomål/A 8451-2026 FSC-klagomål.docx", "A 8451-2026")</f>
        <v/>
      </c>
      <c r="W498">
        <f>HYPERLINK("https://klasma.github.io/Logging_2101/klagomålsmail/A 8451-2026 FSC-klagomål mail.docx", "A 8451-2026")</f>
        <v/>
      </c>
      <c r="X498">
        <f>HYPERLINK("https://klasma.github.io/Logging_2101/tillsyn/A 8451-2026 tillsynsbegäran.docx", "A 8451-2026")</f>
        <v/>
      </c>
      <c r="Y498">
        <f>HYPERLINK("https://klasma.github.io/Logging_2101/tillsynsmail/A 8451-2026 tillsynsbegäran mail.docx", "A 8451-2026")</f>
        <v/>
      </c>
      <c r="Z498">
        <f>HYPERLINK("https://klasma.github.io/Logging_2101/fåglar/A 8451-2026 prioriterade fågelarter.docx", "A 8451-2026")</f>
        <v/>
      </c>
    </row>
    <row r="499" ht="15" customHeight="1">
      <c r="A499" t="inlineStr">
        <is>
          <t>A 3193-2026</t>
        </is>
      </c>
      <c r="B499" s="1" t="n">
        <v>46041.46563657407</v>
      </c>
      <c r="C499" s="1" t="n">
        <v>46086</v>
      </c>
      <c r="D499" t="inlineStr">
        <is>
          <t>GÄVLEBORGS LÄN</t>
        </is>
      </c>
      <c r="E499" t="inlineStr">
        <is>
          <t>GÄVLE</t>
        </is>
      </c>
      <c r="G499" t="n">
        <v>10.3</v>
      </c>
      <c r="H499" t="n">
        <v>1</v>
      </c>
      <c r="I499" t="n">
        <v>0</v>
      </c>
      <c r="J499" t="n">
        <v>1</v>
      </c>
      <c r="K499" t="n">
        <v>0</v>
      </c>
      <c r="L499" t="n">
        <v>0</v>
      </c>
      <c r="M499" t="n">
        <v>0</v>
      </c>
      <c r="N499" t="n">
        <v>0</v>
      </c>
      <c r="O499" t="n">
        <v>1</v>
      </c>
      <c r="P499" t="n">
        <v>0</v>
      </c>
      <c r="Q499" t="n">
        <v>1</v>
      </c>
      <c r="R499" s="2" t="inlineStr">
        <is>
          <t>Trastsångare</t>
        </is>
      </c>
      <c r="S499">
        <f>HYPERLINK("https://klasma.github.io/Logging_2180/artfynd/A 3193-2026 artfynd.xlsx", "A 3193-2026")</f>
        <v/>
      </c>
      <c r="T499">
        <f>HYPERLINK("https://klasma.github.io/Logging_2180/kartor/A 3193-2026 karta.png", "A 3193-2026")</f>
        <v/>
      </c>
      <c r="V499">
        <f>HYPERLINK("https://klasma.github.io/Logging_2180/klagomål/A 3193-2026 FSC-klagomål.docx", "A 3193-2026")</f>
        <v/>
      </c>
      <c r="W499">
        <f>HYPERLINK("https://klasma.github.io/Logging_2180/klagomålsmail/A 3193-2026 FSC-klagomål mail.docx", "A 3193-2026")</f>
        <v/>
      </c>
      <c r="X499">
        <f>HYPERLINK("https://klasma.github.io/Logging_2180/tillsyn/A 3193-2026 tillsynsbegäran.docx", "A 3193-2026")</f>
        <v/>
      </c>
      <c r="Y499">
        <f>HYPERLINK("https://klasma.github.io/Logging_2180/tillsynsmail/A 3193-2026 tillsynsbegäran mail.docx", "A 3193-2026")</f>
        <v/>
      </c>
    </row>
    <row r="500" ht="15" customHeight="1">
      <c r="A500" t="inlineStr">
        <is>
          <t>A 15729-2022</t>
        </is>
      </c>
      <c r="B500" s="1" t="n">
        <v>44663</v>
      </c>
      <c r="C500" s="1" t="n">
        <v>46086</v>
      </c>
      <c r="D500" t="inlineStr">
        <is>
          <t>GÄVLEBORGS LÄN</t>
        </is>
      </c>
      <c r="E500" t="inlineStr">
        <is>
          <t>SANDVIKEN</t>
        </is>
      </c>
      <c r="G500" t="n">
        <v>2.1</v>
      </c>
      <c r="H500" t="n">
        <v>1</v>
      </c>
      <c r="I500" t="n">
        <v>0</v>
      </c>
      <c r="J500" t="n">
        <v>0</v>
      </c>
      <c r="K500" t="n">
        <v>1</v>
      </c>
      <c r="L500" t="n">
        <v>0</v>
      </c>
      <c r="M500" t="n">
        <v>0</v>
      </c>
      <c r="N500" t="n">
        <v>0</v>
      </c>
      <c r="O500" t="n">
        <v>1</v>
      </c>
      <c r="P500" t="n">
        <v>1</v>
      </c>
      <c r="Q500" t="n">
        <v>1</v>
      </c>
      <c r="R500" s="2" t="inlineStr">
        <is>
          <t>Knärot</t>
        </is>
      </c>
      <c r="S500">
        <f>HYPERLINK("https://klasma.github.io/Logging_2181/artfynd/A 15729-2022 artfynd.xlsx", "A 15729-2022")</f>
        <v/>
      </c>
      <c r="T500">
        <f>HYPERLINK("https://klasma.github.io/Logging_2181/kartor/A 15729-2022 karta.png", "A 15729-2022")</f>
        <v/>
      </c>
      <c r="U500">
        <f>HYPERLINK("https://klasma.github.io/Logging_2181/knärot/A 15729-2022 karta knärot.png", "A 15729-2022")</f>
        <v/>
      </c>
      <c r="V500">
        <f>HYPERLINK("https://klasma.github.io/Logging_2181/klagomål/A 15729-2022 FSC-klagomål.docx", "A 15729-2022")</f>
        <v/>
      </c>
      <c r="W500">
        <f>HYPERLINK("https://klasma.github.io/Logging_2181/klagomålsmail/A 15729-2022 FSC-klagomål mail.docx", "A 15729-2022")</f>
        <v/>
      </c>
      <c r="X500">
        <f>HYPERLINK("https://klasma.github.io/Logging_2181/tillsyn/A 15729-2022 tillsynsbegäran.docx", "A 15729-2022")</f>
        <v/>
      </c>
      <c r="Y500">
        <f>HYPERLINK("https://klasma.github.io/Logging_2181/tillsynsmail/A 15729-2022 tillsynsbegäran mail.docx", "A 15729-2022")</f>
        <v/>
      </c>
    </row>
    <row r="501" ht="15" customHeight="1">
      <c r="A501" t="inlineStr">
        <is>
          <t>A 42183-2025</t>
        </is>
      </c>
      <c r="B501" s="1" t="n">
        <v>45904.45236111111</v>
      </c>
      <c r="C501" s="1" t="n">
        <v>46086</v>
      </c>
      <c r="D501" t="inlineStr">
        <is>
          <t>GÄVLEBORGS LÄN</t>
        </is>
      </c>
      <c r="E501" t="inlineStr">
        <is>
          <t>LJUSDAL</t>
        </is>
      </c>
      <c r="F501" t="inlineStr">
        <is>
          <t>Allmännings- och besparingsskogar</t>
        </is>
      </c>
      <c r="G501" t="n">
        <v>7.6</v>
      </c>
      <c r="H501" t="n">
        <v>0</v>
      </c>
      <c r="I501" t="n">
        <v>0</v>
      </c>
      <c r="J501" t="n">
        <v>1</v>
      </c>
      <c r="K501" t="n">
        <v>0</v>
      </c>
      <c r="L501" t="n">
        <v>0</v>
      </c>
      <c r="M501" t="n">
        <v>0</v>
      </c>
      <c r="N501" t="n">
        <v>0</v>
      </c>
      <c r="O501" t="n">
        <v>1</v>
      </c>
      <c r="P501" t="n">
        <v>0</v>
      </c>
      <c r="Q501" t="n">
        <v>1</v>
      </c>
      <c r="R501" s="2" t="inlineStr">
        <is>
          <t>Garnlav</t>
        </is>
      </c>
      <c r="S501">
        <f>HYPERLINK("https://klasma.github.io/Logging_2161/artfynd/A 42183-2025 artfynd.xlsx", "A 42183-2025")</f>
        <v/>
      </c>
      <c r="T501">
        <f>HYPERLINK("https://klasma.github.io/Logging_2161/kartor/A 42183-2025 karta.png", "A 42183-2025")</f>
        <v/>
      </c>
      <c r="V501">
        <f>HYPERLINK("https://klasma.github.io/Logging_2161/klagomål/A 42183-2025 FSC-klagomål.docx", "A 42183-2025")</f>
        <v/>
      </c>
      <c r="W501">
        <f>HYPERLINK("https://klasma.github.io/Logging_2161/klagomålsmail/A 42183-2025 FSC-klagomål mail.docx", "A 42183-2025")</f>
        <v/>
      </c>
      <c r="X501">
        <f>HYPERLINK("https://klasma.github.io/Logging_2161/tillsyn/A 42183-2025 tillsynsbegäran.docx", "A 42183-2025")</f>
        <v/>
      </c>
      <c r="Y501">
        <f>HYPERLINK("https://klasma.github.io/Logging_2161/tillsynsmail/A 42183-2025 tillsynsbegäran mail.docx", "A 42183-2025")</f>
        <v/>
      </c>
    </row>
    <row r="502" ht="15" customHeight="1">
      <c r="A502" t="inlineStr">
        <is>
          <t>A 45241-2022</t>
        </is>
      </c>
      <c r="B502" s="1" t="n">
        <v>44840</v>
      </c>
      <c r="C502" s="1" t="n">
        <v>46086</v>
      </c>
      <c r="D502" t="inlineStr">
        <is>
          <t>GÄVLEBORGS LÄN</t>
        </is>
      </c>
      <c r="E502" t="inlineStr">
        <is>
          <t>GÄVLE</t>
        </is>
      </c>
      <c r="F502" t="inlineStr">
        <is>
          <t>Bergvik skog väst AB</t>
        </is>
      </c>
      <c r="G502" t="n">
        <v>22</v>
      </c>
      <c r="H502" t="n">
        <v>1</v>
      </c>
      <c r="I502" t="n">
        <v>0</v>
      </c>
      <c r="J502" t="n">
        <v>0</v>
      </c>
      <c r="K502" t="n">
        <v>0</v>
      </c>
      <c r="L502" t="n">
        <v>0</v>
      </c>
      <c r="M502" t="n">
        <v>0</v>
      </c>
      <c r="N502" t="n">
        <v>0</v>
      </c>
      <c r="O502" t="n">
        <v>0</v>
      </c>
      <c r="P502" t="n">
        <v>0</v>
      </c>
      <c r="Q502" t="n">
        <v>1</v>
      </c>
      <c r="R502" s="2" t="inlineStr">
        <is>
          <t>Blåsippa</t>
        </is>
      </c>
      <c r="S502">
        <f>HYPERLINK("https://klasma.github.io/Logging_2180/artfynd/A 45241-2022 artfynd.xlsx", "A 45241-2022")</f>
        <v/>
      </c>
      <c r="T502">
        <f>HYPERLINK("https://klasma.github.io/Logging_2180/kartor/A 45241-2022 karta.png", "A 45241-2022")</f>
        <v/>
      </c>
      <c r="V502">
        <f>HYPERLINK("https://klasma.github.io/Logging_2180/klagomål/A 45241-2022 FSC-klagomål.docx", "A 45241-2022")</f>
        <v/>
      </c>
      <c r="W502">
        <f>HYPERLINK("https://klasma.github.io/Logging_2180/klagomålsmail/A 45241-2022 FSC-klagomål mail.docx", "A 45241-2022")</f>
        <v/>
      </c>
      <c r="X502">
        <f>HYPERLINK("https://klasma.github.io/Logging_2180/tillsyn/A 45241-2022 tillsynsbegäran.docx", "A 45241-2022")</f>
        <v/>
      </c>
      <c r="Y502">
        <f>HYPERLINK("https://klasma.github.io/Logging_2180/tillsynsmail/A 45241-2022 tillsynsbegäran mail.docx", "A 45241-2022")</f>
        <v/>
      </c>
    </row>
    <row r="503" ht="15" customHeight="1">
      <c r="A503" t="inlineStr">
        <is>
          <t>A 3090-2026</t>
        </is>
      </c>
      <c r="B503" s="1" t="n">
        <v>46040.84027777778</v>
      </c>
      <c r="C503" s="1" t="n">
        <v>46086</v>
      </c>
      <c r="D503" t="inlineStr">
        <is>
          <t>GÄVLEBORGS LÄN</t>
        </is>
      </c>
      <c r="E503" t="inlineStr">
        <is>
          <t>BOLLNÄS</t>
        </is>
      </c>
      <c r="G503" t="n">
        <v>11.8</v>
      </c>
      <c r="H503" t="n">
        <v>1</v>
      </c>
      <c r="I503" t="n">
        <v>0</v>
      </c>
      <c r="J503" t="n">
        <v>1</v>
      </c>
      <c r="K503" t="n">
        <v>0</v>
      </c>
      <c r="L503" t="n">
        <v>0</v>
      </c>
      <c r="M503" t="n">
        <v>0</v>
      </c>
      <c r="N503" t="n">
        <v>0</v>
      </c>
      <c r="O503" t="n">
        <v>1</v>
      </c>
      <c r="P503" t="n">
        <v>0</v>
      </c>
      <c r="Q503" t="n">
        <v>1</v>
      </c>
      <c r="R503" s="2" t="inlineStr">
        <is>
          <t>Spillkråka</t>
        </is>
      </c>
      <c r="S503">
        <f>HYPERLINK("https://klasma.github.io/Logging_2183/artfynd/A 3090-2026 artfynd.xlsx", "A 3090-2026")</f>
        <v/>
      </c>
      <c r="T503">
        <f>HYPERLINK("https://klasma.github.io/Logging_2183/kartor/A 3090-2026 karta.png", "A 3090-2026")</f>
        <v/>
      </c>
      <c r="V503">
        <f>HYPERLINK("https://klasma.github.io/Logging_2183/klagomål/A 3090-2026 FSC-klagomål.docx", "A 3090-2026")</f>
        <v/>
      </c>
      <c r="W503">
        <f>HYPERLINK("https://klasma.github.io/Logging_2183/klagomålsmail/A 3090-2026 FSC-klagomål mail.docx", "A 3090-2026")</f>
        <v/>
      </c>
      <c r="X503">
        <f>HYPERLINK("https://klasma.github.io/Logging_2183/tillsyn/A 3090-2026 tillsynsbegäran.docx", "A 3090-2026")</f>
        <v/>
      </c>
      <c r="Y503">
        <f>HYPERLINK("https://klasma.github.io/Logging_2183/tillsynsmail/A 3090-2026 tillsynsbegäran mail.docx", "A 3090-2026")</f>
        <v/>
      </c>
      <c r="Z503">
        <f>HYPERLINK("https://klasma.github.io/Logging_2183/fåglar/A 3090-2026 prioriterade fågelarter.docx", "A 3090-2026")</f>
        <v/>
      </c>
    </row>
    <row r="504" ht="15" customHeight="1">
      <c r="A504" t="inlineStr">
        <is>
          <t>A 42182-2025</t>
        </is>
      </c>
      <c r="B504" s="1" t="n">
        <v>45904.4516087963</v>
      </c>
      <c r="C504" s="1" t="n">
        <v>46086</v>
      </c>
      <c r="D504" t="inlineStr">
        <is>
          <t>GÄVLEBORGS LÄN</t>
        </is>
      </c>
      <c r="E504" t="inlineStr">
        <is>
          <t>LJUSDAL</t>
        </is>
      </c>
      <c r="F504" t="inlineStr">
        <is>
          <t>Allmännings- och besparingsskogar</t>
        </is>
      </c>
      <c r="G504" t="n">
        <v>5.7</v>
      </c>
      <c r="H504" t="n">
        <v>1</v>
      </c>
      <c r="I504" t="n">
        <v>0</v>
      </c>
      <c r="J504" t="n">
        <v>0</v>
      </c>
      <c r="K504" t="n">
        <v>0</v>
      </c>
      <c r="L504" t="n">
        <v>0</v>
      </c>
      <c r="M504" t="n">
        <v>0</v>
      </c>
      <c r="N504" t="n">
        <v>0</v>
      </c>
      <c r="O504" t="n">
        <v>0</v>
      </c>
      <c r="P504" t="n">
        <v>0</v>
      </c>
      <c r="Q504" t="n">
        <v>1</v>
      </c>
      <c r="R504" s="2" t="inlineStr">
        <is>
          <t>Revlummer</t>
        </is>
      </c>
      <c r="S504">
        <f>HYPERLINK("https://klasma.github.io/Logging_2161/artfynd/A 42182-2025 artfynd.xlsx", "A 42182-2025")</f>
        <v/>
      </c>
      <c r="T504">
        <f>HYPERLINK("https://klasma.github.io/Logging_2161/kartor/A 42182-2025 karta.png", "A 42182-2025")</f>
        <v/>
      </c>
      <c r="V504">
        <f>HYPERLINK("https://klasma.github.io/Logging_2161/klagomål/A 42182-2025 FSC-klagomål.docx", "A 42182-2025")</f>
        <v/>
      </c>
      <c r="W504">
        <f>HYPERLINK("https://klasma.github.io/Logging_2161/klagomålsmail/A 42182-2025 FSC-klagomål mail.docx", "A 42182-2025")</f>
        <v/>
      </c>
      <c r="X504">
        <f>HYPERLINK("https://klasma.github.io/Logging_2161/tillsyn/A 42182-2025 tillsynsbegäran.docx", "A 42182-2025")</f>
        <v/>
      </c>
      <c r="Y504">
        <f>HYPERLINK("https://klasma.github.io/Logging_2161/tillsynsmail/A 42182-2025 tillsynsbegäran mail.docx", "A 42182-2025")</f>
        <v/>
      </c>
    </row>
    <row r="505" ht="15" customHeight="1">
      <c r="A505" t="inlineStr">
        <is>
          <t>A 32489-2025</t>
        </is>
      </c>
      <c r="B505" s="1" t="n">
        <v>45838</v>
      </c>
      <c r="C505" s="1" t="n">
        <v>46086</v>
      </c>
      <c r="D505" t="inlineStr">
        <is>
          <t>GÄVLEBORGS LÄN</t>
        </is>
      </c>
      <c r="E505" t="inlineStr">
        <is>
          <t>LJUSDAL</t>
        </is>
      </c>
      <c r="F505" t="inlineStr">
        <is>
          <t>Allmännings- och besparingsskogar</t>
        </is>
      </c>
      <c r="G505" t="n">
        <v>21</v>
      </c>
      <c r="H505" t="n">
        <v>0</v>
      </c>
      <c r="I505" t="n">
        <v>0</v>
      </c>
      <c r="J505" t="n">
        <v>1</v>
      </c>
      <c r="K505" t="n">
        <v>0</v>
      </c>
      <c r="L505" t="n">
        <v>0</v>
      </c>
      <c r="M505" t="n">
        <v>0</v>
      </c>
      <c r="N505" t="n">
        <v>0</v>
      </c>
      <c r="O505" t="n">
        <v>1</v>
      </c>
      <c r="P505" t="n">
        <v>0</v>
      </c>
      <c r="Q505" t="n">
        <v>1</v>
      </c>
      <c r="R505" s="2" t="inlineStr">
        <is>
          <t>Garnlav</t>
        </is>
      </c>
      <c r="S505">
        <f>HYPERLINK("https://klasma.github.io/Logging_2161/artfynd/A 32489-2025 artfynd.xlsx", "A 32489-2025")</f>
        <v/>
      </c>
      <c r="T505">
        <f>HYPERLINK("https://klasma.github.io/Logging_2161/kartor/A 32489-2025 karta.png", "A 32489-2025")</f>
        <v/>
      </c>
      <c r="V505">
        <f>HYPERLINK("https://klasma.github.io/Logging_2161/klagomål/A 32489-2025 FSC-klagomål.docx", "A 32489-2025")</f>
        <v/>
      </c>
      <c r="W505">
        <f>HYPERLINK("https://klasma.github.io/Logging_2161/klagomålsmail/A 32489-2025 FSC-klagomål mail.docx", "A 32489-2025")</f>
        <v/>
      </c>
      <c r="X505">
        <f>HYPERLINK("https://klasma.github.io/Logging_2161/tillsyn/A 32489-2025 tillsynsbegäran.docx", "A 32489-2025")</f>
        <v/>
      </c>
      <c r="Y505">
        <f>HYPERLINK("https://klasma.github.io/Logging_2161/tillsynsmail/A 32489-2025 tillsynsbegäran mail.docx", "A 32489-2025")</f>
        <v/>
      </c>
    </row>
    <row r="506" ht="15" customHeight="1">
      <c r="A506" t="inlineStr">
        <is>
          <t>A 3122-2026</t>
        </is>
      </c>
      <c r="B506" s="1" t="n">
        <v>46041.37422453704</v>
      </c>
      <c r="C506" s="1" t="n">
        <v>46086</v>
      </c>
      <c r="D506" t="inlineStr">
        <is>
          <t>GÄVLEBORGS LÄN</t>
        </is>
      </c>
      <c r="E506" t="inlineStr">
        <is>
          <t>HUDIKSVALL</t>
        </is>
      </c>
      <c r="G506" t="n">
        <v>2.3</v>
      </c>
      <c r="H506" t="n">
        <v>1</v>
      </c>
      <c r="I506" t="n">
        <v>0</v>
      </c>
      <c r="J506" t="n">
        <v>0</v>
      </c>
      <c r="K506" t="n">
        <v>0</v>
      </c>
      <c r="L506" t="n">
        <v>0</v>
      </c>
      <c r="M506" t="n">
        <v>0</v>
      </c>
      <c r="N506" t="n">
        <v>0</v>
      </c>
      <c r="O506" t="n">
        <v>0</v>
      </c>
      <c r="P506" t="n">
        <v>0</v>
      </c>
      <c r="Q506" t="n">
        <v>1</v>
      </c>
      <c r="R506" s="2" t="inlineStr">
        <is>
          <t>Fläcknycklar</t>
        </is>
      </c>
      <c r="S506">
        <f>HYPERLINK("https://klasma.github.io/Logging_2184/artfynd/A 3122-2026 artfynd.xlsx", "A 3122-2026")</f>
        <v/>
      </c>
      <c r="T506">
        <f>HYPERLINK("https://klasma.github.io/Logging_2184/kartor/A 3122-2026 karta.png", "A 3122-2026")</f>
        <v/>
      </c>
      <c r="V506">
        <f>HYPERLINK("https://klasma.github.io/Logging_2184/klagomål/A 3122-2026 FSC-klagomål.docx", "A 3122-2026")</f>
        <v/>
      </c>
      <c r="W506">
        <f>HYPERLINK("https://klasma.github.io/Logging_2184/klagomålsmail/A 3122-2026 FSC-klagomål mail.docx", "A 3122-2026")</f>
        <v/>
      </c>
      <c r="X506">
        <f>HYPERLINK("https://klasma.github.io/Logging_2184/tillsyn/A 3122-2026 tillsynsbegäran.docx", "A 3122-2026")</f>
        <v/>
      </c>
      <c r="Y506">
        <f>HYPERLINK("https://klasma.github.io/Logging_2184/tillsynsmail/A 3122-2026 tillsynsbegäran mail.docx", "A 3122-2026")</f>
        <v/>
      </c>
    </row>
    <row r="507" ht="15" customHeight="1">
      <c r="A507" t="inlineStr">
        <is>
          <t>A 33338-2025</t>
        </is>
      </c>
      <c r="B507" s="1" t="n">
        <v>45841.35872685185</v>
      </c>
      <c r="C507" s="1" t="n">
        <v>46086</v>
      </c>
      <c r="D507" t="inlineStr">
        <is>
          <t>GÄVLEBORGS LÄN</t>
        </is>
      </c>
      <c r="E507" t="inlineStr">
        <is>
          <t>LJUSDAL</t>
        </is>
      </c>
      <c r="F507" t="inlineStr">
        <is>
          <t>Sveaskog</t>
        </is>
      </c>
      <c r="G507" t="n">
        <v>1.6</v>
      </c>
      <c r="H507" t="n">
        <v>1</v>
      </c>
      <c r="I507" t="n">
        <v>0</v>
      </c>
      <c r="J507" t="n">
        <v>0</v>
      </c>
      <c r="K507" t="n">
        <v>0</v>
      </c>
      <c r="L507" t="n">
        <v>0</v>
      </c>
      <c r="M507" t="n">
        <v>0</v>
      </c>
      <c r="N507" t="n">
        <v>0</v>
      </c>
      <c r="O507" t="n">
        <v>0</v>
      </c>
      <c r="P507" t="n">
        <v>0</v>
      </c>
      <c r="Q507" t="n">
        <v>1</v>
      </c>
      <c r="R507" s="2" t="inlineStr">
        <is>
          <t>Fläcknycklar</t>
        </is>
      </c>
      <c r="S507">
        <f>HYPERLINK("https://klasma.github.io/Logging_2161/artfynd/A 33338-2025 artfynd.xlsx", "A 33338-2025")</f>
        <v/>
      </c>
      <c r="T507">
        <f>HYPERLINK("https://klasma.github.io/Logging_2161/kartor/A 33338-2025 karta.png", "A 33338-2025")</f>
        <v/>
      </c>
      <c r="V507">
        <f>HYPERLINK("https://klasma.github.io/Logging_2161/klagomål/A 33338-2025 FSC-klagomål.docx", "A 33338-2025")</f>
        <v/>
      </c>
      <c r="W507">
        <f>HYPERLINK("https://klasma.github.io/Logging_2161/klagomålsmail/A 33338-2025 FSC-klagomål mail.docx", "A 33338-2025")</f>
        <v/>
      </c>
      <c r="X507">
        <f>HYPERLINK("https://klasma.github.io/Logging_2161/tillsyn/A 33338-2025 tillsynsbegäran.docx", "A 33338-2025")</f>
        <v/>
      </c>
      <c r="Y507">
        <f>HYPERLINK("https://klasma.github.io/Logging_2161/tillsynsmail/A 33338-2025 tillsynsbegäran mail.docx", "A 33338-2025")</f>
        <v/>
      </c>
    </row>
    <row r="508" ht="15" customHeight="1">
      <c r="A508" t="inlineStr">
        <is>
          <t>A 33075-2025</t>
        </is>
      </c>
      <c r="B508" s="1" t="n">
        <v>45840.45563657407</v>
      </c>
      <c r="C508" s="1" t="n">
        <v>46086</v>
      </c>
      <c r="D508" t="inlineStr">
        <is>
          <t>GÄVLEBORGS LÄN</t>
        </is>
      </c>
      <c r="E508" t="inlineStr">
        <is>
          <t>OCKELBO</t>
        </is>
      </c>
      <c r="F508" t="inlineStr">
        <is>
          <t>Bergvik skog väst AB</t>
        </is>
      </c>
      <c r="G508" t="n">
        <v>15.7</v>
      </c>
      <c r="H508" t="n">
        <v>1</v>
      </c>
      <c r="I508" t="n">
        <v>1</v>
      </c>
      <c r="J508" t="n">
        <v>0</v>
      </c>
      <c r="K508" t="n">
        <v>0</v>
      </c>
      <c r="L508" t="n">
        <v>0</v>
      </c>
      <c r="M508" t="n">
        <v>0</v>
      </c>
      <c r="N508" t="n">
        <v>0</v>
      </c>
      <c r="O508" t="n">
        <v>0</v>
      </c>
      <c r="P508" t="n">
        <v>0</v>
      </c>
      <c r="Q508" t="n">
        <v>1</v>
      </c>
      <c r="R508" s="2" t="inlineStr">
        <is>
          <t>Grön sköldmossa</t>
        </is>
      </c>
      <c r="S508">
        <f>HYPERLINK("https://klasma.github.io/Logging_2101/artfynd/A 33075-2025 artfynd.xlsx", "A 33075-2025")</f>
        <v/>
      </c>
      <c r="T508">
        <f>HYPERLINK("https://klasma.github.io/Logging_2101/kartor/A 33075-2025 karta.png", "A 33075-2025")</f>
        <v/>
      </c>
      <c r="V508">
        <f>HYPERLINK("https://klasma.github.io/Logging_2101/klagomål/A 33075-2025 FSC-klagomål.docx", "A 33075-2025")</f>
        <v/>
      </c>
      <c r="W508">
        <f>HYPERLINK("https://klasma.github.io/Logging_2101/klagomålsmail/A 33075-2025 FSC-klagomål mail.docx", "A 33075-2025")</f>
        <v/>
      </c>
      <c r="X508">
        <f>HYPERLINK("https://klasma.github.io/Logging_2101/tillsyn/A 33075-2025 tillsynsbegäran.docx", "A 33075-2025")</f>
        <v/>
      </c>
      <c r="Y508">
        <f>HYPERLINK("https://klasma.github.io/Logging_2101/tillsynsmail/A 33075-2025 tillsynsbegäran mail.docx", "A 33075-2025")</f>
        <v/>
      </c>
    </row>
    <row r="509" ht="15" customHeight="1">
      <c r="A509" t="inlineStr">
        <is>
          <t>A 53571-2024</t>
        </is>
      </c>
      <c r="B509" s="1" t="n">
        <v>45614.66019675926</v>
      </c>
      <c r="C509" s="1" t="n">
        <v>46086</v>
      </c>
      <c r="D509" t="inlineStr">
        <is>
          <t>GÄVLEBORGS LÄN</t>
        </is>
      </c>
      <c r="E509" t="inlineStr">
        <is>
          <t>GÄVLE</t>
        </is>
      </c>
      <c r="F509" t="inlineStr">
        <is>
          <t>Bergvik skog öst AB</t>
        </is>
      </c>
      <c r="G509" t="n">
        <v>4.9</v>
      </c>
      <c r="H509" t="n">
        <v>0</v>
      </c>
      <c r="I509" t="n">
        <v>1</v>
      </c>
      <c r="J509" t="n">
        <v>0</v>
      </c>
      <c r="K509" t="n">
        <v>0</v>
      </c>
      <c r="L509" t="n">
        <v>0</v>
      </c>
      <c r="M509" t="n">
        <v>0</v>
      </c>
      <c r="N509" t="n">
        <v>0</v>
      </c>
      <c r="O509" t="n">
        <v>0</v>
      </c>
      <c r="P509" t="n">
        <v>0</v>
      </c>
      <c r="Q509" t="n">
        <v>1</v>
      </c>
      <c r="R509" s="2" t="inlineStr">
        <is>
          <t>Svavelriska</t>
        </is>
      </c>
      <c r="S509">
        <f>HYPERLINK("https://klasma.github.io/Logging_2180/artfynd/A 53571-2024 artfynd.xlsx", "A 53571-2024")</f>
        <v/>
      </c>
      <c r="T509">
        <f>HYPERLINK("https://klasma.github.io/Logging_2180/kartor/A 53571-2024 karta.png", "A 53571-2024")</f>
        <v/>
      </c>
      <c r="V509">
        <f>HYPERLINK("https://klasma.github.io/Logging_2180/klagomål/A 53571-2024 FSC-klagomål.docx", "A 53571-2024")</f>
        <v/>
      </c>
      <c r="W509">
        <f>HYPERLINK("https://klasma.github.io/Logging_2180/klagomålsmail/A 53571-2024 FSC-klagomål mail.docx", "A 53571-2024")</f>
        <v/>
      </c>
      <c r="X509">
        <f>HYPERLINK("https://klasma.github.io/Logging_2180/tillsyn/A 53571-2024 tillsynsbegäran.docx", "A 53571-2024")</f>
        <v/>
      </c>
      <c r="Y509">
        <f>HYPERLINK("https://klasma.github.io/Logging_2180/tillsynsmail/A 53571-2024 tillsynsbegäran mail.docx", "A 53571-2024")</f>
        <v/>
      </c>
    </row>
    <row r="510" ht="15" customHeight="1">
      <c r="A510" t="inlineStr">
        <is>
          <t>A 43163-2025</t>
        </is>
      </c>
      <c r="B510" s="1" t="n">
        <v>45910.36766203704</v>
      </c>
      <c r="C510" s="1" t="n">
        <v>46086</v>
      </c>
      <c r="D510" t="inlineStr">
        <is>
          <t>GÄVLEBORGS LÄN</t>
        </is>
      </c>
      <c r="E510" t="inlineStr">
        <is>
          <t>HUDIKSVALL</t>
        </is>
      </c>
      <c r="F510" t="inlineStr">
        <is>
          <t>Holmen skog AB</t>
        </is>
      </c>
      <c r="G510" t="n">
        <v>2.7</v>
      </c>
      <c r="H510" t="n">
        <v>0</v>
      </c>
      <c r="I510" t="n">
        <v>1</v>
      </c>
      <c r="J510" t="n">
        <v>0</v>
      </c>
      <c r="K510" t="n">
        <v>0</v>
      </c>
      <c r="L510" t="n">
        <v>0</v>
      </c>
      <c r="M510" t="n">
        <v>0</v>
      </c>
      <c r="N510" t="n">
        <v>0</v>
      </c>
      <c r="O510" t="n">
        <v>0</v>
      </c>
      <c r="P510" t="n">
        <v>0</v>
      </c>
      <c r="Q510" t="n">
        <v>1</v>
      </c>
      <c r="R510" s="2" t="inlineStr">
        <is>
          <t>Skogshakmossa</t>
        </is>
      </c>
      <c r="S510">
        <f>HYPERLINK("https://klasma.github.io/Logging_2184/artfynd/A 43163-2025 artfynd.xlsx", "A 43163-2025")</f>
        <v/>
      </c>
      <c r="T510">
        <f>HYPERLINK("https://klasma.github.io/Logging_2184/kartor/A 43163-2025 karta.png", "A 43163-2025")</f>
        <v/>
      </c>
      <c r="V510">
        <f>HYPERLINK("https://klasma.github.io/Logging_2184/klagomål/A 43163-2025 FSC-klagomål.docx", "A 43163-2025")</f>
        <v/>
      </c>
      <c r="W510">
        <f>HYPERLINK("https://klasma.github.io/Logging_2184/klagomålsmail/A 43163-2025 FSC-klagomål mail.docx", "A 43163-2025")</f>
        <v/>
      </c>
      <c r="X510">
        <f>HYPERLINK("https://klasma.github.io/Logging_2184/tillsyn/A 43163-2025 tillsynsbegäran.docx", "A 43163-2025")</f>
        <v/>
      </c>
      <c r="Y510">
        <f>HYPERLINK("https://klasma.github.io/Logging_2184/tillsynsmail/A 43163-2025 tillsynsbegäran mail.docx", "A 43163-2025")</f>
        <v/>
      </c>
    </row>
    <row r="511" ht="15" customHeight="1">
      <c r="A511" t="inlineStr">
        <is>
          <t>A 8490-2026</t>
        </is>
      </c>
      <c r="B511" s="1" t="n">
        <v>46065</v>
      </c>
      <c r="C511" s="1" t="n">
        <v>46086</v>
      </c>
      <c r="D511" t="inlineStr">
        <is>
          <t>GÄVLEBORGS LÄN</t>
        </is>
      </c>
      <c r="E511" t="inlineStr">
        <is>
          <t>OCKELBO</t>
        </is>
      </c>
      <c r="F511" t="inlineStr">
        <is>
          <t>Bergvik skog väst AB</t>
        </is>
      </c>
      <c r="G511" t="n">
        <v>13.6</v>
      </c>
      <c r="H511" t="n">
        <v>1</v>
      </c>
      <c r="I511" t="n">
        <v>0</v>
      </c>
      <c r="J511" t="n">
        <v>0</v>
      </c>
      <c r="K511" t="n">
        <v>0</v>
      </c>
      <c r="L511" t="n">
        <v>0</v>
      </c>
      <c r="M511" t="n">
        <v>0</v>
      </c>
      <c r="N511" t="n">
        <v>0</v>
      </c>
      <c r="O511" t="n">
        <v>0</v>
      </c>
      <c r="P511" t="n">
        <v>0</v>
      </c>
      <c r="Q511" t="n">
        <v>1</v>
      </c>
      <c r="R511" s="2" t="inlineStr">
        <is>
          <t>Revlummer</t>
        </is>
      </c>
      <c r="S511">
        <f>HYPERLINK("https://klasma.github.io/Logging_2101/artfynd/A 8490-2026 artfynd.xlsx", "A 8490-2026")</f>
        <v/>
      </c>
      <c r="T511">
        <f>HYPERLINK("https://klasma.github.io/Logging_2101/kartor/A 8490-2026 karta.png", "A 8490-2026")</f>
        <v/>
      </c>
      <c r="V511">
        <f>HYPERLINK("https://klasma.github.io/Logging_2101/klagomål/A 8490-2026 FSC-klagomål.docx", "A 8490-2026")</f>
        <v/>
      </c>
      <c r="W511">
        <f>HYPERLINK("https://klasma.github.io/Logging_2101/klagomålsmail/A 8490-2026 FSC-klagomål mail.docx", "A 8490-2026")</f>
        <v/>
      </c>
      <c r="X511">
        <f>HYPERLINK("https://klasma.github.io/Logging_2101/tillsyn/A 8490-2026 tillsynsbegäran.docx", "A 8490-2026")</f>
        <v/>
      </c>
      <c r="Y511">
        <f>HYPERLINK("https://klasma.github.io/Logging_2101/tillsynsmail/A 8490-2026 tillsynsbegäran mail.docx", "A 8490-2026")</f>
        <v/>
      </c>
    </row>
    <row r="512" ht="15" customHeight="1">
      <c r="A512" t="inlineStr">
        <is>
          <t>A 38495-2025</t>
        </is>
      </c>
      <c r="B512" s="1" t="n">
        <v>45884.36899305556</v>
      </c>
      <c r="C512" s="1" t="n">
        <v>46086</v>
      </c>
      <c r="D512" t="inlineStr">
        <is>
          <t>GÄVLEBORGS LÄN</t>
        </is>
      </c>
      <c r="E512" t="inlineStr">
        <is>
          <t>LJUSDAL</t>
        </is>
      </c>
      <c r="F512" t="inlineStr">
        <is>
          <t>Sveaskog</t>
        </is>
      </c>
      <c r="G512" t="n">
        <v>3.3</v>
      </c>
      <c r="H512" t="n">
        <v>0</v>
      </c>
      <c r="I512" t="n">
        <v>0</v>
      </c>
      <c r="J512" t="n">
        <v>1</v>
      </c>
      <c r="K512" t="n">
        <v>0</v>
      </c>
      <c r="L512" t="n">
        <v>0</v>
      </c>
      <c r="M512" t="n">
        <v>0</v>
      </c>
      <c r="N512" t="n">
        <v>0</v>
      </c>
      <c r="O512" t="n">
        <v>1</v>
      </c>
      <c r="P512" t="n">
        <v>0</v>
      </c>
      <c r="Q512" t="n">
        <v>1</v>
      </c>
      <c r="R512" s="2" t="inlineStr">
        <is>
          <t>Kolflarnlav</t>
        </is>
      </c>
      <c r="S512">
        <f>HYPERLINK("https://klasma.github.io/Logging_2161/artfynd/A 38495-2025 artfynd.xlsx", "A 38495-2025")</f>
        <v/>
      </c>
      <c r="T512">
        <f>HYPERLINK("https://klasma.github.io/Logging_2161/kartor/A 38495-2025 karta.png", "A 38495-2025")</f>
        <v/>
      </c>
      <c r="V512">
        <f>HYPERLINK("https://klasma.github.io/Logging_2161/klagomål/A 38495-2025 FSC-klagomål.docx", "A 38495-2025")</f>
        <v/>
      </c>
      <c r="W512">
        <f>HYPERLINK("https://klasma.github.io/Logging_2161/klagomålsmail/A 38495-2025 FSC-klagomål mail.docx", "A 38495-2025")</f>
        <v/>
      </c>
      <c r="X512">
        <f>HYPERLINK("https://klasma.github.io/Logging_2161/tillsyn/A 38495-2025 tillsynsbegäran.docx", "A 38495-2025")</f>
        <v/>
      </c>
      <c r="Y512">
        <f>HYPERLINK("https://klasma.github.io/Logging_2161/tillsynsmail/A 38495-2025 tillsynsbegäran mail.docx", "A 38495-2025")</f>
        <v/>
      </c>
    </row>
    <row r="513" ht="15" customHeight="1">
      <c r="A513" t="inlineStr">
        <is>
          <t>A 32328-2024</t>
        </is>
      </c>
      <c r="B513" s="1" t="n">
        <v>45512.47659722222</v>
      </c>
      <c r="C513" s="1" t="n">
        <v>46086</v>
      </c>
      <c r="D513" t="inlineStr">
        <is>
          <t>GÄVLEBORGS LÄN</t>
        </is>
      </c>
      <c r="E513" t="inlineStr">
        <is>
          <t>GÄVLE</t>
        </is>
      </c>
      <c r="G513" t="n">
        <v>3.1</v>
      </c>
      <c r="H513" t="n">
        <v>1</v>
      </c>
      <c r="I513" t="n">
        <v>0</v>
      </c>
      <c r="J513" t="n">
        <v>1</v>
      </c>
      <c r="K513" t="n">
        <v>0</v>
      </c>
      <c r="L513" t="n">
        <v>0</v>
      </c>
      <c r="M513" t="n">
        <v>0</v>
      </c>
      <c r="N513" t="n">
        <v>0</v>
      </c>
      <c r="O513" t="n">
        <v>1</v>
      </c>
      <c r="P513" t="n">
        <v>0</v>
      </c>
      <c r="Q513" t="n">
        <v>1</v>
      </c>
      <c r="R513" s="2" t="inlineStr">
        <is>
          <t>Spillkråka</t>
        </is>
      </c>
      <c r="S513">
        <f>HYPERLINK("https://klasma.github.io/Logging_2180/artfynd/A 32328-2024 artfynd.xlsx", "A 32328-2024")</f>
        <v/>
      </c>
      <c r="T513">
        <f>HYPERLINK("https://klasma.github.io/Logging_2180/kartor/A 32328-2024 karta.png", "A 32328-2024")</f>
        <v/>
      </c>
      <c r="V513">
        <f>HYPERLINK("https://klasma.github.io/Logging_2180/klagomål/A 32328-2024 FSC-klagomål.docx", "A 32328-2024")</f>
        <v/>
      </c>
      <c r="W513">
        <f>HYPERLINK("https://klasma.github.io/Logging_2180/klagomålsmail/A 32328-2024 FSC-klagomål mail.docx", "A 32328-2024")</f>
        <v/>
      </c>
      <c r="X513">
        <f>HYPERLINK("https://klasma.github.io/Logging_2180/tillsyn/A 32328-2024 tillsynsbegäran.docx", "A 32328-2024")</f>
        <v/>
      </c>
      <c r="Y513">
        <f>HYPERLINK("https://klasma.github.io/Logging_2180/tillsynsmail/A 32328-2024 tillsynsbegäran mail.docx", "A 32328-2024")</f>
        <v/>
      </c>
      <c r="Z513">
        <f>HYPERLINK("https://klasma.github.io/Logging_2180/fåglar/A 32328-2024 prioriterade fågelarter.docx", "A 32328-2024")</f>
        <v/>
      </c>
    </row>
    <row r="514" ht="15" customHeight="1">
      <c r="A514" t="inlineStr">
        <is>
          <t>A 45427-2023</t>
        </is>
      </c>
      <c r="B514" s="1" t="n">
        <v>45194.3671875</v>
      </c>
      <c r="C514" s="1" t="n">
        <v>46086</v>
      </c>
      <c r="D514" t="inlineStr">
        <is>
          <t>GÄVLEBORGS LÄN</t>
        </is>
      </c>
      <c r="E514" t="inlineStr">
        <is>
          <t>SANDVIKEN</t>
        </is>
      </c>
      <c r="F514" t="inlineStr">
        <is>
          <t>Bergvik skog öst AB</t>
        </is>
      </c>
      <c r="G514" t="n">
        <v>3.5</v>
      </c>
      <c r="H514" t="n">
        <v>1</v>
      </c>
      <c r="I514" t="n">
        <v>0</v>
      </c>
      <c r="J514" t="n">
        <v>0</v>
      </c>
      <c r="K514" t="n">
        <v>0</v>
      </c>
      <c r="L514" t="n">
        <v>0</v>
      </c>
      <c r="M514" t="n">
        <v>0</v>
      </c>
      <c r="N514" t="n">
        <v>0</v>
      </c>
      <c r="O514" t="n">
        <v>0</v>
      </c>
      <c r="P514" t="n">
        <v>0</v>
      </c>
      <c r="Q514" t="n">
        <v>1</v>
      </c>
      <c r="R514" s="2" t="inlineStr">
        <is>
          <t>Mattlummer</t>
        </is>
      </c>
      <c r="S514">
        <f>HYPERLINK("https://klasma.github.io/Logging_2181/artfynd/A 45427-2023 artfynd.xlsx", "A 45427-2023")</f>
        <v/>
      </c>
      <c r="T514">
        <f>HYPERLINK("https://klasma.github.io/Logging_2181/kartor/A 45427-2023 karta.png", "A 45427-2023")</f>
        <v/>
      </c>
      <c r="V514">
        <f>HYPERLINK("https://klasma.github.io/Logging_2181/klagomål/A 45427-2023 FSC-klagomål.docx", "A 45427-2023")</f>
        <v/>
      </c>
      <c r="W514">
        <f>HYPERLINK("https://klasma.github.io/Logging_2181/klagomålsmail/A 45427-2023 FSC-klagomål mail.docx", "A 45427-2023")</f>
        <v/>
      </c>
      <c r="X514">
        <f>HYPERLINK("https://klasma.github.io/Logging_2181/tillsyn/A 45427-2023 tillsynsbegäran.docx", "A 45427-2023")</f>
        <v/>
      </c>
      <c r="Y514">
        <f>HYPERLINK("https://klasma.github.io/Logging_2181/tillsynsmail/A 45427-2023 tillsynsbegäran mail.docx", "A 45427-2023")</f>
        <v/>
      </c>
    </row>
    <row r="515" ht="15" customHeight="1">
      <c r="A515" t="inlineStr">
        <is>
          <t>A 18967-2025</t>
        </is>
      </c>
      <c r="B515" s="1" t="n">
        <v>45764.53628472222</v>
      </c>
      <c r="C515" s="1" t="n">
        <v>46086</v>
      </c>
      <c r="D515" t="inlineStr">
        <is>
          <t>GÄVLEBORGS LÄN</t>
        </is>
      </c>
      <c r="E515" t="inlineStr">
        <is>
          <t>LJUSDAL</t>
        </is>
      </c>
      <c r="F515" t="inlineStr">
        <is>
          <t>Sveaskog</t>
        </is>
      </c>
      <c r="G515" t="n">
        <v>6.8</v>
      </c>
      <c r="H515" t="n">
        <v>0</v>
      </c>
      <c r="I515" t="n">
        <v>0</v>
      </c>
      <c r="J515" t="n">
        <v>1</v>
      </c>
      <c r="K515" t="n">
        <v>0</v>
      </c>
      <c r="L515" t="n">
        <v>0</v>
      </c>
      <c r="M515" t="n">
        <v>0</v>
      </c>
      <c r="N515" t="n">
        <v>0</v>
      </c>
      <c r="O515" t="n">
        <v>1</v>
      </c>
      <c r="P515" t="n">
        <v>0</v>
      </c>
      <c r="Q515" t="n">
        <v>1</v>
      </c>
      <c r="R515" s="2" t="inlineStr">
        <is>
          <t>Lunglav</t>
        </is>
      </c>
      <c r="S515">
        <f>HYPERLINK("https://klasma.github.io/Logging_2161/artfynd/A 18967-2025 artfynd.xlsx", "A 18967-2025")</f>
        <v/>
      </c>
      <c r="T515">
        <f>HYPERLINK("https://klasma.github.io/Logging_2161/kartor/A 18967-2025 karta.png", "A 18967-2025")</f>
        <v/>
      </c>
      <c r="V515">
        <f>HYPERLINK("https://klasma.github.io/Logging_2161/klagomål/A 18967-2025 FSC-klagomål.docx", "A 18967-2025")</f>
        <v/>
      </c>
      <c r="W515">
        <f>HYPERLINK("https://klasma.github.io/Logging_2161/klagomålsmail/A 18967-2025 FSC-klagomål mail.docx", "A 18967-2025")</f>
        <v/>
      </c>
      <c r="X515">
        <f>HYPERLINK("https://klasma.github.io/Logging_2161/tillsyn/A 18967-2025 tillsynsbegäran.docx", "A 18967-2025")</f>
        <v/>
      </c>
      <c r="Y515">
        <f>HYPERLINK("https://klasma.github.io/Logging_2161/tillsynsmail/A 18967-2025 tillsynsbegäran mail.docx", "A 18967-2025")</f>
        <v/>
      </c>
    </row>
    <row r="516" ht="15" customHeight="1">
      <c r="A516" t="inlineStr">
        <is>
          <t>A 33933-2025</t>
        </is>
      </c>
      <c r="B516" s="1" t="n">
        <v>45842.63458333333</v>
      </c>
      <c r="C516" s="1" t="n">
        <v>46086</v>
      </c>
      <c r="D516" t="inlineStr">
        <is>
          <t>GÄVLEBORGS LÄN</t>
        </is>
      </c>
      <c r="E516" t="inlineStr">
        <is>
          <t>LJUSDAL</t>
        </is>
      </c>
      <c r="F516" t="inlineStr">
        <is>
          <t>Sveaskog</t>
        </is>
      </c>
      <c r="G516" t="n">
        <v>16.3</v>
      </c>
      <c r="H516" t="n">
        <v>1</v>
      </c>
      <c r="I516" t="n">
        <v>0</v>
      </c>
      <c r="J516" t="n">
        <v>0</v>
      </c>
      <c r="K516" t="n">
        <v>0</v>
      </c>
      <c r="L516" t="n">
        <v>0</v>
      </c>
      <c r="M516" t="n">
        <v>0</v>
      </c>
      <c r="N516" t="n">
        <v>0</v>
      </c>
      <c r="O516" t="n">
        <v>0</v>
      </c>
      <c r="P516" t="n">
        <v>0</v>
      </c>
      <c r="Q516" t="n">
        <v>1</v>
      </c>
      <c r="R516" s="2" t="inlineStr">
        <is>
          <t>Fläcknycklar</t>
        </is>
      </c>
      <c r="S516">
        <f>HYPERLINK("https://klasma.github.io/Logging_2161/artfynd/A 33933-2025 artfynd.xlsx", "A 33933-2025")</f>
        <v/>
      </c>
      <c r="T516">
        <f>HYPERLINK("https://klasma.github.io/Logging_2161/kartor/A 33933-2025 karta.png", "A 33933-2025")</f>
        <v/>
      </c>
      <c r="V516">
        <f>HYPERLINK("https://klasma.github.io/Logging_2161/klagomål/A 33933-2025 FSC-klagomål.docx", "A 33933-2025")</f>
        <v/>
      </c>
      <c r="W516">
        <f>HYPERLINK("https://klasma.github.io/Logging_2161/klagomålsmail/A 33933-2025 FSC-klagomål mail.docx", "A 33933-2025")</f>
        <v/>
      </c>
      <c r="X516">
        <f>HYPERLINK("https://klasma.github.io/Logging_2161/tillsyn/A 33933-2025 tillsynsbegäran.docx", "A 33933-2025")</f>
        <v/>
      </c>
      <c r="Y516">
        <f>HYPERLINK("https://klasma.github.io/Logging_2161/tillsynsmail/A 33933-2025 tillsynsbegäran mail.docx", "A 33933-2025")</f>
        <v/>
      </c>
    </row>
    <row r="517" ht="15" customHeight="1">
      <c r="A517" t="inlineStr">
        <is>
          <t>A 2871-2026</t>
        </is>
      </c>
      <c r="B517" s="1" t="n">
        <v>46038.51030092593</v>
      </c>
      <c r="C517" s="1" t="n">
        <v>46086</v>
      </c>
      <c r="D517" t="inlineStr">
        <is>
          <t>GÄVLEBORGS LÄN</t>
        </is>
      </c>
      <c r="E517" t="inlineStr">
        <is>
          <t>OVANÅKER</t>
        </is>
      </c>
      <c r="G517" t="n">
        <v>1.8</v>
      </c>
      <c r="H517" t="n">
        <v>1</v>
      </c>
      <c r="I517" t="n">
        <v>0</v>
      </c>
      <c r="J517" t="n">
        <v>0</v>
      </c>
      <c r="K517" t="n">
        <v>1</v>
      </c>
      <c r="L517" t="n">
        <v>0</v>
      </c>
      <c r="M517" t="n">
        <v>0</v>
      </c>
      <c r="N517" t="n">
        <v>0</v>
      </c>
      <c r="O517" t="n">
        <v>1</v>
      </c>
      <c r="P517" t="n">
        <v>1</v>
      </c>
      <c r="Q517" t="n">
        <v>1</v>
      </c>
      <c r="R517" s="2" t="inlineStr">
        <is>
          <t>Knärot</t>
        </is>
      </c>
      <c r="S517">
        <f>HYPERLINK("https://klasma.github.io/Logging_2121/artfynd/A 2871-2026 artfynd.xlsx", "A 2871-2026")</f>
        <v/>
      </c>
      <c r="T517">
        <f>HYPERLINK("https://klasma.github.io/Logging_2121/kartor/A 2871-2026 karta.png", "A 2871-2026")</f>
        <v/>
      </c>
      <c r="U517">
        <f>HYPERLINK("https://klasma.github.io/Logging_2121/knärot/A 2871-2026 karta knärot.png", "A 2871-2026")</f>
        <v/>
      </c>
      <c r="V517">
        <f>HYPERLINK("https://klasma.github.io/Logging_2121/klagomål/A 2871-2026 FSC-klagomål.docx", "A 2871-2026")</f>
        <v/>
      </c>
      <c r="W517">
        <f>HYPERLINK("https://klasma.github.io/Logging_2121/klagomålsmail/A 2871-2026 FSC-klagomål mail.docx", "A 2871-2026")</f>
        <v/>
      </c>
      <c r="X517">
        <f>HYPERLINK("https://klasma.github.io/Logging_2121/tillsyn/A 2871-2026 tillsynsbegäran.docx", "A 2871-2026")</f>
        <v/>
      </c>
      <c r="Y517">
        <f>HYPERLINK("https://klasma.github.io/Logging_2121/tillsynsmail/A 2871-2026 tillsynsbegäran mail.docx", "A 2871-2026")</f>
        <v/>
      </c>
    </row>
    <row r="518" ht="15" customHeight="1">
      <c r="A518" t="inlineStr">
        <is>
          <t>A 34343-2025</t>
        </is>
      </c>
      <c r="B518" s="1" t="n">
        <v>45846.46173611111</v>
      </c>
      <c r="C518" s="1" t="n">
        <v>46086</v>
      </c>
      <c r="D518" t="inlineStr">
        <is>
          <t>GÄVLEBORGS LÄN</t>
        </is>
      </c>
      <c r="E518" t="inlineStr">
        <is>
          <t>LJUSDAL</t>
        </is>
      </c>
      <c r="F518" t="inlineStr">
        <is>
          <t>Bergvik skog väst AB</t>
        </is>
      </c>
      <c r="G518" t="n">
        <v>4.3</v>
      </c>
      <c r="H518" t="n">
        <v>0</v>
      </c>
      <c r="I518" t="n">
        <v>0</v>
      </c>
      <c r="J518" t="n">
        <v>1</v>
      </c>
      <c r="K518" t="n">
        <v>0</v>
      </c>
      <c r="L518" t="n">
        <v>0</v>
      </c>
      <c r="M518" t="n">
        <v>0</v>
      </c>
      <c r="N518" t="n">
        <v>0</v>
      </c>
      <c r="O518" t="n">
        <v>1</v>
      </c>
      <c r="P518" t="n">
        <v>0</v>
      </c>
      <c r="Q518" t="n">
        <v>1</v>
      </c>
      <c r="R518" s="2" t="inlineStr">
        <is>
          <t>Garnlav</t>
        </is>
      </c>
      <c r="S518">
        <f>HYPERLINK("https://klasma.github.io/Logging_2161/artfynd/A 34343-2025 artfynd.xlsx", "A 34343-2025")</f>
        <v/>
      </c>
      <c r="T518">
        <f>HYPERLINK("https://klasma.github.io/Logging_2161/kartor/A 34343-2025 karta.png", "A 34343-2025")</f>
        <v/>
      </c>
      <c r="V518">
        <f>HYPERLINK("https://klasma.github.io/Logging_2161/klagomål/A 34343-2025 FSC-klagomål.docx", "A 34343-2025")</f>
        <v/>
      </c>
      <c r="W518">
        <f>HYPERLINK("https://klasma.github.io/Logging_2161/klagomålsmail/A 34343-2025 FSC-klagomål mail.docx", "A 34343-2025")</f>
        <v/>
      </c>
      <c r="X518">
        <f>HYPERLINK("https://klasma.github.io/Logging_2161/tillsyn/A 34343-2025 tillsynsbegäran.docx", "A 34343-2025")</f>
        <v/>
      </c>
      <c r="Y518">
        <f>HYPERLINK("https://klasma.github.io/Logging_2161/tillsynsmail/A 34343-2025 tillsynsbegäran mail.docx", "A 34343-2025")</f>
        <v/>
      </c>
    </row>
    <row r="519" ht="15" customHeight="1">
      <c r="A519" t="inlineStr">
        <is>
          <t>A 11088-2026</t>
        </is>
      </c>
      <c r="B519" s="1" t="n">
        <v>46079.62914351852</v>
      </c>
      <c r="C519" s="1" t="n">
        <v>46086</v>
      </c>
      <c r="D519" t="inlineStr">
        <is>
          <t>GÄVLEBORGS LÄN</t>
        </is>
      </c>
      <c r="E519" t="inlineStr">
        <is>
          <t>GÄVLE</t>
        </is>
      </c>
      <c r="F519" t="inlineStr">
        <is>
          <t>Kommuner</t>
        </is>
      </c>
      <c r="G519" t="n">
        <v>3.8</v>
      </c>
      <c r="H519" t="n">
        <v>1</v>
      </c>
      <c r="I519" t="n">
        <v>0</v>
      </c>
      <c r="J519" t="n">
        <v>1</v>
      </c>
      <c r="K519" t="n">
        <v>0</v>
      </c>
      <c r="L519" t="n">
        <v>0</v>
      </c>
      <c r="M519" t="n">
        <v>0</v>
      </c>
      <c r="N519" t="n">
        <v>0</v>
      </c>
      <c r="O519" t="n">
        <v>1</v>
      </c>
      <c r="P519" t="n">
        <v>0</v>
      </c>
      <c r="Q519" t="n">
        <v>1</v>
      </c>
      <c r="R519" s="2" t="inlineStr">
        <is>
          <t>Rödvingetrast</t>
        </is>
      </c>
      <c r="S519">
        <f>HYPERLINK("https://klasma.github.io/Logging_2180/artfynd/A 11088-2026 artfynd.xlsx", "A 11088-2026")</f>
        <v/>
      </c>
      <c r="T519">
        <f>HYPERLINK("https://klasma.github.io/Logging_2180/kartor/A 11088-2026 karta.png", "A 11088-2026")</f>
        <v/>
      </c>
      <c r="V519">
        <f>HYPERLINK("https://klasma.github.io/Logging_2180/klagomål/A 11088-2026 FSC-klagomål.docx", "A 11088-2026")</f>
        <v/>
      </c>
      <c r="W519">
        <f>HYPERLINK("https://klasma.github.io/Logging_2180/klagomålsmail/A 11088-2026 FSC-klagomål mail.docx", "A 11088-2026")</f>
        <v/>
      </c>
      <c r="X519">
        <f>HYPERLINK("https://klasma.github.io/Logging_2180/tillsyn/A 11088-2026 tillsynsbegäran.docx", "A 11088-2026")</f>
        <v/>
      </c>
      <c r="Y519">
        <f>HYPERLINK("https://klasma.github.io/Logging_2180/tillsynsmail/A 11088-2026 tillsynsbegäran mail.docx", "A 11088-2026")</f>
        <v/>
      </c>
      <c r="Z519">
        <f>HYPERLINK("https://klasma.github.io/Logging_2180/fåglar/A 11088-2026 prioriterade fågelarter.docx", "A 11088-2026")</f>
        <v/>
      </c>
    </row>
    <row r="520" ht="15" customHeight="1">
      <c r="A520" t="inlineStr">
        <is>
          <t>A 2878-2026</t>
        </is>
      </c>
      <c r="B520" s="1" t="n">
        <v>46038.53079861111</v>
      </c>
      <c r="C520" s="1" t="n">
        <v>46086</v>
      </c>
      <c r="D520" t="inlineStr">
        <is>
          <t>GÄVLEBORGS LÄN</t>
        </is>
      </c>
      <c r="E520" t="inlineStr">
        <is>
          <t>NORDANSTIG</t>
        </is>
      </c>
      <c r="G520" t="n">
        <v>3.4</v>
      </c>
      <c r="H520" t="n">
        <v>1</v>
      </c>
      <c r="I520" t="n">
        <v>0</v>
      </c>
      <c r="J520" t="n">
        <v>1</v>
      </c>
      <c r="K520" t="n">
        <v>0</v>
      </c>
      <c r="L520" t="n">
        <v>0</v>
      </c>
      <c r="M520" t="n">
        <v>0</v>
      </c>
      <c r="N520" t="n">
        <v>0</v>
      </c>
      <c r="O520" t="n">
        <v>1</v>
      </c>
      <c r="P520" t="n">
        <v>0</v>
      </c>
      <c r="Q520" t="n">
        <v>1</v>
      </c>
      <c r="R520" s="2" t="inlineStr">
        <is>
          <t>Mindre hackspett</t>
        </is>
      </c>
      <c r="S520">
        <f>HYPERLINK("https://klasma.github.io/Logging_2132/artfynd/A 2878-2026 artfynd.xlsx", "A 2878-2026")</f>
        <v/>
      </c>
      <c r="T520">
        <f>HYPERLINK("https://klasma.github.io/Logging_2132/kartor/A 2878-2026 karta.png", "A 2878-2026")</f>
        <v/>
      </c>
      <c r="V520">
        <f>HYPERLINK("https://klasma.github.io/Logging_2132/klagomål/A 2878-2026 FSC-klagomål.docx", "A 2878-2026")</f>
        <v/>
      </c>
      <c r="W520">
        <f>HYPERLINK("https://klasma.github.io/Logging_2132/klagomålsmail/A 2878-2026 FSC-klagomål mail.docx", "A 2878-2026")</f>
        <v/>
      </c>
      <c r="X520">
        <f>HYPERLINK("https://klasma.github.io/Logging_2132/tillsyn/A 2878-2026 tillsynsbegäran.docx", "A 2878-2026")</f>
        <v/>
      </c>
      <c r="Y520">
        <f>HYPERLINK("https://klasma.github.io/Logging_2132/tillsynsmail/A 2878-2026 tillsynsbegäran mail.docx", "A 2878-2026")</f>
        <v/>
      </c>
      <c r="Z520">
        <f>HYPERLINK("https://klasma.github.io/Logging_2132/fåglar/A 2878-2026 prioriterade fågelarter.docx", "A 2878-2026")</f>
        <v/>
      </c>
    </row>
    <row r="521" ht="15" customHeight="1">
      <c r="A521" t="inlineStr">
        <is>
          <t>A 3134-2026</t>
        </is>
      </c>
      <c r="B521" s="1" t="n">
        <v>46041.39402777778</v>
      </c>
      <c r="C521" s="1" t="n">
        <v>46086</v>
      </c>
      <c r="D521" t="inlineStr">
        <is>
          <t>GÄVLEBORGS LÄN</t>
        </is>
      </c>
      <c r="E521" t="inlineStr">
        <is>
          <t>HUDIKSVALL</t>
        </is>
      </c>
      <c r="G521" t="n">
        <v>20.5</v>
      </c>
      <c r="H521" t="n">
        <v>0</v>
      </c>
      <c r="I521" t="n">
        <v>0</v>
      </c>
      <c r="J521" t="n">
        <v>1</v>
      </c>
      <c r="K521" t="n">
        <v>0</v>
      </c>
      <c r="L521" t="n">
        <v>0</v>
      </c>
      <c r="M521" t="n">
        <v>0</v>
      </c>
      <c r="N521" t="n">
        <v>0</v>
      </c>
      <c r="O521" t="n">
        <v>1</v>
      </c>
      <c r="P521" t="n">
        <v>0</v>
      </c>
      <c r="Q521" t="n">
        <v>1</v>
      </c>
      <c r="R521" s="2" t="inlineStr">
        <is>
          <t>Reliktbock</t>
        </is>
      </c>
      <c r="S521">
        <f>HYPERLINK("https://klasma.github.io/Logging_2184/artfynd/A 3134-2026 artfynd.xlsx", "A 3134-2026")</f>
        <v/>
      </c>
      <c r="T521">
        <f>HYPERLINK("https://klasma.github.io/Logging_2184/kartor/A 3134-2026 karta.png", "A 3134-2026")</f>
        <v/>
      </c>
      <c r="V521">
        <f>HYPERLINK("https://klasma.github.io/Logging_2184/klagomål/A 3134-2026 FSC-klagomål.docx", "A 3134-2026")</f>
        <v/>
      </c>
      <c r="W521">
        <f>HYPERLINK("https://klasma.github.io/Logging_2184/klagomålsmail/A 3134-2026 FSC-klagomål mail.docx", "A 3134-2026")</f>
        <v/>
      </c>
      <c r="X521">
        <f>HYPERLINK("https://klasma.github.io/Logging_2184/tillsyn/A 3134-2026 tillsynsbegäran.docx", "A 3134-2026")</f>
        <v/>
      </c>
      <c r="Y521">
        <f>HYPERLINK("https://klasma.github.io/Logging_2184/tillsynsmail/A 3134-2026 tillsynsbegäran mail.docx", "A 3134-2026")</f>
        <v/>
      </c>
    </row>
    <row r="522" ht="15" customHeight="1">
      <c r="A522" t="inlineStr">
        <is>
          <t>A 41258-2022</t>
        </is>
      </c>
      <c r="B522" s="1" t="n">
        <v>44826</v>
      </c>
      <c r="C522" s="1" t="n">
        <v>46086</v>
      </c>
      <c r="D522" t="inlineStr">
        <is>
          <t>GÄVLEBORGS LÄN</t>
        </is>
      </c>
      <c r="E522" t="inlineStr">
        <is>
          <t>SÖDERHAMN</t>
        </is>
      </c>
      <c r="G522" t="n">
        <v>0.8</v>
      </c>
      <c r="H522" t="n">
        <v>0</v>
      </c>
      <c r="I522" t="n">
        <v>0</v>
      </c>
      <c r="J522" t="n">
        <v>1</v>
      </c>
      <c r="K522" t="n">
        <v>0</v>
      </c>
      <c r="L522" t="n">
        <v>0</v>
      </c>
      <c r="M522" t="n">
        <v>0</v>
      </c>
      <c r="N522" t="n">
        <v>0</v>
      </c>
      <c r="O522" t="n">
        <v>1</v>
      </c>
      <c r="P522" t="n">
        <v>0</v>
      </c>
      <c r="Q522" t="n">
        <v>1</v>
      </c>
      <c r="R522" s="2" t="inlineStr">
        <is>
          <t>Rosenticka</t>
        </is>
      </c>
      <c r="S522">
        <f>HYPERLINK("https://klasma.github.io/Logging_2182/artfynd/A 41258-2022 artfynd.xlsx", "A 41258-2022")</f>
        <v/>
      </c>
      <c r="T522">
        <f>HYPERLINK("https://klasma.github.io/Logging_2182/kartor/A 41258-2022 karta.png", "A 41258-2022")</f>
        <v/>
      </c>
      <c r="V522">
        <f>HYPERLINK("https://klasma.github.io/Logging_2182/klagomål/A 41258-2022 FSC-klagomål.docx", "A 41258-2022")</f>
        <v/>
      </c>
      <c r="W522">
        <f>HYPERLINK("https://klasma.github.io/Logging_2182/klagomålsmail/A 41258-2022 FSC-klagomål mail.docx", "A 41258-2022")</f>
        <v/>
      </c>
      <c r="X522">
        <f>HYPERLINK("https://klasma.github.io/Logging_2182/tillsyn/A 41258-2022 tillsynsbegäran.docx", "A 41258-2022")</f>
        <v/>
      </c>
      <c r="Y522">
        <f>HYPERLINK("https://klasma.github.io/Logging_2182/tillsynsmail/A 41258-2022 tillsynsbegäran mail.docx", "A 41258-2022")</f>
        <v/>
      </c>
    </row>
    <row r="523" ht="15" customHeight="1">
      <c r="A523" t="inlineStr">
        <is>
          <t>A 58239-2024</t>
        </is>
      </c>
      <c r="B523" s="1" t="n">
        <v>45632.54140046296</v>
      </c>
      <c r="C523" s="1" t="n">
        <v>46086</v>
      </c>
      <c r="D523" t="inlineStr">
        <is>
          <t>GÄVLEBORGS LÄN</t>
        </is>
      </c>
      <c r="E523" t="inlineStr">
        <is>
          <t>HUDIKSVALL</t>
        </is>
      </c>
      <c r="F523" t="inlineStr">
        <is>
          <t>Holmen skog AB</t>
        </is>
      </c>
      <c r="G523" t="n">
        <v>4.3</v>
      </c>
      <c r="H523" t="n">
        <v>1</v>
      </c>
      <c r="I523" t="n">
        <v>0</v>
      </c>
      <c r="J523" t="n">
        <v>1</v>
      </c>
      <c r="K523" t="n">
        <v>0</v>
      </c>
      <c r="L523" t="n">
        <v>0</v>
      </c>
      <c r="M523" t="n">
        <v>0</v>
      </c>
      <c r="N523" t="n">
        <v>0</v>
      </c>
      <c r="O523" t="n">
        <v>1</v>
      </c>
      <c r="P523" t="n">
        <v>0</v>
      </c>
      <c r="Q523" t="n">
        <v>1</v>
      </c>
      <c r="R523" s="2" t="inlineStr">
        <is>
          <t>Kungsörn</t>
        </is>
      </c>
      <c r="S523">
        <f>HYPERLINK("https://klasma.github.io/Logging_2184/artfynd/A 58239-2024 artfynd.xlsx", "A 58239-2024")</f>
        <v/>
      </c>
      <c r="T523">
        <f>HYPERLINK("https://klasma.github.io/Logging_2184/kartor/A 58239-2024 karta.png", "A 58239-2024")</f>
        <v/>
      </c>
      <c r="V523">
        <f>HYPERLINK("https://klasma.github.io/Logging_2184/klagomål/A 58239-2024 FSC-klagomål.docx", "A 58239-2024")</f>
        <v/>
      </c>
      <c r="W523">
        <f>HYPERLINK("https://klasma.github.io/Logging_2184/klagomålsmail/A 58239-2024 FSC-klagomål mail.docx", "A 58239-2024")</f>
        <v/>
      </c>
      <c r="X523">
        <f>HYPERLINK("https://klasma.github.io/Logging_2184/tillsyn/A 58239-2024 tillsynsbegäran.docx", "A 58239-2024")</f>
        <v/>
      </c>
      <c r="Y523">
        <f>HYPERLINK("https://klasma.github.io/Logging_2184/tillsynsmail/A 58239-2024 tillsynsbegäran mail.docx", "A 58239-2024")</f>
        <v/>
      </c>
      <c r="Z523">
        <f>HYPERLINK("https://klasma.github.io/Logging_2184/fåglar/A 58239-2024 prioriterade fågelarter.docx", "A 58239-2024")</f>
        <v/>
      </c>
    </row>
    <row r="524" ht="15" customHeight="1">
      <c r="A524" t="inlineStr">
        <is>
          <t>A 44835-2025</t>
        </is>
      </c>
      <c r="B524" s="1" t="n">
        <v>45918.41619212963</v>
      </c>
      <c r="C524" s="1" t="n">
        <v>46086</v>
      </c>
      <c r="D524" t="inlineStr">
        <is>
          <t>GÄVLEBORGS LÄN</t>
        </is>
      </c>
      <c r="E524" t="inlineStr">
        <is>
          <t>LJUSDAL</t>
        </is>
      </c>
      <c r="F524" t="inlineStr">
        <is>
          <t>Sveaskog</t>
        </is>
      </c>
      <c r="G524" t="n">
        <v>7.7</v>
      </c>
      <c r="H524" t="n">
        <v>0</v>
      </c>
      <c r="I524" t="n">
        <v>1</v>
      </c>
      <c r="J524" t="n">
        <v>0</v>
      </c>
      <c r="K524" t="n">
        <v>0</v>
      </c>
      <c r="L524" t="n">
        <v>0</v>
      </c>
      <c r="M524" t="n">
        <v>0</v>
      </c>
      <c r="N524" t="n">
        <v>0</v>
      </c>
      <c r="O524" t="n">
        <v>0</v>
      </c>
      <c r="P524" t="n">
        <v>0</v>
      </c>
      <c r="Q524" t="n">
        <v>1</v>
      </c>
      <c r="R524" s="2" t="inlineStr">
        <is>
          <t>Skarp dropptaggsvamp</t>
        </is>
      </c>
      <c r="S524">
        <f>HYPERLINK("https://klasma.github.io/Logging_2161/artfynd/A 44835-2025 artfynd.xlsx", "A 44835-2025")</f>
        <v/>
      </c>
      <c r="T524">
        <f>HYPERLINK("https://klasma.github.io/Logging_2161/kartor/A 44835-2025 karta.png", "A 44835-2025")</f>
        <v/>
      </c>
      <c r="V524">
        <f>HYPERLINK("https://klasma.github.io/Logging_2161/klagomål/A 44835-2025 FSC-klagomål.docx", "A 44835-2025")</f>
        <v/>
      </c>
      <c r="W524">
        <f>HYPERLINK("https://klasma.github.io/Logging_2161/klagomålsmail/A 44835-2025 FSC-klagomål mail.docx", "A 44835-2025")</f>
        <v/>
      </c>
      <c r="X524">
        <f>HYPERLINK("https://klasma.github.io/Logging_2161/tillsyn/A 44835-2025 tillsynsbegäran.docx", "A 44835-2025")</f>
        <v/>
      </c>
      <c r="Y524">
        <f>HYPERLINK("https://klasma.github.io/Logging_2161/tillsynsmail/A 44835-2025 tillsynsbegäran mail.docx", "A 44835-2025")</f>
        <v/>
      </c>
    </row>
    <row r="525" ht="15" customHeight="1">
      <c r="A525" t="inlineStr">
        <is>
          <t>A 3731-2026</t>
        </is>
      </c>
      <c r="B525" s="1" t="n">
        <v>46043</v>
      </c>
      <c r="C525" s="1" t="n">
        <v>46086</v>
      </c>
      <c r="D525" t="inlineStr">
        <is>
          <t>GÄVLEBORGS LÄN</t>
        </is>
      </c>
      <c r="E525" t="inlineStr">
        <is>
          <t>SÖDERHAMN</t>
        </is>
      </c>
      <c r="G525" t="n">
        <v>4.6</v>
      </c>
      <c r="H525" t="n">
        <v>0</v>
      </c>
      <c r="I525" t="n">
        <v>1</v>
      </c>
      <c r="J525" t="n">
        <v>0</v>
      </c>
      <c r="K525" t="n">
        <v>0</v>
      </c>
      <c r="L525" t="n">
        <v>0</v>
      </c>
      <c r="M525" t="n">
        <v>0</v>
      </c>
      <c r="N525" t="n">
        <v>0</v>
      </c>
      <c r="O525" t="n">
        <v>0</v>
      </c>
      <c r="P525" t="n">
        <v>0</v>
      </c>
      <c r="Q525" t="n">
        <v>1</v>
      </c>
      <c r="R525" s="2" t="inlineStr">
        <is>
          <t>Scharlakansskål</t>
        </is>
      </c>
      <c r="S525">
        <f>HYPERLINK("https://klasma.github.io/Logging_2182/artfynd/A 3731-2026 artfynd.xlsx", "A 3731-2026")</f>
        <v/>
      </c>
      <c r="T525">
        <f>HYPERLINK("https://klasma.github.io/Logging_2182/kartor/A 3731-2026 karta.png", "A 3731-2026")</f>
        <v/>
      </c>
      <c r="V525">
        <f>HYPERLINK("https://klasma.github.io/Logging_2182/klagomål/A 3731-2026 FSC-klagomål.docx", "A 3731-2026")</f>
        <v/>
      </c>
      <c r="W525">
        <f>HYPERLINK("https://klasma.github.io/Logging_2182/klagomålsmail/A 3731-2026 FSC-klagomål mail.docx", "A 3731-2026")</f>
        <v/>
      </c>
      <c r="X525">
        <f>HYPERLINK("https://klasma.github.io/Logging_2182/tillsyn/A 3731-2026 tillsynsbegäran.docx", "A 3731-2026")</f>
        <v/>
      </c>
      <c r="Y525">
        <f>HYPERLINK("https://klasma.github.io/Logging_2182/tillsynsmail/A 3731-2026 tillsynsbegäran mail.docx", "A 3731-2026")</f>
        <v/>
      </c>
    </row>
    <row r="526" ht="15" customHeight="1">
      <c r="A526" t="inlineStr">
        <is>
          <t>A 30008-2024</t>
        </is>
      </c>
      <c r="B526" s="1" t="n">
        <v>45488.6040162037</v>
      </c>
      <c r="C526" s="1" t="n">
        <v>46086</v>
      </c>
      <c r="D526" t="inlineStr">
        <is>
          <t>GÄVLEBORGS LÄN</t>
        </is>
      </c>
      <c r="E526" t="inlineStr">
        <is>
          <t>HOFORS</t>
        </is>
      </c>
      <c r="F526" t="inlineStr">
        <is>
          <t>Sveaskog</t>
        </is>
      </c>
      <c r="G526" t="n">
        <v>0.8</v>
      </c>
      <c r="H526" t="n">
        <v>0</v>
      </c>
      <c r="I526" t="n">
        <v>1</v>
      </c>
      <c r="J526" t="n">
        <v>0</v>
      </c>
      <c r="K526" t="n">
        <v>0</v>
      </c>
      <c r="L526" t="n">
        <v>0</v>
      </c>
      <c r="M526" t="n">
        <v>0</v>
      </c>
      <c r="N526" t="n">
        <v>0</v>
      </c>
      <c r="O526" t="n">
        <v>0</v>
      </c>
      <c r="P526" t="n">
        <v>0</v>
      </c>
      <c r="Q526" t="n">
        <v>1</v>
      </c>
      <c r="R526" s="2" t="inlineStr">
        <is>
          <t>Tibast</t>
        </is>
      </c>
      <c r="S526">
        <f>HYPERLINK("https://klasma.github.io/Logging_2104/artfynd/A 30008-2024 artfynd.xlsx", "A 30008-2024")</f>
        <v/>
      </c>
      <c r="T526">
        <f>HYPERLINK("https://klasma.github.io/Logging_2104/kartor/A 30008-2024 karta.png", "A 30008-2024")</f>
        <v/>
      </c>
      <c r="V526">
        <f>HYPERLINK("https://klasma.github.io/Logging_2104/klagomål/A 30008-2024 FSC-klagomål.docx", "A 30008-2024")</f>
        <v/>
      </c>
      <c r="W526">
        <f>HYPERLINK("https://klasma.github.io/Logging_2104/klagomålsmail/A 30008-2024 FSC-klagomål mail.docx", "A 30008-2024")</f>
        <v/>
      </c>
      <c r="X526">
        <f>HYPERLINK("https://klasma.github.io/Logging_2104/tillsyn/A 30008-2024 tillsynsbegäran.docx", "A 30008-2024")</f>
        <v/>
      </c>
      <c r="Y526">
        <f>HYPERLINK("https://klasma.github.io/Logging_2104/tillsynsmail/A 30008-2024 tillsynsbegäran mail.docx", "A 30008-2024")</f>
        <v/>
      </c>
    </row>
    <row r="527" ht="15" customHeight="1">
      <c r="A527" t="inlineStr">
        <is>
          <t>A 10112-2026</t>
        </is>
      </c>
      <c r="B527" s="1" t="n">
        <v>46074</v>
      </c>
      <c r="C527" s="1" t="n">
        <v>46086</v>
      </c>
      <c r="D527" t="inlineStr">
        <is>
          <t>GÄVLEBORGS LÄN</t>
        </is>
      </c>
      <c r="E527" t="inlineStr">
        <is>
          <t>SANDVIKEN</t>
        </is>
      </c>
      <c r="F527" t="inlineStr">
        <is>
          <t>Sveaskog</t>
        </is>
      </c>
      <c r="G527" t="n">
        <v>5</v>
      </c>
      <c r="H527" t="n">
        <v>1</v>
      </c>
      <c r="I527" t="n">
        <v>0</v>
      </c>
      <c r="J527" t="n">
        <v>1</v>
      </c>
      <c r="K527" t="n">
        <v>0</v>
      </c>
      <c r="L527" t="n">
        <v>0</v>
      </c>
      <c r="M527" t="n">
        <v>0</v>
      </c>
      <c r="N527" t="n">
        <v>0</v>
      </c>
      <c r="O527" t="n">
        <v>1</v>
      </c>
      <c r="P527" t="n">
        <v>0</v>
      </c>
      <c r="Q527" t="n">
        <v>1</v>
      </c>
      <c r="R527" s="2" t="inlineStr">
        <is>
          <t>Talltita</t>
        </is>
      </c>
      <c r="S527">
        <f>HYPERLINK("https://klasma.github.io/Logging_2181/artfynd/A 10112-2026 artfynd.xlsx", "A 10112-2026")</f>
        <v/>
      </c>
      <c r="T527">
        <f>HYPERLINK("https://klasma.github.io/Logging_2181/kartor/A 10112-2026 karta.png", "A 10112-2026")</f>
        <v/>
      </c>
      <c r="V527">
        <f>HYPERLINK("https://klasma.github.io/Logging_2181/klagomål/A 10112-2026 FSC-klagomål.docx", "A 10112-2026")</f>
        <v/>
      </c>
      <c r="W527">
        <f>HYPERLINK("https://klasma.github.io/Logging_2181/klagomålsmail/A 10112-2026 FSC-klagomål mail.docx", "A 10112-2026")</f>
        <v/>
      </c>
      <c r="X527">
        <f>HYPERLINK("https://klasma.github.io/Logging_2181/tillsyn/A 10112-2026 tillsynsbegäran.docx", "A 10112-2026")</f>
        <v/>
      </c>
      <c r="Y527">
        <f>HYPERLINK("https://klasma.github.io/Logging_2181/tillsynsmail/A 10112-2026 tillsynsbegäran mail.docx", "A 10112-2026")</f>
        <v/>
      </c>
      <c r="Z527">
        <f>HYPERLINK("https://klasma.github.io/Logging_2181/fåglar/A 10112-2026 prioriterade fågelarter.docx", "A 10112-2026")</f>
        <v/>
      </c>
    </row>
    <row r="528" ht="15" customHeight="1">
      <c r="A528" t="inlineStr">
        <is>
          <t>A 3781-2026</t>
        </is>
      </c>
      <c r="B528" s="1" t="n">
        <v>46043.56984953704</v>
      </c>
      <c r="C528" s="1" t="n">
        <v>46086</v>
      </c>
      <c r="D528" t="inlineStr">
        <is>
          <t>GÄVLEBORGS LÄN</t>
        </is>
      </c>
      <c r="E528" t="inlineStr">
        <is>
          <t>NORDANSTIG</t>
        </is>
      </c>
      <c r="G528" t="n">
        <v>31</v>
      </c>
      <c r="H528" t="n">
        <v>1</v>
      </c>
      <c r="I528" t="n">
        <v>0</v>
      </c>
      <c r="J528" t="n">
        <v>0</v>
      </c>
      <c r="K528" t="n">
        <v>0</v>
      </c>
      <c r="L528" t="n">
        <v>0</v>
      </c>
      <c r="M528" t="n">
        <v>0</v>
      </c>
      <c r="N528" t="n">
        <v>0</v>
      </c>
      <c r="O528" t="n">
        <v>0</v>
      </c>
      <c r="P528" t="n">
        <v>0</v>
      </c>
      <c r="Q528" t="n">
        <v>1</v>
      </c>
      <c r="R528" s="2" t="inlineStr">
        <is>
          <t>Fläcknycklar</t>
        </is>
      </c>
      <c r="S528">
        <f>HYPERLINK("https://klasma.github.io/Logging_2132/artfynd/A 3781-2026 artfynd.xlsx", "A 3781-2026")</f>
        <v/>
      </c>
      <c r="T528">
        <f>HYPERLINK("https://klasma.github.io/Logging_2132/kartor/A 3781-2026 karta.png", "A 3781-2026")</f>
        <v/>
      </c>
      <c r="V528">
        <f>HYPERLINK("https://klasma.github.io/Logging_2132/klagomål/A 3781-2026 FSC-klagomål.docx", "A 3781-2026")</f>
        <v/>
      </c>
      <c r="W528">
        <f>HYPERLINK("https://klasma.github.io/Logging_2132/klagomålsmail/A 3781-2026 FSC-klagomål mail.docx", "A 3781-2026")</f>
        <v/>
      </c>
      <c r="X528">
        <f>HYPERLINK("https://klasma.github.io/Logging_2132/tillsyn/A 3781-2026 tillsynsbegäran.docx", "A 3781-2026")</f>
        <v/>
      </c>
      <c r="Y528">
        <f>HYPERLINK("https://klasma.github.io/Logging_2132/tillsynsmail/A 3781-2026 tillsynsbegäran mail.docx", "A 3781-2026")</f>
        <v/>
      </c>
    </row>
    <row r="529" ht="15" customHeight="1">
      <c r="A529" t="inlineStr">
        <is>
          <t>A 11791-2026</t>
        </is>
      </c>
      <c r="B529" s="1" t="n">
        <v>46085.30833333333</v>
      </c>
      <c r="C529" s="1" t="n">
        <v>46086</v>
      </c>
      <c r="D529" t="inlineStr">
        <is>
          <t>GÄVLEBORGS LÄN</t>
        </is>
      </c>
      <c r="E529" t="inlineStr">
        <is>
          <t>SÖDERHAMN</t>
        </is>
      </c>
      <c r="G529" t="n">
        <v>8.1</v>
      </c>
      <c r="H529" t="n">
        <v>1</v>
      </c>
      <c r="I529" t="n">
        <v>0</v>
      </c>
      <c r="J529" t="n">
        <v>0</v>
      </c>
      <c r="K529" t="n">
        <v>0</v>
      </c>
      <c r="L529" t="n">
        <v>0</v>
      </c>
      <c r="M529" t="n">
        <v>0</v>
      </c>
      <c r="N529" t="n">
        <v>0</v>
      </c>
      <c r="O529" t="n">
        <v>0</v>
      </c>
      <c r="P529" t="n">
        <v>0</v>
      </c>
      <c r="Q529" t="n">
        <v>1</v>
      </c>
      <c r="R529" s="2" t="inlineStr">
        <is>
          <t>Fläcknycklar</t>
        </is>
      </c>
      <c r="S529">
        <f>HYPERLINK("https://klasma.github.io/Logging_2182/artfynd/A 11791-2026 artfynd.xlsx", "A 11791-2026")</f>
        <v/>
      </c>
      <c r="T529">
        <f>HYPERLINK("https://klasma.github.io/Logging_2182/kartor/A 11791-2026 karta.png", "A 11791-2026")</f>
        <v/>
      </c>
      <c r="V529">
        <f>HYPERLINK("https://klasma.github.io/Logging_2182/klagomål/A 11791-2026 FSC-klagomål.docx", "A 11791-2026")</f>
        <v/>
      </c>
      <c r="W529">
        <f>HYPERLINK("https://klasma.github.io/Logging_2182/klagomålsmail/A 11791-2026 FSC-klagomål mail.docx", "A 11791-2026")</f>
        <v/>
      </c>
      <c r="X529">
        <f>HYPERLINK("https://klasma.github.io/Logging_2182/tillsyn/A 11791-2026 tillsynsbegäran.docx", "A 11791-2026")</f>
        <v/>
      </c>
      <c r="Y529">
        <f>HYPERLINK("https://klasma.github.io/Logging_2182/tillsynsmail/A 11791-2026 tillsynsbegäran mail.docx", "A 11791-2026")</f>
        <v/>
      </c>
    </row>
    <row r="530" ht="15" customHeight="1">
      <c r="A530" t="inlineStr">
        <is>
          <t>A 10368-2026</t>
        </is>
      </c>
      <c r="B530" s="1" t="n">
        <v>46076.77240740741</v>
      </c>
      <c r="C530" s="1" t="n">
        <v>46086</v>
      </c>
      <c r="D530" t="inlineStr">
        <is>
          <t>GÄVLEBORGS LÄN</t>
        </is>
      </c>
      <c r="E530" t="inlineStr">
        <is>
          <t>HUDIKSVALL</t>
        </is>
      </c>
      <c r="F530" t="inlineStr">
        <is>
          <t>Holmen skog AB</t>
        </is>
      </c>
      <c r="G530" t="n">
        <v>14</v>
      </c>
      <c r="H530" t="n">
        <v>1</v>
      </c>
      <c r="I530" t="n">
        <v>0</v>
      </c>
      <c r="J530" t="n">
        <v>0</v>
      </c>
      <c r="K530" t="n">
        <v>0</v>
      </c>
      <c r="L530" t="n">
        <v>0</v>
      </c>
      <c r="M530" t="n">
        <v>0</v>
      </c>
      <c r="N530" t="n">
        <v>0</v>
      </c>
      <c r="O530" t="n">
        <v>0</v>
      </c>
      <c r="P530" t="n">
        <v>0</v>
      </c>
      <c r="Q530" t="n">
        <v>1</v>
      </c>
      <c r="R530" s="2" t="inlineStr">
        <is>
          <t>Revlummer</t>
        </is>
      </c>
      <c r="S530">
        <f>HYPERLINK("https://klasma.github.io/Logging_2184/artfynd/A 10368-2026 artfynd.xlsx", "A 10368-2026")</f>
        <v/>
      </c>
      <c r="T530">
        <f>HYPERLINK("https://klasma.github.io/Logging_2184/kartor/A 10368-2026 karta.png", "A 10368-2026")</f>
        <v/>
      </c>
      <c r="V530">
        <f>HYPERLINK("https://klasma.github.io/Logging_2184/klagomål/A 10368-2026 FSC-klagomål.docx", "A 10368-2026")</f>
        <v/>
      </c>
      <c r="W530">
        <f>HYPERLINK("https://klasma.github.io/Logging_2184/klagomålsmail/A 10368-2026 FSC-klagomål mail.docx", "A 10368-2026")</f>
        <v/>
      </c>
      <c r="X530">
        <f>HYPERLINK("https://klasma.github.io/Logging_2184/tillsyn/A 10368-2026 tillsynsbegäran.docx", "A 10368-2026")</f>
        <v/>
      </c>
      <c r="Y530">
        <f>HYPERLINK("https://klasma.github.io/Logging_2184/tillsynsmail/A 10368-2026 tillsynsbegäran mail.docx", "A 10368-2026")</f>
        <v/>
      </c>
    </row>
    <row r="531" ht="15" customHeight="1">
      <c r="A531" t="inlineStr">
        <is>
          <t>A 11861-2026</t>
        </is>
      </c>
      <c r="B531" s="1" t="n">
        <v>46085.47364583334</v>
      </c>
      <c r="C531" s="1" t="n">
        <v>46086</v>
      </c>
      <c r="D531" t="inlineStr">
        <is>
          <t>GÄVLEBORGS LÄN</t>
        </is>
      </c>
      <c r="E531" t="inlineStr">
        <is>
          <t>SANDVIKEN</t>
        </is>
      </c>
      <c r="G531" t="n">
        <v>4.9</v>
      </c>
      <c r="H531" t="n">
        <v>1</v>
      </c>
      <c r="I531" t="n">
        <v>0</v>
      </c>
      <c r="J531" t="n">
        <v>0</v>
      </c>
      <c r="K531" t="n">
        <v>0</v>
      </c>
      <c r="L531" t="n">
        <v>0</v>
      </c>
      <c r="M531" t="n">
        <v>0</v>
      </c>
      <c r="N531" t="n">
        <v>0</v>
      </c>
      <c r="O531" t="n">
        <v>0</v>
      </c>
      <c r="P531" t="n">
        <v>0</v>
      </c>
      <c r="Q531" t="n">
        <v>1</v>
      </c>
      <c r="R531" s="2" t="inlineStr">
        <is>
          <t>Mattlummer</t>
        </is>
      </c>
      <c r="S531">
        <f>HYPERLINK("https://klasma.github.io/Logging_2181/artfynd/A 11861-2026 artfynd.xlsx", "A 11861-2026")</f>
        <v/>
      </c>
      <c r="T531">
        <f>HYPERLINK("https://klasma.github.io/Logging_2181/kartor/A 11861-2026 karta.png", "A 11861-2026")</f>
        <v/>
      </c>
      <c r="V531">
        <f>HYPERLINK("https://klasma.github.io/Logging_2181/klagomål/A 11861-2026 FSC-klagomål.docx", "A 11861-2026")</f>
        <v/>
      </c>
      <c r="W531">
        <f>HYPERLINK("https://klasma.github.io/Logging_2181/klagomålsmail/A 11861-2026 FSC-klagomål mail.docx", "A 11861-2026")</f>
        <v/>
      </c>
      <c r="X531">
        <f>HYPERLINK("https://klasma.github.io/Logging_2181/tillsyn/A 11861-2026 tillsynsbegäran.docx", "A 11861-2026")</f>
        <v/>
      </c>
      <c r="Y531">
        <f>HYPERLINK("https://klasma.github.io/Logging_2181/tillsynsmail/A 11861-2026 tillsynsbegäran mail.docx", "A 11861-2026")</f>
        <v/>
      </c>
    </row>
    <row r="532" ht="15" customHeight="1">
      <c r="A532" t="inlineStr">
        <is>
          <t>A 45895-2025</t>
        </is>
      </c>
      <c r="B532" s="1" t="n">
        <v>45923.67833333334</v>
      </c>
      <c r="C532" s="1" t="n">
        <v>46086</v>
      </c>
      <c r="D532" t="inlineStr">
        <is>
          <t>GÄVLEBORGS LÄN</t>
        </is>
      </c>
      <c r="E532" t="inlineStr">
        <is>
          <t>LJUSDAL</t>
        </is>
      </c>
      <c r="F532" t="inlineStr">
        <is>
          <t>Sveaskog</t>
        </is>
      </c>
      <c r="G532" t="n">
        <v>8.199999999999999</v>
      </c>
      <c r="H532" t="n">
        <v>0</v>
      </c>
      <c r="I532" t="n">
        <v>0</v>
      </c>
      <c r="J532" t="n">
        <v>1</v>
      </c>
      <c r="K532" t="n">
        <v>0</v>
      </c>
      <c r="L532" t="n">
        <v>0</v>
      </c>
      <c r="M532" t="n">
        <v>0</v>
      </c>
      <c r="N532" t="n">
        <v>0</v>
      </c>
      <c r="O532" t="n">
        <v>1</v>
      </c>
      <c r="P532" t="n">
        <v>0</v>
      </c>
      <c r="Q532" t="n">
        <v>1</v>
      </c>
      <c r="R532" s="2" t="inlineStr">
        <is>
          <t>Lunglav</t>
        </is>
      </c>
      <c r="S532">
        <f>HYPERLINK("https://klasma.github.io/Logging_2161/artfynd/A 45895-2025 artfynd.xlsx", "A 45895-2025")</f>
        <v/>
      </c>
      <c r="T532">
        <f>HYPERLINK("https://klasma.github.io/Logging_2161/kartor/A 45895-2025 karta.png", "A 45895-2025")</f>
        <v/>
      </c>
      <c r="V532">
        <f>HYPERLINK("https://klasma.github.io/Logging_2161/klagomål/A 45895-2025 FSC-klagomål.docx", "A 45895-2025")</f>
        <v/>
      </c>
      <c r="W532">
        <f>HYPERLINK("https://klasma.github.io/Logging_2161/klagomålsmail/A 45895-2025 FSC-klagomål mail.docx", "A 45895-2025")</f>
        <v/>
      </c>
      <c r="X532">
        <f>HYPERLINK("https://klasma.github.io/Logging_2161/tillsyn/A 45895-2025 tillsynsbegäran.docx", "A 45895-2025")</f>
        <v/>
      </c>
      <c r="Y532">
        <f>HYPERLINK("https://klasma.github.io/Logging_2161/tillsynsmail/A 45895-2025 tillsynsbegäran mail.docx", "A 45895-2025")</f>
        <v/>
      </c>
    </row>
    <row r="533" ht="15" customHeight="1">
      <c r="A533" t="inlineStr">
        <is>
          <t>A 3708-2026</t>
        </is>
      </c>
      <c r="B533" s="1" t="n">
        <v>46043.47832175926</v>
      </c>
      <c r="C533" s="1" t="n">
        <v>46086</v>
      </c>
      <c r="D533" t="inlineStr">
        <is>
          <t>GÄVLEBORGS LÄN</t>
        </is>
      </c>
      <c r="E533" t="inlineStr">
        <is>
          <t>SANDVIKEN</t>
        </is>
      </c>
      <c r="F533" t="inlineStr">
        <is>
          <t>Kommuner</t>
        </is>
      </c>
      <c r="G533" t="n">
        <v>11</v>
      </c>
      <c r="H533" t="n">
        <v>1</v>
      </c>
      <c r="I533" t="n">
        <v>0</v>
      </c>
      <c r="J533" t="n">
        <v>0</v>
      </c>
      <c r="K533" t="n">
        <v>1</v>
      </c>
      <c r="L533" t="n">
        <v>0</v>
      </c>
      <c r="M533" t="n">
        <v>0</v>
      </c>
      <c r="N533" t="n">
        <v>0</v>
      </c>
      <c r="O533" t="n">
        <v>1</v>
      </c>
      <c r="P533" t="n">
        <v>1</v>
      </c>
      <c r="Q533" t="n">
        <v>1</v>
      </c>
      <c r="R533" s="2" t="inlineStr">
        <is>
          <t>Knärot</t>
        </is>
      </c>
      <c r="S533">
        <f>HYPERLINK("https://klasma.github.io/Logging_2181/artfynd/A 3708-2026 artfynd.xlsx", "A 3708-2026")</f>
        <v/>
      </c>
      <c r="T533">
        <f>HYPERLINK("https://klasma.github.io/Logging_2181/kartor/A 3708-2026 karta.png", "A 3708-2026")</f>
        <v/>
      </c>
      <c r="U533">
        <f>HYPERLINK("https://klasma.github.io/Logging_2181/knärot/A 3708-2026 karta knärot.png", "A 3708-2026")</f>
        <v/>
      </c>
      <c r="V533">
        <f>HYPERLINK("https://klasma.github.io/Logging_2181/klagomål/A 3708-2026 FSC-klagomål.docx", "A 3708-2026")</f>
        <v/>
      </c>
      <c r="W533">
        <f>HYPERLINK("https://klasma.github.io/Logging_2181/klagomålsmail/A 3708-2026 FSC-klagomål mail.docx", "A 3708-2026")</f>
        <v/>
      </c>
      <c r="X533">
        <f>HYPERLINK("https://klasma.github.io/Logging_2181/tillsyn/A 3708-2026 tillsynsbegäran.docx", "A 3708-2026")</f>
        <v/>
      </c>
      <c r="Y533">
        <f>HYPERLINK("https://klasma.github.io/Logging_2181/tillsynsmail/A 3708-2026 tillsynsbegäran mail.docx", "A 3708-2026")</f>
        <v/>
      </c>
    </row>
    <row r="534" ht="15" customHeight="1">
      <c r="A534" t="inlineStr">
        <is>
          <t>A 3628-2026</t>
        </is>
      </c>
      <c r="B534" s="1" t="n">
        <v>46043.32724537037</v>
      </c>
      <c r="C534" s="1" t="n">
        <v>46086</v>
      </c>
      <c r="D534" t="inlineStr">
        <is>
          <t>GÄVLEBORGS LÄN</t>
        </is>
      </c>
      <c r="E534" t="inlineStr">
        <is>
          <t>OVANÅKER</t>
        </is>
      </c>
      <c r="G534" t="n">
        <v>20.4</v>
      </c>
      <c r="H534" t="n">
        <v>1</v>
      </c>
      <c r="I534" t="n">
        <v>0</v>
      </c>
      <c r="J534" t="n">
        <v>0</v>
      </c>
      <c r="K534" t="n">
        <v>0</v>
      </c>
      <c r="L534" t="n">
        <v>0</v>
      </c>
      <c r="M534" t="n">
        <v>0</v>
      </c>
      <c r="N534" t="n">
        <v>0</v>
      </c>
      <c r="O534" t="n">
        <v>0</v>
      </c>
      <c r="P534" t="n">
        <v>0</v>
      </c>
      <c r="Q534" t="n">
        <v>1</v>
      </c>
      <c r="R534" s="2" t="inlineStr">
        <is>
          <t>Blåsippa</t>
        </is>
      </c>
      <c r="S534">
        <f>HYPERLINK("https://klasma.github.io/Logging_2121/artfynd/A 3628-2026 artfynd.xlsx", "A 3628-2026")</f>
        <v/>
      </c>
      <c r="T534">
        <f>HYPERLINK("https://klasma.github.io/Logging_2121/kartor/A 3628-2026 karta.png", "A 3628-2026")</f>
        <v/>
      </c>
      <c r="V534">
        <f>HYPERLINK("https://klasma.github.io/Logging_2121/klagomål/A 3628-2026 FSC-klagomål.docx", "A 3628-2026")</f>
        <v/>
      </c>
      <c r="W534">
        <f>HYPERLINK("https://klasma.github.io/Logging_2121/klagomålsmail/A 3628-2026 FSC-klagomål mail.docx", "A 3628-2026")</f>
        <v/>
      </c>
      <c r="X534">
        <f>HYPERLINK("https://klasma.github.io/Logging_2121/tillsyn/A 3628-2026 tillsynsbegäran.docx", "A 3628-2026")</f>
        <v/>
      </c>
      <c r="Y534">
        <f>HYPERLINK("https://klasma.github.io/Logging_2121/tillsynsmail/A 3628-2026 tillsynsbegäran mail.docx", "A 3628-2026")</f>
        <v/>
      </c>
    </row>
    <row r="535" ht="15" customHeight="1">
      <c r="A535" t="inlineStr">
        <is>
          <t>A 58900-2021</t>
        </is>
      </c>
      <c r="B535" s="1" t="n">
        <v>44489</v>
      </c>
      <c r="C535" s="1" t="n">
        <v>46086</v>
      </c>
      <c r="D535" t="inlineStr">
        <is>
          <t>GÄVLEBORGS LÄN</t>
        </is>
      </c>
      <c r="E535" t="inlineStr">
        <is>
          <t>LJUSDAL</t>
        </is>
      </c>
      <c r="F535" t="inlineStr">
        <is>
          <t>Sveaskog</t>
        </is>
      </c>
      <c r="G535" t="n">
        <v>5.2</v>
      </c>
      <c r="H535" t="n">
        <v>0</v>
      </c>
      <c r="I535" t="n">
        <v>1</v>
      </c>
      <c r="J535" t="n">
        <v>0</v>
      </c>
      <c r="K535" t="n">
        <v>0</v>
      </c>
      <c r="L535" t="n">
        <v>0</v>
      </c>
      <c r="M535" t="n">
        <v>0</v>
      </c>
      <c r="N535" t="n">
        <v>0</v>
      </c>
      <c r="O535" t="n">
        <v>0</v>
      </c>
      <c r="P535" t="n">
        <v>0</v>
      </c>
      <c r="Q535" t="n">
        <v>1</v>
      </c>
      <c r="R535" s="2" t="inlineStr">
        <is>
          <t>Skuggblåslav</t>
        </is>
      </c>
      <c r="S535">
        <f>HYPERLINK("https://klasma.github.io/Logging_2161/artfynd/A 58900-2021 artfynd.xlsx", "A 58900-2021")</f>
        <v/>
      </c>
      <c r="T535">
        <f>HYPERLINK("https://klasma.github.io/Logging_2161/kartor/A 58900-2021 karta.png", "A 58900-2021")</f>
        <v/>
      </c>
      <c r="V535">
        <f>HYPERLINK("https://klasma.github.io/Logging_2161/klagomål/A 58900-2021 FSC-klagomål.docx", "A 58900-2021")</f>
        <v/>
      </c>
      <c r="W535">
        <f>HYPERLINK("https://klasma.github.io/Logging_2161/klagomålsmail/A 58900-2021 FSC-klagomål mail.docx", "A 58900-2021")</f>
        <v/>
      </c>
      <c r="X535">
        <f>HYPERLINK("https://klasma.github.io/Logging_2161/tillsyn/A 58900-2021 tillsynsbegäran.docx", "A 58900-2021")</f>
        <v/>
      </c>
      <c r="Y535">
        <f>HYPERLINK("https://klasma.github.io/Logging_2161/tillsynsmail/A 58900-2021 tillsynsbegäran mail.docx", "A 58900-2021")</f>
        <v/>
      </c>
    </row>
    <row r="536" ht="15" customHeight="1">
      <c r="A536" t="inlineStr">
        <is>
          <t>A 7543-2024</t>
        </is>
      </c>
      <c r="B536" s="1" t="n">
        <v>45348</v>
      </c>
      <c r="C536" s="1" t="n">
        <v>46086</v>
      </c>
      <c r="D536" t="inlineStr">
        <is>
          <t>GÄVLEBORGS LÄN</t>
        </is>
      </c>
      <c r="E536" t="inlineStr">
        <is>
          <t>HOFORS</t>
        </is>
      </c>
      <c r="G536" t="n">
        <v>3.2</v>
      </c>
      <c r="H536" t="n">
        <v>0</v>
      </c>
      <c r="I536" t="n">
        <v>1</v>
      </c>
      <c r="J536" t="n">
        <v>0</v>
      </c>
      <c r="K536" t="n">
        <v>0</v>
      </c>
      <c r="L536" t="n">
        <v>0</v>
      </c>
      <c r="M536" t="n">
        <v>0</v>
      </c>
      <c r="N536" t="n">
        <v>0</v>
      </c>
      <c r="O536" t="n">
        <v>0</v>
      </c>
      <c r="P536" t="n">
        <v>0</v>
      </c>
      <c r="Q536" t="n">
        <v>1</v>
      </c>
      <c r="R536" s="2" t="inlineStr">
        <is>
          <t>Svart trolldruva</t>
        </is>
      </c>
      <c r="S536">
        <f>HYPERLINK("https://klasma.github.io/Logging_2104/artfynd/A 7543-2024 artfynd.xlsx", "A 7543-2024")</f>
        <v/>
      </c>
      <c r="T536">
        <f>HYPERLINK("https://klasma.github.io/Logging_2104/kartor/A 7543-2024 karta.png", "A 7543-2024")</f>
        <v/>
      </c>
      <c r="V536">
        <f>HYPERLINK("https://klasma.github.io/Logging_2104/klagomål/A 7543-2024 FSC-klagomål.docx", "A 7543-2024")</f>
        <v/>
      </c>
      <c r="W536">
        <f>HYPERLINK("https://klasma.github.io/Logging_2104/klagomålsmail/A 7543-2024 FSC-klagomål mail.docx", "A 7543-2024")</f>
        <v/>
      </c>
      <c r="X536">
        <f>HYPERLINK("https://klasma.github.io/Logging_2104/tillsyn/A 7543-2024 tillsynsbegäran.docx", "A 7543-2024")</f>
        <v/>
      </c>
      <c r="Y536">
        <f>HYPERLINK("https://klasma.github.io/Logging_2104/tillsynsmail/A 7543-2024 tillsynsbegäran mail.docx", "A 7543-2024")</f>
        <v/>
      </c>
    </row>
    <row r="537" ht="15" customHeight="1">
      <c r="A537" t="inlineStr">
        <is>
          <t>A 3439-2026</t>
        </is>
      </c>
      <c r="B537" s="1" t="n">
        <v>46042</v>
      </c>
      <c r="C537" s="1" t="n">
        <v>46086</v>
      </c>
      <c r="D537" t="inlineStr">
        <is>
          <t>GÄVLEBORGS LÄN</t>
        </is>
      </c>
      <c r="E537" t="inlineStr">
        <is>
          <t>OCKELBO</t>
        </is>
      </c>
      <c r="F537" t="inlineStr">
        <is>
          <t>Bergvik skog väst AB</t>
        </is>
      </c>
      <c r="G537" t="n">
        <v>58.3</v>
      </c>
      <c r="H537" t="n">
        <v>1</v>
      </c>
      <c r="I537" t="n">
        <v>0</v>
      </c>
      <c r="J537" t="n">
        <v>0</v>
      </c>
      <c r="K537" t="n">
        <v>0</v>
      </c>
      <c r="L537" t="n">
        <v>0</v>
      </c>
      <c r="M537" t="n">
        <v>0</v>
      </c>
      <c r="N537" t="n">
        <v>0</v>
      </c>
      <c r="O537" t="n">
        <v>0</v>
      </c>
      <c r="P537" t="n">
        <v>0</v>
      </c>
      <c r="Q537" t="n">
        <v>1</v>
      </c>
      <c r="R537" s="2" t="inlineStr">
        <is>
          <t>Tjäder</t>
        </is>
      </c>
      <c r="S537">
        <f>HYPERLINK("https://klasma.github.io/Logging_2101/artfynd/A 3439-2026 artfynd.xlsx", "A 3439-2026")</f>
        <v/>
      </c>
      <c r="T537">
        <f>HYPERLINK("https://klasma.github.io/Logging_2101/kartor/A 3439-2026 karta.png", "A 3439-2026")</f>
        <v/>
      </c>
      <c r="V537">
        <f>HYPERLINK("https://klasma.github.io/Logging_2101/klagomål/A 3439-2026 FSC-klagomål.docx", "A 3439-2026")</f>
        <v/>
      </c>
      <c r="W537">
        <f>HYPERLINK("https://klasma.github.io/Logging_2101/klagomålsmail/A 3439-2026 FSC-klagomål mail.docx", "A 3439-2026")</f>
        <v/>
      </c>
      <c r="X537">
        <f>HYPERLINK("https://klasma.github.io/Logging_2101/tillsyn/A 3439-2026 tillsynsbegäran.docx", "A 3439-2026")</f>
        <v/>
      </c>
      <c r="Y537">
        <f>HYPERLINK("https://klasma.github.io/Logging_2101/tillsynsmail/A 3439-2026 tillsynsbegäran mail.docx", "A 3439-2026")</f>
        <v/>
      </c>
      <c r="Z537">
        <f>HYPERLINK("https://klasma.github.io/Logging_2101/fåglar/A 3439-2026 prioriterade fågelarter.docx", "A 3439-2026")</f>
        <v/>
      </c>
    </row>
    <row r="538" ht="15" customHeight="1">
      <c r="A538" t="inlineStr">
        <is>
          <t>A 11247-2026</t>
        </is>
      </c>
      <c r="B538" s="1" t="n">
        <v>46080</v>
      </c>
      <c r="C538" s="1" t="n">
        <v>46086</v>
      </c>
      <c r="D538" t="inlineStr">
        <is>
          <t>GÄVLEBORGS LÄN</t>
        </is>
      </c>
      <c r="E538" t="inlineStr">
        <is>
          <t>BOLLNÄS</t>
        </is>
      </c>
      <c r="F538" t="inlineStr">
        <is>
          <t>Bergvik skog väst AB</t>
        </is>
      </c>
      <c r="G538" t="n">
        <v>2</v>
      </c>
      <c r="H538" t="n">
        <v>0</v>
      </c>
      <c r="I538" t="n">
        <v>0</v>
      </c>
      <c r="J538" t="n">
        <v>1</v>
      </c>
      <c r="K538" t="n">
        <v>0</v>
      </c>
      <c r="L538" t="n">
        <v>0</v>
      </c>
      <c r="M538" t="n">
        <v>0</v>
      </c>
      <c r="N538" t="n">
        <v>0</v>
      </c>
      <c r="O538" t="n">
        <v>1</v>
      </c>
      <c r="P538" t="n">
        <v>0</v>
      </c>
      <c r="Q538" t="n">
        <v>1</v>
      </c>
      <c r="R538" s="2" t="inlineStr">
        <is>
          <t>Vedskivlav</t>
        </is>
      </c>
      <c r="S538">
        <f>HYPERLINK("https://klasma.github.io/Logging_2183/artfynd/A 11247-2026 artfynd.xlsx", "A 11247-2026")</f>
        <v/>
      </c>
      <c r="T538">
        <f>HYPERLINK("https://klasma.github.io/Logging_2183/kartor/A 11247-2026 karta.png", "A 11247-2026")</f>
        <v/>
      </c>
      <c r="V538">
        <f>HYPERLINK("https://klasma.github.io/Logging_2183/klagomål/A 11247-2026 FSC-klagomål.docx", "A 11247-2026")</f>
        <v/>
      </c>
      <c r="W538">
        <f>HYPERLINK("https://klasma.github.io/Logging_2183/klagomålsmail/A 11247-2026 FSC-klagomål mail.docx", "A 11247-2026")</f>
        <v/>
      </c>
      <c r="X538">
        <f>HYPERLINK("https://klasma.github.io/Logging_2183/tillsyn/A 11247-2026 tillsynsbegäran.docx", "A 11247-2026")</f>
        <v/>
      </c>
      <c r="Y538">
        <f>HYPERLINK("https://klasma.github.io/Logging_2183/tillsynsmail/A 11247-2026 tillsynsbegäran mail.docx", "A 11247-2026")</f>
        <v/>
      </c>
    </row>
    <row r="539" ht="15" customHeight="1">
      <c r="A539" t="inlineStr">
        <is>
          <t>A 11853-2026</t>
        </is>
      </c>
      <c r="B539" s="1" t="n">
        <v>46085.4643287037</v>
      </c>
      <c r="C539" s="1" t="n">
        <v>46086</v>
      </c>
      <c r="D539" t="inlineStr">
        <is>
          <t>GÄVLEBORGS LÄN</t>
        </is>
      </c>
      <c r="E539" t="inlineStr">
        <is>
          <t>HOFORS</t>
        </is>
      </c>
      <c r="G539" t="n">
        <v>8.699999999999999</v>
      </c>
      <c r="H539" t="n">
        <v>1</v>
      </c>
      <c r="I539" t="n">
        <v>0</v>
      </c>
      <c r="J539" t="n">
        <v>0</v>
      </c>
      <c r="K539" t="n">
        <v>0</v>
      </c>
      <c r="L539" t="n">
        <v>0</v>
      </c>
      <c r="M539" t="n">
        <v>0</v>
      </c>
      <c r="N539" t="n">
        <v>0</v>
      </c>
      <c r="O539" t="n">
        <v>0</v>
      </c>
      <c r="P539" t="n">
        <v>0</v>
      </c>
      <c r="Q539" t="n">
        <v>1</v>
      </c>
      <c r="R539" s="2" t="inlineStr">
        <is>
          <t>Blåsippa</t>
        </is>
      </c>
      <c r="S539">
        <f>HYPERLINK("https://klasma.github.io/Logging_2104/artfynd/A 11853-2026 artfynd.xlsx", "A 11853-2026")</f>
        <v/>
      </c>
      <c r="T539">
        <f>HYPERLINK("https://klasma.github.io/Logging_2104/kartor/A 11853-2026 karta.png", "A 11853-2026")</f>
        <v/>
      </c>
      <c r="V539">
        <f>HYPERLINK("https://klasma.github.io/Logging_2104/klagomål/A 11853-2026 FSC-klagomål.docx", "A 11853-2026")</f>
        <v/>
      </c>
      <c r="W539">
        <f>HYPERLINK("https://klasma.github.io/Logging_2104/klagomålsmail/A 11853-2026 FSC-klagomål mail.docx", "A 11853-2026")</f>
        <v/>
      </c>
      <c r="X539">
        <f>HYPERLINK("https://klasma.github.io/Logging_2104/tillsyn/A 11853-2026 tillsynsbegäran.docx", "A 11853-2026")</f>
        <v/>
      </c>
      <c r="Y539">
        <f>HYPERLINK("https://klasma.github.io/Logging_2104/tillsynsmail/A 11853-2026 tillsynsbegäran mail.docx", "A 11853-2026")</f>
        <v/>
      </c>
    </row>
    <row r="540" ht="15" customHeight="1">
      <c r="A540" t="inlineStr">
        <is>
          <t>A 11867-2026</t>
        </is>
      </c>
      <c r="B540" s="1" t="n">
        <v>46085.4849537037</v>
      </c>
      <c r="C540" s="1" t="n">
        <v>46086</v>
      </c>
      <c r="D540" t="inlineStr">
        <is>
          <t>GÄVLEBORGS LÄN</t>
        </is>
      </c>
      <c r="E540" t="inlineStr">
        <is>
          <t>HOFORS</t>
        </is>
      </c>
      <c r="G540" t="n">
        <v>2.8</v>
      </c>
      <c r="H540" t="n">
        <v>0</v>
      </c>
      <c r="I540" t="n">
        <v>1</v>
      </c>
      <c r="J540" t="n">
        <v>0</v>
      </c>
      <c r="K540" t="n">
        <v>0</v>
      </c>
      <c r="L540" t="n">
        <v>0</v>
      </c>
      <c r="M540" t="n">
        <v>0</v>
      </c>
      <c r="N540" t="n">
        <v>0</v>
      </c>
      <c r="O540" t="n">
        <v>0</v>
      </c>
      <c r="P540" t="n">
        <v>0</v>
      </c>
      <c r="Q540" t="n">
        <v>1</v>
      </c>
      <c r="R540" s="2" t="inlineStr">
        <is>
          <t>Scharlakansskål</t>
        </is>
      </c>
      <c r="S540">
        <f>HYPERLINK("https://klasma.github.io/Logging_2104/artfynd/A 11867-2026 artfynd.xlsx", "A 11867-2026")</f>
        <v/>
      </c>
      <c r="T540">
        <f>HYPERLINK("https://klasma.github.io/Logging_2104/kartor/A 11867-2026 karta.png", "A 11867-2026")</f>
        <v/>
      </c>
      <c r="V540">
        <f>HYPERLINK("https://klasma.github.io/Logging_2104/klagomål/A 11867-2026 FSC-klagomål.docx", "A 11867-2026")</f>
        <v/>
      </c>
      <c r="W540">
        <f>HYPERLINK("https://klasma.github.io/Logging_2104/klagomålsmail/A 11867-2026 FSC-klagomål mail.docx", "A 11867-2026")</f>
        <v/>
      </c>
      <c r="X540">
        <f>HYPERLINK("https://klasma.github.io/Logging_2104/tillsyn/A 11867-2026 tillsynsbegäran.docx", "A 11867-2026")</f>
        <v/>
      </c>
      <c r="Y540">
        <f>HYPERLINK("https://klasma.github.io/Logging_2104/tillsynsmail/A 11867-2026 tillsynsbegäran mail.docx", "A 11867-2026")</f>
        <v/>
      </c>
    </row>
    <row r="541" ht="15" customHeight="1">
      <c r="A541" t="inlineStr">
        <is>
          <t>A 46136-2025</t>
        </is>
      </c>
      <c r="B541" s="1" t="n">
        <v>45924.59877314815</v>
      </c>
      <c r="C541" s="1" t="n">
        <v>46086</v>
      </c>
      <c r="D541" t="inlineStr">
        <is>
          <t>GÄVLEBORGS LÄN</t>
        </is>
      </c>
      <c r="E541" t="inlineStr">
        <is>
          <t>GÄVLE</t>
        </is>
      </c>
      <c r="F541" t="inlineStr">
        <is>
          <t>Bergvik skog öst AB</t>
        </is>
      </c>
      <c r="G541" t="n">
        <v>8.699999999999999</v>
      </c>
      <c r="H541" t="n">
        <v>1</v>
      </c>
      <c r="I541" t="n">
        <v>0</v>
      </c>
      <c r="J541" t="n">
        <v>0</v>
      </c>
      <c r="K541" t="n">
        <v>0</v>
      </c>
      <c r="L541" t="n">
        <v>0</v>
      </c>
      <c r="M541" t="n">
        <v>0</v>
      </c>
      <c r="N541" t="n">
        <v>0</v>
      </c>
      <c r="O541" t="n">
        <v>0</v>
      </c>
      <c r="P541" t="n">
        <v>0</v>
      </c>
      <c r="Q541" t="n">
        <v>1</v>
      </c>
      <c r="R541" s="2" t="inlineStr">
        <is>
          <t>Tjäder</t>
        </is>
      </c>
      <c r="S541">
        <f>HYPERLINK("https://klasma.github.io/Logging_2180/artfynd/A 46136-2025 artfynd.xlsx", "A 46136-2025")</f>
        <v/>
      </c>
      <c r="T541">
        <f>HYPERLINK("https://klasma.github.io/Logging_2180/kartor/A 46136-2025 karta.png", "A 46136-2025")</f>
        <v/>
      </c>
      <c r="V541">
        <f>HYPERLINK("https://klasma.github.io/Logging_2180/klagomål/A 46136-2025 FSC-klagomål.docx", "A 46136-2025")</f>
        <v/>
      </c>
      <c r="W541">
        <f>HYPERLINK("https://klasma.github.io/Logging_2180/klagomålsmail/A 46136-2025 FSC-klagomål mail.docx", "A 46136-2025")</f>
        <v/>
      </c>
      <c r="X541">
        <f>HYPERLINK("https://klasma.github.io/Logging_2180/tillsyn/A 46136-2025 tillsynsbegäran.docx", "A 46136-2025")</f>
        <v/>
      </c>
      <c r="Y541">
        <f>HYPERLINK("https://klasma.github.io/Logging_2180/tillsynsmail/A 46136-2025 tillsynsbegäran mail.docx", "A 46136-2025")</f>
        <v/>
      </c>
      <c r="Z541">
        <f>HYPERLINK("https://klasma.github.io/Logging_2180/fåglar/A 46136-2025 prioriterade fågelarter.docx", "A 46136-2025")</f>
        <v/>
      </c>
    </row>
    <row r="542" ht="15" customHeight="1">
      <c r="A542" t="inlineStr">
        <is>
          <t>A 55289-2024</t>
        </is>
      </c>
      <c r="B542" s="1" t="n">
        <v>45621.63445601852</v>
      </c>
      <c r="C542" s="1" t="n">
        <v>46086</v>
      </c>
      <c r="D542" t="inlineStr">
        <is>
          <t>GÄVLEBORGS LÄN</t>
        </is>
      </c>
      <c r="E542" t="inlineStr">
        <is>
          <t>LJUSDAL</t>
        </is>
      </c>
      <c r="F542" t="inlineStr">
        <is>
          <t>Sveaskog</t>
        </is>
      </c>
      <c r="G542" t="n">
        <v>3.3</v>
      </c>
      <c r="H542" t="n">
        <v>0</v>
      </c>
      <c r="I542" t="n">
        <v>0</v>
      </c>
      <c r="J542" t="n">
        <v>1</v>
      </c>
      <c r="K542" t="n">
        <v>0</v>
      </c>
      <c r="L542" t="n">
        <v>0</v>
      </c>
      <c r="M542" t="n">
        <v>0</v>
      </c>
      <c r="N542" t="n">
        <v>0</v>
      </c>
      <c r="O542" t="n">
        <v>1</v>
      </c>
      <c r="P542" t="n">
        <v>0</v>
      </c>
      <c r="Q542" t="n">
        <v>1</v>
      </c>
      <c r="R542" s="2" t="inlineStr">
        <is>
          <t>Garnlav</t>
        </is>
      </c>
      <c r="S542">
        <f>HYPERLINK("https://klasma.github.io/Logging_2161/artfynd/A 55289-2024 artfynd.xlsx", "A 55289-2024")</f>
        <v/>
      </c>
      <c r="T542">
        <f>HYPERLINK("https://klasma.github.io/Logging_2161/kartor/A 55289-2024 karta.png", "A 55289-2024")</f>
        <v/>
      </c>
      <c r="V542">
        <f>HYPERLINK("https://klasma.github.io/Logging_2161/klagomål/A 55289-2024 FSC-klagomål.docx", "A 55289-2024")</f>
        <v/>
      </c>
      <c r="W542">
        <f>HYPERLINK("https://klasma.github.io/Logging_2161/klagomålsmail/A 55289-2024 FSC-klagomål mail.docx", "A 55289-2024")</f>
        <v/>
      </c>
      <c r="X542">
        <f>HYPERLINK("https://klasma.github.io/Logging_2161/tillsyn/A 55289-2024 tillsynsbegäran.docx", "A 55289-2024")</f>
        <v/>
      </c>
      <c r="Y542">
        <f>HYPERLINK("https://klasma.github.io/Logging_2161/tillsynsmail/A 55289-2024 tillsynsbegäran mail.docx", "A 55289-2024")</f>
        <v/>
      </c>
    </row>
    <row r="543" ht="15" customHeight="1">
      <c r="A543" t="inlineStr">
        <is>
          <t>A 35743-2025</t>
        </is>
      </c>
      <c r="B543" s="1" t="n">
        <v>45860.54238425926</v>
      </c>
      <c r="C543" s="1" t="n">
        <v>46086</v>
      </c>
      <c r="D543" t="inlineStr">
        <is>
          <t>GÄVLEBORGS LÄN</t>
        </is>
      </c>
      <c r="E543" t="inlineStr">
        <is>
          <t>HOFORS</t>
        </is>
      </c>
      <c r="F543" t="inlineStr">
        <is>
          <t>Sveaskog</t>
        </is>
      </c>
      <c r="G543" t="n">
        <v>1.4</v>
      </c>
      <c r="H543" t="n">
        <v>1</v>
      </c>
      <c r="I543" t="n">
        <v>0</v>
      </c>
      <c r="J543" t="n">
        <v>0</v>
      </c>
      <c r="K543" t="n">
        <v>0</v>
      </c>
      <c r="L543" t="n">
        <v>0</v>
      </c>
      <c r="M543" t="n">
        <v>0</v>
      </c>
      <c r="N543" t="n">
        <v>0</v>
      </c>
      <c r="O543" t="n">
        <v>0</v>
      </c>
      <c r="P543" t="n">
        <v>0</v>
      </c>
      <c r="Q543" t="n">
        <v>1</v>
      </c>
      <c r="R543" s="2" t="inlineStr">
        <is>
          <t>Mattlummer</t>
        </is>
      </c>
      <c r="S543">
        <f>HYPERLINK("https://klasma.github.io/Logging_2104/artfynd/A 35743-2025 artfynd.xlsx", "A 35743-2025")</f>
        <v/>
      </c>
      <c r="T543">
        <f>HYPERLINK("https://klasma.github.io/Logging_2104/kartor/A 35743-2025 karta.png", "A 35743-2025")</f>
        <v/>
      </c>
      <c r="V543">
        <f>HYPERLINK("https://klasma.github.io/Logging_2104/klagomål/A 35743-2025 FSC-klagomål.docx", "A 35743-2025")</f>
        <v/>
      </c>
      <c r="W543">
        <f>HYPERLINK("https://klasma.github.io/Logging_2104/klagomålsmail/A 35743-2025 FSC-klagomål mail.docx", "A 35743-2025")</f>
        <v/>
      </c>
      <c r="X543">
        <f>HYPERLINK("https://klasma.github.io/Logging_2104/tillsyn/A 35743-2025 tillsynsbegäran.docx", "A 35743-2025")</f>
        <v/>
      </c>
      <c r="Y543">
        <f>HYPERLINK("https://klasma.github.io/Logging_2104/tillsynsmail/A 35743-2025 tillsynsbegäran mail.docx", "A 35743-2025")</f>
        <v/>
      </c>
    </row>
    <row r="544" ht="15" customHeight="1">
      <c r="A544" t="inlineStr">
        <is>
          <t>A 35695-2025</t>
        </is>
      </c>
      <c r="B544" s="1" t="n">
        <v>45860.34467592592</v>
      </c>
      <c r="C544" s="1" t="n">
        <v>46086</v>
      </c>
      <c r="D544" t="inlineStr">
        <is>
          <t>GÄVLEBORGS LÄN</t>
        </is>
      </c>
      <c r="E544" t="inlineStr">
        <is>
          <t>HUDIKSVALL</t>
        </is>
      </c>
      <c r="G544" t="n">
        <v>8.1</v>
      </c>
      <c r="H544" t="n">
        <v>1</v>
      </c>
      <c r="I544" t="n">
        <v>0</v>
      </c>
      <c r="J544" t="n">
        <v>0</v>
      </c>
      <c r="K544" t="n">
        <v>0</v>
      </c>
      <c r="L544" t="n">
        <v>0</v>
      </c>
      <c r="M544" t="n">
        <v>0</v>
      </c>
      <c r="N544" t="n">
        <v>0</v>
      </c>
      <c r="O544" t="n">
        <v>0</v>
      </c>
      <c r="P544" t="n">
        <v>0</v>
      </c>
      <c r="Q544" t="n">
        <v>1</v>
      </c>
      <c r="R544" s="2" t="inlineStr">
        <is>
          <t>Revlummer</t>
        </is>
      </c>
      <c r="S544">
        <f>HYPERLINK("https://klasma.github.io/Logging_2184/artfynd/A 35695-2025 artfynd.xlsx", "A 35695-2025")</f>
        <v/>
      </c>
      <c r="T544">
        <f>HYPERLINK("https://klasma.github.io/Logging_2184/kartor/A 35695-2025 karta.png", "A 35695-2025")</f>
        <v/>
      </c>
      <c r="V544">
        <f>HYPERLINK("https://klasma.github.io/Logging_2184/klagomål/A 35695-2025 FSC-klagomål.docx", "A 35695-2025")</f>
        <v/>
      </c>
      <c r="W544">
        <f>HYPERLINK("https://klasma.github.io/Logging_2184/klagomålsmail/A 35695-2025 FSC-klagomål mail.docx", "A 35695-2025")</f>
        <v/>
      </c>
      <c r="X544">
        <f>HYPERLINK("https://klasma.github.io/Logging_2184/tillsyn/A 35695-2025 tillsynsbegäran.docx", "A 35695-2025")</f>
        <v/>
      </c>
      <c r="Y544">
        <f>HYPERLINK("https://klasma.github.io/Logging_2184/tillsynsmail/A 35695-2025 tillsynsbegäran mail.docx", "A 35695-2025")</f>
        <v/>
      </c>
    </row>
    <row r="545" ht="15" customHeight="1">
      <c r="A545" t="inlineStr">
        <is>
          <t>A 46729-2025</t>
        </is>
      </c>
      <c r="B545" s="1" t="n">
        <v>45926.59086805556</v>
      </c>
      <c r="C545" s="1" t="n">
        <v>46086</v>
      </c>
      <c r="D545" t="inlineStr">
        <is>
          <t>GÄVLEBORGS LÄN</t>
        </is>
      </c>
      <c r="E545" t="inlineStr">
        <is>
          <t>SANDVIKEN</t>
        </is>
      </c>
      <c r="F545" t="inlineStr">
        <is>
          <t>Sveaskog</t>
        </is>
      </c>
      <c r="G545" t="n">
        <v>7.6</v>
      </c>
      <c r="H545" t="n">
        <v>0</v>
      </c>
      <c r="I545" t="n">
        <v>0</v>
      </c>
      <c r="J545" t="n">
        <v>1</v>
      </c>
      <c r="K545" t="n">
        <v>0</v>
      </c>
      <c r="L545" t="n">
        <v>0</v>
      </c>
      <c r="M545" t="n">
        <v>0</v>
      </c>
      <c r="N545" t="n">
        <v>0</v>
      </c>
      <c r="O545" t="n">
        <v>1</v>
      </c>
      <c r="P545" t="n">
        <v>0</v>
      </c>
      <c r="Q545" t="n">
        <v>1</v>
      </c>
      <c r="R545" s="2" t="inlineStr">
        <is>
          <t>Motaggsvamp</t>
        </is>
      </c>
      <c r="S545">
        <f>HYPERLINK("https://klasma.github.io/Logging_2181/artfynd/A 46729-2025 artfynd.xlsx", "A 46729-2025")</f>
        <v/>
      </c>
      <c r="T545">
        <f>HYPERLINK("https://klasma.github.io/Logging_2181/kartor/A 46729-2025 karta.png", "A 46729-2025")</f>
        <v/>
      </c>
      <c r="V545">
        <f>HYPERLINK("https://klasma.github.io/Logging_2181/klagomål/A 46729-2025 FSC-klagomål.docx", "A 46729-2025")</f>
        <v/>
      </c>
      <c r="W545">
        <f>HYPERLINK("https://klasma.github.io/Logging_2181/klagomålsmail/A 46729-2025 FSC-klagomål mail.docx", "A 46729-2025")</f>
        <v/>
      </c>
      <c r="X545">
        <f>HYPERLINK("https://klasma.github.io/Logging_2181/tillsyn/A 46729-2025 tillsynsbegäran.docx", "A 46729-2025")</f>
        <v/>
      </c>
      <c r="Y545">
        <f>HYPERLINK("https://klasma.github.io/Logging_2181/tillsynsmail/A 46729-2025 tillsynsbegäran mail.docx", "A 46729-2025")</f>
        <v/>
      </c>
    </row>
    <row r="546" ht="15" customHeight="1">
      <c r="A546" t="inlineStr">
        <is>
          <t>A 41494-2024</t>
        </is>
      </c>
      <c r="B546" s="1" t="n">
        <v>45560.45381944445</v>
      </c>
      <c r="C546" s="1" t="n">
        <v>46086</v>
      </c>
      <c r="D546" t="inlineStr">
        <is>
          <t>GÄVLEBORGS LÄN</t>
        </is>
      </c>
      <c r="E546" t="inlineStr">
        <is>
          <t>HUDIKSVALL</t>
        </is>
      </c>
      <c r="F546" t="inlineStr">
        <is>
          <t>Holmen skog AB</t>
        </is>
      </c>
      <c r="G546" t="n">
        <v>20.9</v>
      </c>
      <c r="H546" t="n">
        <v>0</v>
      </c>
      <c r="I546" t="n">
        <v>0</v>
      </c>
      <c r="J546" t="n">
        <v>1</v>
      </c>
      <c r="K546" t="n">
        <v>0</v>
      </c>
      <c r="L546" t="n">
        <v>0</v>
      </c>
      <c r="M546" t="n">
        <v>0</v>
      </c>
      <c r="N546" t="n">
        <v>0</v>
      </c>
      <c r="O546" t="n">
        <v>1</v>
      </c>
      <c r="P546" t="n">
        <v>0</v>
      </c>
      <c r="Q546" t="n">
        <v>1</v>
      </c>
      <c r="R546" s="2" t="inlineStr">
        <is>
          <t>Lunglav</t>
        </is>
      </c>
      <c r="S546">
        <f>HYPERLINK("https://klasma.github.io/Logging_2184/artfynd/A 41494-2024 artfynd.xlsx", "A 41494-2024")</f>
        <v/>
      </c>
      <c r="T546">
        <f>HYPERLINK("https://klasma.github.io/Logging_2184/kartor/A 41494-2024 karta.png", "A 41494-2024")</f>
        <v/>
      </c>
      <c r="V546">
        <f>HYPERLINK("https://klasma.github.io/Logging_2184/klagomål/A 41494-2024 FSC-klagomål.docx", "A 41494-2024")</f>
        <v/>
      </c>
      <c r="W546">
        <f>HYPERLINK("https://klasma.github.io/Logging_2184/klagomålsmail/A 41494-2024 FSC-klagomål mail.docx", "A 41494-2024")</f>
        <v/>
      </c>
      <c r="X546">
        <f>HYPERLINK("https://klasma.github.io/Logging_2184/tillsyn/A 41494-2024 tillsynsbegäran.docx", "A 41494-2024")</f>
        <v/>
      </c>
      <c r="Y546">
        <f>HYPERLINK("https://klasma.github.io/Logging_2184/tillsynsmail/A 41494-2024 tillsynsbegäran mail.docx", "A 41494-2024")</f>
        <v/>
      </c>
    </row>
    <row r="547" ht="15" customHeight="1">
      <c r="A547" t="inlineStr">
        <is>
          <t>A 46741-2025</t>
        </is>
      </c>
      <c r="B547" s="1" t="n">
        <v>45926.60802083334</v>
      </c>
      <c r="C547" s="1" t="n">
        <v>46086</v>
      </c>
      <c r="D547" t="inlineStr">
        <is>
          <t>GÄVLEBORGS LÄN</t>
        </is>
      </c>
      <c r="E547" t="inlineStr">
        <is>
          <t>LJUSDAL</t>
        </is>
      </c>
      <c r="F547" t="inlineStr">
        <is>
          <t>Sveaskog</t>
        </is>
      </c>
      <c r="G547" t="n">
        <v>5.5</v>
      </c>
      <c r="H547" t="n">
        <v>0</v>
      </c>
      <c r="I547" t="n">
        <v>0</v>
      </c>
      <c r="J547" t="n">
        <v>1</v>
      </c>
      <c r="K547" t="n">
        <v>0</v>
      </c>
      <c r="L547" t="n">
        <v>0</v>
      </c>
      <c r="M547" t="n">
        <v>0</v>
      </c>
      <c r="N547" t="n">
        <v>0</v>
      </c>
      <c r="O547" t="n">
        <v>1</v>
      </c>
      <c r="P547" t="n">
        <v>0</v>
      </c>
      <c r="Q547" t="n">
        <v>1</v>
      </c>
      <c r="R547" s="2" t="inlineStr">
        <is>
          <t>Vedskivlav</t>
        </is>
      </c>
      <c r="S547">
        <f>HYPERLINK("https://klasma.github.io/Logging_2161/artfynd/A 46741-2025 artfynd.xlsx", "A 46741-2025")</f>
        <v/>
      </c>
      <c r="T547">
        <f>HYPERLINK("https://klasma.github.io/Logging_2161/kartor/A 46741-2025 karta.png", "A 46741-2025")</f>
        <v/>
      </c>
      <c r="V547">
        <f>HYPERLINK("https://klasma.github.io/Logging_2161/klagomål/A 46741-2025 FSC-klagomål.docx", "A 46741-2025")</f>
        <v/>
      </c>
      <c r="W547">
        <f>HYPERLINK("https://klasma.github.io/Logging_2161/klagomålsmail/A 46741-2025 FSC-klagomål mail.docx", "A 46741-2025")</f>
        <v/>
      </c>
      <c r="X547">
        <f>HYPERLINK("https://klasma.github.io/Logging_2161/tillsyn/A 46741-2025 tillsynsbegäran.docx", "A 46741-2025")</f>
        <v/>
      </c>
      <c r="Y547">
        <f>HYPERLINK("https://klasma.github.io/Logging_2161/tillsynsmail/A 46741-2025 tillsynsbegäran mail.docx", "A 46741-2025")</f>
        <v/>
      </c>
    </row>
    <row r="548" ht="15" customHeight="1">
      <c r="A548" t="inlineStr">
        <is>
          <t>A 60615-2021</t>
        </is>
      </c>
      <c r="B548" s="1" t="n">
        <v>44496.58844907407</v>
      </c>
      <c r="C548" s="1" t="n">
        <v>46086</v>
      </c>
      <c r="D548" t="inlineStr">
        <is>
          <t>GÄVLEBORGS LÄN</t>
        </is>
      </c>
      <c r="E548" t="inlineStr">
        <is>
          <t>OCKELBO</t>
        </is>
      </c>
      <c r="F548" t="inlineStr">
        <is>
          <t>Bergvik skog väst AB</t>
        </is>
      </c>
      <c r="G548" t="n">
        <v>1.4</v>
      </c>
      <c r="H548" t="n">
        <v>1</v>
      </c>
      <c r="I548" t="n">
        <v>0</v>
      </c>
      <c r="J548" t="n">
        <v>0</v>
      </c>
      <c r="K548" t="n">
        <v>0</v>
      </c>
      <c r="L548" t="n">
        <v>0</v>
      </c>
      <c r="M548" t="n">
        <v>0</v>
      </c>
      <c r="N548" t="n">
        <v>0</v>
      </c>
      <c r="O548" t="n">
        <v>0</v>
      </c>
      <c r="P548" t="n">
        <v>0</v>
      </c>
      <c r="Q548" t="n">
        <v>1</v>
      </c>
      <c r="R548" s="2" t="inlineStr">
        <is>
          <t>Vanlig padda</t>
        </is>
      </c>
      <c r="S548">
        <f>HYPERLINK("https://klasma.github.io/Logging_2101/artfynd/A 60615-2021 artfynd.xlsx", "A 60615-2021")</f>
        <v/>
      </c>
      <c r="T548">
        <f>HYPERLINK("https://klasma.github.io/Logging_2101/kartor/A 60615-2021 karta.png", "A 60615-2021")</f>
        <v/>
      </c>
      <c r="V548">
        <f>HYPERLINK("https://klasma.github.io/Logging_2101/klagomål/A 60615-2021 FSC-klagomål.docx", "A 60615-2021")</f>
        <v/>
      </c>
      <c r="W548">
        <f>HYPERLINK("https://klasma.github.io/Logging_2101/klagomålsmail/A 60615-2021 FSC-klagomål mail.docx", "A 60615-2021")</f>
        <v/>
      </c>
      <c r="X548">
        <f>HYPERLINK("https://klasma.github.io/Logging_2101/tillsyn/A 60615-2021 tillsynsbegäran.docx", "A 60615-2021")</f>
        <v/>
      </c>
      <c r="Y548">
        <f>HYPERLINK("https://klasma.github.io/Logging_2101/tillsynsmail/A 60615-2021 tillsynsbegäran mail.docx", "A 60615-2021")</f>
        <v/>
      </c>
    </row>
    <row r="549" ht="15" customHeight="1">
      <c r="A549" t="inlineStr">
        <is>
          <t>A 57946-2023</t>
        </is>
      </c>
      <c r="B549" s="1" t="n">
        <v>45247.56151620371</v>
      </c>
      <c r="C549" s="1" t="n">
        <v>46086</v>
      </c>
      <c r="D549" t="inlineStr">
        <is>
          <t>GÄVLEBORGS LÄN</t>
        </is>
      </c>
      <c r="E549" t="inlineStr">
        <is>
          <t>OCKELBO</t>
        </is>
      </c>
      <c r="F549" t="inlineStr">
        <is>
          <t>Bergvik skog väst AB</t>
        </is>
      </c>
      <c r="G549" t="n">
        <v>2.4</v>
      </c>
      <c r="H549" t="n">
        <v>1</v>
      </c>
      <c r="I549" t="n">
        <v>0</v>
      </c>
      <c r="J549" t="n">
        <v>0</v>
      </c>
      <c r="K549" t="n">
        <v>0</v>
      </c>
      <c r="L549" t="n">
        <v>0</v>
      </c>
      <c r="M549" t="n">
        <v>0</v>
      </c>
      <c r="N549" t="n">
        <v>0</v>
      </c>
      <c r="O549" t="n">
        <v>0</v>
      </c>
      <c r="P549" t="n">
        <v>0</v>
      </c>
      <c r="Q549" t="n">
        <v>1</v>
      </c>
      <c r="R549" s="2" t="inlineStr">
        <is>
          <t>Revlummer</t>
        </is>
      </c>
      <c r="S549">
        <f>HYPERLINK("https://klasma.github.io/Logging_2101/artfynd/A 57946-2023 artfynd.xlsx", "A 57946-2023")</f>
        <v/>
      </c>
      <c r="T549">
        <f>HYPERLINK("https://klasma.github.io/Logging_2101/kartor/A 57946-2023 karta.png", "A 57946-2023")</f>
        <v/>
      </c>
      <c r="V549">
        <f>HYPERLINK("https://klasma.github.io/Logging_2101/klagomål/A 57946-2023 FSC-klagomål.docx", "A 57946-2023")</f>
        <v/>
      </c>
      <c r="W549">
        <f>HYPERLINK("https://klasma.github.io/Logging_2101/klagomålsmail/A 57946-2023 FSC-klagomål mail.docx", "A 57946-2023")</f>
        <v/>
      </c>
      <c r="X549">
        <f>HYPERLINK("https://klasma.github.io/Logging_2101/tillsyn/A 57946-2023 tillsynsbegäran.docx", "A 57946-2023")</f>
        <v/>
      </c>
      <c r="Y549">
        <f>HYPERLINK("https://klasma.github.io/Logging_2101/tillsynsmail/A 57946-2023 tillsynsbegäran mail.docx", "A 57946-2023")</f>
        <v/>
      </c>
    </row>
    <row r="550" ht="15" customHeight="1">
      <c r="A550" t="inlineStr">
        <is>
          <t>A 34475-2024</t>
        </is>
      </c>
      <c r="B550" s="1" t="n">
        <v>45525.59913194444</v>
      </c>
      <c r="C550" s="1" t="n">
        <v>46086</v>
      </c>
      <c r="D550" t="inlineStr">
        <is>
          <t>GÄVLEBORGS LÄN</t>
        </is>
      </c>
      <c r="E550" t="inlineStr">
        <is>
          <t>BOLLNÄS</t>
        </is>
      </c>
      <c r="F550" t="inlineStr">
        <is>
          <t>Bergvik skog väst AB</t>
        </is>
      </c>
      <c r="G550" t="n">
        <v>7.8</v>
      </c>
      <c r="H550" t="n">
        <v>0</v>
      </c>
      <c r="I550" t="n">
        <v>1</v>
      </c>
      <c r="J550" t="n">
        <v>0</v>
      </c>
      <c r="K550" t="n">
        <v>0</v>
      </c>
      <c r="L550" t="n">
        <v>0</v>
      </c>
      <c r="M550" t="n">
        <v>0</v>
      </c>
      <c r="N550" t="n">
        <v>0</v>
      </c>
      <c r="O550" t="n">
        <v>0</v>
      </c>
      <c r="P550" t="n">
        <v>0</v>
      </c>
      <c r="Q550" t="n">
        <v>1</v>
      </c>
      <c r="R550" s="2" t="inlineStr">
        <is>
          <t>Kambräken</t>
        </is>
      </c>
      <c r="S550">
        <f>HYPERLINK("https://klasma.github.io/Logging_2183/artfynd/A 34475-2024 artfynd.xlsx", "A 34475-2024")</f>
        <v/>
      </c>
      <c r="T550">
        <f>HYPERLINK("https://klasma.github.io/Logging_2183/kartor/A 34475-2024 karta.png", "A 34475-2024")</f>
        <v/>
      </c>
      <c r="V550">
        <f>HYPERLINK("https://klasma.github.io/Logging_2183/klagomål/A 34475-2024 FSC-klagomål.docx", "A 34475-2024")</f>
        <v/>
      </c>
      <c r="W550">
        <f>HYPERLINK("https://klasma.github.io/Logging_2183/klagomålsmail/A 34475-2024 FSC-klagomål mail.docx", "A 34475-2024")</f>
        <v/>
      </c>
      <c r="X550">
        <f>HYPERLINK("https://klasma.github.io/Logging_2183/tillsyn/A 34475-2024 tillsynsbegäran.docx", "A 34475-2024")</f>
        <v/>
      </c>
      <c r="Y550">
        <f>HYPERLINK("https://klasma.github.io/Logging_2183/tillsynsmail/A 34475-2024 tillsynsbegäran mail.docx", "A 34475-2024")</f>
        <v/>
      </c>
    </row>
    <row r="551" ht="15" customHeight="1">
      <c r="A551" t="inlineStr">
        <is>
          <t>A 46997-2025</t>
        </is>
      </c>
      <c r="B551" s="1" t="n">
        <v>45929.54833333333</v>
      </c>
      <c r="C551" s="1" t="n">
        <v>46086</v>
      </c>
      <c r="D551" t="inlineStr">
        <is>
          <t>GÄVLEBORGS LÄN</t>
        </is>
      </c>
      <c r="E551" t="inlineStr">
        <is>
          <t>BOLLNÄS</t>
        </is>
      </c>
      <c r="G551" t="n">
        <v>2.1</v>
      </c>
      <c r="H551" t="n">
        <v>0</v>
      </c>
      <c r="I551" t="n">
        <v>0</v>
      </c>
      <c r="J551" t="n">
        <v>0</v>
      </c>
      <c r="K551" t="n">
        <v>0</v>
      </c>
      <c r="L551" t="n">
        <v>1</v>
      </c>
      <c r="M551" t="n">
        <v>0</v>
      </c>
      <c r="N551" t="n">
        <v>0</v>
      </c>
      <c r="O551" t="n">
        <v>1</v>
      </c>
      <c r="P551" t="n">
        <v>1</v>
      </c>
      <c r="Q551" t="n">
        <v>1</v>
      </c>
      <c r="R551" s="2" t="inlineStr">
        <is>
          <t>Ryl</t>
        </is>
      </c>
      <c r="S551">
        <f>HYPERLINK("https://klasma.github.io/Logging_2183/artfynd/A 46997-2025 artfynd.xlsx", "A 46997-2025")</f>
        <v/>
      </c>
      <c r="T551">
        <f>HYPERLINK("https://klasma.github.io/Logging_2183/kartor/A 46997-2025 karta.png", "A 46997-2025")</f>
        <v/>
      </c>
      <c r="V551">
        <f>HYPERLINK("https://klasma.github.io/Logging_2183/klagomål/A 46997-2025 FSC-klagomål.docx", "A 46997-2025")</f>
        <v/>
      </c>
      <c r="W551">
        <f>HYPERLINK("https://klasma.github.io/Logging_2183/klagomålsmail/A 46997-2025 FSC-klagomål mail.docx", "A 46997-2025")</f>
        <v/>
      </c>
      <c r="X551">
        <f>HYPERLINK("https://klasma.github.io/Logging_2183/tillsyn/A 46997-2025 tillsynsbegäran.docx", "A 46997-2025")</f>
        <v/>
      </c>
      <c r="Y551">
        <f>HYPERLINK("https://klasma.github.io/Logging_2183/tillsynsmail/A 46997-2025 tillsynsbegäran mail.docx", "A 46997-2025")</f>
        <v/>
      </c>
    </row>
    <row r="552" ht="15" customHeight="1">
      <c r="A552" t="inlineStr">
        <is>
          <t>A 26463-2024</t>
        </is>
      </c>
      <c r="B552" s="1" t="n">
        <v>45469.53998842592</v>
      </c>
      <c r="C552" s="1" t="n">
        <v>46086</v>
      </c>
      <c r="D552" t="inlineStr">
        <is>
          <t>GÄVLEBORGS LÄN</t>
        </is>
      </c>
      <c r="E552" t="inlineStr">
        <is>
          <t>OCKELBO</t>
        </is>
      </c>
      <c r="F552" t="inlineStr">
        <is>
          <t>Bergvik skog väst AB</t>
        </is>
      </c>
      <c r="G552" t="n">
        <v>3.6</v>
      </c>
      <c r="H552" t="n">
        <v>1</v>
      </c>
      <c r="I552" t="n">
        <v>0</v>
      </c>
      <c r="J552" t="n">
        <v>0</v>
      </c>
      <c r="K552" t="n">
        <v>0</v>
      </c>
      <c r="L552" t="n">
        <v>0</v>
      </c>
      <c r="M552" t="n">
        <v>0</v>
      </c>
      <c r="N552" t="n">
        <v>0</v>
      </c>
      <c r="O552" t="n">
        <v>0</v>
      </c>
      <c r="P552" t="n">
        <v>0</v>
      </c>
      <c r="Q552" t="n">
        <v>1</v>
      </c>
      <c r="R552" s="2" t="inlineStr">
        <is>
          <t>Revlummer</t>
        </is>
      </c>
      <c r="S552">
        <f>HYPERLINK("https://klasma.github.io/Logging_2101/artfynd/A 26463-2024 artfynd.xlsx", "A 26463-2024")</f>
        <v/>
      </c>
      <c r="T552">
        <f>HYPERLINK("https://klasma.github.io/Logging_2101/kartor/A 26463-2024 karta.png", "A 26463-2024")</f>
        <v/>
      </c>
      <c r="V552">
        <f>HYPERLINK("https://klasma.github.io/Logging_2101/klagomål/A 26463-2024 FSC-klagomål.docx", "A 26463-2024")</f>
        <v/>
      </c>
      <c r="W552">
        <f>HYPERLINK("https://klasma.github.io/Logging_2101/klagomålsmail/A 26463-2024 FSC-klagomål mail.docx", "A 26463-2024")</f>
        <v/>
      </c>
      <c r="X552">
        <f>HYPERLINK("https://klasma.github.io/Logging_2101/tillsyn/A 26463-2024 tillsynsbegäran.docx", "A 26463-2024")</f>
        <v/>
      </c>
      <c r="Y552">
        <f>HYPERLINK("https://klasma.github.io/Logging_2101/tillsynsmail/A 26463-2024 tillsynsbegäran mail.docx", "A 26463-2024")</f>
        <v/>
      </c>
    </row>
    <row r="553" ht="15" customHeight="1">
      <c r="A553" t="inlineStr">
        <is>
          <t>A 46610-2025</t>
        </is>
      </c>
      <c r="B553" s="1" t="n">
        <v>45926.42373842592</v>
      </c>
      <c r="C553" s="1" t="n">
        <v>46086</v>
      </c>
      <c r="D553" t="inlineStr">
        <is>
          <t>GÄVLEBORGS LÄN</t>
        </is>
      </c>
      <c r="E553" t="inlineStr">
        <is>
          <t>SANDVIKEN</t>
        </is>
      </c>
      <c r="F553" t="inlineStr">
        <is>
          <t>Sveaskog</t>
        </is>
      </c>
      <c r="G553" t="n">
        <v>16.3</v>
      </c>
      <c r="H553" t="n">
        <v>0</v>
      </c>
      <c r="I553" t="n">
        <v>0</v>
      </c>
      <c r="J553" t="n">
        <v>1</v>
      </c>
      <c r="K553" t="n">
        <v>0</v>
      </c>
      <c r="L553" t="n">
        <v>0</v>
      </c>
      <c r="M553" t="n">
        <v>0</v>
      </c>
      <c r="N553" t="n">
        <v>0</v>
      </c>
      <c r="O553" t="n">
        <v>1</v>
      </c>
      <c r="P553" t="n">
        <v>0</v>
      </c>
      <c r="Q553" t="n">
        <v>1</v>
      </c>
      <c r="R553" s="2" t="inlineStr">
        <is>
          <t>Tallticka</t>
        </is>
      </c>
      <c r="S553">
        <f>HYPERLINK("https://klasma.github.io/Logging_2181/artfynd/A 46610-2025 artfynd.xlsx", "A 46610-2025")</f>
        <v/>
      </c>
      <c r="T553">
        <f>HYPERLINK("https://klasma.github.io/Logging_2181/kartor/A 46610-2025 karta.png", "A 46610-2025")</f>
        <v/>
      </c>
      <c r="V553">
        <f>HYPERLINK("https://klasma.github.io/Logging_2181/klagomål/A 46610-2025 FSC-klagomål.docx", "A 46610-2025")</f>
        <v/>
      </c>
      <c r="W553">
        <f>HYPERLINK("https://klasma.github.io/Logging_2181/klagomålsmail/A 46610-2025 FSC-klagomål mail.docx", "A 46610-2025")</f>
        <v/>
      </c>
      <c r="X553">
        <f>HYPERLINK("https://klasma.github.io/Logging_2181/tillsyn/A 46610-2025 tillsynsbegäran.docx", "A 46610-2025")</f>
        <v/>
      </c>
      <c r="Y553">
        <f>HYPERLINK("https://klasma.github.io/Logging_2181/tillsynsmail/A 46610-2025 tillsynsbegäran mail.docx", "A 46610-2025")</f>
        <v/>
      </c>
    </row>
    <row r="554" ht="15" customHeight="1">
      <c r="A554" t="inlineStr">
        <is>
          <t>A 55768-2025</t>
        </is>
      </c>
      <c r="B554" s="1" t="n">
        <v>45972.61453703704</v>
      </c>
      <c r="C554" s="1" t="n">
        <v>46086</v>
      </c>
      <c r="D554" t="inlineStr">
        <is>
          <t>GÄVLEBORGS LÄN</t>
        </is>
      </c>
      <c r="E554" t="inlineStr">
        <is>
          <t>SÖDERHAMN</t>
        </is>
      </c>
      <c r="G554" t="n">
        <v>0.3</v>
      </c>
      <c r="H554" t="n">
        <v>0</v>
      </c>
      <c r="I554" t="n">
        <v>0</v>
      </c>
      <c r="J554" t="n">
        <v>0</v>
      </c>
      <c r="K554" t="n">
        <v>0</v>
      </c>
      <c r="L554" t="n">
        <v>1</v>
      </c>
      <c r="M554" t="n">
        <v>0</v>
      </c>
      <c r="N554" t="n">
        <v>0</v>
      </c>
      <c r="O554" t="n">
        <v>1</v>
      </c>
      <c r="P554" t="n">
        <v>1</v>
      </c>
      <c r="Q554" t="n">
        <v>1</v>
      </c>
      <c r="R554" s="2" t="inlineStr">
        <is>
          <t>Sydlig ladlav</t>
        </is>
      </c>
      <c r="S554">
        <f>HYPERLINK("https://klasma.github.io/Logging_2182/artfynd/A 55768-2025 artfynd.xlsx", "A 55768-2025")</f>
        <v/>
      </c>
      <c r="T554">
        <f>HYPERLINK("https://klasma.github.io/Logging_2182/kartor/A 55768-2025 karta.png", "A 55768-2025")</f>
        <v/>
      </c>
      <c r="V554">
        <f>HYPERLINK("https://klasma.github.io/Logging_2182/klagomål/A 55768-2025 FSC-klagomål.docx", "A 55768-2025")</f>
        <v/>
      </c>
      <c r="W554">
        <f>HYPERLINK("https://klasma.github.io/Logging_2182/klagomålsmail/A 55768-2025 FSC-klagomål mail.docx", "A 55768-2025")</f>
        <v/>
      </c>
      <c r="X554">
        <f>HYPERLINK("https://klasma.github.io/Logging_2182/tillsyn/A 55768-2025 tillsynsbegäran.docx", "A 55768-2025")</f>
        <v/>
      </c>
      <c r="Y554">
        <f>HYPERLINK("https://klasma.github.io/Logging_2182/tillsynsmail/A 55768-2025 tillsynsbegäran mail.docx", "A 55768-2025")</f>
        <v/>
      </c>
    </row>
    <row r="555" ht="15" customHeight="1">
      <c r="A555" t="inlineStr">
        <is>
          <t>A 36737-2025</t>
        </is>
      </c>
      <c r="B555" s="1" t="n">
        <v>45873.52961805555</v>
      </c>
      <c r="C555" s="1" t="n">
        <v>46086</v>
      </c>
      <c r="D555" t="inlineStr">
        <is>
          <t>GÄVLEBORGS LÄN</t>
        </is>
      </c>
      <c r="E555" t="inlineStr">
        <is>
          <t>LJUSDAL</t>
        </is>
      </c>
      <c r="G555" t="n">
        <v>2.8</v>
      </c>
      <c r="H555" t="n">
        <v>1</v>
      </c>
      <c r="I555" t="n">
        <v>0</v>
      </c>
      <c r="J555" t="n">
        <v>1</v>
      </c>
      <c r="K555" t="n">
        <v>0</v>
      </c>
      <c r="L555" t="n">
        <v>0</v>
      </c>
      <c r="M555" t="n">
        <v>0</v>
      </c>
      <c r="N555" t="n">
        <v>0</v>
      </c>
      <c r="O555" t="n">
        <v>1</v>
      </c>
      <c r="P555" t="n">
        <v>0</v>
      </c>
      <c r="Q555" t="n">
        <v>1</v>
      </c>
      <c r="R555" s="2" t="inlineStr">
        <is>
          <t>Nordfladdermus</t>
        </is>
      </c>
      <c r="S555">
        <f>HYPERLINK("https://klasma.github.io/Logging_2161/artfynd/A 36737-2025 artfynd.xlsx", "A 36737-2025")</f>
        <v/>
      </c>
      <c r="T555">
        <f>HYPERLINK("https://klasma.github.io/Logging_2161/kartor/A 36737-2025 karta.png", "A 36737-2025")</f>
        <v/>
      </c>
      <c r="V555">
        <f>HYPERLINK("https://klasma.github.io/Logging_2161/klagomål/A 36737-2025 FSC-klagomål.docx", "A 36737-2025")</f>
        <v/>
      </c>
      <c r="W555">
        <f>HYPERLINK("https://klasma.github.io/Logging_2161/klagomålsmail/A 36737-2025 FSC-klagomål mail.docx", "A 36737-2025")</f>
        <v/>
      </c>
      <c r="X555">
        <f>HYPERLINK("https://klasma.github.io/Logging_2161/tillsyn/A 36737-2025 tillsynsbegäran.docx", "A 36737-2025")</f>
        <v/>
      </c>
      <c r="Y555">
        <f>HYPERLINK("https://klasma.github.io/Logging_2161/tillsynsmail/A 36737-2025 tillsynsbegäran mail.docx", "A 36737-2025")</f>
        <v/>
      </c>
    </row>
    <row r="556" ht="15" customHeight="1">
      <c r="A556" t="inlineStr">
        <is>
          <t>A 36606-2025</t>
        </is>
      </c>
      <c r="B556" s="1" t="n">
        <v>45870.54482638889</v>
      </c>
      <c r="C556" s="1" t="n">
        <v>46086</v>
      </c>
      <c r="D556" t="inlineStr">
        <is>
          <t>GÄVLEBORGS LÄN</t>
        </is>
      </c>
      <c r="E556" t="inlineStr">
        <is>
          <t>HOFORS</t>
        </is>
      </c>
      <c r="F556" t="inlineStr">
        <is>
          <t>Sveaskog</t>
        </is>
      </c>
      <c r="G556" t="n">
        <v>13.3</v>
      </c>
      <c r="H556" t="n">
        <v>0</v>
      </c>
      <c r="I556" t="n">
        <v>0</v>
      </c>
      <c r="J556" t="n">
        <v>1</v>
      </c>
      <c r="K556" t="n">
        <v>0</v>
      </c>
      <c r="L556" t="n">
        <v>0</v>
      </c>
      <c r="M556" t="n">
        <v>0</v>
      </c>
      <c r="N556" t="n">
        <v>0</v>
      </c>
      <c r="O556" t="n">
        <v>1</v>
      </c>
      <c r="P556" t="n">
        <v>0</v>
      </c>
      <c r="Q556" t="n">
        <v>1</v>
      </c>
      <c r="R556" s="2" t="inlineStr">
        <is>
          <t>Brunklöver</t>
        </is>
      </c>
      <c r="S556">
        <f>HYPERLINK("https://klasma.github.io/Logging_2104/artfynd/A 36606-2025 artfynd.xlsx", "A 36606-2025")</f>
        <v/>
      </c>
      <c r="T556">
        <f>HYPERLINK("https://klasma.github.io/Logging_2104/kartor/A 36606-2025 karta.png", "A 36606-2025")</f>
        <v/>
      </c>
      <c r="V556">
        <f>HYPERLINK("https://klasma.github.io/Logging_2104/klagomål/A 36606-2025 FSC-klagomål.docx", "A 36606-2025")</f>
        <v/>
      </c>
      <c r="W556">
        <f>HYPERLINK("https://klasma.github.io/Logging_2104/klagomålsmail/A 36606-2025 FSC-klagomål mail.docx", "A 36606-2025")</f>
        <v/>
      </c>
      <c r="X556">
        <f>HYPERLINK("https://klasma.github.io/Logging_2104/tillsyn/A 36606-2025 tillsynsbegäran.docx", "A 36606-2025")</f>
        <v/>
      </c>
      <c r="Y556">
        <f>HYPERLINK("https://klasma.github.io/Logging_2104/tillsynsmail/A 36606-2025 tillsynsbegäran mail.docx", "A 36606-2025")</f>
        <v/>
      </c>
    </row>
    <row r="557" ht="15" customHeight="1">
      <c r="A557" t="inlineStr">
        <is>
          <t>A 48300-2025</t>
        </is>
      </c>
      <c r="B557" s="1" t="n">
        <v>45933.61099537037</v>
      </c>
      <c r="C557" s="1" t="n">
        <v>46086</v>
      </c>
      <c r="D557" t="inlineStr">
        <is>
          <t>GÄVLEBORGS LÄN</t>
        </is>
      </c>
      <c r="E557" t="inlineStr">
        <is>
          <t>LJUSDAL</t>
        </is>
      </c>
      <c r="F557" t="inlineStr">
        <is>
          <t>Sveaskog</t>
        </is>
      </c>
      <c r="G557" t="n">
        <v>8.800000000000001</v>
      </c>
      <c r="H557" t="n">
        <v>0</v>
      </c>
      <c r="I557" t="n">
        <v>0</v>
      </c>
      <c r="J557" t="n">
        <v>1</v>
      </c>
      <c r="K557" t="n">
        <v>0</v>
      </c>
      <c r="L557" t="n">
        <v>0</v>
      </c>
      <c r="M557" t="n">
        <v>0</v>
      </c>
      <c r="N557" t="n">
        <v>0</v>
      </c>
      <c r="O557" t="n">
        <v>1</v>
      </c>
      <c r="P557" t="n">
        <v>0</v>
      </c>
      <c r="Q557" t="n">
        <v>1</v>
      </c>
      <c r="R557" s="2" t="inlineStr">
        <is>
          <t>Garnlav</t>
        </is>
      </c>
      <c r="S557">
        <f>HYPERLINK("https://klasma.github.io/Logging_2161/artfynd/A 48300-2025 artfynd.xlsx", "A 48300-2025")</f>
        <v/>
      </c>
      <c r="T557">
        <f>HYPERLINK("https://klasma.github.io/Logging_2161/kartor/A 48300-2025 karta.png", "A 48300-2025")</f>
        <v/>
      </c>
      <c r="V557">
        <f>HYPERLINK("https://klasma.github.io/Logging_2161/klagomål/A 48300-2025 FSC-klagomål.docx", "A 48300-2025")</f>
        <v/>
      </c>
      <c r="W557">
        <f>HYPERLINK("https://klasma.github.io/Logging_2161/klagomålsmail/A 48300-2025 FSC-klagomål mail.docx", "A 48300-2025")</f>
        <v/>
      </c>
      <c r="X557">
        <f>HYPERLINK("https://klasma.github.io/Logging_2161/tillsyn/A 48300-2025 tillsynsbegäran.docx", "A 48300-2025")</f>
        <v/>
      </c>
      <c r="Y557">
        <f>HYPERLINK("https://klasma.github.io/Logging_2161/tillsynsmail/A 48300-2025 tillsynsbegäran mail.docx", "A 48300-2025")</f>
        <v/>
      </c>
    </row>
    <row r="558" ht="15" customHeight="1">
      <c r="A558" t="inlineStr">
        <is>
          <t>A 28875-2025</t>
        </is>
      </c>
      <c r="B558" s="1" t="n">
        <v>45820</v>
      </c>
      <c r="C558" s="1" t="n">
        <v>46086</v>
      </c>
      <c r="D558" t="inlineStr">
        <is>
          <t>GÄVLEBORGS LÄN</t>
        </is>
      </c>
      <c r="E558" t="inlineStr">
        <is>
          <t>GÄVLE</t>
        </is>
      </c>
      <c r="F558" t="inlineStr">
        <is>
          <t>Bergvik skog väst AB</t>
        </is>
      </c>
      <c r="G558" t="n">
        <v>43.3</v>
      </c>
      <c r="H558" t="n">
        <v>1</v>
      </c>
      <c r="I558" t="n">
        <v>0</v>
      </c>
      <c r="J558" t="n">
        <v>0</v>
      </c>
      <c r="K558" t="n">
        <v>0</v>
      </c>
      <c r="L558" t="n">
        <v>0</v>
      </c>
      <c r="M558" t="n">
        <v>0</v>
      </c>
      <c r="N558" t="n">
        <v>0</v>
      </c>
      <c r="O558" t="n">
        <v>0</v>
      </c>
      <c r="P558" t="n">
        <v>0</v>
      </c>
      <c r="Q558" t="n">
        <v>1</v>
      </c>
      <c r="R558" s="2" t="inlineStr">
        <is>
          <t>Revlummer</t>
        </is>
      </c>
      <c r="S558">
        <f>HYPERLINK("https://klasma.github.io/Logging_2180/artfynd/A 28875-2025 artfynd.xlsx", "A 28875-2025")</f>
        <v/>
      </c>
      <c r="T558">
        <f>HYPERLINK("https://klasma.github.io/Logging_2180/kartor/A 28875-2025 karta.png", "A 28875-2025")</f>
        <v/>
      </c>
      <c r="V558">
        <f>HYPERLINK("https://klasma.github.io/Logging_2180/klagomål/A 28875-2025 FSC-klagomål.docx", "A 28875-2025")</f>
        <v/>
      </c>
      <c r="W558">
        <f>HYPERLINK("https://klasma.github.io/Logging_2180/klagomålsmail/A 28875-2025 FSC-klagomål mail.docx", "A 28875-2025")</f>
        <v/>
      </c>
      <c r="X558">
        <f>HYPERLINK("https://klasma.github.io/Logging_2180/tillsyn/A 28875-2025 tillsynsbegäran.docx", "A 28875-2025")</f>
        <v/>
      </c>
      <c r="Y558">
        <f>HYPERLINK("https://klasma.github.io/Logging_2180/tillsynsmail/A 28875-2025 tillsynsbegäran mail.docx", "A 28875-2025")</f>
        <v/>
      </c>
    </row>
    <row r="559" ht="15" customHeight="1">
      <c r="A559" t="inlineStr">
        <is>
          <t>A 11411-2025</t>
        </is>
      </c>
      <c r="B559" s="1" t="n">
        <v>45726.59087962963</v>
      </c>
      <c r="C559" s="1" t="n">
        <v>46086</v>
      </c>
      <c r="D559" t="inlineStr">
        <is>
          <t>GÄVLEBORGS LÄN</t>
        </is>
      </c>
      <c r="E559" t="inlineStr">
        <is>
          <t>GÄVLE</t>
        </is>
      </c>
      <c r="G559" t="n">
        <v>2.4</v>
      </c>
      <c r="H559" t="n">
        <v>1</v>
      </c>
      <c r="I559" t="n">
        <v>0</v>
      </c>
      <c r="J559" t="n">
        <v>0</v>
      </c>
      <c r="K559" t="n">
        <v>0</v>
      </c>
      <c r="L559" t="n">
        <v>0</v>
      </c>
      <c r="M559" t="n">
        <v>0</v>
      </c>
      <c r="N559" t="n">
        <v>0</v>
      </c>
      <c r="O559" t="n">
        <v>0</v>
      </c>
      <c r="P559" t="n">
        <v>0</v>
      </c>
      <c r="Q559" t="n">
        <v>1</v>
      </c>
      <c r="R559" s="2" t="inlineStr">
        <is>
          <t>Blåsippa</t>
        </is>
      </c>
      <c r="S559">
        <f>HYPERLINK("https://klasma.github.io/Logging_2180/artfynd/A 11411-2025 artfynd.xlsx", "A 11411-2025")</f>
        <v/>
      </c>
      <c r="T559">
        <f>HYPERLINK("https://klasma.github.io/Logging_2180/kartor/A 11411-2025 karta.png", "A 11411-2025")</f>
        <v/>
      </c>
      <c r="V559">
        <f>HYPERLINK("https://klasma.github.io/Logging_2180/klagomål/A 11411-2025 FSC-klagomål.docx", "A 11411-2025")</f>
        <v/>
      </c>
      <c r="W559">
        <f>HYPERLINK("https://klasma.github.io/Logging_2180/klagomålsmail/A 11411-2025 FSC-klagomål mail.docx", "A 11411-2025")</f>
        <v/>
      </c>
      <c r="X559">
        <f>HYPERLINK("https://klasma.github.io/Logging_2180/tillsyn/A 11411-2025 tillsynsbegäran.docx", "A 11411-2025")</f>
        <v/>
      </c>
      <c r="Y559">
        <f>HYPERLINK("https://klasma.github.io/Logging_2180/tillsynsmail/A 11411-2025 tillsynsbegäran mail.docx", "A 11411-2025")</f>
        <v/>
      </c>
    </row>
    <row r="560" ht="15" customHeight="1">
      <c r="A560" t="inlineStr">
        <is>
          <t>A 48330-2025</t>
        </is>
      </c>
      <c r="B560" s="1" t="n">
        <v>45933.63387731482</v>
      </c>
      <c r="C560" s="1" t="n">
        <v>46086</v>
      </c>
      <c r="D560" t="inlineStr">
        <is>
          <t>GÄVLEBORGS LÄN</t>
        </is>
      </c>
      <c r="E560" t="inlineStr">
        <is>
          <t>LJUSDAL</t>
        </is>
      </c>
      <c r="F560" t="inlineStr">
        <is>
          <t>Sveaskog</t>
        </is>
      </c>
      <c r="G560" t="n">
        <v>4.1</v>
      </c>
      <c r="H560" t="n">
        <v>1</v>
      </c>
      <c r="I560" t="n">
        <v>0</v>
      </c>
      <c r="J560" t="n">
        <v>1</v>
      </c>
      <c r="K560" t="n">
        <v>0</v>
      </c>
      <c r="L560" t="n">
        <v>0</v>
      </c>
      <c r="M560" t="n">
        <v>0</v>
      </c>
      <c r="N560" t="n">
        <v>0</v>
      </c>
      <c r="O560" t="n">
        <v>1</v>
      </c>
      <c r="P560" t="n">
        <v>0</v>
      </c>
      <c r="Q560" t="n">
        <v>1</v>
      </c>
      <c r="R560" s="2" t="inlineStr">
        <is>
          <t>Talltita</t>
        </is>
      </c>
      <c r="S560">
        <f>HYPERLINK("https://klasma.github.io/Logging_2161/artfynd/A 48330-2025 artfynd.xlsx", "A 48330-2025")</f>
        <v/>
      </c>
      <c r="T560">
        <f>HYPERLINK("https://klasma.github.io/Logging_2161/kartor/A 48330-2025 karta.png", "A 48330-2025")</f>
        <v/>
      </c>
      <c r="V560">
        <f>HYPERLINK("https://klasma.github.io/Logging_2161/klagomål/A 48330-2025 FSC-klagomål.docx", "A 48330-2025")</f>
        <v/>
      </c>
      <c r="W560">
        <f>HYPERLINK("https://klasma.github.io/Logging_2161/klagomålsmail/A 48330-2025 FSC-klagomål mail.docx", "A 48330-2025")</f>
        <v/>
      </c>
      <c r="X560">
        <f>HYPERLINK("https://klasma.github.io/Logging_2161/tillsyn/A 48330-2025 tillsynsbegäran.docx", "A 48330-2025")</f>
        <v/>
      </c>
      <c r="Y560">
        <f>HYPERLINK("https://klasma.github.io/Logging_2161/tillsynsmail/A 48330-2025 tillsynsbegäran mail.docx", "A 48330-2025")</f>
        <v/>
      </c>
      <c r="Z560">
        <f>HYPERLINK("https://klasma.github.io/Logging_2161/fåglar/A 48330-2025 prioriterade fågelarter.docx", "A 48330-2025")</f>
        <v/>
      </c>
    </row>
    <row r="561" ht="15" customHeight="1">
      <c r="A561" t="inlineStr">
        <is>
          <t>A 16809-2022</t>
        </is>
      </c>
      <c r="B561" s="1" t="n">
        <v>44673</v>
      </c>
      <c r="C561" s="1" t="n">
        <v>46086</v>
      </c>
      <c r="D561" t="inlineStr">
        <is>
          <t>GÄVLEBORGS LÄN</t>
        </is>
      </c>
      <c r="E561" t="inlineStr">
        <is>
          <t>NORDANSTIG</t>
        </is>
      </c>
      <c r="G561" t="n">
        <v>4.4</v>
      </c>
      <c r="H561" t="n">
        <v>0</v>
      </c>
      <c r="I561" t="n">
        <v>0</v>
      </c>
      <c r="J561" t="n">
        <v>1</v>
      </c>
      <c r="K561" t="n">
        <v>0</v>
      </c>
      <c r="L561" t="n">
        <v>0</v>
      </c>
      <c r="M561" t="n">
        <v>0</v>
      </c>
      <c r="N561" t="n">
        <v>0</v>
      </c>
      <c r="O561" t="n">
        <v>1</v>
      </c>
      <c r="P561" t="n">
        <v>0</v>
      </c>
      <c r="Q561" t="n">
        <v>1</v>
      </c>
      <c r="R561" s="2" t="inlineStr">
        <is>
          <t>Garnlav</t>
        </is>
      </c>
      <c r="S561">
        <f>HYPERLINK("https://klasma.github.io/Logging_2132/artfynd/A 16809-2022 artfynd.xlsx", "A 16809-2022")</f>
        <v/>
      </c>
      <c r="T561">
        <f>HYPERLINK("https://klasma.github.io/Logging_2132/kartor/A 16809-2022 karta.png", "A 16809-2022")</f>
        <v/>
      </c>
      <c r="V561">
        <f>HYPERLINK("https://klasma.github.io/Logging_2132/klagomål/A 16809-2022 FSC-klagomål.docx", "A 16809-2022")</f>
        <v/>
      </c>
      <c r="W561">
        <f>HYPERLINK("https://klasma.github.io/Logging_2132/klagomålsmail/A 16809-2022 FSC-klagomål mail.docx", "A 16809-2022")</f>
        <v/>
      </c>
      <c r="X561">
        <f>HYPERLINK("https://klasma.github.io/Logging_2132/tillsyn/A 16809-2022 tillsynsbegäran.docx", "A 16809-2022")</f>
        <v/>
      </c>
      <c r="Y561">
        <f>HYPERLINK("https://klasma.github.io/Logging_2132/tillsynsmail/A 16809-2022 tillsynsbegäran mail.docx", "A 16809-2022")</f>
        <v/>
      </c>
    </row>
    <row r="562" ht="15" customHeight="1">
      <c r="A562" t="inlineStr">
        <is>
          <t>A 37012-2025</t>
        </is>
      </c>
      <c r="B562" s="1" t="n">
        <v>45874.7066550926</v>
      </c>
      <c r="C562" s="1" t="n">
        <v>46086</v>
      </c>
      <c r="D562" t="inlineStr">
        <is>
          <t>GÄVLEBORGS LÄN</t>
        </is>
      </c>
      <c r="E562" t="inlineStr">
        <is>
          <t>HOFORS</t>
        </is>
      </c>
      <c r="F562" t="inlineStr">
        <is>
          <t>Sveaskog</t>
        </is>
      </c>
      <c r="G562" t="n">
        <v>3.7</v>
      </c>
      <c r="H562" t="n">
        <v>0</v>
      </c>
      <c r="I562" t="n">
        <v>0</v>
      </c>
      <c r="J562" t="n">
        <v>1</v>
      </c>
      <c r="K562" t="n">
        <v>0</v>
      </c>
      <c r="L562" t="n">
        <v>0</v>
      </c>
      <c r="M562" t="n">
        <v>0</v>
      </c>
      <c r="N562" t="n">
        <v>0</v>
      </c>
      <c r="O562" t="n">
        <v>1</v>
      </c>
      <c r="P562" t="n">
        <v>0</v>
      </c>
      <c r="Q562" t="n">
        <v>1</v>
      </c>
      <c r="R562" s="2" t="inlineStr">
        <is>
          <t>Motaggsvamp</t>
        </is>
      </c>
      <c r="S562">
        <f>HYPERLINK("https://klasma.github.io/Logging_2104/artfynd/A 37012-2025 artfynd.xlsx", "A 37012-2025")</f>
        <v/>
      </c>
      <c r="T562">
        <f>HYPERLINK("https://klasma.github.io/Logging_2104/kartor/A 37012-2025 karta.png", "A 37012-2025")</f>
        <v/>
      </c>
      <c r="V562">
        <f>HYPERLINK("https://klasma.github.io/Logging_2104/klagomål/A 37012-2025 FSC-klagomål.docx", "A 37012-2025")</f>
        <v/>
      </c>
      <c r="W562">
        <f>HYPERLINK("https://klasma.github.io/Logging_2104/klagomålsmail/A 37012-2025 FSC-klagomål mail.docx", "A 37012-2025")</f>
        <v/>
      </c>
      <c r="X562">
        <f>HYPERLINK("https://klasma.github.io/Logging_2104/tillsyn/A 37012-2025 tillsynsbegäran.docx", "A 37012-2025")</f>
        <v/>
      </c>
      <c r="Y562">
        <f>HYPERLINK("https://klasma.github.io/Logging_2104/tillsynsmail/A 37012-2025 tillsynsbegäran mail.docx", "A 37012-2025")</f>
        <v/>
      </c>
    </row>
    <row r="563" ht="15" customHeight="1">
      <c r="A563" t="inlineStr">
        <is>
          <t>A 37011-2025</t>
        </is>
      </c>
      <c r="B563" s="1" t="n">
        <v>45874.70511574074</v>
      </c>
      <c r="C563" s="1" t="n">
        <v>46086</v>
      </c>
      <c r="D563" t="inlineStr">
        <is>
          <t>GÄVLEBORGS LÄN</t>
        </is>
      </c>
      <c r="E563" t="inlineStr">
        <is>
          <t>HOFORS</t>
        </is>
      </c>
      <c r="F563" t="inlineStr">
        <is>
          <t>Sveaskog</t>
        </is>
      </c>
      <c r="G563" t="n">
        <v>3</v>
      </c>
      <c r="H563" t="n">
        <v>1</v>
      </c>
      <c r="I563" t="n">
        <v>0</v>
      </c>
      <c r="J563" t="n">
        <v>0</v>
      </c>
      <c r="K563" t="n">
        <v>1</v>
      </c>
      <c r="L563" t="n">
        <v>0</v>
      </c>
      <c r="M563" t="n">
        <v>0</v>
      </c>
      <c r="N563" t="n">
        <v>0</v>
      </c>
      <c r="O563" t="n">
        <v>1</v>
      </c>
      <c r="P563" t="n">
        <v>1</v>
      </c>
      <c r="Q563" t="n">
        <v>1</v>
      </c>
      <c r="R563" s="2" t="inlineStr">
        <is>
          <t>Knärot</t>
        </is>
      </c>
      <c r="S563">
        <f>HYPERLINK("https://klasma.github.io/Logging_2104/artfynd/A 37011-2025 artfynd.xlsx", "A 37011-2025")</f>
        <v/>
      </c>
      <c r="T563">
        <f>HYPERLINK("https://klasma.github.io/Logging_2104/kartor/A 37011-2025 karta.png", "A 37011-2025")</f>
        <v/>
      </c>
      <c r="U563">
        <f>HYPERLINK("https://klasma.github.io/Logging_2104/knärot/A 37011-2025 karta knärot.png", "A 37011-2025")</f>
        <v/>
      </c>
      <c r="V563">
        <f>HYPERLINK("https://klasma.github.io/Logging_2104/klagomål/A 37011-2025 FSC-klagomål.docx", "A 37011-2025")</f>
        <v/>
      </c>
      <c r="W563">
        <f>HYPERLINK("https://klasma.github.io/Logging_2104/klagomålsmail/A 37011-2025 FSC-klagomål mail.docx", "A 37011-2025")</f>
        <v/>
      </c>
      <c r="X563">
        <f>HYPERLINK("https://klasma.github.io/Logging_2104/tillsyn/A 37011-2025 tillsynsbegäran.docx", "A 37011-2025")</f>
        <v/>
      </c>
      <c r="Y563">
        <f>HYPERLINK("https://klasma.github.io/Logging_2104/tillsynsmail/A 37011-2025 tillsynsbegäran mail.docx", "A 37011-2025")</f>
        <v/>
      </c>
    </row>
    <row r="564" ht="15" customHeight="1">
      <c r="A564" t="inlineStr">
        <is>
          <t>A 48709-2025</t>
        </is>
      </c>
      <c r="B564" s="1" t="n">
        <v>45936.63020833334</v>
      </c>
      <c r="C564" s="1" t="n">
        <v>46086</v>
      </c>
      <c r="D564" t="inlineStr">
        <is>
          <t>GÄVLEBORGS LÄN</t>
        </is>
      </c>
      <c r="E564" t="inlineStr">
        <is>
          <t>HOFORS</t>
        </is>
      </c>
      <c r="G564" t="n">
        <v>2.5</v>
      </c>
      <c r="H564" t="n">
        <v>1</v>
      </c>
      <c r="I564" t="n">
        <v>0</v>
      </c>
      <c r="J564" t="n">
        <v>0</v>
      </c>
      <c r="K564" t="n">
        <v>1</v>
      </c>
      <c r="L564" t="n">
        <v>0</v>
      </c>
      <c r="M564" t="n">
        <v>0</v>
      </c>
      <c r="N564" t="n">
        <v>0</v>
      </c>
      <c r="O564" t="n">
        <v>1</v>
      </c>
      <c r="P564" t="n">
        <v>1</v>
      </c>
      <c r="Q564" t="n">
        <v>1</v>
      </c>
      <c r="R564" s="2" t="inlineStr">
        <is>
          <t>Knärot</t>
        </is>
      </c>
      <c r="S564">
        <f>HYPERLINK("https://klasma.github.io/Logging_2104/artfynd/A 48709-2025 artfynd.xlsx", "A 48709-2025")</f>
        <v/>
      </c>
      <c r="T564">
        <f>HYPERLINK("https://klasma.github.io/Logging_2104/kartor/A 48709-2025 karta.png", "A 48709-2025")</f>
        <v/>
      </c>
      <c r="U564">
        <f>HYPERLINK("https://klasma.github.io/Logging_2104/knärot/A 48709-2025 karta knärot.png", "A 48709-2025")</f>
        <v/>
      </c>
      <c r="V564">
        <f>HYPERLINK("https://klasma.github.io/Logging_2104/klagomål/A 48709-2025 FSC-klagomål.docx", "A 48709-2025")</f>
        <v/>
      </c>
      <c r="W564">
        <f>HYPERLINK("https://klasma.github.io/Logging_2104/klagomålsmail/A 48709-2025 FSC-klagomål mail.docx", "A 48709-2025")</f>
        <v/>
      </c>
      <c r="X564">
        <f>HYPERLINK("https://klasma.github.io/Logging_2104/tillsyn/A 48709-2025 tillsynsbegäran.docx", "A 48709-2025")</f>
        <v/>
      </c>
      <c r="Y564">
        <f>HYPERLINK("https://klasma.github.io/Logging_2104/tillsynsmail/A 48709-2025 tillsynsbegäran mail.docx", "A 48709-2025")</f>
        <v/>
      </c>
    </row>
    <row r="565" ht="15" customHeight="1">
      <c r="A565" t="inlineStr">
        <is>
          <t>A 32807-2024</t>
        </is>
      </c>
      <c r="B565" s="1" t="n">
        <v>45516</v>
      </c>
      <c r="C565" s="1" t="n">
        <v>46086</v>
      </c>
      <c r="D565" t="inlineStr">
        <is>
          <t>GÄVLEBORGS LÄN</t>
        </is>
      </c>
      <c r="E565" t="inlineStr">
        <is>
          <t>LJUSDAL</t>
        </is>
      </c>
      <c r="F565" t="inlineStr">
        <is>
          <t>Sveaskog</t>
        </is>
      </c>
      <c r="G565" t="n">
        <v>11.5</v>
      </c>
      <c r="H565" t="n">
        <v>0</v>
      </c>
      <c r="I565" t="n">
        <v>0</v>
      </c>
      <c r="J565" t="n">
        <v>1</v>
      </c>
      <c r="K565" t="n">
        <v>0</v>
      </c>
      <c r="L565" t="n">
        <v>0</v>
      </c>
      <c r="M565" t="n">
        <v>0</v>
      </c>
      <c r="N565" t="n">
        <v>0</v>
      </c>
      <c r="O565" t="n">
        <v>1</v>
      </c>
      <c r="P565" t="n">
        <v>0</v>
      </c>
      <c r="Q565" t="n">
        <v>1</v>
      </c>
      <c r="R565" s="2" t="inlineStr">
        <is>
          <t>Kolflarnlav</t>
        </is>
      </c>
      <c r="S565">
        <f>HYPERLINK("https://klasma.github.io/Logging_2161/artfynd/A 32807-2024 artfynd.xlsx", "A 32807-2024")</f>
        <v/>
      </c>
      <c r="T565">
        <f>HYPERLINK("https://klasma.github.io/Logging_2161/kartor/A 32807-2024 karta.png", "A 32807-2024")</f>
        <v/>
      </c>
      <c r="V565">
        <f>HYPERLINK("https://klasma.github.io/Logging_2161/klagomål/A 32807-2024 FSC-klagomål.docx", "A 32807-2024")</f>
        <v/>
      </c>
      <c r="W565">
        <f>HYPERLINK("https://klasma.github.io/Logging_2161/klagomålsmail/A 32807-2024 FSC-klagomål mail.docx", "A 32807-2024")</f>
        <v/>
      </c>
      <c r="X565">
        <f>HYPERLINK("https://klasma.github.io/Logging_2161/tillsyn/A 32807-2024 tillsynsbegäran.docx", "A 32807-2024")</f>
        <v/>
      </c>
      <c r="Y565">
        <f>HYPERLINK("https://klasma.github.io/Logging_2161/tillsynsmail/A 32807-2024 tillsynsbegäran mail.docx", "A 32807-2024")</f>
        <v/>
      </c>
    </row>
    <row r="566" ht="15" customHeight="1">
      <c r="A566" t="inlineStr">
        <is>
          <t>A 47605-2025</t>
        </is>
      </c>
      <c r="B566" s="1" t="n">
        <v>45931.46359953703</v>
      </c>
      <c r="C566" s="1" t="n">
        <v>46086</v>
      </c>
      <c r="D566" t="inlineStr">
        <is>
          <t>GÄVLEBORGS LÄN</t>
        </is>
      </c>
      <c r="E566" t="inlineStr">
        <is>
          <t>NORDANSTIG</t>
        </is>
      </c>
      <c r="F566" t="inlineStr">
        <is>
          <t>Holmen skog AB</t>
        </is>
      </c>
      <c r="G566" t="n">
        <v>11.7</v>
      </c>
      <c r="H566" t="n">
        <v>1</v>
      </c>
      <c r="I566" t="n">
        <v>0</v>
      </c>
      <c r="J566" t="n">
        <v>0</v>
      </c>
      <c r="K566" t="n">
        <v>0</v>
      </c>
      <c r="L566" t="n">
        <v>0</v>
      </c>
      <c r="M566" t="n">
        <v>0</v>
      </c>
      <c r="N566" t="n">
        <v>0</v>
      </c>
      <c r="O566" t="n">
        <v>0</v>
      </c>
      <c r="P566" t="n">
        <v>0</v>
      </c>
      <c r="Q566" t="n">
        <v>1</v>
      </c>
      <c r="R566" s="2" t="inlineStr">
        <is>
          <t>Tjäder</t>
        </is>
      </c>
      <c r="S566">
        <f>HYPERLINK("https://klasma.github.io/Logging_2132/artfynd/A 47605-2025 artfynd.xlsx", "A 47605-2025")</f>
        <v/>
      </c>
      <c r="T566">
        <f>HYPERLINK("https://klasma.github.io/Logging_2132/kartor/A 47605-2025 karta.png", "A 47605-2025")</f>
        <v/>
      </c>
      <c r="V566">
        <f>HYPERLINK("https://klasma.github.io/Logging_2132/klagomål/A 47605-2025 FSC-klagomål.docx", "A 47605-2025")</f>
        <v/>
      </c>
      <c r="W566">
        <f>HYPERLINK("https://klasma.github.io/Logging_2132/klagomålsmail/A 47605-2025 FSC-klagomål mail.docx", "A 47605-2025")</f>
        <v/>
      </c>
      <c r="X566">
        <f>HYPERLINK("https://klasma.github.io/Logging_2132/tillsyn/A 47605-2025 tillsynsbegäran.docx", "A 47605-2025")</f>
        <v/>
      </c>
      <c r="Y566">
        <f>HYPERLINK("https://klasma.github.io/Logging_2132/tillsynsmail/A 47605-2025 tillsynsbegäran mail.docx", "A 47605-2025")</f>
        <v/>
      </c>
      <c r="Z566">
        <f>HYPERLINK("https://klasma.github.io/Logging_2132/fåglar/A 47605-2025 prioriterade fågelarter.docx", "A 47605-2025")</f>
        <v/>
      </c>
    </row>
    <row r="567" ht="15" customHeight="1">
      <c r="A567" t="inlineStr">
        <is>
          <t>A 43883-2025</t>
        </is>
      </c>
      <c r="B567" s="1" t="n">
        <v>45912.68892361111</v>
      </c>
      <c r="C567" s="1" t="n">
        <v>46086</v>
      </c>
      <c r="D567" t="inlineStr">
        <is>
          <t>GÄVLEBORGS LÄN</t>
        </is>
      </c>
      <c r="E567" t="inlineStr">
        <is>
          <t>HOFORS</t>
        </is>
      </c>
      <c r="F567" t="inlineStr">
        <is>
          <t>Sveaskog</t>
        </is>
      </c>
      <c r="G567" t="n">
        <v>6.2</v>
      </c>
      <c r="H567" t="n">
        <v>1</v>
      </c>
      <c r="I567" t="n">
        <v>0</v>
      </c>
      <c r="J567" t="n">
        <v>0</v>
      </c>
      <c r="K567" t="n">
        <v>0</v>
      </c>
      <c r="L567" t="n">
        <v>0</v>
      </c>
      <c r="M567" t="n">
        <v>0</v>
      </c>
      <c r="N567" t="n">
        <v>0</v>
      </c>
      <c r="O567" t="n">
        <v>0</v>
      </c>
      <c r="P567" t="n">
        <v>0</v>
      </c>
      <c r="Q567" t="n">
        <v>1</v>
      </c>
      <c r="R567" s="2" t="inlineStr">
        <is>
          <t>Tjäder</t>
        </is>
      </c>
      <c r="S567">
        <f>HYPERLINK("https://klasma.github.io/Logging_2104/artfynd/A 43883-2025 artfynd.xlsx", "A 43883-2025")</f>
        <v/>
      </c>
      <c r="T567">
        <f>HYPERLINK("https://klasma.github.io/Logging_2104/kartor/A 43883-2025 karta.png", "A 43883-2025")</f>
        <v/>
      </c>
      <c r="V567">
        <f>HYPERLINK("https://klasma.github.io/Logging_2104/klagomål/A 43883-2025 FSC-klagomål.docx", "A 43883-2025")</f>
        <v/>
      </c>
      <c r="W567">
        <f>HYPERLINK("https://klasma.github.io/Logging_2104/klagomålsmail/A 43883-2025 FSC-klagomål mail.docx", "A 43883-2025")</f>
        <v/>
      </c>
      <c r="X567">
        <f>HYPERLINK("https://klasma.github.io/Logging_2104/tillsyn/A 43883-2025 tillsynsbegäran.docx", "A 43883-2025")</f>
        <v/>
      </c>
      <c r="Y567">
        <f>HYPERLINK("https://klasma.github.io/Logging_2104/tillsynsmail/A 43883-2025 tillsynsbegäran mail.docx", "A 43883-2025")</f>
        <v/>
      </c>
      <c r="Z567">
        <f>HYPERLINK("https://klasma.github.io/Logging_2104/fåglar/A 43883-2025 prioriterade fågelarter.docx", "A 43883-2025")</f>
        <v/>
      </c>
    </row>
    <row r="568" ht="15" customHeight="1">
      <c r="A568" t="inlineStr">
        <is>
          <t>A 49333-2025</t>
        </is>
      </c>
      <c r="B568" s="1" t="n">
        <v>45938.58262731481</v>
      </c>
      <c r="C568" s="1" t="n">
        <v>46086</v>
      </c>
      <c r="D568" t="inlineStr">
        <is>
          <t>GÄVLEBORGS LÄN</t>
        </is>
      </c>
      <c r="E568" t="inlineStr">
        <is>
          <t>SANDVIKEN</t>
        </is>
      </c>
      <c r="F568" t="inlineStr">
        <is>
          <t>Sveaskog</t>
        </is>
      </c>
      <c r="G568" t="n">
        <v>6.7</v>
      </c>
      <c r="H568" t="n">
        <v>1</v>
      </c>
      <c r="I568" t="n">
        <v>0</v>
      </c>
      <c r="J568" t="n">
        <v>0</v>
      </c>
      <c r="K568" t="n">
        <v>0</v>
      </c>
      <c r="L568" t="n">
        <v>1</v>
      </c>
      <c r="M568" t="n">
        <v>0</v>
      </c>
      <c r="N568" t="n">
        <v>0</v>
      </c>
      <c r="O568" t="n">
        <v>1</v>
      </c>
      <c r="P568" t="n">
        <v>1</v>
      </c>
      <c r="Q568" t="n">
        <v>1</v>
      </c>
      <c r="R568" s="2" t="inlineStr">
        <is>
          <t>Grönfink</t>
        </is>
      </c>
      <c r="S568">
        <f>HYPERLINK("https://klasma.github.io/Logging_2181/artfynd/A 49333-2025 artfynd.xlsx", "A 49333-2025")</f>
        <v/>
      </c>
      <c r="T568">
        <f>HYPERLINK("https://klasma.github.io/Logging_2181/kartor/A 49333-2025 karta.png", "A 49333-2025")</f>
        <v/>
      </c>
      <c r="V568">
        <f>HYPERLINK("https://klasma.github.io/Logging_2181/klagomål/A 49333-2025 FSC-klagomål.docx", "A 49333-2025")</f>
        <v/>
      </c>
      <c r="W568">
        <f>HYPERLINK("https://klasma.github.io/Logging_2181/klagomålsmail/A 49333-2025 FSC-klagomål mail.docx", "A 49333-2025")</f>
        <v/>
      </c>
      <c r="X568">
        <f>HYPERLINK("https://klasma.github.io/Logging_2181/tillsyn/A 49333-2025 tillsynsbegäran.docx", "A 49333-2025")</f>
        <v/>
      </c>
      <c r="Y568">
        <f>HYPERLINK("https://klasma.github.io/Logging_2181/tillsynsmail/A 49333-2025 tillsynsbegäran mail.docx", "A 49333-2025")</f>
        <v/>
      </c>
      <c r="Z568">
        <f>HYPERLINK("https://klasma.github.io/Logging_2181/fåglar/A 49333-2025 prioriterade fågelarter.docx", "A 49333-2025")</f>
        <v/>
      </c>
    </row>
    <row r="569" ht="15" customHeight="1">
      <c r="A569" t="inlineStr">
        <is>
          <t>A 38350-2025</t>
        </is>
      </c>
      <c r="B569" s="1" t="n">
        <v>45883</v>
      </c>
      <c r="C569" s="1" t="n">
        <v>46086</v>
      </c>
      <c r="D569" t="inlineStr">
        <is>
          <t>GÄVLEBORGS LÄN</t>
        </is>
      </c>
      <c r="E569" t="inlineStr">
        <is>
          <t>SANDVIKEN</t>
        </is>
      </c>
      <c r="F569" t="inlineStr">
        <is>
          <t>Bergvik skog väst AB</t>
        </is>
      </c>
      <c r="G569" t="n">
        <v>25</v>
      </c>
      <c r="H569" t="n">
        <v>0</v>
      </c>
      <c r="I569" t="n">
        <v>1</v>
      </c>
      <c r="J569" t="n">
        <v>0</v>
      </c>
      <c r="K569" t="n">
        <v>0</v>
      </c>
      <c r="L569" t="n">
        <v>0</v>
      </c>
      <c r="M569" t="n">
        <v>0</v>
      </c>
      <c r="N569" t="n">
        <v>0</v>
      </c>
      <c r="O569" t="n">
        <v>0</v>
      </c>
      <c r="P569" t="n">
        <v>0</v>
      </c>
      <c r="Q569" t="n">
        <v>1</v>
      </c>
      <c r="R569" s="2" t="inlineStr">
        <is>
          <t>Brandticka</t>
        </is>
      </c>
      <c r="S569">
        <f>HYPERLINK("https://klasma.github.io/Logging_2181/artfynd/A 38350-2025 artfynd.xlsx", "A 38350-2025")</f>
        <v/>
      </c>
      <c r="T569">
        <f>HYPERLINK("https://klasma.github.io/Logging_2181/kartor/A 38350-2025 karta.png", "A 38350-2025")</f>
        <v/>
      </c>
      <c r="V569">
        <f>HYPERLINK("https://klasma.github.io/Logging_2181/klagomål/A 38350-2025 FSC-klagomål.docx", "A 38350-2025")</f>
        <v/>
      </c>
      <c r="W569">
        <f>HYPERLINK("https://klasma.github.io/Logging_2181/klagomålsmail/A 38350-2025 FSC-klagomål mail.docx", "A 38350-2025")</f>
        <v/>
      </c>
      <c r="X569">
        <f>HYPERLINK("https://klasma.github.io/Logging_2181/tillsyn/A 38350-2025 tillsynsbegäran.docx", "A 38350-2025")</f>
        <v/>
      </c>
      <c r="Y569">
        <f>HYPERLINK("https://klasma.github.io/Logging_2181/tillsynsmail/A 38350-2025 tillsynsbegäran mail.docx", "A 38350-2025")</f>
        <v/>
      </c>
    </row>
    <row r="570" ht="15" customHeight="1">
      <c r="A570" t="inlineStr">
        <is>
          <t>A 46058-2025</t>
        </is>
      </c>
      <c r="B570" s="1" t="n">
        <v>45924</v>
      </c>
      <c r="C570" s="1" t="n">
        <v>46086</v>
      </c>
      <c r="D570" t="inlineStr">
        <is>
          <t>GÄVLEBORGS LÄN</t>
        </is>
      </c>
      <c r="E570" t="inlineStr">
        <is>
          <t>HOFORS</t>
        </is>
      </c>
      <c r="F570" t="inlineStr">
        <is>
          <t>Övriga statliga verk och myndigheter</t>
        </is>
      </c>
      <c r="G570" t="n">
        <v>1.6</v>
      </c>
      <c r="H570" t="n">
        <v>0</v>
      </c>
      <c r="I570" t="n">
        <v>1</v>
      </c>
      <c r="J570" t="n">
        <v>0</v>
      </c>
      <c r="K570" t="n">
        <v>0</v>
      </c>
      <c r="L570" t="n">
        <v>0</v>
      </c>
      <c r="M570" t="n">
        <v>0</v>
      </c>
      <c r="N570" t="n">
        <v>0</v>
      </c>
      <c r="O570" t="n">
        <v>0</v>
      </c>
      <c r="P570" t="n">
        <v>0</v>
      </c>
      <c r="Q570" t="n">
        <v>1</v>
      </c>
      <c r="R570" s="2" t="inlineStr">
        <is>
          <t>Skarp dropptaggsvamp</t>
        </is>
      </c>
      <c r="S570">
        <f>HYPERLINK("https://klasma.github.io/Logging_2104/artfynd/A 46058-2025 artfynd.xlsx", "A 46058-2025")</f>
        <v/>
      </c>
      <c r="T570">
        <f>HYPERLINK("https://klasma.github.io/Logging_2104/kartor/A 46058-2025 karta.png", "A 46058-2025")</f>
        <v/>
      </c>
      <c r="V570">
        <f>HYPERLINK("https://klasma.github.io/Logging_2104/klagomål/A 46058-2025 FSC-klagomål.docx", "A 46058-2025")</f>
        <v/>
      </c>
      <c r="W570">
        <f>HYPERLINK("https://klasma.github.io/Logging_2104/klagomålsmail/A 46058-2025 FSC-klagomål mail.docx", "A 46058-2025")</f>
        <v/>
      </c>
      <c r="X570">
        <f>HYPERLINK("https://klasma.github.io/Logging_2104/tillsyn/A 46058-2025 tillsynsbegäran.docx", "A 46058-2025")</f>
        <v/>
      </c>
      <c r="Y570">
        <f>HYPERLINK("https://klasma.github.io/Logging_2104/tillsynsmail/A 46058-2025 tillsynsbegäran mail.docx", "A 46058-2025")</f>
        <v/>
      </c>
    </row>
    <row r="571" ht="15" customHeight="1">
      <c r="A571" t="inlineStr">
        <is>
          <t>A 38105-2025</t>
        </is>
      </c>
      <c r="B571" s="1" t="n">
        <v>45882</v>
      </c>
      <c r="C571" s="1" t="n">
        <v>46086</v>
      </c>
      <c r="D571" t="inlineStr">
        <is>
          <t>GÄVLEBORGS LÄN</t>
        </is>
      </c>
      <c r="E571" t="inlineStr">
        <is>
          <t>LJUSDAL</t>
        </is>
      </c>
      <c r="F571" t="inlineStr">
        <is>
          <t>Bergvik skog väst AB</t>
        </is>
      </c>
      <c r="G571" t="n">
        <v>11.7</v>
      </c>
      <c r="H571" t="n">
        <v>0</v>
      </c>
      <c r="I571" t="n">
        <v>0</v>
      </c>
      <c r="J571" t="n">
        <v>1</v>
      </c>
      <c r="K571" t="n">
        <v>0</v>
      </c>
      <c r="L571" t="n">
        <v>0</v>
      </c>
      <c r="M571" t="n">
        <v>0</v>
      </c>
      <c r="N571" t="n">
        <v>0</v>
      </c>
      <c r="O571" t="n">
        <v>1</v>
      </c>
      <c r="P571" t="n">
        <v>0</v>
      </c>
      <c r="Q571" t="n">
        <v>1</v>
      </c>
      <c r="R571" s="2" t="inlineStr">
        <is>
          <t>Lunglav</t>
        </is>
      </c>
      <c r="S571">
        <f>HYPERLINK("https://klasma.github.io/Logging_2161/artfynd/A 38105-2025 artfynd.xlsx", "A 38105-2025")</f>
        <v/>
      </c>
      <c r="T571">
        <f>HYPERLINK("https://klasma.github.io/Logging_2161/kartor/A 38105-2025 karta.png", "A 38105-2025")</f>
        <v/>
      </c>
      <c r="V571">
        <f>HYPERLINK("https://klasma.github.io/Logging_2161/klagomål/A 38105-2025 FSC-klagomål.docx", "A 38105-2025")</f>
        <v/>
      </c>
      <c r="W571">
        <f>HYPERLINK("https://klasma.github.io/Logging_2161/klagomålsmail/A 38105-2025 FSC-klagomål mail.docx", "A 38105-2025")</f>
        <v/>
      </c>
      <c r="X571">
        <f>HYPERLINK("https://klasma.github.io/Logging_2161/tillsyn/A 38105-2025 tillsynsbegäran.docx", "A 38105-2025")</f>
        <v/>
      </c>
      <c r="Y571">
        <f>HYPERLINK("https://klasma.github.io/Logging_2161/tillsynsmail/A 38105-2025 tillsynsbegäran mail.docx", "A 38105-2025")</f>
        <v/>
      </c>
    </row>
    <row r="572" ht="15" customHeight="1">
      <c r="A572" t="inlineStr">
        <is>
          <t>A 50315-2025</t>
        </is>
      </c>
      <c r="B572" s="1" t="n">
        <v>45944.44555555555</v>
      </c>
      <c r="C572" s="1" t="n">
        <v>46086</v>
      </c>
      <c r="D572" t="inlineStr">
        <is>
          <t>GÄVLEBORGS LÄN</t>
        </is>
      </c>
      <c r="E572" t="inlineStr">
        <is>
          <t>LJUSDAL</t>
        </is>
      </c>
      <c r="F572" t="inlineStr">
        <is>
          <t>Bergvik skog väst AB</t>
        </is>
      </c>
      <c r="G572" t="n">
        <v>11.2</v>
      </c>
      <c r="H572" t="n">
        <v>0</v>
      </c>
      <c r="I572" t="n">
        <v>0</v>
      </c>
      <c r="J572" t="n">
        <v>1</v>
      </c>
      <c r="K572" t="n">
        <v>0</v>
      </c>
      <c r="L572" t="n">
        <v>0</v>
      </c>
      <c r="M572" t="n">
        <v>0</v>
      </c>
      <c r="N572" t="n">
        <v>0</v>
      </c>
      <c r="O572" t="n">
        <v>1</v>
      </c>
      <c r="P572" t="n">
        <v>0</v>
      </c>
      <c r="Q572" t="n">
        <v>1</v>
      </c>
      <c r="R572" s="2" t="inlineStr">
        <is>
          <t>Garnlav</t>
        </is>
      </c>
      <c r="S572">
        <f>HYPERLINK("https://klasma.github.io/Logging_2161/artfynd/A 50315-2025 artfynd.xlsx", "A 50315-2025")</f>
        <v/>
      </c>
      <c r="T572">
        <f>HYPERLINK("https://klasma.github.io/Logging_2161/kartor/A 50315-2025 karta.png", "A 50315-2025")</f>
        <v/>
      </c>
      <c r="V572">
        <f>HYPERLINK("https://klasma.github.io/Logging_2161/klagomål/A 50315-2025 FSC-klagomål.docx", "A 50315-2025")</f>
        <v/>
      </c>
      <c r="W572">
        <f>HYPERLINK("https://klasma.github.io/Logging_2161/klagomålsmail/A 50315-2025 FSC-klagomål mail.docx", "A 50315-2025")</f>
        <v/>
      </c>
      <c r="X572">
        <f>HYPERLINK("https://klasma.github.io/Logging_2161/tillsyn/A 50315-2025 tillsynsbegäran.docx", "A 50315-2025")</f>
        <v/>
      </c>
      <c r="Y572">
        <f>HYPERLINK("https://klasma.github.io/Logging_2161/tillsynsmail/A 50315-2025 tillsynsbegäran mail.docx", "A 50315-2025")</f>
        <v/>
      </c>
    </row>
    <row r="573" ht="15" customHeight="1">
      <c r="A573" t="inlineStr">
        <is>
          <t>A 50385-2025</t>
        </is>
      </c>
      <c r="B573" s="1" t="n">
        <v>45944.6084837963</v>
      </c>
      <c r="C573" s="1" t="n">
        <v>46086</v>
      </c>
      <c r="D573" t="inlineStr">
        <is>
          <t>GÄVLEBORGS LÄN</t>
        </is>
      </c>
      <c r="E573" t="inlineStr">
        <is>
          <t>HUDIKSVALL</t>
        </is>
      </c>
      <c r="G573" t="n">
        <v>3.3</v>
      </c>
      <c r="H573" t="n">
        <v>1</v>
      </c>
      <c r="I573" t="n">
        <v>0</v>
      </c>
      <c r="J573" t="n">
        <v>1</v>
      </c>
      <c r="K573" t="n">
        <v>0</v>
      </c>
      <c r="L573" t="n">
        <v>0</v>
      </c>
      <c r="M573" t="n">
        <v>0</v>
      </c>
      <c r="N573" t="n">
        <v>0</v>
      </c>
      <c r="O573" t="n">
        <v>1</v>
      </c>
      <c r="P573" t="n">
        <v>0</v>
      </c>
      <c r="Q573" t="n">
        <v>1</v>
      </c>
      <c r="R573" s="2" t="inlineStr">
        <is>
          <t>Mindre hackspett</t>
        </is>
      </c>
      <c r="S573">
        <f>HYPERLINK("https://klasma.github.io/Logging_2184/artfynd/A 50385-2025 artfynd.xlsx", "A 50385-2025")</f>
        <v/>
      </c>
      <c r="T573">
        <f>HYPERLINK("https://klasma.github.io/Logging_2184/kartor/A 50385-2025 karta.png", "A 50385-2025")</f>
        <v/>
      </c>
      <c r="V573">
        <f>HYPERLINK("https://klasma.github.io/Logging_2184/klagomål/A 50385-2025 FSC-klagomål.docx", "A 50385-2025")</f>
        <v/>
      </c>
      <c r="W573">
        <f>HYPERLINK("https://klasma.github.io/Logging_2184/klagomålsmail/A 50385-2025 FSC-klagomål mail.docx", "A 50385-2025")</f>
        <v/>
      </c>
      <c r="X573">
        <f>HYPERLINK("https://klasma.github.io/Logging_2184/tillsyn/A 50385-2025 tillsynsbegäran.docx", "A 50385-2025")</f>
        <v/>
      </c>
      <c r="Y573">
        <f>HYPERLINK("https://klasma.github.io/Logging_2184/tillsynsmail/A 50385-2025 tillsynsbegäran mail.docx", "A 50385-2025")</f>
        <v/>
      </c>
      <c r="Z573">
        <f>HYPERLINK("https://klasma.github.io/Logging_2184/fåglar/A 50385-2025 prioriterade fågelarter.docx", "A 50385-2025")</f>
        <v/>
      </c>
    </row>
    <row r="574" ht="15" customHeight="1">
      <c r="A574" t="inlineStr">
        <is>
          <t>A 50557-2025</t>
        </is>
      </c>
      <c r="B574" s="1" t="n">
        <v>45944</v>
      </c>
      <c r="C574" s="1" t="n">
        <v>46086</v>
      </c>
      <c r="D574" t="inlineStr">
        <is>
          <t>GÄVLEBORGS LÄN</t>
        </is>
      </c>
      <c r="E574" t="inlineStr">
        <is>
          <t>HUDIKSVALL</t>
        </is>
      </c>
      <c r="G574" t="n">
        <v>3.6</v>
      </c>
      <c r="H574" t="n">
        <v>1</v>
      </c>
      <c r="I574" t="n">
        <v>0</v>
      </c>
      <c r="J574" t="n">
        <v>0</v>
      </c>
      <c r="K574" t="n">
        <v>0</v>
      </c>
      <c r="L574" t="n">
        <v>0</v>
      </c>
      <c r="M574" t="n">
        <v>0</v>
      </c>
      <c r="N574" t="n">
        <v>0</v>
      </c>
      <c r="O574" t="n">
        <v>0</v>
      </c>
      <c r="P574" t="n">
        <v>0</v>
      </c>
      <c r="Q574" t="n">
        <v>1</v>
      </c>
      <c r="R574" s="2" t="inlineStr">
        <is>
          <t>Fläcknycklar</t>
        </is>
      </c>
      <c r="S574">
        <f>HYPERLINK("https://klasma.github.io/Logging_2184/artfynd/A 50557-2025 artfynd.xlsx", "A 50557-2025")</f>
        <v/>
      </c>
      <c r="T574">
        <f>HYPERLINK("https://klasma.github.io/Logging_2184/kartor/A 50557-2025 karta.png", "A 50557-2025")</f>
        <v/>
      </c>
      <c r="V574">
        <f>HYPERLINK("https://klasma.github.io/Logging_2184/klagomål/A 50557-2025 FSC-klagomål.docx", "A 50557-2025")</f>
        <v/>
      </c>
      <c r="W574">
        <f>HYPERLINK("https://klasma.github.io/Logging_2184/klagomålsmail/A 50557-2025 FSC-klagomål mail.docx", "A 50557-2025")</f>
        <v/>
      </c>
      <c r="X574">
        <f>HYPERLINK("https://klasma.github.io/Logging_2184/tillsyn/A 50557-2025 tillsynsbegäran.docx", "A 50557-2025")</f>
        <v/>
      </c>
      <c r="Y574">
        <f>HYPERLINK("https://klasma.github.io/Logging_2184/tillsynsmail/A 50557-2025 tillsynsbegäran mail.docx", "A 50557-2025")</f>
        <v/>
      </c>
    </row>
    <row r="575" ht="15" customHeight="1">
      <c r="A575" t="inlineStr">
        <is>
          <t>A 48188-2025</t>
        </is>
      </c>
      <c r="B575" s="1" t="n">
        <v>45933.46856481482</v>
      </c>
      <c r="C575" s="1" t="n">
        <v>46086</v>
      </c>
      <c r="D575" t="inlineStr">
        <is>
          <t>GÄVLEBORGS LÄN</t>
        </is>
      </c>
      <c r="E575" t="inlineStr">
        <is>
          <t>SANDVIKEN</t>
        </is>
      </c>
      <c r="F575" t="inlineStr">
        <is>
          <t>Sveaskog</t>
        </is>
      </c>
      <c r="G575" t="n">
        <v>4.6</v>
      </c>
      <c r="H575" t="n">
        <v>1</v>
      </c>
      <c r="I575" t="n">
        <v>0</v>
      </c>
      <c r="J575" t="n">
        <v>1</v>
      </c>
      <c r="K575" t="n">
        <v>0</v>
      </c>
      <c r="L575" t="n">
        <v>0</v>
      </c>
      <c r="M575" t="n">
        <v>0</v>
      </c>
      <c r="N575" t="n">
        <v>0</v>
      </c>
      <c r="O575" t="n">
        <v>1</v>
      </c>
      <c r="P575" t="n">
        <v>0</v>
      </c>
      <c r="Q575" t="n">
        <v>1</v>
      </c>
      <c r="R575" s="2" t="inlineStr">
        <is>
          <t>Talltita</t>
        </is>
      </c>
      <c r="S575">
        <f>HYPERLINK("https://klasma.github.io/Logging_2181/artfynd/A 48188-2025 artfynd.xlsx", "A 48188-2025")</f>
        <v/>
      </c>
      <c r="T575">
        <f>HYPERLINK("https://klasma.github.io/Logging_2181/kartor/A 48188-2025 karta.png", "A 48188-2025")</f>
        <v/>
      </c>
      <c r="V575">
        <f>HYPERLINK("https://klasma.github.io/Logging_2181/klagomål/A 48188-2025 FSC-klagomål.docx", "A 48188-2025")</f>
        <v/>
      </c>
      <c r="W575">
        <f>HYPERLINK("https://klasma.github.io/Logging_2181/klagomålsmail/A 48188-2025 FSC-klagomål mail.docx", "A 48188-2025")</f>
        <v/>
      </c>
      <c r="X575">
        <f>HYPERLINK("https://klasma.github.io/Logging_2181/tillsyn/A 48188-2025 tillsynsbegäran.docx", "A 48188-2025")</f>
        <v/>
      </c>
      <c r="Y575">
        <f>HYPERLINK("https://klasma.github.io/Logging_2181/tillsynsmail/A 48188-2025 tillsynsbegäran mail.docx", "A 48188-2025")</f>
        <v/>
      </c>
      <c r="Z575">
        <f>HYPERLINK("https://klasma.github.io/Logging_2181/fåglar/A 48188-2025 prioriterade fågelarter.docx", "A 48188-2025")</f>
        <v/>
      </c>
    </row>
    <row r="576" ht="15" customHeight="1">
      <c r="A576" t="inlineStr">
        <is>
          <t>A 47738-2025</t>
        </is>
      </c>
      <c r="B576" s="1" t="n">
        <v>45931.64185185185</v>
      </c>
      <c r="C576" s="1" t="n">
        <v>46086</v>
      </c>
      <c r="D576" t="inlineStr">
        <is>
          <t>GÄVLEBORGS LÄN</t>
        </is>
      </c>
      <c r="E576" t="inlineStr">
        <is>
          <t>OVANÅKER</t>
        </is>
      </c>
      <c r="G576" t="n">
        <v>0.6</v>
      </c>
      <c r="H576" t="n">
        <v>0</v>
      </c>
      <c r="I576" t="n">
        <v>0</v>
      </c>
      <c r="J576" t="n">
        <v>1</v>
      </c>
      <c r="K576" t="n">
        <v>0</v>
      </c>
      <c r="L576" t="n">
        <v>0</v>
      </c>
      <c r="M576" t="n">
        <v>0</v>
      </c>
      <c r="N576" t="n">
        <v>0</v>
      </c>
      <c r="O576" t="n">
        <v>1</v>
      </c>
      <c r="P576" t="n">
        <v>0</v>
      </c>
      <c r="Q576" t="n">
        <v>1</v>
      </c>
      <c r="R576" s="2" t="inlineStr">
        <is>
          <t>Myskmåra</t>
        </is>
      </c>
      <c r="S576">
        <f>HYPERLINK("https://klasma.github.io/Logging_2121/artfynd/A 47738-2025 artfynd.xlsx", "A 47738-2025")</f>
        <v/>
      </c>
      <c r="T576">
        <f>HYPERLINK("https://klasma.github.io/Logging_2121/kartor/A 47738-2025 karta.png", "A 47738-2025")</f>
        <v/>
      </c>
      <c r="V576">
        <f>HYPERLINK("https://klasma.github.io/Logging_2121/klagomål/A 47738-2025 FSC-klagomål.docx", "A 47738-2025")</f>
        <v/>
      </c>
      <c r="W576">
        <f>HYPERLINK("https://klasma.github.io/Logging_2121/klagomålsmail/A 47738-2025 FSC-klagomål mail.docx", "A 47738-2025")</f>
        <v/>
      </c>
      <c r="X576">
        <f>HYPERLINK("https://klasma.github.io/Logging_2121/tillsyn/A 47738-2025 tillsynsbegäran.docx", "A 47738-2025")</f>
        <v/>
      </c>
      <c r="Y576">
        <f>HYPERLINK("https://klasma.github.io/Logging_2121/tillsynsmail/A 47738-2025 tillsynsbegäran mail.docx", "A 47738-2025")</f>
        <v/>
      </c>
    </row>
    <row r="577" ht="15" customHeight="1">
      <c r="A577" t="inlineStr">
        <is>
          <t>A 48702-2025</t>
        </is>
      </c>
      <c r="B577" s="1" t="n">
        <v>45936.62197916667</v>
      </c>
      <c r="C577" s="1" t="n">
        <v>46086</v>
      </c>
      <c r="D577" t="inlineStr">
        <is>
          <t>GÄVLEBORGS LÄN</t>
        </is>
      </c>
      <c r="E577" t="inlineStr">
        <is>
          <t>HOFORS</t>
        </is>
      </c>
      <c r="G577" t="n">
        <v>4.7</v>
      </c>
      <c r="H577" t="n">
        <v>1</v>
      </c>
      <c r="I577" t="n">
        <v>0</v>
      </c>
      <c r="J577" t="n">
        <v>0</v>
      </c>
      <c r="K577" t="n">
        <v>1</v>
      </c>
      <c r="L577" t="n">
        <v>0</v>
      </c>
      <c r="M577" t="n">
        <v>0</v>
      </c>
      <c r="N577" t="n">
        <v>0</v>
      </c>
      <c r="O577" t="n">
        <v>1</v>
      </c>
      <c r="P577" t="n">
        <v>1</v>
      </c>
      <c r="Q577" t="n">
        <v>1</v>
      </c>
      <c r="R577" s="2" t="inlineStr">
        <is>
          <t>Knärot</t>
        </is>
      </c>
      <c r="S577">
        <f>HYPERLINK("https://klasma.github.io/Logging_2104/artfynd/A 48702-2025 artfynd.xlsx", "A 48702-2025")</f>
        <v/>
      </c>
      <c r="T577">
        <f>HYPERLINK("https://klasma.github.io/Logging_2104/kartor/A 48702-2025 karta.png", "A 48702-2025")</f>
        <v/>
      </c>
      <c r="U577">
        <f>HYPERLINK("https://klasma.github.io/Logging_2104/knärot/A 48702-2025 karta knärot.png", "A 48702-2025")</f>
        <v/>
      </c>
      <c r="V577">
        <f>HYPERLINK("https://klasma.github.io/Logging_2104/klagomål/A 48702-2025 FSC-klagomål.docx", "A 48702-2025")</f>
        <v/>
      </c>
      <c r="W577">
        <f>HYPERLINK("https://klasma.github.io/Logging_2104/klagomålsmail/A 48702-2025 FSC-klagomål mail.docx", "A 48702-2025")</f>
        <v/>
      </c>
      <c r="X577">
        <f>HYPERLINK("https://klasma.github.io/Logging_2104/tillsyn/A 48702-2025 tillsynsbegäran.docx", "A 48702-2025")</f>
        <v/>
      </c>
      <c r="Y577">
        <f>HYPERLINK("https://klasma.github.io/Logging_2104/tillsynsmail/A 48702-2025 tillsynsbegäran mail.docx", "A 48702-2025")</f>
        <v/>
      </c>
    </row>
    <row r="578" ht="15" customHeight="1">
      <c r="A578" t="inlineStr">
        <is>
          <t>A 52035-2025</t>
        </is>
      </c>
      <c r="B578" s="1" t="n">
        <v>45952.61417824074</v>
      </c>
      <c r="C578" s="1" t="n">
        <v>46086</v>
      </c>
      <c r="D578" t="inlineStr">
        <is>
          <t>GÄVLEBORGS LÄN</t>
        </is>
      </c>
      <c r="E578" t="inlineStr">
        <is>
          <t>BOLLNÄS</t>
        </is>
      </c>
      <c r="F578" t="inlineStr">
        <is>
          <t>Sveaskog</t>
        </is>
      </c>
      <c r="G578" t="n">
        <v>1.3</v>
      </c>
      <c r="H578" t="n">
        <v>0</v>
      </c>
      <c r="I578" t="n">
        <v>0</v>
      </c>
      <c r="J578" t="n">
        <v>1</v>
      </c>
      <c r="K578" t="n">
        <v>0</v>
      </c>
      <c r="L578" t="n">
        <v>0</v>
      </c>
      <c r="M578" t="n">
        <v>0</v>
      </c>
      <c r="N578" t="n">
        <v>0</v>
      </c>
      <c r="O578" t="n">
        <v>1</v>
      </c>
      <c r="P578" t="n">
        <v>0</v>
      </c>
      <c r="Q578" t="n">
        <v>1</v>
      </c>
      <c r="R578" s="2" t="inlineStr">
        <is>
          <t>Ullticka</t>
        </is>
      </c>
      <c r="S578">
        <f>HYPERLINK("https://klasma.github.io/Logging_2183/artfynd/A 52035-2025 artfynd.xlsx", "A 52035-2025")</f>
        <v/>
      </c>
      <c r="T578">
        <f>HYPERLINK("https://klasma.github.io/Logging_2183/kartor/A 52035-2025 karta.png", "A 52035-2025")</f>
        <v/>
      </c>
      <c r="V578">
        <f>HYPERLINK("https://klasma.github.io/Logging_2183/klagomål/A 52035-2025 FSC-klagomål.docx", "A 52035-2025")</f>
        <v/>
      </c>
      <c r="W578">
        <f>HYPERLINK("https://klasma.github.io/Logging_2183/klagomålsmail/A 52035-2025 FSC-klagomål mail.docx", "A 52035-2025")</f>
        <v/>
      </c>
      <c r="X578">
        <f>HYPERLINK("https://klasma.github.io/Logging_2183/tillsyn/A 52035-2025 tillsynsbegäran.docx", "A 52035-2025")</f>
        <v/>
      </c>
      <c r="Y578">
        <f>HYPERLINK("https://klasma.github.io/Logging_2183/tillsynsmail/A 52035-2025 tillsynsbegäran mail.docx", "A 52035-2025")</f>
        <v/>
      </c>
    </row>
    <row r="579" ht="15" customHeight="1">
      <c r="A579" t="inlineStr">
        <is>
          <t>A 52467-2025</t>
        </is>
      </c>
      <c r="B579" s="1" t="n">
        <v>45954.44762731482</v>
      </c>
      <c r="C579" s="1" t="n">
        <v>46086</v>
      </c>
      <c r="D579" t="inlineStr">
        <is>
          <t>GÄVLEBORGS LÄN</t>
        </is>
      </c>
      <c r="E579" t="inlineStr">
        <is>
          <t>BOLLNÄS</t>
        </is>
      </c>
      <c r="G579" t="n">
        <v>5.9</v>
      </c>
      <c r="H579" t="n">
        <v>1</v>
      </c>
      <c r="I579" t="n">
        <v>0</v>
      </c>
      <c r="J579" t="n">
        <v>0</v>
      </c>
      <c r="K579" t="n">
        <v>1</v>
      </c>
      <c r="L579" t="n">
        <v>0</v>
      </c>
      <c r="M579" t="n">
        <v>0</v>
      </c>
      <c r="N579" t="n">
        <v>0</v>
      </c>
      <c r="O579" t="n">
        <v>1</v>
      </c>
      <c r="P579" t="n">
        <v>1</v>
      </c>
      <c r="Q579" t="n">
        <v>1</v>
      </c>
      <c r="R579" s="2" t="inlineStr">
        <is>
          <t>Knärot</t>
        </is>
      </c>
      <c r="S579">
        <f>HYPERLINK("https://klasma.github.io/Logging_2183/artfynd/A 52467-2025 artfynd.xlsx", "A 52467-2025")</f>
        <v/>
      </c>
      <c r="T579">
        <f>HYPERLINK("https://klasma.github.io/Logging_2183/kartor/A 52467-2025 karta.png", "A 52467-2025")</f>
        <v/>
      </c>
      <c r="U579">
        <f>HYPERLINK("https://klasma.github.io/Logging_2183/knärot/A 52467-2025 karta knärot.png", "A 52467-2025")</f>
        <v/>
      </c>
      <c r="V579">
        <f>HYPERLINK("https://klasma.github.io/Logging_2183/klagomål/A 52467-2025 FSC-klagomål.docx", "A 52467-2025")</f>
        <v/>
      </c>
      <c r="W579">
        <f>HYPERLINK("https://klasma.github.io/Logging_2183/klagomålsmail/A 52467-2025 FSC-klagomål mail.docx", "A 52467-2025")</f>
        <v/>
      </c>
      <c r="X579">
        <f>HYPERLINK("https://klasma.github.io/Logging_2183/tillsyn/A 52467-2025 tillsynsbegäran.docx", "A 52467-2025")</f>
        <v/>
      </c>
      <c r="Y579">
        <f>HYPERLINK("https://klasma.github.io/Logging_2183/tillsynsmail/A 52467-2025 tillsynsbegäran mail.docx", "A 52467-2025")</f>
        <v/>
      </c>
    </row>
    <row r="580" ht="15" customHeight="1">
      <c r="A580" t="inlineStr">
        <is>
          <t>A 31803-2024</t>
        </is>
      </c>
      <c r="B580" s="1" t="n">
        <v>45509</v>
      </c>
      <c r="C580" s="1" t="n">
        <v>46086</v>
      </c>
      <c r="D580" t="inlineStr">
        <is>
          <t>GÄVLEBORGS LÄN</t>
        </is>
      </c>
      <c r="E580" t="inlineStr">
        <is>
          <t>SÖDERHAMN</t>
        </is>
      </c>
      <c r="G580" t="n">
        <v>3.4</v>
      </c>
      <c r="H580" t="n">
        <v>1</v>
      </c>
      <c r="I580" t="n">
        <v>0</v>
      </c>
      <c r="J580" t="n">
        <v>0</v>
      </c>
      <c r="K580" t="n">
        <v>1</v>
      </c>
      <c r="L580" t="n">
        <v>0</v>
      </c>
      <c r="M580" t="n">
        <v>0</v>
      </c>
      <c r="N580" t="n">
        <v>0</v>
      </c>
      <c r="O580" t="n">
        <v>1</v>
      </c>
      <c r="P580" t="n">
        <v>1</v>
      </c>
      <c r="Q580" t="n">
        <v>1</v>
      </c>
      <c r="R580" s="2" t="inlineStr">
        <is>
          <t>Knärot</t>
        </is>
      </c>
      <c r="S580">
        <f>HYPERLINK("https://klasma.github.io/Logging_2182/artfynd/A 31803-2024 artfynd.xlsx", "A 31803-2024")</f>
        <v/>
      </c>
      <c r="T580">
        <f>HYPERLINK("https://klasma.github.io/Logging_2182/kartor/A 31803-2024 karta.png", "A 31803-2024")</f>
        <v/>
      </c>
      <c r="U580">
        <f>HYPERLINK("https://klasma.github.io/Logging_2182/knärot/A 31803-2024 karta knärot.png", "A 31803-2024")</f>
        <v/>
      </c>
      <c r="V580">
        <f>HYPERLINK("https://klasma.github.io/Logging_2182/klagomål/A 31803-2024 FSC-klagomål.docx", "A 31803-2024")</f>
        <v/>
      </c>
      <c r="W580">
        <f>HYPERLINK("https://klasma.github.io/Logging_2182/klagomålsmail/A 31803-2024 FSC-klagomål mail.docx", "A 31803-2024")</f>
        <v/>
      </c>
      <c r="X580">
        <f>HYPERLINK("https://klasma.github.io/Logging_2182/tillsyn/A 31803-2024 tillsynsbegäran.docx", "A 31803-2024")</f>
        <v/>
      </c>
      <c r="Y580">
        <f>HYPERLINK("https://klasma.github.io/Logging_2182/tillsynsmail/A 31803-2024 tillsynsbegäran mail.docx", "A 31803-2024")</f>
        <v/>
      </c>
    </row>
    <row r="581" ht="15" customHeight="1">
      <c r="A581" t="inlineStr">
        <is>
          <t>A 46614-2024</t>
        </is>
      </c>
      <c r="B581" s="1" t="n">
        <v>45583</v>
      </c>
      <c r="C581" s="1" t="n">
        <v>46086</v>
      </c>
      <c r="D581" t="inlineStr">
        <is>
          <t>GÄVLEBORGS LÄN</t>
        </is>
      </c>
      <c r="E581" t="inlineStr">
        <is>
          <t>HUDIKSVALL</t>
        </is>
      </c>
      <c r="G581" t="n">
        <v>2</v>
      </c>
      <c r="H581" t="n">
        <v>0</v>
      </c>
      <c r="I581" t="n">
        <v>0</v>
      </c>
      <c r="J581" t="n">
        <v>1</v>
      </c>
      <c r="K581" t="n">
        <v>0</v>
      </c>
      <c r="L581" t="n">
        <v>0</v>
      </c>
      <c r="M581" t="n">
        <v>0</v>
      </c>
      <c r="N581" t="n">
        <v>0</v>
      </c>
      <c r="O581" t="n">
        <v>1</v>
      </c>
      <c r="P581" t="n">
        <v>0</v>
      </c>
      <c r="Q581" t="n">
        <v>1</v>
      </c>
      <c r="R581" s="2" t="inlineStr">
        <is>
          <t>Orange taggsvamp</t>
        </is>
      </c>
      <c r="S581">
        <f>HYPERLINK("https://klasma.github.io/Logging_2184/artfynd/A 46614-2024 artfynd.xlsx", "A 46614-2024")</f>
        <v/>
      </c>
      <c r="T581">
        <f>HYPERLINK("https://klasma.github.io/Logging_2184/kartor/A 46614-2024 karta.png", "A 46614-2024")</f>
        <v/>
      </c>
      <c r="V581">
        <f>HYPERLINK("https://klasma.github.io/Logging_2184/klagomål/A 46614-2024 FSC-klagomål.docx", "A 46614-2024")</f>
        <v/>
      </c>
      <c r="W581">
        <f>HYPERLINK("https://klasma.github.io/Logging_2184/klagomålsmail/A 46614-2024 FSC-klagomål mail.docx", "A 46614-2024")</f>
        <v/>
      </c>
      <c r="X581">
        <f>HYPERLINK("https://klasma.github.io/Logging_2184/tillsyn/A 46614-2024 tillsynsbegäran.docx", "A 46614-2024")</f>
        <v/>
      </c>
      <c r="Y581">
        <f>HYPERLINK("https://klasma.github.io/Logging_2184/tillsynsmail/A 46614-2024 tillsynsbegäran mail.docx", "A 46614-2024")</f>
        <v/>
      </c>
    </row>
    <row r="582" ht="15" customHeight="1">
      <c r="A582" t="inlineStr">
        <is>
          <t>A 52434-2025</t>
        </is>
      </c>
      <c r="B582" s="1" t="n">
        <v>45954.39065972222</v>
      </c>
      <c r="C582" s="1" t="n">
        <v>46086</v>
      </c>
      <c r="D582" t="inlineStr">
        <is>
          <t>GÄVLEBORGS LÄN</t>
        </is>
      </c>
      <c r="E582" t="inlineStr">
        <is>
          <t>BOLLNÄS</t>
        </is>
      </c>
      <c r="G582" t="n">
        <v>4.6</v>
      </c>
      <c r="H582" t="n">
        <v>0</v>
      </c>
      <c r="I582" t="n">
        <v>0</v>
      </c>
      <c r="J582" t="n">
        <v>0</v>
      </c>
      <c r="K582" t="n">
        <v>1</v>
      </c>
      <c r="L582" t="n">
        <v>0</v>
      </c>
      <c r="M582" t="n">
        <v>0</v>
      </c>
      <c r="N582" t="n">
        <v>0</v>
      </c>
      <c r="O582" t="n">
        <v>1</v>
      </c>
      <c r="P582" t="n">
        <v>1</v>
      </c>
      <c r="Q582" t="n">
        <v>1</v>
      </c>
      <c r="R582" s="2" t="inlineStr">
        <is>
          <t>Glesgröe</t>
        </is>
      </c>
      <c r="S582">
        <f>HYPERLINK("https://klasma.github.io/Logging_2183/artfynd/A 52434-2025 artfynd.xlsx", "A 52434-2025")</f>
        <v/>
      </c>
      <c r="T582">
        <f>HYPERLINK("https://klasma.github.io/Logging_2183/kartor/A 52434-2025 karta.png", "A 52434-2025")</f>
        <v/>
      </c>
      <c r="V582">
        <f>HYPERLINK("https://klasma.github.io/Logging_2183/klagomål/A 52434-2025 FSC-klagomål.docx", "A 52434-2025")</f>
        <v/>
      </c>
      <c r="W582">
        <f>HYPERLINK("https://klasma.github.io/Logging_2183/klagomålsmail/A 52434-2025 FSC-klagomål mail.docx", "A 52434-2025")</f>
        <v/>
      </c>
      <c r="X582">
        <f>HYPERLINK("https://klasma.github.io/Logging_2183/tillsyn/A 52434-2025 tillsynsbegäran.docx", "A 52434-2025")</f>
        <v/>
      </c>
      <c r="Y582">
        <f>HYPERLINK("https://klasma.github.io/Logging_2183/tillsynsmail/A 52434-2025 tillsynsbegäran mail.docx", "A 52434-2025")</f>
        <v/>
      </c>
    </row>
    <row r="583" ht="15" customHeight="1">
      <c r="A583" t="inlineStr">
        <is>
          <t>A 31066-2024</t>
        </is>
      </c>
      <c r="B583" s="1" t="n">
        <v>45502.42929398148</v>
      </c>
      <c r="C583" s="1" t="n">
        <v>46086</v>
      </c>
      <c r="D583" t="inlineStr">
        <is>
          <t>GÄVLEBORGS LÄN</t>
        </is>
      </c>
      <c r="E583" t="inlineStr">
        <is>
          <t>NORDANSTIG</t>
        </is>
      </c>
      <c r="F583" t="inlineStr">
        <is>
          <t>Holmen skog AB</t>
        </is>
      </c>
      <c r="G583" t="n">
        <v>4.7</v>
      </c>
      <c r="H583" t="n">
        <v>0</v>
      </c>
      <c r="I583" t="n">
        <v>0</v>
      </c>
      <c r="J583" t="n">
        <v>1</v>
      </c>
      <c r="K583" t="n">
        <v>0</v>
      </c>
      <c r="L583" t="n">
        <v>0</v>
      </c>
      <c r="M583" t="n">
        <v>0</v>
      </c>
      <c r="N583" t="n">
        <v>0</v>
      </c>
      <c r="O583" t="n">
        <v>1</v>
      </c>
      <c r="P583" t="n">
        <v>0</v>
      </c>
      <c r="Q583" t="n">
        <v>1</v>
      </c>
      <c r="R583" s="2" t="inlineStr">
        <is>
          <t>Lunglav</t>
        </is>
      </c>
      <c r="S583">
        <f>HYPERLINK("https://klasma.github.io/Logging_2132/artfynd/A 31066-2024 artfynd.xlsx", "A 31066-2024")</f>
        <v/>
      </c>
      <c r="T583">
        <f>HYPERLINK("https://klasma.github.io/Logging_2132/kartor/A 31066-2024 karta.png", "A 31066-2024")</f>
        <v/>
      </c>
      <c r="V583">
        <f>HYPERLINK("https://klasma.github.io/Logging_2132/klagomål/A 31066-2024 FSC-klagomål.docx", "A 31066-2024")</f>
        <v/>
      </c>
      <c r="W583">
        <f>HYPERLINK("https://klasma.github.io/Logging_2132/klagomålsmail/A 31066-2024 FSC-klagomål mail.docx", "A 31066-2024")</f>
        <v/>
      </c>
      <c r="X583">
        <f>HYPERLINK("https://klasma.github.io/Logging_2132/tillsyn/A 31066-2024 tillsynsbegäran.docx", "A 31066-2024")</f>
        <v/>
      </c>
      <c r="Y583">
        <f>HYPERLINK("https://klasma.github.io/Logging_2132/tillsynsmail/A 31066-2024 tillsynsbegäran mail.docx", "A 31066-2024")</f>
        <v/>
      </c>
    </row>
    <row r="584" ht="15" customHeight="1">
      <c r="A584" t="inlineStr">
        <is>
          <t>A 31068-2024</t>
        </is>
      </c>
      <c r="B584" s="1" t="n">
        <v>45502.43518518518</v>
      </c>
      <c r="C584" s="1" t="n">
        <v>46086</v>
      </c>
      <c r="D584" t="inlineStr">
        <is>
          <t>GÄVLEBORGS LÄN</t>
        </is>
      </c>
      <c r="E584" t="inlineStr">
        <is>
          <t>NORDANSTIG</t>
        </is>
      </c>
      <c r="F584" t="inlineStr">
        <is>
          <t>Holmen skog AB</t>
        </is>
      </c>
      <c r="G584" t="n">
        <v>4.6</v>
      </c>
      <c r="H584" t="n">
        <v>0</v>
      </c>
      <c r="I584" t="n">
        <v>0</v>
      </c>
      <c r="J584" t="n">
        <v>1</v>
      </c>
      <c r="K584" t="n">
        <v>0</v>
      </c>
      <c r="L584" t="n">
        <v>0</v>
      </c>
      <c r="M584" t="n">
        <v>0</v>
      </c>
      <c r="N584" t="n">
        <v>0</v>
      </c>
      <c r="O584" t="n">
        <v>1</v>
      </c>
      <c r="P584" t="n">
        <v>0</v>
      </c>
      <c r="Q584" t="n">
        <v>1</v>
      </c>
      <c r="R584" s="2" t="inlineStr">
        <is>
          <t>Granticka</t>
        </is>
      </c>
      <c r="S584">
        <f>HYPERLINK("https://klasma.github.io/Logging_2132/artfynd/A 31068-2024 artfynd.xlsx", "A 31068-2024")</f>
        <v/>
      </c>
      <c r="T584">
        <f>HYPERLINK("https://klasma.github.io/Logging_2132/kartor/A 31068-2024 karta.png", "A 31068-2024")</f>
        <v/>
      </c>
      <c r="V584">
        <f>HYPERLINK("https://klasma.github.io/Logging_2132/klagomål/A 31068-2024 FSC-klagomål.docx", "A 31068-2024")</f>
        <v/>
      </c>
      <c r="W584">
        <f>HYPERLINK("https://klasma.github.io/Logging_2132/klagomålsmail/A 31068-2024 FSC-klagomål mail.docx", "A 31068-2024")</f>
        <v/>
      </c>
      <c r="X584">
        <f>HYPERLINK("https://klasma.github.io/Logging_2132/tillsyn/A 31068-2024 tillsynsbegäran.docx", "A 31068-2024")</f>
        <v/>
      </c>
      <c r="Y584">
        <f>HYPERLINK("https://klasma.github.io/Logging_2132/tillsynsmail/A 31068-2024 tillsynsbegäran mail.docx", "A 31068-2024")</f>
        <v/>
      </c>
    </row>
    <row r="585" ht="15" customHeight="1">
      <c r="A585" t="inlineStr">
        <is>
          <t>A 54252-2025</t>
        </is>
      </c>
      <c r="B585" s="1" t="n">
        <v>45964.64814814815</v>
      </c>
      <c r="C585" s="1" t="n">
        <v>46086</v>
      </c>
      <c r="D585" t="inlineStr">
        <is>
          <t>GÄVLEBORGS LÄN</t>
        </is>
      </c>
      <c r="E585" t="inlineStr">
        <is>
          <t>GÄVLE</t>
        </is>
      </c>
      <c r="F585" t="inlineStr">
        <is>
          <t>Bergvik skog väst AB</t>
        </is>
      </c>
      <c r="G585" t="n">
        <v>4.5</v>
      </c>
      <c r="H585" t="n">
        <v>0</v>
      </c>
      <c r="I585" t="n">
        <v>0</v>
      </c>
      <c r="J585" t="n">
        <v>0</v>
      </c>
      <c r="K585" t="n">
        <v>0</v>
      </c>
      <c r="L585" t="n">
        <v>1</v>
      </c>
      <c r="M585" t="n">
        <v>0</v>
      </c>
      <c r="N585" t="n">
        <v>0</v>
      </c>
      <c r="O585" t="n">
        <v>1</v>
      </c>
      <c r="P585" t="n">
        <v>1</v>
      </c>
      <c r="Q585" t="n">
        <v>1</v>
      </c>
      <c r="R585" s="2" t="inlineStr">
        <is>
          <t>Ask</t>
        </is>
      </c>
      <c r="S585">
        <f>HYPERLINK("https://klasma.github.io/Logging_2180/artfynd/A 54252-2025 artfynd.xlsx", "A 54252-2025")</f>
        <v/>
      </c>
      <c r="T585">
        <f>HYPERLINK("https://klasma.github.io/Logging_2180/kartor/A 54252-2025 karta.png", "A 54252-2025")</f>
        <v/>
      </c>
      <c r="V585">
        <f>HYPERLINK("https://klasma.github.io/Logging_2180/klagomål/A 54252-2025 FSC-klagomål.docx", "A 54252-2025")</f>
        <v/>
      </c>
      <c r="W585">
        <f>HYPERLINK("https://klasma.github.io/Logging_2180/klagomålsmail/A 54252-2025 FSC-klagomål mail.docx", "A 54252-2025")</f>
        <v/>
      </c>
      <c r="X585">
        <f>HYPERLINK("https://klasma.github.io/Logging_2180/tillsyn/A 54252-2025 tillsynsbegäran.docx", "A 54252-2025")</f>
        <v/>
      </c>
      <c r="Y585">
        <f>HYPERLINK("https://klasma.github.io/Logging_2180/tillsynsmail/A 54252-2025 tillsynsbegäran mail.docx", "A 54252-2025")</f>
        <v/>
      </c>
    </row>
    <row r="586" ht="15" customHeight="1">
      <c r="A586" t="inlineStr">
        <is>
          <t>A 54963-2025</t>
        </is>
      </c>
      <c r="B586" s="1" t="n">
        <v>45967.48527777778</v>
      </c>
      <c r="C586" s="1" t="n">
        <v>46086</v>
      </c>
      <c r="D586" t="inlineStr">
        <is>
          <t>GÄVLEBORGS LÄN</t>
        </is>
      </c>
      <c r="E586" t="inlineStr">
        <is>
          <t>GÄVLE</t>
        </is>
      </c>
      <c r="F586" t="inlineStr">
        <is>
          <t>Bergvik skog öst AB</t>
        </is>
      </c>
      <c r="G586" t="n">
        <v>7.9</v>
      </c>
      <c r="H586" t="n">
        <v>1</v>
      </c>
      <c r="I586" t="n">
        <v>0</v>
      </c>
      <c r="J586" t="n">
        <v>0</v>
      </c>
      <c r="K586" t="n">
        <v>0</v>
      </c>
      <c r="L586" t="n">
        <v>0</v>
      </c>
      <c r="M586" t="n">
        <v>0</v>
      </c>
      <c r="N586" t="n">
        <v>0</v>
      </c>
      <c r="O586" t="n">
        <v>0</v>
      </c>
      <c r="P586" t="n">
        <v>0</v>
      </c>
      <c r="Q586" t="n">
        <v>1</v>
      </c>
      <c r="R586" s="2" t="inlineStr">
        <is>
          <t>Revlummer</t>
        </is>
      </c>
      <c r="S586">
        <f>HYPERLINK("https://klasma.github.io/Logging_2180/artfynd/A 54963-2025 artfynd.xlsx", "A 54963-2025")</f>
        <v/>
      </c>
      <c r="T586">
        <f>HYPERLINK("https://klasma.github.io/Logging_2180/kartor/A 54963-2025 karta.png", "A 54963-2025")</f>
        <v/>
      </c>
      <c r="V586">
        <f>HYPERLINK("https://klasma.github.io/Logging_2180/klagomål/A 54963-2025 FSC-klagomål.docx", "A 54963-2025")</f>
        <v/>
      </c>
      <c r="W586">
        <f>HYPERLINK("https://klasma.github.io/Logging_2180/klagomålsmail/A 54963-2025 FSC-klagomål mail.docx", "A 54963-2025")</f>
        <v/>
      </c>
      <c r="X586">
        <f>HYPERLINK("https://klasma.github.io/Logging_2180/tillsyn/A 54963-2025 tillsynsbegäran.docx", "A 54963-2025")</f>
        <v/>
      </c>
      <c r="Y586">
        <f>HYPERLINK("https://klasma.github.io/Logging_2180/tillsynsmail/A 54963-2025 tillsynsbegäran mail.docx", "A 54963-2025")</f>
        <v/>
      </c>
    </row>
    <row r="587" ht="15" customHeight="1">
      <c r="A587" t="inlineStr">
        <is>
          <t>A 34974-2024</t>
        </is>
      </c>
      <c r="B587" s="1" t="n">
        <v>45527.54129629629</v>
      </c>
      <c r="C587" s="1" t="n">
        <v>46086</v>
      </c>
      <c r="D587" t="inlineStr">
        <is>
          <t>GÄVLEBORGS LÄN</t>
        </is>
      </c>
      <c r="E587" t="inlineStr">
        <is>
          <t>LJUSDAL</t>
        </is>
      </c>
      <c r="F587" t="inlineStr">
        <is>
          <t>Sveaskog</t>
        </is>
      </c>
      <c r="G587" t="n">
        <v>4.6</v>
      </c>
      <c r="H587" t="n">
        <v>0</v>
      </c>
      <c r="I587" t="n">
        <v>0</v>
      </c>
      <c r="J587" t="n">
        <v>1</v>
      </c>
      <c r="K587" t="n">
        <v>0</v>
      </c>
      <c r="L587" t="n">
        <v>0</v>
      </c>
      <c r="M587" t="n">
        <v>0</v>
      </c>
      <c r="N587" t="n">
        <v>0</v>
      </c>
      <c r="O587" t="n">
        <v>1</v>
      </c>
      <c r="P587" t="n">
        <v>0</v>
      </c>
      <c r="Q587" t="n">
        <v>1</v>
      </c>
      <c r="R587" s="2" t="inlineStr">
        <is>
          <t>Kolflarnlav</t>
        </is>
      </c>
      <c r="S587">
        <f>HYPERLINK("https://klasma.github.io/Logging_2161/artfynd/A 34974-2024 artfynd.xlsx", "A 34974-2024")</f>
        <v/>
      </c>
      <c r="T587">
        <f>HYPERLINK("https://klasma.github.io/Logging_2161/kartor/A 34974-2024 karta.png", "A 34974-2024")</f>
        <v/>
      </c>
      <c r="V587">
        <f>HYPERLINK("https://klasma.github.io/Logging_2161/klagomål/A 34974-2024 FSC-klagomål.docx", "A 34974-2024")</f>
        <v/>
      </c>
      <c r="W587">
        <f>HYPERLINK("https://klasma.github.io/Logging_2161/klagomålsmail/A 34974-2024 FSC-klagomål mail.docx", "A 34974-2024")</f>
        <v/>
      </c>
      <c r="X587">
        <f>HYPERLINK("https://klasma.github.io/Logging_2161/tillsyn/A 34974-2024 tillsynsbegäran.docx", "A 34974-2024")</f>
        <v/>
      </c>
      <c r="Y587">
        <f>HYPERLINK("https://klasma.github.io/Logging_2161/tillsynsmail/A 34974-2024 tillsynsbegäran mail.docx", "A 34974-2024")</f>
        <v/>
      </c>
    </row>
    <row r="588" ht="15" customHeight="1">
      <c r="A588" t="inlineStr">
        <is>
          <t>A 38050-2024</t>
        </is>
      </c>
      <c r="B588" s="1" t="n">
        <v>45544</v>
      </c>
      <c r="C588" s="1" t="n">
        <v>46086</v>
      </c>
      <c r="D588" t="inlineStr">
        <is>
          <t>GÄVLEBORGS LÄN</t>
        </is>
      </c>
      <c r="E588" t="inlineStr">
        <is>
          <t>NORDANSTIG</t>
        </is>
      </c>
      <c r="F588" t="inlineStr">
        <is>
          <t>Holmen skog AB</t>
        </is>
      </c>
      <c r="G588" t="n">
        <v>3.1</v>
      </c>
      <c r="H588" t="n">
        <v>0</v>
      </c>
      <c r="I588" t="n">
        <v>0</v>
      </c>
      <c r="J588" t="n">
        <v>1</v>
      </c>
      <c r="K588" t="n">
        <v>0</v>
      </c>
      <c r="L588" t="n">
        <v>0</v>
      </c>
      <c r="M588" t="n">
        <v>0</v>
      </c>
      <c r="N588" t="n">
        <v>0</v>
      </c>
      <c r="O588" t="n">
        <v>1</v>
      </c>
      <c r="P588" t="n">
        <v>0</v>
      </c>
      <c r="Q588" t="n">
        <v>1</v>
      </c>
      <c r="R588" s="2" t="inlineStr">
        <is>
          <t>Tallticka</t>
        </is>
      </c>
      <c r="S588">
        <f>HYPERLINK("https://klasma.github.io/Logging_2132/artfynd/A 38050-2024 artfynd.xlsx", "A 38050-2024")</f>
        <v/>
      </c>
      <c r="T588">
        <f>HYPERLINK("https://klasma.github.io/Logging_2132/kartor/A 38050-2024 karta.png", "A 38050-2024")</f>
        <v/>
      </c>
      <c r="U588">
        <f>HYPERLINK("https://klasma.github.io/Logging_2132/knärot/A 38050-2024 karta knärot.png", "A 38050-2024")</f>
        <v/>
      </c>
      <c r="V588">
        <f>HYPERLINK("https://klasma.github.io/Logging_2132/klagomål/A 38050-2024 FSC-klagomål.docx", "A 38050-2024")</f>
        <v/>
      </c>
      <c r="W588">
        <f>HYPERLINK("https://klasma.github.io/Logging_2132/klagomålsmail/A 38050-2024 FSC-klagomål mail.docx", "A 38050-2024")</f>
        <v/>
      </c>
      <c r="X588">
        <f>HYPERLINK("https://klasma.github.io/Logging_2132/tillsyn/A 38050-2024 tillsynsbegäran.docx", "A 38050-2024")</f>
        <v/>
      </c>
      <c r="Y588">
        <f>HYPERLINK("https://klasma.github.io/Logging_2132/tillsynsmail/A 38050-2024 tillsynsbegäran mail.docx", "A 38050-2024")</f>
        <v/>
      </c>
    </row>
    <row r="589" ht="15" customHeight="1">
      <c r="A589" t="inlineStr">
        <is>
          <t>A 55476-2025</t>
        </is>
      </c>
      <c r="B589" s="1" t="n">
        <v>45971.55649305556</v>
      </c>
      <c r="C589" s="1" t="n">
        <v>46086</v>
      </c>
      <c r="D589" t="inlineStr">
        <is>
          <t>GÄVLEBORGS LÄN</t>
        </is>
      </c>
      <c r="E589" t="inlineStr">
        <is>
          <t>NORDANSTIG</t>
        </is>
      </c>
      <c r="F589" t="inlineStr">
        <is>
          <t>Holmen skog AB</t>
        </is>
      </c>
      <c r="G589" t="n">
        <v>6.9</v>
      </c>
      <c r="H589" t="n">
        <v>1</v>
      </c>
      <c r="I589" t="n">
        <v>0</v>
      </c>
      <c r="J589" t="n">
        <v>0</v>
      </c>
      <c r="K589" t="n">
        <v>0</v>
      </c>
      <c r="L589" t="n">
        <v>0</v>
      </c>
      <c r="M589" t="n">
        <v>0</v>
      </c>
      <c r="N589" t="n">
        <v>0</v>
      </c>
      <c r="O589" t="n">
        <v>0</v>
      </c>
      <c r="P589" t="n">
        <v>0</v>
      </c>
      <c r="Q589" t="n">
        <v>1</v>
      </c>
      <c r="R589" s="2" t="inlineStr">
        <is>
          <t>Blåsippa</t>
        </is>
      </c>
      <c r="S589">
        <f>HYPERLINK("https://klasma.github.io/Logging_2132/artfynd/A 55476-2025 artfynd.xlsx", "A 55476-2025")</f>
        <v/>
      </c>
      <c r="T589">
        <f>HYPERLINK("https://klasma.github.io/Logging_2132/kartor/A 55476-2025 karta.png", "A 55476-2025")</f>
        <v/>
      </c>
      <c r="V589">
        <f>HYPERLINK("https://klasma.github.io/Logging_2132/klagomål/A 55476-2025 FSC-klagomål.docx", "A 55476-2025")</f>
        <v/>
      </c>
      <c r="W589">
        <f>HYPERLINK("https://klasma.github.io/Logging_2132/klagomålsmail/A 55476-2025 FSC-klagomål mail.docx", "A 55476-2025")</f>
        <v/>
      </c>
      <c r="X589">
        <f>HYPERLINK("https://klasma.github.io/Logging_2132/tillsyn/A 55476-2025 tillsynsbegäran.docx", "A 55476-2025")</f>
        <v/>
      </c>
      <c r="Y589">
        <f>HYPERLINK("https://klasma.github.io/Logging_2132/tillsynsmail/A 55476-2025 tillsynsbegäran mail.docx", "A 55476-2025")</f>
        <v/>
      </c>
    </row>
    <row r="590" ht="15" customHeight="1">
      <c r="A590" t="inlineStr">
        <is>
          <t>A 55498-2025</t>
        </is>
      </c>
      <c r="B590" s="1" t="n">
        <v>45971.5841087963</v>
      </c>
      <c r="C590" s="1" t="n">
        <v>46086</v>
      </c>
      <c r="D590" t="inlineStr">
        <is>
          <t>GÄVLEBORGS LÄN</t>
        </is>
      </c>
      <c r="E590" t="inlineStr">
        <is>
          <t>LJUSDAL</t>
        </is>
      </c>
      <c r="F590" t="inlineStr">
        <is>
          <t>Sveaskog</t>
        </is>
      </c>
      <c r="G590" t="n">
        <v>22.6</v>
      </c>
      <c r="H590" t="n">
        <v>0</v>
      </c>
      <c r="I590" t="n">
        <v>0</v>
      </c>
      <c r="J590" t="n">
        <v>1</v>
      </c>
      <c r="K590" t="n">
        <v>0</v>
      </c>
      <c r="L590" t="n">
        <v>0</v>
      </c>
      <c r="M590" t="n">
        <v>0</v>
      </c>
      <c r="N590" t="n">
        <v>0</v>
      </c>
      <c r="O590" t="n">
        <v>1</v>
      </c>
      <c r="P590" t="n">
        <v>0</v>
      </c>
      <c r="Q590" t="n">
        <v>1</v>
      </c>
      <c r="R590" s="2" t="inlineStr">
        <is>
          <t>Kolflarnlav</t>
        </is>
      </c>
      <c r="S590">
        <f>HYPERLINK("https://klasma.github.io/Logging_2161/artfynd/A 55498-2025 artfynd.xlsx", "A 55498-2025")</f>
        <v/>
      </c>
      <c r="T590">
        <f>HYPERLINK("https://klasma.github.io/Logging_2161/kartor/A 55498-2025 karta.png", "A 55498-2025")</f>
        <v/>
      </c>
      <c r="V590">
        <f>HYPERLINK("https://klasma.github.io/Logging_2161/klagomål/A 55498-2025 FSC-klagomål.docx", "A 55498-2025")</f>
        <v/>
      </c>
      <c r="W590">
        <f>HYPERLINK("https://klasma.github.io/Logging_2161/klagomålsmail/A 55498-2025 FSC-klagomål mail.docx", "A 55498-2025")</f>
        <v/>
      </c>
      <c r="X590">
        <f>HYPERLINK("https://klasma.github.io/Logging_2161/tillsyn/A 55498-2025 tillsynsbegäran.docx", "A 55498-2025")</f>
        <v/>
      </c>
      <c r="Y590">
        <f>HYPERLINK("https://klasma.github.io/Logging_2161/tillsynsmail/A 55498-2025 tillsynsbegäran mail.docx", "A 55498-2025")</f>
        <v/>
      </c>
    </row>
    <row r="591" ht="15" customHeight="1">
      <c r="A591" t="inlineStr">
        <is>
          <t>A 3525-2025</t>
        </is>
      </c>
      <c r="B591" s="1" t="n">
        <v>45680.61361111111</v>
      </c>
      <c r="C591" s="1" t="n">
        <v>46086</v>
      </c>
      <c r="D591" t="inlineStr">
        <is>
          <t>GÄVLEBORGS LÄN</t>
        </is>
      </c>
      <c r="E591" t="inlineStr">
        <is>
          <t>OCKELBO</t>
        </is>
      </c>
      <c r="G591" t="n">
        <v>6.9</v>
      </c>
      <c r="H591" t="n">
        <v>0</v>
      </c>
      <c r="I591" t="n">
        <v>0</v>
      </c>
      <c r="J591" t="n">
        <v>1</v>
      </c>
      <c r="K591" t="n">
        <v>0</v>
      </c>
      <c r="L591" t="n">
        <v>0</v>
      </c>
      <c r="M591" t="n">
        <v>0</v>
      </c>
      <c r="N591" t="n">
        <v>0</v>
      </c>
      <c r="O591" t="n">
        <v>1</v>
      </c>
      <c r="P591" t="n">
        <v>0</v>
      </c>
      <c r="Q591" t="n">
        <v>1</v>
      </c>
      <c r="R591" s="2" t="inlineStr">
        <is>
          <t>Rovspindling</t>
        </is>
      </c>
      <c r="S591">
        <f>HYPERLINK("https://klasma.github.io/Logging_2101/artfynd/A 3525-2025 artfynd.xlsx", "A 3525-2025")</f>
        <v/>
      </c>
      <c r="T591">
        <f>HYPERLINK("https://klasma.github.io/Logging_2101/kartor/A 3525-2025 karta.png", "A 3525-2025")</f>
        <v/>
      </c>
      <c r="V591">
        <f>HYPERLINK("https://klasma.github.io/Logging_2101/klagomål/A 3525-2025 FSC-klagomål.docx", "A 3525-2025")</f>
        <v/>
      </c>
      <c r="W591">
        <f>HYPERLINK("https://klasma.github.io/Logging_2101/klagomålsmail/A 3525-2025 FSC-klagomål mail.docx", "A 3525-2025")</f>
        <v/>
      </c>
      <c r="X591">
        <f>HYPERLINK("https://klasma.github.io/Logging_2101/tillsyn/A 3525-2025 tillsynsbegäran.docx", "A 3525-2025")</f>
        <v/>
      </c>
      <c r="Y591">
        <f>HYPERLINK("https://klasma.github.io/Logging_2101/tillsynsmail/A 3525-2025 tillsynsbegäran mail.docx", "A 3525-2025")</f>
        <v/>
      </c>
    </row>
    <row r="592" ht="15" customHeight="1">
      <c r="A592" t="inlineStr">
        <is>
          <t>A 56822-2025</t>
        </is>
      </c>
      <c r="B592" s="1" t="n">
        <v>45978.46439814815</v>
      </c>
      <c r="C592" s="1" t="n">
        <v>46086</v>
      </c>
      <c r="D592" t="inlineStr">
        <is>
          <t>GÄVLEBORGS LÄN</t>
        </is>
      </c>
      <c r="E592" t="inlineStr">
        <is>
          <t>LJUSDAL</t>
        </is>
      </c>
      <c r="F592" t="inlineStr">
        <is>
          <t>Allmännings- och besparingsskogar</t>
        </is>
      </c>
      <c r="G592" t="n">
        <v>17.2</v>
      </c>
      <c r="H592" t="n">
        <v>1</v>
      </c>
      <c r="I592" t="n">
        <v>0</v>
      </c>
      <c r="J592" t="n">
        <v>0</v>
      </c>
      <c r="K592" t="n">
        <v>1</v>
      </c>
      <c r="L592" t="n">
        <v>0</v>
      </c>
      <c r="M592" t="n">
        <v>0</v>
      </c>
      <c r="N592" t="n">
        <v>0</v>
      </c>
      <c r="O592" t="n">
        <v>1</v>
      </c>
      <c r="P592" t="n">
        <v>1</v>
      </c>
      <c r="Q592" t="n">
        <v>1</v>
      </c>
      <c r="R592" s="2" t="inlineStr">
        <is>
          <t>Knärot</t>
        </is>
      </c>
      <c r="S592">
        <f>HYPERLINK("https://klasma.github.io/Logging_2161/artfynd/A 56822-2025 artfynd.xlsx", "A 56822-2025")</f>
        <v/>
      </c>
      <c r="T592">
        <f>HYPERLINK("https://klasma.github.io/Logging_2161/kartor/A 56822-2025 karta.png", "A 56822-2025")</f>
        <v/>
      </c>
      <c r="U592">
        <f>HYPERLINK("https://klasma.github.io/Logging_2161/knärot/A 56822-2025 karta knärot.png", "A 56822-2025")</f>
        <v/>
      </c>
      <c r="V592">
        <f>HYPERLINK("https://klasma.github.io/Logging_2161/klagomål/A 56822-2025 FSC-klagomål.docx", "A 56822-2025")</f>
        <v/>
      </c>
      <c r="W592">
        <f>HYPERLINK("https://klasma.github.io/Logging_2161/klagomålsmail/A 56822-2025 FSC-klagomål mail.docx", "A 56822-2025")</f>
        <v/>
      </c>
      <c r="X592">
        <f>HYPERLINK("https://klasma.github.io/Logging_2161/tillsyn/A 56822-2025 tillsynsbegäran.docx", "A 56822-2025")</f>
        <v/>
      </c>
      <c r="Y592">
        <f>HYPERLINK("https://klasma.github.io/Logging_2161/tillsynsmail/A 56822-2025 tillsynsbegäran mail.docx", "A 56822-2025")</f>
        <v/>
      </c>
    </row>
    <row r="593" ht="15" customHeight="1">
      <c r="A593" t="inlineStr">
        <is>
          <t>A 58204-2025</t>
        </is>
      </c>
      <c r="B593" s="1" t="n">
        <v>45984.61032407408</v>
      </c>
      <c r="C593" s="1" t="n">
        <v>46086</v>
      </c>
      <c r="D593" t="inlineStr">
        <is>
          <t>GÄVLEBORGS LÄN</t>
        </is>
      </c>
      <c r="E593" t="inlineStr">
        <is>
          <t>GÄVLE</t>
        </is>
      </c>
      <c r="G593" t="n">
        <v>4.4</v>
      </c>
      <c r="H593" t="n">
        <v>1</v>
      </c>
      <c r="I593" t="n">
        <v>0</v>
      </c>
      <c r="J593" t="n">
        <v>1</v>
      </c>
      <c r="K593" t="n">
        <v>0</v>
      </c>
      <c r="L593" t="n">
        <v>0</v>
      </c>
      <c r="M593" t="n">
        <v>0</v>
      </c>
      <c r="N593" t="n">
        <v>0</v>
      </c>
      <c r="O593" t="n">
        <v>1</v>
      </c>
      <c r="P593" t="n">
        <v>0</v>
      </c>
      <c r="Q593" t="n">
        <v>1</v>
      </c>
      <c r="R593" s="2" t="inlineStr">
        <is>
          <t>Spillkråka</t>
        </is>
      </c>
      <c r="S593">
        <f>HYPERLINK("https://klasma.github.io/Logging_2180/artfynd/A 58204-2025 artfynd.xlsx", "A 58204-2025")</f>
        <v/>
      </c>
      <c r="T593">
        <f>HYPERLINK("https://klasma.github.io/Logging_2180/kartor/A 58204-2025 karta.png", "A 58204-2025")</f>
        <v/>
      </c>
      <c r="V593">
        <f>HYPERLINK("https://klasma.github.io/Logging_2180/klagomål/A 58204-2025 FSC-klagomål.docx", "A 58204-2025")</f>
        <v/>
      </c>
      <c r="W593">
        <f>HYPERLINK("https://klasma.github.io/Logging_2180/klagomålsmail/A 58204-2025 FSC-klagomål mail.docx", "A 58204-2025")</f>
        <v/>
      </c>
      <c r="X593">
        <f>HYPERLINK("https://klasma.github.io/Logging_2180/tillsyn/A 58204-2025 tillsynsbegäran.docx", "A 58204-2025")</f>
        <v/>
      </c>
      <c r="Y593">
        <f>HYPERLINK("https://klasma.github.io/Logging_2180/tillsynsmail/A 58204-2025 tillsynsbegäran mail.docx", "A 58204-2025")</f>
        <v/>
      </c>
      <c r="Z593">
        <f>HYPERLINK("https://klasma.github.io/Logging_2180/fåglar/A 58204-2025 prioriterade fågelarter.docx", "A 58204-2025")</f>
        <v/>
      </c>
    </row>
    <row r="594" ht="15" customHeight="1">
      <c r="A594" t="inlineStr">
        <is>
          <t>A 18734-2024</t>
        </is>
      </c>
      <c r="B594" s="1" t="n">
        <v>45426.48722222223</v>
      </c>
      <c r="C594" s="1" t="n">
        <v>46086</v>
      </c>
      <c r="D594" t="inlineStr">
        <is>
          <t>GÄVLEBORGS LÄN</t>
        </is>
      </c>
      <c r="E594" t="inlineStr">
        <is>
          <t>LJUSDAL</t>
        </is>
      </c>
      <c r="F594" t="inlineStr">
        <is>
          <t>Sveaskog</t>
        </is>
      </c>
      <c r="G594" t="n">
        <v>3.6</v>
      </c>
      <c r="H594" t="n">
        <v>1</v>
      </c>
      <c r="I594" t="n">
        <v>0</v>
      </c>
      <c r="J594" t="n">
        <v>0</v>
      </c>
      <c r="K594" t="n">
        <v>1</v>
      </c>
      <c r="L594" t="n">
        <v>0</v>
      </c>
      <c r="M594" t="n">
        <v>0</v>
      </c>
      <c r="N594" t="n">
        <v>0</v>
      </c>
      <c r="O594" t="n">
        <v>1</v>
      </c>
      <c r="P594" t="n">
        <v>1</v>
      </c>
      <c r="Q594" t="n">
        <v>1</v>
      </c>
      <c r="R594" s="2" t="inlineStr">
        <is>
          <t>Tallbit</t>
        </is>
      </c>
      <c r="S594">
        <f>HYPERLINK("https://klasma.github.io/Logging_2161/artfynd/A 18734-2024 artfynd.xlsx", "A 18734-2024")</f>
        <v/>
      </c>
      <c r="T594">
        <f>HYPERLINK("https://klasma.github.io/Logging_2161/kartor/A 18734-2024 karta.png", "A 18734-2024")</f>
        <v/>
      </c>
      <c r="V594">
        <f>HYPERLINK("https://klasma.github.io/Logging_2161/klagomål/A 18734-2024 FSC-klagomål.docx", "A 18734-2024")</f>
        <v/>
      </c>
      <c r="W594">
        <f>HYPERLINK("https://klasma.github.io/Logging_2161/klagomålsmail/A 18734-2024 FSC-klagomål mail.docx", "A 18734-2024")</f>
        <v/>
      </c>
      <c r="X594">
        <f>HYPERLINK("https://klasma.github.io/Logging_2161/tillsyn/A 18734-2024 tillsynsbegäran.docx", "A 18734-2024")</f>
        <v/>
      </c>
      <c r="Y594">
        <f>HYPERLINK("https://klasma.github.io/Logging_2161/tillsynsmail/A 18734-2024 tillsynsbegäran mail.docx", "A 18734-2024")</f>
        <v/>
      </c>
      <c r="Z594">
        <f>HYPERLINK("https://klasma.github.io/Logging_2161/fåglar/A 18734-2024 prioriterade fågelarter.docx", "A 18734-2024")</f>
        <v/>
      </c>
    </row>
    <row r="595" ht="15" customHeight="1">
      <c r="A595" t="inlineStr">
        <is>
          <t>A 63166-2023</t>
        </is>
      </c>
      <c r="B595" s="1" t="n">
        <v>45273</v>
      </c>
      <c r="C595" s="1" t="n">
        <v>46086</v>
      </c>
      <c r="D595" t="inlineStr">
        <is>
          <t>GÄVLEBORGS LÄN</t>
        </is>
      </c>
      <c r="E595" t="inlineStr">
        <is>
          <t>LJUSDAL</t>
        </is>
      </c>
      <c r="G595" t="n">
        <v>3.1</v>
      </c>
      <c r="H595" t="n">
        <v>0</v>
      </c>
      <c r="I595" t="n">
        <v>0</v>
      </c>
      <c r="J595" t="n">
        <v>1</v>
      </c>
      <c r="K595" t="n">
        <v>0</v>
      </c>
      <c r="L595" t="n">
        <v>0</v>
      </c>
      <c r="M595" t="n">
        <v>0</v>
      </c>
      <c r="N595" t="n">
        <v>0</v>
      </c>
      <c r="O595" t="n">
        <v>1</v>
      </c>
      <c r="P595" t="n">
        <v>0</v>
      </c>
      <c r="Q595" t="n">
        <v>1</v>
      </c>
      <c r="R595" s="2" t="inlineStr">
        <is>
          <t>Tallticka</t>
        </is>
      </c>
      <c r="S595">
        <f>HYPERLINK("https://klasma.github.io/Logging_2161/artfynd/A 63166-2023 artfynd.xlsx", "A 63166-2023")</f>
        <v/>
      </c>
      <c r="T595">
        <f>HYPERLINK("https://klasma.github.io/Logging_2161/kartor/A 63166-2023 karta.png", "A 63166-2023")</f>
        <v/>
      </c>
      <c r="V595">
        <f>HYPERLINK("https://klasma.github.io/Logging_2161/klagomål/A 63166-2023 FSC-klagomål.docx", "A 63166-2023")</f>
        <v/>
      </c>
      <c r="W595">
        <f>HYPERLINK("https://klasma.github.io/Logging_2161/klagomålsmail/A 63166-2023 FSC-klagomål mail.docx", "A 63166-2023")</f>
        <v/>
      </c>
      <c r="X595">
        <f>HYPERLINK("https://klasma.github.io/Logging_2161/tillsyn/A 63166-2023 tillsynsbegäran.docx", "A 63166-2023")</f>
        <v/>
      </c>
      <c r="Y595">
        <f>HYPERLINK("https://klasma.github.io/Logging_2161/tillsynsmail/A 63166-2023 tillsynsbegäran mail.docx", "A 63166-2023")</f>
        <v/>
      </c>
    </row>
    <row r="596" ht="15" customHeight="1">
      <c r="A596" t="inlineStr">
        <is>
          <t>A 58543-2025</t>
        </is>
      </c>
      <c r="B596" s="1" t="n">
        <v>45985.90067129629</v>
      </c>
      <c r="C596" s="1" t="n">
        <v>46086</v>
      </c>
      <c r="D596" t="inlineStr">
        <is>
          <t>GÄVLEBORGS LÄN</t>
        </is>
      </c>
      <c r="E596" t="inlineStr">
        <is>
          <t>GÄVLE</t>
        </is>
      </c>
      <c r="F596" t="inlineStr">
        <is>
          <t>Bergvik skog öst AB</t>
        </is>
      </c>
      <c r="G596" t="n">
        <v>2.2</v>
      </c>
      <c r="H596" t="n">
        <v>1</v>
      </c>
      <c r="I596" t="n">
        <v>1</v>
      </c>
      <c r="J596" t="n">
        <v>0</v>
      </c>
      <c r="K596" t="n">
        <v>0</v>
      </c>
      <c r="L596" t="n">
        <v>0</v>
      </c>
      <c r="M596" t="n">
        <v>0</v>
      </c>
      <c r="N596" t="n">
        <v>0</v>
      </c>
      <c r="O596" t="n">
        <v>0</v>
      </c>
      <c r="P596" t="n">
        <v>0</v>
      </c>
      <c r="Q596" t="n">
        <v>1</v>
      </c>
      <c r="R596" s="2" t="inlineStr">
        <is>
          <t>Tvåblad</t>
        </is>
      </c>
      <c r="S596">
        <f>HYPERLINK("https://klasma.github.io/Logging_2180/artfynd/A 58543-2025 artfynd.xlsx", "A 58543-2025")</f>
        <v/>
      </c>
      <c r="T596">
        <f>HYPERLINK("https://klasma.github.io/Logging_2180/kartor/A 58543-2025 karta.png", "A 58543-2025")</f>
        <v/>
      </c>
      <c r="V596">
        <f>HYPERLINK("https://klasma.github.io/Logging_2180/klagomål/A 58543-2025 FSC-klagomål.docx", "A 58543-2025")</f>
        <v/>
      </c>
      <c r="W596">
        <f>HYPERLINK("https://klasma.github.io/Logging_2180/klagomålsmail/A 58543-2025 FSC-klagomål mail.docx", "A 58543-2025")</f>
        <v/>
      </c>
      <c r="X596">
        <f>HYPERLINK("https://klasma.github.io/Logging_2180/tillsyn/A 58543-2025 tillsynsbegäran.docx", "A 58543-2025")</f>
        <v/>
      </c>
      <c r="Y596">
        <f>HYPERLINK("https://klasma.github.io/Logging_2180/tillsynsmail/A 58543-2025 tillsynsbegäran mail.docx", "A 58543-2025")</f>
        <v/>
      </c>
    </row>
    <row r="597" ht="15" customHeight="1">
      <c r="A597" t="inlineStr">
        <is>
          <t>A 6378-2023</t>
        </is>
      </c>
      <c r="B597" s="1" t="n">
        <v>44965</v>
      </c>
      <c r="C597" s="1" t="n">
        <v>46086</v>
      </c>
      <c r="D597" t="inlineStr">
        <is>
          <t>GÄVLEBORGS LÄN</t>
        </is>
      </c>
      <c r="E597" t="inlineStr">
        <is>
          <t>SANDVIKEN</t>
        </is>
      </c>
      <c r="G597" t="n">
        <v>4</v>
      </c>
      <c r="H597" t="n">
        <v>1</v>
      </c>
      <c r="I597" t="n">
        <v>0</v>
      </c>
      <c r="J597" t="n">
        <v>1</v>
      </c>
      <c r="K597" t="n">
        <v>0</v>
      </c>
      <c r="L597" t="n">
        <v>0</v>
      </c>
      <c r="M597" t="n">
        <v>0</v>
      </c>
      <c r="N597" t="n">
        <v>0</v>
      </c>
      <c r="O597" t="n">
        <v>1</v>
      </c>
      <c r="P597" t="n">
        <v>0</v>
      </c>
      <c r="Q597" t="n">
        <v>1</v>
      </c>
      <c r="R597" s="2" t="inlineStr">
        <is>
          <t>Rödvingetrast</t>
        </is>
      </c>
      <c r="S597">
        <f>HYPERLINK("https://klasma.github.io/Logging_2181/artfynd/A 6378-2023 artfynd.xlsx", "A 6378-2023")</f>
        <v/>
      </c>
      <c r="T597">
        <f>HYPERLINK("https://klasma.github.io/Logging_2181/kartor/A 6378-2023 karta.png", "A 6378-2023")</f>
        <v/>
      </c>
      <c r="V597">
        <f>HYPERLINK("https://klasma.github.io/Logging_2181/klagomål/A 6378-2023 FSC-klagomål.docx", "A 6378-2023")</f>
        <v/>
      </c>
      <c r="W597">
        <f>HYPERLINK("https://klasma.github.io/Logging_2181/klagomålsmail/A 6378-2023 FSC-klagomål mail.docx", "A 6378-2023")</f>
        <v/>
      </c>
      <c r="X597">
        <f>HYPERLINK("https://klasma.github.io/Logging_2181/tillsyn/A 6378-2023 tillsynsbegäran.docx", "A 6378-2023")</f>
        <v/>
      </c>
      <c r="Y597">
        <f>HYPERLINK("https://klasma.github.io/Logging_2181/tillsynsmail/A 6378-2023 tillsynsbegäran mail.docx", "A 6378-2023")</f>
        <v/>
      </c>
      <c r="Z597">
        <f>HYPERLINK("https://klasma.github.io/Logging_2181/fåglar/A 6378-2023 prioriterade fågelarter.docx", "A 6378-2023")</f>
        <v/>
      </c>
    </row>
    <row r="598" ht="15" customHeight="1">
      <c r="A598" t="inlineStr">
        <is>
          <t>A 29691-2021</t>
        </is>
      </c>
      <c r="B598" s="1" t="n">
        <v>44362.37850694444</v>
      </c>
      <c r="C598" s="1" t="n">
        <v>46086</v>
      </c>
      <c r="D598" t="inlineStr">
        <is>
          <t>GÄVLEBORGS LÄN</t>
        </is>
      </c>
      <c r="E598" t="inlineStr">
        <is>
          <t>HUDIKSVALL</t>
        </is>
      </c>
      <c r="G598" t="n">
        <v>1.3</v>
      </c>
      <c r="H598" t="n">
        <v>0</v>
      </c>
      <c r="I598" t="n">
        <v>0</v>
      </c>
      <c r="J598" t="n">
        <v>0</v>
      </c>
      <c r="K598" t="n">
        <v>1</v>
      </c>
      <c r="L598" t="n">
        <v>0</v>
      </c>
      <c r="M598" t="n">
        <v>0</v>
      </c>
      <c r="N598" t="n">
        <v>0</v>
      </c>
      <c r="O598" t="n">
        <v>1</v>
      </c>
      <c r="P598" t="n">
        <v>1</v>
      </c>
      <c r="Q598" t="n">
        <v>1</v>
      </c>
      <c r="R598" s="2" t="inlineStr">
        <is>
          <t>Tallgråticka</t>
        </is>
      </c>
      <c r="S598">
        <f>HYPERLINK("https://klasma.github.io/Logging_2184/artfynd/A 29691-2021 artfynd.xlsx", "A 29691-2021")</f>
        <v/>
      </c>
      <c r="T598">
        <f>HYPERLINK("https://klasma.github.io/Logging_2184/kartor/A 29691-2021 karta.png", "A 29691-2021")</f>
        <v/>
      </c>
      <c r="V598">
        <f>HYPERLINK("https://klasma.github.io/Logging_2184/klagomål/A 29691-2021 FSC-klagomål.docx", "A 29691-2021")</f>
        <v/>
      </c>
      <c r="W598">
        <f>HYPERLINK("https://klasma.github.io/Logging_2184/klagomålsmail/A 29691-2021 FSC-klagomål mail.docx", "A 29691-2021")</f>
        <v/>
      </c>
      <c r="X598">
        <f>HYPERLINK("https://klasma.github.io/Logging_2184/tillsyn/A 29691-2021 tillsynsbegäran.docx", "A 29691-2021")</f>
        <v/>
      </c>
      <c r="Y598">
        <f>HYPERLINK("https://klasma.github.io/Logging_2184/tillsynsmail/A 29691-2021 tillsynsbegäran mail.docx", "A 29691-2021")</f>
        <v/>
      </c>
    </row>
    <row r="599" ht="15" customHeight="1">
      <c r="A599" t="inlineStr">
        <is>
          <t>A 59848-2025</t>
        </is>
      </c>
      <c r="B599" s="1" t="n">
        <v>45992.6877662037</v>
      </c>
      <c r="C599" s="1" t="n">
        <v>46086</v>
      </c>
      <c r="D599" t="inlineStr">
        <is>
          <t>GÄVLEBORGS LÄN</t>
        </is>
      </c>
      <c r="E599" t="inlineStr">
        <is>
          <t>SÖDERHAMN</t>
        </is>
      </c>
      <c r="G599" t="n">
        <v>2</v>
      </c>
      <c r="H599" t="n">
        <v>1</v>
      </c>
      <c r="I599" t="n">
        <v>0</v>
      </c>
      <c r="J599" t="n">
        <v>0</v>
      </c>
      <c r="K599" t="n">
        <v>0</v>
      </c>
      <c r="L599" t="n">
        <v>0</v>
      </c>
      <c r="M599" t="n">
        <v>0</v>
      </c>
      <c r="N599" t="n">
        <v>0</v>
      </c>
      <c r="O599" t="n">
        <v>0</v>
      </c>
      <c r="P599" t="n">
        <v>0</v>
      </c>
      <c r="Q599" t="n">
        <v>1</v>
      </c>
      <c r="R599" s="2" t="inlineStr">
        <is>
          <t>Revlummer</t>
        </is>
      </c>
      <c r="S599">
        <f>HYPERLINK("https://klasma.github.io/Logging_2182/artfynd/A 59848-2025 artfynd.xlsx", "A 59848-2025")</f>
        <v/>
      </c>
      <c r="T599">
        <f>HYPERLINK("https://klasma.github.io/Logging_2182/kartor/A 59848-2025 karta.png", "A 59848-2025")</f>
        <v/>
      </c>
      <c r="V599">
        <f>HYPERLINK("https://klasma.github.io/Logging_2182/klagomål/A 59848-2025 FSC-klagomål.docx", "A 59848-2025")</f>
        <v/>
      </c>
      <c r="W599">
        <f>HYPERLINK("https://klasma.github.io/Logging_2182/klagomålsmail/A 59848-2025 FSC-klagomål mail.docx", "A 59848-2025")</f>
        <v/>
      </c>
      <c r="X599">
        <f>HYPERLINK("https://klasma.github.io/Logging_2182/tillsyn/A 59848-2025 tillsynsbegäran.docx", "A 59848-2025")</f>
        <v/>
      </c>
      <c r="Y599">
        <f>HYPERLINK("https://klasma.github.io/Logging_2182/tillsynsmail/A 59848-2025 tillsynsbegäran mail.docx", "A 59848-2025")</f>
        <v/>
      </c>
    </row>
    <row r="600" ht="15" customHeight="1">
      <c r="A600" t="inlineStr">
        <is>
          <t>A 59757-2025</t>
        </is>
      </c>
      <c r="B600" s="1" t="n">
        <v>45992.58902777778</v>
      </c>
      <c r="C600" s="1" t="n">
        <v>46086</v>
      </c>
      <c r="D600" t="inlineStr">
        <is>
          <t>GÄVLEBORGS LÄN</t>
        </is>
      </c>
      <c r="E600" t="inlineStr">
        <is>
          <t>LJUSDAL</t>
        </is>
      </c>
      <c r="F600" t="inlineStr">
        <is>
          <t>Allmännings- och besparingsskogar</t>
        </is>
      </c>
      <c r="G600" t="n">
        <v>17.1</v>
      </c>
      <c r="H600" t="n">
        <v>0</v>
      </c>
      <c r="I600" t="n">
        <v>0</v>
      </c>
      <c r="J600" t="n">
        <v>1</v>
      </c>
      <c r="K600" t="n">
        <v>0</v>
      </c>
      <c r="L600" t="n">
        <v>0</v>
      </c>
      <c r="M600" t="n">
        <v>0</v>
      </c>
      <c r="N600" t="n">
        <v>0</v>
      </c>
      <c r="O600" t="n">
        <v>1</v>
      </c>
      <c r="P600" t="n">
        <v>0</v>
      </c>
      <c r="Q600" t="n">
        <v>1</v>
      </c>
      <c r="R600" s="2" t="inlineStr">
        <is>
          <t>Kolflarnlav</t>
        </is>
      </c>
      <c r="S600">
        <f>HYPERLINK("https://klasma.github.io/Logging_2161/artfynd/A 59757-2025 artfynd.xlsx", "A 59757-2025")</f>
        <v/>
      </c>
      <c r="T600">
        <f>HYPERLINK("https://klasma.github.io/Logging_2161/kartor/A 59757-2025 karta.png", "A 59757-2025")</f>
        <v/>
      </c>
      <c r="V600">
        <f>HYPERLINK("https://klasma.github.io/Logging_2161/klagomål/A 59757-2025 FSC-klagomål.docx", "A 59757-2025")</f>
        <v/>
      </c>
      <c r="W600">
        <f>HYPERLINK("https://klasma.github.io/Logging_2161/klagomålsmail/A 59757-2025 FSC-klagomål mail.docx", "A 59757-2025")</f>
        <v/>
      </c>
      <c r="X600">
        <f>HYPERLINK("https://klasma.github.io/Logging_2161/tillsyn/A 59757-2025 tillsynsbegäran.docx", "A 59757-2025")</f>
        <v/>
      </c>
      <c r="Y600">
        <f>HYPERLINK("https://klasma.github.io/Logging_2161/tillsynsmail/A 59757-2025 tillsynsbegäran mail.docx", "A 59757-2025")</f>
        <v/>
      </c>
    </row>
    <row r="601" ht="15" customHeight="1">
      <c r="A601" t="inlineStr">
        <is>
          <t>A 37088-2024</t>
        </is>
      </c>
      <c r="B601" s="1" t="n">
        <v>45539.49841435185</v>
      </c>
      <c r="C601" s="1" t="n">
        <v>46086</v>
      </c>
      <c r="D601" t="inlineStr">
        <is>
          <t>GÄVLEBORGS LÄN</t>
        </is>
      </c>
      <c r="E601" t="inlineStr">
        <is>
          <t>LJUSDAL</t>
        </is>
      </c>
      <c r="F601" t="inlineStr">
        <is>
          <t>Sveaskog</t>
        </is>
      </c>
      <c r="G601" t="n">
        <v>9.699999999999999</v>
      </c>
      <c r="H601" t="n">
        <v>0</v>
      </c>
      <c r="I601" t="n">
        <v>0</v>
      </c>
      <c r="J601" t="n">
        <v>1</v>
      </c>
      <c r="K601" t="n">
        <v>0</v>
      </c>
      <c r="L601" t="n">
        <v>0</v>
      </c>
      <c r="M601" t="n">
        <v>0</v>
      </c>
      <c r="N601" t="n">
        <v>0</v>
      </c>
      <c r="O601" t="n">
        <v>1</v>
      </c>
      <c r="P601" t="n">
        <v>0</v>
      </c>
      <c r="Q601" t="n">
        <v>1</v>
      </c>
      <c r="R601" s="2" t="inlineStr">
        <is>
          <t>Skrovellav</t>
        </is>
      </c>
      <c r="S601">
        <f>HYPERLINK("https://klasma.github.io/Logging_2161/artfynd/A 37088-2024 artfynd.xlsx", "A 37088-2024")</f>
        <v/>
      </c>
      <c r="T601">
        <f>HYPERLINK("https://klasma.github.io/Logging_2161/kartor/A 37088-2024 karta.png", "A 37088-2024")</f>
        <v/>
      </c>
      <c r="V601">
        <f>HYPERLINK("https://klasma.github.io/Logging_2161/klagomål/A 37088-2024 FSC-klagomål.docx", "A 37088-2024")</f>
        <v/>
      </c>
      <c r="W601">
        <f>HYPERLINK("https://klasma.github.io/Logging_2161/klagomålsmail/A 37088-2024 FSC-klagomål mail.docx", "A 37088-2024")</f>
        <v/>
      </c>
      <c r="X601">
        <f>HYPERLINK("https://klasma.github.io/Logging_2161/tillsyn/A 37088-2024 tillsynsbegäran.docx", "A 37088-2024")</f>
        <v/>
      </c>
      <c r="Y601">
        <f>HYPERLINK("https://klasma.github.io/Logging_2161/tillsynsmail/A 37088-2024 tillsynsbegäran mail.docx", "A 37088-2024")</f>
        <v/>
      </c>
    </row>
    <row r="602" ht="15" customHeight="1">
      <c r="A602" t="inlineStr">
        <is>
          <t>A 34744-2024</t>
        </is>
      </c>
      <c r="B602" s="1" t="n">
        <v>45526.59482638889</v>
      </c>
      <c r="C602" s="1" t="n">
        <v>46086</v>
      </c>
      <c r="D602" t="inlineStr">
        <is>
          <t>GÄVLEBORGS LÄN</t>
        </is>
      </c>
      <c r="E602" t="inlineStr">
        <is>
          <t>LJUSDAL</t>
        </is>
      </c>
      <c r="F602" t="inlineStr">
        <is>
          <t>Sveaskog</t>
        </is>
      </c>
      <c r="G602" t="n">
        <v>9.9</v>
      </c>
      <c r="H602" t="n">
        <v>0</v>
      </c>
      <c r="I602" t="n">
        <v>0</v>
      </c>
      <c r="J602" t="n">
        <v>1</v>
      </c>
      <c r="K602" t="n">
        <v>0</v>
      </c>
      <c r="L602" t="n">
        <v>0</v>
      </c>
      <c r="M602" t="n">
        <v>0</v>
      </c>
      <c r="N602" t="n">
        <v>0</v>
      </c>
      <c r="O602" t="n">
        <v>1</v>
      </c>
      <c r="P602" t="n">
        <v>0</v>
      </c>
      <c r="Q602" t="n">
        <v>1</v>
      </c>
      <c r="R602" s="2" t="inlineStr">
        <is>
          <t>Lunglav</t>
        </is>
      </c>
      <c r="S602">
        <f>HYPERLINK("https://klasma.github.io/Logging_2161/artfynd/A 34744-2024 artfynd.xlsx", "A 34744-2024")</f>
        <v/>
      </c>
      <c r="T602">
        <f>HYPERLINK("https://klasma.github.io/Logging_2161/kartor/A 34744-2024 karta.png", "A 34744-2024")</f>
        <v/>
      </c>
      <c r="V602">
        <f>HYPERLINK("https://klasma.github.io/Logging_2161/klagomål/A 34744-2024 FSC-klagomål.docx", "A 34744-2024")</f>
        <v/>
      </c>
      <c r="W602">
        <f>HYPERLINK("https://klasma.github.io/Logging_2161/klagomålsmail/A 34744-2024 FSC-klagomål mail.docx", "A 34744-2024")</f>
        <v/>
      </c>
      <c r="X602">
        <f>HYPERLINK("https://klasma.github.io/Logging_2161/tillsyn/A 34744-2024 tillsynsbegäran.docx", "A 34744-2024")</f>
        <v/>
      </c>
      <c r="Y602">
        <f>HYPERLINK("https://klasma.github.io/Logging_2161/tillsynsmail/A 34744-2024 tillsynsbegäran mail.docx", "A 34744-2024")</f>
        <v/>
      </c>
    </row>
    <row r="603" ht="15" customHeight="1">
      <c r="A603" t="inlineStr">
        <is>
          <t>A 60322-2025</t>
        </is>
      </c>
      <c r="B603" s="1" t="n">
        <v>45994.72599537037</v>
      </c>
      <c r="C603" s="1" t="n">
        <v>46086</v>
      </c>
      <c r="D603" t="inlineStr">
        <is>
          <t>GÄVLEBORGS LÄN</t>
        </is>
      </c>
      <c r="E603" t="inlineStr">
        <is>
          <t>SÖDERHAMN</t>
        </is>
      </c>
      <c r="G603" t="n">
        <v>2.8</v>
      </c>
      <c r="H603" t="n">
        <v>1</v>
      </c>
      <c r="I603" t="n">
        <v>0</v>
      </c>
      <c r="J603" t="n">
        <v>0</v>
      </c>
      <c r="K603" t="n">
        <v>0</v>
      </c>
      <c r="L603" t="n">
        <v>0</v>
      </c>
      <c r="M603" t="n">
        <v>0</v>
      </c>
      <c r="N603" t="n">
        <v>0</v>
      </c>
      <c r="O603" t="n">
        <v>0</v>
      </c>
      <c r="P603" t="n">
        <v>0</v>
      </c>
      <c r="Q603" t="n">
        <v>1</v>
      </c>
      <c r="R603" s="2" t="inlineStr">
        <is>
          <t>Kungsfågel</t>
        </is>
      </c>
      <c r="S603">
        <f>HYPERLINK("https://klasma.github.io/Logging_2182/artfynd/A 60322-2025 artfynd.xlsx", "A 60322-2025")</f>
        <v/>
      </c>
      <c r="T603">
        <f>HYPERLINK("https://klasma.github.io/Logging_2182/kartor/A 60322-2025 karta.png", "A 60322-2025")</f>
        <v/>
      </c>
      <c r="V603">
        <f>HYPERLINK("https://klasma.github.io/Logging_2182/klagomål/A 60322-2025 FSC-klagomål.docx", "A 60322-2025")</f>
        <v/>
      </c>
      <c r="W603">
        <f>HYPERLINK("https://klasma.github.io/Logging_2182/klagomålsmail/A 60322-2025 FSC-klagomål mail.docx", "A 60322-2025")</f>
        <v/>
      </c>
      <c r="X603">
        <f>HYPERLINK("https://klasma.github.io/Logging_2182/tillsyn/A 60322-2025 tillsynsbegäran.docx", "A 60322-2025")</f>
        <v/>
      </c>
      <c r="Y603">
        <f>HYPERLINK("https://klasma.github.io/Logging_2182/tillsynsmail/A 60322-2025 tillsynsbegäran mail.docx", "A 60322-2025")</f>
        <v/>
      </c>
      <c r="Z603">
        <f>HYPERLINK("https://klasma.github.io/Logging_2182/fåglar/A 60322-2025 prioriterade fågelarter.docx", "A 60322-2025")</f>
        <v/>
      </c>
    </row>
    <row r="604" ht="15" customHeight="1">
      <c r="A604" t="inlineStr">
        <is>
          <t>A 470-2024</t>
        </is>
      </c>
      <c r="B604" s="1" t="n">
        <v>45297.70762731481</v>
      </c>
      <c r="C604" s="1" t="n">
        <v>46086</v>
      </c>
      <c r="D604" t="inlineStr">
        <is>
          <t>GÄVLEBORGS LÄN</t>
        </is>
      </c>
      <c r="E604" t="inlineStr">
        <is>
          <t>NORDANSTIG</t>
        </is>
      </c>
      <c r="F604" t="inlineStr">
        <is>
          <t>Holmen skog AB</t>
        </is>
      </c>
      <c r="G604" t="n">
        <v>4.1</v>
      </c>
      <c r="H604" t="n">
        <v>1</v>
      </c>
      <c r="I604" t="n">
        <v>0</v>
      </c>
      <c r="J604" t="n">
        <v>1</v>
      </c>
      <c r="K604" t="n">
        <v>0</v>
      </c>
      <c r="L604" t="n">
        <v>0</v>
      </c>
      <c r="M604" t="n">
        <v>0</v>
      </c>
      <c r="N604" t="n">
        <v>0</v>
      </c>
      <c r="O604" t="n">
        <v>1</v>
      </c>
      <c r="P604" t="n">
        <v>0</v>
      </c>
      <c r="Q604" t="n">
        <v>1</v>
      </c>
      <c r="R604" s="2" t="inlineStr">
        <is>
          <t>Duvhök</t>
        </is>
      </c>
      <c r="S604">
        <f>HYPERLINK("https://klasma.github.io/Logging_2132/artfynd/A 470-2024 artfynd.xlsx", "A 470-2024")</f>
        <v/>
      </c>
      <c r="T604">
        <f>HYPERLINK("https://klasma.github.io/Logging_2132/kartor/A 470-2024 karta.png", "A 470-2024")</f>
        <v/>
      </c>
      <c r="V604">
        <f>HYPERLINK("https://klasma.github.io/Logging_2132/klagomål/A 470-2024 FSC-klagomål.docx", "A 470-2024")</f>
        <v/>
      </c>
      <c r="W604">
        <f>HYPERLINK("https://klasma.github.io/Logging_2132/klagomålsmail/A 470-2024 FSC-klagomål mail.docx", "A 470-2024")</f>
        <v/>
      </c>
      <c r="X604">
        <f>HYPERLINK("https://klasma.github.io/Logging_2132/tillsyn/A 470-2024 tillsynsbegäran.docx", "A 470-2024")</f>
        <v/>
      </c>
      <c r="Y604">
        <f>HYPERLINK("https://klasma.github.io/Logging_2132/tillsynsmail/A 470-2024 tillsynsbegäran mail.docx", "A 470-2024")</f>
        <v/>
      </c>
      <c r="Z604">
        <f>HYPERLINK("https://klasma.github.io/Logging_2132/fåglar/A 470-2024 prioriterade fågelarter.docx", "A 470-2024")</f>
        <v/>
      </c>
    </row>
    <row r="605" ht="15" customHeight="1">
      <c r="A605" t="inlineStr">
        <is>
          <t>A 60318-2025</t>
        </is>
      </c>
      <c r="B605" s="1" t="n">
        <v>45994.71618055556</v>
      </c>
      <c r="C605" s="1" t="n">
        <v>46086</v>
      </c>
      <c r="D605" t="inlineStr">
        <is>
          <t>GÄVLEBORGS LÄN</t>
        </is>
      </c>
      <c r="E605" t="inlineStr">
        <is>
          <t>SÖDERHAMN</t>
        </is>
      </c>
      <c r="G605" t="n">
        <v>1.6</v>
      </c>
      <c r="H605" t="n">
        <v>1</v>
      </c>
      <c r="I605" t="n">
        <v>0</v>
      </c>
      <c r="J605" t="n">
        <v>0</v>
      </c>
      <c r="K605" t="n">
        <v>0</v>
      </c>
      <c r="L605" t="n">
        <v>0</v>
      </c>
      <c r="M605" t="n">
        <v>0</v>
      </c>
      <c r="N605" t="n">
        <v>0</v>
      </c>
      <c r="O605" t="n">
        <v>0</v>
      </c>
      <c r="P605" t="n">
        <v>0</v>
      </c>
      <c r="Q605" t="n">
        <v>1</v>
      </c>
      <c r="R605" s="2" t="inlineStr">
        <is>
          <t>Revlummer</t>
        </is>
      </c>
      <c r="S605">
        <f>HYPERLINK("https://klasma.github.io/Logging_2182/artfynd/A 60318-2025 artfynd.xlsx", "A 60318-2025")</f>
        <v/>
      </c>
      <c r="T605">
        <f>HYPERLINK("https://klasma.github.io/Logging_2182/kartor/A 60318-2025 karta.png", "A 60318-2025")</f>
        <v/>
      </c>
      <c r="V605">
        <f>HYPERLINK("https://klasma.github.io/Logging_2182/klagomål/A 60318-2025 FSC-klagomål.docx", "A 60318-2025")</f>
        <v/>
      </c>
      <c r="W605">
        <f>HYPERLINK("https://klasma.github.io/Logging_2182/klagomålsmail/A 60318-2025 FSC-klagomål mail.docx", "A 60318-2025")</f>
        <v/>
      </c>
      <c r="X605">
        <f>HYPERLINK("https://klasma.github.io/Logging_2182/tillsyn/A 60318-2025 tillsynsbegäran.docx", "A 60318-2025")</f>
        <v/>
      </c>
      <c r="Y605">
        <f>HYPERLINK("https://klasma.github.io/Logging_2182/tillsynsmail/A 60318-2025 tillsynsbegäran mail.docx", "A 60318-2025")</f>
        <v/>
      </c>
    </row>
    <row r="606" ht="15" customHeight="1">
      <c r="A606" t="inlineStr">
        <is>
          <t>A 35349-2024</t>
        </is>
      </c>
      <c r="B606" s="1" t="n">
        <v>45531</v>
      </c>
      <c r="C606" s="1" t="n">
        <v>46086</v>
      </c>
      <c r="D606" t="inlineStr">
        <is>
          <t>GÄVLEBORGS LÄN</t>
        </is>
      </c>
      <c r="E606" t="inlineStr">
        <is>
          <t>OVANÅKER</t>
        </is>
      </c>
      <c r="F606" t="inlineStr">
        <is>
          <t>Sveaskog</t>
        </is>
      </c>
      <c r="G606" t="n">
        <v>10.4</v>
      </c>
      <c r="H606" t="n">
        <v>1</v>
      </c>
      <c r="I606" t="n">
        <v>0</v>
      </c>
      <c r="J606" t="n">
        <v>0</v>
      </c>
      <c r="K606" t="n">
        <v>0</v>
      </c>
      <c r="L606" t="n">
        <v>0</v>
      </c>
      <c r="M606" t="n">
        <v>0</v>
      </c>
      <c r="N606" t="n">
        <v>0</v>
      </c>
      <c r="O606" t="n">
        <v>0</v>
      </c>
      <c r="P606" t="n">
        <v>0</v>
      </c>
      <c r="Q606" t="n">
        <v>1</v>
      </c>
      <c r="R606" s="2" t="inlineStr">
        <is>
          <t>Nattviol</t>
        </is>
      </c>
      <c r="S606">
        <f>HYPERLINK("https://klasma.github.io/Logging_2121/artfynd/A 35349-2024 artfynd.xlsx", "A 35349-2024")</f>
        <v/>
      </c>
      <c r="T606">
        <f>HYPERLINK("https://klasma.github.io/Logging_2121/kartor/A 35349-2024 karta.png", "A 35349-2024")</f>
        <v/>
      </c>
      <c r="V606">
        <f>HYPERLINK("https://klasma.github.io/Logging_2121/klagomål/A 35349-2024 FSC-klagomål.docx", "A 35349-2024")</f>
        <v/>
      </c>
      <c r="W606">
        <f>HYPERLINK("https://klasma.github.io/Logging_2121/klagomålsmail/A 35349-2024 FSC-klagomål mail.docx", "A 35349-2024")</f>
        <v/>
      </c>
      <c r="X606">
        <f>HYPERLINK("https://klasma.github.io/Logging_2121/tillsyn/A 35349-2024 tillsynsbegäran.docx", "A 35349-2024")</f>
        <v/>
      </c>
      <c r="Y606">
        <f>HYPERLINK("https://klasma.github.io/Logging_2121/tillsynsmail/A 35349-2024 tillsynsbegäran mail.docx", "A 35349-2024")</f>
        <v/>
      </c>
    </row>
    <row r="607" ht="15" customHeight="1">
      <c r="A607" t="inlineStr">
        <is>
          <t>A 35373-2024</t>
        </is>
      </c>
      <c r="B607" s="1" t="n">
        <v>45531</v>
      </c>
      <c r="C607" s="1" t="n">
        <v>46086</v>
      </c>
      <c r="D607" t="inlineStr">
        <is>
          <t>GÄVLEBORGS LÄN</t>
        </is>
      </c>
      <c r="E607" t="inlineStr">
        <is>
          <t>OVANÅKER</t>
        </is>
      </c>
      <c r="F607" t="inlineStr">
        <is>
          <t>Sveaskog</t>
        </is>
      </c>
      <c r="G607" t="n">
        <v>2.3</v>
      </c>
      <c r="H607" t="n">
        <v>0</v>
      </c>
      <c r="I607" t="n">
        <v>0</v>
      </c>
      <c r="J607" t="n">
        <v>1</v>
      </c>
      <c r="K607" t="n">
        <v>0</v>
      </c>
      <c r="L607" t="n">
        <v>0</v>
      </c>
      <c r="M607" t="n">
        <v>0</v>
      </c>
      <c r="N607" t="n">
        <v>0</v>
      </c>
      <c r="O607" t="n">
        <v>1</v>
      </c>
      <c r="P607" t="n">
        <v>0</v>
      </c>
      <c r="Q607" t="n">
        <v>1</v>
      </c>
      <c r="R607" s="2" t="inlineStr">
        <is>
          <t>Vedtrappmossa</t>
        </is>
      </c>
      <c r="S607">
        <f>HYPERLINK("https://klasma.github.io/Logging_2121/artfynd/A 35373-2024 artfynd.xlsx", "A 35373-2024")</f>
        <v/>
      </c>
      <c r="T607">
        <f>HYPERLINK("https://klasma.github.io/Logging_2121/kartor/A 35373-2024 karta.png", "A 35373-2024")</f>
        <v/>
      </c>
      <c r="V607">
        <f>HYPERLINK("https://klasma.github.io/Logging_2121/klagomål/A 35373-2024 FSC-klagomål.docx", "A 35373-2024")</f>
        <v/>
      </c>
      <c r="W607">
        <f>HYPERLINK("https://klasma.github.io/Logging_2121/klagomålsmail/A 35373-2024 FSC-klagomål mail.docx", "A 35373-2024")</f>
        <v/>
      </c>
      <c r="X607">
        <f>HYPERLINK("https://klasma.github.io/Logging_2121/tillsyn/A 35373-2024 tillsynsbegäran.docx", "A 35373-2024")</f>
        <v/>
      </c>
      <c r="Y607">
        <f>HYPERLINK("https://klasma.github.io/Logging_2121/tillsynsmail/A 35373-2024 tillsynsbegäran mail.docx", "A 35373-2024")</f>
        <v/>
      </c>
    </row>
    <row r="608" ht="15" customHeight="1">
      <c r="A608" t="inlineStr">
        <is>
          <t>A 61087-2025</t>
        </is>
      </c>
      <c r="B608" s="1" t="n">
        <v>46000.42645833334</v>
      </c>
      <c r="C608" s="1" t="n">
        <v>46086</v>
      </c>
      <c r="D608" t="inlineStr">
        <is>
          <t>GÄVLEBORGS LÄN</t>
        </is>
      </c>
      <c r="E608" t="inlineStr">
        <is>
          <t>GÄVLE</t>
        </is>
      </c>
      <c r="G608" t="n">
        <v>2.7</v>
      </c>
      <c r="H608" t="n">
        <v>0</v>
      </c>
      <c r="I608" t="n">
        <v>0</v>
      </c>
      <c r="J608" t="n">
        <v>0</v>
      </c>
      <c r="K608" t="n">
        <v>1</v>
      </c>
      <c r="L608" t="n">
        <v>0</v>
      </c>
      <c r="M608" t="n">
        <v>0</v>
      </c>
      <c r="N608" t="n">
        <v>0</v>
      </c>
      <c r="O608" t="n">
        <v>1</v>
      </c>
      <c r="P608" t="n">
        <v>1</v>
      </c>
      <c r="Q608" t="n">
        <v>1</v>
      </c>
      <c r="R608" s="2" t="inlineStr">
        <is>
          <t>Violgubbe</t>
        </is>
      </c>
      <c r="S608">
        <f>HYPERLINK("https://klasma.github.io/Logging_2180/artfynd/A 61087-2025 artfynd.xlsx", "A 61087-2025")</f>
        <v/>
      </c>
      <c r="T608">
        <f>HYPERLINK("https://klasma.github.io/Logging_2180/kartor/A 61087-2025 karta.png", "A 61087-2025")</f>
        <v/>
      </c>
      <c r="V608">
        <f>HYPERLINK("https://klasma.github.io/Logging_2180/klagomål/A 61087-2025 FSC-klagomål.docx", "A 61087-2025")</f>
        <v/>
      </c>
      <c r="W608">
        <f>HYPERLINK("https://klasma.github.io/Logging_2180/klagomålsmail/A 61087-2025 FSC-klagomål mail.docx", "A 61087-2025")</f>
        <v/>
      </c>
      <c r="X608">
        <f>HYPERLINK("https://klasma.github.io/Logging_2180/tillsyn/A 61087-2025 tillsynsbegäran.docx", "A 61087-2025")</f>
        <v/>
      </c>
      <c r="Y608">
        <f>HYPERLINK("https://klasma.github.io/Logging_2180/tillsynsmail/A 61087-2025 tillsynsbegäran mail.docx", "A 61087-2025")</f>
        <v/>
      </c>
    </row>
    <row r="609" ht="15" customHeight="1">
      <c r="A609" t="inlineStr">
        <is>
          <t>A 58333-2022</t>
        </is>
      </c>
      <c r="B609" s="1" t="n">
        <v>44901</v>
      </c>
      <c r="C609" s="1" t="n">
        <v>46086</v>
      </c>
      <c r="D609" t="inlineStr">
        <is>
          <t>GÄVLEBORGS LÄN</t>
        </is>
      </c>
      <c r="E609" t="inlineStr">
        <is>
          <t>BOLLNÄS</t>
        </is>
      </c>
      <c r="G609" t="n">
        <v>1.8</v>
      </c>
      <c r="H609" t="n">
        <v>0</v>
      </c>
      <c r="I609" t="n">
        <v>0</v>
      </c>
      <c r="J609" t="n">
        <v>1</v>
      </c>
      <c r="K609" t="n">
        <v>0</v>
      </c>
      <c r="L609" t="n">
        <v>0</v>
      </c>
      <c r="M609" t="n">
        <v>0</v>
      </c>
      <c r="N609" t="n">
        <v>0</v>
      </c>
      <c r="O609" t="n">
        <v>1</v>
      </c>
      <c r="P609" t="n">
        <v>0</v>
      </c>
      <c r="Q609" t="n">
        <v>1</v>
      </c>
      <c r="R609" s="2" t="inlineStr">
        <is>
          <t>Granticka</t>
        </is>
      </c>
      <c r="S609">
        <f>HYPERLINK("https://klasma.github.io/Logging_2183/artfynd/A 58333-2022 artfynd.xlsx", "A 58333-2022")</f>
        <v/>
      </c>
      <c r="T609">
        <f>HYPERLINK("https://klasma.github.io/Logging_2183/kartor/A 58333-2022 karta.png", "A 58333-2022")</f>
        <v/>
      </c>
      <c r="V609">
        <f>HYPERLINK("https://klasma.github.io/Logging_2183/klagomål/A 58333-2022 FSC-klagomål.docx", "A 58333-2022")</f>
        <v/>
      </c>
      <c r="W609">
        <f>HYPERLINK("https://klasma.github.io/Logging_2183/klagomålsmail/A 58333-2022 FSC-klagomål mail.docx", "A 58333-2022")</f>
        <v/>
      </c>
      <c r="X609">
        <f>HYPERLINK("https://klasma.github.io/Logging_2183/tillsyn/A 58333-2022 tillsynsbegäran.docx", "A 58333-2022")</f>
        <v/>
      </c>
      <c r="Y609">
        <f>HYPERLINK("https://klasma.github.io/Logging_2183/tillsynsmail/A 58333-2022 tillsynsbegäran mail.docx", "A 58333-2022")</f>
        <v/>
      </c>
    </row>
    <row r="610" ht="15" customHeight="1">
      <c r="A610" t="inlineStr">
        <is>
          <t>A 51508-2024</t>
        </is>
      </c>
      <c r="B610" s="1" t="n">
        <v>45604.55732638889</v>
      </c>
      <c r="C610" s="1" t="n">
        <v>46086</v>
      </c>
      <c r="D610" t="inlineStr">
        <is>
          <t>GÄVLEBORGS LÄN</t>
        </is>
      </c>
      <c r="E610" t="inlineStr">
        <is>
          <t>GÄVLE</t>
        </is>
      </c>
      <c r="G610" t="n">
        <v>0.9</v>
      </c>
      <c r="H610" t="n">
        <v>0</v>
      </c>
      <c r="I610" t="n">
        <v>1</v>
      </c>
      <c r="J610" t="n">
        <v>0</v>
      </c>
      <c r="K610" t="n">
        <v>0</v>
      </c>
      <c r="L610" t="n">
        <v>0</v>
      </c>
      <c r="M610" t="n">
        <v>0</v>
      </c>
      <c r="N610" t="n">
        <v>0</v>
      </c>
      <c r="O610" t="n">
        <v>0</v>
      </c>
      <c r="P610" t="n">
        <v>0</v>
      </c>
      <c r="Q610" t="n">
        <v>1</v>
      </c>
      <c r="R610" s="2" t="inlineStr">
        <is>
          <t>Tibast</t>
        </is>
      </c>
      <c r="S610">
        <f>HYPERLINK("https://klasma.github.io/Logging_2180/artfynd/A 51508-2024 artfynd.xlsx", "A 51508-2024")</f>
        <v/>
      </c>
      <c r="T610">
        <f>HYPERLINK("https://klasma.github.io/Logging_2180/kartor/A 51508-2024 karta.png", "A 51508-2024")</f>
        <v/>
      </c>
      <c r="V610">
        <f>HYPERLINK("https://klasma.github.io/Logging_2180/klagomål/A 51508-2024 FSC-klagomål.docx", "A 51508-2024")</f>
        <v/>
      </c>
      <c r="W610">
        <f>HYPERLINK("https://klasma.github.io/Logging_2180/klagomålsmail/A 51508-2024 FSC-klagomål mail.docx", "A 51508-2024")</f>
        <v/>
      </c>
      <c r="X610">
        <f>HYPERLINK("https://klasma.github.io/Logging_2180/tillsyn/A 51508-2024 tillsynsbegäran.docx", "A 51508-2024")</f>
        <v/>
      </c>
      <c r="Y610">
        <f>HYPERLINK("https://klasma.github.io/Logging_2180/tillsynsmail/A 51508-2024 tillsynsbegäran mail.docx", "A 51508-2024")</f>
        <v/>
      </c>
    </row>
    <row r="611" ht="15" customHeight="1">
      <c r="A611" t="inlineStr">
        <is>
          <t>A 55326-2024</t>
        </is>
      </c>
      <c r="B611" s="1" t="n">
        <v>45621.67460648148</v>
      </c>
      <c r="C611" s="1" t="n">
        <v>46086</v>
      </c>
      <c r="D611" t="inlineStr">
        <is>
          <t>GÄVLEBORGS LÄN</t>
        </is>
      </c>
      <c r="E611" t="inlineStr">
        <is>
          <t>LJUSDAL</t>
        </is>
      </c>
      <c r="G611" t="n">
        <v>11.1</v>
      </c>
      <c r="H611" t="n">
        <v>0</v>
      </c>
      <c r="I611" t="n">
        <v>0</v>
      </c>
      <c r="J611" t="n">
        <v>1</v>
      </c>
      <c r="K611" t="n">
        <v>0</v>
      </c>
      <c r="L611" t="n">
        <v>0</v>
      </c>
      <c r="M611" t="n">
        <v>0</v>
      </c>
      <c r="N611" t="n">
        <v>0</v>
      </c>
      <c r="O611" t="n">
        <v>1</v>
      </c>
      <c r="P611" t="n">
        <v>0</v>
      </c>
      <c r="Q611" t="n">
        <v>1</v>
      </c>
      <c r="R611" s="2" t="inlineStr">
        <is>
          <t>Vedskivlav</t>
        </is>
      </c>
      <c r="S611">
        <f>HYPERLINK("https://klasma.github.io/Logging_2161/artfynd/A 55326-2024 artfynd.xlsx", "A 55326-2024")</f>
        <v/>
      </c>
      <c r="T611">
        <f>HYPERLINK("https://klasma.github.io/Logging_2161/kartor/A 55326-2024 karta.png", "A 55326-2024")</f>
        <v/>
      </c>
      <c r="U611">
        <f>HYPERLINK("https://klasma.github.io/Logging_2161/knärot/A 55326-2024 karta knärot.png", "A 55326-2024")</f>
        <v/>
      </c>
      <c r="V611">
        <f>HYPERLINK("https://klasma.github.io/Logging_2161/klagomål/A 55326-2024 FSC-klagomål.docx", "A 55326-2024")</f>
        <v/>
      </c>
      <c r="W611">
        <f>HYPERLINK("https://klasma.github.io/Logging_2161/klagomålsmail/A 55326-2024 FSC-klagomål mail.docx", "A 55326-2024")</f>
        <v/>
      </c>
      <c r="X611">
        <f>HYPERLINK("https://klasma.github.io/Logging_2161/tillsyn/A 55326-2024 tillsynsbegäran.docx", "A 55326-2024")</f>
        <v/>
      </c>
      <c r="Y611">
        <f>HYPERLINK("https://klasma.github.io/Logging_2161/tillsynsmail/A 55326-2024 tillsynsbegäran mail.docx", "A 55326-2024")</f>
        <v/>
      </c>
    </row>
    <row r="612" ht="15" customHeight="1">
      <c r="A612" t="inlineStr">
        <is>
          <t>A 4276-2026</t>
        </is>
      </c>
      <c r="B612" s="1" t="n">
        <v>46045.37459490741</v>
      </c>
      <c r="C612" s="1" t="n">
        <v>46086</v>
      </c>
      <c r="D612" t="inlineStr">
        <is>
          <t>GÄVLEBORGS LÄN</t>
        </is>
      </c>
      <c r="E612" t="inlineStr">
        <is>
          <t>SÖDERHAMN</t>
        </is>
      </c>
      <c r="G612" t="n">
        <v>1.9</v>
      </c>
      <c r="H612" t="n">
        <v>0</v>
      </c>
      <c r="I612" t="n">
        <v>0</v>
      </c>
      <c r="J612" t="n">
        <v>1</v>
      </c>
      <c r="K612" t="n">
        <v>0</v>
      </c>
      <c r="L612" t="n">
        <v>0</v>
      </c>
      <c r="M612" t="n">
        <v>0</v>
      </c>
      <c r="N612" t="n">
        <v>0</v>
      </c>
      <c r="O612" t="n">
        <v>1</v>
      </c>
      <c r="P612" t="n">
        <v>0</v>
      </c>
      <c r="Q612" t="n">
        <v>1</v>
      </c>
      <c r="R612" s="2" t="inlineStr">
        <is>
          <t>Dofttaggsvamp</t>
        </is>
      </c>
      <c r="S612">
        <f>HYPERLINK("https://klasma.github.io/Logging_2182/artfynd/A 4276-2026 artfynd.xlsx", "A 4276-2026")</f>
        <v/>
      </c>
      <c r="T612">
        <f>HYPERLINK("https://klasma.github.io/Logging_2182/kartor/A 4276-2026 karta.png", "A 4276-2026")</f>
        <v/>
      </c>
      <c r="V612">
        <f>HYPERLINK("https://klasma.github.io/Logging_2182/klagomål/A 4276-2026 FSC-klagomål.docx", "A 4276-2026")</f>
        <v/>
      </c>
      <c r="W612">
        <f>HYPERLINK("https://klasma.github.io/Logging_2182/klagomålsmail/A 4276-2026 FSC-klagomål mail.docx", "A 4276-2026")</f>
        <v/>
      </c>
      <c r="X612">
        <f>HYPERLINK("https://klasma.github.io/Logging_2182/tillsyn/A 4276-2026 tillsynsbegäran.docx", "A 4276-2026")</f>
        <v/>
      </c>
      <c r="Y612">
        <f>HYPERLINK("https://klasma.github.io/Logging_2182/tillsynsmail/A 4276-2026 tillsynsbegäran mail.docx", "A 4276-2026")</f>
        <v/>
      </c>
    </row>
    <row r="613" ht="15" customHeight="1">
      <c r="A613" t="inlineStr">
        <is>
          <t>A 4009-2026</t>
        </is>
      </c>
      <c r="B613" s="1" t="n">
        <v>46044.40725694445</v>
      </c>
      <c r="C613" s="1" t="n">
        <v>46086</v>
      </c>
      <c r="D613" t="inlineStr">
        <is>
          <t>GÄVLEBORGS LÄN</t>
        </is>
      </c>
      <c r="E613" t="inlineStr">
        <is>
          <t>OCKELBO</t>
        </is>
      </c>
      <c r="G613" t="n">
        <v>3</v>
      </c>
      <c r="H613" t="n">
        <v>1</v>
      </c>
      <c r="I613" t="n">
        <v>0</v>
      </c>
      <c r="J613" t="n">
        <v>0</v>
      </c>
      <c r="K613" t="n">
        <v>0</v>
      </c>
      <c r="L613" t="n">
        <v>0</v>
      </c>
      <c r="M613" t="n">
        <v>0</v>
      </c>
      <c r="N613" t="n">
        <v>0</v>
      </c>
      <c r="O613" t="n">
        <v>0</v>
      </c>
      <c r="P613" t="n">
        <v>0</v>
      </c>
      <c r="Q613" t="n">
        <v>1</v>
      </c>
      <c r="R613" s="2" t="inlineStr">
        <is>
          <t>Fläcknycklar</t>
        </is>
      </c>
      <c r="S613">
        <f>HYPERLINK("https://klasma.github.io/Logging_2101/artfynd/A 4009-2026 artfynd.xlsx", "A 4009-2026")</f>
        <v/>
      </c>
      <c r="T613">
        <f>HYPERLINK("https://klasma.github.io/Logging_2101/kartor/A 4009-2026 karta.png", "A 4009-2026")</f>
        <v/>
      </c>
      <c r="V613">
        <f>HYPERLINK("https://klasma.github.io/Logging_2101/klagomål/A 4009-2026 FSC-klagomål.docx", "A 4009-2026")</f>
        <v/>
      </c>
      <c r="W613">
        <f>HYPERLINK("https://klasma.github.io/Logging_2101/klagomålsmail/A 4009-2026 FSC-klagomål mail.docx", "A 4009-2026")</f>
        <v/>
      </c>
      <c r="X613">
        <f>HYPERLINK("https://klasma.github.io/Logging_2101/tillsyn/A 4009-2026 tillsynsbegäran.docx", "A 4009-2026")</f>
        <v/>
      </c>
      <c r="Y613">
        <f>HYPERLINK("https://klasma.github.io/Logging_2101/tillsynsmail/A 4009-2026 tillsynsbegäran mail.docx", "A 4009-2026")</f>
        <v/>
      </c>
    </row>
    <row r="614" ht="15" customHeight="1">
      <c r="A614" t="inlineStr">
        <is>
          <t>A 4180-2026</t>
        </is>
      </c>
      <c r="B614" s="1" t="n">
        <v>46044.68267361111</v>
      </c>
      <c r="C614" s="1" t="n">
        <v>46086</v>
      </c>
      <c r="D614" t="inlineStr">
        <is>
          <t>GÄVLEBORGS LÄN</t>
        </is>
      </c>
      <c r="E614" t="inlineStr">
        <is>
          <t>OCKELBO</t>
        </is>
      </c>
      <c r="G614" t="n">
        <v>15.9</v>
      </c>
      <c r="H614" t="n">
        <v>1</v>
      </c>
      <c r="I614" t="n">
        <v>0</v>
      </c>
      <c r="J614" t="n">
        <v>0</v>
      </c>
      <c r="K614" t="n">
        <v>0</v>
      </c>
      <c r="L614" t="n">
        <v>0</v>
      </c>
      <c r="M614" t="n">
        <v>0</v>
      </c>
      <c r="N614" t="n">
        <v>0</v>
      </c>
      <c r="O614" t="n">
        <v>0</v>
      </c>
      <c r="P614" t="n">
        <v>0</v>
      </c>
      <c r="Q614" t="n">
        <v>1</v>
      </c>
      <c r="R614" s="2" t="inlineStr">
        <is>
          <t>Revlummer</t>
        </is>
      </c>
      <c r="S614">
        <f>HYPERLINK("https://klasma.github.io/Logging_2101/artfynd/A 4180-2026 artfynd.xlsx", "A 4180-2026")</f>
        <v/>
      </c>
      <c r="T614">
        <f>HYPERLINK("https://klasma.github.io/Logging_2101/kartor/A 4180-2026 karta.png", "A 4180-2026")</f>
        <v/>
      </c>
      <c r="V614">
        <f>HYPERLINK("https://klasma.github.io/Logging_2101/klagomål/A 4180-2026 FSC-klagomål.docx", "A 4180-2026")</f>
        <v/>
      </c>
      <c r="W614">
        <f>HYPERLINK("https://klasma.github.io/Logging_2101/klagomålsmail/A 4180-2026 FSC-klagomål mail.docx", "A 4180-2026")</f>
        <v/>
      </c>
      <c r="X614">
        <f>HYPERLINK("https://klasma.github.io/Logging_2101/tillsyn/A 4180-2026 tillsynsbegäran.docx", "A 4180-2026")</f>
        <v/>
      </c>
      <c r="Y614">
        <f>HYPERLINK("https://klasma.github.io/Logging_2101/tillsynsmail/A 4180-2026 tillsynsbegäran mail.docx", "A 4180-2026")</f>
        <v/>
      </c>
    </row>
    <row r="615" ht="15" customHeight="1">
      <c r="A615" t="inlineStr">
        <is>
          <t>A 4661-2026</t>
        </is>
      </c>
      <c r="B615" s="1" t="n">
        <v>46048.4083912037</v>
      </c>
      <c r="C615" s="1" t="n">
        <v>46086</v>
      </c>
      <c r="D615" t="inlineStr">
        <is>
          <t>GÄVLEBORGS LÄN</t>
        </is>
      </c>
      <c r="E615" t="inlineStr">
        <is>
          <t>OCKELBO</t>
        </is>
      </c>
      <c r="F615" t="inlineStr">
        <is>
          <t>Bergvik skog väst AB</t>
        </is>
      </c>
      <c r="G615" t="n">
        <v>5.8</v>
      </c>
      <c r="H615" t="n">
        <v>1</v>
      </c>
      <c r="I615" t="n">
        <v>1</v>
      </c>
      <c r="J615" t="n">
        <v>0</v>
      </c>
      <c r="K615" t="n">
        <v>0</v>
      </c>
      <c r="L615" t="n">
        <v>0</v>
      </c>
      <c r="M615" t="n">
        <v>0</v>
      </c>
      <c r="N615" t="n">
        <v>0</v>
      </c>
      <c r="O615" t="n">
        <v>0</v>
      </c>
      <c r="P615" t="n">
        <v>0</v>
      </c>
      <c r="Q615" t="n">
        <v>1</v>
      </c>
      <c r="R615" s="2" t="inlineStr">
        <is>
          <t>Plattlummer</t>
        </is>
      </c>
      <c r="S615">
        <f>HYPERLINK("https://klasma.github.io/Logging_2101/artfynd/A 4661-2026 artfynd.xlsx", "A 4661-2026")</f>
        <v/>
      </c>
      <c r="T615">
        <f>HYPERLINK("https://klasma.github.io/Logging_2101/kartor/A 4661-2026 karta.png", "A 4661-2026")</f>
        <v/>
      </c>
      <c r="V615">
        <f>HYPERLINK("https://klasma.github.io/Logging_2101/klagomål/A 4661-2026 FSC-klagomål.docx", "A 4661-2026")</f>
        <v/>
      </c>
      <c r="W615">
        <f>HYPERLINK("https://klasma.github.io/Logging_2101/klagomålsmail/A 4661-2026 FSC-klagomål mail.docx", "A 4661-2026")</f>
        <v/>
      </c>
      <c r="X615">
        <f>HYPERLINK("https://klasma.github.io/Logging_2101/tillsyn/A 4661-2026 tillsynsbegäran.docx", "A 4661-2026")</f>
        <v/>
      </c>
      <c r="Y615">
        <f>HYPERLINK("https://klasma.github.io/Logging_2101/tillsynsmail/A 4661-2026 tillsynsbegäran mail.docx", "A 4661-2026")</f>
        <v/>
      </c>
    </row>
    <row r="616" ht="15" customHeight="1">
      <c r="A616" t="inlineStr">
        <is>
          <t>A 5078-2026</t>
        </is>
      </c>
      <c r="B616" s="1" t="n">
        <v>46049.53497685185</v>
      </c>
      <c r="C616" s="1" t="n">
        <v>46086</v>
      </c>
      <c r="D616" t="inlineStr">
        <is>
          <t>GÄVLEBORGS LÄN</t>
        </is>
      </c>
      <c r="E616" t="inlineStr">
        <is>
          <t>OVANÅKER</t>
        </is>
      </c>
      <c r="G616" t="n">
        <v>8.5</v>
      </c>
      <c r="H616" t="n">
        <v>1</v>
      </c>
      <c r="I616" t="n">
        <v>0</v>
      </c>
      <c r="J616" t="n">
        <v>0</v>
      </c>
      <c r="K616" t="n">
        <v>1</v>
      </c>
      <c r="L616" t="n">
        <v>0</v>
      </c>
      <c r="M616" t="n">
        <v>0</v>
      </c>
      <c r="N616" t="n">
        <v>0</v>
      </c>
      <c r="O616" t="n">
        <v>1</v>
      </c>
      <c r="P616" t="n">
        <v>1</v>
      </c>
      <c r="Q616" t="n">
        <v>1</v>
      </c>
      <c r="R616" s="2" t="inlineStr">
        <is>
          <t>Knärot</t>
        </is>
      </c>
      <c r="S616">
        <f>HYPERLINK("https://klasma.github.io/Logging_2121/artfynd/A 5078-2026 artfynd.xlsx", "A 5078-2026")</f>
        <v/>
      </c>
      <c r="T616">
        <f>HYPERLINK("https://klasma.github.io/Logging_2121/kartor/A 5078-2026 karta.png", "A 5078-2026")</f>
        <v/>
      </c>
      <c r="U616">
        <f>HYPERLINK("https://klasma.github.io/Logging_2121/knärot/A 5078-2026 karta knärot.png", "A 5078-2026")</f>
        <v/>
      </c>
      <c r="V616">
        <f>HYPERLINK("https://klasma.github.io/Logging_2121/klagomål/A 5078-2026 FSC-klagomål.docx", "A 5078-2026")</f>
        <v/>
      </c>
      <c r="W616">
        <f>HYPERLINK("https://klasma.github.io/Logging_2121/klagomålsmail/A 5078-2026 FSC-klagomål mail.docx", "A 5078-2026")</f>
        <v/>
      </c>
      <c r="X616">
        <f>HYPERLINK("https://klasma.github.io/Logging_2121/tillsyn/A 5078-2026 tillsynsbegäran.docx", "A 5078-2026")</f>
        <v/>
      </c>
      <c r="Y616">
        <f>HYPERLINK("https://klasma.github.io/Logging_2121/tillsynsmail/A 5078-2026 tillsynsbegäran mail.docx", "A 5078-2026")</f>
        <v/>
      </c>
    </row>
    <row r="617" ht="15" customHeight="1">
      <c r="A617" t="inlineStr">
        <is>
          <t>A 5063-2026</t>
        </is>
      </c>
      <c r="B617" s="1" t="n">
        <v>46049.48616898148</v>
      </c>
      <c r="C617" s="1" t="n">
        <v>46086</v>
      </c>
      <c r="D617" t="inlineStr">
        <is>
          <t>GÄVLEBORGS LÄN</t>
        </is>
      </c>
      <c r="E617" t="inlineStr">
        <is>
          <t>LJUSDAL</t>
        </is>
      </c>
      <c r="F617" t="inlineStr">
        <is>
          <t>Holmen skog AB</t>
        </is>
      </c>
      <c r="G617" t="n">
        <v>9.5</v>
      </c>
      <c r="H617" t="n">
        <v>1</v>
      </c>
      <c r="I617" t="n">
        <v>1</v>
      </c>
      <c r="J617" t="n">
        <v>0</v>
      </c>
      <c r="K617" t="n">
        <v>0</v>
      </c>
      <c r="L617" t="n">
        <v>0</v>
      </c>
      <c r="M617" t="n">
        <v>0</v>
      </c>
      <c r="N617" t="n">
        <v>0</v>
      </c>
      <c r="O617" t="n">
        <v>0</v>
      </c>
      <c r="P617" t="n">
        <v>0</v>
      </c>
      <c r="Q617" t="n">
        <v>1</v>
      </c>
      <c r="R617" s="2" t="inlineStr">
        <is>
          <t>Plattlummer</t>
        </is>
      </c>
      <c r="S617">
        <f>HYPERLINK("https://klasma.github.io/Logging_2161/artfynd/A 5063-2026 artfynd.xlsx", "A 5063-2026")</f>
        <v/>
      </c>
      <c r="T617">
        <f>HYPERLINK("https://klasma.github.io/Logging_2161/kartor/A 5063-2026 karta.png", "A 5063-2026")</f>
        <v/>
      </c>
      <c r="V617">
        <f>HYPERLINK("https://klasma.github.io/Logging_2161/klagomål/A 5063-2026 FSC-klagomål.docx", "A 5063-2026")</f>
        <v/>
      </c>
      <c r="W617">
        <f>HYPERLINK("https://klasma.github.io/Logging_2161/klagomålsmail/A 5063-2026 FSC-klagomål mail.docx", "A 5063-2026")</f>
        <v/>
      </c>
      <c r="X617">
        <f>HYPERLINK("https://klasma.github.io/Logging_2161/tillsyn/A 5063-2026 tillsynsbegäran.docx", "A 5063-2026")</f>
        <v/>
      </c>
      <c r="Y617">
        <f>HYPERLINK("https://klasma.github.io/Logging_2161/tillsynsmail/A 5063-2026 tillsynsbegäran mail.docx", "A 5063-2026")</f>
        <v/>
      </c>
    </row>
    <row r="618" ht="15" customHeight="1">
      <c r="A618" t="inlineStr">
        <is>
          <t>A 62102-2025</t>
        </is>
      </c>
      <c r="B618" s="1" t="n">
        <v>46006.40692129629</v>
      </c>
      <c r="C618" s="1" t="n">
        <v>46086</v>
      </c>
      <c r="D618" t="inlineStr">
        <is>
          <t>GÄVLEBORGS LÄN</t>
        </is>
      </c>
      <c r="E618" t="inlineStr">
        <is>
          <t>LJUSDAL</t>
        </is>
      </c>
      <c r="F618" t="inlineStr">
        <is>
          <t>SCA</t>
        </is>
      </c>
      <c r="G618" t="n">
        <v>5.7</v>
      </c>
      <c r="H618" t="n">
        <v>1</v>
      </c>
      <c r="I618" t="n">
        <v>0</v>
      </c>
      <c r="J618" t="n">
        <v>0</v>
      </c>
      <c r="K618" t="n">
        <v>0</v>
      </c>
      <c r="L618" t="n">
        <v>0</v>
      </c>
      <c r="M618" t="n">
        <v>0</v>
      </c>
      <c r="N618" t="n">
        <v>0</v>
      </c>
      <c r="O618" t="n">
        <v>0</v>
      </c>
      <c r="P618" t="n">
        <v>0</v>
      </c>
      <c r="Q618" t="n">
        <v>1</v>
      </c>
      <c r="R618" s="2" t="inlineStr">
        <is>
          <t>Blåsippa</t>
        </is>
      </c>
      <c r="S618">
        <f>HYPERLINK("https://klasma.github.io/Logging_2161/artfynd/A 62102-2025 artfynd.xlsx", "A 62102-2025")</f>
        <v/>
      </c>
      <c r="T618">
        <f>HYPERLINK("https://klasma.github.io/Logging_2161/kartor/A 62102-2025 karta.png", "A 62102-2025")</f>
        <v/>
      </c>
      <c r="V618">
        <f>HYPERLINK("https://klasma.github.io/Logging_2161/klagomål/A 62102-2025 FSC-klagomål.docx", "A 62102-2025")</f>
        <v/>
      </c>
      <c r="W618">
        <f>HYPERLINK("https://klasma.github.io/Logging_2161/klagomålsmail/A 62102-2025 FSC-klagomål mail.docx", "A 62102-2025")</f>
        <v/>
      </c>
      <c r="X618">
        <f>HYPERLINK("https://klasma.github.io/Logging_2161/tillsyn/A 62102-2025 tillsynsbegäran.docx", "A 62102-2025")</f>
        <v/>
      </c>
      <c r="Y618">
        <f>HYPERLINK("https://klasma.github.io/Logging_2161/tillsynsmail/A 62102-2025 tillsynsbegäran mail.docx", "A 62102-2025")</f>
        <v/>
      </c>
    </row>
    <row r="619" ht="15" customHeight="1">
      <c r="A619" t="inlineStr">
        <is>
          <t>A 4713-2026</t>
        </is>
      </c>
      <c r="B619" s="1" t="n">
        <v>46048.46164351852</v>
      </c>
      <c r="C619" s="1" t="n">
        <v>46086</v>
      </c>
      <c r="D619" t="inlineStr">
        <is>
          <t>GÄVLEBORGS LÄN</t>
        </is>
      </c>
      <c r="E619" t="inlineStr">
        <is>
          <t>OVANÅKER</t>
        </is>
      </c>
      <c r="G619" t="n">
        <v>4.1</v>
      </c>
      <c r="H619" t="n">
        <v>1</v>
      </c>
      <c r="I619" t="n">
        <v>0</v>
      </c>
      <c r="J619" t="n">
        <v>0</v>
      </c>
      <c r="K619" t="n">
        <v>0</v>
      </c>
      <c r="L619" t="n">
        <v>0</v>
      </c>
      <c r="M619" t="n">
        <v>0</v>
      </c>
      <c r="N619" t="n">
        <v>0</v>
      </c>
      <c r="O619" t="n">
        <v>0</v>
      </c>
      <c r="P619" t="n">
        <v>0</v>
      </c>
      <c r="Q619" t="n">
        <v>1</v>
      </c>
      <c r="R619" s="2" t="inlineStr">
        <is>
          <t>Kungsfågel</t>
        </is>
      </c>
      <c r="S619">
        <f>HYPERLINK("https://klasma.github.io/Logging_2121/artfynd/A 4713-2026 artfynd.xlsx", "A 4713-2026")</f>
        <v/>
      </c>
      <c r="T619">
        <f>HYPERLINK("https://klasma.github.io/Logging_2121/kartor/A 4713-2026 karta.png", "A 4713-2026")</f>
        <v/>
      </c>
      <c r="V619">
        <f>HYPERLINK("https://klasma.github.io/Logging_2121/klagomål/A 4713-2026 FSC-klagomål.docx", "A 4713-2026")</f>
        <v/>
      </c>
      <c r="W619">
        <f>HYPERLINK("https://klasma.github.io/Logging_2121/klagomålsmail/A 4713-2026 FSC-klagomål mail.docx", "A 4713-2026")</f>
        <v/>
      </c>
      <c r="X619">
        <f>HYPERLINK("https://klasma.github.io/Logging_2121/tillsyn/A 4713-2026 tillsynsbegäran.docx", "A 4713-2026")</f>
        <v/>
      </c>
      <c r="Y619">
        <f>HYPERLINK("https://klasma.github.io/Logging_2121/tillsynsmail/A 4713-2026 tillsynsbegäran mail.docx", "A 4713-2026")</f>
        <v/>
      </c>
      <c r="Z619">
        <f>HYPERLINK("https://klasma.github.io/Logging_2121/fåglar/A 4713-2026 prioriterade fågelarter.docx", "A 4713-2026")</f>
        <v/>
      </c>
    </row>
    <row r="620" ht="15" customHeight="1">
      <c r="A620" t="inlineStr">
        <is>
          <t>A 35080-2023</t>
        </is>
      </c>
      <c r="B620" s="1" t="n">
        <v>45145.42868055555</v>
      </c>
      <c r="C620" s="1" t="n">
        <v>46086</v>
      </c>
      <c r="D620" t="inlineStr">
        <is>
          <t>GÄVLEBORGS LÄN</t>
        </is>
      </c>
      <c r="E620" t="inlineStr">
        <is>
          <t>LJUSDAL</t>
        </is>
      </c>
      <c r="F620" t="inlineStr">
        <is>
          <t>Sveaskog</t>
        </is>
      </c>
      <c r="G620" t="n">
        <v>2.9</v>
      </c>
      <c r="H620" t="n">
        <v>0</v>
      </c>
      <c r="I620" t="n">
        <v>0</v>
      </c>
      <c r="J620" t="n">
        <v>1</v>
      </c>
      <c r="K620" t="n">
        <v>0</v>
      </c>
      <c r="L620" t="n">
        <v>0</v>
      </c>
      <c r="M620" t="n">
        <v>0</v>
      </c>
      <c r="N620" t="n">
        <v>0</v>
      </c>
      <c r="O620" t="n">
        <v>1</v>
      </c>
      <c r="P620" t="n">
        <v>0</v>
      </c>
      <c r="Q620" t="n">
        <v>1</v>
      </c>
      <c r="R620" s="2" t="inlineStr">
        <is>
          <t>Vedflamlav</t>
        </is>
      </c>
      <c r="S620">
        <f>HYPERLINK("https://klasma.github.io/Logging_2161/artfynd/A 35080-2023 artfynd.xlsx", "A 35080-2023")</f>
        <v/>
      </c>
      <c r="T620">
        <f>HYPERLINK("https://klasma.github.io/Logging_2161/kartor/A 35080-2023 karta.png", "A 35080-2023")</f>
        <v/>
      </c>
      <c r="V620">
        <f>HYPERLINK("https://klasma.github.io/Logging_2161/klagomål/A 35080-2023 FSC-klagomål.docx", "A 35080-2023")</f>
        <v/>
      </c>
      <c r="W620">
        <f>HYPERLINK("https://klasma.github.io/Logging_2161/klagomålsmail/A 35080-2023 FSC-klagomål mail.docx", "A 35080-2023")</f>
        <v/>
      </c>
      <c r="X620">
        <f>HYPERLINK("https://klasma.github.io/Logging_2161/tillsyn/A 35080-2023 tillsynsbegäran.docx", "A 35080-2023")</f>
        <v/>
      </c>
      <c r="Y620">
        <f>HYPERLINK("https://klasma.github.io/Logging_2161/tillsynsmail/A 35080-2023 tillsynsbegäran mail.docx", "A 35080-2023")</f>
        <v/>
      </c>
    </row>
    <row r="621" ht="15" customHeight="1">
      <c r="A621" t="inlineStr">
        <is>
          <t>A 62989-2025</t>
        </is>
      </c>
      <c r="B621" s="1" t="n">
        <v>46009.51313657407</v>
      </c>
      <c r="C621" s="1" t="n">
        <v>46086</v>
      </c>
      <c r="D621" t="inlineStr">
        <is>
          <t>GÄVLEBORGS LÄN</t>
        </is>
      </c>
      <c r="E621" t="inlineStr">
        <is>
          <t>OCKELBO</t>
        </is>
      </c>
      <c r="G621" t="n">
        <v>1.7</v>
      </c>
      <c r="H621" t="n">
        <v>0</v>
      </c>
      <c r="I621" t="n">
        <v>0</v>
      </c>
      <c r="J621" t="n">
        <v>1</v>
      </c>
      <c r="K621" t="n">
        <v>0</v>
      </c>
      <c r="L621" t="n">
        <v>0</v>
      </c>
      <c r="M621" t="n">
        <v>0</v>
      </c>
      <c r="N621" t="n">
        <v>0</v>
      </c>
      <c r="O621" t="n">
        <v>1</v>
      </c>
      <c r="P621" t="n">
        <v>0</v>
      </c>
      <c r="Q621" t="n">
        <v>1</v>
      </c>
      <c r="R621" s="2" t="inlineStr">
        <is>
          <t>Kortskaftad ärgspik</t>
        </is>
      </c>
      <c r="S621">
        <f>HYPERLINK("https://klasma.github.io/Logging_2101/artfynd/A 62989-2025 artfynd.xlsx", "A 62989-2025")</f>
        <v/>
      </c>
      <c r="T621">
        <f>HYPERLINK("https://klasma.github.io/Logging_2101/kartor/A 62989-2025 karta.png", "A 62989-2025")</f>
        <v/>
      </c>
      <c r="V621">
        <f>HYPERLINK("https://klasma.github.io/Logging_2101/klagomål/A 62989-2025 FSC-klagomål.docx", "A 62989-2025")</f>
        <v/>
      </c>
      <c r="W621">
        <f>HYPERLINK("https://klasma.github.io/Logging_2101/klagomålsmail/A 62989-2025 FSC-klagomål mail.docx", "A 62989-2025")</f>
        <v/>
      </c>
      <c r="X621">
        <f>HYPERLINK("https://klasma.github.io/Logging_2101/tillsyn/A 62989-2025 tillsynsbegäran.docx", "A 62989-2025")</f>
        <v/>
      </c>
      <c r="Y621">
        <f>HYPERLINK("https://klasma.github.io/Logging_2101/tillsynsmail/A 62989-2025 tillsynsbegäran mail.docx", "A 62989-2025")</f>
        <v/>
      </c>
    </row>
    <row r="622" ht="15" customHeight="1">
      <c r="A622" t="inlineStr">
        <is>
          <t>A 6239-2026</t>
        </is>
      </c>
      <c r="B622" s="1" t="n">
        <v>46055.45591435185</v>
      </c>
      <c r="C622" s="1" t="n">
        <v>46086</v>
      </c>
      <c r="D622" t="inlineStr">
        <is>
          <t>GÄVLEBORGS LÄN</t>
        </is>
      </c>
      <c r="E622" t="inlineStr">
        <is>
          <t>HUDIKSVALL</t>
        </is>
      </c>
      <c r="G622" t="n">
        <v>1.5</v>
      </c>
      <c r="H622" t="n">
        <v>1</v>
      </c>
      <c r="I622" t="n">
        <v>0</v>
      </c>
      <c r="J622" t="n">
        <v>0</v>
      </c>
      <c r="K622" t="n">
        <v>0</v>
      </c>
      <c r="L622" t="n">
        <v>0</v>
      </c>
      <c r="M622" t="n">
        <v>0</v>
      </c>
      <c r="N622" t="n">
        <v>0</v>
      </c>
      <c r="O622" t="n">
        <v>0</v>
      </c>
      <c r="P622" t="n">
        <v>0</v>
      </c>
      <c r="Q622" t="n">
        <v>1</v>
      </c>
      <c r="R622" s="2" t="inlineStr">
        <is>
          <t>Revlummer</t>
        </is>
      </c>
      <c r="S622">
        <f>HYPERLINK("https://klasma.github.io/Logging_2184/artfynd/A 6239-2026 artfynd.xlsx", "A 6239-2026")</f>
        <v/>
      </c>
      <c r="T622">
        <f>HYPERLINK("https://klasma.github.io/Logging_2184/kartor/A 6239-2026 karta.png", "A 6239-2026")</f>
        <v/>
      </c>
      <c r="V622">
        <f>HYPERLINK("https://klasma.github.io/Logging_2184/klagomål/A 6239-2026 FSC-klagomål.docx", "A 6239-2026")</f>
        <v/>
      </c>
      <c r="W622">
        <f>HYPERLINK("https://klasma.github.io/Logging_2184/klagomålsmail/A 6239-2026 FSC-klagomål mail.docx", "A 6239-2026")</f>
        <v/>
      </c>
      <c r="X622">
        <f>HYPERLINK("https://klasma.github.io/Logging_2184/tillsyn/A 6239-2026 tillsynsbegäran.docx", "A 6239-2026")</f>
        <v/>
      </c>
      <c r="Y622">
        <f>HYPERLINK("https://klasma.github.io/Logging_2184/tillsynsmail/A 6239-2026 tillsynsbegäran mail.docx", "A 6239-2026")</f>
        <v/>
      </c>
    </row>
    <row r="623" ht="15" customHeight="1">
      <c r="A623" t="inlineStr">
        <is>
          <t>A 6030-2026</t>
        </is>
      </c>
      <c r="B623" s="1" t="n">
        <v>46052.61196759259</v>
      </c>
      <c r="C623" s="1" t="n">
        <v>46086</v>
      </c>
      <c r="D623" t="inlineStr">
        <is>
          <t>GÄVLEBORGS LÄN</t>
        </is>
      </c>
      <c r="E623" t="inlineStr">
        <is>
          <t>GÄVLE</t>
        </is>
      </c>
      <c r="G623" t="n">
        <v>2.2</v>
      </c>
      <c r="H623" t="n">
        <v>1</v>
      </c>
      <c r="I623" t="n">
        <v>0</v>
      </c>
      <c r="J623" t="n">
        <v>0</v>
      </c>
      <c r="K623" t="n">
        <v>0</v>
      </c>
      <c r="L623" t="n">
        <v>0</v>
      </c>
      <c r="M623" t="n">
        <v>0</v>
      </c>
      <c r="N623" t="n">
        <v>0</v>
      </c>
      <c r="O623" t="n">
        <v>0</v>
      </c>
      <c r="P623" t="n">
        <v>0</v>
      </c>
      <c r="Q623" t="n">
        <v>1</v>
      </c>
      <c r="R623" s="2" t="inlineStr">
        <is>
          <t>Revlummer</t>
        </is>
      </c>
      <c r="S623">
        <f>HYPERLINK("https://klasma.github.io/Logging_2180/artfynd/A 6030-2026 artfynd.xlsx", "A 6030-2026")</f>
        <v/>
      </c>
      <c r="T623">
        <f>HYPERLINK("https://klasma.github.io/Logging_2180/kartor/A 6030-2026 karta.png", "A 6030-2026")</f>
        <v/>
      </c>
      <c r="V623">
        <f>HYPERLINK("https://klasma.github.io/Logging_2180/klagomål/A 6030-2026 FSC-klagomål.docx", "A 6030-2026")</f>
        <v/>
      </c>
      <c r="W623">
        <f>HYPERLINK("https://klasma.github.io/Logging_2180/klagomålsmail/A 6030-2026 FSC-klagomål mail.docx", "A 6030-2026")</f>
        <v/>
      </c>
      <c r="X623">
        <f>HYPERLINK("https://klasma.github.io/Logging_2180/tillsyn/A 6030-2026 tillsynsbegäran.docx", "A 6030-2026")</f>
        <v/>
      </c>
      <c r="Y623">
        <f>HYPERLINK("https://klasma.github.io/Logging_2180/tillsynsmail/A 6030-2026 tillsynsbegäran mail.docx", "A 6030-2026")</f>
        <v/>
      </c>
    </row>
    <row r="624" ht="15" customHeight="1">
      <c r="A624" t="inlineStr">
        <is>
          <t>A 5015-2023</t>
        </is>
      </c>
      <c r="B624" s="1" t="n">
        <v>44958</v>
      </c>
      <c r="C624" s="1" t="n">
        <v>46086</v>
      </c>
      <c r="D624" t="inlineStr">
        <is>
          <t>GÄVLEBORGS LÄN</t>
        </is>
      </c>
      <c r="E624" t="inlineStr">
        <is>
          <t>SANDVIKEN</t>
        </is>
      </c>
      <c r="G624" t="n">
        <v>7.8</v>
      </c>
      <c r="H624" t="n">
        <v>0</v>
      </c>
      <c r="I624" t="n">
        <v>0</v>
      </c>
      <c r="J624" t="n">
        <v>1</v>
      </c>
      <c r="K624" t="n">
        <v>0</v>
      </c>
      <c r="L624" t="n">
        <v>0</v>
      </c>
      <c r="M624" t="n">
        <v>0</v>
      </c>
      <c r="N624" t="n">
        <v>0</v>
      </c>
      <c r="O624" t="n">
        <v>1</v>
      </c>
      <c r="P624" t="n">
        <v>0</v>
      </c>
      <c r="Q624" t="n">
        <v>1</v>
      </c>
      <c r="R624" s="2" t="inlineStr">
        <is>
          <t>Slåtterfibbla</t>
        </is>
      </c>
      <c r="S624">
        <f>HYPERLINK("https://klasma.github.io/Logging_2181/artfynd/A 5015-2023 artfynd.xlsx", "A 5015-2023")</f>
        <v/>
      </c>
      <c r="T624">
        <f>HYPERLINK("https://klasma.github.io/Logging_2181/kartor/A 5015-2023 karta.png", "A 5015-2023")</f>
        <v/>
      </c>
      <c r="V624">
        <f>HYPERLINK("https://klasma.github.io/Logging_2181/klagomål/A 5015-2023 FSC-klagomål.docx", "A 5015-2023")</f>
        <v/>
      </c>
      <c r="W624">
        <f>HYPERLINK("https://klasma.github.io/Logging_2181/klagomålsmail/A 5015-2023 FSC-klagomål mail.docx", "A 5015-2023")</f>
        <v/>
      </c>
      <c r="X624">
        <f>HYPERLINK("https://klasma.github.io/Logging_2181/tillsyn/A 5015-2023 tillsynsbegäran.docx", "A 5015-2023")</f>
        <v/>
      </c>
      <c r="Y624">
        <f>HYPERLINK("https://klasma.github.io/Logging_2181/tillsynsmail/A 5015-2023 tillsynsbegäran mail.docx", "A 5015-2023")</f>
        <v/>
      </c>
    </row>
    <row r="625" ht="15" customHeight="1">
      <c r="A625" t="inlineStr">
        <is>
          <t>A 29855-2021</t>
        </is>
      </c>
      <c r="B625" s="1" t="n">
        <v>44362.66085648148</v>
      </c>
      <c r="C625" s="1" t="n">
        <v>46086</v>
      </c>
      <c r="D625" t="inlineStr">
        <is>
          <t>GÄVLEBORGS LÄN</t>
        </is>
      </c>
      <c r="E625" t="inlineStr">
        <is>
          <t>OVANÅKER</t>
        </is>
      </c>
      <c r="F625" t="inlineStr">
        <is>
          <t>Sveaskog</t>
        </is>
      </c>
      <c r="G625" t="n">
        <v>5.5</v>
      </c>
      <c r="H625" t="n">
        <v>0</v>
      </c>
      <c r="I625" t="n">
        <v>0</v>
      </c>
      <c r="J625" t="n">
        <v>1</v>
      </c>
      <c r="K625" t="n">
        <v>0</v>
      </c>
      <c r="L625" t="n">
        <v>0</v>
      </c>
      <c r="M625" t="n">
        <v>0</v>
      </c>
      <c r="N625" t="n">
        <v>0</v>
      </c>
      <c r="O625" t="n">
        <v>1</v>
      </c>
      <c r="P625" t="n">
        <v>0</v>
      </c>
      <c r="Q625" t="n">
        <v>1</v>
      </c>
      <c r="R625" s="2" t="inlineStr">
        <is>
          <t>Lunglav</t>
        </is>
      </c>
      <c r="S625">
        <f>HYPERLINK("https://klasma.github.io/Logging_2121/artfynd/A 29855-2021 artfynd.xlsx", "A 29855-2021")</f>
        <v/>
      </c>
      <c r="T625">
        <f>HYPERLINK("https://klasma.github.io/Logging_2121/kartor/A 29855-2021 karta.png", "A 29855-2021")</f>
        <v/>
      </c>
      <c r="V625">
        <f>HYPERLINK("https://klasma.github.io/Logging_2121/klagomål/A 29855-2021 FSC-klagomål.docx", "A 29855-2021")</f>
        <v/>
      </c>
      <c r="W625">
        <f>HYPERLINK("https://klasma.github.io/Logging_2121/klagomålsmail/A 29855-2021 FSC-klagomål mail.docx", "A 29855-2021")</f>
        <v/>
      </c>
      <c r="X625">
        <f>HYPERLINK("https://klasma.github.io/Logging_2121/tillsyn/A 29855-2021 tillsynsbegäran.docx", "A 29855-2021")</f>
        <v/>
      </c>
      <c r="Y625">
        <f>HYPERLINK("https://klasma.github.io/Logging_2121/tillsynsmail/A 29855-2021 tillsynsbegäran mail.docx", "A 29855-2021")</f>
        <v/>
      </c>
    </row>
    <row r="626" ht="15" customHeight="1">
      <c r="A626" t="inlineStr">
        <is>
          <t>A 5831-2026</t>
        </is>
      </c>
      <c r="B626" s="1" t="n">
        <v>46052.328125</v>
      </c>
      <c r="C626" s="1" t="n">
        <v>46086</v>
      </c>
      <c r="D626" t="inlineStr">
        <is>
          <t>GÄVLEBORGS LÄN</t>
        </is>
      </c>
      <c r="E626" t="inlineStr">
        <is>
          <t>BOLLNÄS</t>
        </is>
      </c>
      <c r="G626" t="n">
        <v>6.1</v>
      </c>
      <c r="H626" t="n">
        <v>0</v>
      </c>
      <c r="I626" t="n">
        <v>0</v>
      </c>
      <c r="J626" t="n">
        <v>1</v>
      </c>
      <c r="K626" t="n">
        <v>0</v>
      </c>
      <c r="L626" t="n">
        <v>0</v>
      </c>
      <c r="M626" t="n">
        <v>0</v>
      </c>
      <c r="N626" t="n">
        <v>0</v>
      </c>
      <c r="O626" t="n">
        <v>1</v>
      </c>
      <c r="P626" t="n">
        <v>0</v>
      </c>
      <c r="Q626" t="n">
        <v>1</v>
      </c>
      <c r="R626" s="2" t="inlineStr">
        <is>
          <t>Lunglav</t>
        </is>
      </c>
      <c r="S626">
        <f>HYPERLINK("https://klasma.github.io/Logging_2183/artfynd/A 5831-2026 artfynd.xlsx", "A 5831-2026")</f>
        <v/>
      </c>
      <c r="T626">
        <f>HYPERLINK("https://klasma.github.io/Logging_2183/kartor/A 5831-2026 karta.png", "A 5831-2026")</f>
        <v/>
      </c>
      <c r="V626">
        <f>HYPERLINK("https://klasma.github.io/Logging_2183/klagomål/A 5831-2026 FSC-klagomål.docx", "A 5831-2026")</f>
        <v/>
      </c>
      <c r="W626">
        <f>HYPERLINK("https://klasma.github.io/Logging_2183/klagomålsmail/A 5831-2026 FSC-klagomål mail.docx", "A 5831-2026")</f>
        <v/>
      </c>
      <c r="X626">
        <f>HYPERLINK("https://klasma.github.io/Logging_2183/tillsyn/A 5831-2026 tillsynsbegäran.docx", "A 5831-2026")</f>
        <v/>
      </c>
      <c r="Y626">
        <f>HYPERLINK("https://klasma.github.io/Logging_2183/tillsynsmail/A 5831-2026 tillsynsbegäran mail.docx", "A 5831-2026")</f>
        <v/>
      </c>
    </row>
    <row r="627" ht="15" customHeight="1">
      <c r="A627" t="inlineStr">
        <is>
          <t>A 58261-2024</t>
        </is>
      </c>
      <c r="B627" s="1" t="n">
        <v>45632.56211805555</v>
      </c>
      <c r="C627" s="1" t="n">
        <v>46086</v>
      </c>
      <c r="D627" t="inlineStr">
        <is>
          <t>GÄVLEBORGS LÄN</t>
        </is>
      </c>
      <c r="E627" t="inlineStr">
        <is>
          <t>SÖDERHAMN</t>
        </is>
      </c>
      <c r="F627" t="inlineStr">
        <is>
          <t>Bergvik skog väst AB</t>
        </is>
      </c>
      <c r="G627" t="n">
        <v>2.3</v>
      </c>
      <c r="H627" t="n">
        <v>1</v>
      </c>
      <c r="I627" t="n">
        <v>0</v>
      </c>
      <c r="J627" t="n">
        <v>0</v>
      </c>
      <c r="K627" t="n">
        <v>0</v>
      </c>
      <c r="L627" t="n">
        <v>0</v>
      </c>
      <c r="M627" t="n">
        <v>0</v>
      </c>
      <c r="N627" t="n">
        <v>0</v>
      </c>
      <c r="O627" t="n">
        <v>0</v>
      </c>
      <c r="P627" t="n">
        <v>0</v>
      </c>
      <c r="Q627" t="n">
        <v>1</v>
      </c>
      <c r="R627" s="2" t="inlineStr">
        <is>
          <t>Fläcknycklar</t>
        </is>
      </c>
      <c r="S627">
        <f>HYPERLINK("https://klasma.github.io/Logging_2182/artfynd/A 58261-2024 artfynd.xlsx", "A 58261-2024")</f>
        <v/>
      </c>
      <c r="T627">
        <f>HYPERLINK("https://klasma.github.io/Logging_2182/kartor/A 58261-2024 karta.png", "A 58261-2024")</f>
        <v/>
      </c>
      <c r="V627">
        <f>HYPERLINK("https://klasma.github.io/Logging_2182/klagomål/A 58261-2024 FSC-klagomål.docx", "A 58261-2024")</f>
        <v/>
      </c>
      <c r="W627">
        <f>HYPERLINK("https://klasma.github.io/Logging_2182/klagomålsmail/A 58261-2024 FSC-klagomål mail.docx", "A 58261-2024")</f>
        <v/>
      </c>
      <c r="X627">
        <f>HYPERLINK("https://klasma.github.io/Logging_2182/tillsyn/A 58261-2024 tillsynsbegäran.docx", "A 58261-2024")</f>
        <v/>
      </c>
      <c r="Y627">
        <f>HYPERLINK("https://klasma.github.io/Logging_2182/tillsynsmail/A 58261-2024 tillsynsbegäran mail.docx", "A 58261-2024")</f>
        <v/>
      </c>
    </row>
    <row r="628" ht="15" customHeight="1">
      <c r="A628" t="inlineStr">
        <is>
          <t>A 6111-2026</t>
        </is>
      </c>
      <c r="B628" s="1" t="n">
        <v>46053.39483796297</v>
      </c>
      <c r="C628" s="1" t="n">
        <v>46086</v>
      </c>
      <c r="D628" t="inlineStr">
        <is>
          <t>GÄVLEBORGS LÄN</t>
        </is>
      </c>
      <c r="E628" t="inlineStr">
        <is>
          <t>OVANÅKER</t>
        </is>
      </c>
      <c r="G628" t="n">
        <v>1.1</v>
      </c>
      <c r="H628" t="n">
        <v>1</v>
      </c>
      <c r="I628" t="n">
        <v>0</v>
      </c>
      <c r="J628" t="n">
        <v>0</v>
      </c>
      <c r="K628" t="n">
        <v>1</v>
      </c>
      <c r="L628" t="n">
        <v>0</v>
      </c>
      <c r="M628" t="n">
        <v>0</v>
      </c>
      <c r="N628" t="n">
        <v>0</v>
      </c>
      <c r="O628" t="n">
        <v>1</v>
      </c>
      <c r="P628" t="n">
        <v>1</v>
      </c>
      <c r="Q628" t="n">
        <v>1</v>
      </c>
      <c r="R628" s="2" t="inlineStr">
        <is>
          <t>Knärot</t>
        </is>
      </c>
      <c r="S628">
        <f>HYPERLINK("https://klasma.github.io/Logging_2121/artfynd/A 6111-2026 artfynd.xlsx", "A 6111-2026")</f>
        <v/>
      </c>
      <c r="T628">
        <f>HYPERLINK("https://klasma.github.io/Logging_2121/kartor/A 6111-2026 karta.png", "A 6111-2026")</f>
        <v/>
      </c>
      <c r="U628">
        <f>HYPERLINK("https://klasma.github.io/Logging_2121/knärot/A 6111-2026 karta knärot.png", "A 6111-2026")</f>
        <v/>
      </c>
      <c r="V628">
        <f>HYPERLINK("https://klasma.github.io/Logging_2121/klagomål/A 6111-2026 FSC-klagomål.docx", "A 6111-2026")</f>
        <v/>
      </c>
      <c r="W628">
        <f>HYPERLINK("https://klasma.github.io/Logging_2121/klagomålsmail/A 6111-2026 FSC-klagomål mail.docx", "A 6111-2026")</f>
        <v/>
      </c>
      <c r="X628">
        <f>HYPERLINK("https://klasma.github.io/Logging_2121/tillsyn/A 6111-2026 tillsynsbegäran.docx", "A 6111-2026")</f>
        <v/>
      </c>
      <c r="Y628">
        <f>HYPERLINK("https://klasma.github.io/Logging_2121/tillsynsmail/A 6111-2026 tillsynsbegäran mail.docx", "A 6111-2026")</f>
        <v/>
      </c>
    </row>
    <row r="629" ht="15" customHeight="1">
      <c r="A629" t="inlineStr">
        <is>
          <t>A 19427-2025</t>
        </is>
      </c>
      <c r="B629" s="1" t="n">
        <v>45769.79703703704</v>
      </c>
      <c r="C629" s="1" t="n">
        <v>46086</v>
      </c>
      <c r="D629" t="inlineStr">
        <is>
          <t>GÄVLEBORGS LÄN</t>
        </is>
      </c>
      <c r="E629" t="inlineStr">
        <is>
          <t>HUDIKSVALL</t>
        </is>
      </c>
      <c r="F629" t="inlineStr">
        <is>
          <t>Holmen skog AB</t>
        </is>
      </c>
      <c r="G629" t="n">
        <v>3.1</v>
      </c>
      <c r="H629" t="n">
        <v>0</v>
      </c>
      <c r="I629" t="n">
        <v>0</v>
      </c>
      <c r="J629" t="n">
        <v>1</v>
      </c>
      <c r="K629" t="n">
        <v>0</v>
      </c>
      <c r="L629" t="n">
        <v>0</v>
      </c>
      <c r="M629" t="n">
        <v>0</v>
      </c>
      <c r="N629" t="n">
        <v>0</v>
      </c>
      <c r="O629" t="n">
        <v>1</v>
      </c>
      <c r="P629" t="n">
        <v>0</v>
      </c>
      <c r="Q629" t="n">
        <v>1</v>
      </c>
      <c r="R629" s="2" t="inlineStr">
        <is>
          <t>Garnlav</t>
        </is>
      </c>
      <c r="S629">
        <f>HYPERLINK("https://klasma.github.io/Logging_2184/artfynd/A 19427-2025 artfynd.xlsx", "A 19427-2025")</f>
        <v/>
      </c>
      <c r="T629">
        <f>HYPERLINK("https://klasma.github.io/Logging_2184/kartor/A 19427-2025 karta.png", "A 19427-2025")</f>
        <v/>
      </c>
      <c r="V629">
        <f>HYPERLINK("https://klasma.github.io/Logging_2184/klagomål/A 19427-2025 FSC-klagomål.docx", "A 19427-2025")</f>
        <v/>
      </c>
      <c r="W629">
        <f>HYPERLINK("https://klasma.github.io/Logging_2184/klagomålsmail/A 19427-2025 FSC-klagomål mail.docx", "A 19427-2025")</f>
        <v/>
      </c>
      <c r="X629">
        <f>HYPERLINK("https://klasma.github.io/Logging_2184/tillsyn/A 19427-2025 tillsynsbegäran.docx", "A 19427-2025")</f>
        <v/>
      </c>
      <c r="Y629">
        <f>HYPERLINK("https://klasma.github.io/Logging_2184/tillsynsmail/A 19427-2025 tillsynsbegäran mail.docx", "A 19427-2025")</f>
        <v/>
      </c>
    </row>
    <row r="630" ht="15" customHeight="1">
      <c r="A630" t="inlineStr">
        <is>
          <t>A 34597-2024</t>
        </is>
      </c>
      <c r="B630" s="1" t="n">
        <v>45526</v>
      </c>
      <c r="C630" s="1" t="n">
        <v>46086</v>
      </c>
      <c r="D630" t="inlineStr">
        <is>
          <t>GÄVLEBORGS LÄN</t>
        </is>
      </c>
      <c r="E630" t="inlineStr">
        <is>
          <t>LJUSDAL</t>
        </is>
      </c>
      <c r="F630" t="inlineStr">
        <is>
          <t>Sveaskog</t>
        </is>
      </c>
      <c r="G630" t="n">
        <v>2.1</v>
      </c>
      <c r="H630" t="n">
        <v>0</v>
      </c>
      <c r="I630" t="n">
        <v>0</v>
      </c>
      <c r="J630" t="n">
        <v>1</v>
      </c>
      <c r="K630" t="n">
        <v>0</v>
      </c>
      <c r="L630" t="n">
        <v>0</v>
      </c>
      <c r="M630" t="n">
        <v>0</v>
      </c>
      <c r="N630" t="n">
        <v>0</v>
      </c>
      <c r="O630" t="n">
        <v>1</v>
      </c>
      <c r="P630" t="n">
        <v>0</v>
      </c>
      <c r="Q630" t="n">
        <v>1</v>
      </c>
      <c r="R630" s="2" t="inlineStr">
        <is>
          <t>Garnlav</t>
        </is>
      </c>
      <c r="S630">
        <f>HYPERLINK("https://klasma.github.io/Logging_2161/artfynd/A 34597-2024 artfynd.xlsx", "A 34597-2024")</f>
        <v/>
      </c>
      <c r="T630">
        <f>HYPERLINK("https://klasma.github.io/Logging_2161/kartor/A 34597-2024 karta.png", "A 34597-2024")</f>
        <v/>
      </c>
      <c r="V630">
        <f>HYPERLINK("https://klasma.github.io/Logging_2161/klagomål/A 34597-2024 FSC-klagomål.docx", "A 34597-2024")</f>
        <v/>
      </c>
      <c r="W630">
        <f>HYPERLINK("https://klasma.github.io/Logging_2161/klagomålsmail/A 34597-2024 FSC-klagomål mail.docx", "A 34597-2024")</f>
        <v/>
      </c>
      <c r="X630">
        <f>HYPERLINK("https://klasma.github.io/Logging_2161/tillsyn/A 34597-2024 tillsynsbegäran.docx", "A 34597-2024")</f>
        <v/>
      </c>
      <c r="Y630">
        <f>HYPERLINK("https://klasma.github.io/Logging_2161/tillsynsmail/A 34597-2024 tillsynsbegäran mail.docx", "A 34597-2024")</f>
        <v/>
      </c>
    </row>
    <row r="631" ht="15" customHeight="1">
      <c r="A631" t="inlineStr">
        <is>
          <t>A 5952-2026</t>
        </is>
      </c>
      <c r="B631" s="1" t="n">
        <v>46052.4909375</v>
      </c>
      <c r="C631" s="1" t="n">
        <v>46086</v>
      </c>
      <c r="D631" t="inlineStr">
        <is>
          <t>GÄVLEBORGS LÄN</t>
        </is>
      </c>
      <c r="E631" t="inlineStr">
        <is>
          <t>SÖDERHAMN</t>
        </is>
      </c>
      <c r="G631" t="n">
        <v>0.7</v>
      </c>
      <c r="H631" t="n">
        <v>0</v>
      </c>
      <c r="I631" t="n">
        <v>1</v>
      </c>
      <c r="J631" t="n">
        <v>0</v>
      </c>
      <c r="K631" t="n">
        <v>0</v>
      </c>
      <c r="L631" t="n">
        <v>0</v>
      </c>
      <c r="M631" t="n">
        <v>0</v>
      </c>
      <c r="N631" t="n">
        <v>0</v>
      </c>
      <c r="O631" t="n">
        <v>0</v>
      </c>
      <c r="P631" t="n">
        <v>0</v>
      </c>
      <c r="Q631" t="n">
        <v>1</v>
      </c>
      <c r="R631" s="2" t="inlineStr">
        <is>
          <t>Stor aspticka</t>
        </is>
      </c>
      <c r="S631">
        <f>HYPERLINK("https://klasma.github.io/Logging_2182/artfynd/A 5952-2026 artfynd.xlsx", "A 5952-2026")</f>
        <v/>
      </c>
      <c r="T631">
        <f>HYPERLINK("https://klasma.github.io/Logging_2182/kartor/A 5952-2026 karta.png", "A 5952-2026")</f>
        <v/>
      </c>
      <c r="V631">
        <f>HYPERLINK("https://klasma.github.io/Logging_2182/klagomål/A 5952-2026 FSC-klagomål.docx", "A 5952-2026")</f>
        <v/>
      </c>
      <c r="W631">
        <f>HYPERLINK("https://klasma.github.io/Logging_2182/klagomålsmail/A 5952-2026 FSC-klagomål mail.docx", "A 5952-2026")</f>
        <v/>
      </c>
      <c r="X631">
        <f>HYPERLINK("https://klasma.github.io/Logging_2182/tillsyn/A 5952-2026 tillsynsbegäran.docx", "A 5952-2026")</f>
        <v/>
      </c>
      <c r="Y631">
        <f>HYPERLINK("https://klasma.github.io/Logging_2182/tillsynsmail/A 5952-2026 tillsynsbegäran mail.docx", "A 5952-2026")</f>
        <v/>
      </c>
    </row>
    <row r="632" ht="15" customHeight="1">
      <c r="A632" t="inlineStr">
        <is>
          <t>A 6812-2026</t>
        </is>
      </c>
      <c r="B632" s="1" t="n">
        <v>46057.37287037037</v>
      </c>
      <c r="C632" s="1" t="n">
        <v>46086</v>
      </c>
      <c r="D632" t="inlineStr">
        <is>
          <t>GÄVLEBORGS LÄN</t>
        </is>
      </c>
      <c r="E632" t="inlineStr">
        <is>
          <t>OCKELBO</t>
        </is>
      </c>
      <c r="G632" t="n">
        <v>6</v>
      </c>
      <c r="H632" t="n">
        <v>1</v>
      </c>
      <c r="I632" t="n">
        <v>0</v>
      </c>
      <c r="J632" t="n">
        <v>0</v>
      </c>
      <c r="K632" t="n">
        <v>0</v>
      </c>
      <c r="L632" t="n">
        <v>0</v>
      </c>
      <c r="M632" t="n">
        <v>0</v>
      </c>
      <c r="N632" t="n">
        <v>0</v>
      </c>
      <c r="O632" t="n">
        <v>0</v>
      </c>
      <c r="P632" t="n">
        <v>0</v>
      </c>
      <c r="Q632" t="n">
        <v>1</v>
      </c>
      <c r="R632" s="2" t="inlineStr">
        <is>
          <t>Nattskärra</t>
        </is>
      </c>
      <c r="S632">
        <f>HYPERLINK("https://klasma.github.io/Logging_2101/artfynd/A 6812-2026 artfynd.xlsx", "A 6812-2026")</f>
        <v/>
      </c>
      <c r="T632">
        <f>HYPERLINK("https://klasma.github.io/Logging_2101/kartor/A 6812-2026 karta.png", "A 6812-2026")</f>
        <v/>
      </c>
      <c r="V632">
        <f>HYPERLINK("https://klasma.github.io/Logging_2101/klagomål/A 6812-2026 FSC-klagomål.docx", "A 6812-2026")</f>
        <v/>
      </c>
      <c r="W632">
        <f>HYPERLINK("https://klasma.github.io/Logging_2101/klagomålsmail/A 6812-2026 FSC-klagomål mail.docx", "A 6812-2026")</f>
        <v/>
      </c>
      <c r="X632">
        <f>HYPERLINK("https://klasma.github.io/Logging_2101/tillsyn/A 6812-2026 tillsynsbegäran.docx", "A 6812-2026")</f>
        <v/>
      </c>
      <c r="Y632">
        <f>HYPERLINK("https://klasma.github.io/Logging_2101/tillsynsmail/A 6812-2026 tillsynsbegäran mail.docx", "A 6812-2026")</f>
        <v/>
      </c>
      <c r="Z632">
        <f>HYPERLINK("https://klasma.github.io/Logging_2101/fåglar/A 6812-2026 prioriterade fågelarter.docx", "A 6812-2026")</f>
        <v/>
      </c>
    </row>
    <row r="633" ht="15" customHeight="1">
      <c r="A633" t="inlineStr">
        <is>
          <t>A 6612-2026</t>
        </is>
      </c>
      <c r="B633" s="1" t="n">
        <v>46056.48991898148</v>
      </c>
      <c r="C633" s="1" t="n">
        <v>46086</v>
      </c>
      <c r="D633" t="inlineStr">
        <is>
          <t>GÄVLEBORGS LÄN</t>
        </is>
      </c>
      <c r="E633" t="inlineStr">
        <is>
          <t>OCKELBO</t>
        </is>
      </c>
      <c r="G633" t="n">
        <v>8.9</v>
      </c>
      <c r="H633" t="n">
        <v>1</v>
      </c>
      <c r="I633" t="n">
        <v>0</v>
      </c>
      <c r="J633" t="n">
        <v>1</v>
      </c>
      <c r="K633" t="n">
        <v>0</v>
      </c>
      <c r="L633" t="n">
        <v>0</v>
      </c>
      <c r="M633" t="n">
        <v>0</v>
      </c>
      <c r="N633" t="n">
        <v>0</v>
      </c>
      <c r="O633" t="n">
        <v>1</v>
      </c>
      <c r="P633" t="n">
        <v>0</v>
      </c>
      <c r="Q633" t="n">
        <v>1</v>
      </c>
      <c r="R633" s="2" t="inlineStr">
        <is>
          <t>Talltita</t>
        </is>
      </c>
      <c r="S633">
        <f>HYPERLINK("https://klasma.github.io/Logging_2101/artfynd/A 6612-2026 artfynd.xlsx", "A 6612-2026")</f>
        <v/>
      </c>
      <c r="T633">
        <f>HYPERLINK("https://klasma.github.io/Logging_2101/kartor/A 6612-2026 karta.png", "A 6612-2026")</f>
        <v/>
      </c>
      <c r="V633">
        <f>HYPERLINK("https://klasma.github.io/Logging_2101/klagomål/A 6612-2026 FSC-klagomål.docx", "A 6612-2026")</f>
        <v/>
      </c>
      <c r="W633">
        <f>HYPERLINK("https://klasma.github.io/Logging_2101/klagomålsmail/A 6612-2026 FSC-klagomål mail.docx", "A 6612-2026")</f>
        <v/>
      </c>
      <c r="X633">
        <f>HYPERLINK("https://klasma.github.io/Logging_2101/tillsyn/A 6612-2026 tillsynsbegäran.docx", "A 6612-2026")</f>
        <v/>
      </c>
      <c r="Y633">
        <f>HYPERLINK("https://klasma.github.io/Logging_2101/tillsynsmail/A 6612-2026 tillsynsbegäran mail.docx", "A 6612-2026")</f>
        <v/>
      </c>
      <c r="Z633">
        <f>HYPERLINK("https://klasma.github.io/Logging_2101/fåglar/A 6612-2026 prioriterade fågelarter.docx", "A 6612-2026")</f>
        <v/>
      </c>
    </row>
    <row r="634" ht="15" customHeight="1">
      <c r="A634" t="inlineStr">
        <is>
          <t>A 4839-2024</t>
        </is>
      </c>
      <c r="B634" s="1" t="n">
        <v>45329</v>
      </c>
      <c r="C634" s="1" t="n">
        <v>46086</v>
      </c>
      <c r="D634" t="inlineStr">
        <is>
          <t>GÄVLEBORGS LÄN</t>
        </is>
      </c>
      <c r="E634" t="inlineStr">
        <is>
          <t>LJUSDAL</t>
        </is>
      </c>
      <c r="G634" t="n">
        <v>2.5</v>
      </c>
      <c r="H634" t="n">
        <v>1</v>
      </c>
      <c r="I634" t="n">
        <v>0</v>
      </c>
      <c r="J634" t="n">
        <v>1</v>
      </c>
      <c r="K634" t="n">
        <v>0</v>
      </c>
      <c r="L634" t="n">
        <v>0</v>
      </c>
      <c r="M634" t="n">
        <v>0</v>
      </c>
      <c r="N634" t="n">
        <v>0</v>
      </c>
      <c r="O634" t="n">
        <v>1</v>
      </c>
      <c r="P634" t="n">
        <v>0</v>
      </c>
      <c r="Q634" t="n">
        <v>1</v>
      </c>
      <c r="R634" s="2" t="inlineStr">
        <is>
          <t>Ävjepilört</t>
        </is>
      </c>
      <c r="S634">
        <f>HYPERLINK("https://klasma.github.io/Logging_2161/artfynd/A 4839-2024 artfynd.xlsx", "A 4839-2024")</f>
        <v/>
      </c>
      <c r="T634">
        <f>HYPERLINK("https://klasma.github.io/Logging_2161/kartor/A 4839-2024 karta.png", "A 4839-2024")</f>
        <v/>
      </c>
      <c r="V634">
        <f>HYPERLINK("https://klasma.github.io/Logging_2161/klagomål/A 4839-2024 FSC-klagomål.docx", "A 4839-2024")</f>
        <v/>
      </c>
      <c r="W634">
        <f>HYPERLINK("https://klasma.github.io/Logging_2161/klagomålsmail/A 4839-2024 FSC-klagomål mail.docx", "A 4839-2024")</f>
        <v/>
      </c>
      <c r="X634">
        <f>HYPERLINK("https://klasma.github.io/Logging_2161/tillsyn/A 4839-2024 tillsynsbegäran.docx", "A 4839-2024")</f>
        <v/>
      </c>
      <c r="Y634">
        <f>HYPERLINK("https://klasma.github.io/Logging_2161/tillsynsmail/A 4839-2024 tillsynsbegäran mail.docx", "A 4839-2024")</f>
        <v/>
      </c>
    </row>
    <row r="635" ht="15" customHeight="1">
      <c r="A635" t="inlineStr">
        <is>
          <t>A 17435-2025</t>
        </is>
      </c>
      <c r="B635" s="1" t="n">
        <v>45757.41109953704</v>
      </c>
      <c r="C635" s="1" t="n">
        <v>46086</v>
      </c>
      <c r="D635" t="inlineStr">
        <is>
          <t>GÄVLEBORGS LÄN</t>
        </is>
      </c>
      <c r="E635" t="inlineStr">
        <is>
          <t>LJUSDAL</t>
        </is>
      </c>
      <c r="F635" t="inlineStr">
        <is>
          <t>Bergvik skog väst AB</t>
        </is>
      </c>
      <c r="G635" t="n">
        <v>1.9</v>
      </c>
      <c r="H635" t="n">
        <v>0</v>
      </c>
      <c r="I635" t="n">
        <v>0</v>
      </c>
      <c r="J635" t="n">
        <v>1</v>
      </c>
      <c r="K635" t="n">
        <v>0</v>
      </c>
      <c r="L635" t="n">
        <v>0</v>
      </c>
      <c r="M635" t="n">
        <v>0</v>
      </c>
      <c r="N635" t="n">
        <v>0</v>
      </c>
      <c r="O635" t="n">
        <v>1</v>
      </c>
      <c r="P635" t="n">
        <v>0</v>
      </c>
      <c r="Q635" t="n">
        <v>1</v>
      </c>
      <c r="R635" s="2" t="inlineStr">
        <is>
          <t>Lunglav</t>
        </is>
      </c>
      <c r="S635">
        <f>HYPERLINK("https://klasma.github.io/Logging_2161/artfynd/A 17435-2025 artfynd.xlsx", "A 17435-2025")</f>
        <v/>
      </c>
      <c r="T635">
        <f>HYPERLINK("https://klasma.github.io/Logging_2161/kartor/A 17435-2025 karta.png", "A 17435-2025")</f>
        <v/>
      </c>
      <c r="V635">
        <f>HYPERLINK("https://klasma.github.io/Logging_2161/klagomål/A 17435-2025 FSC-klagomål.docx", "A 17435-2025")</f>
        <v/>
      </c>
      <c r="W635">
        <f>HYPERLINK("https://klasma.github.io/Logging_2161/klagomålsmail/A 17435-2025 FSC-klagomål mail.docx", "A 17435-2025")</f>
        <v/>
      </c>
      <c r="X635">
        <f>HYPERLINK("https://klasma.github.io/Logging_2161/tillsyn/A 17435-2025 tillsynsbegäran.docx", "A 17435-2025")</f>
        <v/>
      </c>
      <c r="Y635">
        <f>HYPERLINK("https://klasma.github.io/Logging_2161/tillsynsmail/A 17435-2025 tillsynsbegäran mail.docx", "A 17435-2025")</f>
        <v/>
      </c>
    </row>
    <row r="636" ht="15" customHeight="1">
      <c r="A636" t="inlineStr">
        <is>
          <t>A 18376-2024</t>
        </is>
      </c>
      <c r="B636" s="1" t="n">
        <v>45423</v>
      </c>
      <c r="C636" s="1" t="n">
        <v>46086</v>
      </c>
      <c r="D636" t="inlineStr">
        <is>
          <t>GÄVLEBORGS LÄN</t>
        </is>
      </c>
      <c r="E636" t="inlineStr">
        <is>
          <t>GÄVLE</t>
        </is>
      </c>
      <c r="F636" t="inlineStr">
        <is>
          <t>Bergvik skog väst AB</t>
        </is>
      </c>
      <c r="G636" t="n">
        <v>2.9</v>
      </c>
      <c r="H636" t="n">
        <v>0</v>
      </c>
      <c r="I636" t="n">
        <v>0</v>
      </c>
      <c r="J636" t="n">
        <v>1</v>
      </c>
      <c r="K636" t="n">
        <v>0</v>
      </c>
      <c r="L636" t="n">
        <v>0</v>
      </c>
      <c r="M636" t="n">
        <v>0</v>
      </c>
      <c r="N636" t="n">
        <v>0</v>
      </c>
      <c r="O636" t="n">
        <v>1</v>
      </c>
      <c r="P636" t="n">
        <v>0</v>
      </c>
      <c r="Q636" t="n">
        <v>1</v>
      </c>
      <c r="R636" s="2" t="inlineStr">
        <is>
          <t>Svart taggsvamp agg.</t>
        </is>
      </c>
      <c r="S636">
        <f>HYPERLINK("https://klasma.github.io/Logging_2180/artfynd/A 18376-2024 artfynd.xlsx", "A 18376-2024")</f>
        <v/>
      </c>
      <c r="T636">
        <f>HYPERLINK("https://klasma.github.io/Logging_2180/kartor/A 18376-2024 karta.png", "A 18376-2024")</f>
        <v/>
      </c>
      <c r="V636">
        <f>HYPERLINK("https://klasma.github.io/Logging_2180/klagomål/A 18376-2024 FSC-klagomål.docx", "A 18376-2024")</f>
        <v/>
      </c>
      <c r="W636">
        <f>HYPERLINK("https://klasma.github.io/Logging_2180/klagomålsmail/A 18376-2024 FSC-klagomål mail.docx", "A 18376-2024")</f>
        <v/>
      </c>
      <c r="X636">
        <f>HYPERLINK("https://klasma.github.io/Logging_2180/tillsyn/A 18376-2024 tillsynsbegäran.docx", "A 18376-2024")</f>
        <v/>
      </c>
      <c r="Y636">
        <f>HYPERLINK("https://klasma.github.io/Logging_2180/tillsynsmail/A 18376-2024 tillsynsbegäran mail.docx", "A 18376-2024")</f>
        <v/>
      </c>
    </row>
    <row r="637" ht="15" customHeight="1">
      <c r="A637" t="inlineStr">
        <is>
          <t>A 25114-2023</t>
        </is>
      </c>
      <c r="B637" s="1" t="n">
        <v>45086</v>
      </c>
      <c r="C637" s="1" t="n">
        <v>46086</v>
      </c>
      <c r="D637" t="inlineStr">
        <is>
          <t>GÄVLEBORGS LÄN</t>
        </is>
      </c>
      <c r="E637" t="inlineStr">
        <is>
          <t>LJUSDAL</t>
        </is>
      </c>
      <c r="G637" t="n">
        <v>0.9</v>
      </c>
      <c r="H637" t="n">
        <v>0</v>
      </c>
      <c r="I637" t="n">
        <v>1</v>
      </c>
      <c r="J637" t="n">
        <v>0</v>
      </c>
      <c r="K637" t="n">
        <v>0</v>
      </c>
      <c r="L637" t="n">
        <v>0</v>
      </c>
      <c r="M637" t="n">
        <v>0</v>
      </c>
      <c r="N637" t="n">
        <v>0</v>
      </c>
      <c r="O637" t="n">
        <v>0</v>
      </c>
      <c r="P637" t="n">
        <v>0</v>
      </c>
      <c r="Q637" t="n">
        <v>1</v>
      </c>
      <c r="R637" s="2" t="inlineStr">
        <is>
          <t>Vedticka</t>
        </is>
      </c>
      <c r="S637">
        <f>HYPERLINK("https://klasma.github.io/Logging_2161/artfynd/A 25114-2023 artfynd.xlsx", "A 25114-2023")</f>
        <v/>
      </c>
      <c r="T637">
        <f>HYPERLINK("https://klasma.github.io/Logging_2161/kartor/A 25114-2023 karta.png", "A 25114-2023")</f>
        <v/>
      </c>
      <c r="U637">
        <f>HYPERLINK("https://klasma.github.io/Logging_2161/knärot/A 25114-2023 karta knärot.png", "A 25114-2023")</f>
        <v/>
      </c>
      <c r="V637">
        <f>HYPERLINK("https://klasma.github.io/Logging_2161/klagomål/A 25114-2023 FSC-klagomål.docx", "A 25114-2023")</f>
        <v/>
      </c>
      <c r="W637">
        <f>HYPERLINK("https://klasma.github.io/Logging_2161/klagomålsmail/A 25114-2023 FSC-klagomål mail.docx", "A 25114-2023")</f>
        <v/>
      </c>
      <c r="X637">
        <f>HYPERLINK("https://klasma.github.io/Logging_2161/tillsyn/A 25114-2023 tillsynsbegäran.docx", "A 25114-2023")</f>
        <v/>
      </c>
      <c r="Y637">
        <f>HYPERLINK("https://klasma.github.io/Logging_2161/tillsynsmail/A 25114-2023 tillsynsbegäran mail.docx", "A 25114-2023")</f>
        <v/>
      </c>
    </row>
    <row r="638" ht="15" customHeight="1">
      <c r="A638" t="inlineStr">
        <is>
          <t>A 25657-2024</t>
        </is>
      </c>
      <c r="B638" s="1" t="n">
        <v>45463.688125</v>
      </c>
      <c r="C638" s="1" t="n">
        <v>46086</v>
      </c>
      <c r="D638" t="inlineStr">
        <is>
          <t>GÄVLEBORGS LÄN</t>
        </is>
      </c>
      <c r="E638" t="inlineStr">
        <is>
          <t>GÄVLE</t>
        </is>
      </c>
      <c r="G638" t="n">
        <v>4</v>
      </c>
      <c r="H638" t="n">
        <v>0</v>
      </c>
      <c r="I638" t="n">
        <v>0</v>
      </c>
      <c r="J638" t="n">
        <v>1</v>
      </c>
      <c r="K638" t="n">
        <v>0</v>
      </c>
      <c r="L638" t="n">
        <v>0</v>
      </c>
      <c r="M638" t="n">
        <v>0</v>
      </c>
      <c r="N638" t="n">
        <v>0</v>
      </c>
      <c r="O638" t="n">
        <v>1</v>
      </c>
      <c r="P638" t="n">
        <v>0</v>
      </c>
      <c r="Q638" t="n">
        <v>1</v>
      </c>
      <c r="R638" s="2" t="inlineStr">
        <is>
          <t>Garnlav</t>
        </is>
      </c>
      <c r="S638">
        <f>HYPERLINK("https://klasma.github.io/Logging_2180/artfynd/A 25657-2024 artfynd.xlsx", "A 25657-2024")</f>
        <v/>
      </c>
      <c r="T638">
        <f>HYPERLINK("https://klasma.github.io/Logging_2180/kartor/A 25657-2024 karta.png", "A 25657-2024")</f>
        <v/>
      </c>
      <c r="V638">
        <f>HYPERLINK("https://klasma.github.io/Logging_2180/klagomål/A 25657-2024 FSC-klagomål.docx", "A 25657-2024")</f>
        <v/>
      </c>
      <c r="W638">
        <f>HYPERLINK("https://klasma.github.io/Logging_2180/klagomålsmail/A 25657-2024 FSC-klagomål mail.docx", "A 25657-2024")</f>
        <v/>
      </c>
      <c r="X638">
        <f>HYPERLINK("https://klasma.github.io/Logging_2180/tillsyn/A 25657-2024 tillsynsbegäran.docx", "A 25657-2024")</f>
        <v/>
      </c>
      <c r="Y638">
        <f>HYPERLINK("https://klasma.github.io/Logging_2180/tillsynsmail/A 25657-2024 tillsynsbegäran mail.docx", "A 25657-2024")</f>
        <v/>
      </c>
    </row>
    <row r="639" ht="15" customHeight="1">
      <c r="A639" t="inlineStr">
        <is>
          <t>A 58077-2024</t>
        </is>
      </c>
      <c r="B639" s="1" t="n">
        <v>45632.31140046296</v>
      </c>
      <c r="C639" s="1" t="n">
        <v>46086</v>
      </c>
      <c r="D639" t="inlineStr">
        <is>
          <t>GÄVLEBORGS LÄN</t>
        </is>
      </c>
      <c r="E639" t="inlineStr">
        <is>
          <t>SÖDERHAMN</t>
        </is>
      </c>
      <c r="F639" t="inlineStr">
        <is>
          <t>Bergvik skog väst AB</t>
        </is>
      </c>
      <c r="G639" t="n">
        <v>4</v>
      </c>
      <c r="H639" t="n">
        <v>0</v>
      </c>
      <c r="I639" t="n">
        <v>0</v>
      </c>
      <c r="J639" t="n">
        <v>1</v>
      </c>
      <c r="K639" t="n">
        <v>0</v>
      </c>
      <c r="L639" t="n">
        <v>0</v>
      </c>
      <c r="M639" t="n">
        <v>0</v>
      </c>
      <c r="N639" t="n">
        <v>0</v>
      </c>
      <c r="O639" t="n">
        <v>1</v>
      </c>
      <c r="P639" t="n">
        <v>0</v>
      </c>
      <c r="Q639" t="n">
        <v>1</v>
      </c>
      <c r="R639" s="2" t="inlineStr">
        <is>
          <t>Motaggsvamp</t>
        </is>
      </c>
      <c r="S639">
        <f>HYPERLINK("https://klasma.github.io/Logging_2182/artfynd/A 58077-2024 artfynd.xlsx", "A 58077-2024")</f>
        <v/>
      </c>
      <c r="T639">
        <f>HYPERLINK("https://klasma.github.io/Logging_2182/kartor/A 58077-2024 karta.png", "A 58077-2024")</f>
        <v/>
      </c>
      <c r="V639">
        <f>HYPERLINK("https://klasma.github.io/Logging_2182/klagomål/A 58077-2024 FSC-klagomål.docx", "A 58077-2024")</f>
        <v/>
      </c>
      <c r="W639">
        <f>HYPERLINK("https://klasma.github.io/Logging_2182/klagomålsmail/A 58077-2024 FSC-klagomål mail.docx", "A 58077-2024")</f>
        <v/>
      </c>
      <c r="X639">
        <f>HYPERLINK("https://klasma.github.io/Logging_2182/tillsyn/A 58077-2024 tillsynsbegäran.docx", "A 58077-2024")</f>
        <v/>
      </c>
      <c r="Y639">
        <f>HYPERLINK("https://klasma.github.io/Logging_2182/tillsynsmail/A 58077-2024 tillsynsbegäran mail.docx", "A 58077-2024")</f>
        <v/>
      </c>
    </row>
    <row r="640" ht="15" customHeight="1">
      <c r="A640" t="inlineStr">
        <is>
          <t>A 7143-2026</t>
        </is>
      </c>
      <c r="B640" s="1" t="n">
        <v>46058.41995370371</v>
      </c>
      <c r="C640" s="1" t="n">
        <v>46086</v>
      </c>
      <c r="D640" t="inlineStr">
        <is>
          <t>GÄVLEBORGS LÄN</t>
        </is>
      </c>
      <c r="E640" t="inlineStr">
        <is>
          <t>SANDVIKEN</t>
        </is>
      </c>
      <c r="G640" t="n">
        <v>5.4</v>
      </c>
      <c r="H640" t="n">
        <v>0</v>
      </c>
      <c r="I640" t="n">
        <v>1</v>
      </c>
      <c r="J640" t="n">
        <v>0</v>
      </c>
      <c r="K640" t="n">
        <v>0</v>
      </c>
      <c r="L640" t="n">
        <v>0</v>
      </c>
      <c r="M640" t="n">
        <v>0</v>
      </c>
      <c r="N640" t="n">
        <v>0</v>
      </c>
      <c r="O640" t="n">
        <v>0</v>
      </c>
      <c r="P640" t="n">
        <v>0</v>
      </c>
      <c r="Q640" t="n">
        <v>1</v>
      </c>
      <c r="R640" s="2" t="inlineStr">
        <is>
          <t>Björksplintborre</t>
        </is>
      </c>
      <c r="S640">
        <f>HYPERLINK("https://klasma.github.io/Logging_2181/artfynd/A 7143-2026 artfynd.xlsx", "A 7143-2026")</f>
        <v/>
      </c>
      <c r="T640">
        <f>HYPERLINK("https://klasma.github.io/Logging_2181/kartor/A 7143-2026 karta.png", "A 7143-2026")</f>
        <v/>
      </c>
      <c r="V640">
        <f>HYPERLINK("https://klasma.github.io/Logging_2181/klagomål/A 7143-2026 FSC-klagomål.docx", "A 7143-2026")</f>
        <v/>
      </c>
      <c r="W640">
        <f>HYPERLINK("https://klasma.github.io/Logging_2181/klagomålsmail/A 7143-2026 FSC-klagomål mail.docx", "A 7143-2026")</f>
        <v/>
      </c>
      <c r="X640">
        <f>HYPERLINK("https://klasma.github.io/Logging_2181/tillsyn/A 7143-2026 tillsynsbegäran.docx", "A 7143-2026")</f>
        <v/>
      </c>
      <c r="Y640">
        <f>HYPERLINK("https://klasma.github.io/Logging_2181/tillsynsmail/A 7143-2026 tillsynsbegäran mail.docx", "A 7143-2026")</f>
        <v/>
      </c>
    </row>
    <row r="641" ht="15" customHeight="1">
      <c r="A641" t="inlineStr">
        <is>
          <t>A 63789-2025</t>
        </is>
      </c>
      <c r="B641" s="1" t="n">
        <v>46019</v>
      </c>
      <c r="C641" s="1" t="n">
        <v>46086</v>
      </c>
      <c r="D641" t="inlineStr">
        <is>
          <t>GÄVLEBORGS LÄN</t>
        </is>
      </c>
      <c r="E641" t="inlineStr">
        <is>
          <t>HUDIKSVALL</t>
        </is>
      </c>
      <c r="G641" t="n">
        <v>2.9</v>
      </c>
      <c r="H641" t="n">
        <v>0</v>
      </c>
      <c r="I641" t="n">
        <v>0</v>
      </c>
      <c r="J641" t="n">
        <v>1</v>
      </c>
      <c r="K641" t="n">
        <v>0</v>
      </c>
      <c r="L641" t="n">
        <v>0</v>
      </c>
      <c r="M641" t="n">
        <v>0</v>
      </c>
      <c r="N641" t="n">
        <v>0</v>
      </c>
      <c r="O641" t="n">
        <v>1</v>
      </c>
      <c r="P641" t="n">
        <v>0</v>
      </c>
      <c r="Q641" t="n">
        <v>1</v>
      </c>
      <c r="R641" s="2" t="inlineStr">
        <is>
          <t>Ullticka</t>
        </is>
      </c>
      <c r="S641">
        <f>HYPERLINK("https://klasma.github.io/Logging_2184/artfynd/A 63789-2025 artfynd.xlsx", "A 63789-2025")</f>
        <v/>
      </c>
      <c r="T641">
        <f>HYPERLINK("https://klasma.github.io/Logging_2184/kartor/A 63789-2025 karta.png", "A 63789-2025")</f>
        <v/>
      </c>
      <c r="V641">
        <f>HYPERLINK("https://klasma.github.io/Logging_2184/klagomål/A 63789-2025 FSC-klagomål.docx", "A 63789-2025")</f>
        <v/>
      </c>
      <c r="W641">
        <f>HYPERLINK("https://klasma.github.io/Logging_2184/klagomålsmail/A 63789-2025 FSC-klagomål mail.docx", "A 63789-2025")</f>
        <v/>
      </c>
      <c r="X641">
        <f>HYPERLINK("https://klasma.github.io/Logging_2184/tillsyn/A 63789-2025 tillsynsbegäran.docx", "A 63789-2025")</f>
        <v/>
      </c>
      <c r="Y641">
        <f>HYPERLINK("https://klasma.github.io/Logging_2184/tillsynsmail/A 63789-2025 tillsynsbegäran mail.docx", "A 63789-2025")</f>
        <v/>
      </c>
    </row>
    <row r="642" ht="15" customHeight="1">
      <c r="A642" t="inlineStr">
        <is>
          <t>A 51227-2023</t>
        </is>
      </c>
      <c r="B642" s="1" t="n">
        <v>45219.46030092592</v>
      </c>
      <c r="C642" s="1" t="n">
        <v>46086</v>
      </c>
      <c r="D642" t="inlineStr">
        <is>
          <t>GÄVLEBORGS LÄN</t>
        </is>
      </c>
      <c r="E642" t="inlineStr">
        <is>
          <t>NORDANSTIG</t>
        </is>
      </c>
      <c r="G642" t="n">
        <v>10.2</v>
      </c>
      <c r="H642" t="n">
        <v>0</v>
      </c>
      <c r="I642" t="n">
        <v>1</v>
      </c>
      <c r="J642" t="n">
        <v>0</v>
      </c>
      <c r="K642" t="n">
        <v>0</v>
      </c>
      <c r="L642" t="n">
        <v>0</v>
      </c>
      <c r="M642" t="n">
        <v>0</v>
      </c>
      <c r="N642" t="n">
        <v>0</v>
      </c>
      <c r="O642" t="n">
        <v>0</v>
      </c>
      <c r="P642" t="n">
        <v>0</v>
      </c>
      <c r="Q642" t="n">
        <v>1</v>
      </c>
      <c r="R642" s="2" t="inlineStr">
        <is>
          <t>Vedticka</t>
        </is>
      </c>
      <c r="S642">
        <f>HYPERLINK("https://klasma.github.io/Logging_2132/artfynd/A 51227-2023 artfynd.xlsx", "A 51227-2023")</f>
        <v/>
      </c>
      <c r="T642">
        <f>HYPERLINK("https://klasma.github.io/Logging_2132/kartor/A 51227-2023 karta.png", "A 51227-2023")</f>
        <v/>
      </c>
      <c r="V642">
        <f>HYPERLINK("https://klasma.github.io/Logging_2132/klagomål/A 51227-2023 FSC-klagomål.docx", "A 51227-2023")</f>
        <v/>
      </c>
      <c r="W642">
        <f>HYPERLINK("https://klasma.github.io/Logging_2132/klagomålsmail/A 51227-2023 FSC-klagomål mail.docx", "A 51227-2023")</f>
        <v/>
      </c>
      <c r="X642">
        <f>HYPERLINK("https://klasma.github.io/Logging_2132/tillsyn/A 51227-2023 tillsynsbegäran.docx", "A 51227-2023")</f>
        <v/>
      </c>
      <c r="Y642">
        <f>HYPERLINK("https://klasma.github.io/Logging_2132/tillsynsmail/A 51227-2023 tillsynsbegäran mail.docx", "A 51227-2023")</f>
        <v/>
      </c>
    </row>
    <row r="643" ht="15" customHeight="1">
      <c r="A643" t="inlineStr">
        <is>
          <t>A 49122-2023</t>
        </is>
      </c>
      <c r="B643" s="1" t="n">
        <v>45205</v>
      </c>
      <c r="C643" s="1" t="n">
        <v>46086</v>
      </c>
      <c r="D643" t="inlineStr">
        <is>
          <t>GÄVLEBORGS LÄN</t>
        </is>
      </c>
      <c r="E643" t="inlineStr">
        <is>
          <t>SÖDERHAMN</t>
        </is>
      </c>
      <c r="G643" t="n">
        <v>5</v>
      </c>
      <c r="H643" t="n">
        <v>0</v>
      </c>
      <c r="I643" t="n">
        <v>0</v>
      </c>
      <c r="J643" t="n">
        <v>1</v>
      </c>
      <c r="K643" t="n">
        <v>0</v>
      </c>
      <c r="L643" t="n">
        <v>0</v>
      </c>
      <c r="M643" t="n">
        <v>0</v>
      </c>
      <c r="N643" t="n">
        <v>0</v>
      </c>
      <c r="O643" t="n">
        <v>1</v>
      </c>
      <c r="P643" t="n">
        <v>0</v>
      </c>
      <c r="Q643" t="n">
        <v>1</v>
      </c>
      <c r="R643" s="2" t="inlineStr">
        <is>
          <t>Dofttaggsvamp</t>
        </is>
      </c>
      <c r="S643">
        <f>HYPERLINK("https://klasma.github.io/Logging_2182/artfynd/A 49122-2023 artfynd.xlsx", "A 49122-2023")</f>
        <v/>
      </c>
      <c r="T643">
        <f>HYPERLINK("https://klasma.github.io/Logging_2182/kartor/A 49122-2023 karta.png", "A 49122-2023")</f>
        <v/>
      </c>
      <c r="V643">
        <f>HYPERLINK("https://klasma.github.io/Logging_2182/klagomål/A 49122-2023 FSC-klagomål.docx", "A 49122-2023")</f>
        <v/>
      </c>
      <c r="W643">
        <f>HYPERLINK("https://klasma.github.io/Logging_2182/klagomålsmail/A 49122-2023 FSC-klagomål mail.docx", "A 49122-2023")</f>
        <v/>
      </c>
      <c r="X643">
        <f>HYPERLINK("https://klasma.github.io/Logging_2182/tillsyn/A 49122-2023 tillsynsbegäran.docx", "A 49122-2023")</f>
        <v/>
      </c>
      <c r="Y643">
        <f>HYPERLINK("https://klasma.github.io/Logging_2182/tillsynsmail/A 49122-2023 tillsynsbegäran mail.docx", "A 49122-2023")</f>
        <v/>
      </c>
    </row>
    <row r="644" ht="15" customHeight="1">
      <c r="A644" t="inlineStr">
        <is>
          <t>A 19602-2025</t>
        </is>
      </c>
      <c r="B644" s="1" t="n">
        <v>45770.58766203704</v>
      </c>
      <c r="C644" s="1" t="n">
        <v>46086</v>
      </c>
      <c r="D644" t="inlineStr">
        <is>
          <t>GÄVLEBORGS LÄN</t>
        </is>
      </c>
      <c r="E644" t="inlineStr">
        <is>
          <t>HUDIKSVALL</t>
        </is>
      </c>
      <c r="F644" t="inlineStr">
        <is>
          <t>Holmen skog AB</t>
        </is>
      </c>
      <c r="G644" t="n">
        <v>50.8</v>
      </c>
      <c r="H644" t="n">
        <v>1</v>
      </c>
      <c r="I644" t="n">
        <v>0</v>
      </c>
      <c r="J644" t="n">
        <v>0</v>
      </c>
      <c r="K644" t="n">
        <v>0</v>
      </c>
      <c r="L644" t="n">
        <v>0</v>
      </c>
      <c r="M644" t="n">
        <v>0</v>
      </c>
      <c r="N644" t="n">
        <v>0</v>
      </c>
      <c r="O644" t="n">
        <v>0</v>
      </c>
      <c r="P644" t="n">
        <v>0</v>
      </c>
      <c r="Q644" t="n">
        <v>1</v>
      </c>
      <c r="R644" s="2" t="inlineStr">
        <is>
          <t>Mattlummer</t>
        </is>
      </c>
      <c r="S644">
        <f>HYPERLINK("https://klasma.github.io/Logging_2184/artfynd/A 19602-2025 artfynd.xlsx", "A 19602-2025")</f>
        <v/>
      </c>
      <c r="T644">
        <f>HYPERLINK("https://klasma.github.io/Logging_2184/kartor/A 19602-2025 karta.png", "A 19602-2025")</f>
        <v/>
      </c>
      <c r="V644">
        <f>HYPERLINK("https://klasma.github.io/Logging_2184/klagomål/A 19602-2025 FSC-klagomål.docx", "A 19602-2025")</f>
        <v/>
      </c>
      <c r="W644">
        <f>HYPERLINK("https://klasma.github.io/Logging_2184/klagomålsmail/A 19602-2025 FSC-klagomål mail.docx", "A 19602-2025")</f>
        <v/>
      </c>
      <c r="X644">
        <f>HYPERLINK("https://klasma.github.io/Logging_2184/tillsyn/A 19602-2025 tillsynsbegäran.docx", "A 19602-2025")</f>
        <v/>
      </c>
      <c r="Y644">
        <f>HYPERLINK("https://klasma.github.io/Logging_2184/tillsynsmail/A 19602-2025 tillsynsbegäran mail.docx", "A 19602-2025")</f>
        <v/>
      </c>
    </row>
    <row r="645" ht="15" customHeight="1">
      <c r="A645" t="inlineStr">
        <is>
          <t>A 50052-2025</t>
        </is>
      </c>
      <c r="B645" s="1" t="n">
        <v>45943.42305555556</v>
      </c>
      <c r="C645" s="1" t="n">
        <v>46086</v>
      </c>
      <c r="D645" t="inlineStr">
        <is>
          <t>GÄVLEBORGS LÄN</t>
        </is>
      </c>
      <c r="E645" t="inlineStr">
        <is>
          <t>GÄVLE</t>
        </is>
      </c>
      <c r="G645" t="n">
        <v>1.9</v>
      </c>
      <c r="H645" t="n">
        <v>1</v>
      </c>
      <c r="I645" t="n">
        <v>0</v>
      </c>
      <c r="J645" t="n">
        <v>0</v>
      </c>
      <c r="K645" t="n">
        <v>0</v>
      </c>
      <c r="L645" t="n">
        <v>1</v>
      </c>
      <c r="M645" t="n">
        <v>0</v>
      </c>
      <c r="N645" t="n">
        <v>0</v>
      </c>
      <c r="O645" t="n">
        <v>1</v>
      </c>
      <c r="P645" t="n">
        <v>1</v>
      </c>
      <c r="Q645" t="n">
        <v>1</v>
      </c>
      <c r="R645" s="2" t="inlineStr">
        <is>
          <t>Mosippa</t>
        </is>
      </c>
      <c r="S645">
        <f>HYPERLINK("https://klasma.github.io/Logging_2180/artfynd/A 50052-2025 artfynd.xlsx", "A 50052-2025")</f>
        <v/>
      </c>
      <c r="T645">
        <f>HYPERLINK("https://klasma.github.io/Logging_2180/kartor/A 50052-2025 karta.png", "A 50052-2025")</f>
        <v/>
      </c>
      <c r="V645">
        <f>HYPERLINK("https://klasma.github.io/Logging_2180/klagomål/A 50052-2025 FSC-klagomål.docx", "A 50052-2025")</f>
        <v/>
      </c>
      <c r="W645">
        <f>HYPERLINK("https://klasma.github.io/Logging_2180/klagomålsmail/A 50052-2025 FSC-klagomål mail.docx", "A 50052-2025")</f>
        <v/>
      </c>
      <c r="X645">
        <f>HYPERLINK("https://klasma.github.io/Logging_2180/tillsyn/A 50052-2025 tillsynsbegäran.docx", "A 50052-2025")</f>
        <v/>
      </c>
      <c r="Y645">
        <f>HYPERLINK("https://klasma.github.io/Logging_2180/tillsynsmail/A 50052-2025 tillsynsbegäran mail.docx", "A 50052-2025")</f>
        <v/>
      </c>
    </row>
    <row r="646" ht="15" customHeight="1">
      <c r="A646" t="inlineStr">
        <is>
          <t>A 29873-2021</t>
        </is>
      </c>
      <c r="B646" s="1" t="n">
        <v>44362.68620370371</v>
      </c>
      <c r="C646" s="1" t="n">
        <v>46086</v>
      </c>
      <c r="D646" t="inlineStr">
        <is>
          <t>GÄVLEBORGS LÄN</t>
        </is>
      </c>
      <c r="E646" t="inlineStr">
        <is>
          <t>OVANÅKER</t>
        </is>
      </c>
      <c r="F646" t="inlineStr">
        <is>
          <t>Sveaskog</t>
        </is>
      </c>
      <c r="G646" t="n">
        <v>9.199999999999999</v>
      </c>
      <c r="H646" t="n">
        <v>0</v>
      </c>
      <c r="I646" t="n">
        <v>0</v>
      </c>
      <c r="J646" t="n">
        <v>1</v>
      </c>
      <c r="K646" t="n">
        <v>0</v>
      </c>
      <c r="L646" t="n">
        <v>0</v>
      </c>
      <c r="M646" t="n">
        <v>0</v>
      </c>
      <c r="N646" t="n">
        <v>0</v>
      </c>
      <c r="O646" t="n">
        <v>1</v>
      </c>
      <c r="P646" t="n">
        <v>0</v>
      </c>
      <c r="Q646" t="n">
        <v>1</v>
      </c>
      <c r="R646" s="2" t="inlineStr">
        <is>
          <t>Lunglav</t>
        </is>
      </c>
      <c r="S646">
        <f>HYPERLINK("https://klasma.github.io/Logging_2121/artfynd/A 29873-2021 artfynd.xlsx", "A 29873-2021")</f>
        <v/>
      </c>
      <c r="T646">
        <f>HYPERLINK("https://klasma.github.io/Logging_2121/kartor/A 29873-2021 karta.png", "A 29873-2021")</f>
        <v/>
      </c>
      <c r="V646">
        <f>HYPERLINK("https://klasma.github.io/Logging_2121/klagomål/A 29873-2021 FSC-klagomål.docx", "A 29873-2021")</f>
        <v/>
      </c>
      <c r="W646">
        <f>HYPERLINK("https://klasma.github.io/Logging_2121/klagomålsmail/A 29873-2021 FSC-klagomål mail.docx", "A 29873-2021")</f>
        <v/>
      </c>
      <c r="X646">
        <f>HYPERLINK("https://klasma.github.io/Logging_2121/tillsyn/A 29873-2021 tillsynsbegäran.docx", "A 29873-2021")</f>
        <v/>
      </c>
      <c r="Y646">
        <f>HYPERLINK("https://klasma.github.io/Logging_2121/tillsynsmail/A 29873-2021 tillsynsbegäran mail.docx", "A 29873-2021")</f>
        <v/>
      </c>
    </row>
    <row r="647" ht="15" customHeight="1">
      <c r="A647" t="inlineStr">
        <is>
          <t>A 4473-2026</t>
        </is>
      </c>
      <c r="B647" s="1" t="n">
        <v>46045</v>
      </c>
      <c r="C647" s="1" t="n">
        <v>46086</v>
      </c>
      <c r="D647" t="inlineStr">
        <is>
          <t>GÄVLEBORGS LÄN</t>
        </is>
      </c>
      <c r="E647" t="inlineStr">
        <is>
          <t>HUDIKSVALL</t>
        </is>
      </c>
      <c r="G647" t="n">
        <v>6.6</v>
      </c>
      <c r="H647" t="n">
        <v>0</v>
      </c>
      <c r="I647" t="n">
        <v>1</v>
      </c>
      <c r="J647" t="n">
        <v>0</v>
      </c>
      <c r="K647" t="n">
        <v>0</v>
      </c>
      <c r="L647" t="n">
        <v>0</v>
      </c>
      <c r="M647" t="n">
        <v>0</v>
      </c>
      <c r="N647" t="n">
        <v>0</v>
      </c>
      <c r="O647" t="n">
        <v>0</v>
      </c>
      <c r="P647" t="n">
        <v>0</v>
      </c>
      <c r="Q647" t="n">
        <v>1</v>
      </c>
      <c r="R647" s="2" t="inlineStr">
        <is>
          <t>Tibast</t>
        </is>
      </c>
      <c r="S647">
        <f>HYPERLINK("https://klasma.github.io/Logging_2184/artfynd/A 4473-2026 artfynd.xlsx", "A 4473-2026")</f>
        <v/>
      </c>
      <c r="T647">
        <f>HYPERLINK("https://klasma.github.io/Logging_2184/kartor/A 4473-2026 karta.png", "A 4473-2026")</f>
        <v/>
      </c>
      <c r="V647">
        <f>HYPERLINK("https://klasma.github.io/Logging_2184/klagomål/A 4473-2026 FSC-klagomål.docx", "A 4473-2026")</f>
        <v/>
      </c>
      <c r="W647">
        <f>HYPERLINK("https://klasma.github.io/Logging_2184/klagomålsmail/A 4473-2026 FSC-klagomål mail.docx", "A 4473-2026")</f>
        <v/>
      </c>
      <c r="X647">
        <f>HYPERLINK("https://klasma.github.io/Logging_2184/tillsyn/A 4473-2026 tillsynsbegäran.docx", "A 4473-2026")</f>
        <v/>
      </c>
      <c r="Y647">
        <f>HYPERLINK("https://klasma.github.io/Logging_2184/tillsynsmail/A 4473-2026 tillsynsbegäran mail.docx", "A 4473-2026")</f>
        <v/>
      </c>
    </row>
    <row r="648" ht="15" customHeight="1">
      <c r="A648" t="inlineStr">
        <is>
          <t>A 1214-2024</t>
        </is>
      </c>
      <c r="B648" s="1" t="n">
        <v>45302</v>
      </c>
      <c r="C648" s="1" t="n">
        <v>46086</v>
      </c>
      <c r="D648" t="inlineStr">
        <is>
          <t>GÄVLEBORGS LÄN</t>
        </is>
      </c>
      <c r="E648" t="inlineStr">
        <is>
          <t>OVANÅKER</t>
        </is>
      </c>
      <c r="F648" t="inlineStr">
        <is>
          <t>Bergvik skog väst AB</t>
        </is>
      </c>
      <c r="G648" t="n">
        <v>3.2</v>
      </c>
      <c r="H648" t="n">
        <v>1</v>
      </c>
      <c r="I648" t="n">
        <v>0</v>
      </c>
      <c r="J648" t="n">
        <v>0</v>
      </c>
      <c r="K648" t="n">
        <v>0</v>
      </c>
      <c r="L648" t="n">
        <v>0</v>
      </c>
      <c r="M648" t="n">
        <v>0</v>
      </c>
      <c r="N648" t="n">
        <v>0</v>
      </c>
      <c r="O648" t="n">
        <v>0</v>
      </c>
      <c r="P648" t="n">
        <v>0</v>
      </c>
      <c r="Q648" t="n">
        <v>1</v>
      </c>
      <c r="R648" s="2" t="inlineStr">
        <is>
          <t>Fläcknycklar</t>
        </is>
      </c>
      <c r="S648">
        <f>HYPERLINK("https://klasma.github.io/Logging_2121/artfynd/A 1214-2024 artfynd.xlsx", "A 1214-2024")</f>
        <v/>
      </c>
      <c r="T648">
        <f>HYPERLINK("https://klasma.github.io/Logging_2121/kartor/A 1214-2024 karta.png", "A 1214-2024")</f>
        <v/>
      </c>
      <c r="V648">
        <f>HYPERLINK("https://klasma.github.io/Logging_2121/klagomål/A 1214-2024 FSC-klagomål.docx", "A 1214-2024")</f>
        <v/>
      </c>
      <c r="W648">
        <f>HYPERLINK("https://klasma.github.io/Logging_2121/klagomålsmail/A 1214-2024 FSC-klagomål mail.docx", "A 1214-2024")</f>
        <v/>
      </c>
      <c r="X648">
        <f>HYPERLINK("https://klasma.github.io/Logging_2121/tillsyn/A 1214-2024 tillsynsbegäran.docx", "A 1214-2024")</f>
        <v/>
      </c>
      <c r="Y648">
        <f>HYPERLINK("https://klasma.github.io/Logging_2121/tillsynsmail/A 1214-2024 tillsynsbegäran mail.docx", "A 1214-2024")</f>
        <v/>
      </c>
    </row>
    <row r="649" ht="15" customHeight="1">
      <c r="A649" t="inlineStr">
        <is>
          <t>A 6286-2026</t>
        </is>
      </c>
      <c r="B649" s="1" t="n">
        <v>46055</v>
      </c>
      <c r="C649" s="1" t="n">
        <v>46086</v>
      </c>
      <c r="D649" t="inlineStr">
        <is>
          <t>GÄVLEBORGS LÄN</t>
        </is>
      </c>
      <c r="E649" t="inlineStr">
        <is>
          <t>BOLLNÄS</t>
        </is>
      </c>
      <c r="F649" t="inlineStr">
        <is>
          <t>Bergvik skog väst AB</t>
        </is>
      </c>
      <c r="G649" t="n">
        <v>10.7</v>
      </c>
      <c r="H649" t="n">
        <v>1</v>
      </c>
      <c r="I649" t="n">
        <v>0</v>
      </c>
      <c r="J649" t="n">
        <v>0</v>
      </c>
      <c r="K649" t="n">
        <v>0</v>
      </c>
      <c r="L649" t="n">
        <v>0</v>
      </c>
      <c r="M649" t="n">
        <v>0</v>
      </c>
      <c r="N649" t="n">
        <v>0</v>
      </c>
      <c r="O649" t="n">
        <v>0</v>
      </c>
      <c r="P649" t="n">
        <v>0</v>
      </c>
      <c r="Q649" t="n">
        <v>1</v>
      </c>
      <c r="R649" s="2" t="inlineStr">
        <is>
          <t>Revlummer</t>
        </is>
      </c>
      <c r="S649">
        <f>HYPERLINK("https://klasma.github.io/Logging_2183/artfynd/A 6286-2026 artfynd.xlsx", "A 6286-2026")</f>
        <v/>
      </c>
      <c r="T649">
        <f>HYPERLINK("https://klasma.github.io/Logging_2183/kartor/A 6286-2026 karta.png", "A 6286-2026")</f>
        <v/>
      </c>
      <c r="V649">
        <f>HYPERLINK("https://klasma.github.io/Logging_2183/klagomål/A 6286-2026 FSC-klagomål.docx", "A 6286-2026")</f>
        <v/>
      </c>
      <c r="W649">
        <f>HYPERLINK("https://klasma.github.io/Logging_2183/klagomålsmail/A 6286-2026 FSC-klagomål mail.docx", "A 6286-2026")</f>
        <v/>
      </c>
      <c r="X649">
        <f>HYPERLINK("https://klasma.github.io/Logging_2183/tillsyn/A 6286-2026 tillsynsbegäran.docx", "A 6286-2026")</f>
        <v/>
      </c>
      <c r="Y649">
        <f>HYPERLINK("https://klasma.github.io/Logging_2183/tillsynsmail/A 6286-2026 tillsynsbegäran mail.docx", "A 6286-2026")</f>
        <v/>
      </c>
    </row>
    <row r="650" ht="15" customHeight="1">
      <c r="A650" t="inlineStr">
        <is>
          <t>A 38159-2022</t>
        </is>
      </c>
      <c r="B650" s="1" t="n">
        <v>44812.37486111111</v>
      </c>
      <c r="C650" s="1" t="n">
        <v>46086</v>
      </c>
      <c r="D650" t="inlineStr">
        <is>
          <t>GÄVLEBORGS LÄN</t>
        </is>
      </c>
      <c r="E650" t="inlineStr">
        <is>
          <t>NORDANSTIG</t>
        </is>
      </c>
      <c r="F650" t="inlineStr">
        <is>
          <t>Holmen skog AB</t>
        </is>
      </c>
      <c r="G650" t="n">
        <v>1.4</v>
      </c>
      <c r="H650" t="n">
        <v>0</v>
      </c>
      <c r="I650" t="n">
        <v>0</v>
      </c>
      <c r="J650" t="n">
        <v>1</v>
      </c>
      <c r="K650" t="n">
        <v>0</v>
      </c>
      <c r="L650" t="n">
        <v>0</v>
      </c>
      <c r="M650" t="n">
        <v>0</v>
      </c>
      <c r="N650" t="n">
        <v>0</v>
      </c>
      <c r="O650" t="n">
        <v>1</v>
      </c>
      <c r="P650" t="n">
        <v>0</v>
      </c>
      <c r="Q650" t="n">
        <v>1</v>
      </c>
      <c r="R650" s="2" t="inlineStr">
        <is>
          <t>Granticka</t>
        </is>
      </c>
      <c r="S650">
        <f>HYPERLINK("https://klasma.github.io/Logging_2132/artfynd/A 38159-2022 artfynd.xlsx", "A 38159-2022")</f>
        <v/>
      </c>
      <c r="T650">
        <f>HYPERLINK("https://klasma.github.io/Logging_2132/kartor/A 38159-2022 karta.png", "A 38159-2022")</f>
        <v/>
      </c>
      <c r="V650">
        <f>HYPERLINK("https://klasma.github.io/Logging_2132/klagomål/A 38159-2022 FSC-klagomål.docx", "A 38159-2022")</f>
        <v/>
      </c>
      <c r="W650">
        <f>HYPERLINK("https://klasma.github.io/Logging_2132/klagomålsmail/A 38159-2022 FSC-klagomål mail.docx", "A 38159-2022")</f>
        <v/>
      </c>
      <c r="X650">
        <f>HYPERLINK("https://klasma.github.io/Logging_2132/tillsyn/A 38159-2022 tillsynsbegäran.docx", "A 38159-2022")</f>
        <v/>
      </c>
      <c r="Y650">
        <f>HYPERLINK("https://klasma.github.io/Logging_2132/tillsynsmail/A 38159-2022 tillsynsbegäran mail.docx", "A 38159-2022")</f>
        <v/>
      </c>
    </row>
    <row r="651" ht="15" customHeight="1">
      <c r="A651" t="inlineStr">
        <is>
          <t>A 5513-2026</t>
        </is>
      </c>
      <c r="B651" s="1" t="n">
        <v>46050</v>
      </c>
      <c r="C651" s="1" t="n">
        <v>46086</v>
      </c>
      <c r="D651" t="inlineStr">
        <is>
          <t>GÄVLEBORGS LÄN</t>
        </is>
      </c>
      <c r="E651" t="inlineStr">
        <is>
          <t>BOLLNÄS</t>
        </is>
      </c>
      <c r="F651" t="inlineStr">
        <is>
          <t>Bergvik skog väst AB</t>
        </is>
      </c>
      <c r="G651" t="n">
        <v>6.1</v>
      </c>
      <c r="H651" t="n">
        <v>0</v>
      </c>
      <c r="I651" t="n">
        <v>1</v>
      </c>
      <c r="J651" t="n">
        <v>0</v>
      </c>
      <c r="K651" t="n">
        <v>0</v>
      </c>
      <c r="L651" t="n">
        <v>0</v>
      </c>
      <c r="M651" t="n">
        <v>0</v>
      </c>
      <c r="N651" t="n">
        <v>0</v>
      </c>
      <c r="O651" t="n">
        <v>0</v>
      </c>
      <c r="P651" t="n">
        <v>0</v>
      </c>
      <c r="Q651" t="n">
        <v>1</v>
      </c>
      <c r="R651" s="2" t="inlineStr">
        <is>
          <t>Korallblylav</t>
        </is>
      </c>
      <c r="S651">
        <f>HYPERLINK("https://klasma.github.io/Logging_2183/artfynd/A 5513-2026 artfynd.xlsx", "A 5513-2026")</f>
        <v/>
      </c>
      <c r="T651">
        <f>HYPERLINK("https://klasma.github.io/Logging_2183/kartor/A 5513-2026 karta.png", "A 5513-2026")</f>
        <v/>
      </c>
      <c r="V651">
        <f>HYPERLINK("https://klasma.github.io/Logging_2183/klagomål/A 5513-2026 FSC-klagomål.docx", "A 5513-2026")</f>
        <v/>
      </c>
      <c r="W651">
        <f>HYPERLINK("https://klasma.github.io/Logging_2183/klagomålsmail/A 5513-2026 FSC-klagomål mail.docx", "A 5513-2026")</f>
        <v/>
      </c>
      <c r="X651">
        <f>HYPERLINK("https://klasma.github.io/Logging_2183/tillsyn/A 5513-2026 tillsynsbegäran.docx", "A 5513-2026")</f>
        <v/>
      </c>
      <c r="Y651">
        <f>HYPERLINK("https://klasma.github.io/Logging_2183/tillsynsmail/A 5513-2026 tillsynsbegäran mail.docx", "A 5513-2026")</f>
        <v/>
      </c>
    </row>
    <row r="652" ht="15" customHeight="1">
      <c r="A652" t="inlineStr">
        <is>
          <t>A 186-2026</t>
        </is>
      </c>
      <c r="B652" s="1" t="n">
        <v>46025.54315972222</v>
      </c>
      <c r="C652" s="1" t="n">
        <v>46086</v>
      </c>
      <c r="D652" t="inlineStr">
        <is>
          <t>GÄVLEBORGS LÄN</t>
        </is>
      </c>
      <c r="E652" t="inlineStr">
        <is>
          <t>HOFORS</t>
        </is>
      </c>
      <c r="G652" t="n">
        <v>6.7</v>
      </c>
      <c r="H652" t="n">
        <v>1</v>
      </c>
      <c r="I652" t="n">
        <v>0</v>
      </c>
      <c r="J652" t="n">
        <v>0</v>
      </c>
      <c r="K652" t="n">
        <v>1</v>
      </c>
      <c r="L652" t="n">
        <v>0</v>
      </c>
      <c r="M652" t="n">
        <v>0</v>
      </c>
      <c r="N652" t="n">
        <v>0</v>
      </c>
      <c r="O652" t="n">
        <v>1</v>
      </c>
      <c r="P652" t="n">
        <v>1</v>
      </c>
      <c r="Q652" t="n">
        <v>1</v>
      </c>
      <c r="R652" s="2" t="inlineStr">
        <is>
          <t>Knärot</t>
        </is>
      </c>
      <c r="S652">
        <f>HYPERLINK("https://klasma.github.io/Logging_2104/artfynd/A 186-2026 artfynd.xlsx", "A 186-2026")</f>
        <v/>
      </c>
      <c r="T652">
        <f>HYPERLINK("https://klasma.github.io/Logging_2104/kartor/A 186-2026 karta.png", "A 186-2026")</f>
        <v/>
      </c>
      <c r="U652">
        <f>HYPERLINK("https://klasma.github.io/Logging_2104/knärot/A 186-2026 karta knärot.png", "A 186-2026")</f>
        <v/>
      </c>
      <c r="V652">
        <f>HYPERLINK("https://klasma.github.io/Logging_2104/klagomål/A 186-2026 FSC-klagomål.docx", "A 186-2026")</f>
        <v/>
      </c>
      <c r="W652">
        <f>HYPERLINK("https://klasma.github.io/Logging_2104/klagomålsmail/A 186-2026 FSC-klagomål mail.docx", "A 186-2026")</f>
        <v/>
      </c>
      <c r="X652">
        <f>HYPERLINK("https://klasma.github.io/Logging_2104/tillsyn/A 186-2026 tillsynsbegäran.docx", "A 186-2026")</f>
        <v/>
      </c>
      <c r="Y652">
        <f>HYPERLINK("https://klasma.github.io/Logging_2104/tillsynsmail/A 186-2026 tillsynsbegäran mail.docx", "A 186-2026")</f>
        <v/>
      </c>
    </row>
    <row r="653" ht="15" customHeight="1">
      <c r="A653" t="inlineStr">
        <is>
          <t>A 287-2026</t>
        </is>
      </c>
      <c r="B653" s="1" t="n">
        <v>46027</v>
      </c>
      <c r="C653" s="1" t="n">
        <v>46086</v>
      </c>
      <c r="D653" t="inlineStr">
        <is>
          <t>GÄVLEBORGS LÄN</t>
        </is>
      </c>
      <c r="E653" t="inlineStr">
        <is>
          <t>OCKELBO</t>
        </is>
      </c>
      <c r="G653" t="n">
        <v>5.1</v>
      </c>
      <c r="H653" t="n">
        <v>1</v>
      </c>
      <c r="I653" t="n">
        <v>0</v>
      </c>
      <c r="J653" t="n">
        <v>0</v>
      </c>
      <c r="K653" t="n">
        <v>0</v>
      </c>
      <c r="L653" t="n">
        <v>0</v>
      </c>
      <c r="M653" t="n">
        <v>0</v>
      </c>
      <c r="N653" t="n">
        <v>0</v>
      </c>
      <c r="O653" t="n">
        <v>0</v>
      </c>
      <c r="P653" t="n">
        <v>0</v>
      </c>
      <c r="Q653" t="n">
        <v>1</v>
      </c>
      <c r="R653" s="2" t="inlineStr">
        <is>
          <t>Fläcknycklar</t>
        </is>
      </c>
      <c r="S653">
        <f>HYPERLINK("https://klasma.github.io/Logging_2101/artfynd/A 287-2026 artfynd.xlsx", "A 287-2026")</f>
        <v/>
      </c>
      <c r="T653">
        <f>HYPERLINK("https://klasma.github.io/Logging_2101/kartor/A 287-2026 karta.png", "A 287-2026")</f>
        <v/>
      </c>
      <c r="V653">
        <f>HYPERLINK("https://klasma.github.io/Logging_2101/klagomål/A 287-2026 FSC-klagomål.docx", "A 287-2026")</f>
        <v/>
      </c>
      <c r="W653">
        <f>HYPERLINK("https://klasma.github.io/Logging_2101/klagomålsmail/A 287-2026 FSC-klagomål mail.docx", "A 287-2026")</f>
        <v/>
      </c>
      <c r="X653">
        <f>HYPERLINK("https://klasma.github.io/Logging_2101/tillsyn/A 287-2026 tillsynsbegäran.docx", "A 287-2026")</f>
        <v/>
      </c>
      <c r="Y653">
        <f>HYPERLINK("https://klasma.github.io/Logging_2101/tillsynsmail/A 287-2026 tillsynsbegäran mail.docx", "A 287-2026")</f>
        <v/>
      </c>
    </row>
    <row r="654" ht="15" customHeight="1">
      <c r="A654" t="inlineStr">
        <is>
          <t>A 203-2026</t>
        </is>
      </c>
      <c r="B654" s="1" t="n">
        <v>46026</v>
      </c>
      <c r="C654" s="1" t="n">
        <v>46086</v>
      </c>
      <c r="D654" t="inlineStr">
        <is>
          <t>GÄVLEBORGS LÄN</t>
        </is>
      </c>
      <c r="E654" t="inlineStr">
        <is>
          <t>SÖDERHAMN</t>
        </is>
      </c>
      <c r="F654" t="inlineStr">
        <is>
          <t>Kommuner</t>
        </is>
      </c>
      <c r="G654" t="n">
        <v>5.8</v>
      </c>
      <c r="H654" t="n">
        <v>0</v>
      </c>
      <c r="I654" t="n">
        <v>0</v>
      </c>
      <c r="J654" t="n">
        <v>1</v>
      </c>
      <c r="K654" t="n">
        <v>0</v>
      </c>
      <c r="L654" t="n">
        <v>0</v>
      </c>
      <c r="M654" t="n">
        <v>0</v>
      </c>
      <c r="N654" t="n">
        <v>0</v>
      </c>
      <c r="O654" t="n">
        <v>1</v>
      </c>
      <c r="P654" t="n">
        <v>0</v>
      </c>
      <c r="Q654" t="n">
        <v>1</v>
      </c>
      <c r="R654" s="2" t="inlineStr">
        <is>
          <t>Svart taggsvamp agg.</t>
        </is>
      </c>
      <c r="S654">
        <f>HYPERLINK("https://klasma.github.io/Logging_2182/artfynd/A 203-2026 artfynd.xlsx", "A 203-2026")</f>
        <v/>
      </c>
      <c r="T654">
        <f>HYPERLINK("https://klasma.github.io/Logging_2182/kartor/A 203-2026 karta.png", "A 203-2026")</f>
        <v/>
      </c>
      <c r="V654">
        <f>HYPERLINK("https://klasma.github.io/Logging_2182/klagomål/A 203-2026 FSC-klagomål.docx", "A 203-2026")</f>
        <v/>
      </c>
      <c r="W654">
        <f>HYPERLINK("https://klasma.github.io/Logging_2182/klagomålsmail/A 203-2026 FSC-klagomål mail.docx", "A 203-2026")</f>
        <v/>
      </c>
      <c r="X654">
        <f>HYPERLINK("https://klasma.github.io/Logging_2182/tillsyn/A 203-2026 tillsynsbegäran.docx", "A 203-2026")</f>
        <v/>
      </c>
      <c r="Y654">
        <f>HYPERLINK("https://klasma.github.io/Logging_2182/tillsynsmail/A 203-2026 tillsynsbegäran mail.docx", "A 203-2026")</f>
        <v/>
      </c>
    </row>
    <row r="655" ht="15" customHeight="1">
      <c r="A655" t="inlineStr">
        <is>
          <t>A 33950-2024</t>
        </is>
      </c>
      <c r="B655" s="1" t="n">
        <v>45523.46476851852</v>
      </c>
      <c r="C655" s="1" t="n">
        <v>46086</v>
      </c>
      <c r="D655" t="inlineStr">
        <is>
          <t>GÄVLEBORGS LÄN</t>
        </is>
      </c>
      <c r="E655" t="inlineStr">
        <is>
          <t>LJUSDAL</t>
        </is>
      </c>
      <c r="F655" t="inlineStr">
        <is>
          <t>Sveaskog</t>
        </is>
      </c>
      <c r="G655" t="n">
        <v>3.6</v>
      </c>
      <c r="H655" t="n">
        <v>0</v>
      </c>
      <c r="I655" t="n">
        <v>0</v>
      </c>
      <c r="J655" t="n">
        <v>1</v>
      </c>
      <c r="K655" t="n">
        <v>0</v>
      </c>
      <c r="L655" t="n">
        <v>0</v>
      </c>
      <c r="M655" t="n">
        <v>0</v>
      </c>
      <c r="N655" t="n">
        <v>0</v>
      </c>
      <c r="O655" t="n">
        <v>1</v>
      </c>
      <c r="P655" t="n">
        <v>0</v>
      </c>
      <c r="Q655" t="n">
        <v>1</v>
      </c>
      <c r="R655" s="2" t="inlineStr">
        <is>
          <t>Lunglav</t>
        </is>
      </c>
      <c r="S655">
        <f>HYPERLINK("https://klasma.github.io/Logging_2161/artfynd/A 33950-2024 artfynd.xlsx", "A 33950-2024")</f>
        <v/>
      </c>
      <c r="T655">
        <f>HYPERLINK("https://klasma.github.io/Logging_2161/kartor/A 33950-2024 karta.png", "A 33950-2024")</f>
        <v/>
      </c>
      <c r="V655">
        <f>HYPERLINK("https://klasma.github.io/Logging_2161/klagomål/A 33950-2024 FSC-klagomål.docx", "A 33950-2024")</f>
        <v/>
      </c>
      <c r="W655">
        <f>HYPERLINK("https://klasma.github.io/Logging_2161/klagomålsmail/A 33950-2024 FSC-klagomål mail.docx", "A 33950-2024")</f>
        <v/>
      </c>
      <c r="X655">
        <f>HYPERLINK("https://klasma.github.io/Logging_2161/tillsyn/A 33950-2024 tillsynsbegäran.docx", "A 33950-2024")</f>
        <v/>
      </c>
      <c r="Y655">
        <f>HYPERLINK("https://klasma.github.io/Logging_2161/tillsynsmail/A 33950-2024 tillsynsbegäran mail.docx", "A 33950-2024")</f>
        <v/>
      </c>
    </row>
    <row r="656" ht="15" customHeight="1">
      <c r="A656" t="inlineStr">
        <is>
          <t>A 14392-2025</t>
        </is>
      </c>
      <c r="B656" s="1" t="n">
        <v>45741.43090277778</v>
      </c>
      <c r="C656" s="1" t="n">
        <v>46086</v>
      </c>
      <c r="D656" t="inlineStr">
        <is>
          <t>GÄVLEBORGS LÄN</t>
        </is>
      </c>
      <c r="E656" t="inlineStr">
        <is>
          <t>NORDANSTIG</t>
        </is>
      </c>
      <c r="G656" t="n">
        <v>28.6</v>
      </c>
      <c r="H656" t="n">
        <v>0</v>
      </c>
      <c r="I656" t="n">
        <v>0</v>
      </c>
      <c r="J656" t="n">
        <v>1</v>
      </c>
      <c r="K656" t="n">
        <v>0</v>
      </c>
      <c r="L656" t="n">
        <v>0</v>
      </c>
      <c r="M656" t="n">
        <v>0</v>
      </c>
      <c r="N656" t="n">
        <v>0</v>
      </c>
      <c r="O656" t="n">
        <v>1</v>
      </c>
      <c r="P656" t="n">
        <v>0</v>
      </c>
      <c r="Q656" t="n">
        <v>1</v>
      </c>
      <c r="R656" s="2" t="inlineStr">
        <is>
          <t>Violettgrå tagellav</t>
        </is>
      </c>
      <c r="S656">
        <f>HYPERLINK("https://klasma.github.io/Logging_2132/artfynd/A 14392-2025 artfynd.xlsx", "A 14392-2025")</f>
        <v/>
      </c>
      <c r="T656">
        <f>HYPERLINK("https://klasma.github.io/Logging_2132/kartor/A 14392-2025 karta.png", "A 14392-2025")</f>
        <v/>
      </c>
      <c r="V656">
        <f>HYPERLINK("https://klasma.github.io/Logging_2132/klagomål/A 14392-2025 FSC-klagomål.docx", "A 14392-2025")</f>
        <v/>
      </c>
      <c r="W656">
        <f>HYPERLINK("https://klasma.github.io/Logging_2132/klagomålsmail/A 14392-2025 FSC-klagomål mail.docx", "A 14392-2025")</f>
        <v/>
      </c>
      <c r="X656">
        <f>HYPERLINK("https://klasma.github.io/Logging_2132/tillsyn/A 14392-2025 tillsynsbegäran.docx", "A 14392-2025")</f>
        <v/>
      </c>
      <c r="Y656">
        <f>HYPERLINK("https://klasma.github.io/Logging_2132/tillsynsmail/A 14392-2025 tillsynsbegäran mail.docx", "A 14392-2025")</f>
        <v/>
      </c>
    </row>
    <row r="657" ht="15" customHeight="1">
      <c r="A657" t="inlineStr">
        <is>
          <t>A 3958-2026</t>
        </is>
      </c>
      <c r="B657" s="1" t="n">
        <v>46044</v>
      </c>
      <c r="C657" s="1" t="n">
        <v>46086</v>
      </c>
      <c r="D657" t="inlineStr">
        <is>
          <t>GÄVLEBORGS LÄN</t>
        </is>
      </c>
      <c r="E657" t="inlineStr">
        <is>
          <t>SÖDERHAMN</t>
        </is>
      </c>
      <c r="G657" t="n">
        <v>6.4</v>
      </c>
      <c r="H657" t="n">
        <v>0</v>
      </c>
      <c r="I657" t="n">
        <v>0</v>
      </c>
      <c r="J657" t="n">
        <v>1</v>
      </c>
      <c r="K657" t="n">
        <v>0</v>
      </c>
      <c r="L657" t="n">
        <v>0</v>
      </c>
      <c r="M657" t="n">
        <v>0</v>
      </c>
      <c r="N657" t="n">
        <v>0</v>
      </c>
      <c r="O657" t="n">
        <v>1</v>
      </c>
      <c r="P657" t="n">
        <v>0</v>
      </c>
      <c r="Q657" t="n">
        <v>1</v>
      </c>
      <c r="R657" s="2" t="inlineStr">
        <is>
          <t>Skogstrappmossa</t>
        </is>
      </c>
      <c r="S657">
        <f>HYPERLINK("https://klasma.github.io/Logging_2182/artfynd/A 3958-2026 artfynd.xlsx", "A 3958-2026")</f>
        <v/>
      </c>
      <c r="T657">
        <f>HYPERLINK("https://klasma.github.io/Logging_2182/kartor/A 3958-2026 karta.png", "A 3958-2026")</f>
        <v/>
      </c>
      <c r="V657">
        <f>HYPERLINK("https://klasma.github.io/Logging_2182/klagomål/A 3958-2026 FSC-klagomål.docx", "A 3958-2026")</f>
        <v/>
      </c>
      <c r="W657">
        <f>HYPERLINK("https://klasma.github.io/Logging_2182/klagomålsmail/A 3958-2026 FSC-klagomål mail.docx", "A 3958-2026")</f>
        <v/>
      </c>
      <c r="X657">
        <f>HYPERLINK("https://klasma.github.io/Logging_2182/tillsyn/A 3958-2026 tillsynsbegäran.docx", "A 3958-2026")</f>
        <v/>
      </c>
      <c r="Y657">
        <f>HYPERLINK("https://klasma.github.io/Logging_2182/tillsynsmail/A 3958-2026 tillsynsbegäran mail.docx", "A 3958-2026")</f>
        <v/>
      </c>
    </row>
    <row r="658" ht="15" customHeight="1">
      <c r="A658" t="inlineStr">
        <is>
          <t>A 9091-2026</t>
        </is>
      </c>
      <c r="B658" s="1" t="n">
        <v>46069.62923611111</v>
      </c>
      <c r="C658" s="1" t="n">
        <v>46086</v>
      </c>
      <c r="D658" t="inlineStr">
        <is>
          <t>GÄVLEBORGS LÄN</t>
        </is>
      </c>
      <c r="E658" t="inlineStr">
        <is>
          <t>HUDIKSVALL</t>
        </is>
      </c>
      <c r="F658" t="inlineStr">
        <is>
          <t>Sveaskog</t>
        </is>
      </c>
      <c r="G658" t="n">
        <v>18.6</v>
      </c>
      <c r="H658" t="n">
        <v>0</v>
      </c>
      <c r="I658" t="n">
        <v>0</v>
      </c>
      <c r="J658" t="n">
        <v>1</v>
      </c>
      <c r="K658" t="n">
        <v>0</v>
      </c>
      <c r="L658" t="n">
        <v>0</v>
      </c>
      <c r="M658" t="n">
        <v>0</v>
      </c>
      <c r="N658" t="n">
        <v>0</v>
      </c>
      <c r="O658" t="n">
        <v>1</v>
      </c>
      <c r="P658" t="n">
        <v>0</v>
      </c>
      <c r="Q658" t="n">
        <v>1</v>
      </c>
      <c r="R658" s="2" t="inlineStr">
        <is>
          <t>Motaggsvamp</t>
        </is>
      </c>
      <c r="S658">
        <f>HYPERLINK("https://klasma.github.io/Logging_2184/artfynd/A 9091-2026 artfynd.xlsx", "A 9091-2026")</f>
        <v/>
      </c>
      <c r="T658">
        <f>HYPERLINK("https://klasma.github.io/Logging_2184/kartor/A 9091-2026 karta.png", "A 9091-2026")</f>
        <v/>
      </c>
      <c r="V658">
        <f>HYPERLINK("https://klasma.github.io/Logging_2184/klagomål/A 9091-2026 FSC-klagomål.docx", "A 9091-2026")</f>
        <v/>
      </c>
      <c r="W658">
        <f>HYPERLINK("https://klasma.github.io/Logging_2184/klagomålsmail/A 9091-2026 FSC-klagomål mail.docx", "A 9091-2026")</f>
        <v/>
      </c>
      <c r="X658">
        <f>HYPERLINK("https://klasma.github.io/Logging_2184/tillsyn/A 9091-2026 tillsynsbegäran.docx", "A 9091-2026")</f>
        <v/>
      </c>
      <c r="Y658">
        <f>HYPERLINK("https://klasma.github.io/Logging_2184/tillsynsmail/A 9091-2026 tillsynsbegäran mail.docx", "A 9091-2026")</f>
        <v/>
      </c>
    </row>
    <row r="659" ht="15" customHeight="1">
      <c r="A659" t="inlineStr">
        <is>
          <t>A 9171-2026</t>
        </is>
      </c>
      <c r="B659" s="1" t="n">
        <v>46070.36331018519</v>
      </c>
      <c r="C659" s="1" t="n">
        <v>46086</v>
      </c>
      <c r="D659" t="inlineStr">
        <is>
          <t>GÄVLEBORGS LÄN</t>
        </is>
      </c>
      <c r="E659" t="inlineStr">
        <is>
          <t>OCKELBO</t>
        </is>
      </c>
      <c r="F659" t="inlineStr">
        <is>
          <t>Bergvik skog väst AB</t>
        </is>
      </c>
      <c r="G659" t="n">
        <v>12</v>
      </c>
      <c r="H659" t="n">
        <v>0</v>
      </c>
      <c r="I659" t="n">
        <v>0</v>
      </c>
      <c r="J659" t="n">
        <v>1</v>
      </c>
      <c r="K659" t="n">
        <v>0</v>
      </c>
      <c r="L659" t="n">
        <v>0</v>
      </c>
      <c r="M659" t="n">
        <v>0</v>
      </c>
      <c r="N659" t="n">
        <v>0</v>
      </c>
      <c r="O659" t="n">
        <v>1</v>
      </c>
      <c r="P659" t="n">
        <v>0</v>
      </c>
      <c r="Q659" t="n">
        <v>1</v>
      </c>
      <c r="R659" s="2" t="inlineStr">
        <is>
          <t>Motaggsvamp</t>
        </is>
      </c>
      <c r="S659">
        <f>HYPERLINK("https://klasma.github.io/Logging_2101/artfynd/A 9171-2026 artfynd.xlsx", "A 9171-2026")</f>
        <v/>
      </c>
      <c r="T659">
        <f>HYPERLINK("https://klasma.github.io/Logging_2101/kartor/A 9171-2026 karta.png", "A 9171-2026")</f>
        <v/>
      </c>
      <c r="V659">
        <f>HYPERLINK("https://klasma.github.io/Logging_2101/klagomål/A 9171-2026 FSC-klagomål.docx", "A 9171-2026")</f>
        <v/>
      </c>
      <c r="W659">
        <f>HYPERLINK("https://klasma.github.io/Logging_2101/klagomålsmail/A 9171-2026 FSC-klagomål mail.docx", "A 9171-2026")</f>
        <v/>
      </c>
      <c r="X659">
        <f>HYPERLINK("https://klasma.github.io/Logging_2101/tillsyn/A 9171-2026 tillsynsbegäran.docx", "A 9171-2026")</f>
        <v/>
      </c>
      <c r="Y659">
        <f>HYPERLINK("https://klasma.github.io/Logging_2101/tillsynsmail/A 9171-2026 tillsynsbegäran mail.docx", "A 9171-2026")</f>
        <v/>
      </c>
    </row>
    <row r="660" ht="15" customHeight="1">
      <c r="A660" t="inlineStr">
        <is>
          <t>A 6060-2026</t>
        </is>
      </c>
      <c r="B660" s="1" t="n">
        <v>46052</v>
      </c>
      <c r="C660" s="1" t="n">
        <v>46086</v>
      </c>
      <c r="D660" t="inlineStr">
        <is>
          <t>GÄVLEBORGS LÄN</t>
        </is>
      </c>
      <c r="E660" t="inlineStr">
        <is>
          <t>SÖDERHAMN</t>
        </is>
      </c>
      <c r="G660" t="n">
        <v>2.9</v>
      </c>
      <c r="H660" t="n">
        <v>0</v>
      </c>
      <c r="I660" t="n">
        <v>1</v>
      </c>
      <c r="J660" t="n">
        <v>0</v>
      </c>
      <c r="K660" t="n">
        <v>0</v>
      </c>
      <c r="L660" t="n">
        <v>0</v>
      </c>
      <c r="M660" t="n">
        <v>0</v>
      </c>
      <c r="N660" t="n">
        <v>0</v>
      </c>
      <c r="O660" t="n">
        <v>0</v>
      </c>
      <c r="P660" t="n">
        <v>0</v>
      </c>
      <c r="Q660" t="n">
        <v>1</v>
      </c>
      <c r="R660" s="2" t="inlineStr">
        <is>
          <t>Barkticka</t>
        </is>
      </c>
      <c r="S660">
        <f>HYPERLINK("https://klasma.github.io/Logging_2182/artfynd/A 6060-2026 artfynd.xlsx", "A 6060-2026")</f>
        <v/>
      </c>
      <c r="T660">
        <f>HYPERLINK("https://klasma.github.io/Logging_2182/kartor/A 6060-2026 karta.png", "A 6060-2026")</f>
        <v/>
      </c>
      <c r="V660">
        <f>HYPERLINK("https://klasma.github.io/Logging_2182/klagomål/A 6060-2026 FSC-klagomål.docx", "A 6060-2026")</f>
        <v/>
      </c>
      <c r="W660">
        <f>HYPERLINK("https://klasma.github.io/Logging_2182/klagomålsmail/A 6060-2026 FSC-klagomål mail.docx", "A 6060-2026")</f>
        <v/>
      </c>
      <c r="X660">
        <f>HYPERLINK("https://klasma.github.io/Logging_2182/tillsyn/A 6060-2026 tillsynsbegäran.docx", "A 6060-2026")</f>
        <v/>
      </c>
      <c r="Y660">
        <f>HYPERLINK("https://klasma.github.io/Logging_2182/tillsynsmail/A 6060-2026 tillsynsbegäran mail.docx", "A 6060-2026")</f>
        <v/>
      </c>
    </row>
    <row r="661" ht="15" customHeight="1">
      <c r="A661" t="inlineStr">
        <is>
          <t>A 54828-2021</t>
        </is>
      </c>
      <c r="B661" s="1" t="n">
        <v>44473</v>
      </c>
      <c r="C661" s="1" t="n">
        <v>46086</v>
      </c>
      <c r="D661" t="inlineStr">
        <is>
          <t>GÄVLEBORGS LÄN</t>
        </is>
      </c>
      <c r="E661" t="inlineStr">
        <is>
          <t>HOFORS</t>
        </is>
      </c>
      <c r="F661" t="inlineStr">
        <is>
          <t>Bergvik skog väst AB</t>
        </is>
      </c>
      <c r="G661" t="n">
        <v>5.1</v>
      </c>
      <c r="H661" t="n">
        <v>1</v>
      </c>
      <c r="I661" t="n">
        <v>0</v>
      </c>
      <c r="J661" t="n">
        <v>0</v>
      </c>
      <c r="K661" t="n">
        <v>1</v>
      </c>
      <c r="L661" t="n">
        <v>0</v>
      </c>
      <c r="M661" t="n">
        <v>0</v>
      </c>
      <c r="N661" t="n">
        <v>0</v>
      </c>
      <c r="O661" t="n">
        <v>1</v>
      </c>
      <c r="P661" t="n">
        <v>1</v>
      </c>
      <c r="Q661" t="n">
        <v>1</v>
      </c>
      <c r="R661" s="2" t="inlineStr">
        <is>
          <t>Knärot</t>
        </is>
      </c>
      <c r="S661">
        <f>HYPERLINK("https://klasma.github.io/Logging_2104/artfynd/A 54828-2021 artfynd.xlsx", "A 54828-2021")</f>
        <v/>
      </c>
      <c r="T661">
        <f>HYPERLINK("https://klasma.github.io/Logging_2104/kartor/A 54828-2021 karta.png", "A 54828-2021")</f>
        <v/>
      </c>
      <c r="U661">
        <f>HYPERLINK("https://klasma.github.io/Logging_2104/knärot/A 54828-2021 karta knärot.png", "A 54828-2021")</f>
        <v/>
      </c>
      <c r="V661">
        <f>HYPERLINK("https://klasma.github.io/Logging_2104/klagomål/A 54828-2021 FSC-klagomål.docx", "A 54828-2021")</f>
        <v/>
      </c>
      <c r="W661">
        <f>HYPERLINK("https://klasma.github.io/Logging_2104/klagomålsmail/A 54828-2021 FSC-klagomål mail.docx", "A 54828-2021")</f>
        <v/>
      </c>
      <c r="X661">
        <f>HYPERLINK("https://klasma.github.io/Logging_2104/tillsyn/A 54828-2021 tillsynsbegäran.docx", "A 54828-2021")</f>
        <v/>
      </c>
      <c r="Y661">
        <f>HYPERLINK("https://klasma.github.io/Logging_2104/tillsynsmail/A 54828-2021 tillsynsbegäran mail.docx", "A 54828-2021")</f>
        <v/>
      </c>
    </row>
    <row r="662" ht="15" customHeight="1">
      <c r="A662" t="inlineStr">
        <is>
          <t>A 9165-2026</t>
        </is>
      </c>
      <c r="B662" s="1" t="n">
        <v>46070.35776620371</v>
      </c>
      <c r="C662" s="1" t="n">
        <v>46086</v>
      </c>
      <c r="D662" t="inlineStr">
        <is>
          <t>GÄVLEBORGS LÄN</t>
        </is>
      </c>
      <c r="E662" t="inlineStr">
        <is>
          <t>OCKELBO</t>
        </is>
      </c>
      <c r="F662" t="inlineStr">
        <is>
          <t>Bergvik skog väst AB</t>
        </is>
      </c>
      <c r="G662" t="n">
        <v>8</v>
      </c>
      <c r="H662" t="n">
        <v>1</v>
      </c>
      <c r="I662" t="n">
        <v>0</v>
      </c>
      <c r="J662" t="n">
        <v>0</v>
      </c>
      <c r="K662" t="n">
        <v>0</v>
      </c>
      <c r="L662" t="n">
        <v>0</v>
      </c>
      <c r="M662" t="n">
        <v>0</v>
      </c>
      <c r="N662" t="n">
        <v>0</v>
      </c>
      <c r="O662" t="n">
        <v>0</v>
      </c>
      <c r="P662" t="n">
        <v>0</v>
      </c>
      <c r="Q662" t="n">
        <v>1</v>
      </c>
      <c r="R662" s="2" t="inlineStr">
        <is>
          <t>Nattviol</t>
        </is>
      </c>
      <c r="S662">
        <f>HYPERLINK("https://klasma.github.io/Logging_2101/artfynd/A 9165-2026 artfynd.xlsx", "A 9165-2026")</f>
        <v/>
      </c>
      <c r="T662">
        <f>HYPERLINK("https://klasma.github.io/Logging_2101/kartor/A 9165-2026 karta.png", "A 9165-2026")</f>
        <v/>
      </c>
      <c r="V662">
        <f>HYPERLINK("https://klasma.github.io/Logging_2101/klagomål/A 9165-2026 FSC-klagomål.docx", "A 9165-2026")</f>
        <v/>
      </c>
      <c r="W662">
        <f>HYPERLINK("https://klasma.github.io/Logging_2101/klagomålsmail/A 9165-2026 FSC-klagomål mail.docx", "A 9165-2026")</f>
        <v/>
      </c>
      <c r="X662">
        <f>HYPERLINK("https://klasma.github.io/Logging_2101/tillsyn/A 9165-2026 tillsynsbegäran.docx", "A 9165-2026")</f>
        <v/>
      </c>
      <c r="Y662">
        <f>HYPERLINK("https://klasma.github.io/Logging_2101/tillsynsmail/A 9165-2026 tillsynsbegäran mail.docx", "A 9165-2026")</f>
        <v/>
      </c>
    </row>
    <row r="663" ht="15" customHeight="1">
      <c r="A663" t="inlineStr">
        <is>
          <t>A 20047-2025</t>
        </is>
      </c>
      <c r="B663" s="1" t="n">
        <v>45772.38952546296</v>
      </c>
      <c r="C663" s="1" t="n">
        <v>46086</v>
      </c>
      <c r="D663" t="inlineStr">
        <is>
          <t>GÄVLEBORGS LÄN</t>
        </is>
      </c>
      <c r="E663" t="inlineStr">
        <is>
          <t>BOLLNÄS</t>
        </is>
      </c>
      <c r="G663" t="n">
        <v>1.1</v>
      </c>
      <c r="H663" t="n">
        <v>0</v>
      </c>
      <c r="I663" t="n">
        <v>1</v>
      </c>
      <c r="J663" t="n">
        <v>0</v>
      </c>
      <c r="K663" t="n">
        <v>0</v>
      </c>
      <c r="L663" t="n">
        <v>0</v>
      </c>
      <c r="M663" t="n">
        <v>0</v>
      </c>
      <c r="N663" t="n">
        <v>0</v>
      </c>
      <c r="O663" t="n">
        <v>0</v>
      </c>
      <c r="P663" t="n">
        <v>0</v>
      </c>
      <c r="Q663" t="n">
        <v>1</v>
      </c>
      <c r="R663" s="2" t="inlineStr">
        <is>
          <t>Tibast</t>
        </is>
      </c>
      <c r="S663">
        <f>HYPERLINK("https://klasma.github.io/Logging_2183/artfynd/A 20047-2025 artfynd.xlsx", "A 20047-2025")</f>
        <v/>
      </c>
      <c r="T663">
        <f>HYPERLINK("https://klasma.github.io/Logging_2183/kartor/A 20047-2025 karta.png", "A 20047-2025")</f>
        <v/>
      </c>
      <c r="V663">
        <f>HYPERLINK("https://klasma.github.io/Logging_2183/klagomål/A 20047-2025 FSC-klagomål.docx", "A 20047-2025")</f>
        <v/>
      </c>
      <c r="W663">
        <f>HYPERLINK("https://klasma.github.io/Logging_2183/klagomålsmail/A 20047-2025 FSC-klagomål mail.docx", "A 20047-2025")</f>
        <v/>
      </c>
      <c r="X663">
        <f>HYPERLINK("https://klasma.github.io/Logging_2183/tillsyn/A 20047-2025 tillsynsbegäran.docx", "A 20047-2025")</f>
        <v/>
      </c>
      <c r="Y663">
        <f>HYPERLINK("https://klasma.github.io/Logging_2183/tillsynsmail/A 20047-2025 tillsynsbegäran mail.docx", "A 20047-2025")</f>
        <v/>
      </c>
    </row>
    <row r="664" ht="15" customHeight="1">
      <c r="A664" t="inlineStr">
        <is>
          <t>A 9155-2026</t>
        </is>
      </c>
      <c r="B664" s="1" t="n">
        <v>46070.34200231481</v>
      </c>
      <c r="C664" s="1" t="n">
        <v>46086</v>
      </c>
      <c r="D664" t="inlineStr">
        <is>
          <t>GÄVLEBORGS LÄN</t>
        </is>
      </c>
      <c r="E664" t="inlineStr">
        <is>
          <t>OCKELBO</t>
        </is>
      </c>
      <c r="F664" t="inlineStr">
        <is>
          <t>Bergvik skog väst AB</t>
        </is>
      </c>
      <c r="G664" t="n">
        <v>4.2</v>
      </c>
      <c r="H664" t="n">
        <v>0</v>
      </c>
      <c r="I664" t="n">
        <v>0</v>
      </c>
      <c r="J664" t="n">
        <v>1</v>
      </c>
      <c r="K664" t="n">
        <v>0</v>
      </c>
      <c r="L664" t="n">
        <v>0</v>
      </c>
      <c r="M664" t="n">
        <v>0</v>
      </c>
      <c r="N664" t="n">
        <v>0</v>
      </c>
      <c r="O664" t="n">
        <v>1</v>
      </c>
      <c r="P664" t="n">
        <v>0</v>
      </c>
      <c r="Q664" t="n">
        <v>1</v>
      </c>
      <c r="R664" s="2" t="inlineStr">
        <is>
          <t>Kolflarnlav</t>
        </is>
      </c>
      <c r="S664">
        <f>HYPERLINK("https://klasma.github.io/Logging_2101/artfynd/A 9155-2026 artfynd.xlsx", "A 9155-2026")</f>
        <v/>
      </c>
      <c r="T664">
        <f>HYPERLINK("https://klasma.github.io/Logging_2101/kartor/A 9155-2026 karta.png", "A 9155-2026")</f>
        <v/>
      </c>
      <c r="V664">
        <f>HYPERLINK("https://klasma.github.io/Logging_2101/klagomål/A 9155-2026 FSC-klagomål.docx", "A 9155-2026")</f>
        <v/>
      </c>
      <c r="W664">
        <f>HYPERLINK("https://klasma.github.io/Logging_2101/klagomålsmail/A 9155-2026 FSC-klagomål mail.docx", "A 9155-2026")</f>
        <v/>
      </c>
      <c r="X664">
        <f>HYPERLINK("https://klasma.github.io/Logging_2101/tillsyn/A 9155-2026 tillsynsbegäran.docx", "A 9155-2026")</f>
        <v/>
      </c>
      <c r="Y664">
        <f>HYPERLINK("https://klasma.github.io/Logging_2101/tillsynsmail/A 9155-2026 tillsynsbegäran mail.docx", "A 9155-2026")</f>
        <v/>
      </c>
    </row>
    <row r="665" ht="15" customHeight="1">
      <c r="A665" t="inlineStr">
        <is>
          <t>A 9207-2026</t>
        </is>
      </c>
      <c r="B665" s="1" t="n">
        <v>46070.42059027778</v>
      </c>
      <c r="C665" s="1" t="n">
        <v>46086</v>
      </c>
      <c r="D665" t="inlineStr">
        <is>
          <t>GÄVLEBORGS LÄN</t>
        </is>
      </c>
      <c r="E665" t="inlineStr">
        <is>
          <t>OCKELBO</t>
        </is>
      </c>
      <c r="F665" t="inlineStr">
        <is>
          <t>Bergvik skog väst AB</t>
        </is>
      </c>
      <c r="G665" t="n">
        <v>9.6</v>
      </c>
      <c r="H665" t="n">
        <v>1</v>
      </c>
      <c r="I665" t="n">
        <v>0</v>
      </c>
      <c r="J665" t="n">
        <v>0</v>
      </c>
      <c r="K665" t="n">
        <v>0</v>
      </c>
      <c r="L665" t="n">
        <v>0</v>
      </c>
      <c r="M665" t="n">
        <v>0</v>
      </c>
      <c r="N665" t="n">
        <v>0</v>
      </c>
      <c r="O665" t="n">
        <v>0</v>
      </c>
      <c r="P665" t="n">
        <v>0</v>
      </c>
      <c r="Q665" t="n">
        <v>1</v>
      </c>
      <c r="R665" s="2" t="inlineStr">
        <is>
          <t>Mattlummer</t>
        </is>
      </c>
      <c r="S665">
        <f>HYPERLINK("https://klasma.github.io/Logging_2101/artfynd/A 9207-2026 artfynd.xlsx", "A 9207-2026")</f>
        <v/>
      </c>
      <c r="T665">
        <f>HYPERLINK("https://klasma.github.io/Logging_2101/kartor/A 9207-2026 karta.png", "A 9207-2026")</f>
        <v/>
      </c>
      <c r="V665">
        <f>HYPERLINK("https://klasma.github.io/Logging_2101/klagomål/A 9207-2026 FSC-klagomål.docx", "A 9207-2026")</f>
        <v/>
      </c>
      <c r="W665">
        <f>HYPERLINK("https://klasma.github.io/Logging_2101/klagomålsmail/A 9207-2026 FSC-klagomål mail.docx", "A 9207-2026")</f>
        <v/>
      </c>
      <c r="X665">
        <f>HYPERLINK("https://klasma.github.io/Logging_2101/tillsyn/A 9207-2026 tillsynsbegäran.docx", "A 9207-2026")</f>
        <v/>
      </c>
      <c r="Y665">
        <f>HYPERLINK("https://klasma.github.io/Logging_2101/tillsynsmail/A 9207-2026 tillsynsbegäran mail.docx", "A 9207-2026")</f>
        <v/>
      </c>
    </row>
    <row r="666" ht="15" customHeight="1">
      <c r="A666" t="inlineStr">
        <is>
          <t>A 424-2026</t>
        </is>
      </c>
      <c r="B666" s="1" t="n">
        <v>46029</v>
      </c>
      <c r="C666" s="1" t="n">
        <v>46086</v>
      </c>
      <c r="D666" t="inlineStr">
        <is>
          <t>GÄVLEBORGS LÄN</t>
        </is>
      </c>
      <c r="E666" t="inlineStr">
        <is>
          <t>SÖDERHAMN</t>
        </is>
      </c>
      <c r="G666" t="n">
        <v>26</v>
      </c>
      <c r="H666" t="n">
        <v>0</v>
      </c>
      <c r="I666" t="n">
        <v>1</v>
      </c>
      <c r="J666" t="n">
        <v>0</v>
      </c>
      <c r="K666" t="n">
        <v>0</v>
      </c>
      <c r="L666" t="n">
        <v>0</v>
      </c>
      <c r="M666" t="n">
        <v>0</v>
      </c>
      <c r="N666" t="n">
        <v>0</v>
      </c>
      <c r="O666" t="n">
        <v>0</v>
      </c>
      <c r="P666" t="n">
        <v>0</v>
      </c>
      <c r="Q666" t="n">
        <v>1</v>
      </c>
      <c r="R666" s="2" t="inlineStr">
        <is>
          <t>Vedticka</t>
        </is>
      </c>
      <c r="S666">
        <f>HYPERLINK("https://klasma.github.io/Logging_2182/artfynd/A 424-2026 artfynd.xlsx", "A 424-2026")</f>
        <v/>
      </c>
      <c r="T666">
        <f>HYPERLINK("https://klasma.github.io/Logging_2182/kartor/A 424-2026 karta.png", "A 424-2026")</f>
        <v/>
      </c>
      <c r="V666">
        <f>HYPERLINK("https://klasma.github.io/Logging_2182/klagomål/A 424-2026 FSC-klagomål.docx", "A 424-2026")</f>
        <v/>
      </c>
      <c r="W666">
        <f>HYPERLINK("https://klasma.github.io/Logging_2182/klagomålsmail/A 424-2026 FSC-klagomål mail.docx", "A 424-2026")</f>
        <v/>
      </c>
      <c r="X666">
        <f>HYPERLINK("https://klasma.github.io/Logging_2182/tillsyn/A 424-2026 tillsynsbegäran.docx", "A 424-2026")</f>
        <v/>
      </c>
      <c r="Y666">
        <f>HYPERLINK("https://klasma.github.io/Logging_2182/tillsynsmail/A 424-2026 tillsynsbegäran mail.docx", "A 424-2026")</f>
        <v/>
      </c>
    </row>
    <row r="667" ht="15" customHeight="1">
      <c r="A667" t="inlineStr">
        <is>
          <t>A 5130-2026</t>
        </is>
      </c>
      <c r="B667" s="1" t="n">
        <v>46049</v>
      </c>
      <c r="C667" s="1" t="n">
        <v>46086</v>
      </c>
      <c r="D667" t="inlineStr">
        <is>
          <t>GÄVLEBORGS LÄN</t>
        </is>
      </c>
      <c r="E667" t="inlineStr">
        <is>
          <t>BOLLNÄS</t>
        </is>
      </c>
      <c r="G667" t="n">
        <v>8.4</v>
      </c>
      <c r="H667" t="n">
        <v>1</v>
      </c>
      <c r="I667" t="n">
        <v>0</v>
      </c>
      <c r="J667" t="n">
        <v>1</v>
      </c>
      <c r="K667" t="n">
        <v>0</v>
      </c>
      <c r="L667" t="n">
        <v>0</v>
      </c>
      <c r="M667" t="n">
        <v>0</v>
      </c>
      <c r="N667" t="n">
        <v>0</v>
      </c>
      <c r="O667" t="n">
        <v>1</v>
      </c>
      <c r="P667" t="n">
        <v>0</v>
      </c>
      <c r="Q667" t="n">
        <v>1</v>
      </c>
      <c r="R667" s="2" t="inlineStr">
        <is>
          <t>Nordfladdermus</t>
        </is>
      </c>
      <c r="S667">
        <f>HYPERLINK("https://klasma.github.io/Logging_2183/artfynd/A 5130-2026 artfynd.xlsx", "A 5130-2026")</f>
        <v/>
      </c>
      <c r="T667">
        <f>HYPERLINK("https://klasma.github.io/Logging_2183/kartor/A 5130-2026 karta.png", "A 5130-2026")</f>
        <v/>
      </c>
      <c r="V667">
        <f>HYPERLINK("https://klasma.github.io/Logging_2183/klagomål/A 5130-2026 FSC-klagomål.docx", "A 5130-2026")</f>
        <v/>
      </c>
      <c r="W667">
        <f>HYPERLINK("https://klasma.github.io/Logging_2183/klagomålsmail/A 5130-2026 FSC-klagomål mail.docx", "A 5130-2026")</f>
        <v/>
      </c>
      <c r="X667">
        <f>HYPERLINK("https://klasma.github.io/Logging_2183/tillsyn/A 5130-2026 tillsynsbegäran.docx", "A 5130-2026")</f>
        <v/>
      </c>
      <c r="Y667">
        <f>HYPERLINK("https://klasma.github.io/Logging_2183/tillsynsmail/A 5130-2026 tillsynsbegäran mail.docx", "A 5130-2026")</f>
        <v/>
      </c>
    </row>
    <row r="668" ht="15" customHeight="1">
      <c r="A668" t="inlineStr">
        <is>
          <t>A 21282-2024</t>
        </is>
      </c>
      <c r="B668" s="1" t="n">
        <v>45440.65584490741</v>
      </c>
      <c r="C668" s="1" t="n">
        <v>46086</v>
      </c>
      <c r="D668" t="inlineStr">
        <is>
          <t>GÄVLEBORGS LÄN</t>
        </is>
      </c>
      <c r="E668" t="inlineStr">
        <is>
          <t>GÄVLE</t>
        </is>
      </c>
      <c r="G668" t="n">
        <v>7.4</v>
      </c>
      <c r="H668" t="n">
        <v>0</v>
      </c>
      <c r="I668" t="n">
        <v>0</v>
      </c>
      <c r="J668" t="n">
        <v>1</v>
      </c>
      <c r="K668" t="n">
        <v>0</v>
      </c>
      <c r="L668" t="n">
        <v>0</v>
      </c>
      <c r="M668" t="n">
        <v>0</v>
      </c>
      <c r="N668" t="n">
        <v>0</v>
      </c>
      <c r="O668" t="n">
        <v>1</v>
      </c>
      <c r="P668" t="n">
        <v>0</v>
      </c>
      <c r="Q668" t="n">
        <v>1</v>
      </c>
      <c r="R668" s="2" t="inlineStr">
        <is>
          <t>Skogsklocka</t>
        </is>
      </c>
      <c r="S668">
        <f>HYPERLINK("https://klasma.github.io/Logging_2180/artfynd/A 21282-2024 artfynd.xlsx", "A 21282-2024")</f>
        <v/>
      </c>
      <c r="T668">
        <f>HYPERLINK("https://klasma.github.io/Logging_2180/kartor/A 21282-2024 karta.png", "A 21282-2024")</f>
        <v/>
      </c>
      <c r="V668">
        <f>HYPERLINK("https://klasma.github.io/Logging_2180/klagomål/A 21282-2024 FSC-klagomål.docx", "A 21282-2024")</f>
        <v/>
      </c>
      <c r="W668">
        <f>HYPERLINK("https://klasma.github.io/Logging_2180/klagomålsmail/A 21282-2024 FSC-klagomål mail.docx", "A 21282-2024")</f>
        <v/>
      </c>
      <c r="X668">
        <f>HYPERLINK("https://klasma.github.io/Logging_2180/tillsyn/A 21282-2024 tillsynsbegäran.docx", "A 21282-2024")</f>
        <v/>
      </c>
      <c r="Y668">
        <f>HYPERLINK("https://klasma.github.io/Logging_2180/tillsynsmail/A 21282-2024 tillsynsbegäran mail.docx", "A 21282-2024")</f>
        <v/>
      </c>
    </row>
    <row r="669" ht="15" customHeight="1">
      <c r="A669" t="inlineStr">
        <is>
          <t>A 36391-2025</t>
        </is>
      </c>
      <c r="B669" s="1" t="n">
        <v>45868.60726851852</v>
      </c>
      <c r="C669" s="1" t="n">
        <v>46086</v>
      </c>
      <c r="D669" t="inlineStr">
        <is>
          <t>GÄVLEBORGS LÄN</t>
        </is>
      </c>
      <c r="E669" t="inlineStr">
        <is>
          <t>HUDIKSVALL</t>
        </is>
      </c>
      <c r="G669" t="n">
        <v>0.7</v>
      </c>
      <c r="H669" t="n">
        <v>0</v>
      </c>
      <c r="I669" t="n">
        <v>0</v>
      </c>
      <c r="J669" t="n">
        <v>1</v>
      </c>
      <c r="K669" t="n">
        <v>0</v>
      </c>
      <c r="L669" t="n">
        <v>0</v>
      </c>
      <c r="M669" t="n">
        <v>0</v>
      </c>
      <c r="N669" t="n">
        <v>0</v>
      </c>
      <c r="O669" t="n">
        <v>1</v>
      </c>
      <c r="P669" t="n">
        <v>0</v>
      </c>
      <c r="Q669" t="n">
        <v>1</v>
      </c>
      <c r="R669" s="2" t="inlineStr">
        <is>
          <t>Motaggsvamp</t>
        </is>
      </c>
      <c r="S669">
        <f>HYPERLINK("https://klasma.github.io/Logging_2184/artfynd/A 36391-2025 artfynd.xlsx", "A 36391-2025")</f>
        <v/>
      </c>
      <c r="T669">
        <f>HYPERLINK("https://klasma.github.io/Logging_2184/kartor/A 36391-2025 karta.png", "A 36391-2025")</f>
        <v/>
      </c>
      <c r="V669">
        <f>HYPERLINK("https://klasma.github.io/Logging_2184/klagomål/A 36391-2025 FSC-klagomål.docx", "A 36391-2025")</f>
        <v/>
      </c>
      <c r="W669">
        <f>HYPERLINK("https://klasma.github.io/Logging_2184/klagomålsmail/A 36391-2025 FSC-klagomål mail.docx", "A 36391-2025")</f>
        <v/>
      </c>
      <c r="X669">
        <f>HYPERLINK("https://klasma.github.io/Logging_2184/tillsyn/A 36391-2025 tillsynsbegäran.docx", "A 36391-2025")</f>
        <v/>
      </c>
      <c r="Y669">
        <f>HYPERLINK("https://klasma.github.io/Logging_2184/tillsynsmail/A 36391-2025 tillsynsbegäran mail.docx", "A 36391-2025")</f>
        <v/>
      </c>
    </row>
    <row r="670" ht="15" customHeight="1">
      <c r="A670" t="inlineStr">
        <is>
          <t>A 57932-2024</t>
        </is>
      </c>
      <c r="B670" s="1" t="n">
        <v>45631.52961805555</v>
      </c>
      <c r="C670" s="1" t="n">
        <v>46086</v>
      </c>
      <c r="D670" t="inlineStr">
        <is>
          <t>GÄVLEBORGS LÄN</t>
        </is>
      </c>
      <c r="E670" t="inlineStr">
        <is>
          <t>GÄVLE</t>
        </is>
      </c>
      <c r="F670" t="inlineStr">
        <is>
          <t>Bergvik skog öst AB</t>
        </is>
      </c>
      <c r="G670" t="n">
        <v>48.7</v>
      </c>
      <c r="H670" t="n">
        <v>1</v>
      </c>
      <c r="I670" t="n">
        <v>0</v>
      </c>
      <c r="J670" t="n">
        <v>0</v>
      </c>
      <c r="K670" t="n">
        <v>0</v>
      </c>
      <c r="L670" t="n">
        <v>0</v>
      </c>
      <c r="M670" t="n">
        <v>0</v>
      </c>
      <c r="N670" t="n">
        <v>0</v>
      </c>
      <c r="O670" t="n">
        <v>0</v>
      </c>
      <c r="P670" t="n">
        <v>0</v>
      </c>
      <c r="Q670" t="n">
        <v>1</v>
      </c>
      <c r="R670" s="2" t="inlineStr">
        <is>
          <t>Tjäder</t>
        </is>
      </c>
      <c r="S670">
        <f>HYPERLINK("https://klasma.github.io/Logging_2180/artfynd/A 57932-2024 artfynd.xlsx", "A 57932-2024")</f>
        <v/>
      </c>
      <c r="T670">
        <f>HYPERLINK("https://klasma.github.io/Logging_2180/kartor/A 57932-2024 karta.png", "A 57932-2024")</f>
        <v/>
      </c>
      <c r="V670">
        <f>HYPERLINK("https://klasma.github.io/Logging_2180/klagomål/A 57932-2024 FSC-klagomål.docx", "A 57932-2024")</f>
        <v/>
      </c>
      <c r="W670">
        <f>HYPERLINK("https://klasma.github.io/Logging_2180/klagomålsmail/A 57932-2024 FSC-klagomål mail.docx", "A 57932-2024")</f>
        <v/>
      </c>
      <c r="X670">
        <f>HYPERLINK("https://klasma.github.io/Logging_2180/tillsyn/A 57932-2024 tillsynsbegäran.docx", "A 57932-2024")</f>
        <v/>
      </c>
      <c r="Y670">
        <f>HYPERLINK("https://klasma.github.io/Logging_2180/tillsynsmail/A 57932-2024 tillsynsbegäran mail.docx", "A 57932-2024")</f>
        <v/>
      </c>
      <c r="Z670">
        <f>HYPERLINK("https://klasma.github.io/Logging_2180/fåglar/A 57932-2024 prioriterade fågelarter.docx", "A 57932-2024")</f>
        <v/>
      </c>
    </row>
    <row r="671" ht="15" customHeight="1">
      <c r="A671" t="inlineStr">
        <is>
          <t>A 25237-2022</t>
        </is>
      </c>
      <c r="B671" s="1" t="n">
        <v>44729</v>
      </c>
      <c r="C671" s="1" t="n">
        <v>46086</v>
      </c>
      <c r="D671" t="inlineStr">
        <is>
          <t>GÄVLEBORGS LÄN</t>
        </is>
      </c>
      <c r="E671" t="inlineStr">
        <is>
          <t>SÖDERHAMN</t>
        </is>
      </c>
      <c r="F671" t="inlineStr">
        <is>
          <t>Bergvik skog väst AB</t>
        </is>
      </c>
      <c r="G671" t="n">
        <v>18.6</v>
      </c>
      <c r="H671" t="n">
        <v>1</v>
      </c>
      <c r="I671" t="n">
        <v>0</v>
      </c>
      <c r="J671" t="n">
        <v>1</v>
      </c>
      <c r="K671" t="n">
        <v>0</v>
      </c>
      <c r="L671" t="n">
        <v>0</v>
      </c>
      <c r="M671" t="n">
        <v>0</v>
      </c>
      <c r="N671" t="n">
        <v>0</v>
      </c>
      <c r="O671" t="n">
        <v>1</v>
      </c>
      <c r="P671" t="n">
        <v>0</v>
      </c>
      <c r="Q671" t="n">
        <v>1</v>
      </c>
      <c r="R671" s="2" t="inlineStr">
        <is>
          <t>Talltita</t>
        </is>
      </c>
      <c r="S671">
        <f>HYPERLINK("https://klasma.github.io/Logging_2182/artfynd/A 25237-2022 artfynd.xlsx", "A 25237-2022")</f>
        <v/>
      </c>
      <c r="T671">
        <f>HYPERLINK("https://klasma.github.io/Logging_2182/kartor/A 25237-2022 karta.png", "A 25237-2022")</f>
        <v/>
      </c>
      <c r="V671">
        <f>HYPERLINK("https://klasma.github.io/Logging_2182/klagomål/A 25237-2022 FSC-klagomål.docx", "A 25237-2022")</f>
        <v/>
      </c>
      <c r="W671">
        <f>HYPERLINK("https://klasma.github.io/Logging_2182/klagomålsmail/A 25237-2022 FSC-klagomål mail.docx", "A 25237-2022")</f>
        <v/>
      </c>
      <c r="X671">
        <f>HYPERLINK("https://klasma.github.io/Logging_2182/tillsyn/A 25237-2022 tillsynsbegäran.docx", "A 25237-2022")</f>
        <v/>
      </c>
      <c r="Y671">
        <f>HYPERLINK("https://klasma.github.io/Logging_2182/tillsynsmail/A 25237-2022 tillsynsbegäran mail.docx", "A 25237-2022")</f>
        <v/>
      </c>
      <c r="Z671">
        <f>HYPERLINK("https://klasma.github.io/Logging_2182/fåglar/A 25237-2022 prioriterade fågelarter.docx", "A 25237-2022")</f>
        <v/>
      </c>
    </row>
    <row r="672" ht="15" customHeight="1">
      <c r="A672" t="inlineStr">
        <is>
          <t>A 9598-2026</t>
        </is>
      </c>
      <c r="B672" s="1" t="n">
        <v>46071</v>
      </c>
      <c r="C672" s="1" t="n">
        <v>46086</v>
      </c>
      <c r="D672" t="inlineStr">
        <is>
          <t>GÄVLEBORGS LÄN</t>
        </is>
      </c>
      <c r="E672" t="inlineStr">
        <is>
          <t>HUDIKSVALL</t>
        </is>
      </c>
      <c r="G672" t="n">
        <v>2</v>
      </c>
      <c r="H672" t="n">
        <v>0</v>
      </c>
      <c r="I672" t="n">
        <v>1</v>
      </c>
      <c r="J672" t="n">
        <v>0</v>
      </c>
      <c r="K672" t="n">
        <v>0</v>
      </c>
      <c r="L672" t="n">
        <v>0</v>
      </c>
      <c r="M672" t="n">
        <v>0</v>
      </c>
      <c r="N672" t="n">
        <v>0</v>
      </c>
      <c r="O672" t="n">
        <v>0</v>
      </c>
      <c r="P672" t="n">
        <v>0</v>
      </c>
      <c r="Q672" t="n">
        <v>1</v>
      </c>
      <c r="R672" s="2" t="inlineStr">
        <is>
          <t>Strutbräken</t>
        </is>
      </c>
      <c r="S672">
        <f>HYPERLINK("https://klasma.github.io/Logging_2184/artfynd/A 9598-2026 artfynd.xlsx", "A 9598-2026")</f>
        <v/>
      </c>
      <c r="T672">
        <f>HYPERLINK("https://klasma.github.io/Logging_2184/kartor/A 9598-2026 karta.png", "A 9598-2026")</f>
        <v/>
      </c>
      <c r="V672">
        <f>HYPERLINK("https://klasma.github.io/Logging_2184/klagomål/A 9598-2026 FSC-klagomål.docx", "A 9598-2026")</f>
        <v/>
      </c>
      <c r="W672">
        <f>HYPERLINK("https://klasma.github.io/Logging_2184/klagomålsmail/A 9598-2026 FSC-klagomål mail.docx", "A 9598-2026")</f>
        <v/>
      </c>
      <c r="X672">
        <f>HYPERLINK("https://klasma.github.io/Logging_2184/tillsyn/A 9598-2026 tillsynsbegäran.docx", "A 9598-2026")</f>
        <v/>
      </c>
      <c r="Y672">
        <f>HYPERLINK("https://klasma.github.io/Logging_2184/tillsynsmail/A 9598-2026 tillsynsbegäran mail.docx", "A 9598-2026")</f>
        <v/>
      </c>
    </row>
    <row r="673" ht="15" customHeight="1">
      <c r="A673" t="inlineStr">
        <is>
          <t>A 9897-2026</t>
        </is>
      </c>
      <c r="B673" s="1" t="n">
        <v>46073.38932870371</v>
      </c>
      <c r="C673" s="1" t="n">
        <v>46086</v>
      </c>
      <c r="D673" t="inlineStr">
        <is>
          <t>GÄVLEBORGS LÄN</t>
        </is>
      </c>
      <c r="E673" t="inlineStr">
        <is>
          <t>OCKELBO</t>
        </is>
      </c>
      <c r="F673" t="inlineStr">
        <is>
          <t>Bergvik skog väst AB</t>
        </is>
      </c>
      <c r="G673" t="n">
        <v>30.5</v>
      </c>
      <c r="H673" t="n">
        <v>1</v>
      </c>
      <c r="I673" t="n">
        <v>0</v>
      </c>
      <c r="J673" t="n">
        <v>0</v>
      </c>
      <c r="K673" t="n">
        <v>0</v>
      </c>
      <c r="L673" t="n">
        <v>0</v>
      </c>
      <c r="M673" t="n">
        <v>0</v>
      </c>
      <c r="N673" t="n">
        <v>0</v>
      </c>
      <c r="O673" t="n">
        <v>0</v>
      </c>
      <c r="P673" t="n">
        <v>0</v>
      </c>
      <c r="Q673" t="n">
        <v>1</v>
      </c>
      <c r="R673" s="2" t="inlineStr">
        <is>
          <t>Tjäder</t>
        </is>
      </c>
      <c r="S673">
        <f>HYPERLINK("https://klasma.github.io/Logging_2101/artfynd/A 9897-2026 artfynd.xlsx", "A 9897-2026")</f>
        <v/>
      </c>
      <c r="T673">
        <f>HYPERLINK("https://klasma.github.io/Logging_2101/kartor/A 9897-2026 karta.png", "A 9897-2026")</f>
        <v/>
      </c>
      <c r="V673">
        <f>HYPERLINK("https://klasma.github.io/Logging_2101/klagomål/A 9897-2026 FSC-klagomål.docx", "A 9897-2026")</f>
        <v/>
      </c>
      <c r="W673">
        <f>HYPERLINK("https://klasma.github.io/Logging_2101/klagomålsmail/A 9897-2026 FSC-klagomål mail.docx", "A 9897-2026")</f>
        <v/>
      </c>
      <c r="X673">
        <f>HYPERLINK("https://klasma.github.io/Logging_2101/tillsyn/A 9897-2026 tillsynsbegäran.docx", "A 9897-2026")</f>
        <v/>
      </c>
      <c r="Y673">
        <f>HYPERLINK("https://klasma.github.io/Logging_2101/tillsynsmail/A 9897-2026 tillsynsbegäran mail.docx", "A 9897-2026")</f>
        <v/>
      </c>
      <c r="Z673">
        <f>HYPERLINK("https://klasma.github.io/Logging_2101/fåglar/A 9897-2026 prioriterade fågelarter.docx", "A 9897-2026")</f>
        <v/>
      </c>
    </row>
    <row r="674" ht="15" customHeight="1">
      <c r="A674" t="inlineStr">
        <is>
          <t>A 10001-2026</t>
        </is>
      </c>
      <c r="B674" s="1" t="n">
        <v>46073.56230324074</v>
      </c>
      <c r="C674" s="1" t="n">
        <v>46086</v>
      </c>
      <c r="D674" t="inlineStr">
        <is>
          <t>GÄVLEBORGS LÄN</t>
        </is>
      </c>
      <c r="E674" t="inlineStr">
        <is>
          <t>OCKELBO</t>
        </is>
      </c>
      <c r="F674" t="inlineStr">
        <is>
          <t>Bergvik skog väst AB</t>
        </is>
      </c>
      <c r="G674" t="n">
        <v>6.8</v>
      </c>
      <c r="H674" t="n">
        <v>1</v>
      </c>
      <c r="I674" t="n">
        <v>0</v>
      </c>
      <c r="J674" t="n">
        <v>0</v>
      </c>
      <c r="K674" t="n">
        <v>0</v>
      </c>
      <c r="L674" t="n">
        <v>0</v>
      </c>
      <c r="M674" t="n">
        <v>0</v>
      </c>
      <c r="N674" t="n">
        <v>0</v>
      </c>
      <c r="O674" t="n">
        <v>0</v>
      </c>
      <c r="P674" t="n">
        <v>0</v>
      </c>
      <c r="Q674" t="n">
        <v>1</v>
      </c>
      <c r="R674" s="2" t="inlineStr">
        <is>
          <t>Lopplummer (aggregat)</t>
        </is>
      </c>
      <c r="S674">
        <f>HYPERLINK("https://klasma.github.io/Logging_2101/artfynd/A 10001-2026 artfynd.xlsx", "A 10001-2026")</f>
        <v/>
      </c>
      <c r="T674">
        <f>HYPERLINK("https://klasma.github.io/Logging_2101/kartor/A 10001-2026 karta.png", "A 10001-2026")</f>
        <v/>
      </c>
      <c r="V674">
        <f>HYPERLINK("https://klasma.github.io/Logging_2101/klagomål/A 10001-2026 FSC-klagomål.docx", "A 10001-2026")</f>
        <v/>
      </c>
      <c r="W674">
        <f>HYPERLINK("https://klasma.github.io/Logging_2101/klagomålsmail/A 10001-2026 FSC-klagomål mail.docx", "A 10001-2026")</f>
        <v/>
      </c>
      <c r="X674">
        <f>HYPERLINK("https://klasma.github.io/Logging_2101/tillsyn/A 10001-2026 tillsynsbegäran.docx", "A 10001-2026")</f>
        <v/>
      </c>
      <c r="Y674">
        <f>HYPERLINK("https://klasma.github.io/Logging_2101/tillsynsmail/A 10001-2026 tillsynsbegäran mail.docx", "A 10001-2026")</f>
        <v/>
      </c>
    </row>
    <row r="675" ht="15" customHeight="1">
      <c r="A675" t="inlineStr">
        <is>
          <t>A 54335-2024</t>
        </is>
      </c>
      <c r="B675" s="1" t="n">
        <v>45617.38313657408</v>
      </c>
      <c r="C675" s="1" t="n">
        <v>46086</v>
      </c>
      <c r="D675" t="inlineStr">
        <is>
          <t>GÄVLEBORGS LÄN</t>
        </is>
      </c>
      <c r="E675" t="inlineStr">
        <is>
          <t>SANDVIKEN</t>
        </is>
      </c>
      <c r="G675" t="n">
        <v>7</v>
      </c>
      <c r="H675" t="n">
        <v>1</v>
      </c>
      <c r="I675" t="n">
        <v>0</v>
      </c>
      <c r="J675" t="n">
        <v>0</v>
      </c>
      <c r="K675" t="n">
        <v>1</v>
      </c>
      <c r="L675" t="n">
        <v>0</v>
      </c>
      <c r="M675" t="n">
        <v>0</v>
      </c>
      <c r="N675" t="n">
        <v>0</v>
      </c>
      <c r="O675" t="n">
        <v>1</v>
      </c>
      <c r="P675" t="n">
        <v>1</v>
      </c>
      <c r="Q675" t="n">
        <v>1</v>
      </c>
      <c r="R675" s="2" t="inlineStr">
        <is>
          <t>Väddnätfjäril</t>
        </is>
      </c>
      <c r="S675">
        <f>HYPERLINK("https://klasma.github.io/Logging_2181/artfynd/A 54335-2024 artfynd.xlsx", "A 54335-2024")</f>
        <v/>
      </c>
      <c r="T675">
        <f>HYPERLINK("https://klasma.github.io/Logging_2181/kartor/A 54335-2024 karta.png", "A 54335-2024")</f>
        <v/>
      </c>
      <c r="V675">
        <f>HYPERLINK("https://klasma.github.io/Logging_2181/klagomål/A 54335-2024 FSC-klagomål.docx", "A 54335-2024")</f>
        <v/>
      </c>
      <c r="W675">
        <f>HYPERLINK("https://klasma.github.io/Logging_2181/klagomålsmail/A 54335-2024 FSC-klagomål mail.docx", "A 54335-2024")</f>
        <v/>
      </c>
      <c r="X675">
        <f>HYPERLINK("https://klasma.github.io/Logging_2181/tillsyn/A 54335-2024 tillsynsbegäran.docx", "A 54335-2024")</f>
        <v/>
      </c>
      <c r="Y675">
        <f>HYPERLINK("https://klasma.github.io/Logging_2181/tillsynsmail/A 54335-2024 tillsynsbegäran mail.docx", "A 54335-2024")</f>
        <v/>
      </c>
    </row>
    <row r="676" ht="15" customHeight="1">
      <c r="A676" t="inlineStr">
        <is>
          <t>A 687-2026</t>
        </is>
      </c>
      <c r="B676" s="1" t="n">
        <v>46029</v>
      </c>
      <c r="C676" s="1" t="n">
        <v>46086</v>
      </c>
      <c r="D676" t="inlineStr">
        <is>
          <t>GÄVLEBORGS LÄN</t>
        </is>
      </c>
      <c r="E676" t="inlineStr">
        <is>
          <t>HOFORS</t>
        </is>
      </c>
      <c r="G676" t="n">
        <v>6.8</v>
      </c>
      <c r="H676" t="n">
        <v>0</v>
      </c>
      <c r="I676" t="n">
        <v>0</v>
      </c>
      <c r="J676" t="n">
        <v>1</v>
      </c>
      <c r="K676" t="n">
        <v>0</v>
      </c>
      <c r="L676" t="n">
        <v>0</v>
      </c>
      <c r="M676" t="n">
        <v>0</v>
      </c>
      <c r="N676" t="n">
        <v>0</v>
      </c>
      <c r="O676" t="n">
        <v>1</v>
      </c>
      <c r="P676" t="n">
        <v>0</v>
      </c>
      <c r="Q676" t="n">
        <v>1</v>
      </c>
      <c r="R676" s="2" t="inlineStr">
        <is>
          <t>Brunklöver</t>
        </is>
      </c>
      <c r="S676">
        <f>HYPERLINK("https://klasma.github.io/Logging_2104/artfynd/A 687-2026 artfynd.xlsx", "A 687-2026")</f>
        <v/>
      </c>
      <c r="T676">
        <f>HYPERLINK("https://klasma.github.io/Logging_2104/kartor/A 687-2026 karta.png", "A 687-2026")</f>
        <v/>
      </c>
      <c r="V676">
        <f>HYPERLINK("https://klasma.github.io/Logging_2104/klagomål/A 687-2026 FSC-klagomål.docx", "A 687-2026")</f>
        <v/>
      </c>
      <c r="W676">
        <f>HYPERLINK("https://klasma.github.io/Logging_2104/klagomålsmail/A 687-2026 FSC-klagomål mail.docx", "A 687-2026")</f>
        <v/>
      </c>
      <c r="X676">
        <f>HYPERLINK("https://klasma.github.io/Logging_2104/tillsyn/A 687-2026 tillsynsbegäran.docx", "A 687-2026")</f>
        <v/>
      </c>
      <c r="Y676">
        <f>HYPERLINK("https://klasma.github.io/Logging_2104/tillsynsmail/A 687-2026 tillsynsbegäran mail.docx", "A 687-2026")</f>
        <v/>
      </c>
    </row>
    <row r="677" ht="15" customHeight="1">
      <c r="A677" t="inlineStr">
        <is>
          <t>A 9898-2026</t>
        </is>
      </c>
      <c r="B677" s="1" t="n">
        <v>46073.39332175926</v>
      </c>
      <c r="C677" s="1" t="n">
        <v>46086</v>
      </c>
      <c r="D677" t="inlineStr">
        <is>
          <t>GÄVLEBORGS LÄN</t>
        </is>
      </c>
      <c r="E677" t="inlineStr">
        <is>
          <t>OCKELBO</t>
        </is>
      </c>
      <c r="F677" t="inlineStr">
        <is>
          <t>Bergvik skog väst AB</t>
        </is>
      </c>
      <c r="G677" t="n">
        <v>13.3</v>
      </c>
      <c r="H677" t="n">
        <v>0</v>
      </c>
      <c r="I677" t="n">
        <v>0</v>
      </c>
      <c r="J677" t="n">
        <v>1</v>
      </c>
      <c r="K677" t="n">
        <v>0</v>
      </c>
      <c r="L677" t="n">
        <v>0</v>
      </c>
      <c r="M677" t="n">
        <v>0</v>
      </c>
      <c r="N677" t="n">
        <v>0</v>
      </c>
      <c r="O677" t="n">
        <v>1</v>
      </c>
      <c r="P677" t="n">
        <v>0</v>
      </c>
      <c r="Q677" t="n">
        <v>1</v>
      </c>
      <c r="R677" s="2" t="inlineStr">
        <is>
          <t>Lunglav</t>
        </is>
      </c>
      <c r="S677">
        <f>HYPERLINK("https://klasma.github.io/Logging_2101/artfynd/A 9898-2026 artfynd.xlsx", "A 9898-2026")</f>
        <v/>
      </c>
      <c r="T677">
        <f>HYPERLINK("https://klasma.github.io/Logging_2101/kartor/A 9898-2026 karta.png", "A 9898-2026")</f>
        <v/>
      </c>
      <c r="U677">
        <f>HYPERLINK("https://klasma.github.io/Logging_2101/knärot/A 9898-2026 karta knärot.png", "A 9898-2026")</f>
        <v/>
      </c>
      <c r="V677">
        <f>HYPERLINK("https://klasma.github.io/Logging_2101/klagomål/A 9898-2026 FSC-klagomål.docx", "A 9898-2026")</f>
        <v/>
      </c>
      <c r="W677">
        <f>HYPERLINK("https://klasma.github.io/Logging_2101/klagomålsmail/A 9898-2026 FSC-klagomål mail.docx", "A 9898-2026")</f>
        <v/>
      </c>
      <c r="X677">
        <f>HYPERLINK("https://klasma.github.io/Logging_2101/tillsyn/A 9898-2026 tillsynsbegäran.docx", "A 9898-2026")</f>
        <v/>
      </c>
      <c r="Y677">
        <f>HYPERLINK("https://klasma.github.io/Logging_2101/tillsynsmail/A 9898-2026 tillsynsbegäran mail.docx", "A 9898-2026")</f>
        <v/>
      </c>
    </row>
    <row r="678" ht="15" customHeight="1">
      <c r="A678" t="inlineStr">
        <is>
          <t>A 6855-2026</t>
        </is>
      </c>
      <c r="B678" s="1" t="n">
        <v>46057</v>
      </c>
      <c r="C678" s="1" t="n">
        <v>46086</v>
      </c>
      <c r="D678" t="inlineStr">
        <is>
          <t>GÄVLEBORGS LÄN</t>
        </is>
      </c>
      <c r="E678" t="inlineStr">
        <is>
          <t>OVANÅKER</t>
        </is>
      </c>
      <c r="G678" t="n">
        <v>3.9</v>
      </c>
      <c r="H678" t="n">
        <v>0</v>
      </c>
      <c r="I678" t="n">
        <v>0</v>
      </c>
      <c r="J678" t="n">
        <v>1</v>
      </c>
      <c r="K678" t="n">
        <v>0</v>
      </c>
      <c r="L678" t="n">
        <v>0</v>
      </c>
      <c r="M678" t="n">
        <v>0</v>
      </c>
      <c r="N678" t="n">
        <v>0</v>
      </c>
      <c r="O678" t="n">
        <v>1</v>
      </c>
      <c r="P678" t="n">
        <v>0</v>
      </c>
      <c r="Q678" t="n">
        <v>1</v>
      </c>
      <c r="R678" s="2" t="inlineStr">
        <is>
          <t>Skogshare</t>
        </is>
      </c>
      <c r="S678">
        <f>HYPERLINK("https://klasma.github.io/Logging_2121/artfynd/A 6855-2026 artfynd.xlsx", "A 6855-2026")</f>
        <v/>
      </c>
      <c r="T678">
        <f>HYPERLINK("https://klasma.github.io/Logging_2121/kartor/A 6855-2026 karta.png", "A 6855-2026")</f>
        <v/>
      </c>
      <c r="V678">
        <f>HYPERLINK("https://klasma.github.io/Logging_2121/klagomål/A 6855-2026 FSC-klagomål.docx", "A 6855-2026")</f>
        <v/>
      </c>
      <c r="W678">
        <f>HYPERLINK("https://klasma.github.io/Logging_2121/klagomålsmail/A 6855-2026 FSC-klagomål mail.docx", "A 6855-2026")</f>
        <v/>
      </c>
      <c r="X678">
        <f>HYPERLINK("https://klasma.github.io/Logging_2121/tillsyn/A 6855-2026 tillsynsbegäran.docx", "A 6855-2026")</f>
        <v/>
      </c>
      <c r="Y678">
        <f>HYPERLINK("https://klasma.github.io/Logging_2121/tillsynsmail/A 6855-2026 tillsynsbegäran mail.docx", "A 6855-2026")</f>
        <v/>
      </c>
    </row>
    <row r="679" ht="15" customHeight="1">
      <c r="A679" t="inlineStr">
        <is>
          <t>A 10440-2026</t>
        </is>
      </c>
      <c r="B679" s="1" t="n">
        <v>46077.4090162037</v>
      </c>
      <c r="C679" s="1" t="n">
        <v>46086</v>
      </c>
      <c r="D679" t="inlineStr">
        <is>
          <t>GÄVLEBORGS LÄN</t>
        </is>
      </c>
      <c r="E679" t="inlineStr">
        <is>
          <t>OCKELBO</t>
        </is>
      </c>
      <c r="F679" t="inlineStr">
        <is>
          <t>Bergvik skog väst AB</t>
        </is>
      </c>
      <c r="G679" t="n">
        <v>5.5</v>
      </c>
      <c r="H679" t="n">
        <v>1</v>
      </c>
      <c r="I679" t="n">
        <v>0</v>
      </c>
      <c r="J679" t="n">
        <v>0</v>
      </c>
      <c r="K679" t="n">
        <v>0</v>
      </c>
      <c r="L679" t="n">
        <v>0</v>
      </c>
      <c r="M679" t="n">
        <v>0</v>
      </c>
      <c r="N679" t="n">
        <v>0</v>
      </c>
      <c r="O679" t="n">
        <v>0</v>
      </c>
      <c r="P679" t="n">
        <v>0</v>
      </c>
      <c r="Q679" t="n">
        <v>1</v>
      </c>
      <c r="R679" s="2" t="inlineStr">
        <is>
          <t>Lopplummer (aggregat)</t>
        </is>
      </c>
      <c r="S679">
        <f>HYPERLINK("https://klasma.github.io/Logging_2101/artfynd/A 10440-2026 artfynd.xlsx", "A 10440-2026")</f>
        <v/>
      </c>
      <c r="T679">
        <f>HYPERLINK("https://klasma.github.io/Logging_2101/kartor/A 10440-2026 karta.png", "A 10440-2026")</f>
        <v/>
      </c>
      <c r="V679">
        <f>HYPERLINK("https://klasma.github.io/Logging_2101/klagomål/A 10440-2026 FSC-klagomål.docx", "A 10440-2026")</f>
        <v/>
      </c>
      <c r="W679">
        <f>HYPERLINK("https://klasma.github.io/Logging_2101/klagomålsmail/A 10440-2026 FSC-klagomål mail.docx", "A 10440-2026")</f>
        <v/>
      </c>
      <c r="X679">
        <f>HYPERLINK("https://klasma.github.io/Logging_2101/tillsyn/A 10440-2026 tillsynsbegäran.docx", "A 10440-2026")</f>
        <v/>
      </c>
      <c r="Y679">
        <f>HYPERLINK("https://klasma.github.io/Logging_2101/tillsynsmail/A 10440-2026 tillsynsbegäran mail.docx", "A 10440-2026")</f>
        <v/>
      </c>
    </row>
    <row r="680" ht="15" customHeight="1">
      <c r="A680" t="inlineStr">
        <is>
          <t>A 10484-2026</t>
        </is>
      </c>
      <c r="B680" s="1" t="n">
        <v>46077.51107638889</v>
      </c>
      <c r="C680" s="1" t="n">
        <v>46086</v>
      </c>
      <c r="D680" t="inlineStr">
        <is>
          <t>GÄVLEBORGS LÄN</t>
        </is>
      </c>
      <c r="E680" t="inlineStr">
        <is>
          <t>OCKELBO</t>
        </is>
      </c>
      <c r="G680" t="n">
        <v>1.8</v>
      </c>
      <c r="H680" t="n">
        <v>0</v>
      </c>
      <c r="I680" t="n">
        <v>0</v>
      </c>
      <c r="J680" t="n">
        <v>1</v>
      </c>
      <c r="K680" t="n">
        <v>0</v>
      </c>
      <c r="L680" t="n">
        <v>0</v>
      </c>
      <c r="M680" t="n">
        <v>0</v>
      </c>
      <c r="N680" t="n">
        <v>0</v>
      </c>
      <c r="O680" t="n">
        <v>1</v>
      </c>
      <c r="P680" t="n">
        <v>0</v>
      </c>
      <c r="Q680" t="n">
        <v>1</v>
      </c>
      <c r="R680" s="2" t="inlineStr">
        <is>
          <t>Ullticka</t>
        </is>
      </c>
      <c r="S680">
        <f>HYPERLINK("https://klasma.github.io/Logging_2101/artfynd/A 10484-2026 artfynd.xlsx", "A 10484-2026")</f>
        <v/>
      </c>
      <c r="T680">
        <f>HYPERLINK("https://klasma.github.io/Logging_2101/kartor/A 10484-2026 karta.png", "A 10484-2026")</f>
        <v/>
      </c>
      <c r="V680">
        <f>HYPERLINK("https://klasma.github.io/Logging_2101/klagomål/A 10484-2026 FSC-klagomål.docx", "A 10484-2026")</f>
        <v/>
      </c>
      <c r="W680">
        <f>HYPERLINK("https://klasma.github.io/Logging_2101/klagomålsmail/A 10484-2026 FSC-klagomål mail.docx", "A 10484-2026")</f>
        <v/>
      </c>
      <c r="X680">
        <f>HYPERLINK("https://klasma.github.io/Logging_2101/tillsyn/A 10484-2026 tillsynsbegäran.docx", "A 10484-2026")</f>
        <v/>
      </c>
      <c r="Y680">
        <f>HYPERLINK("https://klasma.github.io/Logging_2101/tillsynsmail/A 10484-2026 tillsynsbegäran mail.docx", "A 10484-2026")</f>
        <v/>
      </c>
    </row>
    <row r="681" ht="15" customHeight="1">
      <c r="A681" t="inlineStr">
        <is>
          <t>A 10113-2026</t>
        </is>
      </c>
      <c r="B681" s="1" t="n">
        <v>46074.83114583333</v>
      </c>
      <c r="C681" s="1" t="n">
        <v>46086</v>
      </c>
      <c r="D681" t="inlineStr">
        <is>
          <t>GÄVLEBORGS LÄN</t>
        </is>
      </c>
      <c r="E681" t="inlineStr">
        <is>
          <t>SANDVIKEN</t>
        </is>
      </c>
      <c r="F681" t="inlineStr">
        <is>
          <t>Sveaskog</t>
        </is>
      </c>
      <c r="G681" t="n">
        <v>1.3</v>
      </c>
      <c r="H681" t="n">
        <v>1</v>
      </c>
      <c r="I681" t="n">
        <v>0</v>
      </c>
      <c r="J681" t="n">
        <v>0</v>
      </c>
      <c r="K681" t="n">
        <v>0</v>
      </c>
      <c r="L681" t="n">
        <v>0</v>
      </c>
      <c r="M681" t="n">
        <v>0</v>
      </c>
      <c r="N681" t="n">
        <v>0</v>
      </c>
      <c r="O681" t="n">
        <v>0</v>
      </c>
      <c r="P681" t="n">
        <v>0</v>
      </c>
      <c r="Q681" t="n">
        <v>1</v>
      </c>
      <c r="R681" s="2" t="inlineStr">
        <is>
          <t>Fläcknycklar</t>
        </is>
      </c>
      <c r="S681">
        <f>HYPERLINK("https://klasma.github.io/Logging_2181/artfynd/A 10113-2026 artfynd.xlsx", "A 10113-2026")</f>
        <v/>
      </c>
      <c r="T681">
        <f>HYPERLINK("https://klasma.github.io/Logging_2181/kartor/A 10113-2026 karta.png", "A 10113-2026")</f>
        <v/>
      </c>
      <c r="V681">
        <f>HYPERLINK("https://klasma.github.io/Logging_2181/klagomål/A 10113-2026 FSC-klagomål.docx", "A 10113-2026")</f>
        <v/>
      </c>
      <c r="W681">
        <f>HYPERLINK("https://klasma.github.io/Logging_2181/klagomålsmail/A 10113-2026 FSC-klagomål mail.docx", "A 10113-2026")</f>
        <v/>
      </c>
      <c r="X681">
        <f>HYPERLINK("https://klasma.github.io/Logging_2181/tillsyn/A 10113-2026 tillsynsbegäran.docx", "A 10113-2026")</f>
        <v/>
      </c>
      <c r="Y681">
        <f>HYPERLINK("https://klasma.github.io/Logging_2181/tillsynsmail/A 10113-2026 tillsynsbegäran mail.docx", "A 10113-2026")</f>
        <v/>
      </c>
    </row>
    <row r="682" ht="15" customHeight="1">
      <c r="A682" t="inlineStr">
        <is>
          <t>A 10537-2026</t>
        </is>
      </c>
      <c r="B682" s="1" t="n">
        <v>46077.60021990741</v>
      </c>
      <c r="C682" s="1" t="n">
        <v>46086</v>
      </c>
      <c r="D682" t="inlineStr">
        <is>
          <t>GÄVLEBORGS LÄN</t>
        </is>
      </c>
      <c r="E682" t="inlineStr">
        <is>
          <t>HUDIKSVALL</t>
        </is>
      </c>
      <c r="F682" t="inlineStr">
        <is>
          <t>Holmen skog AB</t>
        </is>
      </c>
      <c r="G682" t="n">
        <v>2.7</v>
      </c>
      <c r="H682" t="n">
        <v>0</v>
      </c>
      <c r="I682" t="n">
        <v>0</v>
      </c>
      <c r="J682" t="n">
        <v>1</v>
      </c>
      <c r="K682" t="n">
        <v>0</v>
      </c>
      <c r="L682" t="n">
        <v>0</v>
      </c>
      <c r="M682" t="n">
        <v>0</v>
      </c>
      <c r="N682" t="n">
        <v>0</v>
      </c>
      <c r="O682" t="n">
        <v>1</v>
      </c>
      <c r="P682" t="n">
        <v>0</v>
      </c>
      <c r="Q682" t="n">
        <v>1</v>
      </c>
      <c r="R682" s="2" t="inlineStr">
        <is>
          <t>Igelkott</t>
        </is>
      </c>
      <c r="S682">
        <f>HYPERLINK("https://klasma.github.io/Logging_2184/artfynd/A 10537-2026 artfynd.xlsx", "A 10537-2026")</f>
        <v/>
      </c>
      <c r="T682">
        <f>HYPERLINK("https://klasma.github.io/Logging_2184/kartor/A 10537-2026 karta.png", "A 10537-2026")</f>
        <v/>
      </c>
      <c r="V682">
        <f>HYPERLINK("https://klasma.github.io/Logging_2184/klagomål/A 10537-2026 FSC-klagomål.docx", "A 10537-2026")</f>
        <v/>
      </c>
      <c r="W682">
        <f>HYPERLINK("https://klasma.github.io/Logging_2184/klagomålsmail/A 10537-2026 FSC-klagomål mail.docx", "A 10537-2026")</f>
        <v/>
      </c>
      <c r="X682">
        <f>HYPERLINK("https://klasma.github.io/Logging_2184/tillsyn/A 10537-2026 tillsynsbegäran.docx", "A 10537-2026")</f>
        <v/>
      </c>
      <c r="Y682">
        <f>HYPERLINK("https://klasma.github.io/Logging_2184/tillsynsmail/A 10537-2026 tillsynsbegäran mail.docx", "A 10537-2026")</f>
        <v/>
      </c>
    </row>
    <row r="683" ht="15" customHeight="1">
      <c r="A683" t="inlineStr">
        <is>
          <t>A 10133-2026</t>
        </is>
      </c>
      <c r="B683" s="1" t="n">
        <v>46076</v>
      </c>
      <c r="C683" s="1" t="n">
        <v>46086</v>
      </c>
      <c r="D683" t="inlineStr">
        <is>
          <t>GÄVLEBORGS LÄN</t>
        </is>
      </c>
      <c r="E683" t="inlineStr">
        <is>
          <t>SÖDERHAMN</t>
        </is>
      </c>
      <c r="G683" t="n">
        <v>1.1</v>
      </c>
      <c r="H683" t="n">
        <v>1</v>
      </c>
      <c r="I683" t="n">
        <v>0</v>
      </c>
      <c r="J683" t="n">
        <v>0</v>
      </c>
      <c r="K683" t="n">
        <v>0</v>
      </c>
      <c r="L683" t="n">
        <v>0</v>
      </c>
      <c r="M683" t="n">
        <v>0</v>
      </c>
      <c r="N683" t="n">
        <v>0</v>
      </c>
      <c r="O683" t="n">
        <v>0</v>
      </c>
      <c r="P683" t="n">
        <v>0</v>
      </c>
      <c r="Q683" t="n">
        <v>1</v>
      </c>
      <c r="R683" s="2" t="inlineStr">
        <is>
          <t>Tjäder</t>
        </is>
      </c>
      <c r="S683">
        <f>HYPERLINK("https://klasma.github.io/Logging_2182/artfynd/A 10133-2026 artfynd.xlsx", "A 10133-2026")</f>
        <v/>
      </c>
      <c r="T683">
        <f>HYPERLINK("https://klasma.github.io/Logging_2182/kartor/A 10133-2026 karta.png", "A 10133-2026")</f>
        <v/>
      </c>
      <c r="V683">
        <f>HYPERLINK("https://klasma.github.io/Logging_2182/klagomål/A 10133-2026 FSC-klagomål.docx", "A 10133-2026")</f>
        <v/>
      </c>
      <c r="W683">
        <f>HYPERLINK("https://klasma.github.io/Logging_2182/klagomålsmail/A 10133-2026 FSC-klagomål mail.docx", "A 10133-2026")</f>
        <v/>
      </c>
      <c r="X683">
        <f>HYPERLINK("https://klasma.github.io/Logging_2182/tillsyn/A 10133-2026 tillsynsbegäran.docx", "A 10133-2026")</f>
        <v/>
      </c>
      <c r="Y683">
        <f>HYPERLINK("https://klasma.github.io/Logging_2182/tillsynsmail/A 10133-2026 tillsynsbegäran mail.docx", "A 10133-2026")</f>
        <v/>
      </c>
      <c r="Z683">
        <f>HYPERLINK("https://klasma.github.io/Logging_2182/fåglar/A 10133-2026 prioriterade fågelarter.docx", "A 10133-2026")</f>
        <v/>
      </c>
    </row>
    <row r="684" ht="15" customHeight="1">
      <c r="A684" t="inlineStr">
        <is>
          <t>A 1708-2026</t>
        </is>
      </c>
      <c r="B684" s="1" t="n">
        <v>46034.60042824074</v>
      </c>
      <c r="C684" s="1" t="n">
        <v>46086</v>
      </c>
      <c r="D684" t="inlineStr">
        <is>
          <t>GÄVLEBORGS LÄN</t>
        </is>
      </c>
      <c r="E684" t="inlineStr">
        <is>
          <t>NORDANSTIG</t>
        </is>
      </c>
      <c r="G684" t="n">
        <v>8.699999999999999</v>
      </c>
      <c r="H684" t="n">
        <v>1</v>
      </c>
      <c r="I684" t="n">
        <v>0</v>
      </c>
      <c r="J684" t="n">
        <v>0</v>
      </c>
      <c r="K684" t="n">
        <v>0</v>
      </c>
      <c r="L684" t="n">
        <v>0</v>
      </c>
      <c r="M684" t="n">
        <v>0</v>
      </c>
      <c r="N684" t="n">
        <v>0</v>
      </c>
      <c r="O684" t="n">
        <v>0</v>
      </c>
      <c r="P684" t="n">
        <v>0</v>
      </c>
      <c r="Q684" t="n">
        <v>1</v>
      </c>
      <c r="R684" s="2" t="inlineStr">
        <is>
          <t>Fläcknycklar</t>
        </is>
      </c>
      <c r="S684">
        <f>HYPERLINK("https://klasma.github.io/Logging_2132/artfynd/A 1708-2026 artfynd.xlsx", "A 1708-2026")</f>
        <v/>
      </c>
      <c r="T684">
        <f>HYPERLINK("https://klasma.github.io/Logging_2132/kartor/A 1708-2026 karta.png", "A 1708-2026")</f>
        <v/>
      </c>
      <c r="V684">
        <f>HYPERLINK("https://klasma.github.io/Logging_2132/klagomål/A 1708-2026 FSC-klagomål.docx", "A 1708-2026")</f>
        <v/>
      </c>
      <c r="W684">
        <f>HYPERLINK("https://klasma.github.io/Logging_2132/klagomålsmail/A 1708-2026 FSC-klagomål mail.docx", "A 1708-2026")</f>
        <v/>
      </c>
      <c r="X684">
        <f>HYPERLINK("https://klasma.github.io/Logging_2132/tillsyn/A 1708-2026 tillsynsbegäran.docx", "A 1708-2026")</f>
        <v/>
      </c>
      <c r="Y684">
        <f>HYPERLINK("https://klasma.github.io/Logging_2132/tillsynsmail/A 1708-2026 tillsynsbegäran mail.docx", "A 1708-2026")</f>
        <v/>
      </c>
    </row>
    <row r="685" ht="15" customHeight="1">
      <c r="A685" t="inlineStr">
        <is>
          <t>A 10448-2026</t>
        </is>
      </c>
      <c r="B685" s="1" t="n">
        <v>46077.43590277778</v>
      </c>
      <c r="C685" s="1" t="n">
        <v>46086</v>
      </c>
      <c r="D685" t="inlineStr">
        <is>
          <t>GÄVLEBORGS LÄN</t>
        </is>
      </c>
      <c r="E685" t="inlineStr">
        <is>
          <t>OCKELBO</t>
        </is>
      </c>
      <c r="F685" t="inlineStr">
        <is>
          <t>Bergvik skog väst AB</t>
        </is>
      </c>
      <c r="G685" t="n">
        <v>3.6</v>
      </c>
      <c r="H685" t="n">
        <v>1</v>
      </c>
      <c r="I685" t="n">
        <v>1</v>
      </c>
      <c r="J685" t="n">
        <v>0</v>
      </c>
      <c r="K685" t="n">
        <v>0</v>
      </c>
      <c r="L685" t="n">
        <v>0</v>
      </c>
      <c r="M685" t="n">
        <v>0</v>
      </c>
      <c r="N685" t="n">
        <v>0</v>
      </c>
      <c r="O685" t="n">
        <v>0</v>
      </c>
      <c r="P685" t="n">
        <v>0</v>
      </c>
      <c r="Q685" t="n">
        <v>1</v>
      </c>
      <c r="R685" s="2" t="inlineStr">
        <is>
          <t>Plattlummer</t>
        </is>
      </c>
      <c r="S685">
        <f>HYPERLINK("https://klasma.github.io/Logging_2101/artfynd/A 10448-2026 artfynd.xlsx", "A 10448-2026")</f>
        <v/>
      </c>
      <c r="T685">
        <f>HYPERLINK("https://klasma.github.io/Logging_2101/kartor/A 10448-2026 karta.png", "A 10448-2026")</f>
        <v/>
      </c>
      <c r="V685">
        <f>HYPERLINK("https://klasma.github.io/Logging_2101/klagomål/A 10448-2026 FSC-klagomål.docx", "A 10448-2026")</f>
        <v/>
      </c>
      <c r="W685">
        <f>HYPERLINK("https://klasma.github.io/Logging_2101/klagomålsmail/A 10448-2026 FSC-klagomål mail.docx", "A 10448-2026")</f>
        <v/>
      </c>
      <c r="X685">
        <f>HYPERLINK("https://klasma.github.io/Logging_2101/tillsyn/A 10448-2026 tillsynsbegäran.docx", "A 10448-2026")</f>
        <v/>
      </c>
      <c r="Y685">
        <f>HYPERLINK("https://klasma.github.io/Logging_2101/tillsynsmail/A 10448-2026 tillsynsbegäran mail.docx", "A 10448-2026")</f>
        <v/>
      </c>
    </row>
    <row r="686" ht="15" customHeight="1">
      <c r="A686" t="inlineStr">
        <is>
          <t>A 47459-2023</t>
        </is>
      </c>
      <c r="B686" s="1" t="n">
        <v>45202.83313657407</v>
      </c>
      <c r="C686" s="1" t="n">
        <v>46086</v>
      </c>
      <c r="D686" t="inlineStr">
        <is>
          <t>GÄVLEBORGS LÄN</t>
        </is>
      </c>
      <c r="E686" t="inlineStr">
        <is>
          <t>HOFORS</t>
        </is>
      </c>
      <c r="G686" t="n">
        <v>6</v>
      </c>
      <c r="H686" t="n">
        <v>0</v>
      </c>
      <c r="I686" t="n">
        <v>1</v>
      </c>
      <c r="J686" t="n">
        <v>0</v>
      </c>
      <c r="K686" t="n">
        <v>0</v>
      </c>
      <c r="L686" t="n">
        <v>0</v>
      </c>
      <c r="M686" t="n">
        <v>0</v>
      </c>
      <c r="N686" t="n">
        <v>0</v>
      </c>
      <c r="O686" t="n">
        <v>0</v>
      </c>
      <c r="P686" t="n">
        <v>0</v>
      </c>
      <c r="Q686" t="n">
        <v>1</v>
      </c>
      <c r="R686" s="2" t="inlineStr">
        <is>
          <t>Grönpyrola</t>
        </is>
      </c>
      <c r="S686">
        <f>HYPERLINK("https://klasma.github.io/Logging_2104/artfynd/A 47459-2023 artfynd.xlsx", "A 47459-2023")</f>
        <v/>
      </c>
      <c r="T686">
        <f>HYPERLINK("https://klasma.github.io/Logging_2104/kartor/A 47459-2023 karta.png", "A 47459-2023")</f>
        <v/>
      </c>
      <c r="V686">
        <f>HYPERLINK("https://klasma.github.io/Logging_2104/klagomål/A 47459-2023 FSC-klagomål.docx", "A 47459-2023")</f>
        <v/>
      </c>
      <c r="W686">
        <f>HYPERLINK("https://klasma.github.io/Logging_2104/klagomålsmail/A 47459-2023 FSC-klagomål mail.docx", "A 47459-2023")</f>
        <v/>
      </c>
      <c r="X686">
        <f>HYPERLINK("https://klasma.github.io/Logging_2104/tillsyn/A 47459-2023 tillsynsbegäran.docx", "A 47459-2023")</f>
        <v/>
      </c>
      <c r="Y686">
        <f>HYPERLINK("https://klasma.github.io/Logging_2104/tillsynsmail/A 47459-2023 tillsynsbegäran mail.docx", "A 47459-2023")</f>
        <v/>
      </c>
    </row>
    <row r="687" ht="15" customHeight="1">
      <c r="A687" t="inlineStr">
        <is>
          <t>A 10454-2026</t>
        </is>
      </c>
      <c r="B687" s="1" t="n">
        <v>46077.44983796297</v>
      </c>
      <c r="C687" s="1" t="n">
        <v>46086</v>
      </c>
      <c r="D687" t="inlineStr">
        <is>
          <t>GÄVLEBORGS LÄN</t>
        </is>
      </c>
      <c r="E687" t="inlineStr">
        <is>
          <t>OCKELBO</t>
        </is>
      </c>
      <c r="F687" t="inlineStr">
        <is>
          <t>Bergvik skog väst AB</t>
        </is>
      </c>
      <c r="G687" t="n">
        <v>10.1</v>
      </c>
      <c r="H687" t="n">
        <v>1</v>
      </c>
      <c r="I687" t="n">
        <v>0</v>
      </c>
      <c r="J687" t="n">
        <v>0</v>
      </c>
      <c r="K687" t="n">
        <v>0</v>
      </c>
      <c r="L687" t="n">
        <v>0</v>
      </c>
      <c r="M687" t="n">
        <v>0</v>
      </c>
      <c r="N687" t="n">
        <v>0</v>
      </c>
      <c r="O687" t="n">
        <v>0</v>
      </c>
      <c r="P687" t="n">
        <v>0</v>
      </c>
      <c r="Q687" t="n">
        <v>1</v>
      </c>
      <c r="R687" s="2" t="inlineStr">
        <is>
          <t>Fläcknycklar</t>
        </is>
      </c>
      <c r="S687">
        <f>HYPERLINK("https://klasma.github.io/Logging_2101/artfynd/A 10454-2026 artfynd.xlsx", "A 10454-2026")</f>
        <v/>
      </c>
      <c r="T687">
        <f>HYPERLINK("https://klasma.github.io/Logging_2101/kartor/A 10454-2026 karta.png", "A 10454-2026")</f>
        <v/>
      </c>
      <c r="V687">
        <f>HYPERLINK("https://klasma.github.io/Logging_2101/klagomål/A 10454-2026 FSC-klagomål.docx", "A 10454-2026")</f>
        <v/>
      </c>
      <c r="W687">
        <f>HYPERLINK("https://klasma.github.io/Logging_2101/klagomålsmail/A 10454-2026 FSC-klagomål mail.docx", "A 10454-2026")</f>
        <v/>
      </c>
      <c r="X687">
        <f>HYPERLINK("https://klasma.github.io/Logging_2101/tillsyn/A 10454-2026 tillsynsbegäran.docx", "A 10454-2026")</f>
        <v/>
      </c>
      <c r="Y687">
        <f>HYPERLINK("https://klasma.github.io/Logging_2101/tillsynsmail/A 10454-2026 tillsynsbegäran mail.docx", "A 10454-2026")</f>
        <v/>
      </c>
    </row>
    <row r="688" ht="15" customHeight="1">
      <c r="A688" t="inlineStr">
        <is>
          <t>A 37635-2024</t>
        </is>
      </c>
      <c r="B688" s="1" t="n">
        <v>45541</v>
      </c>
      <c r="C688" s="1" t="n">
        <v>46086</v>
      </c>
      <c r="D688" t="inlineStr">
        <is>
          <t>GÄVLEBORGS LÄN</t>
        </is>
      </c>
      <c r="E688" t="inlineStr">
        <is>
          <t>SANDVIKEN</t>
        </is>
      </c>
      <c r="F688" t="inlineStr">
        <is>
          <t>Sveaskog</t>
        </is>
      </c>
      <c r="G688" t="n">
        <v>25</v>
      </c>
      <c r="H688" t="n">
        <v>1</v>
      </c>
      <c r="I688" t="n">
        <v>0</v>
      </c>
      <c r="J688" t="n">
        <v>1</v>
      </c>
      <c r="K688" t="n">
        <v>0</v>
      </c>
      <c r="L688" t="n">
        <v>0</v>
      </c>
      <c r="M688" t="n">
        <v>0</v>
      </c>
      <c r="N688" t="n">
        <v>0</v>
      </c>
      <c r="O688" t="n">
        <v>1</v>
      </c>
      <c r="P688" t="n">
        <v>0</v>
      </c>
      <c r="Q688" t="n">
        <v>1</v>
      </c>
      <c r="R688" s="2" t="inlineStr">
        <is>
          <t>Talltita</t>
        </is>
      </c>
      <c r="S688">
        <f>HYPERLINK("https://klasma.github.io/Logging_2181/artfynd/A 37635-2024 artfynd.xlsx", "A 37635-2024")</f>
        <v/>
      </c>
      <c r="T688">
        <f>HYPERLINK("https://klasma.github.io/Logging_2181/kartor/A 37635-2024 karta.png", "A 37635-2024")</f>
        <v/>
      </c>
      <c r="V688">
        <f>HYPERLINK("https://klasma.github.io/Logging_2181/klagomål/A 37635-2024 FSC-klagomål.docx", "A 37635-2024")</f>
        <v/>
      </c>
      <c r="W688">
        <f>HYPERLINK("https://klasma.github.io/Logging_2181/klagomålsmail/A 37635-2024 FSC-klagomål mail.docx", "A 37635-2024")</f>
        <v/>
      </c>
      <c r="X688">
        <f>HYPERLINK("https://klasma.github.io/Logging_2181/tillsyn/A 37635-2024 tillsynsbegäran.docx", "A 37635-2024")</f>
        <v/>
      </c>
      <c r="Y688">
        <f>HYPERLINK("https://klasma.github.io/Logging_2181/tillsynsmail/A 37635-2024 tillsynsbegäran mail.docx", "A 37635-2024")</f>
        <v/>
      </c>
      <c r="Z688">
        <f>HYPERLINK("https://klasma.github.io/Logging_2181/fåglar/A 37635-2024 prioriterade fågelarter.docx", "A 37635-2024")</f>
        <v/>
      </c>
    </row>
    <row r="689" ht="15" customHeight="1">
      <c r="A689" t="inlineStr">
        <is>
          <t>A 2254-2025</t>
        </is>
      </c>
      <c r="B689" s="1" t="n">
        <v>45673.50789351852</v>
      </c>
      <c r="C689" s="1" t="n">
        <v>46086</v>
      </c>
      <c r="D689" t="inlineStr">
        <is>
          <t>GÄVLEBORGS LÄN</t>
        </is>
      </c>
      <c r="E689" t="inlineStr">
        <is>
          <t>NORDANSTIG</t>
        </is>
      </c>
      <c r="F689" t="inlineStr">
        <is>
          <t>Holmen skog AB</t>
        </is>
      </c>
      <c r="G689" t="n">
        <v>1.3</v>
      </c>
      <c r="H689" t="n">
        <v>1</v>
      </c>
      <c r="I689" t="n">
        <v>0</v>
      </c>
      <c r="J689" t="n">
        <v>0</v>
      </c>
      <c r="K689" t="n">
        <v>0</v>
      </c>
      <c r="L689" t="n">
        <v>1</v>
      </c>
      <c r="M689" t="n">
        <v>0</v>
      </c>
      <c r="N689" t="n">
        <v>0</v>
      </c>
      <c r="O689" t="n">
        <v>1</v>
      </c>
      <c r="P689" t="n">
        <v>1</v>
      </c>
      <c r="Q689" t="n">
        <v>1</v>
      </c>
      <c r="R689" s="2" t="inlineStr">
        <is>
          <t>Bredgentiana</t>
        </is>
      </c>
      <c r="S689">
        <f>HYPERLINK("https://klasma.github.io/Logging_2132/artfynd/A 2254-2025 artfynd.xlsx", "A 2254-2025")</f>
        <v/>
      </c>
      <c r="T689">
        <f>HYPERLINK("https://klasma.github.io/Logging_2132/kartor/A 2254-2025 karta.png", "A 2254-2025")</f>
        <v/>
      </c>
      <c r="V689">
        <f>HYPERLINK("https://klasma.github.io/Logging_2132/klagomål/A 2254-2025 FSC-klagomål.docx", "A 2254-2025")</f>
        <v/>
      </c>
      <c r="W689">
        <f>HYPERLINK("https://klasma.github.io/Logging_2132/klagomålsmail/A 2254-2025 FSC-klagomål mail.docx", "A 2254-2025")</f>
        <v/>
      </c>
      <c r="X689">
        <f>HYPERLINK("https://klasma.github.io/Logging_2132/tillsyn/A 2254-2025 tillsynsbegäran.docx", "A 2254-2025")</f>
        <v/>
      </c>
      <c r="Y689">
        <f>HYPERLINK("https://klasma.github.io/Logging_2132/tillsynsmail/A 2254-2025 tillsynsbegäran mail.docx", "A 2254-2025")</f>
        <v/>
      </c>
    </row>
    <row r="690" ht="15" customHeight="1">
      <c r="A690" t="inlineStr">
        <is>
          <t>A 33298-2023</t>
        </is>
      </c>
      <c r="B690" s="1" t="n">
        <v>45127</v>
      </c>
      <c r="C690" s="1" t="n">
        <v>46086</v>
      </c>
      <c r="D690" t="inlineStr">
        <is>
          <t>GÄVLEBORGS LÄN</t>
        </is>
      </c>
      <c r="E690" t="inlineStr">
        <is>
          <t>HOFORS</t>
        </is>
      </c>
      <c r="F690" t="inlineStr">
        <is>
          <t>Sveaskog</t>
        </is>
      </c>
      <c r="G690" t="n">
        <v>5.6</v>
      </c>
      <c r="H690" t="n">
        <v>0</v>
      </c>
      <c r="I690" t="n">
        <v>1</v>
      </c>
      <c r="J690" t="n">
        <v>0</v>
      </c>
      <c r="K690" t="n">
        <v>0</v>
      </c>
      <c r="L690" t="n">
        <v>0</v>
      </c>
      <c r="M690" t="n">
        <v>0</v>
      </c>
      <c r="N690" t="n">
        <v>0</v>
      </c>
      <c r="O690" t="n">
        <v>0</v>
      </c>
      <c r="P690" t="n">
        <v>0</v>
      </c>
      <c r="Q690" t="n">
        <v>1</v>
      </c>
      <c r="R690" s="2" t="inlineStr">
        <is>
          <t>Vedticka</t>
        </is>
      </c>
      <c r="S690">
        <f>HYPERLINK("https://klasma.github.io/Logging_2104/artfynd/A 33298-2023 artfynd.xlsx", "A 33298-2023")</f>
        <v/>
      </c>
      <c r="T690">
        <f>HYPERLINK("https://klasma.github.io/Logging_2104/kartor/A 33298-2023 karta.png", "A 33298-2023")</f>
        <v/>
      </c>
      <c r="V690">
        <f>HYPERLINK("https://klasma.github.io/Logging_2104/klagomål/A 33298-2023 FSC-klagomål.docx", "A 33298-2023")</f>
        <v/>
      </c>
      <c r="W690">
        <f>HYPERLINK("https://klasma.github.io/Logging_2104/klagomålsmail/A 33298-2023 FSC-klagomål mail.docx", "A 33298-2023")</f>
        <v/>
      </c>
      <c r="X690">
        <f>HYPERLINK("https://klasma.github.io/Logging_2104/tillsyn/A 33298-2023 tillsynsbegäran.docx", "A 33298-2023")</f>
        <v/>
      </c>
      <c r="Y690">
        <f>HYPERLINK("https://klasma.github.io/Logging_2104/tillsynsmail/A 33298-2023 tillsynsbegäran mail.docx", "A 33298-2023")</f>
        <v/>
      </c>
    </row>
    <row r="691" ht="15" customHeight="1">
      <c r="A691" t="inlineStr">
        <is>
          <t>A 25145-2024</t>
        </is>
      </c>
      <c r="B691" s="1" t="n">
        <v>45462.49670138889</v>
      </c>
      <c r="C691" s="1" t="n">
        <v>46086</v>
      </c>
      <c r="D691" t="inlineStr">
        <is>
          <t>GÄVLEBORGS LÄN</t>
        </is>
      </c>
      <c r="E691" t="inlineStr">
        <is>
          <t>HUDIKSVALL</t>
        </is>
      </c>
      <c r="F691" t="inlineStr">
        <is>
          <t>Sveaskog</t>
        </is>
      </c>
      <c r="G691" t="n">
        <v>2.3</v>
      </c>
      <c r="H691" t="n">
        <v>1</v>
      </c>
      <c r="I691" t="n">
        <v>0</v>
      </c>
      <c r="J691" t="n">
        <v>0</v>
      </c>
      <c r="K691" t="n">
        <v>0</v>
      </c>
      <c r="L691" t="n">
        <v>0</v>
      </c>
      <c r="M691" t="n">
        <v>0</v>
      </c>
      <c r="N691" t="n">
        <v>0</v>
      </c>
      <c r="O691" t="n">
        <v>0</v>
      </c>
      <c r="P691" t="n">
        <v>0</v>
      </c>
      <c r="Q691" t="n">
        <v>1</v>
      </c>
      <c r="R691" s="2" t="inlineStr">
        <is>
          <t>Skogsödla</t>
        </is>
      </c>
      <c r="S691">
        <f>HYPERLINK("https://klasma.github.io/Logging_2184/artfynd/A 25145-2024 artfynd.xlsx", "A 25145-2024")</f>
        <v/>
      </c>
      <c r="T691">
        <f>HYPERLINK("https://klasma.github.io/Logging_2184/kartor/A 25145-2024 karta.png", "A 25145-2024")</f>
        <v/>
      </c>
      <c r="V691">
        <f>HYPERLINK("https://klasma.github.io/Logging_2184/klagomål/A 25145-2024 FSC-klagomål.docx", "A 25145-2024")</f>
        <v/>
      </c>
      <c r="W691">
        <f>HYPERLINK("https://klasma.github.io/Logging_2184/klagomålsmail/A 25145-2024 FSC-klagomål mail.docx", "A 25145-2024")</f>
        <v/>
      </c>
      <c r="X691">
        <f>HYPERLINK("https://klasma.github.io/Logging_2184/tillsyn/A 25145-2024 tillsynsbegäran.docx", "A 25145-2024")</f>
        <v/>
      </c>
      <c r="Y691">
        <f>HYPERLINK("https://klasma.github.io/Logging_2184/tillsynsmail/A 25145-2024 tillsynsbegäran mail.docx", "A 25145-2024")</f>
        <v/>
      </c>
    </row>
    <row r="692" ht="15" customHeight="1">
      <c r="A692" t="inlineStr">
        <is>
          <t>A 12817-2025</t>
        </is>
      </c>
      <c r="B692" s="1" t="n">
        <v>45733.62414351852</v>
      </c>
      <c r="C692" s="1" t="n">
        <v>46086</v>
      </c>
      <c r="D692" t="inlineStr">
        <is>
          <t>GÄVLEBORGS LÄN</t>
        </is>
      </c>
      <c r="E692" t="inlineStr">
        <is>
          <t>BOLLNÄS</t>
        </is>
      </c>
      <c r="G692" t="n">
        <v>1.8</v>
      </c>
      <c r="H692" t="n">
        <v>0</v>
      </c>
      <c r="I692" t="n">
        <v>1</v>
      </c>
      <c r="J692" t="n">
        <v>0</v>
      </c>
      <c r="K692" t="n">
        <v>0</v>
      </c>
      <c r="L692" t="n">
        <v>0</v>
      </c>
      <c r="M692" t="n">
        <v>0</v>
      </c>
      <c r="N692" t="n">
        <v>0</v>
      </c>
      <c r="O692" t="n">
        <v>0</v>
      </c>
      <c r="P692" t="n">
        <v>0</v>
      </c>
      <c r="Q692" t="n">
        <v>1</v>
      </c>
      <c r="R692" s="2" t="inlineStr">
        <is>
          <t>Dropptaggsvamp</t>
        </is>
      </c>
      <c r="S692">
        <f>HYPERLINK("https://klasma.github.io/Logging_2183/artfynd/A 12817-2025 artfynd.xlsx", "A 12817-2025")</f>
        <v/>
      </c>
      <c r="T692">
        <f>HYPERLINK("https://klasma.github.io/Logging_2183/kartor/A 12817-2025 karta.png", "A 12817-2025")</f>
        <v/>
      </c>
      <c r="V692">
        <f>HYPERLINK("https://klasma.github.io/Logging_2183/klagomål/A 12817-2025 FSC-klagomål.docx", "A 12817-2025")</f>
        <v/>
      </c>
      <c r="W692">
        <f>HYPERLINK("https://klasma.github.io/Logging_2183/klagomålsmail/A 12817-2025 FSC-klagomål mail.docx", "A 12817-2025")</f>
        <v/>
      </c>
      <c r="X692">
        <f>HYPERLINK("https://klasma.github.io/Logging_2183/tillsyn/A 12817-2025 tillsynsbegäran.docx", "A 12817-2025")</f>
        <v/>
      </c>
      <c r="Y692">
        <f>HYPERLINK("https://klasma.github.io/Logging_2183/tillsynsmail/A 12817-2025 tillsynsbegäran mail.docx", "A 12817-2025")</f>
        <v/>
      </c>
    </row>
    <row r="693" ht="15" customHeight="1">
      <c r="A693" t="inlineStr">
        <is>
          <t>A 18215-2024</t>
        </is>
      </c>
      <c r="B693" s="1" t="n">
        <v>45420</v>
      </c>
      <c r="C693" s="1" t="n">
        <v>46086</v>
      </c>
      <c r="D693" t="inlineStr">
        <is>
          <t>GÄVLEBORGS LÄN</t>
        </is>
      </c>
      <c r="E693" t="inlineStr">
        <is>
          <t>GÄVLE</t>
        </is>
      </c>
      <c r="F693" t="inlineStr">
        <is>
          <t>Bergvik skog väst AB</t>
        </is>
      </c>
      <c r="G693" t="n">
        <v>68.59999999999999</v>
      </c>
      <c r="H693" t="n">
        <v>1</v>
      </c>
      <c r="I693" t="n">
        <v>0</v>
      </c>
      <c r="J693" t="n">
        <v>0</v>
      </c>
      <c r="K693" t="n">
        <v>0</v>
      </c>
      <c r="L693" t="n">
        <v>0</v>
      </c>
      <c r="M693" t="n">
        <v>0</v>
      </c>
      <c r="N693" t="n">
        <v>0</v>
      </c>
      <c r="O693" t="n">
        <v>0</v>
      </c>
      <c r="P693" t="n">
        <v>0</v>
      </c>
      <c r="Q693" t="n">
        <v>1</v>
      </c>
      <c r="R693" s="2" t="inlineStr">
        <is>
          <t>Huggorm</t>
        </is>
      </c>
      <c r="S693">
        <f>HYPERLINK("https://klasma.github.io/Logging_2180/artfynd/A 18215-2024 artfynd.xlsx", "A 18215-2024")</f>
        <v/>
      </c>
      <c r="T693">
        <f>HYPERLINK("https://klasma.github.io/Logging_2180/kartor/A 18215-2024 karta.png", "A 18215-2024")</f>
        <v/>
      </c>
      <c r="V693">
        <f>HYPERLINK("https://klasma.github.io/Logging_2180/klagomål/A 18215-2024 FSC-klagomål.docx", "A 18215-2024")</f>
        <v/>
      </c>
      <c r="W693">
        <f>HYPERLINK("https://klasma.github.io/Logging_2180/klagomålsmail/A 18215-2024 FSC-klagomål mail.docx", "A 18215-2024")</f>
        <v/>
      </c>
      <c r="X693">
        <f>HYPERLINK("https://klasma.github.io/Logging_2180/tillsyn/A 18215-2024 tillsynsbegäran.docx", "A 18215-2024")</f>
        <v/>
      </c>
      <c r="Y693">
        <f>HYPERLINK("https://klasma.github.io/Logging_2180/tillsynsmail/A 18215-2024 tillsynsbegäran mail.docx", "A 18215-2024")</f>
        <v/>
      </c>
    </row>
    <row r="694" ht="15" customHeight="1">
      <c r="A694" t="inlineStr">
        <is>
          <t>A 38529-2022</t>
        </is>
      </c>
      <c r="B694" s="1" t="n">
        <v>44813</v>
      </c>
      <c r="C694" s="1" t="n">
        <v>46086</v>
      </c>
      <c r="D694" t="inlineStr">
        <is>
          <t>GÄVLEBORGS LÄN</t>
        </is>
      </c>
      <c r="E694" t="inlineStr">
        <is>
          <t>BOLLNÄS</t>
        </is>
      </c>
      <c r="G694" t="n">
        <v>0.9</v>
      </c>
      <c r="H694" t="n">
        <v>0</v>
      </c>
      <c r="I694" t="n">
        <v>0</v>
      </c>
      <c r="J694" t="n">
        <v>1</v>
      </c>
      <c r="K694" t="n">
        <v>0</v>
      </c>
      <c r="L694" t="n">
        <v>0</v>
      </c>
      <c r="M694" t="n">
        <v>0</v>
      </c>
      <c r="N694" t="n">
        <v>0</v>
      </c>
      <c r="O694" t="n">
        <v>1</v>
      </c>
      <c r="P694" t="n">
        <v>0</v>
      </c>
      <c r="Q694" t="n">
        <v>1</v>
      </c>
      <c r="R694" s="2" t="inlineStr">
        <is>
          <t>Skrovlig taggsvamp</t>
        </is>
      </c>
      <c r="S694">
        <f>HYPERLINK("https://klasma.github.io/Logging_2183/artfynd/A 38529-2022 artfynd.xlsx", "A 38529-2022")</f>
        <v/>
      </c>
      <c r="T694">
        <f>HYPERLINK("https://klasma.github.io/Logging_2183/kartor/A 38529-2022 karta.png", "A 38529-2022")</f>
        <v/>
      </c>
      <c r="V694">
        <f>HYPERLINK("https://klasma.github.io/Logging_2183/klagomål/A 38529-2022 FSC-klagomål.docx", "A 38529-2022")</f>
        <v/>
      </c>
      <c r="W694">
        <f>HYPERLINK("https://klasma.github.io/Logging_2183/klagomålsmail/A 38529-2022 FSC-klagomål mail.docx", "A 38529-2022")</f>
        <v/>
      </c>
      <c r="X694">
        <f>HYPERLINK("https://klasma.github.io/Logging_2183/tillsyn/A 38529-2022 tillsynsbegäran.docx", "A 38529-2022")</f>
        <v/>
      </c>
      <c r="Y694">
        <f>HYPERLINK("https://klasma.github.io/Logging_2183/tillsynsmail/A 38529-2022 tillsynsbegäran mail.docx", "A 38529-2022")</f>
        <v/>
      </c>
    </row>
    <row r="695" ht="15" customHeight="1">
      <c r="A695" t="inlineStr">
        <is>
          <t>A 32171-2023</t>
        </is>
      </c>
      <c r="B695" s="1" t="n">
        <v>45107</v>
      </c>
      <c r="C695" s="1" t="n">
        <v>46086</v>
      </c>
      <c r="D695" t="inlineStr">
        <is>
          <t>GÄVLEBORGS LÄN</t>
        </is>
      </c>
      <c r="E695" t="inlineStr">
        <is>
          <t>LJUSDAL</t>
        </is>
      </c>
      <c r="G695" t="n">
        <v>1.5</v>
      </c>
      <c r="H695" t="n">
        <v>1</v>
      </c>
      <c r="I695" t="n">
        <v>0</v>
      </c>
      <c r="J695" t="n">
        <v>1</v>
      </c>
      <c r="K695" t="n">
        <v>0</v>
      </c>
      <c r="L695" t="n">
        <v>0</v>
      </c>
      <c r="M695" t="n">
        <v>0</v>
      </c>
      <c r="N695" t="n">
        <v>0</v>
      </c>
      <c r="O695" t="n">
        <v>1</v>
      </c>
      <c r="P695" t="n">
        <v>0</v>
      </c>
      <c r="Q695" t="n">
        <v>1</v>
      </c>
      <c r="R695" s="2" t="inlineStr">
        <is>
          <t>Talltita</t>
        </is>
      </c>
      <c r="S695">
        <f>HYPERLINK("https://klasma.github.io/Logging_2161/artfynd/A 32171-2023 artfynd.xlsx", "A 32171-2023")</f>
        <v/>
      </c>
      <c r="T695">
        <f>HYPERLINK("https://klasma.github.io/Logging_2161/kartor/A 32171-2023 karta.png", "A 32171-2023")</f>
        <v/>
      </c>
      <c r="V695">
        <f>HYPERLINK("https://klasma.github.io/Logging_2161/klagomål/A 32171-2023 FSC-klagomål.docx", "A 32171-2023")</f>
        <v/>
      </c>
      <c r="W695">
        <f>HYPERLINK("https://klasma.github.io/Logging_2161/klagomålsmail/A 32171-2023 FSC-klagomål mail.docx", "A 32171-2023")</f>
        <v/>
      </c>
      <c r="X695">
        <f>HYPERLINK("https://klasma.github.io/Logging_2161/tillsyn/A 32171-2023 tillsynsbegäran.docx", "A 32171-2023")</f>
        <v/>
      </c>
      <c r="Y695">
        <f>HYPERLINK("https://klasma.github.io/Logging_2161/tillsynsmail/A 32171-2023 tillsynsbegäran mail.docx", "A 32171-2023")</f>
        <v/>
      </c>
      <c r="Z695">
        <f>HYPERLINK("https://klasma.github.io/Logging_2161/fåglar/A 32171-2023 prioriterade fågelarter.docx", "A 32171-2023")</f>
        <v/>
      </c>
    </row>
    <row r="696" ht="15" customHeight="1">
      <c r="A696" t="inlineStr">
        <is>
          <t>A 7148-2023</t>
        </is>
      </c>
      <c r="B696" s="1" t="n">
        <v>44970.45804398148</v>
      </c>
      <c r="C696" s="1" t="n">
        <v>46086</v>
      </c>
      <c r="D696" t="inlineStr">
        <is>
          <t>GÄVLEBORGS LÄN</t>
        </is>
      </c>
      <c r="E696" t="inlineStr">
        <is>
          <t>LJUSDAL</t>
        </is>
      </c>
      <c r="F696" t="inlineStr">
        <is>
          <t>Holmen skog AB</t>
        </is>
      </c>
      <c r="G696" t="n">
        <v>4.9</v>
      </c>
      <c r="H696" t="n">
        <v>0</v>
      </c>
      <c r="I696" t="n">
        <v>1</v>
      </c>
      <c r="J696" t="n">
        <v>0</v>
      </c>
      <c r="K696" t="n">
        <v>0</v>
      </c>
      <c r="L696" t="n">
        <v>0</v>
      </c>
      <c r="M696" t="n">
        <v>0</v>
      </c>
      <c r="N696" t="n">
        <v>0</v>
      </c>
      <c r="O696" t="n">
        <v>0</v>
      </c>
      <c r="P696" t="n">
        <v>0</v>
      </c>
      <c r="Q696" t="n">
        <v>1</v>
      </c>
      <c r="R696" s="2" t="inlineStr">
        <is>
          <t>Vedticka</t>
        </is>
      </c>
      <c r="S696">
        <f>HYPERLINK("https://klasma.github.io/Logging_2161/artfynd/A 7148-2023 artfynd.xlsx", "A 7148-2023")</f>
        <v/>
      </c>
      <c r="T696">
        <f>HYPERLINK("https://klasma.github.io/Logging_2161/kartor/A 7148-2023 karta.png", "A 7148-2023")</f>
        <v/>
      </c>
      <c r="V696">
        <f>HYPERLINK("https://klasma.github.io/Logging_2161/klagomål/A 7148-2023 FSC-klagomål.docx", "A 7148-2023")</f>
        <v/>
      </c>
      <c r="W696">
        <f>HYPERLINK("https://klasma.github.io/Logging_2161/klagomålsmail/A 7148-2023 FSC-klagomål mail.docx", "A 7148-2023")</f>
        <v/>
      </c>
      <c r="X696">
        <f>HYPERLINK("https://klasma.github.io/Logging_2161/tillsyn/A 7148-2023 tillsynsbegäran.docx", "A 7148-2023")</f>
        <v/>
      </c>
      <c r="Y696">
        <f>HYPERLINK("https://klasma.github.io/Logging_2161/tillsynsmail/A 7148-2023 tillsynsbegäran mail.docx", "A 7148-2023")</f>
        <v/>
      </c>
    </row>
    <row r="697" ht="15" customHeight="1">
      <c r="A697" t="inlineStr">
        <is>
          <t>A 5500-2024</t>
        </is>
      </c>
      <c r="B697" s="1" t="n">
        <v>45334</v>
      </c>
      <c r="C697" s="1" t="n">
        <v>46086</v>
      </c>
      <c r="D697" t="inlineStr">
        <is>
          <t>GÄVLEBORGS LÄN</t>
        </is>
      </c>
      <c r="E697" t="inlineStr">
        <is>
          <t>HUDIKSVALL</t>
        </is>
      </c>
      <c r="F697" t="inlineStr">
        <is>
          <t>Holmen skog AB</t>
        </is>
      </c>
      <c r="G697" t="n">
        <v>5</v>
      </c>
      <c r="H697" t="n">
        <v>0</v>
      </c>
      <c r="I697" t="n">
        <v>0</v>
      </c>
      <c r="J697" t="n">
        <v>1</v>
      </c>
      <c r="K697" t="n">
        <v>0</v>
      </c>
      <c r="L697" t="n">
        <v>0</v>
      </c>
      <c r="M697" t="n">
        <v>0</v>
      </c>
      <c r="N697" t="n">
        <v>0</v>
      </c>
      <c r="O697" t="n">
        <v>1</v>
      </c>
      <c r="P697" t="n">
        <v>0</v>
      </c>
      <c r="Q697" t="n">
        <v>1</v>
      </c>
      <c r="R697" s="2" t="inlineStr">
        <is>
          <t>Mörk kolflarnlav</t>
        </is>
      </c>
      <c r="S697">
        <f>HYPERLINK("https://klasma.github.io/Logging_2184/artfynd/A 5500-2024 artfynd.xlsx", "A 5500-2024")</f>
        <v/>
      </c>
      <c r="T697">
        <f>HYPERLINK("https://klasma.github.io/Logging_2184/kartor/A 5500-2024 karta.png", "A 5500-2024")</f>
        <v/>
      </c>
      <c r="V697">
        <f>HYPERLINK("https://klasma.github.io/Logging_2184/klagomål/A 5500-2024 FSC-klagomål.docx", "A 5500-2024")</f>
        <v/>
      </c>
      <c r="W697">
        <f>HYPERLINK("https://klasma.github.io/Logging_2184/klagomålsmail/A 5500-2024 FSC-klagomål mail.docx", "A 5500-2024")</f>
        <v/>
      </c>
      <c r="X697">
        <f>HYPERLINK("https://klasma.github.io/Logging_2184/tillsyn/A 5500-2024 tillsynsbegäran.docx", "A 5500-2024")</f>
        <v/>
      </c>
      <c r="Y697">
        <f>HYPERLINK("https://klasma.github.io/Logging_2184/tillsynsmail/A 5500-2024 tillsynsbegäran mail.docx", "A 5500-2024")</f>
        <v/>
      </c>
    </row>
    <row r="698" ht="15" customHeight="1">
      <c r="A698" t="inlineStr">
        <is>
          <t>A 51232-2023</t>
        </is>
      </c>
      <c r="B698" s="1" t="n">
        <v>45219.4621412037</v>
      </c>
      <c r="C698" s="1" t="n">
        <v>46086</v>
      </c>
      <c r="D698" t="inlineStr">
        <is>
          <t>GÄVLEBORGS LÄN</t>
        </is>
      </c>
      <c r="E698" t="inlineStr">
        <is>
          <t>LJUSDAL</t>
        </is>
      </c>
      <c r="F698" t="inlineStr">
        <is>
          <t>Sveaskog</t>
        </is>
      </c>
      <c r="G698" t="n">
        <v>1.9</v>
      </c>
      <c r="H698" t="n">
        <v>0</v>
      </c>
      <c r="I698" t="n">
        <v>0</v>
      </c>
      <c r="J698" t="n">
        <v>1</v>
      </c>
      <c r="K698" t="n">
        <v>0</v>
      </c>
      <c r="L698" t="n">
        <v>0</v>
      </c>
      <c r="M698" t="n">
        <v>0</v>
      </c>
      <c r="N698" t="n">
        <v>0</v>
      </c>
      <c r="O698" t="n">
        <v>1</v>
      </c>
      <c r="P698" t="n">
        <v>0</v>
      </c>
      <c r="Q698" t="n">
        <v>1</v>
      </c>
      <c r="R698" s="2" t="inlineStr">
        <is>
          <t>Lunglav</t>
        </is>
      </c>
      <c r="S698">
        <f>HYPERLINK("https://klasma.github.io/Logging_2161/artfynd/A 51232-2023 artfynd.xlsx", "A 51232-2023")</f>
        <v/>
      </c>
      <c r="T698">
        <f>HYPERLINK("https://klasma.github.io/Logging_2161/kartor/A 51232-2023 karta.png", "A 51232-2023")</f>
        <v/>
      </c>
      <c r="V698">
        <f>HYPERLINK("https://klasma.github.io/Logging_2161/klagomål/A 51232-2023 FSC-klagomål.docx", "A 51232-2023")</f>
        <v/>
      </c>
      <c r="W698">
        <f>HYPERLINK("https://klasma.github.io/Logging_2161/klagomålsmail/A 51232-2023 FSC-klagomål mail.docx", "A 51232-2023")</f>
        <v/>
      </c>
      <c r="X698">
        <f>HYPERLINK("https://klasma.github.io/Logging_2161/tillsyn/A 51232-2023 tillsynsbegäran.docx", "A 51232-2023")</f>
        <v/>
      </c>
      <c r="Y698">
        <f>HYPERLINK("https://klasma.github.io/Logging_2161/tillsynsmail/A 51232-2023 tillsynsbegäran mail.docx", "A 51232-2023")</f>
        <v/>
      </c>
    </row>
    <row r="699" ht="15" customHeight="1">
      <c r="A699" t="inlineStr">
        <is>
          <t>A 60594-2024</t>
        </is>
      </c>
      <c r="B699" s="1" t="n">
        <v>45644.35909722222</v>
      </c>
      <c r="C699" s="1" t="n">
        <v>46086</v>
      </c>
      <c r="D699" t="inlineStr">
        <is>
          <t>GÄVLEBORGS LÄN</t>
        </is>
      </c>
      <c r="E699" t="inlineStr">
        <is>
          <t>HUDIKSVALL</t>
        </is>
      </c>
      <c r="G699" t="n">
        <v>3.7</v>
      </c>
      <c r="H699" t="n">
        <v>1</v>
      </c>
      <c r="I699" t="n">
        <v>0</v>
      </c>
      <c r="J699" t="n">
        <v>0</v>
      </c>
      <c r="K699" t="n">
        <v>0</v>
      </c>
      <c r="L699" t="n">
        <v>0</v>
      </c>
      <c r="M699" t="n">
        <v>0</v>
      </c>
      <c r="N699" t="n">
        <v>0</v>
      </c>
      <c r="O699" t="n">
        <v>0</v>
      </c>
      <c r="P699" t="n">
        <v>0</v>
      </c>
      <c r="Q699" t="n">
        <v>1</v>
      </c>
      <c r="R699" s="2" t="inlineStr">
        <is>
          <t>Vanlig padda</t>
        </is>
      </c>
      <c r="S699">
        <f>HYPERLINK("https://klasma.github.io/Logging_2184/artfynd/A 60594-2024 artfynd.xlsx", "A 60594-2024")</f>
        <v/>
      </c>
      <c r="T699">
        <f>HYPERLINK("https://klasma.github.io/Logging_2184/kartor/A 60594-2024 karta.png", "A 60594-2024")</f>
        <v/>
      </c>
      <c r="V699">
        <f>HYPERLINK("https://klasma.github.io/Logging_2184/klagomål/A 60594-2024 FSC-klagomål.docx", "A 60594-2024")</f>
        <v/>
      </c>
      <c r="W699">
        <f>HYPERLINK("https://klasma.github.io/Logging_2184/klagomålsmail/A 60594-2024 FSC-klagomål mail.docx", "A 60594-2024")</f>
        <v/>
      </c>
      <c r="X699">
        <f>HYPERLINK("https://klasma.github.io/Logging_2184/tillsyn/A 60594-2024 tillsynsbegäran.docx", "A 60594-2024")</f>
        <v/>
      </c>
      <c r="Y699">
        <f>HYPERLINK("https://klasma.github.io/Logging_2184/tillsynsmail/A 60594-2024 tillsynsbegäran mail.docx", "A 60594-2024")</f>
        <v/>
      </c>
    </row>
    <row r="700" ht="15" customHeight="1">
      <c r="A700" t="inlineStr">
        <is>
          <t>A 23644-2024</t>
        </is>
      </c>
      <c r="B700" s="1" t="n">
        <v>45454</v>
      </c>
      <c r="C700" s="1" t="n">
        <v>46086</v>
      </c>
      <c r="D700" t="inlineStr">
        <is>
          <t>GÄVLEBORGS LÄN</t>
        </is>
      </c>
      <c r="E700" t="inlineStr">
        <is>
          <t>LJUSDAL</t>
        </is>
      </c>
      <c r="F700" t="inlineStr">
        <is>
          <t>Sveaskog</t>
        </is>
      </c>
      <c r="G700" t="n">
        <v>26.6</v>
      </c>
      <c r="H700" t="n">
        <v>0</v>
      </c>
      <c r="I700" t="n">
        <v>0</v>
      </c>
      <c r="J700" t="n">
        <v>1</v>
      </c>
      <c r="K700" t="n">
        <v>0</v>
      </c>
      <c r="L700" t="n">
        <v>0</v>
      </c>
      <c r="M700" t="n">
        <v>0</v>
      </c>
      <c r="N700" t="n">
        <v>0</v>
      </c>
      <c r="O700" t="n">
        <v>1</v>
      </c>
      <c r="P700" t="n">
        <v>0</v>
      </c>
      <c r="Q700" t="n">
        <v>1</v>
      </c>
      <c r="R700" s="2" t="inlineStr">
        <is>
          <t>Kolflarnlav</t>
        </is>
      </c>
      <c r="S700">
        <f>HYPERLINK("https://klasma.github.io/Logging_2161/artfynd/A 23644-2024 artfynd.xlsx", "A 23644-2024")</f>
        <v/>
      </c>
      <c r="T700">
        <f>HYPERLINK("https://klasma.github.io/Logging_2161/kartor/A 23644-2024 karta.png", "A 23644-2024")</f>
        <v/>
      </c>
      <c r="V700">
        <f>HYPERLINK("https://klasma.github.io/Logging_2161/klagomål/A 23644-2024 FSC-klagomål.docx", "A 23644-2024")</f>
        <v/>
      </c>
      <c r="W700">
        <f>HYPERLINK("https://klasma.github.io/Logging_2161/klagomålsmail/A 23644-2024 FSC-klagomål mail.docx", "A 23644-2024")</f>
        <v/>
      </c>
      <c r="X700">
        <f>HYPERLINK("https://klasma.github.io/Logging_2161/tillsyn/A 23644-2024 tillsynsbegäran.docx", "A 23644-2024")</f>
        <v/>
      </c>
      <c r="Y700">
        <f>HYPERLINK("https://klasma.github.io/Logging_2161/tillsynsmail/A 23644-2024 tillsynsbegäran mail.docx", "A 23644-2024")</f>
        <v/>
      </c>
    </row>
    <row r="701" ht="15" customHeight="1">
      <c r="A701" t="inlineStr">
        <is>
          <t>A 24831-2024</t>
        </is>
      </c>
      <c r="B701" s="1" t="n">
        <v>45461.37734953704</v>
      </c>
      <c r="C701" s="1" t="n">
        <v>46086</v>
      </c>
      <c r="D701" t="inlineStr">
        <is>
          <t>GÄVLEBORGS LÄN</t>
        </is>
      </c>
      <c r="E701" t="inlineStr">
        <is>
          <t>LJUSDAL</t>
        </is>
      </c>
      <c r="G701" t="n">
        <v>4.9</v>
      </c>
      <c r="H701" t="n">
        <v>0</v>
      </c>
      <c r="I701" t="n">
        <v>0</v>
      </c>
      <c r="J701" t="n">
        <v>1</v>
      </c>
      <c r="K701" t="n">
        <v>0</v>
      </c>
      <c r="L701" t="n">
        <v>0</v>
      </c>
      <c r="M701" t="n">
        <v>0</v>
      </c>
      <c r="N701" t="n">
        <v>0</v>
      </c>
      <c r="O701" t="n">
        <v>1</v>
      </c>
      <c r="P701" t="n">
        <v>0</v>
      </c>
      <c r="Q701" t="n">
        <v>1</v>
      </c>
      <c r="R701" s="2" t="inlineStr">
        <is>
          <t>Lunglav</t>
        </is>
      </c>
      <c r="S701">
        <f>HYPERLINK("https://klasma.github.io/Logging_2161/artfynd/A 24831-2024 artfynd.xlsx", "A 24831-2024")</f>
        <v/>
      </c>
      <c r="T701">
        <f>HYPERLINK("https://klasma.github.io/Logging_2161/kartor/A 24831-2024 karta.png", "A 24831-2024")</f>
        <v/>
      </c>
      <c r="V701">
        <f>HYPERLINK("https://klasma.github.io/Logging_2161/klagomål/A 24831-2024 FSC-klagomål.docx", "A 24831-2024")</f>
        <v/>
      </c>
      <c r="W701">
        <f>HYPERLINK("https://klasma.github.io/Logging_2161/klagomålsmail/A 24831-2024 FSC-klagomål mail.docx", "A 24831-2024")</f>
        <v/>
      </c>
      <c r="X701">
        <f>HYPERLINK("https://klasma.github.io/Logging_2161/tillsyn/A 24831-2024 tillsynsbegäran.docx", "A 24831-2024")</f>
        <v/>
      </c>
      <c r="Y701">
        <f>HYPERLINK("https://klasma.github.io/Logging_2161/tillsynsmail/A 24831-2024 tillsynsbegäran mail.docx", "A 24831-2024")</f>
        <v/>
      </c>
    </row>
    <row r="702" ht="15" customHeight="1">
      <c r="A702" t="inlineStr">
        <is>
          <t>A 34235-2024</t>
        </is>
      </c>
      <c r="B702" s="1" t="n">
        <v>45524.56763888889</v>
      </c>
      <c r="C702" s="1" t="n">
        <v>46086</v>
      </c>
      <c r="D702" t="inlineStr">
        <is>
          <t>GÄVLEBORGS LÄN</t>
        </is>
      </c>
      <c r="E702" t="inlineStr">
        <is>
          <t>LJUSDAL</t>
        </is>
      </c>
      <c r="F702" t="inlineStr">
        <is>
          <t>Sveaskog</t>
        </is>
      </c>
      <c r="G702" t="n">
        <v>3.5</v>
      </c>
      <c r="H702" t="n">
        <v>1</v>
      </c>
      <c r="I702" t="n">
        <v>1</v>
      </c>
      <c r="J702" t="n">
        <v>0</v>
      </c>
      <c r="K702" t="n">
        <v>0</v>
      </c>
      <c r="L702" t="n">
        <v>0</v>
      </c>
      <c r="M702" t="n">
        <v>0</v>
      </c>
      <c r="N702" t="n">
        <v>0</v>
      </c>
      <c r="O702" t="n">
        <v>0</v>
      </c>
      <c r="P702" t="n">
        <v>0</v>
      </c>
      <c r="Q702" t="n">
        <v>1</v>
      </c>
      <c r="R702" s="2" t="inlineStr">
        <is>
          <t>Plattlummer</t>
        </is>
      </c>
      <c r="S702">
        <f>HYPERLINK("https://klasma.github.io/Logging_2161/artfynd/A 34235-2024 artfynd.xlsx", "A 34235-2024")</f>
        <v/>
      </c>
      <c r="T702">
        <f>HYPERLINK("https://klasma.github.io/Logging_2161/kartor/A 34235-2024 karta.png", "A 34235-2024")</f>
        <v/>
      </c>
      <c r="V702">
        <f>HYPERLINK("https://klasma.github.io/Logging_2161/klagomål/A 34235-2024 FSC-klagomål.docx", "A 34235-2024")</f>
        <v/>
      </c>
      <c r="W702">
        <f>HYPERLINK("https://klasma.github.io/Logging_2161/klagomålsmail/A 34235-2024 FSC-klagomål mail.docx", "A 34235-2024")</f>
        <v/>
      </c>
      <c r="X702">
        <f>HYPERLINK("https://klasma.github.io/Logging_2161/tillsyn/A 34235-2024 tillsynsbegäran.docx", "A 34235-2024")</f>
        <v/>
      </c>
      <c r="Y702">
        <f>HYPERLINK("https://klasma.github.io/Logging_2161/tillsynsmail/A 34235-2024 tillsynsbegäran mail.docx", "A 34235-2024")</f>
        <v/>
      </c>
    </row>
    <row r="703" ht="15" customHeight="1">
      <c r="A703" t="inlineStr">
        <is>
          <t>A 4696-2023</t>
        </is>
      </c>
      <c r="B703" s="1" t="n">
        <v>44957.47362268518</v>
      </c>
      <c r="C703" s="1" t="n">
        <v>46086</v>
      </c>
      <c r="D703" t="inlineStr">
        <is>
          <t>GÄVLEBORGS LÄN</t>
        </is>
      </c>
      <c r="E703" t="inlineStr">
        <is>
          <t>LJUSDAL</t>
        </is>
      </c>
      <c r="F703" t="inlineStr">
        <is>
          <t>Holmen skog AB</t>
        </is>
      </c>
      <c r="G703" t="n">
        <v>7.3</v>
      </c>
      <c r="H703" t="n">
        <v>0</v>
      </c>
      <c r="I703" t="n">
        <v>1</v>
      </c>
      <c r="J703" t="n">
        <v>0</v>
      </c>
      <c r="K703" t="n">
        <v>0</v>
      </c>
      <c r="L703" t="n">
        <v>0</v>
      </c>
      <c r="M703" t="n">
        <v>0</v>
      </c>
      <c r="N703" t="n">
        <v>0</v>
      </c>
      <c r="O703" t="n">
        <v>0</v>
      </c>
      <c r="P703" t="n">
        <v>0</v>
      </c>
      <c r="Q703" t="n">
        <v>1</v>
      </c>
      <c r="R703" s="2" t="inlineStr">
        <is>
          <t>Vedticka</t>
        </is>
      </c>
      <c r="S703">
        <f>HYPERLINK("https://klasma.github.io/Logging_2161/artfynd/A 4696-2023 artfynd.xlsx", "A 4696-2023")</f>
        <v/>
      </c>
      <c r="T703">
        <f>HYPERLINK("https://klasma.github.io/Logging_2161/kartor/A 4696-2023 karta.png", "A 4696-2023")</f>
        <v/>
      </c>
      <c r="V703">
        <f>HYPERLINK("https://klasma.github.io/Logging_2161/klagomål/A 4696-2023 FSC-klagomål.docx", "A 4696-2023")</f>
        <v/>
      </c>
      <c r="W703">
        <f>HYPERLINK("https://klasma.github.io/Logging_2161/klagomålsmail/A 4696-2023 FSC-klagomål mail.docx", "A 4696-2023")</f>
        <v/>
      </c>
      <c r="X703">
        <f>HYPERLINK("https://klasma.github.io/Logging_2161/tillsyn/A 4696-2023 tillsynsbegäran.docx", "A 4696-2023")</f>
        <v/>
      </c>
      <c r="Y703">
        <f>HYPERLINK("https://klasma.github.io/Logging_2161/tillsynsmail/A 4696-2023 tillsynsbegäran mail.docx", "A 4696-2023")</f>
        <v/>
      </c>
    </row>
    <row r="704" ht="15" customHeight="1">
      <c r="A704" t="inlineStr">
        <is>
          <t>A 35521-2024</t>
        </is>
      </c>
      <c r="B704" s="1" t="n">
        <v>45531.57493055556</v>
      </c>
      <c r="C704" s="1" t="n">
        <v>46086</v>
      </c>
      <c r="D704" t="inlineStr">
        <is>
          <t>GÄVLEBORGS LÄN</t>
        </is>
      </c>
      <c r="E704" t="inlineStr">
        <is>
          <t>HOFORS</t>
        </is>
      </c>
      <c r="F704" t="inlineStr">
        <is>
          <t>Sveaskog</t>
        </is>
      </c>
      <c r="G704" t="n">
        <v>1.3</v>
      </c>
      <c r="H704" t="n">
        <v>1</v>
      </c>
      <c r="I704" t="n">
        <v>0</v>
      </c>
      <c r="J704" t="n">
        <v>0</v>
      </c>
      <c r="K704" t="n">
        <v>0</v>
      </c>
      <c r="L704" t="n">
        <v>0</v>
      </c>
      <c r="M704" t="n">
        <v>0</v>
      </c>
      <c r="N704" t="n">
        <v>0</v>
      </c>
      <c r="O704" t="n">
        <v>0</v>
      </c>
      <c r="P704" t="n">
        <v>0</v>
      </c>
      <c r="Q704" t="n">
        <v>1</v>
      </c>
      <c r="R704" s="2" t="inlineStr">
        <is>
          <t>Revlummer</t>
        </is>
      </c>
      <c r="S704">
        <f>HYPERLINK("https://klasma.github.io/Logging_2104/artfynd/A 35521-2024 artfynd.xlsx", "A 35521-2024")</f>
        <v/>
      </c>
      <c r="T704">
        <f>HYPERLINK("https://klasma.github.io/Logging_2104/kartor/A 35521-2024 karta.png", "A 35521-2024")</f>
        <v/>
      </c>
      <c r="V704">
        <f>HYPERLINK("https://klasma.github.io/Logging_2104/klagomål/A 35521-2024 FSC-klagomål.docx", "A 35521-2024")</f>
        <v/>
      </c>
      <c r="W704">
        <f>HYPERLINK("https://klasma.github.io/Logging_2104/klagomålsmail/A 35521-2024 FSC-klagomål mail.docx", "A 35521-2024")</f>
        <v/>
      </c>
      <c r="X704">
        <f>HYPERLINK("https://klasma.github.io/Logging_2104/tillsyn/A 35521-2024 tillsynsbegäran.docx", "A 35521-2024")</f>
        <v/>
      </c>
      <c r="Y704">
        <f>HYPERLINK("https://klasma.github.io/Logging_2104/tillsynsmail/A 35521-2024 tillsynsbegäran mail.docx", "A 35521-2024")</f>
        <v/>
      </c>
    </row>
    <row r="705" ht="15" customHeight="1">
      <c r="A705" t="inlineStr">
        <is>
          <t>A 29840-2023</t>
        </is>
      </c>
      <c r="B705" s="1" t="n">
        <v>45107.58261574074</v>
      </c>
      <c r="C705" s="1" t="n">
        <v>46086</v>
      </c>
      <c r="D705" t="inlineStr">
        <is>
          <t>GÄVLEBORGS LÄN</t>
        </is>
      </c>
      <c r="E705" t="inlineStr">
        <is>
          <t>GÄVLE</t>
        </is>
      </c>
      <c r="G705" t="n">
        <v>1.4</v>
      </c>
      <c r="H705" t="n">
        <v>1</v>
      </c>
      <c r="I705" t="n">
        <v>0</v>
      </c>
      <c r="J705" t="n">
        <v>0</v>
      </c>
      <c r="K705" t="n">
        <v>0</v>
      </c>
      <c r="L705" t="n">
        <v>0</v>
      </c>
      <c r="M705" t="n">
        <v>0</v>
      </c>
      <c r="N705" t="n">
        <v>0</v>
      </c>
      <c r="O705" t="n">
        <v>0</v>
      </c>
      <c r="P705" t="n">
        <v>0</v>
      </c>
      <c r="Q705" t="n">
        <v>1</v>
      </c>
      <c r="R705" s="2" t="inlineStr">
        <is>
          <t>Kungsfågel</t>
        </is>
      </c>
      <c r="S705">
        <f>HYPERLINK("https://klasma.github.io/Logging_2180/artfynd/A 29840-2023 artfynd.xlsx", "A 29840-2023")</f>
        <v/>
      </c>
      <c r="T705">
        <f>HYPERLINK("https://klasma.github.io/Logging_2180/kartor/A 29840-2023 karta.png", "A 29840-2023")</f>
        <v/>
      </c>
      <c r="V705">
        <f>HYPERLINK("https://klasma.github.io/Logging_2180/klagomål/A 29840-2023 FSC-klagomål.docx", "A 29840-2023")</f>
        <v/>
      </c>
      <c r="W705">
        <f>HYPERLINK("https://klasma.github.io/Logging_2180/klagomålsmail/A 29840-2023 FSC-klagomål mail.docx", "A 29840-2023")</f>
        <v/>
      </c>
      <c r="X705">
        <f>HYPERLINK("https://klasma.github.io/Logging_2180/tillsyn/A 29840-2023 tillsynsbegäran.docx", "A 29840-2023")</f>
        <v/>
      </c>
      <c r="Y705">
        <f>HYPERLINK("https://klasma.github.io/Logging_2180/tillsynsmail/A 29840-2023 tillsynsbegäran mail.docx", "A 29840-2023")</f>
        <v/>
      </c>
      <c r="Z705">
        <f>HYPERLINK("https://klasma.github.io/Logging_2180/fåglar/A 29840-2023 prioriterade fågelarter.docx", "A 29840-2023")</f>
        <v/>
      </c>
    </row>
    <row r="706" ht="15" customHeight="1">
      <c r="A706" t="inlineStr">
        <is>
          <t>A 37090-2024</t>
        </is>
      </c>
      <c r="B706" s="1" t="n">
        <v>45539.49916666667</v>
      </c>
      <c r="C706" s="1" t="n">
        <v>46086</v>
      </c>
      <c r="D706" t="inlineStr">
        <is>
          <t>GÄVLEBORGS LÄN</t>
        </is>
      </c>
      <c r="E706" t="inlineStr">
        <is>
          <t>LJUSDAL</t>
        </is>
      </c>
      <c r="F706" t="inlineStr">
        <is>
          <t>Sveaskog</t>
        </is>
      </c>
      <c r="G706" t="n">
        <v>2.6</v>
      </c>
      <c r="H706" t="n">
        <v>0</v>
      </c>
      <c r="I706" t="n">
        <v>0</v>
      </c>
      <c r="J706" t="n">
        <v>1</v>
      </c>
      <c r="K706" t="n">
        <v>0</v>
      </c>
      <c r="L706" t="n">
        <v>0</v>
      </c>
      <c r="M706" t="n">
        <v>0</v>
      </c>
      <c r="N706" t="n">
        <v>0</v>
      </c>
      <c r="O706" t="n">
        <v>1</v>
      </c>
      <c r="P706" t="n">
        <v>0</v>
      </c>
      <c r="Q706" t="n">
        <v>1</v>
      </c>
      <c r="R706" s="2" t="inlineStr">
        <is>
          <t>Skrovellav</t>
        </is>
      </c>
      <c r="S706">
        <f>HYPERLINK("https://klasma.github.io/Logging_2161/artfynd/A 37090-2024 artfynd.xlsx", "A 37090-2024")</f>
        <v/>
      </c>
      <c r="T706">
        <f>HYPERLINK("https://klasma.github.io/Logging_2161/kartor/A 37090-2024 karta.png", "A 37090-2024")</f>
        <v/>
      </c>
      <c r="V706">
        <f>HYPERLINK("https://klasma.github.io/Logging_2161/klagomål/A 37090-2024 FSC-klagomål.docx", "A 37090-2024")</f>
        <v/>
      </c>
      <c r="W706">
        <f>HYPERLINK("https://klasma.github.io/Logging_2161/klagomålsmail/A 37090-2024 FSC-klagomål mail.docx", "A 37090-2024")</f>
        <v/>
      </c>
      <c r="X706">
        <f>HYPERLINK("https://klasma.github.io/Logging_2161/tillsyn/A 37090-2024 tillsynsbegäran.docx", "A 37090-2024")</f>
        <v/>
      </c>
      <c r="Y706">
        <f>HYPERLINK("https://klasma.github.io/Logging_2161/tillsynsmail/A 37090-2024 tillsynsbegäran mail.docx", "A 37090-2024")</f>
        <v/>
      </c>
    </row>
    <row r="707" ht="15" customHeight="1">
      <c r="A707" t="inlineStr">
        <is>
          <t>A 25490-2021</t>
        </is>
      </c>
      <c r="B707" s="1" t="n">
        <v>44342</v>
      </c>
      <c r="C707" s="1" t="n">
        <v>46086</v>
      </c>
      <c r="D707" t="inlineStr">
        <is>
          <t>GÄVLEBORGS LÄN</t>
        </is>
      </c>
      <c r="E707" t="inlineStr">
        <is>
          <t>LJUSDAL</t>
        </is>
      </c>
      <c r="G707" t="n">
        <v>6.3</v>
      </c>
      <c r="H707" t="n">
        <v>1</v>
      </c>
      <c r="I707" t="n">
        <v>0</v>
      </c>
      <c r="J707" t="n">
        <v>1</v>
      </c>
      <c r="K707" t="n">
        <v>0</v>
      </c>
      <c r="L707" t="n">
        <v>0</v>
      </c>
      <c r="M707" t="n">
        <v>0</v>
      </c>
      <c r="N707" t="n">
        <v>0</v>
      </c>
      <c r="O707" t="n">
        <v>1</v>
      </c>
      <c r="P707" t="n">
        <v>0</v>
      </c>
      <c r="Q707" t="n">
        <v>1</v>
      </c>
      <c r="R707" s="2" t="inlineStr">
        <is>
          <t>Tretåig hackspett</t>
        </is>
      </c>
      <c r="S707">
        <f>HYPERLINK("https://klasma.github.io/Logging_2161/artfynd/A 25490-2021 artfynd.xlsx", "A 25490-2021")</f>
        <v/>
      </c>
      <c r="T707">
        <f>HYPERLINK("https://klasma.github.io/Logging_2161/kartor/A 25490-2021 karta.png", "A 25490-2021")</f>
        <v/>
      </c>
      <c r="U707">
        <f>HYPERLINK("https://klasma.github.io/Logging_2161/knärot/A 25490-2021 karta knärot.png", "A 25490-2021")</f>
        <v/>
      </c>
      <c r="V707">
        <f>HYPERLINK("https://klasma.github.io/Logging_2161/klagomål/A 25490-2021 FSC-klagomål.docx", "A 25490-2021")</f>
        <v/>
      </c>
      <c r="W707">
        <f>HYPERLINK("https://klasma.github.io/Logging_2161/klagomålsmail/A 25490-2021 FSC-klagomål mail.docx", "A 25490-2021")</f>
        <v/>
      </c>
      <c r="X707">
        <f>HYPERLINK("https://klasma.github.io/Logging_2161/tillsyn/A 25490-2021 tillsynsbegäran.docx", "A 25490-2021")</f>
        <v/>
      </c>
      <c r="Y707">
        <f>HYPERLINK("https://klasma.github.io/Logging_2161/tillsynsmail/A 25490-2021 tillsynsbegäran mail.docx", "A 25490-2021")</f>
        <v/>
      </c>
      <c r="Z707">
        <f>HYPERLINK("https://klasma.github.io/Logging_2161/fåglar/A 25490-2021 prioriterade fågelarter.docx", "A 25490-2021")</f>
        <v/>
      </c>
    </row>
    <row r="708" ht="15" customHeight="1">
      <c r="A708" t="inlineStr">
        <is>
          <t>A 10783-2024</t>
        </is>
      </c>
      <c r="B708" s="1" t="n">
        <v>45369</v>
      </c>
      <c r="C708" s="1" t="n">
        <v>46086</v>
      </c>
      <c r="D708" t="inlineStr">
        <is>
          <t>GÄVLEBORGS LÄN</t>
        </is>
      </c>
      <c r="E708" t="inlineStr">
        <is>
          <t>SANDVIKEN</t>
        </is>
      </c>
      <c r="G708" t="n">
        <v>5</v>
      </c>
      <c r="H708" t="n">
        <v>1</v>
      </c>
      <c r="I708" t="n">
        <v>0</v>
      </c>
      <c r="J708" t="n">
        <v>0</v>
      </c>
      <c r="K708" t="n">
        <v>0</v>
      </c>
      <c r="L708" t="n">
        <v>0</v>
      </c>
      <c r="M708" t="n">
        <v>0</v>
      </c>
      <c r="N708" t="n">
        <v>0</v>
      </c>
      <c r="O708" t="n">
        <v>0</v>
      </c>
      <c r="P708" t="n">
        <v>0</v>
      </c>
      <c r="Q708" t="n">
        <v>1</v>
      </c>
      <c r="R708" s="2" t="inlineStr">
        <is>
          <t>Blåsippa</t>
        </is>
      </c>
      <c r="S708">
        <f>HYPERLINK("https://klasma.github.io/Logging_2181/artfynd/A 10783-2024 artfynd.xlsx", "A 10783-2024")</f>
        <v/>
      </c>
      <c r="T708">
        <f>HYPERLINK("https://klasma.github.io/Logging_2181/kartor/A 10783-2024 karta.png", "A 10783-2024")</f>
        <v/>
      </c>
      <c r="V708">
        <f>HYPERLINK("https://klasma.github.io/Logging_2181/klagomål/A 10783-2024 FSC-klagomål.docx", "A 10783-2024")</f>
        <v/>
      </c>
      <c r="W708">
        <f>HYPERLINK("https://klasma.github.io/Logging_2181/klagomålsmail/A 10783-2024 FSC-klagomål mail.docx", "A 10783-2024")</f>
        <v/>
      </c>
      <c r="X708">
        <f>HYPERLINK("https://klasma.github.io/Logging_2181/tillsyn/A 10783-2024 tillsynsbegäran.docx", "A 10783-2024")</f>
        <v/>
      </c>
      <c r="Y708">
        <f>HYPERLINK("https://klasma.github.io/Logging_2181/tillsynsmail/A 10783-2024 tillsynsbegäran mail.docx", "A 10783-2024")</f>
        <v/>
      </c>
    </row>
    <row r="709" ht="15" customHeight="1">
      <c r="A709" t="inlineStr">
        <is>
          <t>A 26526-2023</t>
        </is>
      </c>
      <c r="B709" s="1" t="n">
        <v>45092.56519675926</v>
      </c>
      <c r="C709" s="1" t="n">
        <v>46086</v>
      </c>
      <c r="D709" t="inlineStr">
        <is>
          <t>GÄVLEBORGS LÄN</t>
        </is>
      </c>
      <c r="E709" t="inlineStr">
        <is>
          <t>LJUSDAL</t>
        </is>
      </c>
      <c r="F709" t="inlineStr">
        <is>
          <t>Sveaskog</t>
        </is>
      </c>
      <c r="G709" t="n">
        <v>3.6</v>
      </c>
      <c r="H709" t="n">
        <v>0</v>
      </c>
      <c r="I709" t="n">
        <v>0</v>
      </c>
      <c r="J709" t="n">
        <v>1</v>
      </c>
      <c r="K709" t="n">
        <v>0</v>
      </c>
      <c r="L709" t="n">
        <v>0</v>
      </c>
      <c r="M709" t="n">
        <v>0</v>
      </c>
      <c r="N709" t="n">
        <v>0</v>
      </c>
      <c r="O709" t="n">
        <v>1</v>
      </c>
      <c r="P709" t="n">
        <v>0</v>
      </c>
      <c r="Q709" t="n">
        <v>1</v>
      </c>
      <c r="R709" s="2" t="inlineStr">
        <is>
          <t>Kolflarnlav</t>
        </is>
      </c>
      <c r="S709">
        <f>HYPERLINK("https://klasma.github.io/Logging_2161/artfynd/A 26526-2023 artfynd.xlsx", "A 26526-2023")</f>
        <v/>
      </c>
      <c r="T709">
        <f>HYPERLINK("https://klasma.github.io/Logging_2161/kartor/A 26526-2023 karta.png", "A 26526-2023")</f>
        <v/>
      </c>
      <c r="V709">
        <f>HYPERLINK("https://klasma.github.io/Logging_2161/klagomål/A 26526-2023 FSC-klagomål.docx", "A 26526-2023")</f>
        <v/>
      </c>
      <c r="W709">
        <f>HYPERLINK("https://klasma.github.io/Logging_2161/klagomålsmail/A 26526-2023 FSC-klagomål mail.docx", "A 26526-2023")</f>
        <v/>
      </c>
      <c r="X709">
        <f>HYPERLINK("https://klasma.github.io/Logging_2161/tillsyn/A 26526-2023 tillsynsbegäran.docx", "A 26526-2023")</f>
        <v/>
      </c>
      <c r="Y709">
        <f>HYPERLINK("https://klasma.github.io/Logging_2161/tillsynsmail/A 26526-2023 tillsynsbegäran mail.docx", "A 26526-2023")</f>
        <v/>
      </c>
    </row>
    <row r="710" ht="15" customHeight="1">
      <c r="A710" t="inlineStr">
        <is>
          <t>A 29578-2023</t>
        </is>
      </c>
      <c r="B710" s="1" t="n">
        <v>45106</v>
      </c>
      <c r="C710" s="1" t="n">
        <v>46086</v>
      </c>
      <c r="D710" t="inlineStr">
        <is>
          <t>GÄVLEBORGS LÄN</t>
        </is>
      </c>
      <c r="E710" t="inlineStr">
        <is>
          <t>NORDANSTIG</t>
        </is>
      </c>
      <c r="F710" t="inlineStr">
        <is>
          <t>Holmen skog AB</t>
        </is>
      </c>
      <c r="G710" t="n">
        <v>5.3</v>
      </c>
      <c r="H710" t="n">
        <v>1</v>
      </c>
      <c r="I710" t="n">
        <v>0</v>
      </c>
      <c r="J710" t="n">
        <v>0</v>
      </c>
      <c r="K710" t="n">
        <v>0</v>
      </c>
      <c r="L710" t="n">
        <v>0</v>
      </c>
      <c r="M710" t="n">
        <v>0</v>
      </c>
      <c r="N710" t="n">
        <v>0</v>
      </c>
      <c r="O710" t="n">
        <v>0</v>
      </c>
      <c r="P710" t="n">
        <v>0</v>
      </c>
      <c r="Q710" t="n">
        <v>1</v>
      </c>
      <c r="R710" s="2" t="inlineStr">
        <is>
          <t>Blåsippa</t>
        </is>
      </c>
      <c r="S710">
        <f>HYPERLINK("https://klasma.github.io/Logging_2132/artfynd/A 29578-2023 artfynd.xlsx", "A 29578-2023")</f>
        <v/>
      </c>
      <c r="T710">
        <f>HYPERLINK("https://klasma.github.io/Logging_2132/kartor/A 29578-2023 karta.png", "A 29578-2023")</f>
        <v/>
      </c>
      <c r="V710">
        <f>HYPERLINK("https://klasma.github.io/Logging_2132/klagomål/A 29578-2023 FSC-klagomål.docx", "A 29578-2023")</f>
        <v/>
      </c>
      <c r="W710">
        <f>HYPERLINK("https://klasma.github.io/Logging_2132/klagomålsmail/A 29578-2023 FSC-klagomål mail.docx", "A 29578-2023")</f>
        <v/>
      </c>
      <c r="X710">
        <f>HYPERLINK("https://klasma.github.io/Logging_2132/tillsyn/A 29578-2023 tillsynsbegäran.docx", "A 29578-2023")</f>
        <v/>
      </c>
      <c r="Y710">
        <f>HYPERLINK("https://klasma.github.io/Logging_2132/tillsynsmail/A 29578-2023 tillsynsbegäran mail.docx", "A 29578-2023")</f>
        <v/>
      </c>
    </row>
    <row r="711" ht="15" customHeight="1">
      <c r="A711" t="inlineStr">
        <is>
          <t>A 53858-2023</t>
        </is>
      </c>
      <c r="B711" s="1" t="n">
        <v>45231</v>
      </c>
      <c r="C711" s="1" t="n">
        <v>46086</v>
      </c>
      <c r="D711" t="inlineStr">
        <is>
          <t>GÄVLEBORGS LÄN</t>
        </is>
      </c>
      <c r="E711" t="inlineStr">
        <is>
          <t>LJUSDAL</t>
        </is>
      </c>
      <c r="F711" t="inlineStr">
        <is>
          <t>Allmännings- och besparingsskogar</t>
        </is>
      </c>
      <c r="G711" t="n">
        <v>2.3</v>
      </c>
      <c r="H711" t="n">
        <v>1</v>
      </c>
      <c r="I711" t="n">
        <v>0</v>
      </c>
      <c r="J711" t="n">
        <v>0</v>
      </c>
      <c r="K711" t="n">
        <v>1</v>
      </c>
      <c r="L711" t="n">
        <v>0</v>
      </c>
      <c r="M711" t="n">
        <v>0</v>
      </c>
      <c r="N711" t="n">
        <v>0</v>
      </c>
      <c r="O711" t="n">
        <v>1</v>
      </c>
      <c r="P711" t="n">
        <v>1</v>
      </c>
      <c r="Q711" t="n">
        <v>1</v>
      </c>
      <c r="R711" s="2" t="inlineStr">
        <is>
          <t>Mellanlummer</t>
        </is>
      </c>
      <c r="S711">
        <f>HYPERLINK("https://klasma.github.io/Logging_2161/artfynd/A 53858-2023 artfynd.xlsx", "A 53858-2023")</f>
        <v/>
      </c>
      <c r="T711">
        <f>HYPERLINK("https://klasma.github.io/Logging_2161/kartor/A 53858-2023 karta.png", "A 53858-2023")</f>
        <v/>
      </c>
      <c r="V711">
        <f>HYPERLINK("https://klasma.github.io/Logging_2161/klagomål/A 53858-2023 FSC-klagomål.docx", "A 53858-2023")</f>
        <v/>
      </c>
      <c r="W711">
        <f>HYPERLINK("https://klasma.github.io/Logging_2161/klagomålsmail/A 53858-2023 FSC-klagomål mail.docx", "A 53858-2023")</f>
        <v/>
      </c>
      <c r="X711">
        <f>HYPERLINK("https://klasma.github.io/Logging_2161/tillsyn/A 53858-2023 tillsynsbegäran.docx", "A 53858-2023")</f>
        <v/>
      </c>
      <c r="Y711">
        <f>HYPERLINK("https://klasma.github.io/Logging_2161/tillsynsmail/A 53858-2023 tillsynsbegäran mail.docx", "A 53858-2023")</f>
        <v/>
      </c>
    </row>
    <row r="712" ht="15" customHeight="1">
      <c r="A712" t="inlineStr">
        <is>
          <t>A 21900-2024</t>
        </is>
      </c>
      <c r="B712" s="1" t="n">
        <v>45443.40680555555</v>
      </c>
      <c r="C712" s="1" t="n">
        <v>46086</v>
      </c>
      <c r="D712" t="inlineStr">
        <is>
          <t>GÄVLEBORGS LÄN</t>
        </is>
      </c>
      <c r="E712" t="inlineStr">
        <is>
          <t>LJUSDAL</t>
        </is>
      </c>
      <c r="F712" t="inlineStr">
        <is>
          <t>Sveaskog</t>
        </is>
      </c>
      <c r="G712" t="n">
        <v>1.6</v>
      </c>
      <c r="H712" t="n">
        <v>0</v>
      </c>
      <c r="I712" t="n">
        <v>0</v>
      </c>
      <c r="J712" t="n">
        <v>1</v>
      </c>
      <c r="K712" t="n">
        <v>0</v>
      </c>
      <c r="L712" t="n">
        <v>0</v>
      </c>
      <c r="M712" t="n">
        <v>0</v>
      </c>
      <c r="N712" t="n">
        <v>0</v>
      </c>
      <c r="O712" t="n">
        <v>1</v>
      </c>
      <c r="P712" t="n">
        <v>0</v>
      </c>
      <c r="Q712" t="n">
        <v>1</v>
      </c>
      <c r="R712" s="2" t="inlineStr">
        <is>
          <t>Lunglav</t>
        </is>
      </c>
      <c r="S712">
        <f>HYPERLINK("https://klasma.github.io/Logging_2161/artfynd/A 21900-2024 artfynd.xlsx", "A 21900-2024")</f>
        <v/>
      </c>
      <c r="T712">
        <f>HYPERLINK("https://klasma.github.io/Logging_2161/kartor/A 21900-2024 karta.png", "A 21900-2024")</f>
        <v/>
      </c>
      <c r="U712">
        <f>HYPERLINK("https://klasma.github.io/Logging_2161/knärot/A 21900-2024 karta knärot.png", "A 21900-2024")</f>
        <v/>
      </c>
      <c r="V712">
        <f>HYPERLINK("https://klasma.github.io/Logging_2161/klagomål/A 21900-2024 FSC-klagomål.docx", "A 21900-2024")</f>
        <v/>
      </c>
      <c r="W712">
        <f>HYPERLINK("https://klasma.github.io/Logging_2161/klagomålsmail/A 21900-2024 FSC-klagomål mail.docx", "A 21900-2024")</f>
        <v/>
      </c>
      <c r="X712">
        <f>HYPERLINK("https://klasma.github.io/Logging_2161/tillsyn/A 21900-2024 tillsynsbegäran.docx", "A 21900-2024")</f>
        <v/>
      </c>
      <c r="Y712">
        <f>HYPERLINK("https://klasma.github.io/Logging_2161/tillsynsmail/A 21900-2024 tillsynsbegäran mail.docx", "A 21900-2024")</f>
        <v/>
      </c>
    </row>
    <row r="713" ht="15" customHeight="1">
      <c r="A713" t="inlineStr">
        <is>
          <t>A 58074-2024</t>
        </is>
      </c>
      <c r="B713" s="1" t="n">
        <v>45632.28496527778</v>
      </c>
      <c r="C713" s="1" t="n">
        <v>46086</v>
      </c>
      <c r="D713" t="inlineStr">
        <is>
          <t>GÄVLEBORGS LÄN</t>
        </is>
      </c>
      <c r="E713" t="inlineStr">
        <is>
          <t>SÖDERHAMN</t>
        </is>
      </c>
      <c r="F713" t="inlineStr">
        <is>
          <t>Bergvik skog väst AB</t>
        </is>
      </c>
      <c r="G713" t="n">
        <v>1.9</v>
      </c>
      <c r="H713" t="n">
        <v>0</v>
      </c>
      <c r="I713" t="n">
        <v>0</v>
      </c>
      <c r="J713" t="n">
        <v>1</v>
      </c>
      <c r="K713" t="n">
        <v>0</v>
      </c>
      <c r="L713" t="n">
        <v>0</v>
      </c>
      <c r="M713" t="n">
        <v>0</v>
      </c>
      <c r="N713" t="n">
        <v>0</v>
      </c>
      <c r="O713" t="n">
        <v>1</v>
      </c>
      <c r="P713" t="n">
        <v>0</v>
      </c>
      <c r="Q713" t="n">
        <v>1</v>
      </c>
      <c r="R713" s="2" t="inlineStr">
        <is>
          <t>Doftskinn</t>
        </is>
      </c>
      <c r="S713">
        <f>HYPERLINK("https://klasma.github.io/Logging_2182/artfynd/A 58074-2024 artfynd.xlsx", "A 58074-2024")</f>
        <v/>
      </c>
      <c r="T713">
        <f>HYPERLINK("https://klasma.github.io/Logging_2182/kartor/A 58074-2024 karta.png", "A 58074-2024")</f>
        <v/>
      </c>
      <c r="V713">
        <f>HYPERLINK("https://klasma.github.io/Logging_2182/klagomål/A 58074-2024 FSC-klagomål.docx", "A 58074-2024")</f>
        <v/>
      </c>
      <c r="W713">
        <f>HYPERLINK("https://klasma.github.io/Logging_2182/klagomålsmail/A 58074-2024 FSC-klagomål mail.docx", "A 58074-2024")</f>
        <v/>
      </c>
      <c r="X713">
        <f>HYPERLINK("https://klasma.github.io/Logging_2182/tillsyn/A 58074-2024 tillsynsbegäran.docx", "A 58074-2024")</f>
        <v/>
      </c>
      <c r="Y713">
        <f>HYPERLINK("https://klasma.github.io/Logging_2182/tillsynsmail/A 58074-2024 tillsynsbegäran mail.docx", "A 58074-2024")</f>
        <v/>
      </c>
    </row>
    <row r="714" ht="15" customHeight="1">
      <c r="A714" t="inlineStr">
        <is>
          <t>A 37927-2022</t>
        </is>
      </c>
      <c r="B714" s="1" t="n">
        <v>44811</v>
      </c>
      <c r="C714" s="1" t="n">
        <v>46086</v>
      </c>
      <c r="D714" t="inlineStr">
        <is>
          <t>GÄVLEBORGS LÄN</t>
        </is>
      </c>
      <c r="E714" t="inlineStr">
        <is>
          <t>GÄVLE</t>
        </is>
      </c>
      <c r="G714" t="n">
        <v>1.6</v>
      </c>
      <c r="H714" t="n">
        <v>1</v>
      </c>
      <c r="I714" t="n">
        <v>0</v>
      </c>
      <c r="J714" t="n">
        <v>0</v>
      </c>
      <c r="K714" t="n">
        <v>1</v>
      </c>
      <c r="L714" t="n">
        <v>0</v>
      </c>
      <c r="M714" t="n">
        <v>0</v>
      </c>
      <c r="N714" t="n">
        <v>0</v>
      </c>
      <c r="O714" t="n">
        <v>1</v>
      </c>
      <c r="P714" t="n">
        <v>1</v>
      </c>
      <c r="Q714" t="n">
        <v>1</v>
      </c>
      <c r="R714" s="2" t="inlineStr">
        <is>
          <t>Knärot</t>
        </is>
      </c>
      <c r="S714">
        <f>HYPERLINK("https://klasma.github.io/Logging_2180/artfynd/A 37927-2022 artfynd.xlsx", "A 37927-2022")</f>
        <v/>
      </c>
      <c r="T714">
        <f>HYPERLINK("https://klasma.github.io/Logging_2180/kartor/A 37927-2022 karta.png", "A 37927-2022")</f>
        <v/>
      </c>
      <c r="U714">
        <f>HYPERLINK("https://klasma.github.io/Logging_2180/knärot/A 37927-2022 karta knärot.png", "A 37927-2022")</f>
        <v/>
      </c>
      <c r="V714">
        <f>HYPERLINK("https://klasma.github.io/Logging_2180/klagomål/A 37927-2022 FSC-klagomål.docx", "A 37927-2022")</f>
        <v/>
      </c>
      <c r="W714">
        <f>HYPERLINK("https://klasma.github.io/Logging_2180/klagomålsmail/A 37927-2022 FSC-klagomål mail.docx", "A 37927-2022")</f>
        <v/>
      </c>
      <c r="X714">
        <f>HYPERLINK("https://klasma.github.io/Logging_2180/tillsyn/A 37927-2022 tillsynsbegäran.docx", "A 37927-2022")</f>
        <v/>
      </c>
      <c r="Y714">
        <f>HYPERLINK("https://klasma.github.io/Logging_2180/tillsynsmail/A 37927-2022 tillsynsbegäran mail.docx", "A 37927-2022")</f>
        <v/>
      </c>
    </row>
    <row r="715" ht="15" customHeight="1">
      <c r="A715" t="inlineStr">
        <is>
          <t>A 28822-2024</t>
        </is>
      </c>
      <c r="B715" s="1" t="n">
        <v>45478</v>
      </c>
      <c r="C715" s="1" t="n">
        <v>46086</v>
      </c>
      <c r="D715" t="inlineStr">
        <is>
          <t>GÄVLEBORGS LÄN</t>
        </is>
      </c>
      <c r="E715" t="inlineStr">
        <is>
          <t>NORDANSTIG</t>
        </is>
      </c>
      <c r="G715" t="n">
        <v>7</v>
      </c>
      <c r="H715" t="n">
        <v>0</v>
      </c>
      <c r="I715" t="n">
        <v>0</v>
      </c>
      <c r="J715" t="n">
        <v>0</v>
      </c>
      <c r="K715" t="n">
        <v>1</v>
      </c>
      <c r="L715" t="n">
        <v>0</v>
      </c>
      <c r="M715" t="n">
        <v>0</v>
      </c>
      <c r="N715" t="n">
        <v>0</v>
      </c>
      <c r="O715" t="n">
        <v>1</v>
      </c>
      <c r="P715" t="n">
        <v>1</v>
      </c>
      <c r="Q715" t="n">
        <v>1</v>
      </c>
      <c r="R715" s="2" t="inlineStr">
        <is>
          <t>Aspgelélav</t>
        </is>
      </c>
      <c r="S715">
        <f>HYPERLINK("https://klasma.github.io/Logging_2132/artfynd/A 28822-2024 artfynd.xlsx", "A 28822-2024")</f>
        <v/>
      </c>
      <c r="T715">
        <f>HYPERLINK("https://klasma.github.io/Logging_2132/kartor/A 28822-2024 karta.png", "A 28822-2024")</f>
        <v/>
      </c>
      <c r="V715">
        <f>HYPERLINK("https://klasma.github.io/Logging_2132/klagomål/A 28822-2024 FSC-klagomål.docx", "A 28822-2024")</f>
        <v/>
      </c>
      <c r="W715">
        <f>HYPERLINK("https://klasma.github.io/Logging_2132/klagomålsmail/A 28822-2024 FSC-klagomål mail.docx", "A 28822-2024")</f>
        <v/>
      </c>
      <c r="X715">
        <f>HYPERLINK("https://klasma.github.io/Logging_2132/tillsyn/A 28822-2024 tillsynsbegäran.docx", "A 28822-2024")</f>
        <v/>
      </c>
      <c r="Y715">
        <f>HYPERLINK("https://klasma.github.io/Logging_2132/tillsynsmail/A 28822-2024 tillsynsbegäran mail.docx", "A 28822-2024")</f>
        <v/>
      </c>
    </row>
    <row r="716" ht="15" customHeight="1">
      <c r="A716" t="inlineStr">
        <is>
          <t>A 30115-2024</t>
        </is>
      </c>
      <c r="B716" s="1" t="n">
        <v>45489.47310185185</v>
      </c>
      <c r="C716" s="1" t="n">
        <v>46086</v>
      </c>
      <c r="D716" t="inlineStr">
        <is>
          <t>GÄVLEBORGS LÄN</t>
        </is>
      </c>
      <c r="E716" t="inlineStr">
        <is>
          <t>LJUSDAL</t>
        </is>
      </c>
      <c r="F716" t="inlineStr">
        <is>
          <t>Sveaskog</t>
        </is>
      </c>
      <c r="G716" t="n">
        <v>3.7</v>
      </c>
      <c r="H716" t="n">
        <v>0</v>
      </c>
      <c r="I716" t="n">
        <v>0</v>
      </c>
      <c r="J716" t="n">
        <v>1</v>
      </c>
      <c r="K716" t="n">
        <v>0</v>
      </c>
      <c r="L716" t="n">
        <v>0</v>
      </c>
      <c r="M716" t="n">
        <v>0</v>
      </c>
      <c r="N716" t="n">
        <v>0</v>
      </c>
      <c r="O716" t="n">
        <v>1</v>
      </c>
      <c r="P716" t="n">
        <v>0</v>
      </c>
      <c r="Q716" t="n">
        <v>1</v>
      </c>
      <c r="R716" s="2" t="inlineStr">
        <is>
          <t>Kolflarnlav</t>
        </is>
      </c>
      <c r="S716">
        <f>HYPERLINK("https://klasma.github.io/Logging_2161/artfynd/A 30115-2024 artfynd.xlsx", "A 30115-2024")</f>
        <v/>
      </c>
      <c r="T716">
        <f>HYPERLINK("https://klasma.github.io/Logging_2161/kartor/A 30115-2024 karta.png", "A 30115-2024")</f>
        <v/>
      </c>
      <c r="V716">
        <f>HYPERLINK("https://klasma.github.io/Logging_2161/klagomål/A 30115-2024 FSC-klagomål.docx", "A 30115-2024")</f>
        <v/>
      </c>
      <c r="W716">
        <f>HYPERLINK("https://klasma.github.io/Logging_2161/klagomålsmail/A 30115-2024 FSC-klagomål mail.docx", "A 30115-2024")</f>
        <v/>
      </c>
      <c r="X716">
        <f>HYPERLINK("https://klasma.github.io/Logging_2161/tillsyn/A 30115-2024 tillsynsbegäran.docx", "A 30115-2024")</f>
        <v/>
      </c>
      <c r="Y716">
        <f>HYPERLINK("https://klasma.github.io/Logging_2161/tillsynsmail/A 30115-2024 tillsynsbegäran mail.docx", "A 30115-2024")</f>
        <v/>
      </c>
    </row>
    <row r="717" ht="15" customHeight="1">
      <c r="A717" t="inlineStr">
        <is>
          <t>A 53015-2024</t>
        </is>
      </c>
      <c r="B717" s="1" t="n">
        <v>45611.40582175926</v>
      </c>
      <c r="C717" s="1" t="n">
        <v>46086</v>
      </c>
      <c r="D717" t="inlineStr">
        <is>
          <t>GÄVLEBORGS LÄN</t>
        </is>
      </c>
      <c r="E717" t="inlineStr">
        <is>
          <t>HUDIKSVALL</t>
        </is>
      </c>
      <c r="G717" t="n">
        <v>21</v>
      </c>
      <c r="H717" t="n">
        <v>0</v>
      </c>
      <c r="I717" t="n">
        <v>1</v>
      </c>
      <c r="J717" t="n">
        <v>0</v>
      </c>
      <c r="K717" t="n">
        <v>0</v>
      </c>
      <c r="L717" t="n">
        <v>0</v>
      </c>
      <c r="M717" t="n">
        <v>0</v>
      </c>
      <c r="N717" t="n">
        <v>0</v>
      </c>
      <c r="O717" t="n">
        <v>0</v>
      </c>
      <c r="P717" t="n">
        <v>0</v>
      </c>
      <c r="Q717" t="n">
        <v>1</v>
      </c>
      <c r="R717" s="2" t="inlineStr">
        <is>
          <t>Stuplav</t>
        </is>
      </c>
      <c r="S717">
        <f>HYPERLINK("https://klasma.github.io/Logging_2184/artfynd/A 53015-2024 artfynd.xlsx", "A 53015-2024")</f>
        <v/>
      </c>
      <c r="T717">
        <f>HYPERLINK("https://klasma.github.io/Logging_2184/kartor/A 53015-2024 karta.png", "A 53015-2024")</f>
        <v/>
      </c>
      <c r="V717">
        <f>HYPERLINK("https://klasma.github.io/Logging_2184/klagomål/A 53015-2024 FSC-klagomål.docx", "A 53015-2024")</f>
        <v/>
      </c>
      <c r="W717">
        <f>HYPERLINK("https://klasma.github.io/Logging_2184/klagomålsmail/A 53015-2024 FSC-klagomål mail.docx", "A 53015-2024")</f>
        <v/>
      </c>
      <c r="X717">
        <f>HYPERLINK("https://klasma.github.io/Logging_2184/tillsyn/A 53015-2024 tillsynsbegäran.docx", "A 53015-2024")</f>
        <v/>
      </c>
      <c r="Y717">
        <f>HYPERLINK("https://klasma.github.io/Logging_2184/tillsynsmail/A 53015-2024 tillsynsbegäran mail.docx", "A 53015-2024")</f>
        <v/>
      </c>
    </row>
    <row r="718" ht="15" customHeight="1">
      <c r="A718" t="inlineStr">
        <is>
          <t>A 53286-2023</t>
        </is>
      </c>
      <c r="B718" s="1" t="n">
        <v>45229.57386574074</v>
      </c>
      <c r="C718" s="1" t="n">
        <v>46086</v>
      </c>
      <c r="D718" t="inlineStr">
        <is>
          <t>GÄVLEBORGS LÄN</t>
        </is>
      </c>
      <c r="E718" t="inlineStr">
        <is>
          <t>LJUSDAL</t>
        </is>
      </c>
      <c r="F718" t="inlineStr">
        <is>
          <t>Sveaskog</t>
        </is>
      </c>
      <c r="G718" t="n">
        <v>8</v>
      </c>
      <c r="H718" t="n">
        <v>0</v>
      </c>
      <c r="I718" t="n">
        <v>0</v>
      </c>
      <c r="J718" t="n">
        <v>1</v>
      </c>
      <c r="K718" t="n">
        <v>0</v>
      </c>
      <c r="L718" t="n">
        <v>0</v>
      </c>
      <c r="M718" t="n">
        <v>0</v>
      </c>
      <c r="N718" t="n">
        <v>0</v>
      </c>
      <c r="O718" t="n">
        <v>1</v>
      </c>
      <c r="P718" t="n">
        <v>0</v>
      </c>
      <c r="Q718" t="n">
        <v>1</v>
      </c>
      <c r="R718" s="2" t="inlineStr">
        <is>
          <t>Kolflarnlav</t>
        </is>
      </c>
      <c r="S718">
        <f>HYPERLINK("https://klasma.github.io/Logging_2161/artfynd/A 53286-2023 artfynd.xlsx", "A 53286-2023")</f>
        <v/>
      </c>
      <c r="T718">
        <f>HYPERLINK("https://klasma.github.io/Logging_2161/kartor/A 53286-2023 karta.png", "A 53286-2023")</f>
        <v/>
      </c>
      <c r="V718">
        <f>HYPERLINK("https://klasma.github.io/Logging_2161/klagomål/A 53286-2023 FSC-klagomål.docx", "A 53286-2023")</f>
        <v/>
      </c>
      <c r="W718">
        <f>HYPERLINK("https://klasma.github.io/Logging_2161/klagomålsmail/A 53286-2023 FSC-klagomål mail.docx", "A 53286-2023")</f>
        <v/>
      </c>
      <c r="X718">
        <f>HYPERLINK("https://klasma.github.io/Logging_2161/tillsyn/A 53286-2023 tillsynsbegäran.docx", "A 53286-2023")</f>
        <v/>
      </c>
      <c r="Y718">
        <f>HYPERLINK("https://klasma.github.io/Logging_2161/tillsynsmail/A 53286-2023 tillsynsbegäran mail.docx", "A 53286-2023")</f>
        <v/>
      </c>
    </row>
    <row r="719" ht="15" customHeight="1">
      <c r="A719" t="inlineStr">
        <is>
          <t>A 40943-2023</t>
        </is>
      </c>
      <c r="B719" s="1" t="n">
        <v>45173</v>
      </c>
      <c r="C719" s="1" t="n">
        <v>46086</v>
      </c>
      <c r="D719" t="inlineStr">
        <is>
          <t>GÄVLEBORGS LÄN</t>
        </is>
      </c>
      <c r="E719" t="inlineStr">
        <is>
          <t>LJUSDAL</t>
        </is>
      </c>
      <c r="G719" t="n">
        <v>5.8</v>
      </c>
      <c r="H719" t="n">
        <v>0</v>
      </c>
      <c r="I719" t="n">
        <v>0</v>
      </c>
      <c r="J719" t="n">
        <v>1</v>
      </c>
      <c r="K719" t="n">
        <v>0</v>
      </c>
      <c r="L719" t="n">
        <v>0</v>
      </c>
      <c r="M719" t="n">
        <v>0</v>
      </c>
      <c r="N719" t="n">
        <v>0</v>
      </c>
      <c r="O719" t="n">
        <v>1</v>
      </c>
      <c r="P719" t="n">
        <v>0</v>
      </c>
      <c r="Q719" t="n">
        <v>1</v>
      </c>
      <c r="R719" s="2" t="inlineStr">
        <is>
          <t>Mörk kolflarnlav</t>
        </is>
      </c>
      <c r="S719">
        <f>HYPERLINK("https://klasma.github.io/Logging_2161/artfynd/A 40943-2023 artfynd.xlsx", "A 40943-2023")</f>
        <v/>
      </c>
      <c r="T719">
        <f>HYPERLINK("https://klasma.github.io/Logging_2161/kartor/A 40943-2023 karta.png", "A 40943-2023")</f>
        <v/>
      </c>
      <c r="V719">
        <f>HYPERLINK("https://klasma.github.io/Logging_2161/klagomål/A 40943-2023 FSC-klagomål.docx", "A 40943-2023")</f>
        <v/>
      </c>
      <c r="W719">
        <f>HYPERLINK("https://klasma.github.io/Logging_2161/klagomålsmail/A 40943-2023 FSC-klagomål mail.docx", "A 40943-2023")</f>
        <v/>
      </c>
      <c r="X719">
        <f>HYPERLINK("https://klasma.github.io/Logging_2161/tillsyn/A 40943-2023 tillsynsbegäran.docx", "A 40943-2023")</f>
        <v/>
      </c>
      <c r="Y719">
        <f>HYPERLINK("https://klasma.github.io/Logging_2161/tillsynsmail/A 40943-2023 tillsynsbegäran mail.docx", "A 40943-2023")</f>
        <v/>
      </c>
    </row>
    <row r="720" ht="15" customHeight="1">
      <c r="A720" t="inlineStr">
        <is>
          <t>A 3387-2024</t>
        </is>
      </c>
      <c r="B720" s="1" t="n">
        <v>45317</v>
      </c>
      <c r="C720" s="1" t="n">
        <v>46086</v>
      </c>
      <c r="D720" t="inlineStr">
        <is>
          <t>GÄVLEBORGS LÄN</t>
        </is>
      </c>
      <c r="E720" t="inlineStr">
        <is>
          <t>NORDANSTIG</t>
        </is>
      </c>
      <c r="F720" t="inlineStr">
        <is>
          <t>SCA</t>
        </is>
      </c>
      <c r="G720" t="n">
        <v>7.7</v>
      </c>
      <c r="H720" t="n">
        <v>1</v>
      </c>
      <c r="I720" t="n">
        <v>0</v>
      </c>
      <c r="J720" t="n">
        <v>0</v>
      </c>
      <c r="K720" t="n">
        <v>0</v>
      </c>
      <c r="L720" t="n">
        <v>0</v>
      </c>
      <c r="M720" t="n">
        <v>0</v>
      </c>
      <c r="N720" t="n">
        <v>0</v>
      </c>
      <c r="O720" t="n">
        <v>0</v>
      </c>
      <c r="P720" t="n">
        <v>0</v>
      </c>
      <c r="Q720" t="n">
        <v>1</v>
      </c>
      <c r="R720" s="2" t="inlineStr">
        <is>
          <t>Revlummer</t>
        </is>
      </c>
      <c r="S720">
        <f>HYPERLINK("https://klasma.github.io/Logging_2132/artfynd/A 3387-2024 artfynd.xlsx", "A 3387-2024")</f>
        <v/>
      </c>
      <c r="T720">
        <f>HYPERLINK("https://klasma.github.io/Logging_2132/kartor/A 3387-2024 karta.png", "A 3387-2024")</f>
        <v/>
      </c>
      <c r="V720">
        <f>HYPERLINK("https://klasma.github.io/Logging_2132/klagomål/A 3387-2024 FSC-klagomål.docx", "A 3387-2024")</f>
        <v/>
      </c>
      <c r="W720">
        <f>HYPERLINK("https://klasma.github.io/Logging_2132/klagomålsmail/A 3387-2024 FSC-klagomål mail.docx", "A 3387-2024")</f>
        <v/>
      </c>
      <c r="X720">
        <f>HYPERLINK("https://klasma.github.io/Logging_2132/tillsyn/A 3387-2024 tillsynsbegäran.docx", "A 3387-2024")</f>
        <v/>
      </c>
      <c r="Y720">
        <f>HYPERLINK("https://klasma.github.io/Logging_2132/tillsynsmail/A 3387-2024 tillsynsbegäran mail.docx", "A 3387-2024")</f>
        <v/>
      </c>
    </row>
    <row r="721" ht="15" customHeight="1">
      <c r="A721" t="inlineStr">
        <is>
          <t>A 9436-2025</t>
        </is>
      </c>
      <c r="B721" s="1" t="n">
        <v>45715.41275462963</v>
      </c>
      <c r="C721" s="1" t="n">
        <v>46086</v>
      </c>
      <c r="D721" t="inlineStr">
        <is>
          <t>GÄVLEBORGS LÄN</t>
        </is>
      </c>
      <c r="E721" t="inlineStr">
        <is>
          <t>GÄVLE</t>
        </is>
      </c>
      <c r="G721" t="n">
        <v>8.199999999999999</v>
      </c>
      <c r="H721" t="n">
        <v>0</v>
      </c>
      <c r="I721" t="n">
        <v>1</v>
      </c>
      <c r="J721" t="n">
        <v>0</v>
      </c>
      <c r="K721" t="n">
        <v>0</v>
      </c>
      <c r="L721" t="n">
        <v>0</v>
      </c>
      <c r="M721" t="n">
        <v>0</v>
      </c>
      <c r="N721" t="n">
        <v>0</v>
      </c>
      <c r="O721" t="n">
        <v>0</v>
      </c>
      <c r="P721" t="n">
        <v>0</v>
      </c>
      <c r="Q721" t="n">
        <v>1</v>
      </c>
      <c r="R721" s="2" t="inlineStr">
        <is>
          <t>Vågbandad barkbock</t>
        </is>
      </c>
      <c r="S721">
        <f>HYPERLINK("https://klasma.github.io/Logging_2180/artfynd/A 9436-2025 artfynd.xlsx", "A 9436-2025")</f>
        <v/>
      </c>
      <c r="T721">
        <f>HYPERLINK("https://klasma.github.io/Logging_2180/kartor/A 9436-2025 karta.png", "A 9436-2025")</f>
        <v/>
      </c>
      <c r="V721">
        <f>HYPERLINK("https://klasma.github.io/Logging_2180/klagomål/A 9436-2025 FSC-klagomål.docx", "A 9436-2025")</f>
        <v/>
      </c>
      <c r="W721">
        <f>HYPERLINK("https://klasma.github.io/Logging_2180/klagomålsmail/A 9436-2025 FSC-klagomål mail.docx", "A 9436-2025")</f>
        <v/>
      </c>
      <c r="X721">
        <f>HYPERLINK("https://klasma.github.io/Logging_2180/tillsyn/A 9436-2025 tillsynsbegäran.docx", "A 9436-2025")</f>
        <v/>
      </c>
      <c r="Y721">
        <f>HYPERLINK("https://klasma.github.io/Logging_2180/tillsynsmail/A 9436-2025 tillsynsbegäran mail.docx", "A 9436-2025")</f>
        <v/>
      </c>
    </row>
    <row r="722" ht="15" customHeight="1">
      <c r="A722" t="inlineStr">
        <is>
          <t>A 17471-2025</t>
        </is>
      </c>
      <c r="B722" s="1" t="n">
        <v>45757.47829861111</v>
      </c>
      <c r="C722" s="1" t="n">
        <v>46086</v>
      </c>
      <c r="D722" t="inlineStr">
        <is>
          <t>GÄVLEBORGS LÄN</t>
        </is>
      </c>
      <c r="E722" t="inlineStr">
        <is>
          <t>LJUSDAL</t>
        </is>
      </c>
      <c r="F722" t="inlineStr">
        <is>
          <t>Sveaskog</t>
        </is>
      </c>
      <c r="G722" t="n">
        <v>1.6</v>
      </c>
      <c r="H722" t="n">
        <v>0</v>
      </c>
      <c r="I722" t="n">
        <v>0</v>
      </c>
      <c r="J722" t="n">
        <v>1</v>
      </c>
      <c r="K722" t="n">
        <v>0</v>
      </c>
      <c r="L722" t="n">
        <v>0</v>
      </c>
      <c r="M722" t="n">
        <v>0</v>
      </c>
      <c r="N722" t="n">
        <v>0</v>
      </c>
      <c r="O722" t="n">
        <v>1</v>
      </c>
      <c r="P722" t="n">
        <v>0</v>
      </c>
      <c r="Q722" t="n">
        <v>1</v>
      </c>
      <c r="R722" s="2" t="inlineStr">
        <is>
          <t>Kolflarnlav</t>
        </is>
      </c>
      <c r="S722">
        <f>HYPERLINK("https://klasma.github.io/Logging_2161/artfynd/A 17471-2025 artfynd.xlsx", "A 17471-2025")</f>
        <v/>
      </c>
      <c r="T722">
        <f>HYPERLINK("https://klasma.github.io/Logging_2161/kartor/A 17471-2025 karta.png", "A 17471-2025")</f>
        <v/>
      </c>
      <c r="V722">
        <f>HYPERLINK("https://klasma.github.io/Logging_2161/klagomål/A 17471-2025 FSC-klagomål.docx", "A 17471-2025")</f>
        <v/>
      </c>
      <c r="W722">
        <f>HYPERLINK("https://klasma.github.io/Logging_2161/klagomålsmail/A 17471-2025 FSC-klagomål mail.docx", "A 17471-2025")</f>
        <v/>
      </c>
      <c r="X722">
        <f>HYPERLINK("https://klasma.github.io/Logging_2161/tillsyn/A 17471-2025 tillsynsbegäran.docx", "A 17471-2025")</f>
        <v/>
      </c>
      <c r="Y722">
        <f>HYPERLINK("https://klasma.github.io/Logging_2161/tillsynsmail/A 17471-2025 tillsynsbegäran mail.docx", "A 17471-2025")</f>
        <v/>
      </c>
    </row>
    <row r="723" ht="15" customHeight="1">
      <c r="A723" t="inlineStr">
        <is>
          <t>A 22096-2021</t>
        </is>
      </c>
      <c r="B723" s="1" t="n">
        <v>44323</v>
      </c>
      <c r="C723" s="1" t="n">
        <v>46086</v>
      </c>
      <c r="D723" t="inlineStr">
        <is>
          <t>GÄVLEBORGS LÄN</t>
        </is>
      </c>
      <c r="E723" t="inlineStr">
        <is>
          <t>HOFORS</t>
        </is>
      </c>
      <c r="F723" t="inlineStr">
        <is>
          <t>Sveaskog</t>
        </is>
      </c>
      <c r="G723" t="n">
        <v>1.7</v>
      </c>
      <c r="H723" t="n">
        <v>1</v>
      </c>
      <c r="I723" t="n">
        <v>0</v>
      </c>
      <c r="J723" t="n">
        <v>0</v>
      </c>
      <c r="K723" t="n">
        <v>1</v>
      </c>
      <c r="L723" t="n">
        <v>0</v>
      </c>
      <c r="M723" t="n">
        <v>0</v>
      </c>
      <c r="N723" t="n">
        <v>0</v>
      </c>
      <c r="O723" t="n">
        <v>1</v>
      </c>
      <c r="P723" t="n">
        <v>1</v>
      </c>
      <c r="Q723" t="n">
        <v>1</v>
      </c>
      <c r="R723" s="2" t="inlineStr">
        <is>
          <t>Knärot</t>
        </is>
      </c>
      <c r="S723">
        <f>HYPERLINK("https://klasma.github.io/Logging_2104/artfynd/A 22096-2021 artfynd.xlsx", "A 22096-2021")</f>
        <v/>
      </c>
      <c r="T723">
        <f>HYPERLINK("https://klasma.github.io/Logging_2104/kartor/A 22096-2021 karta.png", "A 22096-2021")</f>
        <v/>
      </c>
      <c r="U723">
        <f>HYPERLINK("https://klasma.github.io/Logging_2104/knärot/A 22096-2021 karta knärot.png", "A 22096-2021")</f>
        <v/>
      </c>
      <c r="V723">
        <f>HYPERLINK("https://klasma.github.io/Logging_2104/klagomål/A 22096-2021 FSC-klagomål.docx", "A 22096-2021")</f>
        <v/>
      </c>
      <c r="W723">
        <f>HYPERLINK("https://klasma.github.io/Logging_2104/klagomålsmail/A 22096-2021 FSC-klagomål mail.docx", "A 22096-2021")</f>
        <v/>
      </c>
      <c r="X723">
        <f>HYPERLINK("https://klasma.github.io/Logging_2104/tillsyn/A 22096-2021 tillsynsbegäran.docx", "A 22096-2021")</f>
        <v/>
      </c>
      <c r="Y723">
        <f>HYPERLINK("https://klasma.github.io/Logging_2104/tillsynsmail/A 22096-2021 tillsynsbegäran mail.docx", "A 22096-2021")</f>
        <v/>
      </c>
    </row>
    <row r="724" ht="15" customHeight="1">
      <c r="A724" t="inlineStr">
        <is>
          <t>A 21029-2024</t>
        </is>
      </c>
      <c r="B724" s="1" t="n">
        <v>45439.6528125</v>
      </c>
      <c r="C724" s="1" t="n">
        <v>46086</v>
      </c>
      <c r="D724" t="inlineStr">
        <is>
          <t>GÄVLEBORGS LÄN</t>
        </is>
      </c>
      <c r="E724" t="inlineStr">
        <is>
          <t>HOFORS</t>
        </is>
      </c>
      <c r="F724" t="inlineStr">
        <is>
          <t>Sveaskog</t>
        </is>
      </c>
      <c r="G724" t="n">
        <v>3.9</v>
      </c>
      <c r="H724" t="n">
        <v>0</v>
      </c>
      <c r="I724" t="n">
        <v>0</v>
      </c>
      <c r="J724" t="n">
        <v>1</v>
      </c>
      <c r="K724" t="n">
        <v>0</v>
      </c>
      <c r="L724" t="n">
        <v>0</v>
      </c>
      <c r="M724" t="n">
        <v>0</v>
      </c>
      <c r="N724" t="n">
        <v>0</v>
      </c>
      <c r="O724" t="n">
        <v>1</v>
      </c>
      <c r="P724" t="n">
        <v>0</v>
      </c>
      <c r="Q724" t="n">
        <v>1</v>
      </c>
      <c r="R724" s="2" t="inlineStr">
        <is>
          <t>Mörk kolflarnlav</t>
        </is>
      </c>
      <c r="S724">
        <f>HYPERLINK("https://klasma.github.io/Logging_2104/artfynd/A 21029-2024 artfynd.xlsx", "A 21029-2024")</f>
        <v/>
      </c>
      <c r="T724">
        <f>HYPERLINK("https://klasma.github.io/Logging_2104/kartor/A 21029-2024 karta.png", "A 21029-2024")</f>
        <v/>
      </c>
      <c r="U724">
        <f>HYPERLINK("https://klasma.github.io/Logging_2104/knärot/A 21029-2024 karta knärot.png", "A 21029-2024")</f>
        <v/>
      </c>
      <c r="V724">
        <f>HYPERLINK("https://klasma.github.io/Logging_2104/klagomål/A 21029-2024 FSC-klagomål.docx", "A 21029-2024")</f>
        <v/>
      </c>
      <c r="W724">
        <f>HYPERLINK("https://klasma.github.io/Logging_2104/klagomålsmail/A 21029-2024 FSC-klagomål mail.docx", "A 21029-2024")</f>
        <v/>
      </c>
      <c r="X724">
        <f>HYPERLINK("https://klasma.github.io/Logging_2104/tillsyn/A 21029-2024 tillsynsbegäran.docx", "A 21029-2024")</f>
        <v/>
      </c>
      <c r="Y724">
        <f>HYPERLINK("https://klasma.github.io/Logging_2104/tillsynsmail/A 21029-2024 tillsynsbegäran mail.docx", "A 21029-2024")</f>
        <v/>
      </c>
    </row>
    <row r="725" ht="15" customHeight="1">
      <c r="A725" t="inlineStr">
        <is>
          <t>A 53508-2024</t>
        </is>
      </c>
      <c r="B725" s="1" t="n">
        <v>45614.59193287037</v>
      </c>
      <c r="C725" s="1" t="n">
        <v>46086</v>
      </c>
      <c r="D725" t="inlineStr">
        <is>
          <t>GÄVLEBORGS LÄN</t>
        </is>
      </c>
      <c r="E725" t="inlineStr">
        <is>
          <t>LJUSDAL</t>
        </is>
      </c>
      <c r="G725" t="n">
        <v>2.4</v>
      </c>
      <c r="H725" t="n">
        <v>0</v>
      </c>
      <c r="I725" t="n">
        <v>0</v>
      </c>
      <c r="J725" t="n">
        <v>1</v>
      </c>
      <c r="K725" t="n">
        <v>0</v>
      </c>
      <c r="L725" t="n">
        <v>0</v>
      </c>
      <c r="M725" t="n">
        <v>0</v>
      </c>
      <c r="N725" t="n">
        <v>0</v>
      </c>
      <c r="O725" t="n">
        <v>1</v>
      </c>
      <c r="P725" t="n">
        <v>0</v>
      </c>
      <c r="Q725" t="n">
        <v>1</v>
      </c>
      <c r="R725" s="2" t="inlineStr">
        <is>
          <t>Lunglav</t>
        </is>
      </c>
      <c r="S725">
        <f>HYPERLINK("https://klasma.github.io/Logging_2161/artfynd/A 53508-2024 artfynd.xlsx", "A 53508-2024")</f>
        <v/>
      </c>
      <c r="T725">
        <f>HYPERLINK("https://klasma.github.io/Logging_2161/kartor/A 53508-2024 karta.png", "A 53508-2024")</f>
        <v/>
      </c>
      <c r="V725">
        <f>HYPERLINK("https://klasma.github.io/Logging_2161/klagomål/A 53508-2024 FSC-klagomål.docx", "A 53508-2024")</f>
        <v/>
      </c>
      <c r="W725">
        <f>HYPERLINK("https://klasma.github.io/Logging_2161/klagomålsmail/A 53508-2024 FSC-klagomål mail.docx", "A 53508-2024")</f>
        <v/>
      </c>
      <c r="X725">
        <f>HYPERLINK("https://klasma.github.io/Logging_2161/tillsyn/A 53508-2024 tillsynsbegäran.docx", "A 53508-2024")</f>
        <v/>
      </c>
      <c r="Y725">
        <f>HYPERLINK("https://klasma.github.io/Logging_2161/tillsynsmail/A 53508-2024 tillsynsbegäran mail.docx", "A 53508-2024")</f>
        <v/>
      </c>
    </row>
    <row r="726" ht="15" customHeight="1">
      <c r="A726" t="inlineStr">
        <is>
          <t>A 22731-2022</t>
        </is>
      </c>
      <c r="B726" s="1" t="n">
        <v>44714.65887731482</v>
      </c>
      <c r="C726" s="1" t="n">
        <v>46086</v>
      </c>
      <c r="D726" t="inlineStr">
        <is>
          <t>GÄVLEBORGS LÄN</t>
        </is>
      </c>
      <c r="E726" t="inlineStr">
        <is>
          <t>BOLLNÄS</t>
        </is>
      </c>
      <c r="G726" t="n">
        <v>3.1</v>
      </c>
      <c r="H726" t="n">
        <v>0</v>
      </c>
      <c r="I726" t="n">
        <v>0</v>
      </c>
      <c r="J726" t="n">
        <v>1</v>
      </c>
      <c r="K726" t="n">
        <v>0</v>
      </c>
      <c r="L726" t="n">
        <v>0</v>
      </c>
      <c r="M726" t="n">
        <v>0</v>
      </c>
      <c r="N726" t="n">
        <v>0</v>
      </c>
      <c r="O726" t="n">
        <v>1</v>
      </c>
      <c r="P726" t="n">
        <v>0</v>
      </c>
      <c r="Q726" t="n">
        <v>1</v>
      </c>
      <c r="R726" s="2" t="inlineStr">
        <is>
          <t>Brunklöver</t>
        </is>
      </c>
      <c r="S726">
        <f>HYPERLINK("https://klasma.github.io/Logging_2183/artfynd/A 22731-2022 artfynd.xlsx", "A 22731-2022")</f>
        <v/>
      </c>
      <c r="T726">
        <f>HYPERLINK("https://klasma.github.io/Logging_2183/kartor/A 22731-2022 karta.png", "A 22731-2022")</f>
        <v/>
      </c>
      <c r="V726">
        <f>HYPERLINK("https://klasma.github.io/Logging_2183/klagomål/A 22731-2022 FSC-klagomål.docx", "A 22731-2022")</f>
        <v/>
      </c>
      <c r="W726">
        <f>HYPERLINK("https://klasma.github.io/Logging_2183/klagomålsmail/A 22731-2022 FSC-klagomål mail.docx", "A 22731-2022")</f>
        <v/>
      </c>
      <c r="X726">
        <f>HYPERLINK("https://klasma.github.io/Logging_2183/tillsyn/A 22731-2022 tillsynsbegäran.docx", "A 22731-2022")</f>
        <v/>
      </c>
      <c r="Y726">
        <f>HYPERLINK("https://klasma.github.io/Logging_2183/tillsynsmail/A 22731-2022 tillsynsbegäran mail.docx", "A 22731-2022")</f>
        <v/>
      </c>
    </row>
    <row r="727" ht="15" customHeight="1">
      <c r="A727" t="inlineStr">
        <is>
          <t>A 24451-2022</t>
        </is>
      </c>
      <c r="B727" s="1" t="n">
        <v>44726</v>
      </c>
      <c r="C727" s="1" t="n">
        <v>46086</v>
      </c>
      <c r="D727" t="inlineStr">
        <is>
          <t>GÄVLEBORGS LÄN</t>
        </is>
      </c>
      <c r="E727" t="inlineStr">
        <is>
          <t>HUDIKSVALL</t>
        </is>
      </c>
      <c r="F727" t="inlineStr">
        <is>
          <t>Holmen skog AB</t>
        </is>
      </c>
      <c r="G727" t="n">
        <v>3</v>
      </c>
      <c r="H727" t="n">
        <v>0</v>
      </c>
      <c r="I727" t="n">
        <v>0</v>
      </c>
      <c r="J727" t="n">
        <v>1</v>
      </c>
      <c r="K727" t="n">
        <v>0</v>
      </c>
      <c r="L727" t="n">
        <v>0</v>
      </c>
      <c r="M727" t="n">
        <v>0</v>
      </c>
      <c r="N727" t="n">
        <v>0</v>
      </c>
      <c r="O727" t="n">
        <v>1</v>
      </c>
      <c r="P727" t="n">
        <v>0</v>
      </c>
      <c r="Q727" t="n">
        <v>1</v>
      </c>
      <c r="R727" s="2" t="inlineStr">
        <is>
          <t>Vitgrynig nållav</t>
        </is>
      </c>
      <c r="S727">
        <f>HYPERLINK("https://klasma.github.io/Logging_2184/artfynd/A 24451-2022 artfynd.xlsx", "A 24451-2022")</f>
        <v/>
      </c>
      <c r="T727">
        <f>HYPERLINK("https://klasma.github.io/Logging_2184/kartor/A 24451-2022 karta.png", "A 24451-2022")</f>
        <v/>
      </c>
      <c r="V727">
        <f>HYPERLINK("https://klasma.github.io/Logging_2184/klagomål/A 24451-2022 FSC-klagomål.docx", "A 24451-2022")</f>
        <v/>
      </c>
      <c r="W727">
        <f>HYPERLINK("https://klasma.github.io/Logging_2184/klagomålsmail/A 24451-2022 FSC-klagomål mail.docx", "A 24451-2022")</f>
        <v/>
      </c>
      <c r="X727">
        <f>HYPERLINK("https://klasma.github.io/Logging_2184/tillsyn/A 24451-2022 tillsynsbegäran.docx", "A 24451-2022")</f>
        <v/>
      </c>
      <c r="Y727">
        <f>HYPERLINK("https://klasma.github.io/Logging_2184/tillsynsmail/A 24451-2022 tillsynsbegäran mail.docx", "A 24451-2022")</f>
        <v/>
      </c>
    </row>
    <row r="728" ht="15" customHeight="1">
      <c r="A728" t="inlineStr">
        <is>
          <t>A 47219-2024</t>
        </is>
      </c>
      <c r="B728" s="1" t="n">
        <v>45586</v>
      </c>
      <c r="C728" s="1" t="n">
        <v>46086</v>
      </c>
      <c r="D728" t="inlineStr">
        <is>
          <t>GÄVLEBORGS LÄN</t>
        </is>
      </c>
      <c r="E728" t="inlineStr">
        <is>
          <t>HOFORS</t>
        </is>
      </c>
      <c r="F728" t="inlineStr">
        <is>
          <t>Sveaskog</t>
        </is>
      </c>
      <c r="G728" t="n">
        <v>8.300000000000001</v>
      </c>
      <c r="H728" t="n">
        <v>0</v>
      </c>
      <c r="I728" t="n">
        <v>0</v>
      </c>
      <c r="J728" t="n">
        <v>1</v>
      </c>
      <c r="K728" t="n">
        <v>0</v>
      </c>
      <c r="L728" t="n">
        <v>0</v>
      </c>
      <c r="M728" t="n">
        <v>0</v>
      </c>
      <c r="N728" t="n">
        <v>0</v>
      </c>
      <c r="O728" t="n">
        <v>1</v>
      </c>
      <c r="P728" t="n">
        <v>0</v>
      </c>
      <c r="Q728" t="n">
        <v>1</v>
      </c>
      <c r="R728" s="2" t="inlineStr">
        <is>
          <t>Motaggsvamp</t>
        </is>
      </c>
      <c r="S728">
        <f>HYPERLINK("https://klasma.github.io/Logging_2104/artfynd/A 47219-2024 artfynd.xlsx", "A 47219-2024")</f>
        <v/>
      </c>
      <c r="T728">
        <f>HYPERLINK("https://klasma.github.io/Logging_2104/kartor/A 47219-2024 karta.png", "A 47219-2024")</f>
        <v/>
      </c>
      <c r="V728">
        <f>HYPERLINK("https://klasma.github.io/Logging_2104/klagomål/A 47219-2024 FSC-klagomål.docx", "A 47219-2024")</f>
        <v/>
      </c>
      <c r="W728">
        <f>HYPERLINK("https://klasma.github.io/Logging_2104/klagomålsmail/A 47219-2024 FSC-klagomål mail.docx", "A 47219-2024")</f>
        <v/>
      </c>
      <c r="X728">
        <f>HYPERLINK("https://klasma.github.io/Logging_2104/tillsyn/A 47219-2024 tillsynsbegäran.docx", "A 47219-2024")</f>
        <v/>
      </c>
      <c r="Y728">
        <f>HYPERLINK("https://klasma.github.io/Logging_2104/tillsynsmail/A 47219-2024 tillsynsbegäran mail.docx", "A 47219-2024")</f>
        <v/>
      </c>
    </row>
    <row r="729" ht="15" customHeight="1">
      <c r="A729" t="inlineStr">
        <is>
          <t>A 21282-2025</t>
        </is>
      </c>
      <c r="B729" s="1" t="n">
        <v>45779.6665162037</v>
      </c>
      <c r="C729" s="1" t="n">
        <v>46086</v>
      </c>
      <c r="D729" t="inlineStr">
        <is>
          <t>GÄVLEBORGS LÄN</t>
        </is>
      </c>
      <c r="E729" t="inlineStr">
        <is>
          <t>LJUSDAL</t>
        </is>
      </c>
      <c r="F729" t="inlineStr">
        <is>
          <t>Sveaskog</t>
        </is>
      </c>
      <c r="G729" t="n">
        <v>9.6</v>
      </c>
      <c r="H729" t="n">
        <v>0</v>
      </c>
      <c r="I729" t="n">
        <v>0</v>
      </c>
      <c r="J729" t="n">
        <v>1</v>
      </c>
      <c r="K729" t="n">
        <v>0</v>
      </c>
      <c r="L729" t="n">
        <v>0</v>
      </c>
      <c r="M729" t="n">
        <v>0</v>
      </c>
      <c r="N729" t="n">
        <v>0</v>
      </c>
      <c r="O729" t="n">
        <v>1</v>
      </c>
      <c r="P729" t="n">
        <v>0</v>
      </c>
      <c r="Q729" t="n">
        <v>1</v>
      </c>
      <c r="R729" s="2" t="inlineStr">
        <is>
          <t>Lunglav</t>
        </is>
      </c>
      <c r="S729">
        <f>HYPERLINK("https://klasma.github.io/Logging_2161/artfynd/A 21282-2025 artfynd.xlsx", "A 21282-2025")</f>
        <v/>
      </c>
      <c r="T729">
        <f>HYPERLINK("https://klasma.github.io/Logging_2161/kartor/A 21282-2025 karta.png", "A 21282-2025")</f>
        <v/>
      </c>
      <c r="V729">
        <f>HYPERLINK("https://klasma.github.io/Logging_2161/klagomål/A 21282-2025 FSC-klagomål.docx", "A 21282-2025")</f>
        <v/>
      </c>
      <c r="W729">
        <f>HYPERLINK("https://klasma.github.io/Logging_2161/klagomålsmail/A 21282-2025 FSC-klagomål mail.docx", "A 21282-2025")</f>
        <v/>
      </c>
      <c r="X729">
        <f>HYPERLINK("https://klasma.github.io/Logging_2161/tillsyn/A 21282-2025 tillsynsbegäran.docx", "A 21282-2025")</f>
        <v/>
      </c>
      <c r="Y729">
        <f>HYPERLINK("https://klasma.github.io/Logging_2161/tillsynsmail/A 21282-2025 tillsynsbegäran mail.docx", "A 21282-2025")</f>
        <v/>
      </c>
    </row>
    <row r="730" ht="15" customHeight="1">
      <c r="A730" t="inlineStr">
        <is>
          <t>A 22131-2025</t>
        </is>
      </c>
      <c r="B730" s="1" t="n">
        <v>45785.53472222222</v>
      </c>
      <c r="C730" s="1" t="n">
        <v>46086</v>
      </c>
      <c r="D730" t="inlineStr">
        <is>
          <t>GÄVLEBORGS LÄN</t>
        </is>
      </c>
      <c r="E730" t="inlineStr">
        <is>
          <t>HUDIKSVALL</t>
        </is>
      </c>
      <c r="G730" t="n">
        <v>6.6</v>
      </c>
      <c r="H730" t="n">
        <v>1</v>
      </c>
      <c r="I730" t="n">
        <v>0</v>
      </c>
      <c r="J730" t="n">
        <v>0</v>
      </c>
      <c r="K730" t="n">
        <v>1</v>
      </c>
      <c r="L730" t="n">
        <v>0</v>
      </c>
      <c r="M730" t="n">
        <v>0</v>
      </c>
      <c r="N730" t="n">
        <v>0</v>
      </c>
      <c r="O730" t="n">
        <v>1</v>
      </c>
      <c r="P730" t="n">
        <v>1</v>
      </c>
      <c r="Q730" t="n">
        <v>1</v>
      </c>
      <c r="R730" s="2" t="inlineStr">
        <is>
          <t>Knärot</t>
        </is>
      </c>
      <c r="S730">
        <f>HYPERLINK("https://klasma.github.io/Logging_2184/artfynd/A 22131-2025 artfynd.xlsx", "A 22131-2025")</f>
        <v/>
      </c>
      <c r="T730">
        <f>HYPERLINK("https://klasma.github.io/Logging_2184/kartor/A 22131-2025 karta.png", "A 22131-2025")</f>
        <v/>
      </c>
      <c r="U730">
        <f>HYPERLINK("https://klasma.github.io/Logging_2184/knärot/A 22131-2025 karta knärot.png", "A 22131-2025")</f>
        <v/>
      </c>
      <c r="V730">
        <f>HYPERLINK("https://klasma.github.io/Logging_2184/klagomål/A 22131-2025 FSC-klagomål.docx", "A 22131-2025")</f>
        <v/>
      </c>
      <c r="W730">
        <f>HYPERLINK("https://klasma.github.io/Logging_2184/klagomålsmail/A 22131-2025 FSC-klagomål mail.docx", "A 22131-2025")</f>
        <v/>
      </c>
      <c r="X730">
        <f>HYPERLINK("https://klasma.github.io/Logging_2184/tillsyn/A 22131-2025 tillsynsbegäran.docx", "A 22131-2025")</f>
        <v/>
      </c>
      <c r="Y730">
        <f>HYPERLINK("https://klasma.github.io/Logging_2184/tillsynsmail/A 22131-2025 tillsynsbegäran mail.docx", "A 22131-2025")</f>
        <v/>
      </c>
    </row>
    <row r="731" ht="15" customHeight="1">
      <c r="A731" t="inlineStr">
        <is>
          <t>A 22756-2025</t>
        </is>
      </c>
      <c r="B731" s="1" t="n">
        <v>45789.61898148148</v>
      </c>
      <c r="C731" s="1" t="n">
        <v>46086</v>
      </c>
      <c r="D731" t="inlineStr">
        <is>
          <t>GÄVLEBORGS LÄN</t>
        </is>
      </c>
      <c r="E731" t="inlineStr">
        <is>
          <t>LJUSDAL</t>
        </is>
      </c>
      <c r="F731" t="inlineStr">
        <is>
          <t>Sveaskog</t>
        </is>
      </c>
      <c r="G731" t="n">
        <v>6.7</v>
      </c>
      <c r="H731" t="n">
        <v>0</v>
      </c>
      <c r="I731" t="n">
        <v>0</v>
      </c>
      <c r="J731" t="n">
        <v>1</v>
      </c>
      <c r="K731" t="n">
        <v>0</v>
      </c>
      <c r="L731" t="n">
        <v>0</v>
      </c>
      <c r="M731" t="n">
        <v>0</v>
      </c>
      <c r="N731" t="n">
        <v>0</v>
      </c>
      <c r="O731" t="n">
        <v>1</v>
      </c>
      <c r="P731" t="n">
        <v>0</v>
      </c>
      <c r="Q731" t="n">
        <v>1</v>
      </c>
      <c r="R731" s="2" t="inlineStr">
        <is>
          <t>Lunglav</t>
        </is>
      </c>
      <c r="S731">
        <f>HYPERLINK("https://klasma.github.io/Logging_2161/artfynd/A 22756-2025 artfynd.xlsx", "A 22756-2025")</f>
        <v/>
      </c>
      <c r="T731">
        <f>HYPERLINK("https://klasma.github.io/Logging_2161/kartor/A 22756-2025 karta.png", "A 22756-2025")</f>
        <v/>
      </c>
      <c r="V731">
        <f>HYPERLINK("https://klasma.github.io/Logging_2161/klagomål/A 22756-2025 FSC-klagomål.docx", "A 22756-2025")</f>
        <v/>
      </c>
      <c r="W731">
        <f>HYPERLINK("https://klasma.github.io/Logging_2161/klagomålsmail/A 22756-2025 FSC-klagomål mail.docx", "A 22756-2025")</f>
        <v/>
      </c>
      <c r="X731">
        <f>HYPERLINK("https://klasma.github.io/Logging_2161/tillsyn/A 22756-2025 tillsynsbegäran.docx", "A 22756-2025")</f>
        <v/>
      </c>
      <c r="Y731">
        <f>HYPERLINK("https://klasma.github.io/Logging_2161/tillsynsmail/A 22756-2025 tillsynsbegäran mail.docx", "A 22756-2025")</f>
        <v/>
      </c>
    </row>
    <row r="732" ht="15" customHeight="1">
      <c r="A732" t="inlineStr">
        <is>
          <t>A 23333-2025</t>
        </is>
      </c>
      <c r="B732" s="1" t="n">
        <v>45791.65094907407</v>
      </c>
      <c r="C732" s="1" t="n">
        <v>46086</v>
      </c>
      <c r="D732" t="inlineStr">
        <is>
          <t>GÄVLEBORGS LÄN</t>
        </is>
      </c>
      <c r="E732" t="inlineStr">
        <is>
          <t>NORDANSTIG</t>
        </is>
      </c>
      <c r="F732" t="inlineStr">
        <is>
          <t>Holmen skog AB</t>
        </is>
      </c>
      <c r="G732" t="n">
        <v>19.1</v>
      </c>
      <c r="H732" t="n">
        <v>1</v>
      </c>
      <c r="I732" t="n">
        <v>0</v>
      </c>
      <c r="J732" t="n">
        <v>1</v>
      </c>
      <c r="K732" t="n">
        <v>0</v>
      </c>
      <c r="L732" t="n">
        <v>0</v>
      </c>
      <c r="M732" t="n">
        <v>0</v>
      </c>
      <c r="N732" t="n">
        <v>0</v>
      </c>
      <c r="O732" t="n">
        <v>1</v>
      </c>
      <c r="P732" t="n">
        <v>0</v>
      </c>
      <c r="Q732" t="n">
        <v>1</v>
      </c>
      <c r="R732" s="2" t="inlineStr">
        <is>
          <t>Spillkråka</t>
        </is>
      </c>
      <c r="S732">
        <f>HYPERLINK("https://klasma.github.io/Logging_2132/artfynd/A 23333-2025 artfynd.xlsx", "A 23333-2025")</f>
        <v/>
      </c>
      <c r="T732">
        <f>HYPERLINK("https://klasma.github.io/Logging_2132/kartor/A 23333-2025 karta.png", "A 23333-2025")</f>
        <v/>
      </c>
      <c r="V732">
        <f>HYPERLINK("https://klasma.github.io/Logging_2132/klagomål/A 23333-2025 FSC-klagomål.docx", "A 23333-2025")</f>
        <v/>
      </c>
      <c r="W732">
        <f>HYPERLINK("https://klasma.github.io/Logging_2132/klagomålsmail/A 23333-2025 FSC-klagomål mail.docx", "A 23333-2025")</f>
        <v/>
      </c>
      <c r="X732">
        <f>HYPERLINK("https://klasma.github.io/Logging_2132/tillsyn/A 23333-2025 tillsynsbegäran.docx", "A 23333-2025")</f>
        <v/>
      </c>
      <c r="Y732">
        <f>HYPERLINK("https://klasma.github.io/Logging_2132/tillsynsmail/A 23333-2025 tillsynsbegäran mail.docx", "A 23333-2025")</f>
        <v/>
      </c>
      <c r="Z732">
        <f>HYPERLINK("https://klasma.github.io/Logging_2132/fåglar/A 23333-2025 prioriterade fågelarter.docx", "A 23333-2025")</f>
        <v/>
      </c>
    </row>
    <row r="733" ht="15" customHeight="1">
      <c r="A733" t="inlineStr">
        <is>
          <t>A 23829-2025</t>
        </is>
      </c>
      <c r="B733" s="1" t="n">
        <v>45793.59726851852</v>
      </c>
      <c r="C733" s="1" t="n">
        <v>46086</v>
      </c>
      <c r="D733" t="inlineStr">
        <is>
          <t>GÄVLEBORGS LÄN</t>
        </is>
      </c>
      <c r="E733" t="inlineStr">
        <is>
          <t>LJUSDAL</t>
        </is>
      </c>
      <c r="F733" t="inlineStr">
        <is>
          <t>Sveaskog</t>
        </is>
      </c>
      <c r="G733" t="n">
        <v>14.6</v>
      </c>
      <c r="H733" t="n">
        <v>0</v>
      </c>
      <c r="I733" t="n">
        <v>0</v>
      </c>
      <c r="J733" t="n">
        <v>1</v>
      </c>
      <c r="K733" t="n">
        <v>0</v>
      </c>
      <c r="L733" t="n">
        <v>0</v>
      </c>
      <c r="M733" t="n">
        <v>0</v>
      </c>
      <c r="N733" t="n">
        <v>0</v>
      </c>
      <c r="O733" t="n">
        <v>1</v>
      </c>
      <c r="P733" t="n">
        <v>0</v>
      </c>
      <c r="Q733" t="n">
        <v>1</v>
      </c>
      <c r="R733" s="2" t="inlineStr">
        <is>
          <t>Kolflarnlav</t>
        </is>
      </c>
      <c r="S733">
        <f>HYPERLINK("https://klasma.github.io/Logging_2161/artfynd/A 23829-2025 artfynd.xlsx", "A 23829-2025")</f>
        <v/>
      </c>
      <c r="T733">
        <f>HYPERLINK("https://klasma.github.io/Logging_2161/kartor/A 23829-2025 karta.png", "A 23829-2025")</f>
        <v/>
      </c>
      <c r="V733">
        <f>HYPERLINK("https://klasma.github.io/Logging_2161/klagomål/A 23829-2025 FSC-klagomål.docx", "A 23829-2025")</f>
        <v/>
      </c>
      <c r="W733">
        <f>HYPERLINK("https://klasma.github.io/Logging_2161/klagomålsmail/A 23829-2025 FSC-klagomål mail.docx", "A 23829-2025")</f>
        <v/>
      </c>
      <c r="X733">
        <f>HYPERLINK("https://klasma.github.io/Logging_2161/tillsyn/A 23829-2025 tillsynsbegäran.docx", "A 23829-2025")</f>
        <v/>
      </c>
      <c r="Y733">
        <f>HYPERLINK("https://klasma.github.io/Logging_2161/tillsynsmail/A 23829-2025 tillsynsbegäran mail.docx", "A 23829-2025")</f>
        <v/>
      </c>
    </row>
    <row r="734" ht="15" customHeight="1">
      <c r="A734" t="inlineStr">
        <is>
          <t>A 23732-2025</t>
        </is>
      </c>
      <c r="B734" s="1" t="n">
        <v>45793.42263888889</v>
      </c>
      <c r="C734" s="1" t="n">
        <v>46086</v>
      </c>
      <c r="D734" t="inlineStr">
        <is>
          <t>GÄVLEBORGS LÄN</t>
        </is>
      </c>
      <c r="E734" t="inlineStr">
        <is>
          <t>HUDIKSVALL</t>
        </is>
      </c>
      <c r="F734" t="inlineStr">
        <is>
          <t>Sveaskog</t>
        </is>
      </c>
      <c r="G734" t="n">
        <v>11.9</v>
      </c>
      <c r="H734" t="n">
        <v>0</v>
      </c>
      <c r="I734" t="n">
        <v>1</v>
      </c>
      <c r="J734" t="n">
        <v>0</v>
      </c>
      <c r="K734" t="n">
        <v>0</v>
      </c>
      <c r="L734" t="n">
        <v>0</v>
      </c>
      <c r="M734" t="n">
        <v>0</v>
      </c>
      <c r="N734" t="n">
        <v>0</v>
      </c>
      <c r="O734" t="n">
        <v>0</v>
      </c>
      <c r="P734" t="n">
        <v>0</v>
      </c>
      <c r="Q734" t="n">
        <v>1</v>
      </c>
      <c r="R734" s="2" t="inlineStr">
        <is>
          <t>Tibast</t>
        </is>
      </c>
      <c r="S734">
        <f>HYPERLINK("https://klasma.github.io/Logging_2184/artfynd/A 23732-2025 artfynd.xlsx", "A 23732-2025")</f>
        <v/>
      </c>
      <c r="T734">
        <f>HYPERLINK("https://klasma.github.io/Logging_2184/kartor/A 23732-2025 karta.png", "A 23732-2025")</f>
        <v/>
      </c>
      <c r="V734">
        <f>HYPERLINK("https://klasma.github.io/Logging_2184/klagomål/A 23732-2025 FSC-klagomål.docx", "A 23732-2025")</f>
        <v/>
      </c>
      <c r="W734">
        <f>HYPERLINK("https://klasma.github.io/Logging_2184/klagomålsmail/A 23732-2025 FSC-klagomål mail.docx", "A 23732-2025")</f>
        <v/>
      </c>
      <c r="X734">
        <f>HYPERLINK("https://klasma.github.io/Logging_2184/tillsyn/A 23732-2025 tillsynsbegäran.docx", "A 23732-2025")</f>
        <v/>
      </c>
      <c r="Y734">
        <f>HYPERLINK("https://klasma.github.io/Logging_2184/tillsynsmail/A 23732-2025 tillsynsbegäran mail.docx", "A 23732-2025")</f>
        <v/>
      </c>
    </row>
    <row r="735" ht="15" customHeight="1">
      <c r="A735" t="inlineStr">
        <is>
          <t>A 23729-2025</t>
        </is>
      </c>
      <c r="B735" s="1" t="n">
        <v>45793</v>
      </c>
      <c r="C735" s="1" t="n">
        <v>46086</v>
      </c>
      <c r="D735" t="inlineStr">
        <is>
          <t>GÄVLEBORGS LÄN</t>
        </is>
      </c>
      <c r="E735" t="inlineStr">
        <is>
          <t>HUDIKSVALL</t>
        </is>
      </c>
      <c r="F735" t="inlineStr">
        <is>
          <t>Sveaskog</t>
        </is>
      </c>
      <c r="G735" t="n">
        <v>22</v>
      </c>
      <c r="H735" t="n">
        <v>1</v>
      </c>
      <c r="I735" t="n">
        <v>0</v>
      </c>
      <c r="J735" t="n">
        <v>0</v>
      </c>
      <c r="K735" t="n">
        <v>0</v>
      </c>
      <c r="L735" t="n">
        <v>0</v>
      </c>
      <c r="M735" t="n">
        <v>0</v>
      </c>
      <c r="N735" t="n">
        <v>0</v>
      </c>
      <c r="O735" t="n">
        <v>0</v>
      </c>
      <c r="P735" t="n">
        <v>0</v>
      </c>
      <c r="Q735" t="n">
        <v>1</v>
      </c>
      <c r="R735" s="2" t="inlineStr">
        <is>
          <t>Fläcknycklar</t>
        </is>
      </c>
      <c r="S735">
        <f>HYPERLINK("https://klasma.github.io/Logging_2184/artfynd/A 23729-2025 artfynd.xlsx", "A 23729-2025")</f>
        <v/>
      </c>
      <c r="T735">
        <f>HYPERLINK("https://klasma.github.io/Logging_2184/kartor/A 23729-2025 karta.png", "A 23729-2025")</f>
        <v/>
      </c>
      <c r="V735">
        <f>HYPERLINK("https://klasma.github.io/Logging_2184/klagomål/A 23729-2025 FSC-klagomål.docx", "A 23729-2025")</f>
        <v/>
      </c>
      <c r="W735">
        <f>HYPERLINK("https://klasma.github.io/Logging_2184/klagomålsmail/A 23729-2025 FSC-klagomål mail.docx", "A 23729-2025")</f>
        <v/>
      </c>
      <c r="X735">
        <f>HYPERLINK("https://klasma.github.io/Logging_2184/tillsyn/A 23729-2025 tillsynsbegäran.docx", "A 23729-2025")</f>
        <v/>
      </c>
      <c r="Y735">
        <f>HYPERLINK("https://klasma.github.io/Logging_2184/tillsynsmail/A 23729-2025 tillsynsbegäran mail.docx", "A 23729-2025")</f>
        <v/>
      </c>
    </row>
    <row r="736" ht="15" customHeight="1">
      <c r="A736" t="inlineStr">
        <is>
          <t>A 23572-2025</t>
        </is>
      </c>
      <c r="B736" s="1" t="n">
        <v>45792.61178240741</v>
      </c>
      <c r="C736" s="1" t="n">
        <v>46086</v>
      </c>
      <c r="D736" t="inlineStr">
        <is>
          <t>GÄVLEBORGS LÄN</t>
        </is>
      </c>
      <c r="E736" t="inlineStr">
        <is>
          <t>GÄVLE</t>
        </is>
      </c>
      <c r="F736" t="inlineStr">
        <is>
          <t>Bergvik skog väst AB</t>
        </is>
      </c>
      <c r="G736" t="n">
        <v>3.8</v>
      </c>
      <c r="H736" t="n">
        <v>1</v>
      </c>
      <c r="I736" t="n">
        <v>0</v>
      </c>
      <c r="J736" t="n">
        <v>0</v>
      </c>
      <c r="K736" t="n">
        <v>0</v>
      </c>
      <c r="L736" t="n">
        <v>0</v>
      </c>
      <c r="M736" t="n">
        <v>0</v>
      </c>
      <c r="N736" t="n">
        <v>0</v>
      </c>
      <c r="O736" t="n">
        <v>0</v>
      </c>
      <c r="P736" t="n">
        <v>0</v>
      </c>
      <c r="Q736" t="n">
        <v>1</v>
      </c>
      <c r="R736" s="2" t="inlineStr">
        <is>
          <t>Lopplummer (aggregat)</t>
        </is>
      </c>
      <c r="S736">
        <f>HYPERLINK("https://klasma.github.io/Logging_2180/artfynd/A 23572-2025 artfynd.xlsx", "A 23572-2025")</f>
        <v/>
      </c>
      <c r="T736">
        <f>HYPERLINK("https://klasma.github.io/Logging_2180/kartor/A 23572-2025 karta.png", "A 23572-2025")</f>
        <v/>
      </c>
      <c r="V736">
        <f>HYPERLINK("https://klasma.github.io/Logging_2180/klagomål/A 23572-2025 FSC-klagomål.docx", "A 23572-2025")</f>
        <v/>
      </c>
      <c r="W736">
        <f>HYPERLINK("https://klasma.github.io/Logging_2180/klagomålsmail/A 23572-2025 FSC-klagomål mail.docx", "A 23572-2025")</f>
        <v/>
      </c>
      <c r="X736">
        <f>HYPERLINK("https://klasma.github.io/Logging_2180/tillsyn/A 23572-2025 tillsynsbegäran.docx", "A 23572-2025")</f>
        <v/>
      </c>
      <c r="Y736">
        <f>HYPERLINK("https://klasma.github.io/Logging_2180/tillsynsmail/A 23572-2025 tillsynsbegäran mail.docx", "A 23572-2025")</f>
        <v/>
      </c>
    </row>
    <row r="737" ht="15" customHeight="1">
      <c r="A737" t="inlineStr">
        <is>
          <t>A 23727-2025</t>
        </is>
      </c>
      <c r="B737" s="1" t="n">
        <v>45793</v>
      </c>
      <c r="C737" s="1" t="n">
        <v>46086</v>
      </c>
      <c r="D737" t="inlineStr">
        <is>
          <t>GÄVLEBORGS LÄN</t>
        </is>
      </c>
      <c r="E737" t="inlineStr">
        <is>
          <t>HUDIKSVALL</t>
        </is>
      </c>
      <c r="F737" t="inlineStr">
        <is>
          <t>Sveaskog</t>
        </is>
      </c>
      <c r="G737" t="n">
        <v>8.699999999999999</v>
      </c>
      <c r="H737" t="n">
        <v>1</v>
      </c>
      <c r="I737" t="n">
        <v>0</v>
      </c>
      <c r="J737" t="n">
        <v>0</v>
      </c>
      <c r="K737" t="n">
        <v>0</v>
      </c>
      <c r="L737" t="n">
        <v>0</v>
      </c>
      <c r="M737" t="n">
        <v>0</v>
      </c>
      <c r="N737" t="n">
        <v>0</v>
      </c>
      <c r="O737" t="n">
        <v>0</v>
      </c>
      <c r="P737" t="n">
        <v>0</v>
      </c>
      <c r="Q737" t="n">
        <v>1</v>
      </c>
      <c r="R737" s="2" t="inlineStr">
        <is>
          <t>Tjäder</t>
        </is>
      </c>
      <c r="S737">
        <f>HYPERLINK("https://klasma.github.io/Logging_2184/artfynd/A 23727-2025 artfynd.xlsx", "A 23727-2025")</f>
        <v/>
      </c>
      <c r="T737">
        <f>HYPERLINK("https://klasma.github.io/Logging_2184/kartor/A 23727-2025 karta.png", "A 23727-2025")</f>
        <v/>
      </c>
      <c r="V737">
        <f>HYPERLINK("https://klasma.github.io/Logging_2184/klagomål/A 23727-2025 FSC-klagomål.docx", "A 23727-2025")</f>
        <v/>
      </c>
      <c r="W737">
        <f>HYPERLINK("https://klasma.github.io/Logging_2184/klagomålsmail/A 23727-2025 FSC-klagomål mail.docx", "A 23727-2025")</f>
        <v/>
      </c>
      <c r="X737">
        <f>HYPERLINK("https://klasma.github.io/Logging_2184/tillsyn/A 23727-2025 tillsynsbegäran.docx", "A 23727-2025")</f>
        <v/>
      </c>
      <c r="Y737">
        <f>HYPERLINK("https://klasma.github.io/Logging_2184/tillsynsmail/A 23727-2025 tillsynsbegäran mail.docx", "A 23727-2025")</f>
        <v/>
      </c>
      <c r="Z737">
        <f>HYPERLINK("https://klasma.github.io/Logging_2184/fåglar/A 23727-2025 prioriterade fågelarter.docx", "A 23727-2025")</f>
        <v/>
      </c>
    </row>
    <row r="738" ht="15" customHeight="1">
      <c r="A738" t="inlineStr">
        <is>
          <t>A 31125-2023</t>
        </is>
      </c>
      <c r="B738" s="1" t="n">
        <v>45113.69546296296</v>
      </c>
      <c r="C738" s="1" t="n">
        <v>46086</v>
      </c>
      <c r="D738" t="inlineStr">
        <is>
          <t>GÄVLEBORGS LÄN</t>
        </is>
      </c>
      <c r="E738" t="inlineStr">
        <is>
          <t>LJUSDAL</t>
        </is>
      </c>
      <c r="F738" t="inlineStr">
        <is>
          <t>Sveaskog</t>
        </is>
      </c>
      <c r="G738" t="n">
        <v>1.8</v>
      </c>
      <c r="H738" t="n">
        <v>0</v>
      </c>
      <c r="I738" t="n">
        <v>1</v>
      </c>
      <c r="J738" t="n">
        <v>0</v>
      </c>
      <c r="K738" t="n">
        <v>0</v>
      </c>
      <c r="L738" t="n">
        <v>0</v>
      </c>
      <c r="M738" t="n">
        <v>0</v>
      </c>
      <c r="N738" t="n">
        <v>0</v>
      </c>
      <c r="O738" t="n">
        <v>0</v>
      </c>
      <c r="P738" t="n">
        <v>0</v>
      </c>
      <c r="Q738" t="n">
        <v>1</v>
      </c>
      <c r="R738" s="2" t="inlineStr">
        <is>
          <t>Stuplav</t>
        </is>
      </c>
      <c r="S738">
        <f>HYPERLINK("https://klasma.github.io/Logging_2161/artfynd/A 31125-2023 artfynd.xlsx", "A 31125-2023")</f>
        <v/>
      </c>
      <c r="T738">
        <f>HYPERLINK("https://klasma.github.io/Logging_2161/kartor/A 31125-2023 karta.png", "A 31125-2023")</f>
        <v/>
      </c>
      <c r="V738">
        <f>HYPERLINK("https://klasma.github.io/Logging_2161/klagomål/A 31125-2023 FSC-klagomål.docx", "A 31125-2023")</f>
        <v/>
      </c>
      <c r="W738">
        <f>HYPERLINK("https://klasma.github.io/Logging_2161/klagomålsmail/A 31125-2023 FSC-klagomål mail.docx", "A 31125-2023")</f>
        <v/>
      </c>
      <c r="X738">
        <f>HYPERLINK("https://klasma.github.io/Logging_2161/tillsyn/A 31125-2023 tillsynsbegäran.docx", "A 31125-2023")</f>
        <v/>
      </c>
      <c r="Y738">
        <f>HYPERLINK("https://klasma.github.io/Logging_2161/tillsynsmail/A 31125-2023 tillsynsbegäran mail.docx", "A 31125-2023")</f>
        <v/>
      </c>
    </row>
    <row r="739" ht="15" customHeight="1">
      <c r="A739" t="inlineStr">
        <is>
          <t>A 50822-2023</t>
        </is>
      </c>
      <c r="B739" s="1" t="n">
        <v>45217</v>
      </c>
      <c r="C739" s="1" t="n">
        <v>46086</v>
      </c>
      <c r="D739" t="inlineStr">
        <is>
          <t>GÄVLEBORGS LÄN</t>
        </is>
      </c>
      <c r="E739" t="inlineStr">
        <is>
          <t>HUDIKSVALL</t>
        </is>
      </c>
      <c r="G739" t="n">
        <v>1.2</v>
      </c>
      <c r="H739" t="n">
        <v>1</v>
      </c>
      <c r="I739" t="n">
        <v>0</v>
      </c>
      <c r="J739" t="n">
        <v>1</v>
      </c>
      <c r="K739" t="n">
        <v>0</v>
      </c>
      <c r="L739" t="n">
        <v>0</v>
      </c>
      <c r="M739" t="n">
        <v>0</v>
      </c>
      <c r="N739" t="n">
        <v>0</v>
      </c>
      <c r="O739" t="n">
        <v>1</v>
      </c>
      <c r="P739" t="n">
        <v>0</v>
      </c>
      <c r="Q739" t="n">
        <v>1</v>
      </c>
      <c r="R739" s="2" t="inlineStr">
        <is>
          <t>Järpe</t>
        </is>
      </c>
      <c r="S739">
        <f>HYPERLINK("https://klasma.github.io/Logging_2184/artfynd/A 50822-2023 artfynd.xlsx", "A 50822-2023")</f>
        <v/>
      </c>
      <c r="T739">
        <f>HYPERLINK("https://klasma.github.io/Logging_2184/kartor/A 50822-2023 karta.png", "A 50822-2023")</f>
        <v/>
      </c>
      <c r="V739">
        <f>HYPERLINK("https://klasma.github.io/Logging_2184/klagomål/A 50822-2023 FSC-klagomål.docx", "A 50822-2023")</f>
        <v/>
      </c>
      <c r="W739">
        <f>HYPERLINK("https://klasma.github.io/Logging_2184/klagomålsmail/A 50822-2023 FSC-klagomål mail.docx", "A 50822-2023")</f>
        <v/>
      </c>
      <c r="X739">
        <f>HYPERLINK("https://klasma.github.io/Logging_2184/tillsyn/A 50822-2023 tillsynsbegäran.docx", "A 50822-2023")</f>
        <v/>
      </c>
      <c r="Y739">
        <f>HYPERLINK("https://klasma.github.io/Logging_2184/tillsynsmail/A 50822-2023 tillsynsbegäran mail.docx", "A 50822-2023")</f>
        <v/>
      </c>
      <c r="Z739">
        <f>HYPERLINK("https://klasma.github.io/Logging_2184/fåglar/A 50822-2023 prioriterade fågelarter.docx", "A 50822-2023")</f>
        <v/>
      </c>
    </row>
    <row r="740" ht="15" customHeight="1">
      <c r="A740" t="inlineStr">
        <is>
          <t>A 24831-2025</t>
        </is>
      </c>
      <c r="B740" s="1" t="n">
        <v>45799.45872685185</v>
      </c>
      <c r="C740" s="1" t="n">
        <v>46086</v>
      </c>
      <c r="D740" t="inlineStr">
        <is>
          <t>GÄVLEBORGS LÄN</t>
        </is>
      </c>
      <c r="E740" t="inlineStr">
        <is>
          <t>LJUSDAL</t>
        </is>
      </c>
      <c r="F740" t="inlineStr">
        <is>
          <t>Sveaskog</t>
        </is>
      </c>
      <c r="G740" t="n">
        <v>25.9</v>
      </c>
      <c r="H740" t="n">
        <v>0</v>
      </c>
      <c r="I740" t="n">
        <v>0</v>
      </c>
      <c r="J740" t="n">
        <v>1</v>
      </c>
      <c r="K740" t="n">
        <v>0</v>
      </c>
      <c r="L740" t="n">
        <v>0</v>
      </c>
      <c r="M740" t="n">
        <v>0</v>
      </c>
      <c r="N740" t="n">
        <v>0</v>
      </c>
      <c r="O740" t="n">
        <v>1</v>
      </c>
      <c r="P740" t="n">
        <v>0</v>
      </c>
      <c r="Q740" t="n">
        <v>1</v>
      </c>
      <c r="R740" s="2" t="inlineStr">
        <is>
          <t>Lunglav</t>
        </is>
      </c>
      <c r="S740">
        <f>HYPERLINK("https://klasma.github.io/Logging_2161/artfynd/A 24831-2025 artfynd.xlsx", "A 24831-2025")</f>
        <v/>
      </c>
      <c r="T740">
        <f>HYPERLINK("https://klasma.github.io/Logging_2161/kartor/A 24831-2025 karta.png", "A 24831-2025")</f>
        <v/>
      </c>
      <c r="V740">
        <f>HYPERLINK("https://klasma.github.io/Logging_2161/klagomål/A 24831-2025 FSC-klagomål.docx", "A 24831-2025")</f>
        <v/>
      </c>
      <c r="W740">
        <f>HYPERLINK("https://klasma.github.io/Logging_2161/klagomålsmail/A 24831-2025 FSC-klagomål mail.docx", "A 24831-2025")</f>
        <v/>
      </c>
      <c r="X740">
        <f>HYPERLINK("https://klasma.github.io/Logging_2161/tillsyn/A 24831-2025 tillsynsbegäran.docx", "A 24831-2025")</f>
        <v/>
      </c>
      <c r="Y740">
        <f>HYPERLINK("https://klasma.github.io/Logging_2161/tillsynsmail/A 24831-2025 tillsynsbegäran mail.docx", "A 24831-2025")</f>
        <v/>
      </c>
    </row>
    <row r="741" ht="15" customHeight="1">
      <c r="A741" t="inlineStr">
        <is>
          <t>A 24959-2025</t>
        </is>
      </c>
      <c r="B741" s="1" t="n">
        <v>45799.57641203704</v>
      </c>
      <c r="C741" s="1" t="n">
        <v>46086</v>
      </c>
      <c r="D741" t="inlineStr">
        <is>
          <t>GÄVLEBORGS LÄN</t>
        </is>
      </c>
      <c r="E741" t="inlineStr">
        <is>
          <t>LJUSDAL</t>
        </is>
      </c>
      <c r="F741" t="inlineStr">
        <is>
          <t>Sveaskog</t>
        </is>
      </c>
      <c r="G741" t="n">
        <v>21.9</v>
      </c>
      <c r="H741" t="n">
        <v>0</v>
      </c>
      <c r="I741" t="n">
        <v>0</v>
      </c>
      <c r="J741" t="n">
        <v>1</v>
      </c>
      <c r="K741" t="n">
        <v>0</v>
      </c>
      <c r="L741" t="n">
        <v>0</v>
      </c>
      <c r="M741" t="n">
        <v>0</v>
      </c>
      <c r="N741" t="n">
        <v>0</v>
      </c>
      <c r="O741" t="n">
        <v>1</v>
      </c>
      <c r="P741" t="n">
        <v>0</v>
      </c>
      <c r="Q741" t="n">
        <v>1</v>
      </c>
      <c r="R741" s="2" t="inlineStr">
        <is>
          <t>Vedflamlav</t>
        </is>
      </c>
      <c r="S741">
        <f>HYPERLINK("https://klasma.github.io/Logging_2161/artfynd/A 24959-2025 artfynd.xlsx", "A 24959-2025")</f>
        <v/>
      </c>
      <c r="T741">
        <f>HYPERLINK("https://klasma.github.io/Logging_2161/kartor/A 24959-2025 karta.png", "A 24959-2025")</f>
        <v/>
      </c>
      <c r="V741">
        <f>HYPERLINK("https://klasma.github.io/Logging_2161/klagomål/A 24959-2025 FSC-klagomål.docx", "A 24959-2025")</f>
        <v/>
      </c>
      <c r="W741">
        <f>HYPERLINK("https://klasma.github.io/Logging_2161/klagomålsmail/A 24959-2025 FSC-klagomål mail.docx", "A 24959-2025")</f>
        <v/>
      </c>
      <c r="X741">
        <f>HYPERLINK("https://klasma.github.io/Logging_2161/tillsyn/A 24959-2025 tillsynsbegäran.docx", "A 24959-2025")</f>
        <v/>
      </c>
      <c r="Y741">
        <f>HYPERLINK("https://klasma.github.io/Logging_2161/tillsynsmail/A 24959-2025 tillsynsbegäran mail.docx", "A 24959-2025")</f>
        <v/>
      </c>
    </row>
    <row r="742" ht="15" customHeight="1">
      <c r="A742" t="inlineStr">
        <is>
          <t>A 21786-2022</t>
        </is>
      </c>
      <c r="B742" s="1" t="n">
        <v>44708.54719907408</v>
      </c>
      <c r="C742" s="1" t="n">
        <v>46086</v>
      </c>
      <c r="D742" t="inlineStr">
        <is>
          <t>GÄVLEBORGS LÄN</t>
        </is>
      </c>
      <c r="E742" t="inlineStr">
        <is>
          <t>LJUSDAL</t>
        </is>
      </c>
      <c r="F742" t="inlineStr">
        <is>
          <t>Holmen skog AB</t>
        </is>
      </c>
      <c r="G742" t="n">
        <v>1</v>
      </c>
      <c r="H742" t="n">
        <v>0</v>
      </c>
      <c r="I742" t="n">
        <v>1</v>
      </c>
      <c r="J742" t="n">
        <v>0</v>
      </c>
      <c r="K742" t="n">
        <v>0</v>
      </c>
      <c r="L742" t="n">
        <v>0</v>
      </c>
      <c r="M742" t="n">
        <v>0</v>
      </c>
      <c r="N742" t="n">
        <v>0</v>
      </c>
      <c r="O742" t="n">
        <v>0</v>
      </c>
      <c r="P742" t="n">
        <v>0</v>
      </c>
      <c r="Q742" t="n">
        <v>1</v>
      </c>
      <c r="R742" s="2" t="inlineStr">
        <is>
          <t>Vågbandad barkbock</t>
        </is>
      </c>
      <c r="S742">
        <f>HYPERLINK("https://klasma.github.io/Logging_2161/artfynd/A 21786-2022 artfynd.xlsx", "A 21786-2022")</f>
        <v/>
      </c>
      <c r="T742">
        <f>HYPERLINK("https://klasma.github.io/Logging_2161/kartor/A 21786-2022 karta.png", "A 21786-2022")</f>
        <v/>
      </c>
      <c r="V742">
        <f>HYPERLINK("https://klasma.github.io/Logging_2161/klagomål/A 21786-2022 FSC-klagomål.docx", "A 21786-2022")</f>
        <v/>
      </c>
      <c r="W742">
        <f>HYPERLINK("https://klasma.github.io/Logging_2161/klagomålsmail/A 21786-2022 FSC-klagomål mail.docx", "A 21786-2022")</f>
        <v/>
      </c>
      <c r="X742">
        <f>HYPERLINK("https://klasma.github.io/Logging_2161/tillsyn/A 21786-2022 tillsynsbegäran.docx", "A 21786-2022")</f>
        <v/>
      </c>
      <c r="Y742">
        <f>HYPERLINK("https://klasma.github.io/Logging_2161/tillsynsmail/A 21786-2022 tillsynsbegäran mail.docx", "A 21786-2022")</f>
        <v/>
      </c>
    </row>
    <row r="743" ht="15" customHeight="1">
      <c r="A743" t="inlineStr">
        <is>
          <t>A 25850-2025</t>
        </is>
      </c>
      <c r="B743" s="1" t="n">
        <v>45800</v>
      </c>
      <c r="C743" s="1" t="n">
        <v>46086</v>
      </c>
      <c r="D743" t="inlineStr">
        <is>
          <t>GÄVLEBORGS LÄN</t>
        </is>
      </c>
      <c r="E743" t="inlineStr">
        <is>
          <t>HUDIKSVALL</t>
        </is>
      </c>
      <c r="G743" t="n">
        <v>5.7</v>
      </c>
      <c r="H743" t="n">
        <v>0</v>
      </c>
      <c r="I743" t="n">
        <v>0</v>
      </c>
      <c r="J743" t="n">
        <v>1</v>
      </c>
      <c r="K743" t="n">
        <v>0</v>
      </c>
      <c r="L743" t="n">
        <v>0</v>
      </c>
      <c r="M743" t="n">
        <v>0</v>
      </c>
      <c r="N743" t="n">
        <v>0</v>
      </c>
      <c r="O743" t="n">
        <v>1</v>
      </c>
      <c r="P743" t="n">
        <v>0</v>
      </c>
      <c r="Q743" t="n">
        <v>1</v>
      </c>
      <c r="R743" s="2" t="inlineStr">
        <is>
          <t>Ullticka</t>
        </is>
      </c>
      <c r="S743">
        <f>HYPERLINK("https://klasma.github.io/Logging_2184/artfynd/A 25850-2025 artfynd.xlsx", "A 25850-2025")</f>
        <v/>
      </c>
      <c r="T743">
        <f>HYPERLINK("https://klasma.github.io/Logging_2184/kartor/A 25850-2025 karta.png", "A 25850-2025")</f>
        <v/>
      </c>
      <c r="V743">
        <f>HYPERLINK("https://klasma.github.io/Logging_2184/klagomål/A 25850-2025 FSC-klagomål.docx", "A 25850-2025")</f>
        <v/>
      </c>
      <c r="W743">
        <f>HYPERLINK("https://klasma.github.io/Logging_2184/klagomålsmail/A 25850-2025 FSC-klagomål mail.docx", "A 25850-2025")</f>
        <v/>
      </c>
      <c r="X743">
        <f>HYPERLINK("https://klasma.github.io/Logging_2184/tillsyn/A 25850-2025 tillsynsbegäran.docx", "A 25850-2025")</f>
        <v/>
      </c>
      <c r="Y743">
        <f>HYPERLINK("https://klasma.github.io/Logging_2184/tillsynsmail/A 25850-2025 tillsynsbegäran mail.docx", "A 25850-2025")</f>
        <v/>
      </c>
    </row>
    <row r="744" ht="15" customHeight="1">
      <c r="A744" t="inlineStr">
        <is>
          <t>A 25361-2025</t>
        </is>
      </c>
      <c r="B744" s="1" t="n">
        <v>45800.62012731482</v>
      </c>
      <c r="C744" s="1" t="n">
        <v>46086</v>
      </c>
      <c r="D744" t="inlineStr">
        <is>
          <t>GÄVLEBORGS LÄN</t>
        </is>
      </c>
      <c r="E744" t="inlineStr">
        <is>
          <t>OVANÅKER</t>
        </is>
      </c>
      <c r="F744" t="inlineStr">
        <is>
          <t>Sveaskog</t>
        </is>
      </c>
      <c r="G744" t="n">
        <v>9</v>
      </c>
      <c r="H744" t="n">
        <v>0</v>
      </c>
      <c r="I744" t="n">
        <v>1</v>
      </c>
      <c r="J744" t="n">
        <v>0</v>
      </c>
      <c r="K744" t="n">
        <v>0</v>
      </c>
      <c r="L744" t="n">
        <v>0</v>
      </c>
      <c r="M744" t="n">
        <v>0</v>
      </c>
      <c r="N744" t="n">
        <v>0</v>
      </c>
      <c r="O744" t="n">
        <v>0</v>
      </c>
      <c r="P744" t="n">
        <v>0</v>
      </c>
      <c r="Q744" t="n">
        <v>1</v>
      </c>
      <c r="R744" s="2" t="inlineStr">
        <is>
          <t>Dropptaggsvamp</t>
        </is>
      </c>
      <c r="S744">
        <f>HYPERLINK("https://klasma.github.io/Logging_2121/artfynd/A 25361-2025 artfynd.xlsx", "A 25361-2025")</f>
        <v/>
      </c>
      <c r="T744">
        <f>HYPERLINK("https://klasma.github.io/Logging_2121/kartor/A 25361-2025 karta.png", "A 25361-2025")</f>
        <v/>
      </c>
      <c r="V744">
        <f>HYPERLINK("https://klasma.github.io/Logging_2121/klagomål/A 25361-2025 FSC-klagomål.docx", "A 25361-2025")</f>
        <v/>
      </c>
      <c r="W744">
        <f>HYPERLINK("https://klasma.github.io/Logging_2121/klagomålsmail/A 25361-2025 FSC-klagomål mail.docx", "A 25361-2025")</f>
        <v/>
      </c>
      <c r="X744">
        <f>HYPERLINK("https://klasma.github.io/Logging_2121/tillsyn/A 25361-2025 tillsynsbegäran.docx", "A 25361-2025")</f>
        <v/>
      </c>
      <c r="Y744">
        <f>HYPERLINK("https://klasma.github.io/Logging_2121/tillsynsmail/A 25361-2025 tillsynsbegäran mail.docx", "A 25361-2025")</f>
        <v/>
      </c>
    </row>
    <row r="745" ht="15" customHeight="1">
      <c r="A745" t="inlineStr">
        <is>
          <t>A 25323-2025</t>
        </is>
      </c>
      <c r="B745" s="1" t="n">
        <v>45800.58765046296</v>
      </c>
      <c r="C745" s="1" t="n">
        <v>46086</v>
      </c>
      <c r="D745" t="inlineStr">
        <is>
          <t>GÄVLEBORGS LÄN</t>
        </is>
      </c>
      <c r="E745" t="inlineStr">
        <is>
          <t>SANDVIKEN</t>
        </is>
      </c>
      <c r="F745" t="inlineStr">
        <is>
          <t>Sveaskog</t>
        </is>
      </c>
      <c r="G745" t="n">
        <v>3.8</v>
      </c>
      <c r="H745" t="n">
        <v>1</v>
      </c>
      <c r="I745" t="n">
        <v>1</v>
      </c>
      <c r="J745" t="n">
        <v>0</v>
      </c>
      <c r="K745" t="n">
        <v>0</v>
      </c>
      <c r="L745" t="n">
        <v>0</v>
      </c>
      <c r="M745" t="n">
        <v>0</v>
      </c>
      <c r="N745" t="n">
        <v>0</v>
      </c>
      <c r="O745" t="n">
        <v>0</v>
      </c>
      <c r="P745" t="n">
        <v>0</v>
      </c>
      <c r="Q745" t="n">
        <v>1</v>
      </c>
      <c r="R745" s="2" t="inlineStr">
        <is>
          <t>Plattlummer</t>
        </is>
      </c>
      <c r="S745">
        <f>HYPERLINK("https://klasma.github.io/Logging_2181/artfynd/A 25323-2025 artfynd.xlsx", "A 25323-2025")</f>
        <v/>
      </c>
      <c r="T745">
        <f>HYPERLINK("https://klasma.github.io/Logging_2181/kartor/A 25323-2025 karta.png", "A 25323-2025")</f>
        <v/>
      </c>
      <c r="V745">
        <f>HYPERLINK("https://klasma.github.io/Logging_2181/klagomål/A 25323-2025 FSC-klagomål.docx", "A 25323-2025")</f>
        <v/>
      </c>
      <c r="W745">
        <f>HYPERLINK("https://klasma.github.io/Logging_2181/klagomålsmail/A 25323-2025 FSC-klagomål mail.docx", "A 25323-2025")</f>
        <v/>
      </c>
      <c r="X745">
        <f>HYPERLINK("https://klasma.github.io/Logging_2181/tillsyn/A 25323-2025 tillsynsbegäran.docx", "A 25323-2025")</f>
        <v/>
      </c>
      <c r="Y745">
        <f>HYPERLINK("https://klasma.github.io/Logging_2181/tillsynsmail/A 25323-2025 tillsynsbegäran mail.docx", "A 25323-2025")</f>
        <v/>
      </c>
    </row>
    <row r="746" ht="15" customHeight="1">
      <c r="A746" t="inlineStr">
        <is>
          <t>A 26202-2025</t>
        </is>
      </c>
      <c r="B746" s="1" t="n">
        <v>45805.50910879629</v>
      </c>
      <c r="C746" s="1" t="n">
        <v>46086</v>
      </c>
      <c r="D746" t="inlineStr">
        <is>
          <t>GÄVLEBORGS LÄN</t>
        </is>
      </c>
      <c r="E746" t="inlineStr">
        <is>
          <t>LJUSDAL</t>
        </is>
      </c>
      <c r="G746" t="n">
        <v>3.3</v>
      </c>
      <c r="H746" t="n">
        <v>0</v>
      </c>
      <c r="I746" t="n">
        <v>0</v>
      </c>
      <c r="J746" t="n">
        <v>1</v>
      </c>
      <c r="K746" t="n">
        <v>0</v>
      </c>
      <c r="L746" t="n">
        <v>0</v>
      </c>
      <c r="M746" t="n">
        <v>0</v>
      </c>
      <c r="N746" t="n">
        <v>0</v>
      </c>
      <c r="O746" t="n">
        <v>1</v>
      </c>
      <c r="P746" t="n">
        <v>0</v>
      </c>
      <c r="Q746" t="n">
        <v>1</v>
      </c>
      <c r="R746" s="2" t="inlineStr">
        <is>
          <t>Violettgrå tagellav</t>
        </is>
      </c>
      <c r="S746">
        <f>HYPERLINK("https://klasma.github.io/Logging_2161/artfynd/A 26202-2025 artfynd.xlsx", "A 26202-2025")</f>
        <v/>
      </c>
      <c r="T746">
        <f>HYPERLINK("https://klasma.github.io/Logging_2161/kartor/A 26202-2025 karta.png", "A 26202-2025")</f>
        <v/>
      </c>
      <c r="V746">
        <f>HYPERLINK("https://klasma.github.io/Logging_2161/klagomål/A 26202-2025 FSC-klagomål.docx", "A 26202-2025")</f>
        <v/>
      </c>
      <c r="W746">
        <f>HYPERLINK("https://klasma.github.io/Logging_2161/klagomålsmail/A 26202-2025 FSC-klagomål mail.docx", "A 26202-2025")</f>
        <v/>
      </c>
      <c r="X746">
        <f>HYPERLINK("https://klasma.github.io/Logging_2161/tillsyn/A 26202-2025 tillsynsbegäran.docx", "A 26202-2025")</f>
        <v/>
      </c>
      <c r="Y746">
        <f>HYPERLINK("https://klasma.github.io/Logging_2161/tillsynsmail/A 26202-2025 tillsynsbegäran mail.docx", "A 26202-2025")</f>
        <v/>
      </c>
    </row>
    <row r="747" ht="15" customHeight="1">
      <c r="A747" t="inlineStr">
        <is>
          <t>A 19995-2021</t>
        </is>
      </c>
      <c r="B747" s="1" t="n">
        <v>44313</v>
      </c>
      <c r="C747" s="1" t="n">
        <v>46086</v>
      </c>
      <c r="D747" t="inlineStr">
        <is>
          <t>GÄVLEBORGS LÄN</t>
        </is>
      </c>
      <c r="E747" t="inlineStr">
        <is>
          <t>HUDIKSVALL</t>
        </is>
      </c>
      <c r="G747" t="n">
        <v>5.7</v>
      </c>
      <c r="H747" t="n">
        <v>0</v>
      </c>
      <c r="I747" t="n">
        <v>0</v>
      </c>
      <c r="J747" t="n">
        <v>0</v>
      </c>
      <c r="K747" t="n">
        <v>0</v>
      </c>
      <c r="L747" t="n">
        <v>0</v>
      </c>
      <c r="M747" t="n">
        <v>0</v>
      </c>
      <c r="N747" t="n">
        <v>0</v>
      </c>
      <c r="O747" t="n">
        <v>0</v>
      </c>
      <c r="P747" t="n">
        <v>0</v>
      </c>
      <c r="Q747" t="n">
        <v>0</v>
      </c>
      <c r="R747" s="2" t="inlineStr"/>
    </row>
    <row r="748" ht="15" customHeight="1">
      <c r="A748" t="inlineStr">
        <is>
          <t>A 30629-2022</t>
        </is>
      </c>
      <c r="B748" s="1" t="n">
        <v>44763.44366898148</v>
      </c>
      <c r="C748" s="1" t="n">
        <v>46086</v>
      </c>
      <c r="D748" t="inlineStr">
        <is>
          <t>GÄVLEBORGS LÄN</t>
        </is>
      </c>
      <c r="E748" t="inlineStr">
        <is>
          <t>LJUSDAL</t>
        </is>
      </c>
      <c r="F748" t="inlineStr">
        <is>
          <t>Sveaskog</t>
        </is>
      </c>
      <c r="G748" t="n">
        <v>1.2</v>
      </c>
      <c r="H748" t="n">
        <v>0</v>
      </c>
      <c r="I748" t="n">
        <v>0</v>
      </c>
      <c r="J748" t="n">
        <v>0</v>
      </c>
      <c r="K748" t="n">
        <v>0</v>
      </c>
      <c r="L748" t="n">
        <v>0</v>
      </c>
      <c r="M748" t="n">
        <v>0</v>
      </c>
      <c r="N748" t="n">
        <v>0</v>
      </c>
      <c r="O748" t="n">
        <v>0</v>
      </c>
      <c r="P748" t="n">
        <v>0</v>
      </c>
      <c r="Q748" t="n">
        <v>0</v>
      </c>
      <c r="R748" s="2" t="inlineStr"/>
    </row>
    <row r="749" ht="15" customHeight="1">
      <c r="A749" t="inlineStr">
        <is>
          <t>A 32266-2021</t>
        </is>
      </c>
      <c r="B749" s="1" t="n">
        <v>44371</v>
      </c>
      <c r="C749" s="1" t="n">
        <v>46086</v>
      </c>
      <c r="D749" t="inlineStr">
        <is>
          <t>GÄVLEBORGS LÄN</t>
        </is>
      </c>
      <c r="E749" t="inlineStr">
        <is>
          <t>OCKELBO</t>
        </is>
      </c>
      <c r="F749" t="inlineStr">
        <is>
          <t>Bergvik skog väst AB</t>
        </is>
      </c>
      <c r="G749" t="n">
        <v>2.6</v>
      </c>
      <c r="H749" t="n">
        <v>0</v>
      </c>
      <c r="I749" t="n">
        <v>0</v>
      </c>
      <c r="J749" t="n">
        <v>0</v>
      </c>
      <c r="K749" t="n">
        <v>0</v>
      </c>
      <c r="L749" t="n">
        <v>0</v>
      </c>
      <c r="M749" t="n">
        <v>0</v>
      </c>
      <c r="N749" t="n">
        <v>0</v>
      </c>
      <c r="O749" t="n">
        <v>0</v>
      </c>
      <c r="P749" t="n">
        <v>0</v>
      </c>
      <c r="Q749" t="n">
        <v>0</v>
      </c>
      <c r="R749" s="2" t="inlineStr"/>
    </row>
    <row r="750" ht="15" customHeight="1">
      <c r="A750" t="inlineStr">
        <is>
          <t>A 24470-2022</t>
        </is>
      </c>
      <c r="B750" s="1" t="n">
        <v>44726.64341435185</v>
      </c>
      <c r="C750" s="1" t="n">
        <v>46086</v>
      </c>
      <c r="D750" t="inlineStr">
        <is>
          <t>GÄVLEBORGS LÄN</t>
        </is>
      </c>
      <c r="E750" t="inlineStr">
        <is>
          <t>HUDIKSVALL</t>
        </is>
      </c>
      <c r="G750" t="n">
        <v>1.3</v>
      </c>
      <c r="H750" t="n">
        <v>0</v>
      </c>
      <c r="I750" t="n">
        <v>0</v>
      </c>
      <c r="J750" t="n">
        <v>0</v>
      </c>
      <c r="K750" t="n">
        <v>0</v>
      </c>
      <c r="L750" t="n">
        <v>0</v>
      </c>
      <c r="M750" t="n">
        <v>0</v>
      </c>
      <c r="N750" t="n">
        <v>0</v>
      </c>
      <c r="O750" t="n">
        <v>0</v>
      </c>
      <c r="P750" t="n">
        <v>0</v>
      </c>
      <c r="Q750" t="n">
        <v>0</v>
      </c>
      <c r="R750" s="2" t="inlineStr"/>
    </row>
    <row r="751" ht="15" customHeight="1">
      <c r="A751" t="inlineStr">
        <is>
          <t>A 51162-2022</t>
        </is>
      </c>
      <c r="B751" s="1" t="n">
        <v>44868</v>
      </c>
      <c r="C751" s="1" t="n">
        <v>46086</v>
      </c>
      <c r="D751" t="inlineStr">
        <is>
          <t>GÄVLEBORGS LÄN</t>
        </is>
      </c>
      <c r="E751" t="inlineStr">
        <is>
          <t>SANDVIKEN</t>
        </is>
      </c>
      <c r="G751" t="n">
        <v>0.8</v>
      </c>
      <c r="H751" t="n">
        <v>0</v>
      </c>
      <c r="I751" t="n">
        <v>0</v>
      </c>
      <c r="J751" t="n">
        <v>0</v>
      </c>
      <c r="K751" t="n">
        <v>0</v>
      </c>
      <c r="L751" t="n">
        <v>0</v>
      </c>
      <c r="M751" t="n">
        <v>0</v>
      </c>
      <c r="N751" t="n">
        <v>0</v>
      </c>
      <c r="O751" t="n">
        <v>0</v>
      </c>
      <c r="P751" t="n">
        <v>0</v>
      </c>
      <c r="Q751" t="n">
        <v>0</v>
      </c>
      <c r="R751" s="2" t="inlineStr"/>
    </row>
    <row r="752" ht="15" customHeight="1">
      <c r="A752" t="inlineStr">
        <is>
          <t>A 51205-2022</t>
        </is>
      </c>
      <c r="B752" s="1" t="n">
        <v>44868.61302083333</v>
      </c>
      <c r="C752" s="1" t="n">
        <v>46086</v>
      </c>
      <c r="D752" t="inlineStr">
        <is>
          <t>GÄVLEBORGS LÄN</t>
        </is>
      </c>
      <c r="E752" t="inlineStr">
        <is>
          <t>HOFORS</t>
        </is>
      </c>
      <c r="F752" t="inlineStr">
        <is>
          <t>Sveaskog</t>
        </is>
      </c>
      <c r="G752" t="n">
        <v>10</v>
      </c>
      <c r="H752" t="n">
        <v>0</v>
      </c>
      <c r="I752" t="n">
        <v>0</v>
      </c>
      <c r="J752" t="n">
        <v>0</v>
      </c>
      <c r="K752" t="n">
        <v>0</v>
      </c>
      <c r="L752" t="n">
        <v>0</v>
      </c>
      <c r="M752" t="n">
        <v>0</v>
      </c>
      <c r="N752" t="n">
        <v>0</v>
      </c>
      <c r="O752" t="n">
        <v>0</v>
      </c>
      <c r="P752" t="n">
        <v>0</v>
      </c>
      <c r="Q752" t="n">
        <v>0</v>
      </c>
      <c r="R752" s="2" t="inlineStr"/>
    </row>
    <row r="753" ht="15" customHeight="1">
      <c r="A753" t="inlineStr">
        <is>
          <t>A 51237-2022</t>
        </is>
      </c>
      <c r="B753" s="1" t="n">
        <v>44868.65212962963</v>
      </c>
      <c r="C753" s="1" t="n">
        <v>46086</v>
      </c>
      <c r="D753" t="inlineStr">
        <is>
          <t>GÄVLEBORGS LÄN</t>
        </is>
      </c>
      <c r="E753" t="inlineStr">
        <is>
          <t>OVANÅKER</t>
        </is>
      </c>
      <c r="G753" t="n">
        <v>6.5</v>
      </c>
      <c r="H753" t="n">
        <v>0</v>
      </c>
      <c r="I753" t="n">
        <v>0</v>
      </c>
      <c r="J753" t="n">
        <v>0</v>
      </c>
      <c r="K753" t="n">
        <v>0</v>
      </c>
      <c r="L753" t="n">
        <v>0</v>
      </c>
      <c r="M753" t="n">
        <v>0</v>
      </c>
      <c r="N753" t="n">
        <v>0</v>
      </c>
      <c r="O753" t="n">
        <v>0</v>
      </c>
      <c r="P753" t="n">
        <v>0</v>
      </c>
      <c r="Q753" t="n">
        <v>0</v>
      </c>
      <c r="R753" s="2" t="inlineStr"/>
    </row>
    <row r="754" ht="15" customHeight="1">
      <c r="A754" t="inlineStr">
        <is>
          <t>A 53069-2022</t>
        </is>
      </c>
      <c r="B754" s="1" t="n">
        <v>44876.37364583334</v>
      </c>
      <c r="C754" s="1" t="n">
        <v>46086</v>
      </c>
      <c r="D754" t="inlineStr">
        <is>
          <t>GÄVLEBORGS LÄN</t>
        </is>
      </c>
      <c r="E754" t="inlineStr">
        <is>
          <t>BOLLNÄS</t>
        </is>
      </c>
      <c r="F754" t="inlineStr">
        <is>
          <t>Bergvik skog väst AB</t>
        </is>
      </c>
      <c r="G754" t="n">
        <v>0.7</v>
      </c>
      <c r="H754" t="n">
        <v>0</v>
      </c>
      <c r="I754" t="n">
        <v>0</v>
      </c>
      <c r="J754" t="n">
        <v>0</v>
      </c>
      <c r="K754" t="n">
        <v>0</v>
      </c>
      <c r="L754" t="n">
        <v>0</v>
      </c>
      <c r="M754" t="n">
        <v>0</v>
      </c>
      <c r="N754" t="n">
        <v>0</v>
      </c>
      <c r="O754" t="n">
        <v>0</v>
      </c>
      <c r="P754" t="n">
        <v>0</v>
      </c>
      <c r="Q754" t="n">
        <v>0</v>
      </c>
      <c r="R754" s="2" t="inlineStr"/>
    </row>
    <row r="755" ht="15" customHeight="1">
      <c r="A755" t="inlineStr">
        <is>
          <t>A 25394-2022</t>
        </is>
      </c>
      <c r="B755" s="1" t="n">
        <v>44732.4194212963</v>
      </c>
      <c r="C755" s="1" t="n">
        <v>46086</v>
      </c>
      <c r="D755" t="inlineStr">
        <is>
          <t>GÄVLEBORGS LÄN</t>
        </is>
      </c>
      <c r="E755" t="inlineStr">
        <is>
          <t>OVANÅKER</t>
        </is>
      </c>
      <c r="G755" t="n">
        <v>0.3</v>
      </c>
      <c r="H755" t="n">
        <v>0</v>
      </c>
      <c r="I755" t="n">
        <v>0</v>
      </c>
      <c r="J755" t="n">
        <v>0</v>
      </c>
      <c r="K755" t="n">
        <v>0</v>
      </c>
      <c r="L755" t="n">
        <v>0</v>
      </c>
      <c r="M755" t="n">
        <v>0</v>
      </c>
      <c r="N755" t="n">
        <v>0</v>
      </c>
      <c r="O755" t="n">
        <v>0</v>
      </c>
      <c r="P755" t="n">
        <v>0</v>
      </c>
      <c r="Q755" t="n">
        <v>0</v>
      </c>
      <c r="R755" s="2" t="inlineStr"/>
    </row>
    <row r="756" ht="15" customHeight="1">
      <c r="A756" t="inlineStr">
        <is>
          <t>A 43803-2022</t>
        </is>
      </c>
      <c r="B756" s="1" t="n">
        <v>44838</v>
      </c>
      <c r="C756" s="1" t="n">
        <v>46086</v>
      </c>
      <c r="D756" t="inlineStr">
        <is>
          <t>GÄVLEBORGS LÄN</t>
        </is>
      </c>
      <c r="E756" t="inlineStr">
        <is>
          <t>HUDIKSVALL</t>
        </is>
      </c>
      <c r="F756" t="inlineStr">
        <is>
          <t>Holmen skog AB</t>
        </is>
      </c>
      <c r="G756" t="n">
        <v>1.5</v>
      </c>
      <c r="H756" t="n">
        <v>0</v>
      </c>
      <c r="I756" t="n">
        <v>0</v>
      </c>
      <c r="J756" t="n">
        <v>0</v>
      </c>
      <c r="K756" t="n">
        <v>0</v>
      </c>
      <c r="L756" t="n">
        <v>0</v>
      </c>
      <c r="M756" t="n">
        <v>0</v>
      </c>
      <c r="N756" t="n">
        <v>0</v>
      </c>
      <c r="O756" t="n">
        <v>0</v>
      </c>
      <c r="P756" t="n">
        <v>0</v>
      </c>
      <c r="Q756" t="n">
        <v>0</v>
      </c>
      <c r="R756" s="2" t="inlineStr"/>
    </row>
    <row r="757" ht="15" customHeight="1">
      <c r="A757" t="inlineStr">
        <is>
          <t>A 53049-2022</t>
        </is>
      </c>
      <c r="B757" s="1" t="n">
        <v>44876</v>
      </c>
      <c r="C757" s="1" t="n">
        <v>46086</v>
      </c>
      <c r="D757" t="inlineStr">
        <is>
          <t>GÄVLEBORGS LÄN</t>
        </is>
      </c>
      <c r="E757" t="inlineStr">
        <is>
          <t>GÄVLE</t>
        </is>
      </c>
      <c r="F757" t="inlineStr">
        <is>
          <t>Kommuner</t>
        </is>
      </c>
      <c r="G757" t="n">
        <v>1.2</v>
      </c>
      <c r="H757" t="n">
        <v>0</v>
      </c>
      <c r="I757" t="n">
        <v>0</v>
      </c>
      <c r="J757" t="n">
        <v>0</v>
      </c>
      <c r="K757" t="n">
        <v>0</v>
      </c>
      <c r="L757" t="n">
        <v>0</v>
      </c>
      <c r="M757" t="n">
        <v>0</v>
      </c>
      <c r="N757" t="n">
        <v>0</v>
      </c>
      <c r="O757" t="n">
        <v>0</v>
      </c>
      <c r="P757" t="n">
        <v>0</v>
      </c>
      <c r="Q757" t="n">
        <v>0</v>
      </c>
      <c r="R757" s="2" t="inlineStr"/>
    </row>
    <row r="758" ht="15" customHeight="1">
      <c r="A758" t="inlineStr">
        <is>
          <t>A 31205-2022</t>
        </is>
      </c>
      <c r="B758" s="1" t="n">
        <v>44770</v>
      </c>
      <c r="C758" s="1" t="n">
        <v>46086</v>
      </c>
      <c r="D758" t="inlineStr">
        <is>
          <t>GÄVLEBORGS LÄN</t>
        </is>
      </c>
      <c r="E758" t="inlineStr">
        <is>
          <t>HOFORS</t>
        </is>
      </c>
      <c r="F758" t="inlineStr">
        <is>
          <t>Sveaskog</t>
        </is>
      </c>
      <c r="G758" t="n">
        <v>3.1</v>
      </c>
      <c r="H758" t="n">
        <v>0</v>
      </c>
      <c r="I758" t="n">
        <v>0</v>
      </c>
      <c r="J758" t="n">
        <v>0</v>
      </c>
      <c r="K758" t="n">
        <v>0</v>
      </c>
      <c r="L758" t="n">
        <v>0</v>
      </c>
      <c r="M758" t="n">
        <v>0</v>
      </c>
      <c r="N758" t="n">
        <v>0</v>
      </c>
      <c r="O758" t="n">
        <v>0</v>
      </c>
      <c r="P758" t="n">
        <v>0</v>
      </c>
      <c r="Q758" t="n">
        <v>0</v>
      </c>
      <c r="R758" s="2" t="inlineStr"/>
    </row>
    <row r="759" ht="15" customHeight="1">
      <c r="A759" t="inlineStr">
        <is>
          <t>A 52842-2022</t>
        </is>
      </c>
      <c r="B759" s="1" t="n">
        <v>44875</v>
      </c>
      <c r="C759" s="1" t="n">
        <v>46086</v>
      </c>
      <c r="D759" t="inlineStr">
        <is>
          <t>GÄVLEBORGS LÄN</t>
        </is>
      </c>
      <c r="E759" t="inlineStr">
        <is>
          <t>LJUSDAL</t>
        </is>
      </c>
      <c r="G759" t="n">
        <v>0.6</v>
      </c>
      <c r="H759" t="n">
        <v>0</v>
      </c>
      <c r="I759" t="n">
        <v>0</v>
      </c>
      <c r="J759" t="n">
        <v>0</v>
      </c>
      <c r="K759" t="n">
        <v>0</v>
      </c>
      <c r="L759" t="n">
        <v>0</v>
      </c>
      <c r="M759" t="n">
        <v>0</v>
      </c>
      <c r="N759" t="n">
        <v>0</v>
      </c>
      <c r="O759" t="n">
        <v>0</v>
      </c>
      <c r="P759" t="n">
        <v>0</v>
      </c>
      <c r="Q759" t="n">
        <v>0</v>
      </c>
      <c r="R759" s="2" t="inlineStr"/>
    </row>
    <row r="760" ht="15" customHeight="1">
      <c r="A760" t="inlineStr">
        <is>
          <t>A 51838-2022</t>
        </is>
      </c>
      <c r="B760" s="1" t="n">
        <v>44872</v>
      </c>
      <c r="C760" s="1" t="n">
        <v>46086</v>
      </c>
      <c r="D760" t="inlineStr">
        <is>
          <t>GÄVLEBORGS LÄN</t>
        </is>
      </c>
      <c r="E760" t="inlineStr">
        <is>
          <t>LJUSDAL</t>
        </is>
      </c>
      <c r="F760" t="inlineStr">
        <is>
          <t>Bergvik skog väst AB</t>
        </is>
      </c>
      <c r="G760" t="n">
        <v>3.7</v>
      </c>
      <c r="H760" t="n">
        <v>0</v>
      </c>
      <c r="I760" t="n">
        <v>0</v>
      </c>
      <c r="J760" t="n">
        <v>0</v>
      </c>
      <c r="K760" t="n">
        <v>0</v>
      </c>
      <c r="L760" t="n">
        <v>0</v>
      </c>
      <c r="M760" t="n">
        <v>0</v>
      </c>
      <c r="N760" t="n">
        <v>0</v>
      </c>
      <c r="O760" t="n">
        <v>0</v>
      </c>
      <c r="P760" t="n">
        <v>0</v>
      </c>
      <c r="Q760" t="n">
        <v>0</v>
      </c>
      <c r="R760" s="2" t="inlineStr"/>
    </row>
    <row r="761" ht="15" customHeight="1">
      <c r="A761" t="inlineStr">
        <is>
          <t>A 16913-2021</t>
        </is>
      </c>
      <c r="B761" s="1" t="n">
        <v>44295</v>
      </c>
      <c r="C761" s="1" t="n">
        <v>46086</v>
      </c>
      <c r="D761" t="inlineStr">
        <is>
          <t>GÄVLEBORGS LÄN</t>
        </is>
      </c>
      <c r="E761" t="inlineStr">
        <is>
          <t>HUDIKSVALL</t>
        </is>
      </c>
      <c r="G761" t="n">
        <v>0.4</v>
      </c>
      <c r="H761" t="n">
        <v>0</v>
      </c>
      <c r="I761" t="n">
        <v>0</v>
      </c>
      <c r="J761" t="n">
        <v>0</v>
      </c>
      <c r="K761" t="n">
        <v>0</v>
      </c>
      <c r="L761" t="n">
        <v>0</v>
      </c>
      <c r="M761" t="n">
        <v>0</v>
      </c>
      <c r="N761" t="n">
        <v>0</v>
      </c>
      <c r="O761" t="n">
        <v>0</v>
      </c>
      <c r="P761" t="n">
        <v>0</v>
      </c>
      <c r="Q761" t="n">
        <v>0</v>
      </c>
      <c r="R761" s="2" t="inlineStr"/>
    </row>
    <row r="762" ht="15" customHeight="1">
      <c r="A762" t="inlineStr">
        <is>
          <t>A 17117-2021</t>
        </is>
      </c>
      <c r="B762" s="1" t="n">
        <v>44298.37015046296</v>
      </c>
      <c r="C762" s="1" t="n">
        <v>46086</v>
      </c>
      <c r="D762" t="inlineStr">
        <is>
          <t>GÄVLEBORGS LÄN</t>
        </is>
      </c>
      <c r="E762" t="inlineStr">
        <is>
          <t>LJUSDAL</t>
        </is>
      </c>
      <c r="G762" t="n">
        <v>1</v>
      </c>
      <c r="H762" t="n">
        <v>0</v>
      </c>
      <c r="I762" t="n">
        <v>0</v>
      </c>
      <c r="J762" t="n">
        <v>0</v>
      </c>
      <c r="K762" t="n">
        <v>0</v>
      </c>
      <c r="L762" t="n">
        <v>0</v>
      </c>
      <c r="M762" t="n">
        <v>0</v>
      </c>
      <c r="N762" t="n">
        <v>0</v>
      </c>
      <c r="O762" t="n">
        <v>0</v>
      </c>
      <c r="P762" t="n">
        <v>0</v>
      </c>
      <c r="Q762" t="n">
        <v>0</v>
      </c>
      <c r="R762" s="2" t="inlineStr"/>
    </row>
    <row r="763" ht="15" customHeight="1">
      <c r="A763" t="inlineStr">
        <is>
          <t>A 11188-2021</t>
        </is>
      </c>
      <c r="B763" s="1" t="n">
        <v>44263</v>
      </c>
      <c r="C763" s="1" t="n">
        <v>46086</v>
      </c>
      <c r="D763" t="inlineStr">
        <is>
          <t>GÄVLEBORGS LÄN</t>
        </is>
      </c>
      <c r="E763" t="inlineStr">
        <is>
          <t>GÄVLE</t>
        </is>
      </c>
      <c r="G763" t="n">
        <v>0.6</v>
      </c>
      <c r="H763" t="n">
        <v>0</v>
      </c>
      <c r="I763" t="n">
        <v>0</v>
      </c>
      <c r="J763" t="n">
        <v>0</v>
      </c>
      <c r="K763" t="n">
        <v>0</v>
      </c>
      <c r="L763" t="n">
        <v>0</v>
      </c>
      <c r="M763" t="n">
        <v>0</v>
      </c>
      <c r="N763" t="n">
        <v>0</v>
      </c>
      <c r="O763" t="n">
        <v>0</v>
      </c>
      <c r="P763" t="n">
        <v>0</v>
      </c>
      <c r="Q763" t="n">
        <v>0</v>
      </c>
      <c r="R763" s="2" t="inlineStr"/>
    </row>
    <row r="764" ht="15" customHeight="1">
      <c r="A764" t="inlineStr">
        <is>
          <t>A 25335-2021</t>
        </is>
      </c>
      <c r="B764" s="1" t="n">
        <v>44342</v>
      </c>
      <c r="C764" s="1" t="n">
        <v>46086</v>
      </c>
      <c r="D764" t="inlineStr">
        <is>
          <t>GÄVLEBORGS LÄN</t>
        </is>
      </c>
      <c r="E764" t="inlineStr">
        <is>
          <t>GÄVLE</t>
        </is>
      </c>
      <c r="F764" t="inlineStr">
        <is>
          <t>Kyrkan</t>
        </is>
      </c>
      <c r="G764" t="n">
        <v>1.4</v>
      </c>
      <c r="H764" t="n">
        <v>0</v>
      </c>
      <c r="I764" t="n">
        <v>0</v>
      </c>
      <c r="J764" t="n">
        <v>0</v>
      </c>
      <c r="K764" t="n">
        <v>0</v>
      </c>
      <c r="L764" t="n">
        <v>0</v>
      </c>
      <c r="M764" t="n">
        <v>0</v>
      </c>
      <c r="N764" t="n">
        <v>0</v>
      </c>
      <c r="O764" t="n">
        <v>0</v>
      </c>
      <c r="P764" t="n">
        <v>0</v>
      </c>
      <c r="Q764" t="n">
        <v>0</v>
      </c>
      <c r="R764" s="2" t="inlineStr"/>
    </row>
    <row r="765" ht="15" customHeight="1">
      <c r="A765" t="inlineStr">
        <is>
          <t>A 14261-2021</t>
        </is>
      </c>
      <c r="B765" s="1" t="n">
        <v>44278</v>
      </c>
      <c r="C765" s="1" t="n">
        <v>46086</v>
      </c>
      <c r="D765" t="inlineStr">
        <is>
          <t>GÄVLEBORGS LÄN</t>
        </is>
      </c>
      <c r="E765" t="inlineStr">
        <is>
          <t>OVANÅKER</t>
        </is>
      </c>
      <c r="G765" t="n">
        <v>0.9</v>
      </c>
      <c r="H765" t="n">
        <v>0</v>
      </c>
      <c r="I765" t="n">
        <v>0</v>
      </c>
      <c r="J765" t="n">
        <v>0</v>
      </c>
      <c r="K765" t="n">
        <v>0</v>
      </c>
      <c r="L765" t="n">
        <v>0</v>
      </c>
      <c r="M765" t="n">
        <v>0</v>
      </c>
      <c r="N765" t="n">
        <v>0</v>
      </c>
      <c r="O765" t="n">
        <v>0</v>
      </c>
      <c r="P765" t="n">
        <v>0</v>
      </c>
      <c r="Q765" t="n">
        <v>0</v>
      </c>
      <c r="R765" s="2" t="inlineStr"/>
    </row>
    <row r="766" ht="15" customHeight="1">
      <c r="A766" t="inlineStr">
        <is>
          <t>A 19178-2021</t>
        </is>
      </c>
      <c r="B766" s="1" t="n">
        <v>44308</v>
      </c>
      <c r="C766" s="1" t="n">
        <v>46086</v>
      </c>
      <c r="D766" t="inlineStr">
        <is>
          <t>GÄVLEBORGS LÄN</t>
        </is>
      </c>
      <c r="E766" t="inlineStr">
        <is>
          <t>GÄVLE</t>
        </is>
      </c>
      <c r="G766" t="n">
        <v>0.9</v>
      </c>
      <c r="H766" t="n">
        <v>0</v>
      </c>
      <c r="I766" t="n">
        <v>0</v>
      </c>
      <c r="J766" t="n">
        <v>0</v>
      </c>
      <c r="K766" t="n">
        <v>0</v>
      </c>
      <c r="L766" t="n">
        <v>0</v>
      </c>
      <c r="M766" t="n">
        <v>0</v>
      </c>
      <c r="N766" t="n">
        <v>0</v>
      </c>
      <c r="O766" t="n">
        <v>0</v>
      </c>
      <c r="P766" t="n">
        <v>0</v>
      </c>
      <c r="Q766" t="n">
        <v>0</v>
      </c>
      <c r="R766" s="2" t="inlineStr"/>
    </row>
    <row r="767" ht="15" customHeight="1">
      <c r="A767" t="inlineStr">
        <is>
          <t>A 32883-2021</t>
        </is>
      </c>
      <c r="B767" s="1" t="n">
        <v>44375.72134259259</v>
      </c>
      <c r="C767" s="1" t="n">
        <v>46086</v>
      </c>
      <c r="D767" t="inlineStr">
        <is>
          <t>GÄVLEBORGS LÄN</t>
        </is>
      </c>
      <c r="E767" t="inlineStr">
        <is>
          <t>HUDIKSVALL</t>
        </is>
      </c>
      <c r="F767" t="inlineStr">
        <is>
          <t>Holmen skog AB</t>
        </is>
      </c>
      <c r="G767" t="n">
        <v>0.8</v>
      </c>
      <c r="H767" t="n">
        <v>0</v>
      </c>
      <c r="I767" t="n">
        <v>0</v>
      </c>
      <c r="J767" t="n">
        <v>0</v>
      </c>
      <c r="K767" t="n">
        <v>0</v>
      </c>
      <c r="L767" t="n">
        <v>0</v>
      </c>
      <c r="M767" t="n">
        <v>0</v>
      </c>
      <c r="N767" t="n">
        <v>0</v>
      </c>
      <c r="O767" t="n">
        <v>0</v>
      </c>
      <c r="P767" t="n">
        <v>0</v>
      </c>
      <c r="Q767" t="n">
        <v>0</v>
      </c>
      <c r="R767" s="2" t="inlineStr"/>
    </row>
    <row r="768" ht="15" customHeight="1">
      <c r="A768" t="inlineStr">
        <is>
          <t>A 20017-2021</t>
        </is>
      </c>
      <c r="B768" s="1" t="n">
        <v>44314.2571875</v>
      </c>
      <c r="C768" s="1" t="n">
        <v>46086</v>
      </c>
      <c r="D768" t="inlineStr">
        <is>
          <t>GÄVLEBORGS LÄN</t>
        </is>
      </c>
      <c r="E768" t="inlineStr">
        <is>
          <t>BOLLNÄS</t>
        </is>
      </c>
      <c r="G768" t="n">
        <v>6.8</v>
      </c>
      <c r="H768" t="n">
        <v>0</v>
      </c>
      <c r="I768" t="n">
        <v>0</v>
      </c>
      <c r="J768" t="n">
        <v>0</v>
      </c>
      <c r="K768" t="n">
        <v>0</v>
      </c>
      <c r="L768" t="n">
        <v>0</v>
      </c>
      <c r="M768" t="n">
        <v>0</v>
      </c>
      <c r="N768" t="n">
        <v>0</v>
      </c>
      <c r="O768" t="n">
        <v>0</v>
      </c>
      <c r="P768" t="n">
        <v>0</v>
      </c>
      <c r="Q768" t="n">
        <v>0</v>
      </c>
      <c r="R768" s="2" t="inlineStr"/>
    </row>
    <row r="769" ht="15" customHeight="1">
      <c r="A769" t="inlineStr">
        <is>
          <t>A 20018-2021</t>
        </is>
      </c>
      <c r="B769" s="1" t="n">
        <v>44314.26172453703</v>
      </c>
      <c r="C769" s="1" t="n">
        <v>46086</v>
      </c>
      <c r="D769" t="inlineStr">
        <is>
          <t>GÄVLEBORGS LÄN</t>
        </is>
      </c>
      <c r="E769" t="inlineStr">
        <is>
          <t>BOLLNÄS</t>
        </is>
      </c>
      <c r="G769" t="n">
        <v>4.9</v>
      </c>
      <c r="H769" t="n">
        <v>0</v>
      </c>
      <c r="I769" t="n">
        <v>0</v>
      </c>
      <c r="J769" t="n">
        <v>0</v>
      </c>
      <c r="K769" t="n">
        <v>0</v>
      </c>
      <c r="L769" t="n">
        <v>0</v>
      </c>
      <c r="M769" t="n">
        <v>0</v>
      </c>
      <c r="N769" t="n">
        <v>0</v>
      </c>
      <c r="O769" t="n">
        <v>0</v>
      </c>
      <c r="P769" t="n">
        <v>0</v>
      </c>
      <c r="Q769" t="n">
        <v>0</v>
      </c>
      <c r="R769" s="2" t="inlineStr"/>
    </row>
    <row r="770" ht="15" customHeight="1">
      <c r="A770" t="inlineStr">
        <is>
          <t>A 20021-2021</t>
        </is>
      </c>
      <c r="B770" s="1" t="n">
        <v>44314.26922453703</v>
      </c>
      <c r="C770" s="1" t="n">
        <v>46086</v>
      </c>
      <c r="D770" t="inlineStr">
        <is>
          <t>GÄVLEBORGS LÄN</t>
        </is>
      </c>
      <c r="E770" t="inlineStr">
        <is>
          <t>BOLLNÄS</t>
        </is>
      </c>
      <c r="G770" t="n">
        <v>0.4</v>
      </c>
      <c r="H770" t="n">
        <v>0</v>
      </c>
      <c r="I770" t="n">
        <v>0</v>
      </c>
      <c r="J770" t="n">
        <v>0</v>
      </c>
      <c r="K770" t="n">
        <v>0</v>
      </c>
      <c r="L770" t="n">
        <v>0</v>
      </c>
      <c r="M770" t="n">
        <v>0</v>
      </c>
      <c r="N770" t="n">
        <v>0</v>
      </c>
      <c r="O770" t="n">
        <v>0</v>
      </c>
      <c r="P770" t="n">
        <v>0</v>
      </c>
      <c r="Q770" t="n">
        <v>0</v>
      </c>
      <c r="R770" s="2" t="inlineStr"/>
    </row>
    <row r="771" ht="15" customHeight="1">
      <c r="A771" t="inlineStr">
        <is>
          <t>A 12723-2021</t>
        </is>
      </c>
      <c r="B771" s="1" t="n">
        <v>44270</v>
      </c>
      <c r="C771" s="1" t="n">
        <v>46086</v>
      </c>
      <c r="D771" t="inlineStr">
        <is>
          <t>GÄVLEBORGS LÄN</t>
        </is>
      </c>
      <c r="E771" t="inlineStr">
        <is>
          <t>BOLLNÄS</t>
        </is>
      </c>
      <c r="G771" t="n">
        <v>2.3</v>
      </c>
      <c r="H771" t="n">
        <v>0</v>
      </c>
      <c r="I771" t="n">
        <v>0</v>
      </c>
      <c r="J771" t="n">
        <v>0</v>
      </c>
      <c r="K771" t="n">
        <v>0</v>
      </c>
      <c r="L771" t="n">
        <v>0</v>
      </c>
      <c r="M771" t="n">
        <v>0</v>
      </c>
      <c r="N771" t="n">
        <v>0</v>
      </c>
      <c r="O771" t="n">
        <v>0</v>
      </c>
      <c r="P771" t="n">
        <v>0</v>
      </c>
      <c r="Q771" t="n">
        <v>0</v>
      </c>
      <c r="R771" s="2" t="inlineStr"/>
    </row>
    <row r="772" ht="15" customHeight="1">
      <c r="A772" t="inlineStr">
        <is>
          <t>A 64152-2021</t>
        </is>
      </c>
      <c r="B772" s="1" t="n">
        <v>44510.54027777778</v>
      </c>
      <c r="C772" s="1" t="n">
        <v>46086</v>
      </c>
      <c r="D772" t="inlineStr">
        <is>
          <t>GÄVLEBORGS LÄN</t>
        </is>
      </c>
      <c r="E772" t="inlineStr">
        <is>
          <t>SÖDERHAMN</t>
        </is>
      </c>
      <c r="F772" t="inlineStr">
        <is>
          <t>Bergvik skog väst AB</t>
        </is>
      </c>
      <c r="G772" t="n">
        <v>2.6</v>
      </c>
      <c r="H772" t="n">
        <v>0</v>
      </c>
      <c r="I772" t="n">
        <v>0</v>
      </c>
      <c r="J772" t="n">
        <v>0</v>
      </c>
      <c r="K772" t="n">
        <v>0</v>
      </c>
      <c r="L772" t="n">
        <v>0</v>
      </c>
      <c r="M772" t="n">
        <v>0</v>
      </c>
      <c r="N772" t="n">
        <v>0</v>
      </c>
      <c r="O772" t="n">
        <v>0</v>
      </c>
      <c r="P772" t="n">
        <v>0</v>
      </c>
      <c r="Q772" t="n">
        <v>0</v>
      </c>
      <c r="R772" s="2" t="inlineStr"/>
    </row>
    <row r="773" ht="15" customHeight="1">
      <c r="A773" t="inlineStr">
        <is>
          <t>A 20906-2021</t>
        </is>
      </c>
      <c r="B773" s="1" t="n">
        <v>44319.43662037037</v>
      </c>
      <c r="C773" s="1" t="n">
        <v>46086</v>
      </c>
      <c r="D773" t="inlineStr">
        <is>
          <t>GÄVLEBORGS LÄN</t>
        </is>
      </c>
      <c r="E773" t="inlineStr">
        <is>
          <t>BOLLNÄS</t>
        </is>
      </c>
      <c r="G773" t="n">
        <v>0.6</v>
      </c>
      <c r="H773" t="n">
        <v>0</v>
      </c>
      <c r="I773" t="n">
        <v>0</v>
      </c>
      <c r="J773" t="n">
        <v>0</v>
      </c>
      <c r="K773" t="n">
        <v>0</v>
      </c>
      <c r="L773" t="n">
        <v>0</v>
      </c>
      <c r="M773" t="n">
        <v>0</v>
      </c>
      <c r="N773" t="n">
        <v>0</v>
      </c>
      <c r="O773" t="n">
        <v>0</v>
      </c>
      <c r="P773" t="n">
        <v>0</v>
      </c>
      <c r="Q773" t="n">
        <v>0</v>
      </c>
      <c r="R773" s="2" t="inlineStr"/>
    </row>
    <row r="774" ht="15" customHeight="1">
      <c r="A774" t="inlineStr">
        <is>
          <t>A 39820-2021</t>
        </is>
      </c>
      <c r="B774" s="1" t="n">
        <v>44417.60410879629</v>
      </c>
      <c r="C774" s="1" t="n">
        <v>46086</v>
      </c>
      <c r="D774" t="inlineStr">
        <is>
          <t>GÄVLEBORGS LÄN</t>
        </is>
      </c>
      <c r="E774" t="inlineStr">
        <is>
          <t>LJUSDAL</t>
        </is>
      </c>
      <c r="G774" t="n">
        <v>1.5</v>
      </c>
      <c r="H774" t="n">
        <v>0</v>
      </c>
      <c r="I774" t="n">
        <v>0</v>
      </c>
      <c r="J774" t="n">
        <v>0</v>
      </c>
      <c r="K774" t="n">
        <v>0</v>
      </c>
      <c r="L774" t="n">
        <v>0</v>
      </c>
      <c r="M774" t="n">
        <v>0</v>
      </c>
      <c r="N774" t="n">
        <v>0</v>
      </c>
      <c r="O774" t="n">
        <v>0</v>
      </c>
      <c r="P774" t="n">
        <v>0</v>
      </c>
      <c r="Q774" t="n">
        <v>0</v>
      </c>
      <c r="R774" s="2" t="inlineStr"/>
    </row>
    <row r="775" ht="15" customHeight="1">
      <c r="A775" t="inlineStr">
        <is>
          <t>A 541-2022</t>
        </is>
      </c>
      <c r="B775" s="1" t="n">
        <v>44566.62109953703</v>
      </c>
      <c r="C775" s="1" t="n">
        <v>46086</v>
      </c>
      <c r="D775" t="inlineStr">
        <is>
          <t>GÄVLEBORGS LÄN</t>
        </is>
      </c>
      <c r="E775" t="inlineStr">
        <is>
          <t>BOLLNÄS</t>
        </is>
      </c>
      <c r="G775" t="n">
        <v>1.3</v>
      </c>
      <c r="H775" t="n">
        <v>0</v>
      </c>
      <c r="I775" t="n">
        <v>0</v>
      </c>
      <c r="J775" t="n">
        <v>0</v>
      </c>
      <c r="K775" t="n">
        <v>0</v>
      </c>
      <c r="L775" t="n">
        <v>0</v>
      </c>
      <c r="M775" t="n">
        <v>0</v>
      </c>
      <c r="N775" t="n">
        <v>0</v>
      </c>
      <c r="O775" t="n">
        <v>0</v>
      </c>
      <c r="P775" t="n">
        <v>0</v>
      </c>
      <c r="Q775" t="n">
        <v>0</v>
      </c>
      <c r="R775" s="2" t="inlineStr"/>
    </row>
    <row r="776" ht="15" customHeight="1">
      <c r="A776" t="inlineStr">
        <is>
          <t>A 27078-2021</t>
        </is>
      </c>
      <c r="B776" s="1" t="n">
        <v>44350.47921296296</v>
      </c>
      <c r="C776" s="1" t="n">
        <v>46086</v>
      </c>
      <c r="D776" t="inlineStr">
        <is>
          <t>GÄVLEBORGS LÄN</t>
        </is>
      </c>
      <c r="E776" t="inlineStr">
        <is>
          <t>OVANÅKER</t>
        </is>
      </c>
      <c r="G776" t="n">
        <v>1.2</v>
      </c>
      <c r="H776" t="n">
        <v>0</v>
      </c>
      <c r="I776" t="n">
        <v>0</v>
      </c>
      <c r="J776" t="n">
        <v>0</v>
      </c>
      <c r="K776" t="n">
        <v>0</v>
      </c>
      <c r="L776" t="n">
        <v>0</v>
      </c>
      <c r="M776" t="n">
        <v>0</v>
      </c>
      <c r="N776" t="n">
        <v>0</v>
      </c>
      <c r="O776" t="n">
        <v>0</v>
      </c>
      <c r="P776" t="n">
        <v>0</v>
      </c>
      <c r="Q776" t="n">
        <v>0</v>
      </c>
      <c r="R776" s="2" t="inlineStr"/>
    </row>
    <row r="777" ht="15" customHeight="1">
      <c r="A777" t="inlineStr">
        <is>
          <t>A 63086-2021</t>
        </is>
      </c>
      <c r="B777" s="1" t="n">
        <v>44505.57928240741</v>
      </c>
      <c r="C777" s="1" t="n">
        <v>46086</v>
      </c>
      <c r="D777" t="inlineStr">
        <is>
          <t>GÄVLEBORGS LÄN</t>
        </is>
      </c>
      <c r="E777" t="inlineStr">
        <is>
          <t>SANDVIKEN</t>
        </is>
      </c>
      <c r="G777" t="n">
        <v>1.9</v>
      </c>
      <c r="H777" t="n">
        <v>0</v>
      </c>
      <c r="I777" t="n">
        <v>0</v>
      </c>
      <c r="J777" t="n">
        <v>0</v>
      </c>
      <c r="K777" t="n">
        <v>0</v>
      </c>
      <c r="L777" t="n">
        <v>0</v>
      </c>
      <c r="M777" t="n">
        <v>0</v>
      </c>
      <c r="N777" t="n">
        <v>0</v>
      </c>
      <c r="O777" t="n">
        <v>0</v>
      </c>
      <c r="P777" t="n">
        <v>0</v>
      </c>
      <c r="Q777" t="n">
        <v>0</v>
      </c>
      <c r="R777" s="2" t="inlineStr"/>
    </row>
    <row r="778" ht="15" customHeight="1">
      <c r="A778" t="inlineStr">
        <is>
          <t>A 5810-2022</t>
        </is>
      </c>
      <c r="B778" s="1" t="n">
        <v>44596.57570601852</v>
      </c>
      <c r="C778" s="1" t="n">
        <v>46086</v>
      </c>
      <c r="D778" t="inlineStr">
        <is>
          <t>GÄVLEBORGS LÄN</t>
        </is>
      </c>
      <c r="E778" t="inlineStr">
        <is>
          <t>BOLLNÄS</t>
        </is>
      </c>
      <c r="G778" t="n">
        <v>1.1</v>
      </c>
      <c r="H778" t="n">
        <v>0</v>
      </c>
      <c r="I778" t="n">
        <v>0</v>
      </c>
      <c r="J778" t="n">
        <v>0</v>
      </c>
      <c r="K778" t="n">
        <v>0</v>
      </c>
      <c r="L778" t="n">
        <v>0</v>
      </c>
      <c r="M778" t="n">
        <v>0</v>
      </c>
      <c r="N778" t="n">
        <v>0</v>
      </c>
      <c r="O778" t="n">
        <v>0</v>
      </c>
      <c r="P778" t="n">
        <v>0</v>
      </c>
      <c r="Q778" t="n">
        <v>0</v>
      </c>
      <c r="R778" s="2" t="inlineStr"/>
    </row>
    <row r="779" ht="15" customHeight="1">
      <c r="A779" t="inlineStr">
        <is>
          <t>A 63149-2021</t>
        </is>
      </c>
      <c r="B779" s="1" t="n">
        <v>44505.92024305555</v>
      </c>
      <c r="C779" s="1" t="n">
        <v>46086</v>
      </c>
      <c r="D779" t="inlineStr">
        <is>
          <t>GÄVLEBORGS LÄN</t>
        </is>
      </c>
      <c r="E779" t="inlineStr">
        <is>
          <t>LJUSDAL</t>
        </is>
      </c>
      <c r="G779" t="n">
        <v>0.9</v>
      </c>
      <c r="H779" t="n">
        <v>0</v>
      </c>
      <c r="I779" t="n">
        <v>0</v>
      </c>
      <c r="J779" t="n">
        <v>0</v>
      </c>
      <c r="K779" t="n">
        <v>0</v>
      </c>
      <c r="L779" t="n">
        <v>0</v>
      </c>
      <c r="M779" t="n">
        <v>0</v>
      </c>
      <c r="N779" t="n">
        <v>0</v>
      </c>
      <c r="O779" t="n">
        <v>0</v>
      </c>
      <c r="P779" t="n">
        <v>0</v>
      </c>
      <c r="Q779" t="n">
        <v>0</v>
      </c>
      <c r="R779" s="2" t="inlineStr"/>
    </row>
    <row r="780" ht="15" customHeight="1">
      <c r="A780" t="inlineStr">
        <is>
          <t>A 7548-2022</t>
        </is>
      </c>
      <c r="B780" s="1" t="n">
        <v>44607</v>
      </c>
      <c r="C780" s="1" t="n">
        <v>46086</v>
      </c>
      <c r="D780" t="inlineStr">
        <is>
          <t>GÄVLEBORGS LÄN</t>
        </is>
      </c>
      <c r="E780" t="inlineStr">
        <is>
          <t>HUDIKSVALL</t>
        </is>
      </c>
      <c r="G780" t="n">
        <v>1.2</v>
      </c>
      <c r="H780" t="n">
        <v>0</v>
      </c>
      <c r="I780" t="n">
        <v>0</v>
      </c>
      <c r="J780" t="n">
        <v>0</v>
      </c>
      <c r="K780" t="n">
        <v>0</v>
      </c>
      <c r="L780" t="n">
        <v>0</v>
      </c>
      <c r="M780" t="n">
        <v>0</v>
      </c>
      <c r="N780" t="n">
        <v>0</v>
      </c>
      <c r="O780" t="n">
        <v>0</v>
      </c>
      <c r="P780" t="n">
        <v>0</v>
      </c>
      <c r="Q780" t="n">
        <v>0</v>
      </c>
      <c r="R780" s="2" t="inlineStr"/>
    </row>
    <row r="781" ht="15" customHeight="1">
      <c r="A781" t="inlineStr">
        <is>
          <t>A 41960-2022</t>
        </is>
      </c>
      <c r="B781" s="1" t="n">
        <v>44830.40199074074</v>
      </c>
      <c r="C781" s="1" t="n">
        <v>46086</v>
      </c>
      <c r="D781" t="inlineStr">
        <is>
          <t>GÄVLEBORGS LÄN</t>
        </is>
      </c>
      <c r="E781" t="inlineStr">
        <is>
          <t>BOLLNÄS</t>
        </is>
      </c>
      <c r="G781" t="n">
        <v>0.5</v>
      </c>
      <c r="H781" t="n">
        <v>0</v>
      </c>
      <c r="I781" t="n">
        <v>0</v>
      </c>
      <c r="J781" t="n">
        <v>0</v>
      </c>
      <c r="K781" t="n">
        <v>0</v>
      </c>
      <c r="L781" t="n">
        <v>0</v>
      </c>
      <c r="M781" t="n">
        <v>0</v>
      </c>
      <c r="N781" t="n">
        <v>0</v>
      </c>
      <c r="O781" t="n">
        <v>0</v>
      </c>
      <c r="P781" t="n">
        <v>0</v>
      </c>
      <c r="Q781" t="n">
        <v>0</v>
      </c>
      <c r="R781" s="2" t="inlineStr"/>
    </row>
    <row r="782" ht="15" customHeight="1">
      <c r="A782" t="inlineStr">
        <is>
          <t>A 29486-2021</t>
        </is>
      </c>
      <c r="B782" s="1" t="n">
        <v>44361</v>
      </c>
      <c r="C782" s="1" t="n">
        <v>46086</v>
      </c>
      <c r="D782" t="inlineStr">
        <is>
          <t>GÄVLEBORGS LÄN</t>
        </is>
      </c>
      <c r="E782" t="inlineStr">
        <is>
          <t>HUDIKSVALL</t>
        </is>
      </c>
      <c r="F782" t="inlineStr">
        <is>
          <t>Holmen skog AB</t>
        </is>
      </c>
      <c r="G782" t="n">
        <v>2.1</v>
      </c>
      <c r="H782" t="n">
        <v>0</v>
      </c>
      <c r="I782" t="n">
        <v>0</v>
      </c>
      <c r="J782" t="n">
        <v>0</v>
      </c>
      <c r="K782" t="n">
        <v>0</v>
      </c>
      <c r="L782" t="n">
        <v>0</v>
      </c>
      <c r="M782" t="n">
        <v>0</v>
      </c>
      <c r="N782" t="n">
        <v>0</v>
      </c>
      <c r="O782" t="n">
        <v>0</v>
      </c>
      <c r="P782" t="n">
        <v>0</v>
      </c>
      <c r="Q782" t="n">
        <v>0</v>
      </c>
      <c r="R782" s="2" t="inlineStr"/>
    </row>
    <row r="783" ht="15" customHeight="1">
      <c r="A783" t="inlineStr">
        <is>
          <t>A 59267-2021</t>
        </is>
      </c>
      <c r="B783" s="1" t="n">
        <v>44490</v>
      </c>
      <c r="C783" s="1" t="n">
        <v>46086</v>
      </c>
      <c r="D783" t="inlineStr">
        <is>
          <t>GÄVLEBORGS LÄN</t>
        </is>
      </c>
      <c r="E783" t="inlineStr">
        <is>
          <t>NORDANSTIG</t>
        </is>
      </c>
      <c r="G783" t="n">
        <v>10.3</v>
      </c>
      <c r="H783" t="n">
        <v>0</v>
      </c>
      <c r="I783" t="n">
        <v>0</v>
      </c>
      <c r="J783" t="n">
        <v>0</v>
      </c>
      <c r="K783" t="n">
        <v>0</v>
      </c>
      <c r="L783" t="n">
        <v>0</v>
      </c>
      <c r="M783" t="n">
        <v>0</v>
      </c>
      <c r="N783" t="n">
        <v>0</v>
      </c>
      <c r="O783" t="n">
        <v>0</v>
      </c>
      <c r="P783" t="n">
        <v>0</v>
      </c>
      <c r="Q783" t="n">
        <v>0</v>
      </c>
      <c r="R783" s="2" t="inlineStr"/>
    </row>
    <row r="784" ht="15" customHeight="1">
      <c r="A784" t="inlineStr">
        <is>
          <t>A 28757-2022</t>
        </is>
      </c>
      <c r="B784" s="1" t="n">
        <v>44749.32502314815</v>
      </c>
      <c r="C784" s="1" t="n">
        <v>46086</v>
      </c>
      <c r="D784" t="inlineStr">
        <is>
          <t>GÄVLEBORGS LÄN</t>
        </is>
      </c>
      <c r="E784" t="inlineStr">
        <is>
          <t>GÄVLE</t>
        </is>
      </c>
      <c r="G784" t="n">
        <v>8.6</v>
      </c>
      <c r="H784" t="n">
        <v>0</v>
      </c>
      <c r="I784" t="n">
        <v>0</v>
      </c>
      <c r="J784" t="n">
        <v>0</v>
      </c>
      <c r="K784" t="n">
        <v>0</v>
      </c>
      <c r="L784" t="n">
        <v>0</v>
      </c>
      <c r="M784" t="n">
        <v>0</v>
      </c>
      <c r="N784" t="n">
        <v>0</v>
      </c>
      <c r="O784" t="n">
        <v>0</v>
      </c>
      <c r="P784" t="n">
        <v>0</v>
      </c>
      <c r="Q784" t="n">
        <v>0</v>
      </c>
      <c r="R784" s="2" t="inlineStr"/>
    </row>
    <row r="785" ht="15" customHeight="1">
      <c r="A785" t="inlineStr">
        <is>
          <t>A 33049-2022</t>
        </is>
      </c>
      <c r="B785" s="1" t="n">
        <v>44785.39850694445</v>
      </c>
      <c r="C785" s="1" t="n">
        <v>46086</v>
      </c>
      <c r="D785" t="inlineStr">
        <is>
          <t>GÄVLEBORGS LÄN</t>
        </is>
      </c>
      <c r="E785" t="inlineStr">
        <is>
          <t>BOLLNÄS</t>
        </is>
      </c>
      <c r="F785" t="inlineStr">
        <is>
          <t>Kyrkan</t>
        </is>
      </c>
      <c r="G785" t="n">
        <v>0.5</v>
      </c>
      <c r="H785" t="n">
        <v>0</v>
      </c>
      <c r="I785" t="n">
        <v>0</v>
      </c>
      <c r="J785" t="n">
        <v>0</v>
      </c>
      <c r="K785" t="n">
        <v>0</v>
      </c>
      <c r="L785" t="n">
        <v>0</v>
      </c>
      <c r="M785" t="n">
        <v>0</v>
      </c>
      <c r="N785" t="n">
        <v>0</v>
      </c>
      <c r="O785" t="n">
        <v>0</v>
      </c>
      <c r="P785" t="n">
        <v>0</v>
      </c>
      <c r="Q785" t="n">
        <v>0</v>
      </c>
      <c r="R785" s="2" t="inlineStr"/>
    </row>
    <row r="786" ht="15" customHeight="1">
      <c r="A786" t="inlineStr">
        <is>
          <t>A 34116-2022</t>
        </is>
      </c>
      <c r="B786" s="1" t="n">
        <v>44791.49346064815</v>
      </c>
      <c r="C786" s="1" t="n">
        <v>46086</v>
      </c>
      <c r="D786" t="inlineStr">
        <is>
          <t>GÄVLEBORGS LÄN</t>
        </is>
      </c>
      <c r="E786" t="inlineStr">
        <is>
          <t>HUDIKSVALL</t>
        </is>
      </c>
      <c r="F786" t="inlineStr">
        <is>
          <t>Holmen skog AB</t>
        </is>
      </c>
      <c r="G786" t="n">
        <v>1.7</v>
      </c>
      <c r="H786" t="n">
        <v>0</v>
      </c>
      <c r="I786" t="n">
        <v>0</v>
      </c>
      <c r="J786" t="n">
        <v>0</v>
      </c>
      <c r="K786" t="n">
        <v>0</v>
      </c>
      <c r="L786" t="n">
        <v>0</v>
      </c>
      <c r="M786" t="n">
        <v>0</v>
      </c>
      <c r="N786" t="n">
        <v>0</v>
      </c>
      <c r="O786" t="n">
        <v>0</v>
      </c>
      <c r="P786" t="n">
        <v>0</v>
      </c>
      <c r="Q786" t="n">
        <v>0</v>
      </c>
      <c r="R786" s="2" t="inlineStr"/>
    </row>
    <row r="787" ht="15" customHeight="1">
      <c r="A787" t="inlineStr">
        <is>
          <t>A 522-2022</t>
        </is>
      </c>
      <c r="B787" s="1" t="n">
        <v>44566.5825</v>
      </c>
      <c r="C787" s="1" t="n">
        <v>46086</v>
      </c>
      <c r="D787" t="inlineStr">
        <is>
          <t>GÄVLEBORGS LÄN</t>
        </is>
      </c>
      <c r="E787" t="inlineStr">
        <is>
          <t>BOLLNÄS</t>
        </is>
      </c>
      <c r="G787" t="n">
        <v>1.8</v>
      </c>
      <c r="H787" t="n">
        <v>0</v>
      </c>
      <c r="I787" t="n">
        <v>0</v>
      </c>
      <c r="J787" t="n">
        <v>0</v>
      </c>
      <c r="K787" t="n">
        <v>0</v>
      </c>
      <c r="L787" t="n">
        <v>0</v>
      </c>
      <c r="M787" t="n">
        <v>0</v>
      </c>
      <c r="N787" t="n">
        <v>0</v>
      </c>
      <c r="O787" t="n">
        <v>0</v>
      </c>
      <c r="P787" t="n">
        <v>0</v>
      </c>
      <c r="Q787" t="n">
        <v>0</v>
      </c>
      <c r="R787" s="2" t="inlineStr"/>
    </row>
    <row r="788" ht="15" customHeight="1">
      <c r="A788" t="inlineStr">
        <is>
          <t>A 66494-2021</t>
        </is>
      </c>
      <c r="B788" s="1" t="n">
        <v>44519.0362962963</v>
      </c>
      <c r="C788" s="1" t="n">
        <v>46086</v>
      </c>
      <c r="D788" t="inlineStr">
        <is>
          <t>GÄVLEBORGS LÄN</t>
        </is>
      </c>
      <c r="E788" t="inlineStr">
        <is>
          <t>GÄVLE</t>
        </is>
      </c>
      <c r="G788" t="n">
        <v>1.3</v>
      </c>
      <c r="H788" t="n">
        <v>0</v>
      </c>
      <c r="I788" t="n">
        <v>0</v>
      </c>
      <c r="J788" t="n">
        <v>0</v>
      </c>
      <c r="K788" t="n">
        <v>0</v>
      </c>
      <c r="L788" t="n">
        <v>0</v>
      </c>
      <c r="M788" t="n">
        <v>0</v>
      </c>
      <c r="N788" t="n">
        <v>0</v>
      </c>
      <c r="O788" t="n">
        <v>0</v>
      </c>
      <c r="P788" t="n">
        <v>0</v>
      </c>
      <c r="Q788" t="n">
        <v>0</v>
      </c>
      <c r="R788" s="2" t="inlineStr"/>
    </row>
    <row r="789" ht="15" customHeight="1">
      <c r="A789" t="inlineStr">
        <is>
          <t>A 41161-2022</t>
        </is>
      </c>
      <c r="B789" s="1" t="n">
        <v>44825</v>
      </c>
      <c r="C789" s="1" t="n">
        <v>46086</v>
      </c>
      <c r="D789" t="inlineStr">
        <is>
          <t>GÄVLEBORGS LÄN</t>
        </is>
      </c>
      <c r="E789" t="inlineStr">
        <is>
          <t>NORDANSTIG</t>
        </is>
      </c>
      <c r="G789" t="n">
        <v>4.8</v>
      </c>
      <c r="H789" t="n">
        <v>0</v>
      </c>
      <c r="I789" t="n">
        <v>0</v>
      </c>
      <c r="J789" t="n">
        <v>0</v>
      </c>
      <c r="K789" t="n">
        <v>0</v>
      </c>
      <c r="L789" t="n">
        <v>0</v>
      </c>
      <c r="M789" t="n">
        <v>0</v>
      </c>
      <c r="N789" t="n">
        <v>0</v>
      </c>
      <c r="O789" t="n">
        <v>0</v>
      </c>
      <c r="P789" t="n">
        <v>0</v>
      </c>
      <c r="Q789" t="n">
        <v>0</v>
      </c>
      <c r="R789" s="2" t="inlineStr"/>
    </row>
    <row r="790" ht="15" customHeight="1">
      <c r="A790" t="inlineStr">
        <is>
          <t>A 21873-2022</t>
        </is>
      </c>
      <c r="B790" s="1" t="n">
        <v>44711.40037037037</v>
      </c>
      <c r="C790" s="1" t="n">
        <v>46086</v>
      </c>
      <c r="D790" t="inlineStr">
        <is>
          <t>GÄVLEBORGS LÄN</t>
        </is>
      </c>
      <c r="E790" t="inlineStr">
        <is>
          <t>NORDANSTIG</t>
        </is>
      </c>
      <c r="G790" t="n">
        <v>1.1</v>
      </c>
      <c r="H790" t="n">
        <v>0</v>
      </c>
      <c r="I790" t="n">
        <v>0</v>
      </c>
      <c r="J790" t="n">
        <v>0</v>
      </c>
      <c r="K790" t="n">
        <v>0</v>
      </c>
      <c r="L790" t="n">
        <v>0</v>
      </c>
      <c r="M790" t="n">
        <v>0</v>
      </c>
      <c r="N790" t="n">
        <v>0</v>
      </c>
      <c r="O790" t="n">
        <v>0</v>
      </c>
      <c r="P790" t="n">
        <v>0</v>
      </c>
      <c r="Q790" t="n">
        <v>0</v>
      </c>
      <c r="R790" s="2" t="inlineStr"/>
    </row>
    <row r="791" ht="15" customHeight="1">
      <c r="A791" t="inlineStr">
        <is>
          <t>A 31531-2022</t>
        </is>
      </c>
      <c r="B791" s="1" t="n">
        <v>44775</v>
      </c>
      <c r="C791" s="1" t="n">
        <v>46086</v>
      </c>
      <c r="D791" t="inlineStr">
        <is>
          <t>GÄVLEBORGS LÄN</t>
        </is>
      </c>
      <c r="E791" t="inlineStr">
        <is>
          <t>GÄVLE</t>
        </is>
      </c>
      <c r="G791" t="n">
        <v>1.6</v>
      </c>
      <c r="H791" t="n">
        <v>0</v>
      </c>
      <c r="I791" t="n">
        <v>0</v>
      </c>
      <c r="J791" t="n">
        <v>0</v>
      </c>
      <c r="K791" t="n">
        <v>0</v>
      </c>
      <c r="L791" t="n">
        <v>0</v>
      </c>
      <c r="M791" t="n">
        <v>0</v>
      </c>
      <c r="N791" t="n">
        <v>0</v>
      </c>
      <c r="O791" t="n">
        <v>0</v>
      </c>
      <c r="P791" t="n">
        <v>0</v>
      </c>
      <c r="Q791" t="n">
        <v>0</v>
      </c>
      <c r="R791" s="2" t="inlineStr"/>
    </row>
    <row r="792" ht="15" customHeight="1">
      <c r="A792" t="inlineStr">
        <is>
          <t>A 1588-2022</t>
        </is>
      </c>
      <c r="B792" s="1" t="n">
        <v>44573.66903935185</v>
      </c>
      <c r="C792" s="1" t="n">
        <v>46086</v>
      </c>
      <c r="D792" t="inlineStr">
        <is>
          <t>GÄVLEBORGS LÄN</t>
        </is>
      </c>
      <c r="E792" t="inlineStr">
        <is>
          <t>OVANÅKER</t>
        </is>
      </c>
      <c r="G792" t="n">
        <v>0.4</v>
      </c>
      <c r="H792" t="n">
        <v>0</v>
      </c>
      <c r="I792" t="n">
        <v>0</v>
      </c>
      <c r="J792" t="n">
        <v>0</v>
      </c>
      <c r="K792" t="n">
        <v>0</v>
      </c>
      <c r="L792" t="n">
        <v>0</v>
      </c>
      <c r="M792" t="n">
        <v>0</v>
      </c>
      <c r="N792" t="n">
        <v>0</v>
      </c>
      <c r="O792" t="n">
        <v>0</v>
      </c>
      <c r="P792" t="n">
        <v>0</v>
      </c>
      <c r="Q792" t="n">
        <v>0</v>
      </c>
      <c r="R792" s="2" t="inlineStr"/>
    </row>
    <row r="793" ht="15" customHeight="1">
      <c r="A793" t="inlineStr">
        <is>
          <t>A 1594-2022</t>
        </is>
      </c>
      <c r="B793" s="1" t="n">
        <v>44573.68275462963</v>
      </c>
      <c r="C793" s="1" t="n">
        <v>46086</v>
      </c>
      <c r="D793" t="inlineStr">
        <is>
          <t>GÄVLEBORGS LÄN</t>
        </is>
      </c>
      <c r="E793" t="inlineStr">
        <is>
          <t>OVANÅKER</t>
        </is>
      </c>
      <c r="G793" t="n">
        <v>0.4</v>
      </c>
      <c r="H793" t="n">
        <v>0</v>
      </c>
      <c r="I793" t="n">
        <v>0</v>
      </c>
      <c r="J793" t="n">
        <v>0</v>
      </c>
      <c r="K793" t="n">
        <v>0</v>
      </c>
      <c r="L793" t="n">
        <v>0</v>
      </c>
      <c r="M793" t="n">
        <v>0</v>
      </c>
      <c r="N793" t="n">
        <v>0</v>
      </c>
      <c r="O793" t="n">
        <v>0</v>
      </c>
      <c r="P793" t="n">
        <v>0</v>
      </c>
      <c r="Q793" t="n">
        <v>0</v>
      </c>
      <c r="R793" s="2" t="inlineStr"/>
    </row>
    <row r="794" ht="15" customHeight="1">
      <c r="A794" t="inlineStr">
        <is>
          <t>A 32750-2022</t>
        </is>
      </c>
      <c r="B794" s="1" t="n">
        <v>44783.76981481481</v>
      </c>
      <c r="C794" s="1" t="n">
        <v>46086</v>
      </c>
      <c r="D794" t="inlineStr">
        <is>
          <t>GÄVLEBORGS LÄN</t>
        </is>
      </c>
      <c r="E794" t="inlineStr">
        <is>
          <t>SÖDERHAMN</t>
        </is>
      </c>
      <c r="G794" t="n">
        <v>1.2</v>
      </c>
      <c r="H794" t="n">
        <v>0</v>
      </c>
      <c r="I794" t="n">
        <v>0</v>
      </c>
      <c r="J794" t="n">
        <v>0</v>
      </c>
      <c r="K794" t="n">
        <v>0</v>
      </c>
      <c r="L794" t="n">
        <v>0</v>
      </c>
      <c r="M794" t="n">
        <v>0</v>
      </c>
      <c r="N794" t="n">
        <v>0</v>
      </c>
      <c r="O794" t="n">
        <v>0</v>
      </c>
      <c r="P794" t="n">
        <v>0</v>
      </c>
      <c r="Q794" t="n">
        <v>0</v>
      </c>
      <c r="R794" s="2" t="inlineStr"/>
    </row>
    <row r="795" ht="15" customHeight="1">
      <c r="A795" t="inlineStr">
        <is>
          <t>A 55189-2022</t>
        </is>
      </c>
      <c r="B795" s="1" t="n">
        <v>44886.91054398148</v>
      </c>
      <c r="C795" s="1" t="n">
        <v>46086</v>
      </c>
      <c r="D795" t="inlineStr">
        <is>
          <t>GÄVLEBORGS LÄN</t>
        </is>
      </c>
      <c r="E795" t="inlineStr">
        <is>
          <t>GÄVLE</t>
        </is>
      </c>
      <c r="G795" t="n">
        <v>0.5</v>
      </c>
      <c r="H795" t="n">
        <v>0</v>
      </c>
      <c r="I795" t="n">
        <v>0</v>
      </c>
      <c r="J795" t="n">
        <v>0</v>
      </c>
      <c r="K795" t="n">
        <v>0</v>
      </c>
      <c r="L795" t="n">
        <v>0</v>
      </c>
      <c r="M795" t="n">
        <v>0</v>
      </c>
      <c r="N795" t="n">
        <v>0</v>
      </c>
      <c r="O795" t="n">
        <v>0</v>
      </c>
      <c r="P795" t="n">
        <v>0</v>
      </c>
      <c r="Q795" t="n">
        <v>0</v>
      </c>
      <c r="R795" s="2" t="inlineStr"/>
    </row>
    <row r="796" ht="15" customHeight="1">
      <c r="A796" t="inlineStr">
        <is>
          <t>A 50277-2022</t>
        </is>
      </c>
      <c r="B796" s="1" t="n">
        <v>44865.77954861111</v>
      </c>
      <c r="C796" s="1" t="n">
        <v>46086</v>
      </c>
      <c r="D796" t="inlineStr">
        <is>
          <t>GÄVLEBORGS LÄN</t>
        </is>
      </c>
      <c r="E796" t="inlineStr">
        <is>
          <t>SANDVIKEN</t>
        </is>
      </c>
      <c r="G796" t="n">
        <v>0.7</v>
      </c>
      <c r="H796" t="n">
        <v>0</v>
      </c>
      <c r="I796" t="n">
        <v>0</v>
      </c>
      <c r="J796" t="n">
        <v>0</v>
      </c>
      <c r="K796" t="n">
        <v>0</v>
      </c>
      <c r="L796" t="n">
        <v>0</v>
      </c>
      <c r="M796" t="n">
        <v>0</v>
      </c>
      <c r="N796" t="n">
        <v>0</v>
      </c>
      <c r="O796" t="n">
        <v>0</v>
      </c>
      <c r="P796" t="n">
        <v>0</v>
      </c>
      <c r="Q796" t="n">
        <v>0</v>
      </c>
      <c r="R796" s="2" t="inlineStr"/>
    </row>
    <row r="797" ht="15" customHeight="1">
      <c r="A797" t="inlineStr">
        <is>
          <t>A 41861-2022</t>
        </is>
      </c>
      <c r="B797" s="1" t="n">
        <v>44829.71965277778</v>
      </c>
      <c r="C797" s="1" t="n">
        <v>46086</v>
      </c>
      <c r="D797" t="inlineStr">
        <is>
          <t>GÄVLEBORGS LÄN</t>
        </is>
      </c>
      <c r="E797" t="inlineStr">
        <is>
          <t>SANDVIKEN</t>
        </is>
      </c>
      <c r="F797" t="inlineStr">
        <is>
          <t>Sveaskog</t>
        </is>
      </c>
      <c r="G797" t="n">
        <v>18.2</v>
      </c>
      <c r="H797" t="n">
        <v>0</v>
      </c>
      <c r="I797" t="n">
        <v>0</v>
      </c>
      <c r="J797" t="n">
        <v>0</v>
      </c>
      <c r="K797" t="n">
        <v>0</v>
      </c>
      <c r="L797" t="n">
        <v>0</v>
      </c>
      <c r="M797" t="n">
        <v>0</v>
      </c>
      <c r="N797" t="n">
        <v>0</v>
      </c>
      <c r="O797" t="n">
        <v>0</v>
      </c>
      <c r="P797" t="n">
        <v>0</v>
      </c>
      <c r="Q797" t="n">
        <v>0</v>
      </c>
      <c r="R797" s="2" t="inlineStr"/>
    </row>
    <row r="798" ht="15" customHeight="1">
      <c r="A798" t="inlineStr">
        <is>
          <t>A 31432-2022</t>
        </is>
      </c>
      <c r="B798" s="1" t="n">
        <v>44774.92493055556</v>
      </c>
      <c r="C798" s="1" t="n">
        <v>46086</v>
      </c>
      <c r="D798" t="inlineStr">
        <is>
          <t>GÄVLEBORGS LÄN</t>
        </is>
      </c>
      <c r="E798" t="inlineStr">
        <is>
          <t>NORDANSTIG</t>
        </is>
      </c>
      <c r="G798" t="n">
        <v>0.6</v>
      </c>
      <c r="H798" t="n">
        <v>0</v>
      </c>
      <c r="I798" t="n">
        <v>0</v>
      </c>
      <c r="J798" t="n">
        <v>0</v>
      </c>
      <c r="K798" t="n">
        <v>0</v>
      </c>
      <c r="L798" t="n">
        <v>0</v>
      </c>
      <c r="M798" t="n">
        <v>0</v>
      </c>
      <c r="N798" t="n">
        <v>0</v>
      </c>
      <c r="O798" t="n">
        <v>0</v>
      </c>
      <c r="P798" t="n">
        <v>0</v>
      </c>
      <c r="Q798" t="n">
        <v>0</v>
      </c>
      <c r="R798" s="2" t="inlineStr"/>
    </row>
    <row r="799" ht="15" customHeight="1">
      <c r="A799" t="inlineStr">
        <is>
          <t>A 53079-2022</t>
        </is>
      </c>
      <c r="B799" s="1" t="n">
        <v>44876</v>
      </c>
      <c r="C799" s="1" t="n">
        <v>46086</v>
      </c>
      <c r="D799" t="inlineStr">
        <is>
          <t>GÄVLEBORGS LÄN</t>
        </is>
      </c>
      <c r="E799" t="inlineStr">
        <is>
          <t>NORDANSTIG</t>
        </is>
      </c>
      <c r="F799" t="inlineStr">
        <is>
          <t>Holmen skog AB</t>
        </is>
      </c>
      <c r="G799" t="n">
        <v>7.2</v>
      </c>
      <c r="H799" t="n">
        <v>0</v>
      </c>
      <c r="I799" t="n">
        <v>0</v>
      </c>
      <c r="J799" t="n">
        <v>0</v>
      </c>
      <c r="K799" t="n">
        <v>0</v>
      </c>
      <c r="L799" t="n">
        <v>0</v>
      </c>
      <c r="M799" t="n">
        <v>0</v>
      </c>
      <c r="N799" t="n">
        <v>0</v>
      </c>
      <c r="O799" t="n">
        <v>0</v>
      </c>
      <c r="P799" t="n">
        <v>0</v>
      </c>
      <c r="Q799" t="n">
        <v>0</v>
      </c>
      <c r="R799" s="2" t="inlineStr"/>
    </row>
    <row r="800" ht="15" customHeight="1">
      <c r="A800" t="inlineStr">
        <is>
          <t>A 34722-2022</t>
        </is>
      </c>
      <c r="B800" s="1" t="n">
        <v>44795.59144675926</v>
      </c>
      <c r="C800" s="1" t="n">
        <v>46086</v>
      </c>
      <c r="D800" t="inlineStr">
        <is>
          <t>GÄVLEBORGS LÄN</t>
        </is>
      </c>
      <c r="E800" t="inlineStr">
        <is>
          <t>OCKELBO</t>
        </is>
      </c>
      <c r="G800" t="n">
        <v>0.3</v>
      </c>
      <c r="H800" t="n">
        <v>0</v>
      </c>
      <c r="I800" t="n">
        <v>0</v>
      </c>
      <c r="J800" t="n">
        <v>0</v>
      </c>
      <c r="K800" t="n">
        <v>0</v>
      </c>
      <c r="L800" t="n">
        <v>0</v>
      </c>
      <c r="M800" t="n">
        <v>0</v>
      </c>
      <c r="N800" t="n">
        <v>0</v>
      </c>
      <c r="O800" t="n">
        <v>0</v>
      </c>
      <c r="P800" t="n">
        <v>0</v>
      </c>
      <c r="Q800" t="n">
        <v>0</v>
      </c>
      <c r="R800" s="2" t="inlineStr"/>
    </row>
    <row r="801" ht="15" customHeight="1">
      <c r="A801" t="inlineStr">
        <is>
          <t>A 36236-2022</t>
        </is>
      </c>
      <c r="B801" s="1" t="n">
        <v>44803</v>
      </c>
      <c r="C801" s="1" t="n">
        <v>46086</v>
      </c>
      <c r="D801" t="inlineStr">
        <is>
          <t>GÄVLEBORGS LÄN</t>
        </is>
      </c>
      <c r="E801" t="inlineStr">
        <is>
          <t>HUDIKSVALL</t>
        </is>
      </c>
      <c r="G801" t="n">
        <v>0.6</v>
      </c>
      <c r="H801" t="n">
        <v>0</v>
      </c>
      <c r="I801" t="n">
        <v>0</v>
      </c>
      <c r="J801" t="n">
        <v>0</v>
      </c>
      <c r="K801" t="n">
        <v>0</v>
      </c>
      <c r="L801" t="n">
        <v>0</v>
      </c>
      <c r="M801" t="n">
        <v>0</v>
      </c>
      <c r="N801" t="n">
        <v>0</v>
      </c>
      <c r="O801" t="n">
        <v>0</v>
      </c>
      <c r="P801" t="n">
        <v>0</v>
      </c>
      <c r="Q801" t="n">
        <v>0</v>
      </c>
      <c r="R801" s="2" t="inlineStr"/>
    </row>
    <row r="802" ht="15" customHeight="1">
      <c r="A802" t="inlineStr">
        <is>
          <t>A 43341-2021</t>
        </is>
      </c>
      <c r="B802" s="1" t="n">
        <v>44432.48314814815</v>
      </c>
      <c r="C802" s="1" t="n">
        <v>46086</v>
      </c>
      <c r="D802" t="inlineStr">
        <is>
          <t>GÄVLEBORGS LÄN</t>
        </is>
      </c>
      <c r="E802" t="inlineStr">
        <is>
          <t>BOLLNÄS</t>
        </is>
      </c>
      <c r="G802" t="n">
        <v>0.5</v>
      </c>
      <c r="H802" t="n">
        <v>0</v>
      </c>
      <c r="I802" t="n">
        <v>0</v>
      </c>
      <c r="J802" t="n">
        <v>0</v>
      </c>
      <c r="K802" t="n">
        <v>0</v>
      </c>
      <c r="L802" t="n">
        <v>0</v>
      </c>
      <c r="M802" t="n">
        <v>0</v>
      </c>
      <c r="N802" t="n">
        <v>0</v>
      </c>
      <c r="O802" t="n">
        <v>0</v>
      </c>
      <c r="P802" t="n">
        <v>0</v>
      </c>
      <c r="Q802" t="n">
        <v>0</v>
      </c>
      <c r="R802" s="2" t="inlineStr"/>
    </row>
    <row r="803" ht="15" customHeight="1">
      <c r="A803" t="inlineStr">
        <is>
          <t>A 31419-2022</t>
        </is>
      </c>
      <c r="B803" s="1" t="n">
        <v>44774.70063657407</v>
      </c>
      <c r="C803" s="1" t="n">
        <v>46086</v>
      </c>
      <c r="D803" t="inlineStr">
        <is>
          <t>GÄVLEBORGS LÄN</t>
        </is>
      </c>
      <c r="E803" t="inlineStr">
        <is>
          <t>SANDVIKEN</t>
        </is>
      </c>
      <c r="F803" t="inlineStr">
        <is>
          <t>Sveaskog</t>
        </is>
      </c>
      <c r="G803" t="n">
        <v>0.4</v>
      </c>
      <c r="H803" t="n">
        <v>0</v>
      </c>
      <c r="I803" t="n">
        <v>0</v>
      </c>
      <c r="J803" t="n">
        <v>0</v>
      </c>
      <c r="K803" t="n">
        <v>0</v>
      </c>
      <c r="L803" t="n">
        <v>0</v>
      </c>
      <c r="M803" t="n">
        <v>0</v>
      </c>
      <c r="N803" t="n">
        <v>0</v>
      </c>
      <c r="O803" t="n">
        <v>0</v>
      </c>
      <c r="P803" t="n">
        <v>0</v>
      </c>
      <c r="Q803" t="n">
        <v>0</v>
      </c>
      <c r="R803" s="2" t="inlineStr"/>
    </row>
    <row r="804" ht="15" customHeight="1">
      <c r="A804" t="inlineStr">
        <is>
          <t>A 48201-2022</t>
        </is>
      </c>
      <c r="B804" s="1" t="n">
        <v>44858.42059027778</v>
      </c>
      <c r="C804" s="1" t="n">
        <v>46086</v>
      </c>
      <c r="D804" t="inlineStr">
        <is>
          <t>GÄVLEBORGS LÄN</t>
        </is>
      </c>
      <c r="E804" t="inlineStr">
        <is>
          <t>OCKELBO</t>
        </is>
      </c>
      <c r="F804" t="inlineStr">
        <is>
          <t>Bergvik skog väst AB</t>
        </is>
      </c>
      <c r="G804" t="n">
        <v>2.4</v>
      </c>
      <c r="H804" t="n">
        <v>0</v>
      </c>
      <c r="I804" t="n">
        <v>0</v>
      </c>
      <c r="J804" t="n">
        <v>0</v>
      </c>
      <c r="K804" t="n">
        <v>0</v>
      </c>
      <c r="L804" t="n">
        <v>0</v>
      </c>
      <c r="M804" t="n">
        <v>0</v>
      </c>
      <c r="N804" t="n">
        <v>0</v>
      </c>
      <c r="O804" t="n">
        <v>0</v>
      </c>
      <c r="P804" t="n">
        <v>0</v>
      </c>
      <c r="Q804" t="n">
        <v>0</v>
      </c>
      <c r="R804" s="2" t="inlineStr"/>
    </row>
    <row r="805" ht="15" customHeight="1">
      <c r="A805" t="inlineStr">
        <is>
          <t>A 18786-2021</t>
        </is>
      </c>
      <c r="B805" s="1" t="n">
        <v>44307</v>
      </c>
      <c r="C805" s="1" t="n">
        <v>46086</v>
      </c>
      <c r="D805" t="inlineStr">
        <is>
          <t>GÄVLEBORGS LÄN</t>
        </is>
      </c>
      <c r="E805" t="inlineStr">
        <is>
          <t>LJUSDAL</t>
        </is>
      </c>
      <c r="G805" t="n">
        <v>4.9</v>
      </c>
      <c r="H805" t="n">
        <v>0</v>
      </c>
      <c r="I805" t="n">
        <v>0</v>
      </c>
      <c r="J805" t="n">
        <v>0</v>
      </c>
      <c r="K805" t="n">
        <v>0</v>
      </c>
      <c r="L805" t="n">
        <v>0</v>
      </c>
      <c r="M805" t="n">
        <v>0</v>
      </c>
      <c r="N805" t="n">
        <v>0</v>
      </c>
      <c r="O805" t="n">
        <v>0</v>
      </c>
      <c r="P805" t="n">
        <v>0</v>
      </c>
      <c r="Q805" t="n">
        <v>0</v>
      </c>
      <c r="R805" s="2" t="inlineStr"/>
    </row>
    <row r="806" ht="15" customHeight="1">
      <c r="A806" t="inlineStr">
        <is>
          <t>A 50876-2021</t>
        </is>
      </c>
      <c r="B806" s="1" t="n">
        <v>44460</v>
      </c>
      <c r="C806" s="1" t="n">
        <v>46086</v>
      </c>
      <c r="D806" t="inlineStr">
        <is>
          <t>GÄVLEBORGS LÄN</t>
        </is>
      </c>
      <c r="E806" t="inlineStr">
        <is>
          <t>SANDVIKEN</t>
        </is>
      </c>
      <c r="F806" t="inlineStr">
        <is>
          <t>Sveaskog</t>
        </is>
      </c>
      <c r="G806" t="n">
        <v>0.6</v>
      </c>
      <c r="H806" t="n">
        <v>0</v>
      </c>
      <c r="I806" t="n">
        <v>0</v>
      </c>
      <c r="J806" t="n">
        <v>0</v>
      </c>
      <c r="K806" t="n">
        <v>0</v>
      </c>
      <c r="L806" t="n">
        <v>0</v>
      </c>
      <c r="M806" t="n">
        <v>0</v>
      </c>
      <c r="N806" t="n">
        <v>0</v>
      </c>
      <c r="O806" t="n">
        <v>0</v>
      </c>
      <c r="P806" t="n">
        <v>0</v>
      </c>
      <c r="Q806" t="n">
        <v>0</v>
      </c>
      <c r="R806" s="2" t="inlineStr"/>
    </row>
    <row r="807" ht="15" customHeight="1">
      <c r="A807" t="inlineStr">
        <is>
          <t>A 30857-2022</t>
        </is>
      </c>
      <c r="B807" s="1" t="n">
        <v>44767</v>
      </c>
      <c r="C807" s="1" t="n">
        <v>46086</v>
      </c>
      <c r="D807" t="inlineStr">
        <is>
          <t>GÄVLEBORGS LÄN</t>
        </is>
      </c>
      <c r="E807" t="inlineStr">
        <is>
          <t>NORDANSTIG</t>
        </is>
      </c>
      <c r="G807" t="n">
        <v>0.4</v>
      </c>
      <c r="H807" t="n">
        <v>0</v>
      </c>
      <c r="I807" t="n">
        <v>0</v>
      </c>
      <c r="J807" t="n">
        <v>0</v>
      </c>
      <c r="K807" t="n">
        <v>0</v>
      </c>
      <c r="L807" t="n">
        <v>0</v>
      </c>
      <c r="M807" t="n">
        <v>0</v>
      </c>
      <c r="N807" t="n">
        <v>0</v>
      </c>
      <c r="O807" t="n">
        <v>0</v>
      </c>
      <c r="P807" t="n">
        <v>0</v>
      </c>
      <c r="Q807" t="n">
        <v>0</v>
      </c>
      <c r="R807" s="2" t="inlineStr"/>
    </row>
    <row r="808" ht="15" customHeight="1">
      <c r="A808" t="inlineStr">
        <is>
          <t>A 30869-2022</t>
        </is>
      </c>
      <c r="B808" s="1" t="n">
        <v>44767.51855324074</v>
      </c>
      <c r="C808" s="1" t="n">
        <v>46086</v>
      </c>
      <c r="D808" t="inlineStr">
        <is>
          <t>GÄVLEBORGS LÄN</t>
        </is>
      </c>
      <c r="E808" t="inlineStr">
        <is>
          <t>LJUSDAL</t>
        </is>
      </c>
      <c r="F808" t="inlineStr">
        <is>
          <t>Holmen skog AB</t>
        </is>
      </c>
      <c r="G808" t="n">
        <v>1.1</v>
      </c>
      <c r="H808" t="n">
        <v>0</v>
      </c>
      <c r="I808" t="n">
        <v>0</v>
      </c>
      <c r="J808" t="n">
        <v>0</v>
      </c>
      <c r="K808" t="n">
        <v>0</v>
      </c>
      <c r="L808" t="n">
        <v>0</v>
      </c>
      <c r="M808" t="n">
        <v>0</v>
      </c>
      <c r="N808" t="n">
        <v>0</v>
      </c>
      <c r="O808" t="n">
        <v>0</v>
      </c>
      <c r="P808" t="n">
        <v>0</v>
      </c>
      <c r="Q808" t="n">
        <v>0</v>
      </c>
      <c r="R808" s="2" t="inlineStr"/>
    </row>
    <row r="809" ht="15" customHeight="1">
      <c r="A809" t="inlineStr">
        <is>
          <t>A 64068-2021</t>
        </is>
      </c>
      <c r="B809" s="1" t="n">
        <v>44510.39528935185</v>
      </c>
      <c r="C809" s="1" t="n">
        <v>46086</v>
      </c>
      <c r="D809" t="inlineStr">
        <is>
          <t>GÄVLEBORGS LÄN</t>
        </is>
      </c>
      <c r="E809" t="inlineStr">
        <is>
          <t>SANDVIKEN</t>
        </is>
      </c>
      <c r="G809" t="n">
        <v>4.8</v>
      </c>
      <c r="H809" t="n">
        <v>0</v>
      </c>
      <c r="I809" t="n">
        <v>0</v>
      </c>
      <c r="J809" t="n">
        <v>0</v>
      </c>
      <c r="K809" t="n">
        <v>0</v>
      </c>
      <c r="L809" t="n">
        <v>0</v>
      </c>
      <c r="M809" t="n">
        <v>0</v>
      </c>
      <c r="N809" t="n">
        <v>0</v>
      </c>
      <c r="O809" t="n">
        <v>0</v>
      </c>
      <c r="P809" t="n">
        <v>0</v>
      </c>
      <c r="Q809" t="n">
        <v>0</v>
      </c>
      <c r="R809" s="2" t="inlineStr"/>
    </row>
    <row r="810" ht="15" customHeight="1">
      <c r="A810" t="inlineStr">
        <is>
          <t>A 16307-2021</t>
        </is>
      </c>
      <c r="B810" s="1" t="n">
        <v>44292.69246527777</v>
      </c>
      <c r="C810" s="1" t="n">
        <v>46086</v>
      </c>
      <c r="D810" t="inlineStr">
        <is>
          <t>GÄVLEBORGS LÄN</t>
        </is>
      </c>
      <c r="E810" t="inlineStr">
        <is>
          <t>SÖDERHAMN</t>
        </is>
      </c>
      <c r="G810" t="n">
        <v>1.2</v>
      </c>
      <c r="H810" t="n">
        <v>0</v>
      </c>
      <c r="I810" t="n">
        <v>0</v>
      </c>
      <c r="J810" t="n">
        <v>0</v>
      </c>
      <c r="K810" t="n">
        <v>0</v>
      </c>
      <c r="L810" t="n">
        <v>0</v>
      </c>
      <c r="M810" t="n">
        <v>0</v>
      </c>
      <c r="N810" t="n">
        <v>0</v>
      </c>
      <c r="O810" t="n">
        <v>0</v>
      </c>
      <c r="P810" t="n">
        <v>0</v>
      </c>
      <c r="Q810" t="n">
        <v>0</v>
      </c>
      <c r="R810" s="2" t="inlineStr"/>
    </row>
    <row r="811" ht="15" customHeight="1">
      <c r="A811" t="inlineStr">
        <is>
          <t>A 63084-2021</t>
        </is>
      </c>
      <c r="B811" s="1" t="n">
        <v>44505.57767361111</v>
      </c>
      <c r="C811" s="1" t="n">
        <v>46086</v>
      </c>
      <c r="D811" t="inlineStr">
        <is>
          <t>GÄVLEBORGS LÄN</t>
        </is>
      </c>
      <c r="E811" t="inlineStr">
        <is>
          <t>SANDVIKEN</t>
        </is>
      </c>
      <c r="G811" t="n">
        <v>2.5</v>
      </c>
      <c r="H811" t="n">
        <v>0</v>
      </c>
      <c r="I811" t="n">
        <v>0</v>
      </c>
      <c r="J811" t="n">
        <v>0</v>
      </c>
      <c r="K811" t="n">
        <v>0</v>
      </c>
      <c r="L811" t="n">
        <v>0</v>
      </c>
      <c r="M811" t="n">
        <v>0</v>
      </c>
      <c r="N811" t="n">
        <v>0</v>
      </c>
      <c r="O811" t="n">
        <v>0</v>
      </c>
      <c r="P811" t="n">
        <v>0</v>
      </c>
      <c r="Q811" t="n">
        <v>0</v>
      </c>
      <c r="R811" s="2" t="inlineStr"/>
    </row>
    <row r="812" ht="15" customHeight="1">
      <c r="A812" t="inlineStr">
        <is>
          <t>A 15280-2021</t>
        </is>
      </c>
      <c r="B812" s="1" t="n">
        <v>44284.57682870371</v>
      </c>
      <c r="C812" s="1" t="n">
        <v>46086</v>
      </c>
      <c r="D812" t="inlineStr">
        <is>
          <t>GÄVLEBORGS LÄN</t>
        </is>
      </c>
      <c r="E812" t="inlineStr">
        <is>
          <t>GÄVLE</t>
        </is>
      </c>
      <c r="F812" t="inlineStr">
        <is>
          <t>Bergvik skog öst AB</t>
        </is>
      </c>
      <c r="G812" t="n">
        <v>1.9</v>
      </c>
      <c r="H812" t="n">
        <v>0</v>
      </c>
      <c r="I812" t="n">
        <v>0</v>
      </c>
      <c r="J812" t="n">
        <v>0</v>
      </c>
      <c r="K812" t="n">
        <v>0</v>
      </c>
      <c r="L812" t="n">
        <v>0</v>
      </c>
      <c r="M812" t="n">
        <v>0</v>
      </c>
      <c r="N812" t="n">
        <v>0</v>
      </c>
      <c r="O812" t="n">
        <v>0</v>
      </c>
      <c r="P812" t="n">
        <v>0</v>
      </c>
      <c r="Q812" t="n">
        <v>0</v>
      </c>
      <c r="R812" s="2" t="inlineStr"/>
    </row>
    <row r="813" ht="15" customHeight="1">
      <c r="A813" t="inlineStr">
        <is>
          <t>A 22585-2021</t>
        </is>
      </c>
      <c r="B813" s="1" t="n">
        <v>44327.39894675926</v>
      </c>
      <c r="C813" s="1" t="n">
        <v>46086</v>
      </c>
      <c r="D813" t="inlineStr">
        <is>
          <t>GÄVLEBORGS LÄN</t>
        </is>
      </c>
      <c r="E813" t="inlineStr">
        <is>
          <t>OCKELBO</t>
        </is>
      </c>
      <c r="G813" t="n">
        <v>0.8</v>
      </c>
      <c r="H813" t="n">
        <v>0</v>
      </c>
      <c r="I813" t="n">
        <v>0</v>
      </c>
      <c r="J813" t="n">
        <v>0</v>
      </c>
      <c r="K813" t="n">
        <v>0</v>
      </c>
      <c r="L813" t="n">
        <v>0</v>
      </c>
      <c r="M813" t="n">
        <v>0</v>
      </c>
      <c r="N813" t="n">
        <v>0</v>
      </c>
      <c r="O813" t="n">
        <v>0</v>
      </c>
      <c r="P813" t="n">
        <v>0</v>
      </c>
      <c r="Q813" t="n">
        <v>0</v>
      </c>
      <c r="R813" s="2" t="inlineStr"/>
    </row>
    <row r="814" ht="15" customHeight="1">
      <c r="A814" t="inlineStr">
        <is>
          <t>A 15738-2021</t>
        </is>
      </c>
      <c r="B814" s="1" t="n">
        <v>44286.49304398148</v>
      </c>
      <c r="C814" s="1" t="n">
        <v>46086</v>
      </c>
      <c r="D814" t="inlineStr">
        <is>
          <t>GÄVLEBORGS LÄN</t>
        </is>
      </c>
      <c r="E814" t="inlineStr">
        <is>
          <t>GÄVLE</t>
        </is>
      </c>
      <c r="G814" t="n">
        <v>2.8</v>
      </c>
      <c r="H814" t="n">
        <v>0</v>
      </c>
      <c r="I814" t="n">
        <v>0</v>
      </c>
      <c r="J814" t="n">
        <v>0</v>
      </c>
      <c r="K814" t="n">
        <v>0</v>
      </c>
      <c r="L814" t="n">
        <v>0</v>
      </c>
      <c r="M814" t="n">
        <v>0</v>
      </c>
      <c r="N814" t="n">
        <v>0</v>
      </c>
      <c r="O814" t="n">
        <v>0</v>
      </c>
      <c r="P814" t="n">
        <v>0</v>
      </c>
      <c r="Q814" t="n">
        <v>0</v>
      </c>
      <c r="R814" s="2" t="inlineStr"/>
    </row>
    <row r="815" ht="15" customHeight="1">
      <c r="A815" t="inlineStr">
        <is>
          <t>A 63423-2021</t>
        </is>
      </c>
      <c r="B815" s="1" t="n">
        <v>44508.56807870371</v>
      </c>
      <c r="C815" s="1" t="n">
        <v>46086</v>
      </c>
      <c r="D815" t="inlineStr">
        <is>
          <t>GÄVLEBORGS LÄN</t>
        </is>
      </c>
      <c r="E815" t="inlineStr">
        <is>
          <t>SÖDERHAMN</t>
        </is>
      </c>
      <c r="G815" t="n">
        <v>1.7</v>
      </c>
      <c r="H815" t="n">
        <v>0</v>
      </c>
      <c r="I815" t="n">
        <v>0</v>
      </c>
      <c r="J815" t="n">
        <v>0</v>
      </c>
      <c r="K815" t="n">
        <v>0</v>
      </c>
      <c r="L815" t="n">
        <v>0</v>
      </c>
      <c r="M815" t="n">
        <v>0</v>
      </c>
      <c r="N815" t="n">
        <v>0</v>
      </c>
      <c r="O815" t="n">
        <v>0</v>
      </c>
      <c r="P815" t="n">
        <v>0</v>
      </c>
      <c r="Q815" t="n">
        <v>0</v>
      </c>
      <c r="R815" s="2" t="inlineStr"/>
    </row>
    <row r="816" ht="15" customHeight="1">
      <c r="A816" t="inlineStr">
        <is>
          <t>A 17215-2021</t>
        </is>
      </c>
      <c r="B816" s="1" t="n">
        <v>44298.48946759259</v>
      </c>
      <c r="C816" s="1" t="n">
        <v>46086</v>
      </c>
      <c r="D816" t="inlineStr">
        <is>
          <t>GÄVLEBORGS LÄN</t>
        </is>
      </c>
      <c r="E816" t="inlineStr">
        <is>
          <t>OVANÅKER</t>
        </is>
      </c>
      <c r="G816" t="n">
        <v>0.9</v>
      </c>
      <c r="H816" t="n">
        <v>0</v>
      </c>
      <c r="I816" t="n">
        <v>0</v>
      </c>
      <c r="J816" t="n">
        <v>0</v>
      </c>
      <c r="K816" t="n">
        <v>0</v>
      </c>
      <c r="L816" t="n">
        <v>0</v>
      </c>
      <c r="M816" t="n">
        <v>0</v>
      </c>
      <c r="N816" t="n">
        <v>0</v>
      </c>
      <c r="O816" t="n">
        <v>0</v>
      </c>
      <c r="P816" t="n">
        <v>0</v>
      </c>
      <c r="Q816" t="n">
        <v>0</v>
      </c>
      <c r="R816" s="2" t="inlineStr"/>
    </row>
    <row r="817" ht="15" customHeight="1">
      <c r="A817" t="inlineStr">
        <is>
          <t>A 22580-2021</t>
        </is>
      </c>
      <c r="B817" s="1" t="n">
        <v>44327.39097222222</v>
      </c>
      <c r="C817" s="1" t="n">
        <v>46086</v>
      </c>
      <c r="D817" t="inlineStr">
        <is>
          <t>GÄVLEBORGS LÄN</t>
        </is>
      </c>
      <c r="E817" t="inlineStr">
        <is>
          <t>OCKELBO</t>
        </is>
      </c>
      <c r="G817" t="n">
        <v>1.9</v>
      </c>
      <c r="H817" t="n">
        <v>0</v>
      </c>
      <c r="I817" t="n">
        <v>0</v>
      </c>
      <c r="J817" t="n">
        <v>0</v>
      </c>
      <c r="K817" t="n">
        <v>0</v>
      </c>
      <c r="L817" t="n">
        <v>0</v>
      </c>
      <c r="M817" t="n">
        <v>0</v>
      </c>
      <c r="N817" t="n">
        <v>0</v>
      </c>
      <c r="O817" t="n">
        <v>0</v>
      </c>
      <c r="P817" t="n">
        <v>0</v>
      </c>
      <c r="Q817" t="n">
        <v>0</v>
      </c>
      <c r="R817" s="2" t="inlineStr"/>
    </row>
    <row r="818" ht="15" customHeight="1">
      <c r="A818" t="inlineStr">
        <is>
          <t>A 13030-2021</t>
        </is>
      </c>
      <c r="B818" s="1" t="n">
        <v>44271</v>
      </c>
      <c r="C818" s="1" t="n">
        <v>46086</v>
      </c>
      <c r="D818" t="inlineStr">
        <is>
          <t>GÄVLEBORGS LÄN</t>
        </is>
      </c>
      <c r="E818" t="inlineStr">
        <is>
          <t>GÄVLE</t>
        </is>
      </c>
      <c r="F818" t="inlineStr">
        <is>
          <t>Bergvik skog öst AB</t>
        </is>
      </c>
      <c r="G818" t="n">
        <v>0.9</v>
      </c>
      <c r="H818" t="n">
        <v>0</v>
      </c>
      <c r="I818" t="n">
        <v>0</v>
      </c>
      <c r="J818" t="n">
        <v>0</v>
      </c>
      <c r="K818" t="n">
        <v>0</v>
      </c>
      <c r="L818" t="n">
        <v>0</v>
      </c>
      <c r="M818" t="n">
        <v>0</v>
      </c>
      <c r="N818" t="n">
        <v>0</v>
      </c>
      <c r="O818" t="n">
        <v>0</v>
      </c>
      <c r="P818" t="n">
        <v>0</v>
      </c>
      <c r="Q818" t="n">
        <v>0</v>
      </c>
      <c r="R818" s="2" t="inlineStr"/>
    </row>
    <row r="819" ht="15" customHeight="1">
      <c r="A819" t="inlineStr">
        <is>
          <t>A 25056-2021</t>
        </is>
      </c>
      <c r="B819" s="1" t="n">
        <v>44341.60780092593</v>
      </c>
      <c r="C819" s="1" t="n">
        <v>46086</v>
      </c>
      <c r="D819" t="inlineStr">
        <is>
          <t>GÄVLEBORGS LÄN</t>
        </is>
      </c>
      <c r="E819" t="inlineStr">
        <is>
          <t>SANDVIKEN</t>
        </is>
      </c>
      <c r="G819" t="n">
        <v>3</v>
      </c>
      <c r="H819" t="n">
        <v>0</v>
      </c>
      <c r="I819" t="n">
        <v>0</v>
      </c>
      <c r="J819" t="n">
        <v>0</v>
      </c>
      <c r="K819" t="n">
        <v>0</v>
      </c>
      <c r="L819" t="n">
        <v>0</v>
      </c>
      <c r="M819" t="n">
        <v>0</v>
      </c>
      <c r="N819" t="n">
        <v>0</v>
      </c>
      <c r="O819" t="n">
        <v>0</v>
      </c>
      <c r="P819" t="n">
        <v>0</v>
      </c>
      <c r="Q819" t="n">
        <v>0</v>
      </c>
      <c r="R819" s="2" t="inlineStr"/>
    </row>
    <row r="820" ht="15" customHeight="1">
      <c r="A820" t="inlineStr">
        <is>
          <t>A 72815-2021</t>
        </is>
      </c>
      <c r="B820" s="1" t="n">
        <v>44547.40262731481</v>
      </c>
      <c r="C820" s="1" t="n">
        <v>46086</v>
      </c>
      <c r="D820" t="inlineStr">
        <is>
          <t>GÄVLEBORGS LÄN</t>
        </is>
      </c>
      <c r="E820" t="inlineStr">
        <is>
          <t>NORDANSTIG</t>
        </is>
      </c>
      <c r="G820" t="n">
        <v>0.3</v>
      </c>
      <c r="H820" t="n">
        <v>0</v>
      </c>
      <c r="I820" t="n">
        <v>0</v>
      </c>
      <c r="J820" t="n">
        <v>0</v>
      </c>
      <c r="K820" t="n">
        <v>0</v>
      </c>
      <c r="L820" t="n">
        <v>0</v>
      </c>
      <c r="M820" t="n">
        <v>0</v>
      </c>
      <c r="N820" t="n">
        <v>0</v>
      </c>
      <c r="O820" t="n">
        <v>0</v>
      </c>
      <c r="P820" t="n">
        <v>0</v>
      </c>
      <c r="Q820" t="n">
        <v>0</v>
      </c>
      <c r="R820" s="2" t="inlineStr"/>
    </row>
    <row r="821" ht="15" customHeight="1">
      <c r="A821" t="inlineStr">
        <is>
          <t>A 58523-2021</t>
        </is>
      </c>
      <c r="B821" s="1" t="n">
        <v>44488.65658564815</v>
      </c>
      <c r="C821" s="1" t="n">
        <v>46086</v>
      </c>
      <c r="D821" t="inlineStr">
        <is>
          <t>GÄVLEBORGS LÄN</t>
        </is>
      </c>
      <c r="E821" t="inlineStr">
        <is>
          <t>BOLLNÄS</t>
        </is>
      </c>
      <c r="G821" t="n">
        <v>2.4</v>
      </c>
      <c r="H821" t="n">
        <v>0</v>
      </c>
      <c r="I821" t="n">
        <v>0</v>
      </c>
      <c r="J821" t="n">
        <v>0</v>
      </c>
      <c r="K821" t="n">
        <v>0</v>
      </c>
      <c r="L821" t="n">
        <v>0</v>
      </c>
      <c r="M821" t="n">
        <v>0</v>
      </c>
      <c r="N821" t="n">
        <v>0</v>
      </c>
      <c r="O821" t="n">
        <v>0</v>
      </c>
      <c r="P821" t="n">
        <v>0</v>
      </c>
      <c r="Q821" t="n">
        <v>0</v>
      </c>
      <c r="R821" s="2" t="inlineStr"/>
    </row>
    <row r="822" ht="15" customHeight="1">
      <c r="A822" t="inlineStr">
        <is>
          <t>A 24230-2021</t>
        </is>
      </c>
      <c r="B822" s="1" t="n">
        <v>44336</v>
      </c>
      <c r="C822" s="1" t="n">
        <v>46086</v>
      </c>
      <c r="D822" t="inlineStr">
        <is>
          <t>GÄVLEBORGS LÄN</t>
        </is>
      </c>
      <c r="E822" t="inlineStr">
        <is>
          <t>BOLLNÄS</t>
        </is>
      </c>
      <c r="G822" t="n">
        <v>0.2</v>
      </c>
      <c r="H822" t="n">
        <v>0</v>
      </c>
      <c r="I822" t="n">
        <v>0</v>
      </c>
      <c r="J822" t="n">
        <v>0</v>
      </c>
      <c r="K822" t="n">
        <v>0</v>
      </c>
      <c r="L822" t="n">
        <v>0</v>
      </c>
      <c r="M822" t="n">
        <v>0</v>
      </c>
      <c r="N822" t="n">
        <v>0</v>
      </c>
      <c r="O822" t="n">
        <v>0</v>
      </c>
      <c r="P822" t="n">
        <v>0</v>
      </c>
      <c r="Q822" t="n">
        <v>0</v>
      </c>
      <c r="R822" s="2" t="inlineStr"/>
    </row>
    <row r="823" ht="15" customHeight="1">
      <c r="A823" t="inlineStr">
        <is>
          <t>A 20108-2021</t>
        </is>
      </c>
      <c r="B823" s="1" t="n">
        <v>44314.45354166667</v>
      </c>
      <c r="C823" s="1" t="n">
        <v>46086</v>
      </c>
      <c r="D823" t="inlineStr">
        <is>
          <t>GÄVLEBORGS LÄN</t>
        </is>
      </c>
      <c r="E823" t="inlineStr">
        <is>
          <t>OVANÅKER</t>
        </is>
      </c>
      <c r="F823" t="inlineStr">
        <is>
          <t>Sveaskog</t>
        </is>
      </c>
      <c r="G823" t="n">
        <v>0.9</v>
      </c>
      <c r="H823" t="n">
        <v>0</v>
      </c>
      <c r="I823" t="n">
        <v>0</v>
      </c>
      <c r="J823" t="n">
        <v>0</v>
      </c>
      <c r="K823" t="n">
        <v>0</v>
      </c>
      <c r="L823" t="n">
        <v>0</v>
      </c>
      <c r="M823" t="n">
        <v>0</v>
      </c>
      <c r="N823" t="n">
        <v>0</v>
      </c>
      <c r="O823" t="n">
        <v>0</v>
      </c>
      <c r="P823" t="n">
        <v>0</v>
      </c>
      <c r="Q823" t="n">
        <v>0</v>
      </c>
      <c r="R823" s="2" t="inlineStr"/>
    </row>
    <row r="824" ht="15" customHeight="1">
      <c r="A824" t="inlineStr">
        <is>
          <t>A 66121-2021</t>
        </is>
      </c>
      <c r="B824" s="1" t="n">
        <v>44517.75414351852</v>
      </c>
      <c r="C824" s="1" t="n">
        <v>46086</v>
      </c>
      <c r="D824" t="inlineStr">
        <is>
          <t>GÄVLEBORGS LÄN</t>
        </is>
      </c>
      <c r="E824" t="inlineStr">
        <is>
          <t>BOLLNÄS</t>
        </is>
      </c>
      <c r="G824" t="n">
        <v>0.2</v>
      </c>
      <c r="H824" t="n">
        <v>0</v>
      </c>
      <c r="I824" t="n">
        <v>0</v>
      </c>
      <c r="J824" t="n">
        <v>0</v>
      </c>
      <c r="K824" t="n">
        <v>0</v>
      </c>
      <c r="L824" t="n">
        <v>0</v>
      </c>
      <c r="M824" t="n">
        <v>0</v>
      </c>
      <c r="N824" t="n">
        <v>0</v>
      </c>
      <c r="O824" t="n">
        <v>0</v>
      </c>
      <c r="P824" t="n">
        <v>0</v>
      </c>
      <c r="Q824" t="n">
        <v>0</v>
      </c>
      <c r="R824" s="2" t="inlineStr"/>
    </row>
    <row r="825" ht="15" customHeight="1">
      <c r="A825" t="inlineStr">
        <is>
          <t>A 66125-2021</t>
        </is>
      </c>
      <c r="B825" s="1" t="n">
        <v>44517</v>
      </c>
      <c r="C825" s="1" t="n">
        <v>46086</v>
      </c>
      <c r="D825" t="inlineStr">
        <is>
          <t>GÄVLEBORGS LÄN</t>
        </is>
      </c>
      <c r="E825" t="inlineStr">
        <is>
          <t>BOLLNÄS</t>
        </is>
      </c>
      <c r="G825" t="n">
        <v>0.5</v>
      </c>
      <c r="H825" t="n">
        <v>0</v>
      </c>
      <c r="I825" t="n">
        <v>0</v>
      </c>
      <c r="J825" t="n">
        <v>0</v>
      </c>
      <c r="K825" t="n">
        <v>0</v>
      </c>
      <c r="L825" t="n">
        <v>0</v>
      </c>
      <c r="M825" t="n">
        <v>0</v>
      </c>
      <c r="N825" t="n">
        <v>0</v>
      </c>
      <c r="O825" t="n">
        <v>0</v>
      </c>
      <c r="P825" t="n">
        <v>0</v>
      </c>
      <c r="Q825" t="n">
        <v>0</v>
      </c>
      <c r="R825" s="2" t="inlineStr"/>
    </row>
    <row r="826" ht="15" customHeight="1">
      <c r="A826" t="inlineStr">
        <is>
          <t>A 61729-2021</t>
        </is>
      </c>
      <c r="B826" s="1" t="n">
        <v>44501.61454861111</v>
      </c>
      <c r="C826" s="1" t="n">
        <v>46086</v>
      </c>
      <c r="D826" t="inlineStr">
        <is>
          <t>GÄVLEBORGS LÄN</t>
        </is>
      </c>
      <c r="E826" t="inlineStr">
        <is>
          <t>SANDVIKEN</t>
        </is>
      </c>
      <c r="G826" t="n">
        <v>3.7</v>
      </c>
      <c r="H826" t="n">
        <v>0</v>
      </c>
      <c r="I826" t="n">
        <v>0</v>
      </c>
      <c r="J826" t="n">
        <v>0</v>
      </c>
      <c r="K826" t="n">
        <v>0</v>
      </c>
      <c r="L826" t="n">
        <v>0</v>
      </c>
      <c r="M826" t="n">
        <v>0</v>
      </c>
      <c r="N826" t="n">
        <v>0</v>
      </c>
      <c r="O826" t="n">
        <v>0</v>
      </c>
      <c r="P826" t="n">
        <v>0</v>
      </c>
      <c r="Q826" t="n">
        <v>0</v>
      </c>
      <c r="R826" s="2" t="inlineStr"/>
    </row>
    <row r="827" ht="15" customHeight="1">
      <c r="A827" t="inlineStr">
        <is>
          <t>A 62595-2021</t>
        </is>
      </c>
      <c r="B827" s="1" t="n">
        <v>44503.67311342592</v>
      </c>
      <c r="C827" s="1" t="n">
        <v>46086</v>
      </c>
      <c r="D827" t="inlineStr">
        <is>
          <t>GÄVLEBORGS LÄN</t>
        </is>
      </c>
      <c r="E827" t="inlineStr">
        <is>
          <t>OVANÅKER</t>
        </is>
      </c>
      <c r="G827" t="n">
        <v>3</v>
      </c>
      <c r="H827" t="n">
        <v>0</v>
      </c>
      <c r="I827" t="n">
        <v>0</v>
      </c>
      <c r="J827" t="n">
        <v>0</v>
      </c>
      <c r="K827" t="n">
        <v>0</v>
      </c>
      <c r="L827" t="n">
        <v>0</v>
      </c>
      <c r="M827" t="n">
        <v>0</v>
      </c>
      <c r="N827" t="n">
        <v>0</v>
      </c>
      <c r="O827" t="n">
        <v>0</v>
      </c>
      <c r="P827" t="n">
        <v>0</v>
      </c>
      <c r="Q827" t="n">
        <v>0</v>
      </c>
      <c r="R827" s="2" t="inlineStr"/>
    </row>
    <row r="828" ht="15" customHeight="1">
      <c r="A828" t="inlineStr">
        <is>
          <t>A 33767-2021</t>
        </is>
      </c>
      <c r="B828" s="1" t="n">
        <v>44378.52729166667</v>
      </c>
      <c r="C828" s="1" t="n">
        <v>46086</v>
      </c>
      <c r="D828" t="inlineStr">
        <is>
          <t>GÄVLEBORGS LÄN</t>
        </is>
      </c>
      <c r="E828" t="inlineStr">
        <is>
          <t>LJUSDAL</t>
        </is>
      </c>
      <c r="F828" t="inlineStr">
        <is>
          <t>Kommuner</t>
        </is>
      </c>
      <c r="G828" t="n">
        <v>4.9</v>
      </c>
      <c r="H828" t="n">
        <v>0</v>
      </c>
      <c r="I828" t="n">
        <v>0</v>
      </c>
      <c r="J828" t="n">
        <v>0</v>
      </c>
      <c r="K828" t="n">
        <v>0</v>
      </c>
      <c r="L828" t="n">
        <v>0</v>
      </c>
      <c r="M828" t="n">
        <v>0</v>
      </c>
      <c r="N828" t="n">
        <v>0</v>
      </c>
      <c r="O828" t="n">
        <v>0</v>
      </c>
      <c r="P828" t="n">
        <v>0</v>
      </c>
      <c r="Q828" t="n">
        <v>0</v>
      </c>
      <c r="R828" s="2" t="inlineStr"/>
    </row>
    <row r="829" ht="15" customHeight="1">
      <c r="A829" t="inlineStr">
        <is>
          <t>A 24344-2021</t>
        </is>
      </c>
      <c r="B829" s="1" t="n">
        <v>44337.40543981481</v>
      </c>
      <c r="C829" s="1" t="n">
        <v>46086</v>
      </c>
      <c r="D829" t="inlineStr">
        <is>
          <t>GÄVLEBORGS LÄN</t>
        </is>
      </c>
      <c r="E829" t="inlineStr">
        <is>
          <t>OVANÅKER</t>
        </is>
      </c>
      <c r="G829" t="n">
        <v>3.5</v>
      </c>
      <c r="H829" t="n">
        <v>0</v>
      </c>
      <c r="I829" t="n">
        <v>0</v>
      </c>
      <c r="J829" t="n">
        <v>0</v>
      </c>
      <c r="K829" t="n">
        <v>0</v>
      </c>
      <c r="L829" t="n">
        <v>0</v>
      </c>
      <c r="M829" t="n">
        <v>0</v>
      </c>
      <c r="N829" t="n">
        <v>0</v>
      </c>
      <c r="O829" t="n">
        <v>0</v>
      </c>
      <c r="P829" t="n">
        <v>0</v>
      </c>
      <c r="Q829" t="n">
        <v>0</v>
      </c>
      <c r="R829" s="2" t="inlineStr"/>
    </row>
    <row r="830" ht="15" customHeight="1">
      <c r="A830" t="inlineStr">
        <is>
          <t>A 24342-2022</t>
        </is>
      </c>
      <c r="B830" s="1" t="n">
        <v>44726</v>
      </c>
      <c r="C830" s="1" t="n">
        <v>46086</v>
      </c>
      <c r="D830" t="inlineStr">
        <is>
          <t>GÄVLEBORGS LÄN</t>
        </is>
      </c>
      <c r="E830" t="inlineStr">
        <is>
          <t>LJUSDAL</t>
        </is>
      </c>
      <c r="G830" t="n">
        <v>1.7</v>
      </c>
      <c r="H830" t="n">
        <v>0</v>
      </c>
      <c r="I830" t="n">
        <v>0</v>
      </c>
      <c r="J830" t="n">
        <v>0</v>
      </c>
      <c r="K830" t="n">
        <v>0</v>
      </c>
      <c r="L830" t="n">
        <v>0</v>
      </c>
      <c r="M830" t="n">
        <v>0</v>
      </c>
      <c r="N830" t="n">
        <v>0</v>
      </c>
      <c r="O830" t="n">
        <v>0</v>
      </c>
      <c r="P830" t="n">
        <v>0</v>
      </c>
      <c r="Q830" t="n">
        <v>0</v>
      </c>
      <c r="R830" s="2" t="inlineStr"/>
    </row>
    <row r="831" ht="15" customHeight="1">
      <c r="A831" t="inlineStr">
        <is>
          <t>A 40764-2021</t>
        </is>
      </c>
      <c r="B831" s="1" t="n">
        <v>44420.91974537037</v>
      </c>
      <c r="C831" s="1" t="n">
        <v>46086</v>
      </c>
      <c r="D831" t="inlineStr">
        <is>
          <t>GÄVLEBORGS LÄN</t>
        </is>
      </c>
      <c r="E831" t="inlineStr">
        <is>
          <t>NORDANSTIG</t>
        </is>
      </c>
      <c r="G831" t="n">
        <v>0.6</v>
      </c>
      <c r="H831" t="n">
        <v>0</v>
      </c>
      <c r="I831" t="n">
        <v>0</v>
      </c>
      <c r="J831" t="n">
        <v>0</v>
      </c>
      <c r="K831" t="n">
        <v>0</v>
      </c>
      <c r="L831" t="n">
        <v>0</v>
      </c>
      <c r="M831" t="n">
        <v>0</v>
      </c>
      <c r="N831" t="n">
        <v>0</v>
      </c>
      <c r="O831" t="n">
        <v>0</v>
      </c>
      <c r="P831" t="n">
        <v>0</v>
      </c>
      <c r="Q831" t="n">
        <v>0</v>
      </c>
      <c r="R831" s="2" t="inlineStr"/>
    </row>
    <row r="832" ht="15" customHeight="1">
      <c r="A832" t="inlineStr">
        <is>
          <t>A 45985-2021</t>
        </is>
      </c>
      <c r="B832" s="1" t="n">
        <v>44441</v>
      </c>
      <c r="C832" s="1" t="n">
        <v>46086</v>
      </c>
      <c r="D832" t="inlineStr">
        <is>
          <t>GÄVLEBORGS LÄN</t>
        </is>
      </c>
      <c r="E832" t="inlineStr">
        <is>
          <t>SANDVIKEN</t>
        </is>
      </c>
      <c r="F832" t="inlineStr">
        <is>
          <t>Sveaskog</t>
        </is>
      </c>
      <c r="G832" t="n">
        <v>6.7</v>
      </c>
      <c r="H832" t="n">
        <v>0</v>
      </c>
      <c r="I832" t="n">
        <v>0</v>
      </c>
      <c r="J832" t="n">
        <v>0</v>
      </c>
      <c r="K832" t="n">
        <v>0</v>
      </c>
      <c r="L832" t="n">
        <v>0</v>
      </c>
      <c r="M832" t="n">
        <v>0</v>
      </c>
      <c r="N832" t="n">
        <v>0</v>
      </c>
      <c r="O832" t="n">
        <v>0</v>
      </c>
      <c r="P832" t="n">
        <v>0</v>
      </c>
      <c r="Q832" t="n">
        <v>0</v>
      </c>
      <c r="R832" s="2" t="inlineStr"/>
    </row>
    <row r="833" ht="15" customHeight="1">
      <c r="A833" t="inlineStr">
        <is>
          <t>A 55241-2021</t>
        </is>
      </c>
      <c r="B833" s="1" t="n">
        <v>44475.39550925926</v>
      </c>
      <c r="C833" s="1" t="n">
        <v>46086</v>
      </c>
      <c r="D833" t="inlineStr">
        <is>
          <t>GÄVLEBORGS LÄN</t>
        </is>
      </c>
      <c r="E833" t="inlineStr">
        <is>
          <t>OVANÅKER</t>
        </is>
      </c>
      <c r="G833" t="n">
        <v>1.6</v>
      </c>
      <c r="H833" t="n">
        <v>0</v>
      </c>
      <c r="I833" t="n">
        <v>0</v>
      </c>
      <c r="J833" t="n">
        <v>0</v>
      </c>
      <c r="K833" t="n">
        <v>0</v>
      </c>
      <c r="L833" t="n">
        <v>0</v>
      </c>
      <c r="M833" t="n">
        <v>0</v>
      </c>
      <c r="N833" t="n">
        <v>0</v>
      </c>
      <c r="O833" t="n">
        <v>0</v>
      </c>
      <c r="P833" t="n">
        <v>0</v>
      </c>
      <c r="Q833" t="n">
        <v>0</v>
      </c>
      <c r="R833" s="2" t="inlineStr"/>
    </row>
    <row r="834" ht="15" customHeight="1">
      <c r="A834" t="inlineStr">
        <is>
          <t>A 51257-2021</t>
        </is>
      </c>
      <c r="B834" s="1" t="n">
        <v>44460</v>
      </c>
      <c r="C834" s="1" t="n">
        <v>46086</v>
      </c>
      <c r="D834" t="inlineStr">
        <is>
          <t>GÄVLEBORGS LÄN</t>
        </is>
      </c>
      <c r="E834" t="inlineStr">
        <is>
          <t>OCKELBO</t>
        </is>
      </c>
      <c r="G834" t="n">
        <v>2.7</v>
      </c>
      <c r="H834" t="n">
        <v>0</v>
      </c>
      <c r="I834" t="n">
        <v>0</v>
      </c>
      <c r="J834" t="n">
        <v>0</v>
      </c>
      <c r="K834" t="n">
        <v>0</v>
      </c>
      <c r="L834" t="n">
        <v>0</v>
      </c>
      <c r="M834" t="n">
        <v>0</v>
      </c>
      <c r="N834" t="n">
        <v>0</v>
      </c>
      <c r="O834" t="n">
        <v>0</v>
      </c>
      <c r="P834" t="n">
        <v>0</v>
      </c>
      <c r="Q834" t="n">
        <v>0</v>
      </c>
      <c r="R834" s="2" t="inlineStr"/>
    </row>
    <row r="835" ht="15" customHeight="1">
      <c r="A835" t="inlineStr">
        <is>
          <t>A 23358-2022</t>
        </is>
      </c>
      <c r="B835" s="1" t="n">
        <v>44720</v>
      </c>
      <c r="C835" s="1" t="n">
        <v>46086</v>
      </c>
      <c r="D835" t="inlineStr">
        <is>
          <t>GÄVLEBORGS LÄN</t>
        </is>
      </c>
      <c r="E835" t="inlineStr">
        <is>
          <t>BOLLNÄS</t>
        </is>
      </c>
      <c r="G835" t="n">
        <v>0.7</v>
      </c>
      <c r="H835" t="n">
        <v>0</v>
      </c>
      <c r="I835" t="n">
        <v>0</v>
      </c>
      <c r="J835" t="n">
        <v>0</v>
      </c>
      <c r="K835" t="n">
        <v>0</v>
      </c>
      <c r="L835" t="n">
        <v>0</v>
      </c>
      <c r="M835" t="n">
        <v>0</v>
      </c>
      <c r="N835" t="n">
        <v>0</v>
      </c>
      <c r="O835" t="n">
        <v>0</v>
      </c>
      <c r="P835" t="n">
        <v>0</v>
      </c>
      <c r="Q835" t="n">
        <v>0</v>
      </c>
      <c r="R835" s="2" t="inlineStr"/>
    </row>
    <row r="836" ht="15" customHeight="1">
      <c r="A836" t="inlineStr">
        <is>
          <t>A 37965-2022</t>
        </is>
      </c>
      <c r="B836" s="1" t="n">
        <v>44811.50528935185</v>
      </c>
      <c r="C836" s="1" t="n">
        <v>46086</v>
      </c>
      <c r="D836" t="inlineStr">
        <is>
          <t>GÄVLEBORGS LÄN</t>
        </is>
      </c>
      <c r="E836" t="inlineStr">
        <is>
          <t>NORDANSTIG</t>
        </is>
      </c>
      <c r="G836" t="n">
        <v>1.9</v>
      </c>
      <c r="H836" t="n">
        <v>0</v>
      </c>
      <c r="I836" t="n">
        <v>0</v>
      </c>
      <c r="J836" t="n">
        <v>0</v>
      </c>
      <c r="K836" t="n">
        <v>0</v>
      </c>
      <c r="L836" t="n">
        <v>0</v>
      </c>
      <c r="M836" t="n">
        <v>0</v>
      </c>
      <c r="N836" t="n">
        <v>0</v>
      </c>
      <c r="O836" t="n">
        <v>0</v>
      </c>
      <c r="P836" t="n">
        <v>0</v>
      </c>
      <c r="Q836" t="n">
        <v>0</v>
      </c>
      <c r="R836" s="2" t="inlineStr"/>
    </row>
    <row r="837" ht="15" customHeight="1">
      <c r="A837" t="inlineStr">
        <is>
          <t>A 55408-2021</t>
        </is>
      </c>
      <c r="B837" s="1" t="n">
        <v>44475</v>
      </c>
      <c r="C837" s="1" t="n">
        <v>46086</v>
      </c>
      <c r="D837" t="inlineStr">
        <is>
          <t>GÄVLEBORGS LÄN</t>
        </is>
      </c>
      <c r="E837" t="inlineStr">
        <is>
          <t>OVANÅKER</t>
        </is>
      </c>
      <c r="G837" t="n">
        <v>0.5</v>
      </c>
      <c r="H837" t="n">
        <v>0</v>
      </c>
      <c r="I837" t="n">
        <v>0</v>
      </c>
      <c r="J837" t="n">
        <v>0</v>
      </c>
      <c r="K837" t="n">
        <v>0</v>
      </c>
      <c r="L837" t="n">
        <v>0</v>
      </c>
      <c r="M837" t="n">
        <v>0</v>
      </c>
      <c r="N837" t="n">
        <v>0</v>
      </c>
      <c r="O837" t="n">
        <v>0</v>
      </c>
      <c r="P837" t="n">
        <v>0</v>
      </c>
      <c r="Q837" t="n">
        <v>0</v>
      </c>
      <c r="R837" s="2" t="inlineStr"/>
    </row>
    <row r="838" ht="15" customHeight="1">
      <c r="A838" t="inlineStr">
        <is>
          <t>A 42972-2022</t>
        </is>
      </c>
      <c r="B838" s="1" t="n">
        <v>44833</v>
      </c>
      <c r="C838" s="1" t="n">
        <v>46086</v>
      </c>
      <c r="D838" t="inlineStr">
        <is>
          <t>GÄVLEBORGS LÄN</t>
        </is>
      </c>
      <c r="E838" t="inlineStr">
        <is>
          <t>LJUSDAL</t>
        </is>
      </c>
      <c r="F838" t="inlineStr">
        <is>
          <t>Bergvik skog väst AB</t>
        </is>
      </c>
      <c r="G838" t="n">
        <v>3.7</v>
      </c>
      <c r="H838" t="n">
        <v>0</v>
      </c>
      <c r="I838" t="n">
        <v>0</v>
      </c>
      <c r="J838" t="n">
        <v>0</v>
      </c>
      <c r="K838" t="n">
        <v>0</v>
      </c>
      <c r="L838" t="n">
        <v>0</v>
      </c>
      <c r="M838" t="n">
        <v>0</v>
      </c>
      <c r="N838" t="n">
        <v>0</v>
      </c>
      <c r="O838" t="n">
        <v>0</v>
      </c>
      <c r="P838" t="n">
        <v>0</v>
      </c>
      <c r="Q838" t="n">
        <v>0</v>
      </c>
      <c r="R838" s="2" t="inlineStr"/>
    </row>
    <row r="839" ht="15" customHeight="1">
      <c r="A839" t="inlineStr">
        <is>
          <t>A 16312-2021</t>
        </is>
      </c>
      <c r="B839" s="1" t="n">
        <v>44292</v>
      </c>
      <c r="C839" s="1" t="n">
        <v>46086</v>
      </c>
      <c r="D839" t="inlineStr">
        <is>
          <t>GÄVLEBORGS LÄN</t>
        </is>
      </c>
      <c r="E839" t="inlineStr">
        <is>
          <t>SÖDERHAMN</t>
        </is>
      </c>
      <c r="G839" t="n">
        <v>6.4</v>
      </c>
      <c r="H839" t="n">
        <v>0</v>
      </c>
      <c r="I839" t="n">
        <v>0</v>
      </c>
      <c r="J839" t="n">
        <v>0</v>
      </c>
      <c r="K839" t="n">
        <v>0</v>
      </c>
      <c r="L839" t="n">
        <v>0</v>
      </c>
      <c r="M839" t="n">
        <v>0</v>
      </c>
      <c r="N839" t="n">
        <v>0</v>
      </c>
      <c r="O839" t="n">
        <v>0</v>
      </c>
      <c r="P839" t="n">
        <v>0</v>
      </c>
      <c r="Q839" t="n">
        <v>0</v>
      </c>
      <c r="R839" s="2" t="inlineStr"/>
    </row>
    <row r="840" ht="15" customHeight="1">
      <c r="A840" t="inlineStr">
        <is>
          <t>A 18503-2022</t>
        </is>
      </c>
      <c r="B840" s="1" t="n">
        <v>44686</v>
      </c>
      <c r="C840" s="1" t="n">
        <v>46086</v>
      </c>
      <c r="D840" t="inlineStr">
        <is>
          <t>GÄVLEBORGS LÄN</t>
        </is>
      </c>
      <c r="E840" t="inlineStr">
        <is>
          <t>SÖDERHAMN</t>
        </is>
      </c>
      <c r="G840" t="n">
        <v>2</v>
      </c>
      <c r="H840" t="n">
        <v>0</v>
      </c>
      <c r="I840" t="n">
        <v>0</v>
      </c>
      <c r="J840" t="n">
        <v>0</v>
      </c>
      <c r="K840" t="n">
        <v>0</v>
      </c>
      <c r="L840" t="n">
        <v>0</v>
      </c>
      <c r="M840" t="n">
        <v>0</v>
      </c>
      <c r="N840" t="n">
        <v>0</v>
      </c>
      <c r="O840" t="n">
        <v>0</v>
      </c>
      <c r="P840" t="n">
        <v>0</v>
      </c>
      <c r="Q840" t="n">
        <v>0</v>
      </c>
      <c r="R840" s="2" t="inlineStr"/>
    </row>
    <row r="841" ht="15" customHeight="1">
      <c r="A841" t="inlineStr">
        <is>
          <t>A 6549-2022</t>
        </is>
      </c>
      <c r="B841" s="1" t="n">
        <v>44601</v>
      </c>
      <c r="C841" s="1" t="n">
        <v>46086</v>
      </c>
      <c r="D841" t="inlineStr">
        <is>
          <t>GÄVLEBORGS LÄN</t>
        </is>
      </c>
      <c r="E841" t="inlineStr">
        <is>
          <t>BOLLNÄS</t>
        </is>
      </c>
      <c r="G841" t="n">
        <v>3</v>
      </c>
      <c r="H841" t="n">
        <v>0</v>
      </c>
      <c r="I841" t="n">
        <v>0</v>
      </c>
      <c r="J841" t="n">
        <v>0</v>
      </c>
      <c r="K841" t="n">
        <v>0</v>
      </c>
      <c r="L841" t="n">
        <v>0</v>
      </c>
      <c r="M841" t="n">
        <v>0</v>
      </c>
      <c r="N841" t="n">
        <v>0</v>
      </c>
      <c r="O841" t="n">
        <v>0</v>
      </c>
      <c r="P841" t="n">
        <v>0</v>
      </c>
      <c r="Q841" t="n">
        <v>0</v>
      </c>
      <c r="R841" s="2" t="inlineStr"/>
    </row>
    <row r="842" ht="15" customHeight="1">
      <c r="A842" t="inlineStr">
        <is>
          <t>A 55534-2021</t>
        </is>
      </c>
      <c r="B842" s="1" t="n">
        <v>44475</v>
      </c>
      <c r="C842" s="1" t="n">
        <v>46086</v>
      </c>
      <c r="D842" t="inlineStr">
        <is>
          <t>GÄVLEBORGS LÄN</t>
        </is>
      </c>
      <c r="E842" t="inlineStr">
        <is>
          <t>LJUSDAL</t>
        </is>
      </c>
      <c r="G842" t="n">
        <v>1.6</v>
      </c>
      <c r="H842" t="n">
        <v>0</v>
      </c>
      <c r="I842" t="n">
        <v>0</v>
      </c>
      <c r="J842" t="n">
        <v>0</v>
      </c>
      <c r="K842" t="n">
        <v>0</v>
      </c>
      <c r="L842" t="n">
        <v>0</v>
      </c>
      <c r="M842" t="n">
        <v>0</v>
      </c>
      <c r="N842" t="n">
        <v>0</v>
      </c>
      <c r="O842" t="n">
        <v>0</v>
      </c>
      <c r="P842" t="n">
        <v>0</v>
      </c>
      <c r="Q842" t="n">
        <v>0</v>
      </c>
      <c r="R842" s="2" t="inlineStr"/>
    </row>
    <row r="843" ht="15" customHeight="1">
      <c r="A843" t="inlineStr">
        <is>
          <t>A 40273-2021</t>
        </is>
      </c>
      <c r="B843" s="1" t="n">
        <v>44419</v>
      </c>
      <c r="C843" s="1" t="n">
        <v>46086</v>
      </c>
      <c r="D843" t="inlineStr">
        <is>
          <t>GÄVLEBORGS LÄN</t>
        </is>
      </c>
      <c r="E843" t="inlineStr">
        <is>
          <t>SÖDERHAMN</t>
        </is>
      </c>
      <c r="G843" t="n">
        <v>0.9</v>
      </c>
      <c r="H843" t="n">
        <v>0</v>
      </c>
      <c r="I843" t="n">
        <v>0</v>
      </c>
      <c r="J843" t="n">
        <v>0</v>
      </c>
      <c r="K843" t="n">
        <v>0</v>
      </c>
      <c r="L843" t="n">
        <v>0</v>
      </c>
      <c r="M843" t="n">
        <v>0</v>
      </c>
      <c r="N843" t="n">
        <v>0</v>
      </c>
      <c r="O843" t="n">
        <v>0</v>
      </c>
      <c r="P843" t="n">
        <v>0</v>
      </c>
      <c r="Q843" t="n">
        <v>0</v>
      </c>
      <c r="R843" s="2" t="inlineStr"/>
    </row>
    <row r="844" ht="15" customHeight="1">
      <c r="A844" t="inlineStr">
        <is>
          <t>A 24997-2022</t>
        </is>
      </c>
      <c r="B844" s="1" t="n">
        <v>44728.92792824074</v>
      </c>
      <c r="C844" s="1" t="n">
        <v>46086</v>
      </c>
      <c r="D844" t="inlineStr">
        <is>
          <t>GÄVLEBORGS LÄN</t>
        </is>
      </c>
      <c r="E844" t="inlineStr">
        <is>
          <t>NORDANSTIG</t>
        </is>
      </c>
      <c r="G844" t="n">
        <v>2.9</v>
      </c>
      <c r="H844" t="n">
        <v>0</v>
      </c>
      <c r="I844" t="n">
        <v>0</v>
      </c>
      <c r="J844" t="n">
        <v>0</v>
      </c>
      <c r="K844" t="n">
        <v>0</v>
      </c>
      <c r="L844" t="n">
        <v>0</v>
      </c>
      <c r="M844" t="n">
        <v>0</v>
      </c>
      <c r="N844" t="n">
        <v>0</v>
      </c>
      <c r="O844" t="n">
        <v>0</v>
      </c>
      <c r="P844" t="n">
        <v>0</v>
      </c>
      <c r="Q844" t="n">
        <v>0</v>
      </c>
      <c r="R844" s="2" t="inlineStr"/>
    </row>
    <row r="845" ht="15" customHeight="1">
      <c r="A845" t="inlineStr">
        <is>
          <t>A 34712-2022</t>
        </is>
      </c>
      <c r="B845" s="1" t="n">
        <v>44795.58167824074</v>
      </c>
      <c r="C845" s="1" t="n">
        <v>46086</v>
      </c>
      <c r="D845" t="inlineStr">
        <is>
          <t>GÄVLEBORGS LÄN</t>
        </is>
      </c>
      <c r="E845" t="inlineStr">
        <is>
          <t>OCKELBO</t>
        </is>
      </c>
      <c r="G845" t="n">
        <v>0.3</v>
      </c>
      <c r="H845" t="n">
        <v>0</v>
      </c>
      <c r="I845" t="n">
        <v>0</v>
      </c>
      <c r="J845" t="n">
        <v>0</v>
      </c>
      <c r="K845" t="n">
        <v>0</v>
      </c>
      <c r="L845" t="n">
        <v>0</v>
      </c>
      <c r="M845" t="n">
        <v>0</v>
      </c>
      <c r="N845" t="n">
        <v>0</v>
      </c>
      <c r="O845" t="n">
        <v>0</v>
      </c>
      <c r="P845" t="n">
        <v>0</v>
      </c>
      <c r="Q845" t="n">
        <v>0</v>
      </c>
      <c r="R845" s="2" t="inlineStr"/>
    </row>
    <row r="846" ht="15" customHeight="1">
      <c r="A846" t="inlineStr">
        <is>
          <t>A 20119-2021</t>
        </is>
      </c>
      <c r="B846" s="1" t="n">
        <v>44314</v>
      </c>
      <c r="C846" s="1" t="n">
        <v>46086</v>
      </c>
      <c r="D846" t="inlineStr">
        <is>
          <t>GÄVLEBORGS LÄN</t>
        </is>
      </c>
      <c r="E846" t="inlineStr">
        <is>
          <t>HOFORS</t>
        </is>
      </c>
      <c r="G846" t="n">
        <v>3.9</v>
      </c>
      <c r="H846" t="n">
        <v>0</v>
      </c>
      <c r="I846" t="n">
        <v>0</v>
      </c>
      <c r="J846" t="n">
        <v>0</v>
      </c>
      <c r="K846" t="n">
        <v>0</v>
      </c>
      <c r="L846" t="n">
        <v>0</v>
      </c>
      <c r="M846" t="n">
        <v>0</v>
      </c>
      <c r="N846" t="n">
        <v>0</v>
      </c>
      <c r="O846" t="n">
        <v>0</v>
      </c>
      <c r="P846" t="n">
        <v>0</v>
      </c>
      <c r="Q846" t="n">
        <v>0</v>
      </c>
      <c r="R846" s="2" t="inlineStr"/>
    </row>
    <row r="847" ht="15" customHeight="1">
      <c r="A847" t="inlineStr">
        <is>
          <t>A 45784-2022</t>
        </is>
      </c>
      <c r="B847" s="1" t="n">
        <v>44846</v>
      </c>
      <c r="C847" s="1" t="n">
        <v>46086</v>
      </c>
      <c r="D847" t="inlineStr">
        <is>
          <t>GÄVLEBORGS LÄN</t>
        </is>
      </c>
      <c r="E847" t="inlineStr">
        <is>
          <t>HUDIKSVALL</t>
        </is>
      </c>
      <c r="G847" t="n">
        <v>3.2</v>
      </c>
      <c r="H847" t="n">
        <v>0</v>
      </c>
      <c r="I847" t="n">
        <v>0</v>
      </c>
      <c r="J847" t="n">
        <v>0</v>
      </c>
      <c r="K847" t="n">
        <v>0</v>
      </c>
      <c r="L847" t="n">
        <v>0</v>
      </c>
      <c r="M847" t="n">
        <v>0</v>
      </c>
      <c r="N847" t="n">
        <v>0</v>
      </c>
      <c r="O847" t="n">
        <v>0</v>
      </c>
      <c r="P847" t="n">
        <v>0</v>
      </c>
      <c r="Q847" t="n">
        <v>0</v>
      </c>
      <c r="R847" s="2" t="inlineStr"/>
    </row>
    <row r="848" ht="15" customHeight="1">
      <c r="A848" t="inlineStr">
        <is>
          <t>A 72077-2021</t>
        </is>
      </c>
      <c r="B848" s="1" t="n">
        <v>44544.51</v>
      </c>
      <c r="C848" s="1" t="n">
        <v>46086</v>
      </c>
      <c r="D848" t="inlineStr">
        <is>
          <t>GÄVLEBORGS LÄN</t>
        </is>
      </c>
      <c r="E848" t="inlineStr">
        <is>
          <t>HUDIKSVALL</t>
        </is>
      </c>
      <c r="G848" t="n">
        <v>0.5</v>
      </c>
      <c r="H848" t="n">
        <v>0</v>
      </c>
      <c r="I848" t="n">
        <v>0</v>
      </c>
      <c r="J848" t="n">
        <v>0</v>
      </c>
      <c r="K848" t="n">
        <v>0</v>
      </c>
      <c r="L848" t="n">
        <v>0</v>
      </c>
      <c r="M848" t="n">
        <v>0</v>
      </c>
      <c r="N848" t="n">
        <v>0</v>
      </c>
      <c r="O848" t="n">
        <v>0</v>
      </c>
      <c r="P848" t="n">
        <v>0</v>
      </c>
      <c r="Q848" t="n">
        <v>0</v>
      </c>
      <c r="R848" s="2" t="inlineStr"/>
    </row>
    <row r="849" ht="15" customHeight="1">
      <c r="A849" t="inlineStr">
        <is>
          <t>A 39888-2021</t>
        </is>
      </c>
      <c r="B849" s="1" t="n">
        <v>44417.70143518518</v>
      </c>
      <c r="C849" s="1" t="n">
        <v>46086</v>
      </c>
      <c r="D849" t="inlineStr">
        <is>
          <t>GÄVLEBORGS LÄN</t>
        </is>
      </c>
      <c r="E849" t="inlineStr">
        <is>
          <t>OCKELBO</t>
        </is>
      </c>
      <c r="G849" t="n">
        <v>2</v>
      </c>
      <c r="H849" t="n">
        <v>0</v>
      </c>
      <c r="I849" t="n">
        <v>0</v>
      </c>
      <c r="J849" t="n">
        <v>0</v>
      </c>
      <c r="K849" t="n">
        <v>0</v>
      </c>
      <c r="L849" t="n">
        <v>0</v>
      </c>
      <c r="M849" t="n">
        <v>0</v>
      </c>
      <c r="N849" t="n">
        <v>0</v>
      </c>
      <c r="O849" t="n">
        <v>0</v>
      </c>
      <c r="P849" t="n">
        <v>0</v>
      </c>
      <c r="Q849" t="n">
        <v>0</v>
      </c>
      <c r="R849" s="2" t="inlineStr"/>
    </row>
    <row r="850" ht="15" customHeight="1">
      <c r="A850" t="inlineStr">
        <is>
          <t>A 32008-2021</t>
        </is>
      </c>
      <c r="B850" s="1" t="n">
        <v>44370.63228009259</v>
      </c>
      <c r="C850" s="1" t="n">
        <v>46086</v>
      </c>
      <c r="D850" t="inlineStr">
        <is>
          <t>GÄVLEBORGS LÄN</t>
        </is>
      </c>
      <c r="E850" t="inlineStr">
        <is>
          <t>GÄVLE</t>
        </is>
      </c>
      <c r="G850" t="n">
        <v>5.1</v>
      </c>
      <c r="H850" t="n">
        <v>0</v>
      </c>
      <c r="I850" t="n">
        <v>0</v>
      </c>
      <c r="J850" t="n">
        <v>0</v>
      </c>
      <c r="K850" t="n">
        <v>0</v>
      </c>
      <c r="L850" t="n">
        <v>0</v>
      </c>
      <c r="M850" t="n">
        <v>0</v>
      </c>
      <c r="N850" t="n">
        <v>0</v>
      </c>
      <c r="O850" t="n">
        <v>0</v>
      </c>
      <c r="P850" t="n">
        <v>0</v>
      </c>
      <c r="Q850" t="n">
        <v>0</v>
      </c>
      <c r="R850" s="2" t="inlineStr"/>
    </row>
    <row r="851" ht="15" customHeight="1">
      <c r="A851" t="inlineStr">
        <is>
          <t>A 54013-2021</t>
        </is>
      </c>
      <c r="B851" s="1" t="n">
        <v>44470.35314814815</v>
      </c>
      <c r="C851" s="1" t="n">
        <v>46086</v>
      </c>
      <c r="D851" t="inlineStr">
        <is>
          <t>GÄVLEBORGS LÄN</t>
        </is>
      </c>
      <c r="E851" t="inlineStr">
        <is>
          <t>OVANÅKER</t>
        </is>
      </c>
      <c r="G851" t="n">
        <v>2.5</v>
      </c>
      <c r="H851" t="n">
        <v>0</v>
      </c>
      <c r="I851" t="n">
        <v>0</v>
      </c>
      <c r="J851" t="n">
        <v>0</v>
      </c>
      <c r="K851" t="n">
        <v>0</v>
      </c>
      <c r="L851" t="n">
        <v>0</v>
      </c>
      <c r="M851" t="n">
        <v>0</v>
      </c>
      <c r="N851" t="n">
        <v>0</v>
      </c>
      <c r="O851" t="n">
        <v>0</v>
      </c>
      <c r="P851" t="n">
        <v>0</v>
      </c>
      <c r="Q851" t="n">
        <v>0</v>
      </c>
      <c r="R851" s="2" t="inlineStr"/>
    </row>
    <row r="852" ht="15" customHeight="1">
      <c r="A852" t="inlineStr">
        <is>
          <t>A 24627-2021</t>
        </is>
      </c>
      <c r="B852" s="1" t="n">
        <v>44340.3621875</v>
      </c>
      <c r="C852" s="1" t="n">
        <v>46086</v>
      </c>
      <c r="D852" t="inlineStr">
        <is>
          <t>GÄVLEBORGS LÄN</t>
        </is>
      </c>
      <c r="E852" t="inlineStr">
        <is>
          <t>LJUSDAL</t>
        </is>
      </c>
      <c r="G852" t="n">
        <v>4.4</v>
      </c>
      <c r="H852" t="n">
        <v>0</v>
      </c>
      <c r="I852" t="n">
        <v>0</v>
      </c>
      <c r="J852" t="n">
        <v>0</v>
      </c>
      <c r="K852" t="n">
        <v>0</v>
      </c>
      <c r="L852" t="n">
        <v>0</v>
      </c>
      <c r="M852" t="n">
        <v>0</v>
      </c>
      <c r="N852" t="n">
        <v>0</v>
      </c>
      <c r="O852" t="n">
        <v>0</v>
      </c>
      <c r="P852" t="n">
        <v>0</v>
      </c>
      <c r="Q852" t="n">
        <v>0</v>
      </c>
      <c r="R852" s="2" t="inlineStr"/>
    </row>
    <row r="853" ht="15" customHeight="1">
      <c r="A853" t="inlineStr">
        <is>
          <t>A 28739-2021</t>
        </is>
      </c>
      <c r="B853" s="1" t="n">
        <v>44357</v>
      </c>
      <c r="C853" s="1" t="n">
        <v>46086</v>
      </c>
      <c r="D853" t="inlineStr">
        <is>
          <t>GÄVLEBORGS LÄN</t>
        </is>
      </c>
      <c r="E853" t="inlineStr">
        <is>
          <t>SANDVIKEN</t>
        </is>
      </c>
      <c r="G853" t="n">
        <v>6.9</v>
      </c>
      <c r="H853" t="n">
        <v>0</v>
      </c>
      <c r="I853" t="n">
        <v>0</v>
      </c>
      <c r="J853" t="n">
        <v>0</v>
      </c>
      <c r="K853" t="n">
        <v>0</v>
      </c>
      <c r="L853" t="n">
        <v>0</v>
      </c>
      <c r="M853" t="n">
        <v>0</v>
      </c>
      <c r="N853" t="n">
        <v>0</v>
      </c>
      <c r="O853" t="n">
        <v>0</v>
      </c>
      <c r="P853" t="n">
        <v>0</v>
      </c>
      <c r="Q853" t="n">
        <v>0</v>
      </c>
      <c r="R853" s="2" t="inlineStr"/>
    </row>
    <row r="854" ht="15" customHeight="1">
      <c r="A854" t="inlineStr">
        <is>
          <t>A 12971-2021</t>
        </is>
      </c>
      <c r="B854" s="1" t="n">
        <v>44271</v>
      </c>
      <c r="C854" s="1" t="n">
        <v>46086</v>
      </c>
      <c r="D854" t="inlineStr">
        <is>
          <t>GÄVLEBORGS LÄN</t>
        </is>
      </c>
      <c r="E854" t="inlineStr">
        <is>
          <t>SANDVIKEN</t>
        </is>
      </c>
      <c r="G854" t="n">
        <v>2.2</v>
      </c>
      <c r="H854" t="n">
        <v>0</v>
      </c>
      <c r="I854" t="n">
        <v>0</v>
      </c>
      <c r="J854" t="n">
        <v>0</v>
      </c>
      <c r="K854" t="n">
        <v>0</v>
      </c>
      <c r="L854" t="n">
        <v>0</v>
      </c>
      <c r="M854" t="n">
        <v>0</v>
      </c>
      <c r="N854" t="n">
        <v>0</v>
      </c>
      <c r="O854" t="n">
        <v>0</v>
      </c>
      <c r="P854" t="n">
        <v>0</v>
      </c>
      <c r="Q854" t="n">
        <v>0</v>
      </c>
      <c r="R854" s="2" t="inlineStr"/>
    </row>
    <row r="855" ht="15" customHeight="1">
      <c r="A855" t="inlineStr">
        <is>
          <t>A 12469-2021</t>
        </is>
      </c>
      <c r="B855" s="1" t="n">
        <v>44267</v>
      </c>
      <c r="C855" s="1" t="n">
        <v>46086</v>
      </c>
      <c r="D855" t="inlineStr">
        <is>
          <t>GÄVLEBORGS LÄN</t>
        </is>
      </c>
      <c r="E855" t="inlineStr">
        <is>
          <t>SÖDERHAMN</t>
        </is>
      </c>
      <c r="G855" t="n">
        <v>4.6</v>
      </c>
      <c r="H855" t="n">
        <v>0</v>
      </c>
      <c r="I855" t="n">
        <v>0</v>
      </c>
      <c r="J855" t="n">
        <v>0</v>
      </c>
      <c r="K855" t="n">
        <v>0</v>
      </c>
      <c r="L855" t="n">
        <v>0</v>
      </c>
      <c r="M855" t="n">
        <v>0</v>
      </c>
      <c r="N855" t="n">
        <v>0</v>
      </c>
      <c r="O855" t="n">
        <v>0</v>
      </c>
      <c r="P855" t="n">
        <v>0</v>
      </c>
      <c r="Q855" t="n">
        <v>0</v>
      </c>
      <c r="R855" s="2" t="inlineStr"/>
    </row>
    <row r="856" ht="15" customHeight="1">
      <c r="A856" t="inlineStr">
        <is>
          <t>A 29476-2021</t>
        </is>
      </c>
      <c r="B856" s="1" t="n">
        <v>44361</v>
      </c>
      <c r="C856" s="1" t="n">
        <v>46086</v>
      </c>
      <c r="D856" t="inlineStr">
        <is>
          <t>GÄVLEBORGS LÄN</t>
        </is>
      </c>
      <c r="E856" t="inlineStr">
        <is>
          <t>HUDIKSVALL</t>
        </is>
      </c>
      <c r="F856" t="inlineStr">
        <is>
          <t>Holmen skog AB</t>
        </is>
      </c>
      <c r="G856" t="n">
        <v>1.9</v>
      </c>
      <c r="H856" t="n">
        <v>0</v>
      </c>
      <c r="I856" t="n">
        <v>0</v>
      </c>
      <c r="J856" t="n">
        <v>0</v>
      </c>
      <c r="K856" t="n">
        <v>0</v>
      </c>
      <c r="L856" t="n">
        <v>0</v>
      </c>
      <c r="M856" t="n">
        <v>0</v>
      </c>
      <c r="N856" t="n">
        <v>0</v>
      </c>
      <c r="O856" t="n">
        <v>0</v>
      </c>
      <c r="P856" t="n">
        <v>0</v>
      </c>
      <c r="Q856" t="n">
        <v>0</v>
      </c>
      <c r="R856" s="2" t="inlineStr"/>
    </row>
    <row r="857" ht="15" customHeight="1">
      <c r="A857" t="inlineStr">
        <is>
          <t>A 29828-2021</t>
        </is>
      </c>
      <c r="B857" s="1" t="n">
        <v>44362</v>
      </c>
      <c r="C857" s="1" t="n">
        <v>46086</v>
      </c>
      <c r="D857" t="inlineStr">
        <is>
          <t>GÄVLEBORGS LÄN</t>
        </is>
      </c>
      <c r="E857" t="inlineStr">
        <is>
          <t>NORDANSTIG</t>
        </is>
      </c>
      <c r="F857" t="inlineStr">
        <is>
          <t>Holmen skog AB</t>
        </is>
      </c>
      <c r="G857" t="n">
        <v>0.1</v>
      </c>
      <c r="H857" t="n">
        <v>0</v>
      </c>
      <c r="I857" t="n">
        <v>0</v>
      </c>
      <c r="J857" t="n">
        <v>0</v>
      </c>
      <c r="K857" t="n">
        <v>0</v>
      </c>
      <c r="L857" t="n">
        <v>0</v>
      </c>
      <c r="M857" t="n">
        <v>0</v>
      </c>
      <c r="N857" t="n">
        <v>0</v>
      </c>
      <c r="O857" t="n">
        <v>0</v>
      </c>
      <c r="P857" t="n">
        <v>0</v>
      </c>
      <c r="Q857" t="n">
        <v>0</v>
      </c>
      <c r="R857" s="2" t="inlineStr"/>
    </row>
    <row r="858" ht="15" customHeight="1">
      <c r="A858" t="inlineStr">
        <is>
          <t>A 41471-2021</t>
        </is>
      </c>
      <c r="B858" s="1" t="n">
        <v>44424</v>
      </c>
      <c r="C858" s="1" t="n">
        <v>46086</v>
      </c>
      <c r="D858" t="inlineStr">
        <is>
          <t>GÄVLEBORGS LÄN</t>
        </is>
      </c>
      <c r="E858" t="inlineStr">
        <is>
          <t>BOLLNÄS</t>
        </is>
      </c>
      <c r="G858" t="n">
        <v>3.9</v>
      </c>
      <c r="H858" t="n">
        <v>0</v>
      </c>
      <c r="I858" t="n">
        <v>0</v>
      </c>
      <c r="J858" t="n">
        <v>0</v>
      </c>
      <c r="K858" t="n">
        <v>0</v>
      </c>
      <c r="L858" t="n">
        <v>0</v>
      </c>
      <c r="M858" t="n">
        <v>0</v>
      </c>
      <c r="N858" t="n">
        <v>0</v>
      </c>
      <c r="O858" t="n">
        <v>0</v>
      </c>
      <c r="P858" t="n">
        <v>0</v>
      </c>
      <c r="Q858" t="n">
        <v>0</v>
      </c>
      <c r="R858" s="2" t="inlineStr"/>
    </row>
    <row r="859" ht="15" customHeight="1">
      <c r="A859" t="inlineStr">
        <is>
          <t>A 22851-2022</t>
        </is>
      </c>
      <c r="B859" s="1" t="n">
        <v>44715.47230324074</v>
      </c>
      <c r="C859" s="1" t="n">
        <v>46086</v>
      </c>
      <c r="D859" t="inlineStr">
        <is>
          <t>GÄVLEBORGS LÄN</t>
        </is>
      </c>
      <c r="E859" t="inlineStr">
        <is>
          <t>LJUSDAL</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9367-2022</t>
        </is>
      </c>
      <c r="B860" s="1" t="n">
        <v>44616.60581018519</v>
      </c>
      <c r="C860" s="1" t="n">
        <v>46086</v>
      </c>
      <c r="D860" t="inlineStr">
        <is>
          <t>GÄVLEBORGS LÄN</t>
        </is>
      </c>
      <c r="E860" t="inlineStr">
        <is>
          <t>BOLLNÄS</t>
        </is>
      </c>
      <c r="G860" t="n">
        <v>12.8</v>
      </c>
      <c r="H860" t="n">
        <v>0</v>
      </c>
      <c r="I860" t="n">
        <v>0</v>
      </c>
      <c r="J860" t="n">
        <v>0</v>
      </c>
      <c r="K860" t="n">
        <v>0</v>
      </c>
      <c r="L860" t="n">
        <v>0</v>
      </c>
      <c r="M860" t="n">
        <v>0</v>
      </c>
      <c r="N860" t="n">
        <v>0</v>
      </c>
      <c r="O860" t="n">
        <v>0</v>
      </c>
      <c r="P860" t="n">
        <v>0</v>
      </c>
      <c r="Q860" t="n">
        <v>0</v>
      </c>
      <c r="R860" s="2" t="inlineStr"/>
    </row>
    <row r="861" ht="15" customHeight="1">
      <c r="A861" t="inlineStr">
        <is>
          <t>A 28148-2021</t>
        </is>
      </c>
      <c r="B861" s="1" t="n">
        <v>44355.55023148148</v>
      </c>
      <c r="C861" s="1" t="n">
        <v>46086</v>
      </c>
      <c r="D861" t="inlineStr">
        <is>
          <t>GÄVLEBORGS LÄN</t>
        </is>
      </c>
      <c r="E861" t="inlineStr">
        <is>
          <t>HUDIKSVALL</t>
        </is>
      </c>
      <c r="G861" t="n">
        <v>2.4</v>
      </c>
      <c r="H861" t="n">
        <v>0</v>
      </c>
      <c r="I861" t="n">
        <v>0</v>
      </c>
      <c r="J861" t="n">
        <v>0</v>
      </c>
      <c r="K861" t="n">
        <v>0</v>
      </c>
      <c r="L861" t="n">
        <v>0</v>
      </c>
      <c r="M861" t="n">
        <v>0</v>
      </c>
      <c r="N861" t="n">
        <v>0</v>
      </c>
      <c r="O861" t="n">
        <v>0</v>
      </c>
      <c r="P861" t="n">
        <v>0</v>
      </c>
      <c r="Q861" t="n">
        <v>0</v>
      </c>
      <c r="R861" s="2" t="inlineStr"/>
    </row>
    <row r="862" ht="15" customHeight="1">
      <c r="A862" t="inlineStr">
        <is>
          <t>A 21552-2021</t>
        </is>
      </c>
      <c r="B862" s="1" t="n">
        <v>44321.62322916667</v>
      </c>
      <c r="C862" s="1" t="n">
        <v>46086</v>
      </c>
      <c r="D862" t="inlineStr">
        <is>
          <t>GÄVLEBORGS LÄN</t>
        </is>
      </c>
      <c r="E862" t="inlineStr">
        <is>
          <t>GÄVLE</t>
        </is>
      </c>
      <c r="G862" t="n">
        <v>1.1</v>
      </c>
      <c r="H862" t="n">
        <v>0</v>
      </c>
      <c r="I862" t="n">
        <v>0</v>
      </c>
      <c r="J862" t="n">
        <v>0</v>
      </c>
      <c r="K862" t="n">
        <v>0</v>
      </c>
      <c r="L862" t="n">
        <v>0</v>
      </c>
      <c r="M862" t="n">
        <v>0</v>
      </c>
      <c r="N862" t="n">
        <v>0</v>
      </c>
      <c r="O862" t="n">
        <v>0</v>
      </c>
      <c r="P862" t="n">
        <v>0</v>
      </c>
      <c r="Q862" t="n">
        <v>0</v>
      </c>
      <c r="R862" s="2" t="inlineStr"/>
    </row>
    <row r="863" ht="15" customHeight="1">
      <c r="A863" t="inlineStr">
        <is>
          <t>A 34260-2021</t>
        </is>
      </c>
      <c r="B863" s="1" t="n">
        <v>44379</v>
      </c>
      <c r="C863" s="1" t="n">
        <v>46086</v>
      </c>
      <c r="D863" t="inlineStr">
        <is>
          <t>GÄVLEBORGS LÄN</t>
        </is>
      </c>
      <c r="E863" t="inlineStr">
        <is>
          <t>OVANÅKER</t>
        </is>
      </c>
      <c r="F863" t="inlineStr">
        <is>
          <t>Kyrkan</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18417-2021</t>
        </is>
      </c>
      <c r="B864" s="1" t="n">
        <v>44305</v>
      </c>
      <c r="C864" s="1" t="n">
        <v>46086</v>
      </c>
      <c r="D864" t="inlineStr">
        <is>
          <t>GÄVLEBORGS LÄN</t>
        </is>
      </c>
      <c r="E864" t="inlineStr">
        <is>
          <t>HUDIKSVALL</t>
        </is>
      </c>
      <c r="F864" t="inlineStr">
        <is>
          <t>Kommuner</t>
        </is>
      </c>
      <c r="G864" t="n">
        <v>0.9</v>
      </c>
      <c r="H864" t="n">
        <v>0</v>
      </c>
      <c r="I864" t="n">
        <v>0</v>
      </c>
      <c r="J864" t="n">
        <v>0</v>
      </c>
      <c r="K864" t="n">
        <v>0</v>
      </c>
      <c r="L864" t="n">
        <v>0</v>
      </c>
      <c r="M864" t="n">
        <v>0</v>
      </c>
      <c r="N864" t="n">
        <v>0</v>
      </c>
      <c r="O864" t="n">
        <v>0</v>
      </c>
      <c r="P864" t="n">
        <v>0</v>
      </c>
      <c r="Q864" t="n">
        <v>0</v>
      </c>
      <c r="R864" s="2" t="inlineStr"/>
    </row>
    <row r="865" ht="15" customHeight="1">
      <c r="A865" t="inlineStr">
        <is>
          <t>A 11235-2022</t>
        </is>
      </c>
      <c r="B865" s="1" t="n">
        <v>44629.59020833333</v>
      </c>
      <c r="C865" s="1" t="n">
        <v>46086</v>
      </c>
      <c r="D865" t="inlineStr">
        <is>
          <t>GÄVLEBORGS LÄN</t>
        </is>
      </c>
      <c r="E865" t="inlineStr">
        <is>
          <t>GÄVLE</t>
        </is>
      </c>
      <c r="G865" t="n">
        <v>5.9</v>
      </c>
      <c r="H865" t="n">
        <v>0</v>
      </c>
      <c r="I865" t="n">
        <v>0</v>
      </c>
      <c r="J865" t="n">
        <v>0</v>
      </c>
      <c r="K865" t="n">
        <v>0</v>
      </c>
      <c r="L865" t="n">
        <v>0</v>
      </c>
      <c r="M865" t="n">
        <v>0</v>
      </c>
      <c r="N865" t="n">
        <v>0</v>
      </c>
      <c r="O865" t="n">
        <v>0</v>
      </c>
      <c r="P865" t="n">
        <v>0</v>
      </c>
      <c r="Q865" t="n">
        <v>0</v>
      </c>
      <c r="R865" s="2" t="inlineStr"/>
    </row>
    <row r="866" ht="15" customHeight="1">
      <c r="A866" t="inlineStr">
        <is>
          <t>A 49604-2021</t>
        </is>
      </c>
      <c r="B866" s="1" t="n">
        <v>44455.41347222222</v>
      </c>
      <c r="C866" s="1" t="n">
        <v>46086</v>
      </c>
      <c r="D866" t="inlineStr">
        <is>
          <t>GÄVLEBORGS LÄN</t>
        </is>
      </c>
      <c r="E866" t="inlineStr">
        <is>
          <t>HUDIKSVALL</t>
        </is>
      </c>
      <c r="F866" t="inlineStr">
        <is>
          <t>Holmen skog AB</t>
        </is>
      </c>
      <c r="G866" t="n">
        <v>2.4</v>
      </c>
      <c r="H866" t="n">
        <v>0</v>
      </c>
      <c r="I866" t="n">
        <v>0</v>
      </c>
      <c r="J866" t="n">
        <v>0</v>
      </c>
      <c r="K866" t="n">
        <v>0</v>
      </c>
      <c r="L866" t="n">
        <v>0</v>
      </c>
      <c r="M866" t="n">
        <v>0</v>
      </c>
      <c r="N866" t="n">
        <v>0</v>
      </c>
      <c r="O866" t="n">
        <v>0</v>
      </c>
      <c r="P866" t="n">
        <v>0</v>
      </c>
      <c r="Q866" t="n">
        <v>0</v>
      </c>
      <c r="R866" s="2" t="inlineStr"/>
    </row>
    <row r="867" ht="15" customHeight="1">
      <c r="A867" t="inlineStr">
        <is>
          <t>A 17962-2022</t>
        </is>
      </c>
      <c r="B867" s="1" t="n">
        <v>44683.67664351852</v>
      </c>
      <c r="C867" s="1" t="n">
        <v>46086</v>
      </c>
      <c r="D867" t="inlineStr">
        <is>
          <t>GÄVLEBORGS LÄN</t>
        </is>
      </c>
      <c r="E867" t="inlineStr">
        <is>
          <t>HUDIKSVALL</t>
        </is>
      </c>
      <c r="F867" t="inlineStr">
        <is>
          <t>Holmen skog AB</t>
        </is>
      </c>
      <c r="G867" t="n">
        <v>9.1</v>
      </c>
      <c r="H867" t="n">
        <v>0</v>
      </c>
      <c r="I867" t="n">
        <v>0</v>
      </c>
      <c r="J867" t="n">
        <v>0</v>
      </c>
      <c r="K867" t="n">
        <v>0</v>
      </c>
      <c r="L867" t="n">
        <v>0</v>
      </c>
      <c r="M867" t="n">
        <v>0</v>
      </c>
      <c r="N867" t="n">
        <v>0</v>
      </c>
      <c r="O867" t="n">
        <v>0</v>
      </c>
      <c r="P867" t="n">
        <v>0</v>
      </c>
      <c r="Q867" t="n">
        <v>0</v>
      </c>
      <c r="R867" s="2" t="inlineStr"/>
    </row>
    <row r="868" ht="15" customHeight="1">
      <c r="A868" t="inlineStr">
        <is>
          <t>A 34200-2021</t>
        </is>
      </c>
      <c r="B868" s="1" t="n">
        <v>44379</v>
      </c>
      <c r="C868" s="1" t="n">
        <v>46086</v>
      </c>
      <c r="D868" t="inlineStr">
        <is>
          <t>GÄVLEBORGS LÄN</t>
        </is>
      </c>
      <c r="E868" t="inlineStr">
        <is>
          <t>OVANÅKER</t>
        </is>
      </c>
      <c r="F868" t="inlineStr">
        <is>
          <t>Kyrkan</t>
        </is>
      </c>
      <c r="G868" t="n">
        <v>16.3</v>
      </c>
      <c r="H868" t="n">
        <v>0</v>
      </c>
      <c r="I868" t="n">
        <v>0</v>
      </c>
      <c r="J868" t="n">
        <v>0</v>
      </c>
      <c r="K868" t="n">
        <v>0</v>
      </c>
      <c r="L868" t="n">
        <v>0</v>
      </c>
      <c r="M868" t="n">
        <v>0</v>
      </c>
      <c r="N868" t="n">
        <v>0</v>
      </c>
      <c r="O868" t="n">
        <v>0</v>
      </c>
      <c r="P868" t="n">
        <v>0</v>
      </c>
      <c r="Q868" t="n">
        <v>0</v>
      </c>
      <c r="R868" s="2" t="inlineStr"/>
    </row>
    <row r="869" ht="15" customHeight="1">
      <c r="A869" t="inlineStr">
        <is>
          <t>A 14277-2021</t>
        </is>
      </c>
      <c r="B869" s="1" t="n">
        <v>44278.63457175926</v>
      </c>
      <c r="C869" s="1" t="n">
        <v>46086</v>
      </c>
      <c r="D869" t="inlineStr">
        <is>
          <t>GÄVLEBORGS LÄN</t>
        </is>
      </c>
      <c r="E869" t="inlineStr">
        <is>
          <t>SANDVIKEN</t>
        </is>
      </c>
      <c r="G869" t="n">
        <v>3.3</v>
      </c>
      <c r="H869" t="n">
        <v>0</v>
      </c>
      <c r="I869" t="n">
        <v>0</v>
      </c>
      <c r="J869" t="n">
        <v>0</v>
      </c>
      <c r="K869" t="n">
        <v>0</v>
      </c>
      <c r="L869" t="n">
        <v>0</v>
      </c>
      <c r="M869" t="n">
        <v>0</v>
      </c>
      <c r="N869" t="n">
        <v>0</v>
      </c>
      <c r="O869" t="n">
        <v>0</v>
      </c>
      <c r="P869" t="n">
        <v>0</v>
      </c>
      <c r="Q869" t="n">
        <v>0</v>
      </c>
      <c r="R869" s="2" t="inlineStr"/>
    </row>
    <row r="870" ht="15" customHeight="1">
      <c r="A870" t="inlineStr">
        <is>
          <t>A 37709-2021</t>
        </is>
      </c>
      <c r="B870" s="1" t="n">
        <v>44400.56368055556</v>
      </c>
      <c r="C870" s="1" t="n">
        <v>46086</v>
      </c>
      <c r="D870" t="inlineStr">
        <is>
          <t>GÄVLEBORGS LÄN</t>
        </is>
      </c>
      <c r="E870" t="inlineStr">
        <is>
          <t>OCKELBO</t>
        </is>
      </c>
      <c r="G870" t="n">
        <v>2.7</v>
      </c>
      <c r="H870" t="n">
        <v>0</v>
      </c>
      <c r="I870" t="n">
        <v>0</v>
      </c>
      <c r="J870" t="n">
        <v>0</v>
      </c>
      <c r="K870" t="n">
        <v>0</v>
      </c>
      <c r="L870" t="n">
        <v>0</v>
      </c>
      <c r="M870" t="n">
        <v>0</v>
      </c>
      <c r="N870" t="n">
        <v>0</v>
      </c>
      <c r="O870" t="n">
        <v>0</v>
      </c>
      <c r="P870" t="n">
        <v>0</v>
      </c>
      <c r="Q870" t="n">
        <v>0</v>
      </c>
      <c r="R870" s="2" t="inlineStr"/>
    </row>
    <row r="871" ht="15" customHeight="1">
      <c r="A871" t="inlineStr">
        <is>
          <t>A 48731-2021</t>
        </is>
      </c>
      <c r="B871" s="1" t="n">
        <v>44452.60431712963</v>
      </c>
      <c r="C871" s="1" t="n">
        <v>46086</v>
      </c>
      <c r="D871" t="inlineStr">
        <is>
          <t>GÄVLEBORGS LÄN</t>
        </is>
      </c>
      <c r="E871" t="inlineStr">
        <is>
          <t>NORDANSTIG</t>
        </is>
      </c>
      <c r="F871" t="inlineStr">
        <is>
          <t>Holmen skog AB</t>
        </is>
      </c>
      <c r="G871" t="n">
        <v>3.8</v>
      </c>
      <c r="H871" t="n">
        <v>0</v>
      </c>
      <c r="I871" t="n">
        <v>0</v>
      </c>
      <c r="J871" t="n">
        <v>0</v>
      </c>
      <c r="K871" t="n">
        <v>0</v>
      </c>
      <c r="L871" t="n">
        <v>0</v>
      </c>
      <c r="M871" t="n">
        <v>0</v>
      </c>
      <c r="N871" t="n">
        <v>0</v>
      </c>
      <c r="O871" t="n">
        <v>0</v>
      </c>
      <c r="P871" t="n">
        <v>0</v>
      </c>
      <c r="Q871" t="n">
        <v>0</v>
      </c>
      <c r="R871" s="2" t="inlineStr"/>
    </row>
    <row r="872" ht="15" customHeight="1">
      <c r="A872" t="inlineStr">
        <is>
          <t>A 45841-2021</t>
        </is>
      </c>
      <c r="B872" s="1" t="n">
        <v>44441.54539351852</v>
      </c>
      <c r="C872" s="1" t="n">
        <v>46086</v>
      </c>
      <c r="D872" t="inlineStr">
        <is>
          <t>GÄVLEBORGS LÄN</t>
        </is>
      </c>
      <c r="E872" t="inlineStr">
        <is>
          <t>BOLLNÄS</t>
        </is>
      </c>
      <c r="G872" t="n">
        <v>9.6</v>
      </c>
      <c r="H872" t="n">
        <v>0</v>
      </c>
      <c r="I872" t="n">
        <v>0</v>
      </c>
      <c r="J872" t="n">
        <v>0</v>
      </c>
      <c r="K872" t="n">
        <v>0</v>
      </c>
      <c r="L872" t="n">
        <v>0</v>
      </c>
      <c r="M872" t="n">
        <v>0</v>
      </c>
      <c r="N872" t="n">
        <v>0</v>
      </c>
      <c r="O872" t="n">
        <v>0</v>
      </c>
      <c r="P872" t="n">
        <v>0</v>
      </c>
      <c r="Q872" t="n">
        <v>0</v>
      </c>
      <c r="R872" s="2" t="inlineStr"/>
    </row>
    <row r="873" ht="15" customHeight="1">
      <c r="A873" t="inlineStr">
        <is>
          <t>A 18797-2022</t>
        </is>
      </c>
      <c r="B873" s="1" t="n">
        <v>44690.3471875</v>
      </c>
      <c r="C873" s="1" t="n">
        <v>46086</v>
      </c>
      <c r="D873" t="inlineStr">
        <is>
          <t>GÄVLEBORGS LÄN</t>
        </is>
      </c>
      <c r="E873" t="inlineStr">
        <is>
          <t>HUDIKSVALL</t>
        </is>
      </c>
      <c r="F873" t="inlineStr">
        <is>
          <t>Holmen skog AB</t>
        </is>
      </c>
      <c r="G873" t="n">
        <v>13.5</v>
      </c>
      <c r="H873" t="n">
        <v>0</v>
      </c>
      <c r="I873" t="n">
        <v>0</v>
      </c>
      <c r="J873" t="n">
        <v>0</v>
      </c>
      <c r="K873" t="n">
        <v>0</v>
      </c>
      <c r="L873" t="n">
        <v>0</v>
      </c>
      <c r="M873" t="n">
        <v>0</v>
      </c>
      <c r="N873" t="n">
        <v>0</v>
      </c>
      <c r="O873" t="n">
        <v>0</v>
      </c>
      <c r="P873" t="n">
        <v>0</v>
      </c>
      <c r="Q873" t="n">
        <v>0</v>
      </c>
      <c r="R873" s="2" t="inlineStr"/>
    </row>
    <row r="874" ht="15" customHeight="1">
      <c r="A874" t="inlineStr">
        <is>
          <t>A 28760-2021</t>
        </is>
      </c>
      <c r="B874" s="1" t="n">
        <v>44357.52563657407</v>
      </c>
      <c r="C874" s="1" t="n">
        <v>46086</v>
      </c>
      <c r="D874" t="inlineStr">
        <is>
          <t>GÄVLEBORGS LÄN</t>
        </is>
      </c>
      <c r="E874" t="inlineStr">
        <is>
          <t>NORDANSTIG</t>
        </is>
      </c>
      <c r="G874" t="n">
        <v>0.5</v>
      </c>
      <c r="H874" t="n">
        <v>0</v>
      </c>
      <c r="I874" t="n">
        <v>0</v>
      </c>
      <c r="J874" t="n">
        <v>0</v>
      </c>
      <c r="K874" t="n">
        <v>0</v>
      </c>
      <c r="L874" t="n">
        <v>0</v>
      </c>
      <c r="M874" t="n">
        <v>0</v>
      </c>
      <c r="N874" t="n">
        <v>0</v>
      </c>
      <c r="O874" t="n">
        <v>0</v>
      </c>
      <c r="P874" t="n">
        <v>0</v>
      </c>
      <c r="Q874" t="n">
        <v>0</v>
      </c>
      <c r="R874" s="2" t="inlineStr"/>
    </row>
    <row r="875" ht="15" customHeight="1">
      <c r="A875" t="inlineStr">
        <is>
          <t>A 24745-2021</t>
        </is>
      </c>
      <c r="B875" s="1" t="n">
        <v>44340.59168981481</v>
      </c>
      <c r="C875" s="1" t="n">
        <v>46086</v>
      </c>
      <c r="D875" t="inlineStr">
        <is>
          <t>GÄVLEBORGS LÄN</t>
        </is>
      </c>
      <c r="E875" t="inlineStr">
        <is>
          <t>HUDIKSVALL</t>
        </is>
      </c>
      <c r="F875" t="inlineStr">
        <is>
          <t>Holmen skog AB</t>
        </is>
      </c>
      <c r="G875" t="n">
        <v>3.8</v>
      </c>
      <c r="H875" t="n">
        <v>0</v>
      </c>
      <c r="I875" t="n">
        <v>0</v>
      </c>
      <c r="J875" t="n">
        <v>0</v>
      </c>
      <c r="K875" t="n">
        <v>0</v>
      </c>
      <c r="L875" t="n">
        <v>0</v>
      </c>
      <c r="M875" t="n">
        <v>0</v>
      </c>
      <c r="N875" t="n">
        <v>0</v>
      </c>
      <c r="O875" t="n">
        <v>0</v>
      </c>
      <c r="P875" t="n">
        <v>0</v>
      </c>
      <c r="Q875" t="n">
        <v>0</v>
      </c>
      <c r="R875" s="2" t="inlineStr"/>
    </row>
    <row r="876" ht="15" customHeight="1">
      <c r="A876" t="inlineStr">
        <is>
          <t>A 25409-2022</t>
        </is>
      </c>
      <c r="B876" s="1" t="n">
        <v>44732.4490625</v>
      </c>
      <c r="C876" s="1" t="n">
        <v>46086</v>
      </c>
      <c r="D876" t="inlineStr">
        <is>
          <t>GÄVLEBORGS LÄN</t>
        </is>
      </c>
      <c r="E876" t="inlineStr">
        <is>
          <t>OVANÅKER</t>
        </is>
      </c>
      <c r="G876" t="n">
        <v>2.8</v>
      </c>
      <c r="H876" t="n">
        <v>0</v>
      </c>
      <c r="I876" t="n">
        <v>0</v>
      </c>
      <c r="J876" t="n">
        <v>0</v>
      </c>
      <c r="K876" t="n">
        <v>0</v>
      </c>
      <c r="L876" t="n">
        <v>0</v>
      </c>
      <c r="M876" t="n">
        <v>0</v>
      </c>
      <c r="N876" t="n">
        <v>0</v>
      </c>
      <c r="O876" t="n">
        <v>0</v>
      </c>
      <c r="P876" t="n">
        <v>0</v>
      </c>
      <c r="Q876" t="n">
        <v>0</v>
      </c>
      <c r="R876" s="2" t="inlineStr"/>
    </row>
    <row r="877" ht="15" customHeight="1">
      <c r="A877" t="inlineStr">
        <is>
          <t>A 24803-2021</t>
        </is>
      </c>
      <c r="B877" s="1" t="n">
        <v>44340.65736111111</v>
      </c>
      <c r="C877" s="1" t="n">
        <v>46086</v>
      </c>
      <c r="D877" t="inlineStr">
        <is>
          <t>GÄVLEBORGS LÄN</t>
        </is>
      </c>
      <c r="E877" t="inlineStr">
        <is>
          <t>OCKELBO</t>
        </is>
      </c>
      <c r="G877" t="n">
        <v>1.5</v>
      </c>
      <c r="H877" t="n">
        <v>0</v>
      </c>
      <c r="I877" t="n">
        <v>0</v>
      </c>
      <c r="J877" t="n">
        <v>0</v>
      </c>
      <c r="K877" t="n">
        <v>0</v>
      </c>
      <c r="L877" t="n">
        <v>0</v>
      </c>
      <c r="M877" t="n">
        <v>0</v>
      </c>
      <c r="N877" t="n">
        <v>0</v>
      </c>
      <c r="O877" t="n">
        <v>0</v>
      </c>
      <c r="P877" t="n">
        <v>0</v>
      </c>
      <c r="Q877" t="n">
        <v>0</v>
      </c>
      <c r="R877" s="2" t="inlineStr"/>
    </row>
    <row r="878" ht="15" customHeight="1">
      <c r="A878" t="inlineStr">
        <is>
          <t>A 3052-2022</t>
        </is>
      </c>
      <c r="B878" s="1" t="n">
        <v>44582.37412037037</v>
      </c>
      <c r="C878" s="1" t="n">
        <v>46086</v>
      </c>
      <c r="D878" t="inlineStr">
        <is>
          <t>GÄVLEBORGS LÄN</t>
        </is>
      </c>
      <c r="E878" t="inlineStr">
        <is>
          <t>HOFORS</t>
        </is>
      </c>
      <c r="G878" t="n">
        <v>0.7</v>
      </c>
      <c r="H878" t="n">
        <v>0</v>
      </c>
      <c r="I878" t="n">
        <v>0</v>
      </c>
      <c r="J878" t="n">
        <v>0</v>
      </c>
      <c r="K878" t="n">
        <v>0</v>
      </c>
      <c r="L878" t="n">
        <v>0</v>
      </c>
      <c r="M878" t="n">
        <v>0</v>
      </c>
      <c r="N878" t="n">
        <v>0</v>
      </c>
      <c r="O878" t="n">
        <v>0</v>
      </c>
      <c r="P878" t="n">
        <v>0</v>
      </c>
      <c r="Q878" t="n">
        <v>0</v>
      </c>
      <c r="R878" s="2" t="inlineStr"/>
    </row>
    <row r="879" ht="15" customHeight="1">
      <c r="A879" t="inlineStr">
        <is>
          <t>A 28023-2022</t>
        </is>
      </c>
      <c r="B879" s="1" t="n">
        <v>44746</v>
      </c>
      <c r="C879" s="1" t="n">
        <v>46086</v>
      </c>
      <c r="D879" t="inlineStr">
        <is>
          <t>GÄVLEBORGS LÄN</t>
        </is>
      </c>
      <c r="E879" t="inlineStr">
        <is>
          <t>HUDIKSVALL</t>
        </is>
      </c>
      <c r="G879" t="n">
        <v>2.9</v>
      </c>
      <c r="H879" t="n">
        <v>0</v>
      </c>
      <c r="I879" t="n">
        <v>0</v>
      </c>
      <c r="J879" t="n">
        <v>0</v>
      </c>
      <c r="K879" t="n">
        <v>0</v>
      </c>
      <c r="L879" t="n">
        <v>0</v>
      </c>
      <c r="M879" t="n">
        <v>0</v>
      </c>
      <c r="N879" t="n">
        <v>0</v>
      </c>
      <c r="O879" t="n">
        <v>0</v>
      </c>
      <c r="P879" t="n">
        <v>0</v>
      </c>
      <c r="Q879" t="n">
        <v>0</v>
      </c>
      <c r="R879" s="2" t="inlineStr"/>
    </row>
    <row r="880" ht="15" customHeight="1">
      <c r="A880" t="inlineStr">
        <is>
          <t>A 29676-2022</t>
        </is>
      </c>
      <c r="B880" s="1" t="n">
        <v>44754</v>
      </c>
      <c r="C880" s="1" t="n">
        <v>46086</v>
      </c>
      <c r="D880" t="inlineStr">
        <is>
          <t>GÄVLEBORGS LÄN</t>
        </is>
      </c>
      <c r="E880" t="inlineStr">
        <is>
          <t>OVANÅKER</t>
        </is>
      </c>
      <c r="G880" t="n">
        <v>1</v>
      </c>
      <c r="H880" t="n">
        <v>0</v>
      </c>
      <c r="I880" t="n">
        <v>0</v>
      </c>
      <c r="J880" t="n">
        <v>0</v>
      </c>
      <c r="K880" t="n">
        <v>0</v>
      </c>
      <c r="L880" t="n">
        <v>0</v>
      </c>
      <c r="M880" t="n">
        <v>0</v>
      </c>
      <c r="N880" t="n">
        <v>0</v>
      </c>
      <c r="O880" t="n">
        <v>0</v>
      </c>
      <c r="P880" t="n">
        <v>0</v>
      </c>
      <c r="Q880" t="n">
        <v>0</v>
      </c>
      <c r="R880" s="2" t="inlineStr"/>
    </row>
    <row r="881" ht="15" customHeight="1">
      <c r="A881" t="inlineStr">
        <is>
          <t>A 40729-2022</t>
        </is>
      </c>
      <c r="B881" s="1" t="n">
        <v>44824</v>
      </c>
      <c r="C881" s="1" t="n">
        <v>46086</v>
      </c>
      <c r="D881" t="inlineStr">
        <is>
          <t>GÄVLEBORGS LÄN</t>
        </is>
      </c>
      <c r="E881" t="inlineStr">
        <is>
          <t>LJUSDAL</t>
        </is>
      </c>
      <c r="F881" t="inlineStr">
        <is>
          <t>Holmen skog AB</t>
        </is>
      </c>
      <c r="G881" t="n">
        <v>1.5</v>
      </c>
      <c r="H881" t="n">
        <v>0</v>
      </c>
      <c r="I881" t="n">
        <v>0</v>
      </c>
      <c r="J881" t="n">
        <v>0</v>
      </c>
      <c r="K881" t="n">
        <v>0</v>
      </c>
      <c r="L881" t="n">
        <v>0</v>
      </c>
      <c r="M881" t="n">
        <v>0</v>
      </c>
      <c r="N881" t="n">
        <v>0</v>
      </c>
      <c r="O881" t="n">
        <v>0</v>
      </c>
      <c r="P881" t="n">
        <v>0</v>
      </c>
      <c r="Q881" t="n">
        <v>0</v>
      </c>
      <c r="R881" s="2" t="inlineStr"/>
    </row>
    <row r="882" ht="15" customHeight="1">
      <c r="A882" t="inlineStr">
        <is>
          <t>A 18516-2022</t>
        </is>
      </c>
      <c r="B882" s="1" t="n">
        <v>44686</v>
      </c>
      <c r="C882" s="1" t="n">
        <v>46086</v>
      </c>
      <c r="D882" t="inlineStr">
        <is>
          <t>GÄVLEBORGS LÄN</t>
        </is>
      </c>
      <c r="E882" t="inlineStr">
        <is>
          <t>NORDANSTIG</t>
        </is>
      </c>
      <c r="G882" t="n">
        <v>2.9</v>
      </c>
      <c r="H882" t="n">
        <v>0</v>
      </c>
      <c r="I882" t="n">
        <v>0</v>
      </c>
      <c r="J882" t="n">
        <v>0</v>
      </c>
      <c r="K882" t="n">
        <v>0</v>
      </c>
      <c r="L882" t="n">
        <v>0</v>
      </c>
      <c r="M882" t="n">
        <v>0</v>
      </c>
      <c r="N882" t="n">
        <v>0</v>
      </c>
      <c r="O882" t="n">
        <v>0</v>
      </c>
      <c r="P882" t="n">
        <v>0</v>
      </c>
      <c r="Q882" t="n">
        <v>0</v>
      </c>
      <c r="R882" s="2" t="inlineStr"/>
    </row>
    <row r="883" ht="15" customHeight="1">
      <c r="A883" t="inlineStr">
        <is>
          <t>A 38480-2022</t>
        </is>
      </c>
      <c r="B883" s="1" t="n">
        <v>44813</v>
      </c>
      <c r="C883" s="1" t="n">
        <v>46086</v>
      </c>
      <c r="D883" t="inlineStr">
        <is>
          <t>GÄVLEBORGS LÄN</t>
        </is>
      </c>
      <c r="E883" t="inlineStr">
        <is>
          <t>HUDIKSVALL</t>
        </is>
      </c>
      <c r="G883" t="n">
        <v>0.8</v>
      </c>
      <c r="H883" t="n">
        <v>0</v>
      </c>
      <c r="I883" t="n">
        <v>0</v>
      </c>
      <c r="J883" t="n">
        <v>0</v>
      </c>
      <c r="K883" t="n">
        <v>0</v>
      </c>
      <c r="L883" t="n">
        <v>0</v>
      </c>
      <c r="M883" t="n">
        <v>0</v>
      </c>
      <c r="N883" t="n">
        <v>0</v>
      </c>
      <c r="O883" t="n">
        <v>0</v>
      </c>
      <c r="P883" t="n">
        <v>0</v>
      </c>
      <c r="Q883" t="n">
        <v>0</v>
      </c>
      <c r="R883" s="2" t="inlineStr"/>
    </row>
    <row r="884" ht="15" customHeight="1">
      <c r="A884" t="inlineStr">
        <is>
          <t>A 21297-2022</t>
        </is>
      </c>
      <c r="B884" s="1" t="n">
        <v>44705</v>
      </c>
      <c r="C884" s="1" t="n">
        <v>46086</v>
      </c>
      <c r="D884" t="inlineStr">
        <is>
          <t>GÄVLEBORGS LÄN</t>
        </is>
      </c>
      <c r="E884" t="inlineStr">
        <is>
          <t>SANDVIKEN</t>
        </is>
      </c>
      <c r="G884" t="n">
        <v>1.5</v>
      </c>
      <c r="H884" t="n">
        <v>0</v>
      </c>
      <c r="I884" t="n">
        <v>0</v>
      </c>
      <c r="J884" t="n">
        <v>0</v>
      </c>
      <c r="K884" t="n">
        <v>0</v>
      </c>
      <c r="L884" t="n">
        <v>0</v>
      </c>
      <c r="M884" t="n">
        <v>0</v>
      </c>
      <c r="N884" t="n">
        <v>0</v>
      </c>
      <c r="O884" t="n">
        <v>0</v>
      </c>
      <c r="P884" t="n">
        <v>0</v>
      </c>
      <c r="Q884" t="n">
        <v>0</v>
      </c>
      <c r="R884" s="2" t="inlineStr"/>
    </row>
    <row r="885" ht="15" customHeight="1">
      <c r="A885" t="inlineStr">
        <is>
          <t>A 51206-2021</t>
        </is>
      </c>
      <c r="B885" s="1" t="n">
        <v>44460</v>
      </c>
      <c r="C885" s="1" t="n">
        <v>46086</v>
      </c>
      <c r="D885" t="inlineStr">
        <is>
          <t>GÄVLEBORGS LÄN</t>
        </is>
      </c>
      <c r="E885" t="inlineStr">
        <is>
          <t>OCKELBO</t>
        </is>
      </c>
      <c r="G885" t="n">
        <v>16.8</v>
      </c>
      <c r="H885" t="n">
        <v>0</v>
      </c>
      <c r="I885" t="n">
        <v>0</v>
      </c>
      <c r="J885" t="n">
        <v>0</v>
      </c>
      <c r="K885" t="n">
        <v>0</v>
      </c>
      <c r="L885" t="n">
        <v>0</v>
      </c>
      <c r="M885" t="n">
        <v>0</v>
      </c>
      <c r="N885" t="n">
        <v>0</v>
      </c>
      <c r="O885" t="n">
        <v>0</v>
      </c>
      <c r="P885" t="n">
        <v>0</v>
      </c>
      <c r="Q885" t="n">
        <v>0</v>
      </c>
      <c r="R885" s="2" t="inlineStr"/>
    </row>
    <row r="886" ht="15" customHeight="1">
      <c r="A886" t="inlineStr">
        <is>
          <t>A 21382-2022</t>
        </is>
      </c>
      <c r="B886" s="1" t="n">
        <v>44705</v>
      </c>
      <c r="C886" s="1" t="n">
        <v>46086</v>
      </c>
      <c r="D886" t="inlineStr">
        <is>
          <t>GÄVLEBORGS LÄN</t>
        </is>
      </c>
      <c r="E886" t="inlineStr">
        <is>
          <t>HUDIKSVALL</t>
        </is>
      </c>
      <c r="G886" t="n">
        <v>1.6</v>
      </c>
      <c r="H886" t="n">
        <v>0</v>
      </c>
      <c r="I886" t="n">
        <v>0</v>
      </c>
      <c r="J886" t="n">
        <v>0</v>
      </c>
      <c r="K886" t="n">
        <v>0</v>
      </c>
      <c r="L886" t="n">
        <v>0</v>
      </c>
      <c r="M886" t="n">
        <v>0</v>
      </c>
      <c r="N886" t="n">
        <v>0</v>
      </c>
      <c r="O886" t="n">
        <v>0</v>
      </c>
      <c r="P886" t="n">
        <v>0</v>
      </c>
      <c r="Q886" t="n">
        <v>0</v>
      </c>
      <c r="R886" s="2" t="inlineStr"/>
    </row>
    <row r="887" ht="15" customHeight="1">
      <c r="A887" t="inlineStr">
        <is>
          <t>A 54014-2022</t>
        </is>
      </c>
      <c r="B887" s="1" t="n">
        <v>44881.42024305555</v>
      </c>
      <c r="C887" s="1" t="n">
        <v>46086</v>
      </c>
      <c r="D887" t="inlineStr">
        <is>
          <t>GÄVLEBORGS LÄN</t>
        </is>
      </c>
      <c r="E887" t="inlineStr">
        <is>
          <t>HUDIKSVALL</t>
        </is>
      </c>
      <c r="G887" t="n">
        <v>0.3</v>
      </c>
      <c r="H887" t="n">
        <v>0</v>
      </c>
      <c r="I887" t="n">
        <v>0</v>
      </c>
      <c r="J887" t="n">
        <v>0</v>
      </c>
      <c r="K887" t="n">
        <v>0</v>
      </c>
      <c r="L887" t="n">
        <v>0</v>
      </c>
      <c r="M887" t="n">
        <v>0</v>
      </c>
      <c r="N887" t="n">
        <v>0</v>
      </c>
      <c r="O887" t="n">
        <v>0</v>
      </c>
      <c r="P887" t="n">
        <v>0</v>
      </c>
      <c r="Q887" t="n">
        <v>0</v>
      </c>
      <c r="R887" s="2" t="inlineStr"/>
    </row>
    <row r="888" ht="15" customHeight="1">
      <c r="A888" t="inlineStr">
        <is>
          <t>A 30168-2022</t>
        </is>
      </c>
      <c r="B888" s="1" t="n">
        <v>44757.56515046296</v>
      </c>
      <c r="C888" s="1" t="n">
        <v>46086</v>
      </c>
      <c r="D888" t="inlineStr">
        <is>
          <t>GÄVLEBORGS LÄN</t>
        </is>
      </c>
      <c r="E888" t="inlineStr">
        <is>
          <t>OVANÅKER</t>
        </is>
      </c>
      <c r="G888" t="n">
        <v>1.5</v>
      </c>
      <c r="H888" t="n">
        <v>0</v>
      </c>
      <c r="I888" t="n">
        <v>0</v>
      </c>
      <c r="J888" t="n">
        <v>0</v>
      </c>
      <c r="K888" t="n">
        <v>0</v>
      </c>
      <c r="L888" t="n">
        <v>0</v>
      </c>
      <c r="M888" t="n">
        <v>0</v>
      </c>
      <c r="N888" t="n">
        <v>0</v>
      </c>
      <c r="O888" t="n">
        <v>0</v>
      </c>
      <c r="P888" t="n">
        <v>0</v>
      </c>
      <c r="Q888" t="n">
        <v>0</v>
      </c>
      <c r="R888" s="2" t="inlineStr"/>
    </row>
    <row r="889" ht="15" customHeight="1">
      <c r="A889" t="inlineStr">
        <is>
          <t>A 32342-2022</t>
        </is>
      </c>
      <c r="B889" s="1" t="n">
        <v>44781.83763888889</v>
      </c>
      <c r="C889" s="1" t="n">
        <v>46086</v>
      </c>
      <c r="D889" t="inlineStr">
        <is>
          <t>GÄVLEBORGS LÄN</t>
        </is>
      </c>
      <c r="E889" t="inlineStr">
        <is>
          <t>NORDANSTIG</t>
        </is>
      </c>
      <c r="G889" t="n">
        <v>1.2</v>
      </c>
      <c r="H889" t="n">
        <v>0</v>
      </c>
      <c r="I889" t="n">
        <v>0</v>
      </c>
      <c r="J889" t="n">
        <v>0</v>
      </c>
      <c r="K889" t="n">
        <v>0</v>
      </c>
      <c r="L889" t="n">
        <v>0</v>
      </c>
      <c r="M889" t="n">
        <v>0</v>
      </c>
      <c r="N889" t="n">
        <v>0</v>
      </c>
      <c r="O889" t="n">
        <v>0</v>
      </c>
      <c r="P889" t="n">
        <v>0</v>
      </c>
      <c r="Q889" t="n">
        <v>0</v>
      </c>
      <c r="R889" s="2" t="inlineStr"/>
    </row>
    <row r="890" ht="15" customHeight="1">
      <c r="A890" t="inlineStr">
        <is>
          <t>A 56282-2021</t>
        </is>
      </c>
      <c r="B890" s="1" t="n">
        <v>44479</v>
      </c>
      <c r="C890" s="1" t="n">
        <v>46086</v>
      </c>
      <c r="D890" t="inlineStr">
        <is>
          <t>GÄVLEBORGS LÄN</t>
        </is>
      </c>
      <c r="E890" t="inlineStr">
        <is>
          <t>OCKELBO</t>
        </is>
      </c>
      <c r="G890" t="n">
        <v>0.7</v>
      </c>
      <c r="H890" t="n">
        <v>0</v>
      </c>
      <c r="I890" t="n">
        <v>0</v>
      </c>
      <c r="J890" t="n">
        <v>0</v>
      </c>
      <c r="K890" t="n">
        <v>0</v>
      </c>
      <c r="L890" t="n">
        <v>0</v>
      </c>
      <c r="M890" t="n">
        <v>0</v>
      </c>
      <c r="N890" t="n">
        <v>0</v>
      </c>
      <c r="O890" t="n">
        <v>0</v>
      </c>
      <c r="P890" t="n">
        <v>0</v>
      </c>
      <c r="Q890" t="n">
        <v>0</v>
      </c>
      <c r="R890" s="2" t="inlineStr"/>
    </row>
    <row r="891" ht="15" customHeight="1">
      <c r="A891" t="inlineStr">
        <is>
          <t>A 45369-2021</t>
        </is>
      </c>
      <c r="B891" s="1" t="n">
        <v>44440.27561342593</v>
      </c>
      <c r="C891" s="1" t="n">
        <v>46086</v>
      </c>
      <c r="D891" t="inlineStr">
        <is>
          <t>GÄVLEBORGS LÄN</t>
        </is>
      </c>
      <c r="E891" t="inlineStr">
        <is>
          <t>LJUSDAL</t>
        </is>
      </c>
      <c r="G891" t="n">
        <v>0.6</v>
      </c>
      <c r="H891" t="n">
        <v>0</v>
      </c>
      <c r="I891" t="n">
        <v>0</v>
      </c>
      <c r="J891" t="n">
        <v>0</v>
      </c>
      <c r="K891" t="n">
        <v>0</v>
      </c>
      <c r="L891" t="n">
        <v>0</v>
      </c>
      <c r="M891" t="n">
        <v>0</v>
      </c>
      <c r="N891" t="n">
        <v>0</v>
      </c>
      <c r="O891" t="n">
        <v>0</v>
      </c>
      <c r="P891" t="n">
        <v>0</v>
      </c>
      <c r="Q891" t="n">
        <v>0</v>
      </c>
      <c r="R891" s="2" t="inlineStr"/>
    </row>
    <row r="892" ht="15" customHeight="1">
      <c r="A892" t="inlineStr">
        <is>
          <t>A 45370-2021</t>
        </is>
      </c>
      <c r="B892" s="1" t="n">
        <v>44440.27954861111</v>
      </c>
      <c r="C892" s="1" t="n">
        <v>46086</v>
      </c>
      <c r="D892" t="inlineStr">
        <is>
          <t>GÄVLEBORGS LÄN</t>
        </is>
      </c>
      <c r="E892" t="inlineStr">
        <is>
          <t>LJUSDAL</t>
        </is>
      </c>
      <c r="G892" t="n">
        <v>0.8</v>
      </c>
      <c r="H892" t="n">
        <v>0</v>
      </c>
      <c r="I892" t="n">
        <v>0</v>
      </c>
      <c r="J892" t="n">
        <v>0</v>
      </c>
      <c r="K892" t="n">
        <v>0</v>
      </c>
      <c r="L892" t="n">
        <v>0</v>
      </c>
      <c r="M892" t="n">
        <v>0</v>
      </c>
      <c r="N892" t="n">
        <v>0</v>
      </c>
      <c r="O892" t="n">
        <v>0</v>
      </c>
      <c r="P892" t="n">
        <v>0</v>
      </c>
      <c r="Q892" t="n">
        <v>0</v>
      </c>
      <c r="R892" s="2" t="inlineStr"/>
    </row>
    <row r="893" ht="15" customHeight="1">
      <c r="A893" t="inlineStr">
        <is>
          <t>A 61670-2021</t>
        </is>
      </c>
      <c r="B893" s="1" t="n">
        <v>44501.56204861111</v>
      </c>
      <c r="C893" s="1" t="n">
        <v>46086</v>
      </c>
      <c r="D893" t="inlineStr">
        <is>
          <t>GÄVLEBORGS LÄN</t>
        </is>
      </c>
      <c r="E893" t="inlineStr">
        <is>
          <t>LJUSDAL</t>
        </is>
      </c>
      <c r="F893" t="inlineStr">
        <is>
          <t>Holmen skog AB</t>
        </is>
      </c>
      <c r="G893" t="n">
        <v>0.9</v>
      </c>
      <c r="H893" t="n">
        <v>0</v>
      </c>
      <c r="I893" t="n">
        <v>0</v>
      </c>
      <c r="J893" t="n">
        <v>0</v>
      </c>
      <c r="K893" t="n">
        <v>0</v>
      </c>
      <c r="L893" t="n">
        <v>0</v>
      </c>
      <c r="M893" t="n">
        <v>0</v>
      </c>
      <c r="N893" t="n">
        <v>0</v>
      </c>
      <c r="O893" t="n">
        <v>0</v>
      </c>
      <c r="P893" t="n">
        <v>0</v>
      </c>
      <c r="Q893" t="n">
        <v>0</v>
      </c>
      <c r="R893" s="2" t="inlineStr"/>
    </row>
    <row r="894" ht="15" customHeight="1">
      <c r="A894" t="inlineStr">
        <is>
          <t>A 46198-2021</t>
        </is>
      </c>
      <c r="B894" s="1" t="n">
        <v>44442</v>
      </c>
      <c r="C894" s="1" t="n">
        <v>46086</v>
      </c>
      <c r="D894" t="inlineStr">
        <is>
          <t>GÄVLEBORGS LÄN</t>
        </is>
      </c>
      <c r="E894" t="inlineStr">
        <is>
          <t>NORDANSTIG</t>
        </is>
      </c>
      <c r="F894" t="inlineStr">
        <is>
          <t>Holmen skog AB</t>
        </is>
      </c>
      <c r="G894" t="n">
        <v>2.5</v>
      </c>
      <c r="H894" t="n">
        <v>0</v>
      </c>
      <c r="I894" t="n">
        <v>0</v>
      </c>
      <c r="J894" t="n">
        <v>0</v>
      </c>
      <c r="K894" t="n">
        <v>0</v>
      </c>
      <c r="L894" t="n">
        <v>0</v>
      </c>
      <c r="M894" t="n">
        <v>0</v>
      </c>
      <c r="N894" t="n">
        <v>0</v>
      </c>
      <c r="O894" t="n">
        <v>0</v>
      </c>
      <c r="P894" t="n">
        <v>0</v>
      </c>
      <c r="Q894" t="n">
        <v>0</v>
      </c>
      <c r="R894" s="2" t="inlineStr"/>
      <c r="U894">
        <f>HYPERLINK("https://klasma.github.io/Logging_2132/knärot/A 46198-2021 karta knärot.png", "A 46198-2021")</f>
        <v/>
      </c>
      <c r="V894">
        <f>HYPERLINK("https://klasma.github.io/Logging_2132/klagomål/A 46198-2021 FSC-klagomål.docx", "A 46198-2021")</f>
        <v/>
      </c>
      <c r="W894">
        <f>HYPERLINK("https://klasma.github.io/Logging_2132/klagomålsmail/A 46198-2021 FSC-klagomål mail.docx", "A 46198-2021")</f>
        <v/>
      </c>
      <c r="X894">
        <f>HYPERLINK("https://klasma.github.io/Logging_2132/tillsyn/A 46198-2021 tillsynsbegäran.docx", "A 46198-2021")</f>
        <v/>
      </c>
      <c r="Y894">
        <f>HYPERLINK("https://klasma.github.io/Logging_2132/tillsynsmail/A 46198-2021 tillsynsbegäran mail.docx", "A 46198-2021")</f>
        <v/>
      </c>
    </row>
    <row r="895" ht="15" customHeight="1">
      <c r="A895" t="inlineStr">
        <is>
          <t>A 22354-2021</t>
        </is>
      </c>
      <c r="B895" s="1" t="n">
        <v>44326.55663194445</v>
      </c>
      <c r="C895" s="1" t="n">
        <v>46086</v>
      </c>
      <c r="D895" t="inlineStr">
        <is>
          <t>GÄVLEBORGS LÄN</t>
        </is>
      </c>
      <c r="E895" t="inlineStr">
        <is>
          <t>SÖDERHAMN</t>
        </is>
      </c>
      <c r="G895" t="n">
        <v>0.5</v>
      </c>
      <c r="H895" t="n">
        <v>0</v>
      </c>
      <c r="I895" t="n">
        <v>0</v>
      </c>
      <c r="J895" t="n">
        <v>0</v>
      </c>
      <c r="K895" t="n">
        <v>0</v>
      </c>
      <c r="L895" t="n">
        <v>0</v>
      </c>
      <c r="M895" t="n">
        <v>0</v>
      </c>
      <c r="N895" t="n">
        <v>0</v>
      </c>
      <c r="O895" t="n">
        <v>0</v>
      </c>
      <c r="P895" t="n">
        <v>0</v>
      </c>
      <c r="Q895" t="n">
        <v>0</v>
      </c>
      <c r="R895" s="2" t="inlineStr"/>
    </row>
    <row r="896" ht="15" customHeight="1">
      <c r="A896" t="inlineStr">
        <is>
          <t>A 30817-2022</t>
        </is>
      </c>
      <c r="B896" s="1" t="n">
        <v>44765.52855324074</v>
      </c>
      <c r="C896" s="1" t="n">
        <v>46086</v>
      </c>
      <c r="D896" t="inlineStr">
        <is>
          <t>GÄVLEBORGS LÄN</t>
        </is>
      </c>
      <c r="E896" t="inlineStr">
        <is>
          <t>NORDANSTIG</t>
        </is>
      </c>
      <c r="G896" t="n">
        <v>2.4</v>
      </c>
      <c r="H896" t="n">
        <v>0</v>
      </c>
      <c r="I896" t="n">
        <v>0</v>
      </c>
      <c r="J896" t="n">
        <v>0</v>
      </c>
      <c r="K896" t="n">
        <v>0</v>
      </c>
      <c r="L896" t="n">
        <v>0</v>
      </c>
      <c r="M896" t="n">
        <v>0</v>
      </c>
      <c r="N896" t="n">
        <v>0</v>
      </c>
      <c r="O896" t="n">
        <v>0</v>
      </c>
      <c r="P896" t="n">
        <v>0</v>
      </c>
      <c r="Q896" t="n">
        <v>0</v>
      </c>
      <c r="R896" s="2" t="inlineStr"/>
    </row>
    <row r="897" ht="15" customHeight="1">
      <c r="A897" t="inlineStr">
        <is>
          <t>A 32948-2022</t>
        </is>
      </c>
      <c r="B897" s="1" t="n">
        <v>44784.71929398148</v>
      </c>
      <c r="C897" s="1" t="n">
        <v>46086</v>
      </c>
      <c r="D897" t="inlineStr">
        <is>
          <t>GÄVLEBORGS LÄN</t>
        </is>
      </c>
      <c r="E897" t="inlineStr">
        <is>
          <t>BOLLNÄS</t>
        </is>
      </c>
      <c r="G897" t="n">
        <v>0.7</v>
      </c>
      <c r="H897" t="n">
        <v>0</v>
      </c>
      <c r="I897" t="n">
        <v>0</v>
      </c>
      <c r="J897" t="n">
        <v>0</v>
      </c>
      <c r="K897" t="n">
        <v>0</v>
      </c>
      <c r="L897" t="n">
        <v>0</v>
      </c>
      <c r="M897" t="n">
        <v>0</v>
      </c>
      <c r="N897" t="n">
        <v>0</v>
      </c>
      <c r="O897" t="n">
        <v>0</v>
      </c>
      <c r="P897" t="n">
        <v>0</v>
      </c>
      <c r="Q897" t="n">
        <v>0</v>
      </c>
      <c r="R897" s="2" t="inlineStr"/>
    </row>
    <row r="898" ht="15" customHeight="1">
      <c r="A898" t="inlineStr">
        <is>
          <t>A 65270-2021</t>
        </is>
      </c>
      <c r="B898" s="1" t="n">
        <v>44515</v>
      </c>
      <c r="C898" s="1" t="n">
        <v>46086</v>
      </c>
      <c r="D898" t="inlineStr">
        <is>
          <t>GÄVLEBORGS LÄN</t>
        </is>
      </c>
      <c r="E898" t="inlineStr">
        <is>
          <t>SANDVIKEN</t>
        </is>
      </c>
      <c r="G898" t="n">
        <v>1.4</v>
      </c>
      <c r="H898" t="n">
        <v>0</v>
      </c>
      <c r="I898" t="n">
        <v>0</v>
      </c>
      <c r="J898" t="n">
        <v>0</v>
      </c>
      <c r="K898" t="n">
        <v>0</v>
      </c>
      <c r="L898" t="n">
        <v>0</v>
      </c>
      <c r="M898" t="n">
        <v>0</v>
      </c>
      <c r="N898" t="n">
        <v>0</v>
      </c>
      <c r="O898" t="n">
        <v>0</v>
      </c>
      <c r="P898" t="n">
        <v>0</v>
      </c>
      <c r="Q898" t="n">
        <v>0</v>
      </c>
      <c r="R898" s="2" t="inlineStr"/>
    </row>
    <row r="899" ht="15" customHeight="1">
      <c r="A899" t="inlineStr">
        <is>
          <t>A 58528-2021</t>
        </is>
      </c>
      <c r="B899" s="1" t="n">
        <v>44488.65960648148</v>
      </c>
      <c r="C899" s="1" t="n">
        <v>46086</v>
      </c>
      <c r="D899" t="inlineStr">
        <is>
          <t>GÄVLEBORGS LÄN</t>
        </is>
      </c>
      <c r="E899" t="inlineStr">
        <is>
          <t>BOLLNÄS</t>
        </is>
      </c>
      <c r="G899" t="n">
        <v>3.1</v>
      </c>
      <c r="H899" t="n">
        <v>0</v>
      </c>
      <c r="I899" t="n">
        <v>0</v>
      </c>
      <c r="J899" t="n">
        <v>0</v>
      </c>
      <c r="K899" t="n">
        <v>0</v>
      </c>
      <c r="L899" t="n">
        <v>0</v>
      </c>
      <c r="M899" t="n">
        <v>0</v>
      </c>
      <c r="N899" t="n">
        <v>0</v>
      </c>
      <c r="O899" t="n">
        <v>0</v>
      </c>
      <c r="P899" t="n">
        <v>0</v>
      </c>
      <c r="Q899" t="n">
        <v>0</v>
      </c>
      <c r="R899" s="2" t="inlineStr"/>
    </row>
    <row r="900" ht="15" customHeight="1">
      <c r="A900" t="inlineStr">
        <is>
          <t>A 67634-2021</t>
        </is>
      </c>
      <c r="B900" s="1" t="n">
        <v>44524.6865625</v>
      </c>
      <c r="C900" s="1" t="n">
        <v>46086</v>
      </c>
      <c r="D900" t="inlineStr">
        <is>
          <t>GÄVLEBORGS LÄN</t>
        </is>
      </c>
      <c r="E900" t="inlineStr">
        <is>
          <t>SÖDERHAMN</t>
        </is>
      </c>
      <c r="G900" t="n">
        <v>1</v>
      </c>
      <c r="H900" t="n">
        <v>0</v>
      </c>
      <c r="I900" t="n">
        <v>0</v>
      </c>
      <c r="J900" t="n">
        <v>0</v>
      </c>
      <c r="K900" t="n">
        <v>0</v>
      </c>
      <c r="L900" t="n">
        <v>0</v>
      </c>
      <c r="M900" t="n">
        <v>0</v>
      </c>
      <c r="N900" t="n">
        <v>0</v>
      </c>
      <c r="O900" t="n">
        <v>0</v>
      </c>
      <c r="P900" t="n">
        <v>0</v>
      </c>
      <c r="Q900" t="n">
        <v>0</v>
      </c>
      <c r="R900" s="2" t="inlineStr"/>
    </row>
    <row r="901" ht="15" customHeight="1">
      <c r="A901" t="inlineStr">
        <is>
          <t>A 61687-2021</t>
        </is>
      </c>
      <c r="B901" s="1" t="n">
        <v>44501.57883101852</v>
      </c>
      <c r="C901" s="1" t="n">
        <v>46086</v>
      </c>
      <c r="D901" t="inlineStr">
        <is>
          <t>GÄVLEBORGS LÄN</t>
        </is>
      </c>
      <c r="E901" t="inlineStr">
        <is>
          <t>HOFORS</t>
        </is>
      </c>
      <c r="G901" t="n">
        <v>1.6</v>
      </c>
      <c r="H901" t="n">
        <v>0</v>
      </c>
      <c r="I901" t="n">
        <v>0</v>
      </c>
      <c r="J901" t="n">
        <v>0</v>
      </c>
      <c r="K901" t="n">
        <v>0</v>
      </c>
      <c r="L901" t="n">
        <v>0</v>
      </c>
      <c r="M901" t="n">
        <v>0</v>
      </c>
      <c r="N901" t="n">
        <v>0</v>
      </c>
      <c r="O901" t="n">
        <v>0</v>
      </c>
      <c r="P901" t="n">
        <v>0</v>
      </c>
      <c r="Q901" t="n">
        <v>0</v>
      </c>
      <c r="R901" s="2" t="inlineStr"/>
    </row>
    <row r="902" ht="15" customHeight="1">
      <c r="A902" t="inlineStr">
        <is>
          <t>A 36768-2022</t>
        </is>
      </c>
      <c r="B902" s="1" t="n">
        <v>44805.45609953703</v>
      </c>
      <c r="C902" s="1" t="n">
        <v>46086</v>
      </c>
      <c r="D902" t="inlineStr">
        <is>
          <t>GÄVLEBORGS LÄN</t>
        </is>
      </c>
      <c r="E902" t="inlineStr">
        <is>
          <t>GÄVLE</t>
        </is>
      </c>
      <c r="F902" t="inlineStr">
        <is>
          <t>Kyrkan</t>
        </is>
      </c>
      <c r="G902" t="n">
        <v>2</v>
      </c>
      <c r="H902" t="n">
        <v>0</v>
      </c>
      <c r="I902" t="n">
        <v>0</v>
      </c>
      <c r="J902" t="n">
        <v>0</v>
      </c>
      <c r="K902" t="n">
        <v>0</v>
      </c>
      <c r="L902" t="n">
        <v>0</v>
      </c>
      <c r="M902" t="n">
        <v>0</v>
      </c>
      <c r="N902" t="n">
        <v>0</v>
      </c>
      <c r="O902" t="n">
        <v>0</v>
      </c>
      <c r="P902" t="n">
        <v>0</v>
      </c>
      <c r="Q902" t="n">
        <v>0</v>
      </c>
      <c r="R902" s="2" t="inlineStr"/>
    </row>
    <row r="903" ht="15" customHeight="1">
      <c r="A903" t="inlineStr">
        <is>
          <t>A 36323-2021</t>
        </is>
      </c>
      <c r="B903" s="1" t="n">
        <v>44390</v>
      </c>
      <c r="C903" s="1" t="n">
        <v>46086</v>
      </c>
      <c r="D903" t="inlineStr">
        <is>
          <t>GÄVLEBORGS LÄN</t>
        </is>
      </c>
      <c r="E903" t="inlineStr">
        <is>
          <t>LJUSDAL</t>
        </is>
      </c>
      <c r="G903" t="n">
        <v>0.8</v>
      </c>
      <c r="H903" t="n">
        <v>0</v>
      </c>
      <c r="I903" t="n">
        <v>0</v>
      </c>
      <c r="J903" t="n">
        <v>0</v>
      </c>
      <c r="K903" t="n">
        <v>0</v>
      </c>
      <c r="L903" t="n">
        <v>0</v>
      </c>
      <c r="M903" t="n">
        <v>0</v>
      </c>
      <c r="N903" t="n">
        <v>0</v>
      </c>
      <c r="O903" t="n">
        <v>0</v>
      </c>
      <c r="P903" t="n">
        <v>0</v>
      </c>
      <c r="Q903" t="n">
        <v>0</v>
      </c>
      <c r="R903" s="2" t="inlineStr"/>
    </row>
    <row r="904" ht="15" customHeight="1">
      <c r="A904" t="inlineStr">
        <is>
          <t>A 58648-2021</t>
        </is>
      </c>
      <c r="B904" s="1" t="n">
        <v>44489</v>
      </c>
      <c r="C904" s="1" t="n">
        <v>46086</v>
      </c>
      <c r="D904" t="inlineStr">
        <is>
          <t>GÄVLEBORGS LÄN</t>
        </is>
      </c>
      <c r="E904" t="inlineStr">
        <is>
          <t>LJUSDAL</t>
        </is>
      </c>
      <c r="F904" t="inlineStr">
        <is>
          <t>Holmen skog AB</t>
        </is>
      </c>
      <c r="G904" t="n">
        <v>4.5</v>
      </c>
      <c r="H904" t="n">
        <v>0</v>
      </c>
      <c r="I904" t="n">
        <v>0</v>
      </c>
      <c r="J904" t="n">
        <v>0</v>
      </c>
      <c r="K904" t="n">
        <v>0</v>
      </c>
      <c r="L904" t="n">
        <v>0</v>
      </c>
      <c r="M904" t="n">
        <v>0</v>
      </c>
      <c r="N904" t="n">
        <v>0</v>
      </c>
      <c r="O904" t="n">
        <v>0</v>
      </c>
      <c r="P904" t="n">
        <v>0</v>
      </c>
      <c r="Q904" t="n">
        <v>0</v>
      </c>
      <c r="R904" s="2" t="inlineStr"/>
    </row>
    <row r="905" ht="15" customHeight="1">
      <c r="A905" t="inlineStr">
        <is>
          <t>A 52222-2022</t>
        </is>
      </c>
      <c r="B905" s="1" t="n">
        <v>44873</v>
      </c>
      <c r="C905" s="1" t="n">
        <v>46086</v>
      </c>
      <c r="D905" t="inlineStr">
        <is>
          <t>GÄVLEBORGS LÄN</t>
        </is>
      </c>
      <c r="E905" t="inlineStr">
        <is>
          <t>LJUSDAL</t>
        </is>
      </c>
      <c r="G905" t="n">
        <v>2</v>
      </c>
      <c r="H905" t="n">
        <v>0</v>
      </c>
      <c r="I905" t="n">
        <v>0</v>
      </c>
      <c r="J905" t="n">
        <v>0</v>
      </c>
      <c r="K905" t="n">
        <v>0</v>
      </c>
      <c r="L905" t="n">
        <v>0</v>
      </c>
      <c r="M905" t="n">
        <v>0</v>
      </c>
      <c r="N905" t="n">
        <v>0</v>
      </c>
      <c r="O905" t="n">
        <v>0</v>
      </c>
      <c r="P905" t="n">
        <v>0</v>
      </c>
      <c r="Q905" t="n">
        <v>0</v>
      </c>
      <c r="R905" s="2" t="inlineStr"/>
    </row>
    <row r="906" ht="15" customHeight="1">
      <c r="A906" t="inlineStr">
        <is>
          <t>A 30424-2021</t>
        </is>
      </c>
      <c r="B906" s="1" t="n">
        <v>44364.55576388889</v>
      </c>
      <c r="C906" s="1" t="n">
        <v>46086</v>
      </c>
      <c r="D906" t="inlineStr">
        <is>
          <t>GÄVLEBORGS LÄN</t>
        </is>
      </c>
      <c r="E906" t="inlineStr">
        <is>
          <t>OVANÅKER</t>
        </is>
      </c>
      <c r="G906" t="n">
        <v>3.6</v>
      </c>
      <c r="H906" t="n">
        <v>0</v>
      </c>
      <c r="I906" t="n">
        <v>0</v>
      </c>
      <c r="J906" t="n">
        <v>0</v>
      </c>
      <c r="K906" t="n">
        <v>0</v>
      </c>
      <c r="L906" t="n">
        <v>0</v>
      </c>
      <c r="M906" t="n">
        <v>0</v>
      </c>
      <c r="N906" t="n">
        <v>0</v>
      </c>
      <c r="O906" t="n">
        <v>0</v>
      </c>
      <c r="P906" t="n">
        <v>0</v>
      </c>
      <c r="Q906" t="n">
        <v>0</v>
      </c>
      <c r="R906" s="2" t="inlineStr"/>
    </row>
    <row r="907" ht="15" customHeight="1">
      <c r="A907" t="inlineStr">
        <is>
          <t>A 68541-2021</t>
        </is>
      </c>
      <c r="B907" s="1" t="n">
        <v>44529.48662037037</v>
      </c>
      <c r="C907" s="1" t="n">
        <v>46086</v>
      </c>
      <c r="D907" t="inlineStr">
        <is>
          <t>GÄVLEBORGS LÄN</t>
        </is>
      </c>
      <c r="E907" t="inlineStr">
        <is>
          <t>OCKELBO</t>
        </is>
      </c>
      <c r="G907" t="n">
        <v>3.4</v>
      </c>
      <c r="H907" t="n">
        <v>0</v>
      </c>
      <c r="I907" t="n">
        <v>0</v>
      </c>
      <c r="J907" t="n">
        <v>0</v>
      </c>
      <c r="K907" t="n">
        <v>0</v>
      </c>
      <c r="L907" t="n">
        <v>0</v>
      </c>
      <c r="M907" t="n">
        <v>0</v>
      </c>
      <c r="N907" t="n">
        <v>0</v>
      </c>
      <c r="O907" t="n">
        <v>0</v>
      </c>
      <c r="P907" t="n">
        <v>0</v>
      </c>
      <c r="Q907" t="n">
        <v>0</v>
      </c>
      <c r="R907" s="2" t="inlineStr"/>
    </row>
    <row r="908" ht="15" customHeight="1">
      <c r="A908" t="inlineStr">
        <is>
          <t>A 69836-2021</t>
        </is>
      </c>
      <c r="B908" s="1" t="n">
        <v>44532</v>
      </c>
      <c r="C908" s="1" t="n">
        <v>46086</v>
      </c>
      <c r="D908" t="inlineStr">
        <is>
          <t>GÄVLEBORGS LÄN</t>
        </is>
      </c>
      <c r="E908" t="inlineStr">
        <is>
          <t>BOLLNÄS</t>
        </is>
      </c>
      <c r="F908" t="inlineStr">
        <is>
          <t>Sveaskog</t>
        </is>
      </c>
      <c r="G908" t="n">
        <v>2.3</v>
      </c>
      <c r="H908" t="n">
        <v>0</v>
      </c>
      <c r="I908" t="n">
        <v>0</v>
      </c>
      <c r="J908" t="n">
        <v>0</v>
      </c>
      <c r="K908" t="n">
        <v>0</v>
      </c>
      <c r="L908" t="n">
        <v>0</v>
      </c>
      <c r="M908" t="n">
        <v>0</v>
      </c>
      <c r="N908" t="n">
        <v>0</v>
      </c>
      <c r="O908" t="n">
        <v>0</v>
      </c>
      <c r="P908" t="n">
        <v>0</v>
      </c>
      <c r="Q908" t="n">
        <v>0</v>
      </c>
      <c r="R908" s="2" t="inlineStr"/>
    </row>
    <row r="909" ht="15" customHeight="1">
      <c r="A909" t="inlineStr">
        <is>
          <t>A 60569-2021</t>
        </is>
      </c>
      <c r="B909" s="1" t="n">
        <v>44496.56317129629</v>
      </c>
      <c r="C909" s="1" t="n">
        <v>46086</v>
      </c>
      <c r="D909" t="inlineStr">
        <is>
          <t>GÄVLEBORGS LÄN</t>
        </is>
      </c>
      <c r="E909" t="inlineStr">
        <is>
          <t>LJUSDAL</t>
        </is>
      </c>
      <c r="F909" t="inlineStr">
        <is>
          <t>Bergvik skog väst AB</t>
        </is>
      </c>
      <c r="G909" t="n">
        <v>2.5</v>
      </c>
      <c r="H909" t="n">
        <v>0</v>
      </c>
      <c r="I909" t="n">
        <v>0</v>
      </c>
      <c r="J909" t="n">
        <v>0</v>
      </c>
      <c r="K909" t="n">
        <v>0</v>
      </c>
      <c r="L909" t="n">
        <v>0</v>
      </c>
      <c r="M909" t="n">
        <v>0</v>
      </c>
      <c r="N909" t="n">
        <v>0</v>
      </c>
      <c r="O909" t="n">
        <v>0</v>
      </c>
      <c r="P909" t="n">
        <v>0</v>
      </c>
      <c r="Q909" t="n">
        <v>0</v>
      </c>
      <c r="R909" s="2" t="inlineStr"/>
    </row>
    <row r="910" ht="15" customHeight="1">
      <c r="A910" t="inlineStr">
        <is>
          <t>A 52121-2022</t>
        </is>
      </c>
      <c r="B910" s="1" t="n">
        <v>44873.42385416666</v>
      </c>
      <c r="C910" s="1" t="n">
        <v>46086</v>
      </c>
      <c r="D910" t="inlineStr">
        <is>
          <t>GÄVLEBORGS LÄN</t>
        </is>
      </c>
      <c r="E910" t="inlineStr">
        <is>
          <t>LJUSDAL</t>
        </is>
      </c>
      <c r="F910" t="inlineStr">
        <is>
          <t>Bergvik skog väst AB</t>
        </is>
      </c>
      <c r="G910" t="n">
        <v>6.9</v>
      </c>
      <c r="H910" t="n">
        <v>0</v>
      </c>
      <c r="I910" t="n">
        <v>0</v>
      </c>
      <c r="J910" t="n">
        <v>0</v>
      </c>
      <c r="K910" t="n">
        <v>0</v>
      </c>
      <c r="L910" t="n">
        <v>0</v>
      </c>
      <c r="M910" t="n">
        <v>0</v>
      </c>
      <c r="N910" t="n">
        <v>0</v>
      </c>
      <c r="O910" t="n">
        <v>0</v>
      </c>
      <c r="P910" t="n">
        <v>0</v>
      </c>
      <c r="Q910" t="n">
        <v>0</v>
      </c>
      <c r="R910" s="2" t="inlineStr"/>
    </row>
    <row r="911" ht="15" customHeight="1">
      <c r="A911" t="inlineStr">
        <is>
          <t>A 55243-2021</t>
        </is>
      </c>
      <c r="B911" s="1" t="n">
        <v>44475.39793981481</v>
      </c>
      <c r="C911" s="1" t="n">
        <v>46086</v>
      </c>
      <c r="D911" t="inlineStr">
        <is>
          <t>GÄVLEBORGS LÄN</t>
        </is>
      </c>
      <c r="E911" t="inlineStr">
        <is>
          <t>OVANÅKER</t>
        </is>
      </c>
      <c r="G911" t="n">
        <v>2.1</v>
      </c>
      <c r="H911" t="n">
        <v>0</v>
      </c>
      <c r="I911" t="n">
        <v>0</v>
      </c>
      <c r="J911" t="n">
        <v>0</v>
      </c>
      <c r="K911" t="n">
        <v>0</v>
      </c>
      <c r="L911" t="n">
        <v>0</v>
      </c>
      <c r="M911" t="n">
        <v>0</v>
      </c>
      <c r="N911" t="n">
        <v>0</v>
      </c>
      <c r="O911" t="n">
        <v>0</v>
      </c>
      <c r="P911" t="n">
        <v>0</v>
      </c>
      <c r="Q911" t="n">
        <v>0</v>
      </c>
      <c r="R911" s="2" t="inlineStr"/>
    </row>
    <row r="912" ht="15" customHeight="1">
      <c r="A912" t="inlineStr">
        <is>
          <t>A 11543-2021</t>
        </is>
      </c>
      <c r="B912" s="1" t="n">
        <v>44264</v>
      </c>
      <c r="C912" s="1" t="n">
        <v>46086</v>
      </c>
      <c r="D912" t="inlineStr">
        <is>
          <t>GÄVLEBORGS LÄN</t>
        </is>
      </c>
      <c r="E912" t="inlineStr">
        <is>
          <t>OVANÅKER</t>
        </is>
      </c>
      <c r="G912" t="n">
        <v>0.9</v>
      </c>
      <c r="H912" t="n">
        <v>0</v>
      </c>
      <c r="I912" t="n">
        <v>0</v>
      </c>
      <c r="J912" t="n">
        <v>0</v>
      </c>
      <c r="K912" t="n">
        <v>0</v>
      </c>
      <c r="L912" t="n">
        <v>0</v>
      </c>
      <c r="M912" t="n">
        <v>0</v>
      </c>
      <c r="N912" t="n">
        <v>0</v>
      </c>
      <c r="O912" t="n">
        <v>0</v>
      </c>
      <c r="P912" t="n">
        <v>0</v>
      </c>
      <c r="Q912" t="n">
        <v>0</v>
      </c>
      <c r="R912" s="2" t="inlineStr"/>
    </row>
    <row r="913" ht="15" customHeight="1">
      <c r="A913" t="inlineStr">
        <is>
          <t>A 61012-2021</t>
        </is>
      </c>
      <c r="B913" s="1" t="n">
        <v>44497</v>
      </c>
      <c r="C913" s="1" t="n">
        <v>46086</v>
      </c>
      <c r="D913" t="inlineStr">
        <is>
          <t>GÄVLEBORGS LÄN</t>
        </is>
      </c>
      <c r="E913" t="inlineStr">
        <is>
          <t>LJUSDAL</t>
        </is>
      </c>
      <c r="F913" t="inlineStr">
        <is>
          <t>Holmen skog AB</t>
        </is>
      </c>
      <c r="G913" t="n">
        <v>4</v>
      </c>
      <c r="H913" t="n">
        <v>0</v>
      </c>
      <c r="I913" t="n">
        <v>0</v>
      </c>
      <c r="J913" t="n">
        <v>0</v>
      </c>
      <c r="K913" t="n">
        <v>0</v>
      </c>
      <c r="L913" t="n">
        <v>0</v>
      </c>
      <c r="M913" t="n">
        <v>0</v>
      </c>
      <c r="N913" t="n">
        <v>0</v>
      </c>
      <c r="O913" t="n">
        <v>0</v>
      </c>
      <c r="P913" t="n">
        <v>0</v>
      </c>
      <c r="Q913" t="n">
        <v>0</v>
      </c>
      <c r="R913" s="2" t="inlineStr"/>
    </row>
    <row r="914" ht="15" customHeight="1">
      <c r="A914" t="inlineStr">
        <is>
          <t>A 3429-2022</t>
        </is>
      </c>
      <c r="B914" s="1" t="n">
        <v>44585</v>
      </c>
      <c r="C914" s="1" t="n">
        <v>46086</v>
      </c>
      <c r="D914" t="inlineStr">
        <is>
          <t>GÄVLEBORGS LÄN</t>
        </is>
      </c>
      <c r="E914" t="inlineStr">
        <is>
          <t>BOLLNÄS</t>
        </is>
      </c>
      <c r="G914" t="n">
        <v>0.6</v>
      </c>
      <c r="H914" t="n">
        <v>0</v>
      </c>
      <c r="I914" t="n">
        <v>0</v>
      </c>
      <c r="J914" t="n">
        <v>0</v>
      </c>
      <c r="K914" t="n">
        <v>0</v>
      </c>
      <c r="L914" t="n">
        <v>0</v>
      </c>
      <c r="M914" t="n">
        <v>0</v>
      </c>
      <c r="N914" t="n">
        <v>0</v>
      </c>
      <c r="O914" t="n">
        <v>0</v>
      </c>
      <c r="P914" t="n">
        <v>0</v>
      </c>
      <c r="Q914" t="n">
        <v>0</v>
      </c>
      <c r="R914" s="2" t="inlineStr"/>
    </row>
    <row r="915" ht="15" customHeight="1">
      <c r="A915" t="inlineStr">
        <is>
          <t>A 12358-2022</t>
        </is>
      </c>
      <c r="B915" s="1" t="n">
        <v>44637</v>
      </c>
      <c r="C915" s="1" t="n">
        <v>46086</v>
      </c>
      <c r="D915" t="inlineStr">
        <is>
          <t>GÄVLEBORGS LÄN</t>
        </is>
      </c>
      <c r="E915" t="inlineStr">
        <is>
          <t>SÖDERHAMN</t>
        </is>
      </c>
      <c r="G915" t="n">
        <v>2.5</v>
      </c>
      <c r="H915" t="n">
        <v>0</v>
      </c>
      <c r="I915" t="n">
        <v>0</v>
      </c>
      <c r="J915" t="n">
        <v>0</v>
      </c>
      <c r="K915" t="n">
        <v>0</v>
      </c>
      <c r="L915" t="n">
        <v>0</v>
      </c>
      <c r="M915" t="n">
        <v>0</v>
      </c>
      <c r="N915" t="n">
        <v>0</v>
      </c>
      <c r="O915" t="n">
        <v>0</v>
      </c>
      <c r="P915" t="n">
        <v>0</v>
      </c>
      <c r="Q915" t="n">
        <v>0</v>
      </c>
      <c r="R915" s="2" t="inlineStr"/>
    </row>
    <row r="916" ht="15" customHeight="1">
      <c r="A916" t="inlineStr">
        <is>
          <t>A 27992-2021</t>
        </is>
      </c>
      <c r="B916" s="1" t="n">
        <v>44355.22805555556</v>
      </c>
      <c r="C916" s="1" t="n">
        <v>46086</v>
      </c>
      <c r="D916" t="inlineStr">
        <is>
          <t>GÄVLEBORGS LÄN</t>
        </is>
      </c>
      <c r="E916" t="inlineStr">
        <is>
          <t>LJUSDAL</t>
        </is>
      </c>
      <c r="F916" t="inlineStr">
        <is>
          <t>Sveaskog</t>
        </is>
      </c>
      <c r="G916" t="n">
        <v>4.4</v>
      </c>
      <c r="H916" t="n">
        <v>0</v>
      </c>
      <c r="I916" t="n">
        <v>0</v>
      </c>
      <c r="J916" t="n">
        <v>0</v>
      </c>
      <c r="K916" t="n">
        <v>0</v>
      </c>
      <c r="L916" t="n">
        <v>0</v>
      </c>
      <c r="M916" t="n">
        <v>0</v>
      </c>
      <c r="N916" t="n">
        <v>0</v>
      </c>
      <c r="O916" t="n">
        <v>0</v>
      </c>
      <c r="P916" t="n">
        <v>0</v>
      </c>
      <c r="Q916" t="n">
        <v>0</v>
      </c>
      <c r="R916" s="2" t="inlineStr"/>
    </row>
    <row r="917" ht="15" customHeight="1">
      <c r="A917" t="inlineStr">
        <is>
          <t>A 32043-2021</t>
        </is>
      </c>
      <c r="B917" s="1" t="n">
        <v>44370.68188657407</v>
      </c>
      <c r="C917" s="1" t="n">
        <v>46086</v>
      </c>
      <c r="D917" t="inlineStr">
        <is>
          <t>GÄVLEBORGS LÄN</t>
        </is>
      </c>
      <c r="E917" t="inlineStr">
        <is>
          <t>NORDANSTIG</t>
        </is>
      </c>
      <c r="G917" t="n">
        <v>4.9</v>
      </c>
      <c r="H917" t="n">
        <v>0</v>
      </c>
      <c r="I917" t="n">
        <v>0</v>
      </c>
      <c r="J917" t="n">
        <v>0</v>
      </c>
      <c r="K917" t="n">
        <v>0</v>
      </c>
      <c r="L917" t="n">
        <v>0</v>
      </c>
      <c r="M917" t="n">
        <v>0</v>
      </c>
      <c r="N917" t="n">
        <v>0</v>
      </c>
      <c r="O917" t="n">
        <v>0</v>
      </c>
      <c r="P917" t="n">
        <v>0</v>
      </c>
      <c r="Q917" t="n">
        <v>0</v>
      </c>
      <c r="R917" s="2" t="inlineStr"/>
    </row>
    <row r="918" ht="15" customHeight="1">
      <c r="A918" t="inlineStr">
        <is>
          <t>A 12142-2021</t>
        </is>
      </c>
      <c r="B918" s="1" t="n">
        <v>44266.56960648148</v>
      </c>
      <c r="C918" s="1" t="n">
        <v>46086</v>
      </c>
      <c r="D918" t="inlineStr">
        <is>
          <t>GÄVLEBORGS LÄN</t>
        </is>
      </c>
      <c r="E918" t="inlineStr">
        <is>
          <t>HUDIKSVALL</t>
        </is>
      </c>
      <c r="F918" t="inlineStr">
        <is>
          <t>Holmen skog AB</t>
        </is>
      </c>
      <c r="G918" t="n">
        <v>2</v>
      </c>
      <c r="H918" t="n">
        <v>0</v>
      </c>
      <c r="I918" t="n">
        <v>0</v>
      </c>
      <c r="J918" t="n">
        <v>0</v>
      </c>
      <c r="K918" t="n">
        <v>0</v>
      </c>
      <c r="L918" t="n">
        <v>0</v>
      </c>
      <c r="M918" t="n">
        <v>0</v>
      </c>
      <c r="N918" t="n">
        <v>0</v>
      </c>
      <c r="O918" t="n">
        <v>0</v>
      </c>
      <c r="P918" t="n">
        <v>0</v>
      </c>
      <c r="Q918" t="n">
        <v>0</v>
      </c>
      <c r="R918" s="2" t="inlineStr"/>
    </row>
    <row r="919" ht="15" customHeight="1">
      <c r="A919" t="inlineStr">
        <is>
          <t>A 19976-2021</t>
        </is>
      </c>
      <c r="B919" s="1" t="n">
        <v>44313</v>
      </c>
      <c r="C919" s="1" t="n">
        <v>46086</v>
      </c>
      <c r="D919" t="inlineStr">
        <is>
          <t>GÄVLEBORGS LÄN</t>
        </is>
      </c>
      <c r="E919" t="inlineStr">
        <is>
          <t>LJUSDAL</t>
        </is>
      </c>
      <c r="F919" t="inlineStr">
        <is>
          <t>Sveaskog</t>
        </is>
      </c>
      <c r="G919" t="n">
        <v>40.1</v>
      </c>
      <c r="H919" t="n">
        <v>0</v>
      </c>
      <c r="I919" t="n">
        <v>0</v>
      </c>
      <c r="J919" t="n">
        <v>0</v>
      </c>
      <c r="K919" t="n">
        <v>0</v>
      </c>
      <c r="L919" t="n">
        <v>0</v>
      </c>
      <c r="M919" t="n">
        <v>0</v>
      </c>
      <c r="N919" t="n">
        <v>0</v>
      </c>
      <c r="O919" t="n">
        <v>0</v>
      </c>
      <c r="P919" t="n">
        <v>0</v>
      </c>
      <c r="Q919" t="n">
        <v>0</v>
      </c>
      <c r="R919" s="2" t="inlineStr"/>
    </row>
    <row r="920" ht="15" customHeight="1">
      <c r="A920" t="inlineStr">
        <is>
          <t>A 20101-2021</t>
        </is>
      </c>
      <c r="B920" s="1" t="n">
        <v>44314.44876157407</v>
      </c>
      <c r="C920" s="1" t="n">
        <v>46086</v>
      </c>
      <c r="D920" t="inlineStr">
        <is>
          <t>GÄVLEBORGS LÄN</t>
        </is>
      </c>
      <c r="E920" t="inlineStr">
        <is>
          <t>OVANÅKER</t>
        </is>
      </c>
      <c r="F920" t="inlineStr">
        <is>
          <t>Sveaskog</t>
        </is>
      </c>
      <c r="G920" t="n">
        <v>0.9</v>
      </c>
      <c r="H920" t="n">
        <v>0</v>
      </c>
      <c r="I920" t="n">
        <v>0</v>
      </c>
      <c r="J920" t="n">
        <v>0</v>
      </c>
      <c r="K920" t="n">
        <v>0</v>
      </c>
      <c r="L920" t="n">
        <v>0</v>
      </c>
      <c r="M920" t="n">
        <v>0</v>
      </c>
      <c r="N920" t="n">
        <v>0</v>
      </c>
      <c r="O920" t="n">
        <v>0</v>
      </c>
      <c r="P920" t="n">
        <v>0</v>
      </c>
      <c r="Q920" t="n">
        <v>0</v>
      </c>
      <c r="R920" s="2" t="inlineStr"/>
    </row>
    <row r="921" ht="15" customHeight="1">
      <c r="A921" t="inlineStr">
        <is>
          <t>A 27476-2021</t>
        </is>
      </c>
      <c r="B921" s="1" t="n">
        <v>44351.60512731481</v>
      </c>
      <c r="C921" s="1" t="n">
        <v>46086</v>
      </c>
      <c r="D921" t="inlineStr">
        <is>
          <t>GÄVLEBORGS LÄN</t>
        </is>
      </c>
      <c r="E921" t="inlineStr">
        <is>
          <t>GÄVLE</t>
        </is>
      </c>
      <c r="G921" t="n">
        <v>1.8</v>
      </c>
      <c r="H921" t="n">
        <v>0</v>
      </c>
      <c r="I921" t="n">
        <v>0</v>
      </c>
      <c r="J921" t="n">
        <v>0</v>
      </c>
      <c r="K921" t="n">
        <v>0</v>
      </c>
      <c r="L921" t="n">
        <v>0</v>
      </c>
      <c r="M921" t="n">
        <v>0</v>
      </c>
      <c r="N921" t="n">
        <v>0</v>
      </c>
      <c r="O921" t="n">
        <v>0</v>
      </c>
      <c r="P921" t="n">
        <v>0</v>
      </c>
      <c r="Q921" t="n">
        <v>0</v>
      </c>
      <c r="R921" s="2" t="inlineStr"/>
    </row>
    <row r="922" ht="15" customHeight="1">
      <c r="A922" t="inlineStr">
        <is>
          <t>A 39325-2022</t>
        </is>
      </c>
      <c r="B922" s="1" t="n">
        <v>44817</v>
      </c>
      <c r="C922" s="1" t="n">
        <v>46086</v>
      </c>
      <c r="D922" t="inlineStr">
        <is>
          <t>GÄVLEBORGS LÄN</t>
        </is>
      </c>
      <c r="E922" t="inlineStr">
        <is>
          <t>OCKELBO</t>
        </is>
      </c>
      <c r="F922" t="inlineStr">
        <is>
          <t>Bergvik skog väst AB</t>
        </is>
      </c>
      <c r="G922" t="n">
        <v>0.6</v>
      </c>
      <c r="H922" t="n">
        <v>0</v>
      </c>
      <c r="I922" t="n">
        <v>0</v>
      </c>
      <c r="J922" t="n">
        <v>0</v>
      </c>
      <c r="K922" t="n">
        <v>0</v>
      </c>
      <c r="L922" t="n">
        <v>0</v>
      </c>
      <c r="M922" t="n">
        <v>0</v>
      </c>
      <c r="N922" t="n">
        <v>0</v>
      </c>
      <c r="O922" t="n">
        <v>0</v>
      </c>
      <c r="P922" t="n">
        <v>0</v>
      </c>
      <c r="Q922" t="n">
        <v>0</v>
      </c>
      <c r="R922" s="2" t="inlineStr"/>
    </row>
    <row r="923" ht="15" customHeight="1">
      <c r="A923" t="inlineStr">
        <is>
          <t>A 40926-2021</t>
        </is>
      </c>
      <c r="B923" s="1" t="n">
        <v>44421</v>
      </c>
      <c r="C923" s="1" t="n">
        <v>46086</v>
      </c>
      <c r="D923" t="inlineStr">
        <is>
          <t>GÄVLEBORGS LÄN</t>
        </is>
      </c>
      <c r="E923" t="inlineStr">
        <is>
          <t>SANDVIKEN</t>
        </is>
      </c>
      <c r="F923" t="inlineStr">
        <is>
          <t>Naturvårdsverket</t>
        </is>
      </c>
      <c r="G923" t="n">
        <v>1.1</v>
      </c>
      <c r="H923" t="n">
        <v>0</v>
      </c>
      <c r="I923" t="n">
        <v>0</v>
      </c>
      <c r="J923" t="n">
        <v>0</v>
      </c>
      <c r="K923" t="n">
        <v>0</v>
      </c>
      <c r="L923" t="n">
        <v>0</v>
      </c>
      <c r="M923" t="n">
        <v>0</v>
      </c>
      <c r="N923" t="n">
        <v>0</v>
      </c>
      <c r="O923" t="n">
        <v>0</v>
      </c>
      <c r="P923" t="n">
        <v>0</v>
      </c>
      <c r="Q923" t="n">
        <v>0</v>
      </c>
      <c r="R923" s="2" t="inlineStr"/>
    </row>
    <row r="924" ht="15" customHeight="1">
      <c r="A924" t="inlineStr">
        <is>
          <t>A 50743-2022</t>
        </is>
      </c>
      <c r="B924" s="1" t="n">
        <v>44867.39114583333</v>
      </c>
      <c r="C924" s="1" t="n">
        <v>46086</v>
      </c>
      <c r="D924" t="inlineStr">
        <is>
          <t>GÄVLEBORGS LÄN</t>
        </is>
      </c>
      <c r="E924" t="inlineStr">
        <is>
          <t>LJUSDAL</t>
        </is>
      </c>
      <c r="F924" t="inlineStr">
        <is>
          <t>Kommuner</t>
        </is>
      </c>
      <c r="G924" t="n">
        <v>0.6</v>
      </c>
      <c r="H924" t="n">
        <v>0</v>
      </c>
      <c r="I924" t="n">
        <v>0</v>
      </c>
      <c r="J924" t="n">
        <v>0</v>
      </c>
      <c r="K924" t="n">
        <v>0</v>
      </c>
      <c r="L924" t="n">
        <v>0</v>
      </c>
      <c r="M924" t="n">
        <v>0</v>
      </c>
      <c r="N924" t="n">
        <v>0</v>
      </c>
      <c r="O924" t="n">
        <v>0</v>
      </c>
      <c r="P924" t="n">
        <v>0</v>
      </c>
      <c r="Q924" t="n">
        <v>0</v>
      </c>
      <c r="R924" s="2" t="inlineStr"/>
    </row>
    <row r="925" ht="15" customHeight="1">
      <c r="A925" t="inlineStr">
        <is>
          <t>A 51252-2022</t>
        </is>
      </c>
      <c r="B925" s="1" t="n">
        <v>44868</v>
      </c>
      <c r="C925" s="1" t="n">
        <v>46086</v>
      </c>
      <c r="D925" t="inlineStr">
        <is>
          <t>GÄVLEBORGS LÄN</t>
        </is>
      </c>
      <c r="E925" t="inlineStr">
        <is>
          <t>OVANÅKER</t>
        </is>
      </c>
      <c r="G925" t="n">
        <v>1.2</v>
      </c>
      <c r="H925" t="n">
        <v>0</v>
      </c>
      <c r="I925" t="n">
        <v>0</v>
      </c>
      <c r="J925" t="n">
        <v>0</v>
      </c>
      <c r="K925" t="n">
        <v>0</v>
      </c>
      <c r="L925" t="n">
        <v>0</v>
      </c>
      <c r="M925" t="n">
        <v>0</v>
      </c>
      <c r="N925" t="n">
        <v>0</v>
      </c>
      <c r="O925" t="n">
        <v>0</v>
      </c>
      <c r="P925" t="n">
        <v>0</v>
      </c>
      <c r="Q925" t="n">
        <v>0</v>
      </c>
      <c r="R925" s="2" t="inlineStr"/>
    </row>
    <row r="926" ht="15" customHeight="1">
      <c r="A926" t="inlineStr">
        <is>
          <t>A 37701-2021</t>
        </is>
      </c>
      <c r="B926" s="1" t="n">
        <v>44400.53994212963</v>
      </c>
      <c r="C926" s="1" t="n">
        <v>46086</v>
      </c>
      <c r="D926" t="inlineStr">
        <is>
          <t>GÄVLEBORGS LÄN</t>
        </is>
      </c>
      <c r="E926" t="inlineStr">
        <is>
          <t>OCKELBO</t>
        </is>
      </c>
      <c r="G926" t="n">
        <v>6.3</v>
      </c>
      <c r="H926" t="n">
        <v>0</v>
      </c>
      <c r="I926" t="n">
        <v>0</v>
      </c>
      <c r="J926" t="n">
        <v>0</v>
      </c>
      <c r="K926" t="n">
        <v>0</v>
      </c>
      <c r="L926" t="n">
        <v>0</v>
      </c>
      <c r="M926" t="n">
        <v>0</v>
      </c>
      <c r="N926" t="n">
        <v>0</v>
      </c>
      <c r="O926" t="n">
        <v>0</v>
      </c>
      <c r="P926" t="n">
        <v>0</v>
      </c>
      <c r="Q926" t="n">
        <v>0</v>
      </c>
      <c r="R926" s="2" t="inlineStr"/>
    </row>
    <row r="927" ht="15" customHeight="1">
      <c r="A927" t="inlineStr">
        <is>
          <t>A 43441-2021</t>
        </is>
      </c>
      <c r="B927" s="1" t="n">
        <v>44432.66142361111</v>
      </c>
      <c r="C927" s="1" t="n">
        <v>46086</v>
      </c>
      <c r="D927" t="inlineStr">
        <is>
          <t>GÄVLEBORGS LÄN</t>
        </is>
      </c>
      <c r="E927" t="inlineStr">
        <is>
          <t>NORDANSTIG</t>
        </is>
      </c>
      <c r="G927" t="n">
        <v>1.2</v>
      </c>
      <c r="H927" t="n">
        <v>0</v>
      </c>
      <c r="I927" t="n">
        <v>0</v>
      </c>
      <c r="J927" t="n">
        <v>0</v>
      </c>
      <c r="K927" t="n">
        <v>0</v>
      </c>
      <c r="L927" t="n">
        <v>0</v>
      </c>
      <c r="M927" t="n">
        <v>0</v>
      </c>
      <c r="N927" t="n">
        <v>0</v>
      </c>
      <c r="O927" t="n">
        <v>0</v>
      </c>
      <c r="P927" t="n">
        <v>0</v>
      </c>
      <c r="Q927" t="n">
        <v>0</v>
      </c>
      <c r="R927" s="2" t="inlineStr"/>
    </row>
    <row r="928" ht="15" customHeight="1">
      <c r="A928" t="inlineStr">
        <is>
          <t>A 66758-2021</t>
        </is>
      </c>
      <c r="B928" s="1" t="n">
        <v>44521.80271990741</v>
      </c>
      <c r="C928" s="1" t="n">
        <v>46086</v>
      </c>
      <c r="D928" t="inlineStr">
        <is>
          <t>GÄVLEBORGS LÄN</t>
        </is>
      </c>
      <c r="E928" t="inlineStr">
        <is>
          <t>HUDIKSVALL</t>
        </is>
      </c>
      <c r="G928" t="n">
        <v>0.5</v>
      </c>
      <c r="H928" t="n">
        <v>0</v>
      </c>
      <c r="I928" t="n">
        <v>0</v>
      </c>
      <c r="J928" t="n">
        <v>0</v>
      </c>
      <c r="K928" t="n">
        <v>0</v>
      </c>
      <c r="L928" t="n">
        <v>0</v>
      </c>
      <c r="M928" t="n">
        <v>0</v>
      </c>
      <c r="N928" t="n">
        <v>0</v>
      </c>
      <c r="O928" t="n">
        <v>0</v>
      </c>
      <c r="P928" t="n">
        <v>0</v>
      </c>
      <c r="Q928" t="n">
        <v>0</v>
      </c>
      <c r="R928" s="2" t="inlineStr"/>
    </row>
    <row r="929" ht="15" customHeight="1">
      <c r="A929" t="inlineStr">
        <is>
          <t>A 67716-2021</t>
        </is>
      </c>
      <c r="B929" s="1" t="n">
        <v>44525</v>
      </c>
      <c r="C929" s="1" t="n">
        <v>46086</v>
      </c>
      <c r="D929" t="inlineStr">
        <is>
          <t>GÄVLEBORGS LÄN</t>
        </is>
      </c>
      <c r="E929" t="inlineStr">
        <is>
          <t>NORDANSTIG</t>
        </is>
      </c>
      <c r="F929" t="inlineStr">
        <is>
          <t>Holmen skog AB</t>
        </is>
      </c>
      <c r="G929" t="n">
        <v>7.4</v>
      </c>
      <c r="H929" t="n">
        <v>0</v>
      </c>
      <c r="I929" t="n">
        <v>0</v>
      </c>
      <c r="J929" t="n">
        <v>0</v>
      </c>
      <c r="K929" t="n">
        <v>0</v>
      </c>
      <c r="L929" t="n">
        <v>0</v>
      </c>
      <c r="M929" t="n">
        <v>0</v>
      </c>
      <c r="N929" t="n">
        <v>0</v>
      </c>
      <c r="O929" t="n">
        <v>0</v>
      </c>
      <c r="P929" t="n">
        <v>0</v>
      </c>
      <c r="Q929" t="n">
        <v>0</v>
      </c>
      <c r="R929" s="2" t="inlineStr"/>
    </row>
    <row r="930" ht="15" customHeight="1">
      <c r="A930" t="inlineStr">
        <is>
          <t>A 60689-2021</t>
        </is>
      </c>
      <c r="B930" s="1" t="n">
        <v>44496.66270833334</v>
      </c>
      <c r="C930" s="1" t="n">
        <v>46086</v>
      </c>
      <c r="D930" t="inlineStr">
        <is>
          <t>GÄVLEBORGS LÄN</t>
        </is>
      </c>
      <c r="E930" t="inlineStr">
        <is>
          <t>LJUSDAL</t>
        </is>
      </c>
      <c r="G930" t="n">
        <v>2.6</v>
      </c>
      <c r="H930" t="n">
        <v>0</v>
      </c>
      <c r="I930" t="n">
        <v>0</v>
      </c>
      <c r="J930" t="n">
        <v>0</v>
      </c>
      <c r="K930" t="n">
        <v>0</v>
      </c>
      <c r="L930" t="n">
        <v>0</v>
      </c>
      <c r="M930" t="n">
        <v>0</v>
      </c>
      <c r="N930" t="n">
        <v>0</v>
      </c>
      <c r="O930" t="n">
        <v>0</v>
      </c>
      <c r="P930" t="n">
        <v>0</v>
      </c>
      <c r="Q930" t="n">
        <v>0</v>
      </c>
      <c r="R930" s="2" t="inlineStr"/>
    </row>
    <row r="931" ht="15" customHeight="1">
      <c r="A931" t="inlineStr">
        <is>
          <t>A 18483-2021</t>
        </is>
      </c>
      <c r="B931" s="1" t="n">
        <v>44306.37357638889</v>
      </c>
      <c r="C931" s="1" t="n">
        <v>46086</v>
      </c>
      <c r="D931" t="inlineStr">
        <is>
          <t>GÄVLEBORGS LÄN</t>
        </is>
      </c>
      <c r="E931" t="inlineStr">
        <is>
          <t>SANDVIKEN</t>
        </is>
      </c>
      <c r="G931" t="n">
        <v>1.1</v>
      </c>
      <c r="H931" t="n">
        <v>0</v>
      </c>
      <c r="I931" t="n">
        <v>0</v>
      </c>
      <c r="J931" t="n">
        <v>0</v>
      </c>
      <c r="K931" t="n">
        <v>0</v>
      </c>
      <c r="L931" t="n">
        <v>0</v>
      </c>
      <c r="M931" t="n">
        <v>0</v>
      </c>
      <c r="N931" t="n">
        <v>0</v>
      </c>
      <c r="O931" t="n">
        <v>0</v>
      </c>
      <c r="P931" t="n">
        <v>0</v>
      </c>
      <c r="Q931" t="n">
        <v>0</v>
      </c>
      <c r="R931" s="2" t="inlineStr"/>
    </row>
    <row r="932" ht="15" customHeight="1">
      <c r="A932" t="inlineStr">
        <is>
          <t>A 44382-2021</t>
        </is>
      </c>
      <c r="B932" s="1" t="n">
        <v>44435.47162037037</v>
      </c>
      <c r="C932" s="1" t="n">
        <v>46086</v>
      </c>
      <c r="D932" t="inlineStr">
        <is>
          <t>GÄVLEBORGS LÄN</t>
        </is>
      </c>
      <c r="E932" t="inlineStr">
        <is>
          <t>LJUSDAL</t>
        </is>
      </c>
      <c r="F932" t="inlineStr">
        <is>
          <t>Sveaskog</t>
        </is>
      </c>
      <c r="G932" t="n">
        <v>6.6</v>
      </c>
      <c r="H932" t="n">
        <v>0</v>
      </c>
      <c r="I932" t="n">
        <v>0</v>
      </c>
      <c r="J932" t="n">
        <v>0</v>
      </c>
      <c r="K932" t="n">
        <v>0</v>
      </c>
      <c r="L932" t="n">
        <v>0</v>
      </c>
      <c r="M932" t="n">
        <v>0</v>
      </c>
      <c r="N932" t="n">
        <v>0</v>
      </c>
      <c r="O932" t="n">
        <v>0</v>
      </c>
      <c r="P932" t="n">
        <v>0</v>
      </c>
      <c r="Q932" t="n">
        <v>0</v>
      </c>
      <c r="R932" s="2" t="inlineStr"/>
    </row>
    <row r="933" ht="15" customHeight="1">
      <c r="A933" t="inlineStr">
        <is>
          <t>A 59810-2021</t>
        </is>
      </c>
      <c r="B933" s="1" t="n">
        <v>44494</v>
      </c>
      <c r="C933" s="1" t="n">
        <v>46086</v>
      </c>
      <c r="D933" t="inlineStr">
        <is>
          <t>GÄVLEBORGS LÄN</t>
        </is>
      </c>
      <c r="E933" t="inlineStr">
        <is>
          <t>GÄVLE</t>
        </is>
      </c>
      <c r="G933" t="n">
        <v>2.3</v>
      </c>
      <c r="H933" t="n">
        <v>0</v>
      </c>
      <c r="I933" t="n">
        <v>0</v>
      </c>
      <c r="J933" t="n">
        <v>0</v>
      </c>
      <c r="K933" t="n">
        <v>0</v>
      </c>
      <c r="L933" t="n">
        <v>0</v>
      </c>
      <c r="M933" t="n">
        <v>0</v>
      </c>
      <c r="N933" t="n">
        <v>0</v>
      </c>
      <c r="O933" t="n">
        <v>0</v>
      </c>
      <c r="P933" t="n">
        <v>0</v>
      </c>
      <c r="Q933" t="n">
        <v>0</v>
      </c>
      <c r="R933" s="2" t="inlineStr"/>
    </row>
    <row r="934" ht="15" customHeight="1">
      <c r="A934" t="inlineStr">
        <is>
          <t>A 73750-2021</t>
        </is>
      </c>
      <c r="B934" s="1" t="n">
        <v>44552</v>
      </c>
      <c r="C934" s="1" t="n">
        <v>46086</v>
      </c>
      <c r="D934" t="inlineStr">
        <is>
          <t>GÄVLEBORGS LÄN</t>
        </is>
      </c>
      <c r="E934" t="inlineStr">
        <is>
          <t>LJUSDAL</t>
        </is>
      </c>
      <c r="G934" t="n">
        <v>1.4</v>
      </c>
      <c r="H934" t="n">
        <v>0</v>
      </c>
      <c r="I934" t="n">
        <v>0</v>
      </c>
      <c r="J934" t="n">
        <v>0</v>
      </c>
      <c r="K934" t="n">
        <v>0</v>
      </c>
      <c r="L934" t="n">
        <v>0</v>
      </c>
      <c r="M934" t="n">
        <v>0</v>
      </c>
      <c r="N934" t="n">
        <v>0</v>
      </c>
      <c r="O934" t="n">
        <v>0</v>
      </c>
      <c r="P934" t="n">
        <v>0</v>
      </c>
      <c r="Q934" t="n">
        <v>0</v>
      </c>
      <c r="R934" s="2" t="inlineStr"/>
    </row>
    <row r="935" ht="15" customHeight="1">
      <c r="A935" t="inlineStr">
        <is>
          <t>A 3868-2022</t>
        </is>
      </c>
      <c r="B935" s="1" t="n">
        <v>44587</v>
      </c>
      <c r="C935" s="1" t="n">
        <v>46086</v>
      </c>
      <c r="D935" t="inlineStr">
        <is>
          <t>GÄVLEBORGS LÄN</t>
        </is>
      </c>
      <c r="E935" t="inlineStr">
        <is>
          <t>LJUSDAL</t>
        </is>
      </c>
      <c r="F935" t="inlineStr">
        <is>
          <t>Sveaskog</t>
        </is>
      </c>
      <c r="G935" t="n">
        <v>0.2</v>
      </c>
      <c r="H935" t="n">
        <v>0</v>
      </c>
      <c r="I935" t="n">
        <v>0</v>
      </c>
      <c r="J935" t="n">
        <v>0</v>
      </c>
      <c r="K935" t="n">
        <v>0</v>
      </c>
      <c r="L935" t="n">
        <v>0</v>
      </c>
      <c r="M935" t="n">
        <v>0</v>
      </c>
      <c r="N935" t="n">
        <v>0</v>
      </c>
      <c r="O935" t="n">
        <v>0</v>
      </c>
      <c r="P935" t="n">
        <v>0</v>
      </c>
      <c r="Q935" t="n">
        <v>0</v>
      </c>
      <c r="R935" s="2" t="inlineStr"/>
    </row>
    <row r="936" ht="15" customHeight="1">
      <c r="A936" t="inlineStr">
        <is>
          <t>A 51721-2021</t>
        </is>
      </c>
      <c r="B936" s="1" t="n">
        <v>44462</v>
      </c>
      <c r="C936" s="1" t="n">
        <v>46086</v>
      </c>
      <c r="D936" t="inlineStr">
        <is>
          <t>GÄVLEBORGS LÄN</t>
        </is>
      </c>
      <c r="E936" t="inlineStr">
        <is>
          <t>NORDANSTIG</t>
        </is>
      </c>
      <c r="F936" t="inlineStr">
        <is>
          <t>Holmen skog AB</t>
        </is>
      </c>
      <c r="G936" t="n">
        <v>1.6</v>
      </c>
      <c r="H936" t="n">
        <v>0</v>
      </c>
      <c r="I936" t="n">
        <v>0</v>
      </c>
      <c r="J936" t="n">
        <v>0</v>
      </c>
      <c r="K936" t="n">
        <v>0</v>
      </c>
      <c r="L936" t="n">
        <v>0</v>
      </c>
      <c r="M936" t="n">
        <v>0</v>
      </c>
      <c r="N936" t="n">
        <v>0</v>
      </c>
      <c r="O936" t="n">
        <v>0</v>
      </c>
      <c r="P936" t="n">
        <v>0</v>
      </c>
      <c r="Q936" t="n">
        <v>0</v>
      </c>
      <c r="R936" s="2" t="inlineStr"/>
    </row>
    <row r="937" ht="15" customHeight="1">
      <c r="A937" t="inlineStr">
        <is>
          <t>A 45879-2021</t>
        </is>
      </c>
      <c r="B937" s="1" t="n">
        <v>44441.58484953704</v>
      </c>
      <c r="C937" s="1" t="n">
        <v>46086</v>
      </c>
      <c r="D937" t="inlineStr">
        <is>
          <t>GÄVLEBORGS LÄN</t>
        </is>
      </c>
      <c r="E937" t="inlineStr">
        <is>
          <t>NORDANSTIG</t>
        </is>
      </c>
      <c r="F937" t="inlineStr">
        <is>
          <t>Holmen skog AB</t>
        </is>
      </c>
      <c r="G937" t="n">
        <v>13.6</v>
      </c>
      <c r="H937" t="n">
        <v>0</v>
      </c>
      <c r="I937" t="n">
        <v>0</v>
      </c>
      <c r="J937" t="n">
        <v>0</v>
      </c>
      <c r="K937" t="n">
        <v>0</v>
      </c>
      <c r="L937" t="n">
        <v>0</v>
      </c>
      <c r="M937" t="n">
        <v>0</v>
      </c>
      <c r="N937" t="n">
        <v>0</v>
      </c>
      <c r="O937" t="n">
        <v>0</v>
      </c>
      <c r="P937" t="n">
        <v>0</v>
      </c>
      <c r="Q937" t="n">
        <v>0</v>
      </c>
      <c r="R937" s="2" t="inlineStr"/>
    </row>
    <row r="938" ht="15" customHeight="1">
      <c r="A938" t="inlineStr">
        <is>
          <t>A 11826-2021</t>
        </is>
      </c>
      <c r="B938" s="1" t="n">
        <v>44265.5718287037</v>
      </c>
      <c r="C938" s="1" t="n">
        <v>46086</v>
      </c>
      <c r="D938" t="inlineStr">
        <is>
          <t>GÄVLEBORGS LÄN</t>
        </is>
      </c>
      <c r="E938" t="inlineStr">
        <is>
          <t>SÖDERHAMN</t>
        </is>
      </c>
      <c r="G938" t="n">
        <v>1.4</v>
      </c>
      <c r="H938" t="n">
        <v>0</v>
      </c>
      <c r="I938" t="n">
        <v>0</v>
      </c>
      <c r="J938" t="n">
        <v>0</v>
      </c>
      <c r="K938" t="n">
        <v>0</v>
      </c>
      <c r="L938" t="n">
        <v>0</v>
      </c>
      <c r="M938" t="n">
        <v>0</v>
      </c>
      <c r="N938" t="n">
        <v>0</v>
      </c>
      <c r="O938" t="n">
        <v>0</v>
      </c>
      <c r="P938" t="n">
        <v>0</v>
      </c>
      <c r="Q938" t="n">
        <v>0</v>
      </c>
      <c r="R938" s="2" t="inlineStr"/>
    </row>
    <row r="939" ht="15" customHeight="1">
      <c r="A939" t="inlineStr">
        <is>
          <t>A 25238-2022</t>
        </is>
      </c>
      <c r="B939" s="1" t="n">
        <v>44729</v>
      </c>
      <c r="C939" s="1" t="n">
        <v>46086</v>
      </c>
      <c r="D939" t="inlineStr">
        <is>
          <t>GÄVLEBORGS LÄN</t>
        </is>
      </c>
      <c r="E939" t="inlineStr">
        <is>
          <t>BOLLNÄS</t>
        </is>
      </c>
      <c r="F939" t="inlineStr">
        <is>
          <t>Bergvik skog väst AB</t>
        </is>
      </c>
      <c r="G939" t="n">
        <v>2.2</v>
      </c>
      <c r="H939" t="n">
        <v>0</v>
      </c>
      <c r="I939" t="n">
        <v>0</v>
      </c>
      <c r="J939" t="n">
        <v>0</v>
      </c>
      <c r="K939" t="n">
        <v>0</v>
      </c>
      <c r="L939" t="n">
        <v>0</v>
      </c>
      <c r="M939" t="n">
        <v>0</v>
      </c>
      <c r="N939" t="n">
        <v>0</v>
      </c>
      <c r="O939" t="n">
        <v>0</v>
      </c>
      <c r="P939" t="n">
        <v>0</v>
      </c>
      <c r="Q939" t="n">
        <v>0</v>
      </c>
      <c r="R939" s="2" t="inlineStr"/>
    </row>
    <row r="940" ht="15" customHeight="1">
      <c r="A940" t="inlineStr">
        <is>
          <t>A 46642-2021</t>
        </is>
      </c>
      <c r="B940" s="1" t="n">
        <v>44445</v>
      </c>
      <c r="C940" s="1" t="n">
        <v>46086</v>
      </c>
      <c r="D940" t="inlineStr">
        <is>
          <t>GÄVLEBORGS LÄN</t>
        </is>
      </c>
      <c r="E940" t="inlineStr">
        <is>
          <t>LJUSDAL</t>
        </is>
      </c>
      <c r="F940" t="inlineStr">
        <is>
          <t>Sveaskog</t>
        </is>
      </c>
      <c r="G940" t="n">
        <v>2.9</v>
      </c>
      <c r="H940" t="n">
        <v>0</v>
      </c>
      <c r="I940" t="n">
        <v>0</v>
      </c>
      <c r="J940" t="n">
        <v>0</v>
      </c>
      <c r="K940" t="n">
        <v>0</v>
      </c>
      <c r="L940" t="n">
        <v>0</v>
      </c>
      <c r="M940" t="n">
        <v>0</v>
      </c>
      <c r="N940" t="n">
        <v>0</v>
      </c>
      <c r="O940" t="n">
        <v>0</v>
      </c>
      <c r="P940" t="n">
        <v>0</v>
      </c>
      <c r="Q940" t="n">
        <v>0</v>
      </c>
      <c r="R940" s="2" t="inlineStr"/>
      <c r="U940">
        <f>HYPERLINK("https://klasma.github.io/Logging_2161/knärot/A 46642-2021 karta knärot.png", "A 46642-2021")</f>
        <v/>
      </c>
      <c r="V940">
        <f>HYPERLINK("https://klasma.github.io/Logging_2161/klagomål/A 46642-2021 FSC-klagomål.docx", "A 46642-2021")</f>
        <v/>
      </c>
      <c r="W940">
        <f>HYPERLINK("https://klasma.github.io/Logging_2161/klagomålsmail/A 46642-2021 FSC-klagomål mail.docx", "A 46642-2021")</f>
        <v/>
      </c>
      <c r="X940">
        <f>HYPERLINK("https://klasma.github.io/Logging_2161/tillsyn/A 46642-2021 tillsynsbegäran.docx", "A 46642-2021")</f>
        <v/>
      </c>
      <c r="Y940">
        <f>HYPERLINK("https://klasma.github.io/Logging_2161/tillsynsmail/A 46642-2021 tillsynsbegäran mail.docx", "A 46642-2021")</f>
        <v/>
      </c>
    </row>
    <row r="941" ht="15" customHeight="1">
      <c r="A941" t="inlineStr">
        <is>
          <t>A 52839-2021</t>
        </is>
      </c>
      <c r="B941" s="1" t="n">
        <v>44467.4345949074</v>
      </c>
      <c r="C941" s="1" t="n">
        <v>46086</v>
      </c>
      <c r="D941" t="inlineStr">
        <is>
          <t>GÄVLEBORGS LÄN</t>
        </is>
      </c>
      <c r="E941" t="inlineStr">
        <is>
          <t>LJUSDAL</t>
        </is>
      </c>
      <c r="F941" t="inlineStr">
        <is>
          <t>Holmen skog AB</t>
        </is>
      </c>
      <c r="G941" t="n">
        <v>14.9</v>
      </c>
      <c r="H941" t="n">
        <v>0</v>
      </c>
      <c r="I941" t="n">
        <v>0</v>
      </c>
      <c r="J941" t="n">
        <v>0</v>
      </c>
      <c r="K941" t="n">
        <v>0</v>
      </c>
      <c r="L941" t="n">
        <v>0</v>
      </c>
      <c r="M941" t="n">
        <v>0</v>
      </c>
      <c r="N941" t="n">
        <v>0</v>
      </c>
      <c r="O941" t="n">
        <v>0</v>
      </c>
      <c r="P941" t="n">
        <v>0</v>
      </c>
      <c r="Q941" t="n">
        <v>0</v>
      </c>
      <c r="R941" s="2" t="inlineStr"/>
    </row>
    <row r="942" ht="15" customHeight="1">
      <c r="A942" t="inlineStr">
        <is>
          <t>A 34419-2022</t>
        </is>
      </c>
      <c r="B942" s="1" t="n">
        <v>44792</v>
      </c>
      <c r="C942" s="1" t="n">
        <v>46086</v>
      </c>
      <c r="D942" t="inlineStr">
        <is>
          <t>GÄVLEBORGS LÄN</t>
        </is>
      </c>
      <c r="E942" t="inlineStr">
        <is>
          <t>LJUSDAL</t>
        </is>
      </c>
      <c r="F942" t="inlineStr">
        <is>
          <t>Sveaskog</t>
        </is>
      </c>
      <c r="G942" t="n">
        <v>3.6</v>
      </c>
      <c r="H942" t="n">
        <v>0</v>
      </c>
      <c r="I942" t="n">
        <v>0</v>
      </c>
      <c r="J942" t="n">
        <v>0</v>
      </c>
      <c r="K942" t="n">
        <v>0</v>
      </c>
      <c r="L942" t="n">
        <v>0</v>
      </c>
      <c r="M942" t="n">
        <v>0</v>
      </c>
      <c r="N942" t="n">
        <v>0</v>
      </c>
      <c r="O942" t="n">
        <v>0</v>
      </c>
      <c r="P942" t="n">
        <v>0</v>
      </c>
      <c r="Q942" t="n">
        <v>0</v>
      </c>
      <c r="R942" s="2" t="inlineStr"/>
    </row>
    <row r="943" ht="15" customHeight="1">
      <c r="A943" t="inlineStr">
        <is>
          <t>A 1306-2022</t>
        </is>
      </c>
      <c r="B943" s="1" t="n">
        <v>44572</v>
      </c>
      <c r="C943" s="1" t="n">
        <v>46086</v>
      </c>
      <c r="D943" t="inlineStr">
        <is>
          <t>GÄVLEBORGS LÄN</t>
        </is>
      </c>
      <c r="E943" t="inlineStr">
        <is>
          <t>BOLLNÄS</t>
        </is>
      </c>
      <c r="G943" t="n">
        <v>1.6</v>
      </c>
      <c r="H943" t="n">
        <v>0</v>
      </c>
      <c r="I943" t="n">
        <v>0</v>
      </c>
      <c r="J943" t="n">
        <v>0</v>
      </c>
      <c r="K943" t="n">
        <v>0</v>
      </c>
      <c r="L943" t="n">
        <v>0</v>
      </c>
      <c r="M943" t="n">
        <v>0</v>
      </c>
      <c r="N943" t="n">
        <v>0</v>
      </c>
      <c r="O943" t="n">
        <v>0</v>
      </c>
      <c r="P943" t="n">
        <v>0</v>
      </c>
      <c r="Q943" t="n">
        <v>0</v>
      </c>
      <c r="R943" s="2" t="inlineStr"/>
    </row>
    <row r="944" ht="15" customHeight="1">
      <c r="A944" t="inlineStr">
        <is>
          <t>A 47632-2021</t>
        </is>
      </c>
      <c r="B944" s="1" t="n">
        <v>44448</v>
      </c>
      <c r="C944" s="1" t="n">
        <v>46086</v>
      </c>
      <c r="D944" t="inlineStr">
        <is>
          <t>GÄVLEBORGS LÄN</t>
        </is>
      </c>
      <c r="E944" t="inlineStr">
        <is>
          <t>SANDVIKEN</t>
        </is>
      </c>
      <c r="F944" t="inlineStr">
        <is>
          <t>Sveaskog</t>
        </is>
      </c>
      <c r="G944" t="n">
        <v>0.7</v>
      </c>
      <c r="H944" t="n">
        <v>0</v>
      </c>
      <c r="I944" t="n">
        <v>0</v>
      </c>
      <c r="J944" t="n">
        <v>0</v>
      </c>
      <c r="K944" t="n">
        <v>0</v>
      </c>
      <c r="L944" t="n">
        <v>0</v>
      </c>
      <c r="M944" t="n">
        <v>0</v>
      </c>
      <c r="N944" t="n">
        <v>0</v>
      </c>
      <c r="O944" t="n">
        <v>0</v>
      </c>
      <c r="P944" t="n">
        <v>0</v>
      </c>
      <c r="Q944" t="n">
        <v>0</v>
      </c>
      <c r="R944" s="2" t="inlineStr"/>
    </row>
    <row r="945" ht="15" customHeight="1">
      <c r="A945" t="inlineStr">
        <is>
          <t>A 43875-2022</t>
        </is>
      </c>
      <c r="B945" s="1" t="n">
        <v>44837</v>
      </c>
      <c r="C945" s="1" t="n">
        <v>46086</v>
      </c>
      <c r="D945" t="inlineStr">
        <is>
          <t>GÄVLEBORGS LÄN</t>
        </is>
      </c>
      <c r="E945" t="inlineStr">
        <is>
          <t>SÖDERHAMN</t>
        </is>
      </c>
      <c r="G945" t="n">
        <v>15.1</v>
      </c>
      <c r="H945" t="n">
        <v>0</v>
      </c>
      <c r="I945" t="n">
        <v>0</v>
      </c>
      <c r="J945" t="n">
        <v>0</v>
      </c>
      <c r="K945" t="n">
        <v>0</v>
      </c>
      <c r="L945" t="n">
        <v>0</v>
      </c>
      <c r="M945" t="n">
        <v>0</v>
      </c>
      <c r="N945" t="n">
        <v>0</v>
      </c>
      <c r="O945" t="n">
        <v>0</v>
      </c>
      <c r="P945" t="n">
        <v>0</v>
      </c>
      <c r="Q945" t="n">
        <v>0</v>
      </c>
      <c r="R945" s="2" t="inlineStr"/>
    </row>
    <row r="946" ht="15" customHeight="1">
      <c r="A946" t="inlineStr">
        <is>
          <t>A 7095-2022</t>
        </is>
      </c>
      <c r="B946" s="1" t="n">
        <v>44603.60409722223</v>
      </c>
      <c r="C946" s="1" t="n">
        <v>46086</v>
      </c>
      <c r="D946" t="inlineStr">
        <is>
          <t>GÄVLEBORGS LÄN</t>
        </is>
      </c>
      <c r="E946" t="inlineStr">
        <is>
          <t>BOLLNÄS</t>
        </is>
      </c>
      <c r="G946" t="n">
        <v>4.1</v>
      </c>
      <c r="H946" t="n">
        <v>0</v>
      </c>
      <c r="I946" t="n">
        <v>0</v>
      </c>
      <c r="J946" t="n">
        <v>0</v>
      </c>
      <c r="K946" t="n">
        <v>0</v>
      </c>
      <c r="L946" t="n">
        <v>0</v>
      </c>
      <c r="M946" t="n">
        <v>0</v>
      </c>
      <c r="N946" t="n">
        <v>0</v>
      </c>
      <c r="O946" t="n">
        <v>0</v>
      </c>
      <c r="P946" t="n">
        <v>0</v>
      </c>
      <c r="Q946" t="n">
        <v>0</v>
      </c>
      <c r="R946" s="2" t="inlineStr"/>
    </row>
    <row r="947" ht="15" customHeight="1">
      <c r="A947" t="inlineStr">
        <is>
          <t>A 7096-2022</t>
        </is>
      </c>
      <c r="B947" s="1" t="n">
        <v>44603.60658564815</v>
      </c>
      <c r="C947" s="1" t="n">
        <v>46086</v>
      </c>
      <c r="D947" t="inlineStr">
        <is>
          <t>GÄVLEBORGS LÄN</t>
        </is>
      </c>
      <c r="E947" t="inlineStr">
        <is>
          <t>BOLLNÄS</t>
        </is>
      </c>
      <c r="G947" t="n">
        <v>1.7</v>
      </c>
      <c r="H947" t="n">
        <v>0</v>
      </c>
      <c r="I947" t="n">
        <v>0</v>
      </c>
      <c r="J947" t="n">
        <v>0</v>
      </c>
      <c r="K947" t="n">
        <v>0</v>
      </c>
      <c r="L947" t="n">
        <v>0</v>
      </c>
      <c r="M947" t="n">
        <v>0</v>
      </c>
      <c r="N947" t="n">
        <v>0</v>
      </c>
      <c r="O947" t="n">
        <v>0</v>
      </c>
      <c r="P947" t="n">
        <v>0</v>
      </c>
      <c r="Q947" t="n">
        <v>0</v>
      </c>
      <c r="R947" s="2" t="inlineStr"/>
    </row>
    <row r="948" ht="15" customHeight="1">
      <c r="A948" t="inlineStr">
        <is>
          <t>A 7099-2022</t>
        </is>
      </c>
      <c r="B948" s="1" t="n">
        <v>44603.6125925926</v>
      </c>
      <c r="C948" s="1" t="n">
        <v>46086</v>
      </c>
      <c r="D948" t="inlineStr">
        <is>
          <t>GÄVLEBORGS LÄN</t>
        </is>
      </c>
      <c r="E948" t="inlineStr">
        <is>
          <t>BOLLNÄS</t>
        </is>
      </c>
      <c r="G948" t="n">
        <v>1.3</v>
      </c>
      <c r="H948" t="n">
        <v>0</v>
      </c>
      <c r="I948" t="n">
        <v>0</v>
      </c>
      <c r="J948" t="n">
        <v>0</v>
      </c>
      <c r="K948" t="n">
        <v>0</v>
      </c>
      <c r="L948" t="n">
        <v>0</v>
      </c>
      <c r="M948" t="n">
        <v>0</v>
      </c>
      <c r="N948" t="n">
        <v>0</v>
      </c>
      <c r="O948" t="n">
        <v>0</v>
      </c>
      <c r="P948" t="n">
        <v>0</v>
      </c>
      <c r="Q948" t="n">
        <v>0</v>
      </c>
      <c r="R948" s="2" t="inlineStr"/>
    </row>
    <row r="949" ht="15" customHeight="1">
      <c r="A949" t="inlineStr">
        <is>
          <t>A 52117-2021</t>
        </is>
      </c>
      <c r="B949" s="1" t="n">
        <v>44462</v>
      </c>
      <c r="C949" s="1" t="n">
        <v>46086</v>
      </c>
      <c r="D949" t="inlineStr">
        <is>
          <t>GÄVLEBORGS LÄN</t>
        </is>
      </c>
      <c r="E949" t="inlineStr">
        <is>
          <t>HUDIKSVALL</t>
        </is>
      </c>
      <c r="G949" t="n">
        <v>2.4</v>
      </c>
      <c r="H949" t="n">
        <v>0</v>
      </c>
      <c r="I949" t="n">
        <v>0</v>
      </c>
      <c r="J949" t="n">
        <v>0</v>
      </c>
      <c r="K949" t="n">
        <v>0</v>
      </c>
      <c r="L949" t="n">
        <v>0</v>
      </c>
      <c r="M949" t="n">
        <v>0</v>
      </c>
      <c r="N949" t="n">
        <v>0</v>
      </c>
      <c r="O949" t="n">
        <v>0</v>
      </c>
      <c r="P949" t="n">
        <v>0</v>
      </c>
      <c r="Q949" t="n">
        <v>0</v>
      </c>
      <c r="R949" s="2" t="inlineStr"/>
    </row>
    <row r="950" ht="15" customHeight="1">
      <c r="A950" t="inlineStr">
        <is>
          <t>A 23029-2022</t>
        </is>
      </c>
      <c r="B950" s="1" t="n">
        <v>44719</v>
      </c>
      <c r="C950" s="1" t="n">
        <v>46086</v>
      </c>
      <c r="D950" t="inlineStr">
        <is>
          <t>GÄVLEBORGS LÄN</t>
        </is>
      </c>
      <c r="E950" t="inlineStr">
        <is>
          <t>OVANÅKER</t>
        </is>
      </c>
      <c r="G950" t="n">
        <v>0.5</v>
      </c>
      <c r="H950" t="n">
        <v>0</v>
      </c>
      <c r="I950" t="n">
        <v>0</v>
      </c>
      <c r="J950" t="n">
        <v>0</v>
      </c>
      <c r="K950" t="n">
        <v>0</v>
      </c>
      <c r="L950" t="n">
        <v>0</v>
      </c>
      <c r="M950" t="n">
        <v>0</v>
      </c>
      <c r="N950" t="n">
        <v>0</v>
      </c>
      <c r="O950" t="n">
        <v>0</v>
      </c>
      <c r="P950" t="n">
        <v>0</v>
      </c>
      <c r="Q950" t="n">
        <v>0</v>
      </c>
      <c r="R950" s="2" t="inlineStr"/>
    </row>
    <row r="951" ht="15" customHeight="1">
      <c r="A951" t="inlineStr">
        <is>
          <t>A 34718-2022</t>
        </is>
      </c>
      <c r="B951" s="1" t="n">
        <v>44795.58773148148</v>
      </c>
      <c r="C951" s="1" t="n">
        <v>46086</v>
      </c>
      <c r="D951" t="inlineStr">
        <is>
          <t>GÄVLEBORGS LÄN</t>
        </is>
      </c>
      <c r="E951" t="inlineStr">
        <is>
          <t>OCKELBO</t>
        </is>
      </c>
      <c r="G951" t="n">
        <v>0.5</v>
      </c>
      <c r="H951" t="n">
        <v>0</v>
      </c>
      <c r="I951" t="n">
        <v>0</v>
      </c>
      <c r="J951" t="n">
        <v>0</v>
      </c>
      <c r="K951" t="n">
        <v>0</v>
      </c>
      <c r="L951" t="n">
        <v>0</v>
      </c>
      <c r="M951" t="n">
        <v>0</v>
      </c>
      <c r="N951" t="n">
        <v>0</v>
      </c>
      <c r="O951" t="n">
        <v>0</v>
      </c>
      <c r="P951" t="n">
        <v>0</v>
      </c>
      <c r="Q951" t="n">
        <v>0</v>
      </c>
      <c r="R951" s="2" t="inlineStr"/>
    </row>
    <row r="952" ht="15" customHeight="1">
      <c r="A952" t="inlineStr">
        <is>
          <t>A 14413-2021</t>
        </is>
      </c>
      <c r="B952" s="1" t="n">
        <v>44279</v>
      </c>
      <c r="C952" s="1" t="n">
        <v>46086</v>
      </c>
      <c r="D952" t="inlineStr">
        <is>
          <t>GÄVLEBORGS LÄN</t>
        </is>
      </c>
      <c r="E952" t="inlineStr">
        <is>
          <t>OVANÅKER</t>
        </is>
      </c>
      <c r="G952" t="n">
        <v>2.6</v>
      </c>
      <c r="H952" t="n">
        <v>0</v>
      </c>
      <c r="I952" t="n">
        <v>0</v>
      </c>
      <c r="J952" t="n">
        <v>0</v>
      </c>
      <c r="K952" t="n">
        <v>0</v>
      </c>
      <c r="L952" t="n">
        <v>0</v>
      </c>
      <c r="M952" t="n">
        <v>0</v>
      </c>
      <c r="N952" t="n">
        <v>0</v>
      </c>
      <c r="O952" t="n">
        <v>0</v>
      </c>
      <c r="P952" t="n">
        <v>0</v>
      </c>
      <c r="Q952" t="n">
        <v>0</v>
      </c>
      <c r="R952" s="2" t="inlineStr"/>
    </row>
    <row r="953" ht="15" customHeight="1">
      <c r="A953" t="inlineStr">
        <is>
          <t>A 41037-2022</t>
        </is>
      </c>
      <c r="B953" s="1" t="n">
        <v>44824</v>
      </c>
      <c r="C953" s="1" t="n">
        <v>46086</v>
      </c>
      <c r="D953" t="inlineStr">
        <is>
          <t>GÄVLEBORGS LÄN</t>
        </is>
      </c>
      <c r="E953" t="inlineStr">
        <is>
          <t>SÖDERHAMN</t>
        </is>
      </c>
      <c r="F953" t="inlineStr">
        <is>
          <t>Kommuner</t>
        </is>
      </c>
      <c r="G953" t="n">
        <v>21.6</v>
      </c>
      <c r="H953" t="n">
        <v>0</v>
      </c>
      <c r="I953" t="n">
        <v>0</v>
      </c>
      <c r="J953" t="n">
        <v>0</v>
      </c>
      <c r="K953" t="n">
        <v>0</v>
      </c>
      <c r="L953" t="n">
        <v>0</v>
      </c>
      <c r="M953" t="n">
        <v>0</v>
      </c>
      <c r="N953" t="n">
        <v>0</v>
      </c>
      <c r="O953" t="n">
        <v>0</v>
      </c>
      <c r="P953" t="n">
        <v>0</v>
      </c>
      <c r="Q953" t="n">
        <v>0</v>
      </c>
      <c r="R953" s="2" t="inlineStr"/>
    </row>
    <row r="954" ht="15" customHeight="1">
      <c r="A954" t="inlineStr">
        <is>
          <t>A 20020-2021</t>
        </is>
      </c>
      <c r="B954" s="1" t="n">
        <v>44314.26796296296</v>
      </c>
      <c r="C954" s="1" t="n">
        <v>46086</v>
      </c>
      <c r="D954" t="inlineStr">
        <is>
          <t>GÄVLEBORGS LÄN</t>
        </is>
      </c>
      <c r="E954" t="inlineStr">
        <is>
          <t>BOLLNÄS</t>
        </is>
      </c>
      <c r="G954" t="n">
        <v>0.5</v>
      </c>
      <c r="H954" t="n">
        <v>0</v>
      </c>
      <c r="I954" t="n">
        <v>0</v>
      </c>
      <c r="J954" t="n">
        <v>0</v>
      </c>
      <c r="K954" t="n">
        <v>0</v>
      </c>
      <c r="L954" t="n">
        <v>0</v>
      </c>
      <c r="M954" t="n">
        <v>0</v>
      </c>
      <c r="N954" t="n">
        <v>0</v>
      </c>
      <c r="O954" t="n">
        <v>0</v>
      </c>
      <c r="P954" t="n">
        <v>0</v>
      </c>
      <c r="Q954" t="n">
        <v>0</v>
      </c>
      <c r="R954" s="2" t="inlineStr"/>
    </row>
    <row r="955" ht="15" customHeight="1">
      <c r="A955" t="inlineStr">
        <is>
          <t>A 55386-2022</t>
        </is>
      </c>
      <c r="B955" s="1" t="n">
        <v>44887.55108796297</v>
      </c>
      <c r="C955" s="1" t="n">
        <v>46086</v>
      </c>
      <c r="D955" t="inlineStr">
        <is>
          <t>GÄVLEBORGS LÄN</t>
        </is>
      </c>
      <c r="E955" t="inlineStr">
        <is>
          <t>HUDIKSVALL</t>
        </is>
      </c>
      <c r="G955" t="n">
        <v>0.8</v>
      </c>
      <c r="H955" t="n">
        <v>0</v>
      </c>
      <c r="I955" t="n">
        <v>0</v>
      </c>
      <c r="J955" t="n">
        <v>0</v>
      </c>
      <c r="K955" t="n">
        <v>0</v>
      </c>
      <c r="L955" t="n">
        <v>0</v>
      </c>
      <c r="M955" t="n">
        <v>0</v>
      </c>
      <c r="N955" t="n">
        <v>0</v>
      </c>
      <c r="O955" t="n">
        <v>0</v>
      </c>
      <c r="P955" t="n">
        <v>0</v>
      </c>
      <c r="Q955" t="n">
        <v>0</v>
      </c>
      <c r="R955" s="2" t="inlineStr"/>
    </row>
    <row r="956" ht="15" customHeight="1">
      <c r="A956" t="inlineStr">
        <is>
          <t>A 67188-2021</t>
        </is>
      </c>
      <c r="B956" s="1" t="n">
        <v>44523.44744212963</v>
      </c>
      <c r="C956" s="1" t="n">
        <v>46086</v>
      </c>
      <c r="D956" t="inlineStr">
        <is>
          <t>GÄVLEBORGS LÄN</t>
        </is>
      </c>
      <c r="E956" t="inlineStr">
        <is>
          <t>OVANÅKER</t>
        </is>
      </c>
      <c r="G956" t="n">
        <v>2.3</v>
      </c>
      <c r="H956" t="n">
        <v>0</v>
      </c>
      <c r="I956" t="n">
        <v>0</v>
      </c>
      <c r="J956" t="n">
        <v>0</v>
      </c>
      <c r="K956" t="n">
        <v>0</v>
      </c>
      <c r="L956" t="n">
        <v>0</v>
      </c>
      <c r="M956" t="n">
        <v>0</v>
      </c>
      <c r="N956" t="n">
        <v>0</v>
      </c>
      <c r="O956" t="n">
        <v>0</v>
      </c>
      <c r="P956" t="n">
        <v>0</v>
      </c>
      <c r="Q956" t="n">
        <v>0</v>
      </c>
      <c r="R956" s="2" t="inlineStr"/>
    </row>
    <row r="957" ht="15" customHeight="1">
      <c r="A957" t="inlineStr">
        <is>
          <t>A 19856-2022</t>
        </is>
      </c>
      <c r="B957" s="1" t="n">
        <v>44697.25298611111</v>
      </c>
      <c r="C957" s="1" t="n">
        <v>46086</v>
      </c>
      <c r="D957" t="inlineStr">
        <is>
          <t>GÄVLEBORGS LÄN</t>
        </is>
      </c>
      <c r="E957" t="inlineStr">
        <is>
          <t>BOLLNÄS</t>
        </is>
      </c>
      <c r="G957" t="n">
        <v>2.3</v>
      </c>
      <c r="H957" t="n">
        <v>0</v>
      </c>
      <c r="I957" t="n">
        <v>0</v>
      </c>
      <c r="J957" t="n">
        <v>0</v>
      </c>
      <c r="K957" t="n">
        <v>0</v>
      </c>
      <c r="L957" t="n">
        <v>0</v>
      </c>
      <c r="M957" t="n">
        <v>0</v>
      </c>
      <c r="N957" t="n">
        <v>0</v>
      </c>
      <c r="O957" t="n">
        <v>0</v>
      </c>
      <c r="P957" t="n">
        <v>0</v>
      </c>
      <c r="Q957" t="n">
        <v>0</v>
      </c>
      <c r="R957" s="2" t="inlineStr"/>
    </row>
    <row r="958" ht="15" customHeight="1">
      <c r="A958" t="inlineStr">
        <is>
          <t>A 19892-2022</t>
        </is>
      </c>
      <c r="B958" s="1" t="n">
        <v>44697</v>
      </c>
      <c r="C958" s="1" t="n">
        <v>46086</v>
      </c>
      <c r="D958" t="inlineStr">
        <is>
          <t>GÄVLEBORGS LÄN</t>
        </is>
      </c>
      <c r="E958" t="inlineStr">
        <is>
          <t>LJUSDAL</t>
        </is>
      </c>
      <c r="G958" t="n">
        <v>1.4</v>
      </c>
      <c r="H958" t="n">
        <v>0</v>
      </c>
      <c r="I958" t="n">
        <v>0</v>
      </c>
      <c r="J958" t="n">
        <v>0</v>
      </c>
      <c r="K958" t="n">
        <v>0</v>
      </c>
      <c r="L958" t="n">
        <v>0</v>
      </c>
      <c r="M958" t="n">
        <v>0</v>
      </c>
      <c r="N958" t="n">
        <v>0</v>
      </c>
      <c r="O958" t="n">
        <v>0</v>
      </c>
      <c r="P958" t="n">
        <v>0</v>
      </c>
      <c r="Q958" t="n">
        <v>0</v>
      </c>
      <c r="R958" s="2" t="inlineStr"/>
    </row>
    <row r="959" ht="15" customHeight="1">
      <c r="A959" t="inlineStr">
        <is>
          <t>A 55055-2022</t>
        </is>
      </c>
      <c r="B959" s="1" t="n">
        <v>44886.58072916666</v>
      </c>
      <c r="C959" s="1" t="n">
        <v>46086</v>
      </c>
      <c r="D959" t="inlineStr">
        <is>
          <t>GÄVLEBORGS LÄN</t>
        </is>
      </c>
      <c r="E959" t="inlineStr">
        <is>
          <t>LJUSDAL</t>
        </is>
      </c>
      <c r="G959" t="n">
        <v>0.8</v>
      </c>
      <c r="H959" t="n">
        <v>0</v>
      </c>
      <c r="I959" t="n">
        <v>0</v>
      </c>
      <c r="J959" t="n">
        <v>0</v>
      </c>
      <c r="K959" t="n">
        <v>0</v>
      </c>
      <c r="L959" t="n">
        <v>0</v>
      </c>
      <c r="M959" t="n">
        <v>0</v>
      </c>
      <c r="N959" t="n">
        <v>0</v>
      </c>
      <c r="O959" t="n">
        <v>0</v>
      </c>
      <c r="P959" t="n">
        <v>0</v>
      </c>
      <c r="Q959" t="n">
        <v>0</v>
      </c>
      <c r="R959" s="2" t="inlineStr"/>
    </row>
    <row r="960" ht="15" customHeight="1">
      <c r="A960" t="inlineStr">
        <is>
          <t>A 55065-2022</t>
        </is>
      </c>
      <c r="B960" s="1" t="n">
        <v>44886.58819444444</v>
      </c>
      <c r="C960" s="1" t="n">
        <v>46086</v>
      </c>
      <c r="D960" t="inlineStr">
        <is>
          <t>GÄVLEBORGS LÄN</t>
        </is>
      </c>
      <c r="E960" t="inlineStr">
        <is>
          <t>OVANÅKER</t>
        </is>
      </c>
      <c r="G960" t="n">
        <v>1.5</v>
      </c>
      <c r="H960" t="n">
        <v>0</v>
      </c>
      <c r="I960" t="n">
        <v>0</v>
      </c>
      <c r="J960" t="n">
        <v>0</v>
      </c>
      <c r="K960" t="n">
        <v>0</v>
      </c>
      <c r="L960" t="n">
        <v>0</v>
      </c>
      <c r="M960" t="n">
        <v>0</v>
      </c>
      <c r="N960" t="n">
        <v>0</v>
      </c>
      <c r="O960" t="n">
        <v>0</v>
      </c>
      <c r="P960" t="n">
        <v>0</v>
      </c>
      <c r="Q960" t="n">
        <v>0</v>
      </c>
      <c r="R960" s="2" t="inlineStr"/>
    </row>
    <row r="961" ht="15" customHeight="1">
      <c r="A961" t="inlineStr">
        <is>
          <t>A 43109-2021</t>
        </is>
      </c>
      <c r="B961" s="1" t="n">
        <v>44431.61394675926</v>
      </c>
      <c r="C961" s="1" t="n">
        <v>46086</v>
      </c>
      <c r="D961" t="inlineStr">
        <is>
          <t>GÄVLEBORGS LÄN</t>
        </is>
      </c>
      <c r="E961" t="inlineStr">
        <is>
          <t>LJUSDAL</t>
        </is>
      </c>
      <c r="F961" t="inlineStr">
        <is>
          <t>Sveaskog</t>
        </is>
      </c>
      <c r="G961" t="n">
        <v>1.7</v>
      </c>
      <c r="H961" t="n">
        <v>0</v>
      </c>
      <c r="I961" t="n">
        <v>0</v>
      </c>
      <c r="J961" t="n">
        <v>0</v>
      </c>
      <c r="K961" t="n">
        <v>0</v>
      </c>
      <c r="L961" t="n">
        <v>0</v>
      </c>
      <c r="M961" t="n">
        <v>0</v>
      </c>
      <c r="N961" t="n">
        <v>0</v>
      </c>
      <c r="O961" t="n">
        <v>0</v>
      </c>
      <c r="P961" t="n">
        <v>0</v>
      </c>
      <c r="Q961" t="n">
        <v>0</v>
      </c>
      <c r="R961" s="2" t="inlineStr"/>
    </row>
    <row r="962" ht="15" customHeight="1">
      <c r="A962" t="inlineStr">
        <is>
          <t>A 50579-2022</t>
        </is>
      </c>
      <c r="B962" s="1" t="n">
        <v>44866</v>
      </c>
      <c r="C962" s="1" t="n">
        <v>46086</v>
      </c>
      <c r="D962" t="inlineStr">
        <is>
          <t>GÄVLEBORGS LÄN</t>
        </is>
      </c>
      <c r="E962" t="inlineStr">
        <is>
          <t>LJUSDAL</t>
        </is>
      </c>
      <c r="F962" t="inlineStr">
        <is>
          <t>Bergvik skog väst AB</t>
        </is>
      </c>
      <c r="G962" t="n">
        <v>3.1</v>
      </c>
      <c r="H962" t="n">
        <v>0</v>
      </c>
      <c r="I962" t="n">
        <v>0</v>
      </c>
      <c r="J962" t="n">
        <v>0</v>
      </c>
      <c r="K962" t="n">
        <v>0</v>
      </c>
      <c r="L962" t="n">
        <v>0</v>
      </c>
      <c r="M962" t="n">
        <v>0</v>
      </c>
      <c r="N962" t="n">
        <v>0</v>
      </c>
      <c r="O962" t="n">
        <v>0</v>
      </c>
      <c r="P962" t="n">
        <v>0</v>
      </c>
      <c r="Q962" t="n">
        <v>0</v>
      </c>
      <c r="R962" s="2" t="inlineStr"/>
    </row>
    <row r="963" ht="15" customHeight="1">
      <c r="A963" t="inlineStr">
        <is>
          <t>A 24340-2022</t>
        </is>
      </c>
      <c r="B963" s="1" t="n">
        <v>44726</v>
      </c>
      <c r="C963" s="1" t="n">
        <v>46086</v>
      </c>
      <c r="D963" t="inlineStr">
        <is>
          <t>GÄVLEBORGS LÄN</t>
        </is>
      </c>
      <c r="E963" t="inlineStr">
        <is>
          <t>LJUSDAL</t>
        </is>
      </c>
      <c r="G963" t="n">
        <v>0.9</v>
      </c>
      <c r="H963" t="n">
        <v>0</v>
      </c>
      <c r="I963" t="n">
        <v>0</v>
      </c>
      <c r="J963" t="n">
        <v>0</v>
      </c>
      <c r="K963" t="n">
        <v>0</v>
      </c>
      <c r="L963" t="n">
        <v>0</v>
      </c>
      <c r="M963" t="n">
        <v>0</v>
      </c>
      <c r="N963" t="n">
        <v>0</v>
      </c>
      <c r="O963" t="n">
        <v>0</v>
      </c>
      <c r="P963" t="n">
        <v>0</v>
      </c>
      <c r="Q963" t="n">
        <v>0</v>
      </c>
      <c r="R963" s="2" t="inlineStr"/>
    </row>
    <row r="964" ht="15" customHeight="1">
      <c r="A964" t="inlineStr">
        <is>
          <t>A 50732-2021</t>
        </is>
      </c>
      <c r="B964" s="1" t="n">
        <v>44460</v>
      </c>
      <c r="C964" s="1" t="n">
        <v>46086</v>
      </c>
      <c r="D964" t="inlineStr">
        <is>
          <t>GÄVLEBORGS LÄN</t>
        </is>
      </c>
      <c r="E964" t="inlineStr">
        <is>
          <t>LJUSDAL</t>
        </is>
      </c>
      <c r="F964" t="inlineStr">
        <is>
          <t>Holmen skog AB</t>
        </is>
      </c>
      <c r="G964" t="n">
        <v>3.6</v>
      </c>
      <c r="H964" t="n">
        <v>0</v>
      </c>
      <c r="I964" t="n">
        <v>0</v>
      </c>
      <c r="J964" t="n">
        <v>0</v>
      </c>
      <c r="K964" t="n">
        <v>0</v>
      </c>
      <c r="L964" t="n">
        <v>0</v>
      </c>
      <c r="M964" t="n">
        <v>0</v>
      </c>
      <c r="N964" t="n">
        <v>0</v>
      </c>
      <c r="O964" t="n">
        <v>0</v>
      </c>
      <c r="P964" t="n">
        <v>0</v>
      </c>
      <c r="Q964" t="n">
        <v>0</v>
      </c>
      <c r="R964" s="2" t="inlineStr"/>
    </row>
    <row r="965" ht="15" customHeight="1">
      <c r="A965" t="inlineStr">
        <is>
          <t>A 51762-2021</t>
        </is>
      </c>
      <c r="B965" s="1" t="n">
        <v>44462.59549768519</v>
      </c>
      <c r="C965" s="1" t="n">
        <v>46086</v>
      </c>
      <c r="D965" t="inlineStr">
        <is>
          <t>GÄVLEBORGS LÄN</t>
        </is>
      </c>
      <c r="E965" t="inlineStr">
        <is>
          <t>HUDIKSVALL</t>
        </is>
      </c>
      <c r="F965" t="inlineStr">
        <is>
          <t>Holmen skog AB</t>
        </is>
      </c>
      <c r="G965" t="n">
        <v>0.6</v>
      </c>
      <c r="H965" t="n">
        <v>0</v>
      </c>
      <c r="I965" t="n">
        <v>0</v>
      </c>
      <c r="J965" t="n">
        <v>0</v>
      </c>
      <c r="K965" t="n">
        <v>0</v>
      </c>
      <c r="L965" t="n">
        <v>0</v>
      </c>
      <c r="M965" t="n">
        <v>0</v>
      </c>
      <c r="N965" t="n">
        <v>0</v>
      </c>
      <c r="O965" t="n">
        <v>0</v>
      </c>
      <c r="P965" t="n">
        <v>0</v>
      </c>
      <c r="Q965" t="n">
        <v>0</v>
      </c>
      <c r="R965" s="2" t="inlineStr"/>
    </row>
    <row r="966" ht="15" customHeight="1">
      <c r="A966" t="inlineStr">
        <is>
          <t>A 32698-2021</t>
        </is>
      </c>
      <c r="B966" s="1" t="n">
        <v>44375.47541666667</v>
      </c>
      <c r="C966" s="1" t="n">
        <v>46086</v>
      </c>
      <c r="D966" t="inlineStr">
        <is>
          <t>GÄVLEBORGS LÄN</t>
        </is>
      </c>
      <c r="E966" t="inlineStr">
        <is>
          <t>BOLLNÄS</t>
        </is>
      </c>
      <c r="G966" t="n">
        <v>2.9</v>
      </c>
      <c r="H966" t="n">
        <v>0</v>
      </c>
      <c r="I966" t="n">
        <v>0</v>
      </c>
      <c r="J966" t="n">
        <v>0</v>
      </c>
      <c r="K966" t="n">
        <v>0</v>
      </c>
      <c r="L966" t="n">
        <v>0</v>
      </c>
      <c r="M966" t="n">
        <v>0</v>
      </c>
      <c r="N966" t="n">
        <v>0</v>
      </c>
      <c r="O966" t="n">
        <v>0</v>
      </c>
      <c r="P966" t="n">
        <v>0</v>
      </c>
      <c r="Q966" t="n">
        <v>0</v>
      </c>
      <c r="R966" s="2" t="inlineStr"/>
    </row>
    <row r="967" ht="15" customHeight="1">
      <c r="A967" t="inlineStr">
        <is>
          <t>A 22361-2022</t>
        </is>
      </c>
      <c r="B967" s="1" t="n">
        <v>44713</v>
      </c>
      <c r="C967" s="1" t="n">
        <v>46086</v>
      </c>
      <c r="D967" t="inlineStr">
        <is>
          <t>GÄVLEBORGS LÄN</t>
        </is>
      </c>
      <c r="E967" t="inlineStr">
        <is>
          <t>NORDANSTIG</t>
        </is>
      </c>
      <c r="G967" t="n">
        <v>2</v>
      </c>
      <c r="H967" t="n">
        <v>0</v>
      </c>
      <c r="I967" t="n">
        <v>0</v>
      </c>
      <c r="J967" t="n">
        <v>0</v>
      </c>
      <c r="K967" t="n">
        <v>0</v>
      </c>
      <c r="L967" t="n">
        <v>0</v>
      </c>
      <c r="M967" t="n">
        <v>0</v>
      </c>
      <c r="N967" t="n">
        <v>0</v>
      </c>
      <c r="O967" t="n">
        <v>0</v>
      </c>
      <c r="P967" t="n">
        <v>0</v>
      </c>
      <c r="Q967" t="n">
        <v>0</v>
      </c>
      <c r="R967" s="2" t="inlineStr"/>
    </row>
    <row r="968" ht="15" customHeight="1">
      <c r="A968" t="inlineStr">
        <is>
          <t>A 72110-2021</t>
        </is>
      </c>
      <c r="B968" s="1" t="n">
        <v>44544.5596875</v>
      </c>
      <c r="C968" s="1" t="n">
        <v>46086</v>
      </c>
      <c r="D968" t="inlineStr">
        <is>
          <t>GÄVLEBORGS LÄN</t>
        </is>
      </c>
      <c r="E968" t="inlineStr">
        <is>
          <t>OVANÅKER</t>
        </is>
      </c>
      <c r="G968" t="n">
        <v>0.8</v>
      </c>
      <c r="H968" t="n">
        <v>0</v>
      </c>
      <c r="I968" t="n">
        <v>0</v>
      </c>
      <c r="J968" t="n">
        <v>0</v>
      </c>
      <c r="K968" t="n">
        <v>0</v>
      </c>
      <c r="L968" t="n">
        <v>0</v>
      </c>
      <c r="M968" t="n">
        <v>0</v>
      </c>
      <c r="N968" t="n">
        <v>0</v>
      </c>
      <c r="O968" t="n">
        <v>0</v>
      </c>
      <c r="P968" t="n">
        <v>0</v>
      </c>
      <c r="Q968" t="n">
        <v>0</v>
      </c>
      <c r="R968" s="2" t="inlineStr"/>
    </row>
    <row r="969" ht="15" customHeight="1">
      <c r="A969" t="inlineStr">
        <is>
          <t>A 63731-2021</t>
        </is>
      </c>
      <c r="B969" s="1" t="n">
        <v>44509</v>
      </c>
      <c r="C969" s="1" t="n">
        <v>46086</v>
      </c>
      <c r="D969" t="inlineStr">
        <is>
          <t>GÄVLEBORGS LÄN</t>
        </is>
      </c>
      <c r="E969" t="inlineStr">
        <is>
          <t>OCKELBO</t>
        </is>
      </c>
      <c r="G969" t="n">
        <v>2.1</v>
      </c>
      <c r="H969" t="n">
        <v>0</v>
      </c>
      <c r="I969" t="n">
        <v>0</v>
      </c>
      <c r="J969" t="n">
        <v>0</v>
      </c>
      <c r="K969" t="n">
        <v>0</v>
      </c>
      <c r="L969" t="n">
        <v>0</v>
      </c>
      <c r="M969" t="n">
        <v>0</v>
      </c>
      <c r="N969" t="n">
        <v>0</v>
      </c>
      <c r="O969" t="n">
        <v>0</v>
      </c>
      <c r="P969" t="n">
        <v>0</v>
      </c>
      <c r="Q969" t="n">
        <v>0</v>
      </c>
      <c r="R969" s="2" t="inlineStr"/>
    </row>
    <row r="970" ht="15" customHeight="1">
      <c r="A970" t="inlineStr">
        <is>
          <t>A 63760-2021</t>
        </is>
      </c>
      <c r="B970" s="1" t="n">
        <v>44509.48017361111</v>
      </c>
      <c r="C970" s="1" t="n">
        <v>46086</v>
      </c>
      <c r="D970" t="inlineStr">
        <is>
          <t>GÄVLEBORGS LÄN</t>
        </is>
      </c>
      <c r="E970" t="inlineStr">
        <is>
          <t>LJUSDAL</t>
        </is>
      </c>
      <c r="F970" t="inlineStr">
        <is>
          <t>Holmen skog AB</t>
        </is>
      </c>
      <c r="G970" t="n">
        <v>1.2</v>
      </c>
      <c r="H970" t="n">
        <v>0</v>
      </c>
      <c r="I970" t="n">
        <v>0</v>
      </c>
      <c r="J970" t="n">
        <v>0</v>
      </c>
      <c r="K970" t="n">
        <v>0</v>
      </c>
      <c r="L970" t="n">
        <v>0</v>
      </c>
      <c r="M970" t="n">
        <v>0</v>
      </c>
      <c r="N970" t="n">
        <v>0</v>
      </c>
      <c r="O970" t="n">
        <v>0</v>
      </c>
      <c r="P970" t="n">
        <v>0</v>
      </c>
      <c r="Q970" t="n">
        <v>0</v>
      </c>
      <c r="R970" s="2" t="inlineStr"/>
    </row>
    <row r="971" ht="15" customHeight="1">
      <c r="A971" t="inlineStr">
        <is>
          <t>A 49726-2022</t>
        </is>
      </c>
      <c r="B971" s="1" t="n">
        <v>44862.55981481481</v>
      </c>
      <c r="C971" s="1" t="n">
        <v>46086</v>
      </c>
      <c r="D971" t="inlineStr">
        <is>
          <t>GÄVLEBORGS LÄN</t>
        </is>
      </c>
      <c r="E971" t="inlineStr">
        <is>
          <t>LJUSDAL</t>
        </is>
      </c>
      <c r="G971" t="n">
        <v>3.7</v>
      </c>
      <c r="H971" t="n">
        <v>0</v>
      </c>
      <c r="I971" t="n">
        <v>0</v>
      </c>
      <c r="J971" t="n">
        <v>0</v>
      </c>
      <c r="K971" t="n">
        <v>0</v>
      </c>
      <c r="L971" t="n">
        <v>0</v>
      </c>
      <c r="M971" t="n">
        <v>0</v>
      </c>
      <c r="N971" t="n">
        <v>0</v>
      </c>
      <c r="O971" t="n">
        <v>0</v>
      </c>
      <c r="P971" t="n">
        <v>0</v>
      </c>
      <c r="Q971" t="n">
        <v>0</v>
      </c>
      <c r="R971" s="2" t="inlineStr"/>
    </row>
    <row r="972" ht="15" customHeight="1">
      <c r="A972" t="inlineStr">
        <is>
          <t>A 17935-2021</t>
        </is>
      </c>
      <c r="B972" s="1" t="n">
        <v>44301.56144675926</v>
      </c>
      <c r="C972" s="1" t="n">
        <v>46086</v>
      </c>
      <c r="D972" t="inlineStr">
        <is>
          <t>GÄVLEBORGS LÄN</t>
        </is>
      </c>
      <c r="E972" t="inlineStr">
        <is>
          <t>BOLLNÄS</t>
        </is>
      </c>
      <c r="G972" t="n">
        <v>1.3</v>
      </c>
      <c r="H972" t="n">
        <v>0</v>
      </c>
      <c r="I972" t="n">
        <v>0</v>
      </c>
      <c r="J972" t="n">
        <v>0</v>
      </c>
      <c r="K972" t="n">
        <v>0</v>
      </c>
      <c r="L972" t="n">
        <v>0</v>
      </c>
      <c r="M972" t="n">
        <v>0</v>
      </c>
      <c r="N972" t="n">
        <v>0</v>
      </c>
      <c r="O972" t="n">
        <v>0</v>
      </c>
      <c r="P972" t="n">
        <v>0</v>
      </c>
      <c r="Q972" t="n">
        <v>0</v>
      </c>
      <c r="R972" s="2" t="inlineStr"/>
    </row>
    <row r="973" ht="15" customHeight="1">
      <c r="A973" t="inlineStr">
        <is>
          <t>A 33410-2021</t>
        </is>
      </c>
      <c r="B973" s="1" t="n">
        <v>44377</v>
      </c>
      <c r="C973" s="1" t="n">
        <v>46086</v>
      </c>
      <c r="D973" t="inlineStr">
        <is>
          <t>GÄVLEBORGS LÄN</t>
        </is>
      </c>
      <c r="E973" t="inlineStr">
        <is>
          <t>SANDVIKEN</t>
        </is>
      </c>
      <c r="G973" t="n">
        <v>3.4</v>
      </c>
      <c r="H973" t="n">
        <v>0</v>
      </c>
      <c r="I973" t="n">
        <v>0</v>
      </c>
      <c r="J973" t="n">
        <v>0</v>
      </c>
      <c r="K973" t="n">
        <v>0</v>
      </c>
      <c r="L973" t="n">
        <v>0</v>
      </c>
      <c r="M973" t="n">
        <v>0</v>
      </c>
      <c r="N973" t="n">
        <v>0</v>
      </c>
      <c r="O973" t="n">
        <v>0</v>
      </c>
      <c r="P973" t="n">
        <v>0</v>
      </c>
      <c r="Q973" t="n">
        <v>0</v>
      </c>
      <c r="R973" s="2" t="inlineStr"/>
    </row>
    <row r="974" ht="15" customHeight="1">
      <c r="A974" t="inlineStr">
        <is>
          <t>A 9261-2022</t>
        </is>
      </c>
      <c r="B974" s="1" t="n">
        <v>44616</v>
      </c>
      <c r="C974" s="1" t="n">
        <v>46086</v>
      </c>
      <c r="D974" t="inlineStr">
        <is>
          <t>GÄVLEBORGS LÄN</t>
        </is>
      </c>
      <c r="E974" t="inlineStr">
        <is>
          <t>SÖDERHAMN</t>
        </is>
      </c>
      <c r="G974" t="n">
        <v>1.7</v>
      </c>
      <c r="H974" t="n">
        <v>0</v>
      </c>
      <c r="I974" t="n">
        <v>0</v>
      </c>
      <c r="J974" t="n">
        <v>0</v>
      </c>
      <c r="K974" t="n">
        <v>0</v>
      </c>
      <c r="L974" t="n">
        <v>0</v>
      </c>
      <c r="M974" t="n">
        <v>0</v>
      </c>
      <c r="N974" t="n">
        <v>0</v>
      </c>
      <c r="O974" t="n">
        <v>0</v>
      </c>
      <c r="P974" t="n">
        <v>0</v>
      </c>
      <c r="Q974" t="n">
        <v>0</v>
      </c>
      <c r="R974" s="2" t="inlineStr"/>
    </row>
    <row r="975" ht="15" customHeight="1">
      <c r="A975" t="inlineStr">
        <is>
          <t>A 20193-2021</t>
        </is>
      </c>
      <c r="B975" s="1" t="n">
        <v>44314.57642361111</v>
      </c>
      <c r="C975" s="1" t="n">
        <v>46086</v>
      </c>
      <c r="D975" t="inlineStr">
        <is>
          <t>GÄVLEBORGS LÄN</t>
        </is>
      </c>
      <c r="E975" t="inlineStr">
        <is>
          <t>BOLLNÄS</t>
        </is>
      </c>
      <c r="G975" t="n">
        <v>0.6</v>
      </c>
      <c r="H975" t="n">
        <v>0</v>
      </c>
      <c r="I975" t="n">
        <v>0</v>
      </c>
      <c r="J975" t="n">
        <v>0</v>
      </c>
      <c r="K975" t="n">
        <v>0</v>
      </c>
      <c r="L975" t="n">
        <v>0</v>
      </c>
      <c r="M975" t="n">
        <v>0</v>
      </c>
      <c r="N975" t="n">
        <v>0</v>
      </c>
      <c r="O975" t="n">
        <v>0</v>
      </c>
      <c r="P975" t="n">
        <v>0</v>
      </c>
      <c r="Q975" t="n">
        <v>0</v>
      </c>
      <c r="R975" s="2" t="inlineStr"/>
    </row>
    <row r="976" ht="15" customHeight="1">
      <c r="A976" t="inlineStr">
        <is>
          <t>A 51590-2022</t>
        </is>
      </c>
      <c r="B976" s="1" t="n">
        <v>44871.51618055555</v>
      </c>
      <c r="C976" s="1" t="n">
        <v>46086</v>
      </c>
      <c r="D976" t="inlineStr">
        <is>
          <t>GÄVLEBORGS LÄN</t>
        </is>
      </c>
      <c r="E976" t="inlineStr">
        <is>
          <t>HUDIKSVALL</t>
        </is>
      </c>
      <c r="G976" t="n">
        <v>1.6</v>
      </c>
      <c r="H976" t="n">
        <v>0</v>
      </c>
      <c r="I976" t="n">
        <v>0</v>
      </c>
      <c r="J976" t="n">
        <v>0</v>
      </c>
      <c r="K976" t="n">
        <v>0</v>
      </c>
      <c r="L976" t="n">
        <v>0</v>
      </c>
      <c r="M976" t="n">
        <v>0</v>
      </c>
      <c r="N976" t="n">
        <v>0</v>
      </c>
      <c r="O976" t="n">
        <v>0</v>
      </c>
      <c r="P976" t="n">
        <v>0</v>
      </c>
      <c r="Q976" t="n">
        <v>0</v>
      </c>
      <c r="R976" s="2" t="inlineStr"/>
    </row>
    <row r="977" ht="15" customHeight="1">
      <c r="A977" t="inlineStr">
        <is>
          <t>A 26349-2022</t>
        </is>
      </c>
      <c r="B977" s="1" t="n">
        <v>44735</v>
      </c>
      <c r="C977" s="1" t="n">
        <v>46086</v>
      </c>
      <c r="D977" t="inlineStr">
        <is>
          <t>GÄVLEBORGS LÄN</t>
        </is>
      </c>
      <c r="E977" t="inlineStr">
        <is>
          <t>GÄVLE</t>
        </is>
      </c>
      <c r="G977" t="n">
        <v>2.3</v>
      </c>
      <c r="H977" t="n">
        <v>0</v>
      </c>
      <c r="I977" t="n">
        <v>0</v>
      </c>
      <c r="J977" t="n">
        <v>0</v>
      </c>
      <c r="K977" t="n">
        <v>0</v>
      </c>
      <c r="L977" t="n">
        <v>0</v>
      </c>
      <c r="M977" t="n">
        <v>0</v>
      </c>
      <c r="N977" t="n">
        <v>0</v>
      </c>
      <c r="O977" t="n">
        <v>0</v>
      </c>
      <c r="P977" t="n">
        <v>0</v>
      </c>
      <c r="Q977" t="n">
        <v>0</v>
      </c>
      <c r="R977" s="2" t="inlineStr"/>
    </row>
    <row r="978" ht="15" customHeight="1">
      <c r="A978" t="inlineStr">
        <is>
          <t>A 15902-2021</t>
        </is>
      </c>
      <c r="B978" s="1" t="n">
        <v>44287</v>
      </c>
      <c r="C978" s="1" t="n">
        <v>46086</v>
      </c>
      <c r="D978" t="inlineStr">
        <is>
          <t>GÄVLEBORGS LÄN</t>
        </is>
      </c>
      <c r="E978" t="inlineStr">
        <is>
          <t>OVANÅKER</t>
        </is>
      </c>
      <c r="G978" t="n">
        <v>1.6</v>
      </c>
      <c r="H978" t="n">
        <v>0</v>
      </c>
      <c r="I978" t="n">
        <v>0</v>
      </c>
      <c r="J978" t="n">
        <v>0</v>
      </c>
      <c r="K978" t="n">
        <v>0</v>
      </c>
      <c r="L978" t="n">
        <v>0</v>
      </c>
      <c r="M978" t="n">
        <v>0</v>
      </c>
      <c r="N978" t="n">
        <v>0</v>
      </c>
      <c r="O978" t="n">
        <v>0</v>
      </c>
      <c r="P978" t="n">
        <v>0</v>
      </c>
      <c r="Q978" t="n">
        <v>0</v>
      </c>
      <c r="R978" s="2" t="inlineStr"/>
    </row>
    <row r="979" ht="15" customHeight="1">
      <c r="A979" t="inlineStr">
        <is>
          <t>A 26939-2022</t>
        </is>
      </c>
      <c r="B979" s="1" t="n">
        <v>44740</v>
      </c>
      <c r="C979" s="1" t="n">
        <v>46086</v>
      </c>
      <c r="D979" t="inlineStr">
        <is>
          <t>GÄVLEBORGS LÄN</t>
        </is>
      </c>
      <c r="E979" t="inlineStr">
        <is>
          <t>SÖDERHAMN</t>
        </is>
      </c>
      <c r="G979" t="n">
        <v>0.2</v>
      </c>
      <c r="H979" t="n">
        <v>0</v>
      </c>
      <c r="I979" t="n">
        <v>0</v>
      </c>
      <c r="J979" t="n">
        <v>0</v>
      </c>
      <c r="K979" t="n">
        <v>0</v>
      </c>
      <c r="L979" t="n">
        <v>0</v>
      </c>
      <c r="M979" t="n">
        <v>0</v>
      </c>
      <c r="N979" t="n">
        <v>0</v>
      </c>
      <c r="O979" t="n">
        <v>0</v>
      </c>
      <c r="P979" t="n">
        <v>0</v>
      </c>
      <c r="Q979" t="n">
        <v>0</v>
      </c>
      <c r="R979" s="2" t="inlineStr"/>
    </row>
    <row r="980" ht="15" customHeight="1">
      <c r="A980" t="inlineStr">
        <is>
          <t>A 31336-2022</t>
        </is>
      </c>
      <c r="B980" s="1" t="n">
        <v>44774</v>
      </c>
      <c r="C980" s="1" t="n">
        <v>46086</v>
      </c>
      <c r="D980" t="inlineStr">
        <is>
          <t>GÄVLEBORGS LÄN</t>
        </is>
      </c>
      <c r="E980" t="inlineStr">
        <is>
          <t>LJUSDAL</t>
        </is>
      </c>
      <c r="F980" t="inlineStr">
        <is>
          <t>Holmen skog AB</t>
        </is>
      </c>
      <c r="G980" t="n">
        <v>3.5</v>
      </c>
      <c r="H980" t="n">
        <v>0</v>
      </c>
      <c r="I980" t="n">
        <v>0</v>
      </c>
      <c r="J980" t="n">
        <v>0</v>
      </c>
      <c r="K980" t="n">
        <v>0</v>
      </c>
      <c r="L980" t="n">
        <v>0</v>
      </c>
      <c r="M980" t="n">
        <v>0</v>
      </c>
      <c r="N980" t="n">
        <v>0</v>
      </c>
      <c r="O980" t="n">
        <v>0</v>
      </c>
      <c r="P980" t="n">
        <v>0</v>
      </c>
      <c r="Q980" t="n">
        <v>0</v>
      </c>
      <c r="R980" s="2" t="inlineStr"/>
    </row>
    <row r="981" ht="15" customHeight="1">
      <c r="A981" t="inlineStr">
        <is>
          <t>A 31378-2022</t>
        </is>
      </c>
      <c r="B981" s="1" t="n">
        <v>44774</v>
      </c>
      <c r="C981" s="1" t="n">
        <v>46086</v>
      </c>
      <c r="D981" t="inlineStr">
        <is>
          <t>GÄVLEBORGS LÄN</t>
        </is>
      </c>
      <c r="E981" t="inlineStr">
        <is>
          <t>LJUSDAL</t>
        </is>
      </c>
      <c r="F981" t="inlineStr">
        <is>
          <t>Holmen skog AB</t>
        </is>
      </c>
      <c r="G981" t="n">
        <v>3.9</v>
      </c>
      <c r="H981" t="n">
        <v>0</v>
      </c>
      <c r="I981" t="n">
        <v>0</v>
      </c>
      <c r="J981" t="n">
        <v>0</v>
      </c>
      <c r="K981" t="n">
        <v>0</v>
      </c>
      <c r="L981" t="n">
        <v>0</v>
      </c>
      <c r="M981" t="n">
        <v>0</v>
      </c>
      <c r="N981" t="n">
        <v>0</v>
      </c>
      <c r="O981" t="n">
        <v>0</v>
      </c>
      <c r="P981" t="n">
        <v>0</v>
      </c>
      <c r="Q981" t="n">
        <v>0</v>
      </c>
      <c r="R981" s="2" t="inlineStr"/>
    </row>
    <row r="982" ht="15" customHeight="1">
      <c r="A982" t="inlineStr">
        <is>
          <t>A 25149-2021</t>
        </is>
      </c>
      <c r="B982" s="1" t="n">
        <v>44341.91979166667</v>
      </c>
      <c r="C982" s="1" t="n">
        <v>46086</v>
      </c>
      <c r="D982" t="inlineStr">
        <is>
          <t>GÄVLEBORGS LÄN</t>
        </is>
      </c>
      <c r="E982" t="inlineStr">
        <is>
          <t>HUDIKSVALL</t>
        </is>
      </c>
      <c r="G982" t="n">
        <v>1.8</v>
      </c>
      <c r="H982" t="n">
        <v>0</v>
      </c>
      <c r="I982" t="n">
        <v>0</v>
      </c>
      <c r="J982" t="n">
        <v>0</v>
      </c>
      <c r="K982" t="n">
        <v>0</v>
      </c>
      <c r="L982" t="n">
        <v>0</v>
      </c>
      <c r="M982" t="n">
        <v>0</v>
      </c>
      <c r="N982" t="n">
        <v>0</v>
      </c>
      <c r="O982" t="n">
        <v>0</v>
      </c>
      <c r="P982" t="n">
        <v>0</v>
      </c>
      <c r="Q982" t="n">
        <v>0</v>
      </c>
      <c r="R982" s="2" t="inlineStr"/>
    </row>
    <row r="983" ht="15" customHeight="1">
      <c r="A983" t="inlineStr">
        <is>
          <t>A 54660-2022</t>
        </is>
      </c>
      <c r="B983" s="1" t="n">
        <v>44883.44413194444</v>
      </c>
      <c r="C983" s="1" t="n">
        <v>46086</v>
      </c>
      <c r="D983" t="inlineStr">
        <is>
          <t>GÄVLEBORGS LÄN</t>
        </is>
      </c>
      <c r="E983" t="inlineStr">
        <is>
          <t>OVANÅKER</t>
        </is>
      </c>
      <c r="G983" t="n">
        <v>1.9</v>
      </c>
      <c r="H983" t="n">
        <v>0</v>
      </c>
      <c r="I983" t="n">
        <v>0</v>
      </c>
      <c r="J983" t="n">
        <v>0</v>
      </c>
      <c r="K983" t="n">
        <v>0</v>
      </c>
      <c r="L983" t="n">
        <v>0</v>
      </c>
      <c r="M983" t="n">
        <v>0</v>
      </c>
      <c r="N983" t="n">
        <v>0</v>
      </c>
      <c r="O983" t="n">
        <v>0</v>
      </c>
      <c r="P983" t="n">
        <v>0</v>
      </c>
      <c r="Q983" t="n">
        <v>0</v>
      </c>
      <c r="R983" s="2" t="inlineStr"/>
    </row>
    <row r="984" ht="15" customHeight="1">
      <c r="A984" t="inlineStr">
        <is>
          <t>A 50818-2022</t>
        </is>
      </c>
      <c r="B984" s="1" t="n">
        <v>44867</v>
      </c>
      <c r="C984" s="1" t="n">
        <v>46086</v>
      </c>
      <c r="D984" t="inlineStr">
        <is>
          <t>GÄVLEBORGS LÄN</t>
        </is>
      </c>
      <c r="E984" t="inlineStr">
        <is>
          <t>HUDIKSVALL</t>
        </is>
      </c>
      <c r="G984" t="n">
        <v>0.9</v>
      </c>
      <c r="H984" t="n">
        <v>0</v>
      </c>
      <c r="I984" t="n">
        <v>0</v>
      </c>
      <c r="J984" t="n">
        <v>0</v>
      </c>
      <c r="K984" t="n">
        <v>0</v>
      </c>
      <c r="L984" t="n">
        <v>0</v>
      </c>
      <c r="M984" t="n">
        <v>0</v>
      </c>
      <c r="N984" t="n">
        <v>0</v>
      </c>
      <c r="O984" t="n">
        <v>0</v>
      </c>
      <c r="P984" t="n">
        <v>0</v>
      </c>
      <c r="Q984" t="n">
        <v>0</v>
      </c>
      <c r="R984" s="2" t="inlineStr"/>
    </row>
    <row r="985" ht="15" customHeight="1">
      <c r="A985" t="inlineStr">
        <is>
          <t>A 49716-2022</t>
        </is>
      </c>
      <c r="B985" s="1" t="n">
        <v>44862.5474537037</v>
      </c>
      <c r="C985" s="1" t="n">
        <v>46086</v>
      </c>
      <c r="D985" t="inlineStr">
        <is>
          <t>GÄVLEBORGS LÄN</t>
        </is>
      </c>
      <c r="E985" t="inlineStr">
        <is>
          <t>LJUSDAL</t>
        </is>
      </c>
      <c r="G985" t="n">
        <v>13.7</v>
      </c>
      <c r="H985" t="n">
        <v>0</v>
      </c>
      <c r="I985" t="n">
        <v>0</v>
      </c>
      <c r="J985" t="n">
        <v>0</v>
      </c>
      <c r="K985" t="n">
        <v>0</v>
      </c>
      <c r="L985" t="n">
        <v>0</v>
      </c>
      <c r="M985" t="n">
        <v>0</v>
      </c>
      <c r="N985" t="n">
        <v>0</v>
      </c>
      <c r="O985" t="n">
        <v>0</v>
      </c>
      <c r="P985" t="n">
        <v>0</v>
      </c>
      <c r="Q985" t="n">
        <v>0</v>
      </c>
      <c r="R985" s="2" t="inlineStr"/>
    </row>
    <row r="986" ht="15" customHeight="1">
      <c r="A986" t="inlineStr">
        <is>
          <t>A 47485-2021</t>
        </is>
      </c>
      <c r="B986" s="1" t="n">
        <v>44447.66321759259</v>
      </c>
      <c r="C986" s="1" t="n">
        <v>46086</v>
      </c>
      <c r="D986" t="inlineStr">
        <is>
          <t>GÄVLEBORGS LÄN</t>
        </is>
      </c>
      <c r="E986" t="inlineStr">
        <is>
          <t>HOFORS</t>
        </is>
      </c>
      <c r="G986" t="n">
        <v>1</v>
      </c>
      <c r="H986" t="n">
        <v>0</v>
      </c>
      <c r="I986" t="n">
        <v>0</v>
      </c>
      <c r="J986" t="n">
        <v>0</v>
      </c>
      <c r="K986" t="n">
        <v>0</v>
      </c>
      <c r="L986" t="n">
        <v>0</v>
      </c>
      <c r="M986" t="n">
        <v>0</v>
      </c>
      <c r="N986" t="n">
        <v>0</v>
      </c>
      <c r="O986" t="n">
        <v>0</v>
      </c>
      <c r="P986" t="n">
        <v>0</v>
      </c>
      <c r="Q986" t="n">
        <v>0</v>
      </c>
      <c r="R986" s="2" t="inlineStr"/>
    </row>
    <row r="987" ht="15" customHeight="1">
      <c r="A987" t="inlineStr">
        <is>
          <t>A 4759-2022</t>
        </is>
      </c>
      <c r="B987" s="1" t="n">
        <v>44592</v>
      </c>
      <c r="C987" s="1" t="n">
        <v>46086</v>
      </c>
      <c r="D987" t="inlineStr">
        <is>
          <t>GÄVLEBORGS LÄN</t>
        </is>
      </c>
      <c r="E987" t="inlineStr">
        <is>
          <t>HUDIKSVALL</t>
        </is>
      </c>
      <c r="G987" t="n">
        <v>0.8</v>
      </c>
      <c r="H987" t="n">
        <v>0</v>
      </c>
      <c r="I987" t="n">
        <v>0</v>
      </c>
      <c r="J987" t="n">
        <v>0</v>
      </c>
      <c r="K987" t="n">
        <v>0</v>
      </c>
      <c r="L987" t="n">
        <v>0</v>
      </c>
      <c r="M987" t="n">
        <v>0</v>
      </c>
      <c r="N987" t="n">
        <v>0</v>
      </c>
      <c r="O987" t="n">
        <v>0</v>
      </c>
      <c r="P987" t="n">
        <v>0</v>
      </c>
      <c r="Q987" t="n">
        <v>0</v>
      </c>
      <c r="R987" s="2" t="inlineStr"/>
    </row>
    <row r="988" ht="15" customHeight="1">
      <c r="A988" t="inlineStr">
        <is>
          <t>A 7183-2022</t>
        </is>
      </c>
      <c r="B988" s="1" t="n">
        <v>44605</v>
      </c>
      <c r="C988" s="1" t="n">
        <v>46086</v>
      </c>
      <c r="D988" t="inlineStr">
        <is>
          <t>GÄVLEBORGS LÄN</t>
        </is>
      </c>
      <c r="E988" t="inlineStr">
        <is>
          <t>NORDANSTIG</t>
        </is>
      </c>
      <c r="G988" t="n">
        <v>1.1</v>
      </c>
      <c r="H988" t="n">
        <v>0</v>
      </c>
      <c r="I988" t="n">
        <v>0</v>
      </c>
      <c r="J988" t="n">
        <v>0</v>
      </c>
      <c r="K988" t="n">
        <v>0</v>
      </c>
      <c r="L988" t="n">
        <v>0</v>
      </c>
      <c r="M988" t="n">
        <v>0</v>
      </c>
      <c r="N988" t="n">
        <v>0</v>
      </c>
      <c r="O988" t="n">
        <v>0</v>
      </c>
      <c r="P988" t="n">
        <v>0</v>
      </c>
      <c r="Q988" t="n">
        <v>0</v>
      </c>
      <c r="R988" s="2" t="inlineStr"/>
    </row>
    <row r="989" ht="15" customHeight="1">
      <c r="A989" t="inlineStr">
        <is>
          <t>A 69833-2021</t>
        </is>
      </c>
      <c r="B989" s="1" t="n">
        <v>44532.6444212963</v>
      </c>
      <c r="C989" s="1" t="n">
        <v>46086</v>
      </c>
      <c r="D989" t="inlineStr">
        <is>
          <t>GÄVLEBORGS LÄN</t>
        </is>
      </c>
      <c r="E989" t="inlineStr">
        <is>
          <t>OCKELBO</t>
        </is>
      </c>
      <c r="G989" t="n">
        <v>0.6</v>
      </c>
      <c r="H989" t="n">
        <v>0</v>
      </c>
      <c r="I989" t="n">
        <v>0</v>
      </c>
      <c r="J989" t="n">
        <v>0</v>
      </c>
      <c r="K989" t="n">
        <v>0</v>
      </c>
      <c r="L989" t="n">
        <v>0</v>
      </c>
      <c r="M989" t="n">
        <v>0</v>
      </c>
      <c r="N989" t="n">
        <v>0</v>
      </c>
      <c r="O989" t="n">
        <v>0</v>
      </c>
      <c r="P989" t="n">
        <v>0</v>
      </c>
      <c r="Q989" t="n">
        <v>0</v>
      </c>
      <c r="R989" s="2" t="inlineStr"/>
    </row>
    <row r="990" ht="15" customHeight="1">
      <c r="A990" t="inlineStr">
        <is>
          <t>A 24208-2022</t>
        </is>
      </c>
      <c r="B990" s="1" t="n">
        <v>44725.59231481481</v>
      </c>
      <c r="C990" s="1" t="n">
        <v>46086</v>
      </c>
      <c r="D990" t="inlineStr">
        <is>
          <t>GÄVLEBORGS LÄN</t>
        </is>
      </c>
      <c r="E990" t="inlineStr">
        <is>
          <t>LJUSDAL</t>
        </is>
      </c>
      <c r="G990" t="n">
        <v>1.4</v>
      </c>
      <c r="H990" t="n">
        <v>0</v>
      </c>
      <c r="I990" t="n">
        <v>0</v>
      </c>
      <c r="J990" t="n">
        <v>0</v>
      </c>
      <c r="K990" t="n">
        <v>0</v>
      </c>
      <c r="L990" t="n">
        <v>0</v>
      </c>
      <c r="M990" t="n">
        <v>0</v>
      </c>
      <c r="N990" t="n">
        <v>0</v>
      </c>
      <c r="O990" t="n">
        <v>0</v>
      </c>
      <c r="P990" t="n">
        <v>0</v>
      </c>
      <c r="Q990" t="n">
        <v>0</v>
      </c>
      <c r="R990" s="2" t="inlineStr"/>
    </row>
    <row r="991" ht="15" customHeight="1">
      <c r="A991" t="inlineStr">
        <is>
          <t>A 39450-2022</t>
        </is>
      </c>
      <c r="B991" s="1" t="n">
        <v>44818.36261574074</v>
      </c>
      <c r="C991" s="1" t="n">
        <v>46086</v>
      </c>
      <c r="D991" t="inlineStr">
        <is>
          <t>GÄVLEBORGS LÄN</t>
        </is>
      </c>
      <c r="E991" t="inlineStr">
        <is>
          <t>OVANÅKER</t>
        </is>
      </c>
      <c r="G991" t="n">
        <v>2.3</v>
      </c>
      <c r="H991" t="n">
        <v>0</v>
      </c>
      <c r="I991" t="n">
        <v>0</v>
      </c>
      <c r="J991" t="n">
        <v>0</v>
      </c>
      <c r="K991" t="n">
        <v>0</v>
      </c>
      <c r="L991" t="n">
        <v>0</v>
      </c>
      <c r="M991" t="n">
        <v>0</v>
      </c>
      <c r="N991" t="n">
        <v>0</v>
      </c>
      <c r="O991" t="n">
        <v>0</v>
      </c>
      <c r="P991" t="n">
        <v>0</v>
      </c>
      <c r="Q991" t="n">
        <v>0</v>
      </c>
      <c r="R991" s="2" t="inlineStr"/>
    </row>
    <row r="992" ht="15" customHeight="1">
      <c r="A992" t="inlineStr">
        <is>
          <t>A 30515-2021</t>
        </is>
      </c>
      <c r="B992" s="1" t="n">
        <v>44364</v>
      </c>
      <c r="C992" s="1" t="n">
        <v>46086</v>
      </c>
      <c r="D992" t="inlineStr">
        <is>
          <t>GÄVLEBORGS LÄN</t>
        </is>
      </c>
      <c r="E992" t="inlineStr">
        <is>
          <t>NORDANSTIG</t>
        </is>
      </c>
      <c r="G992" t="n">
        <v>2.4</v>
      </c>
      <c r="H992" t="n">
        <v>0</v>
      </c>
      <c r="I992" t="n">
        <v>0</v>
      </c>
      <c r="J992" t="n">
        <v>0</v>
      </c>
      <c r="K992" t="n">
        <v>0</v>
      </c>
      <c r="L992" t="n">
        <v>0</v>
      </c>
      <c r="M992" t="n">
        <v>0</v>
      </c>
      <c r="N992" t="n">
        <v>0</v>
      </c>
      <c r="O992" t="n">
        <v>0</v>
      </c>
      <c r="P992" t="n">
        <v>0</v>
      </c>
      <c r="Q992" t="n">
        <v>0</v>
      </c>
      <c r="R992" s="2" t="inlineStr"/>
    </row>
    <row r="993" ht="15" customHeight="1">
      <c r="A993" t="inlineStr">
        <is>
          <t>A 40468-2022</t>
        </is>
      </c>
      <c r="B993" s="1" t="n">
        <v>44823.53434027778</v>
      </c>
      <c r="C993" s="1" t="n">
        <v>46086</v>
      </c>
      <c r="D993" t="inlineStr">
        <is>
          <t>GÄVLEBORGS LÄN</t>
        </is>
      </c>
      <c r="E993" t="inlineStr">
        <is>
          <t>SÖDERHAMN</t>
        </is>
      </c>
      <c r="G993" t="n">
        <v>1</v>
      </c>
      <c r="H993" t="n">
        <v>0</v>
      </c>
      <c r="I993" t="n">
        <v>0</v>
      </c>
      <c r="J993" t="n">
        <v>0</v>
      </c>
      <c r="K993" t="n">
        <v>0</v>
      </c>
      <c r="L993" t="n">
        <v>0</v>
      </c>
      <c r="M993" t="n">
        <v>0</v>
      </c>
      <c r="N993" t="n">
        <v>0</v>
      </c>
      <c r="O993" t="n">
        <v>0</v>
      </c>
      <c r="P993" t="n">
        <v>0</v>
      </c>
      <c r="Q993" t="n">
        <v>0</v>
      </c>
      <c r="R993" s="2" t="inlineStr"/>
    </row>
    <row r="994" ht="15" customHeight="1">
      <c r="A994" t="inlineStr">
        <is>
          <t>A 39687-2021</t>
        </is>
      </c>
      <c r="B994" s="1" t="n">
        <v>44417.45212962963</v>
      </c>
      <c r="C994" s="1" t="n">
        <v>46086</v>
      </c>
      <c r="D994" t="inlineStr">
        <is>
          <t>GÄVLEBORGS LÄN</t>
        </is>
      </c>
      <c r="E994" t="inlineStr">
        <is>
          <t>NORDANSTIG</t>
        </is>
      </c>
      <c r="G994" t="n">
        <v>6.9</v>
      </c>
      <c r="H994" t="n">
        <v>0</v>
      </c>
      <c r="I994" t="n">
        <v>0</v>
      </c>
      <c r="J994" t="n">
        <v>0</v>
      </c>
      <c r="K994" t="n">
        <v>0</v>
      </c>
      <c r="L994" t="n">
        <v>0</v>
      </c>
      <c r="M994" t="n">
        <v>0</v>
      </c>
      <c r="N994" t="n">
        <v>0</v>
      </c>
      <c r="O994" t="n">
        <v>0</v>
      </c>
      <c r="P994" t="n">
        <v>0</v>
      </c>
      <c r="Q994" t="n">
        <v>0</v>
      </c>
      <c r="R994" s="2" t="inlineStr"/>
    </row>
    <row r="995" ht="15" customHeight="1">
      <c r="A995" t="inlineStr">
        <is>
          <t>A 31535-2022</t>
        </is>
      </c>
      <c r="B995" s="1" t="n">
        <v>44775.34788194444</v>
      </c>
      <c r="C995" s="1" t="n">
        <v>46086</v>
      </c>
      <c r="D995" t="inlineStr">
        <is>
          <t>GÄVLEBORGS LÄN</t>
        </is>
      </c>
      <c r="E995" t="inlineStr">
        <is>
          <t>GÄVLE</t>
        </is>
      </c>
      <c r="G995" t="n">
        <v>8</v>
      </c>
      <c r="H995" t="n">
        <v>0</v>
      </c>
      <c r="I995" t="n">
        <v>0</v>
      </c>
      <c r="J995" t="n">
        <v>0</v>
      </c>
      <c r="K995" t="n">
        <v>0</v>
      </c>
      <c r="L995" t="n">
        <v>0</v>
      </c>
      <c r="M995" t="n">
        <v>0</v>
      </c>
      <c r="N995" t="n">
        <v>0</v>
      </c>
      <c r="O995" t="n">
        <v>0</v>
      </c>
      <c r="P995" t="n">
        <v>0</v>
      </c>
      <c r="Q995" t="n">
        <v>0</v>
      </c>
      <c r="R995" s="2" t="inlineStr"/>
    </row>
    <row r="996" ht="15" customHeight="1">
      <c r="A996" t="inlineStr">
        <is>
          <t>A 19741-2022</t>
        </is>
      </c>
      <c r="B996" s="1" t="n">
        <v>44694.59767361111</v>
      </c>
      <c r="C996" s="1" t="n">
        <v>46086</v>
      </c>
      <c r="D996" t="inlineStr">
        <is>
          <t>GÄVLEBORGS LÄN</t>
        </is>
      </c>
      <c r="E996" t="inlineStr">
        <is>
          <t>OVANÅKER</t>
        </is>
      </c>
      <c r="G996" t="n">
        <v>0.4</v>
      </c>
      <c r="H996" t="n">
        <v>0</v>
      </c>
      <c r="I996" t="n">
        <v>0</v>
      </c>
      <c r="J996" t="n">
        <v>0</v>
      </c>
      <c r="K996" t="n">
        <v>0</v>
      </c>
      <c r="L996" t="n">
        <v>0</v>
      </c>
      <c r="M996" t="n">
        <v>0</v>
      </c>
      <c r="N996" t="n">
        <v>0</v>
      </c>
      <c r="O996" t="n">
        <v>0</v>
      </c>
      <c r="P996" t="n">
        <v>0</v>
      </c>
      <c r="Q996" t="n">
        <v>0</v>
      </c>
      <c r="R996" s="2" t="inlineStr"/>
    </row>
    <row r="997" ht="15" customHeight="1">
      <c r="A997" t="inlineStr">
        <is>
          <t>A 43465-2021</t>
        </is>
      </c>
      <c r="B997" s="1" t="n">
        <v>44432.72325231481</v>
      </c>
      <c r="C997" s="1" t="n">
        <v>46086</v>
      </c>
      <c r="D997" t="inlineStr">
        <is>
          <t>GÄVLEBORGS LÄN</t>
        </is>
      </c>
      <c r="E997" t="inlineStr">
        <is>
          <t>SANDVIKEN</t>
        </is>
      </c>
      <c r="G997" t="n">
        <v>1.7</v>
      </c>
      <c r="H997" t="n">
        <v>0</v>
      </c>
      <c r="I997" t="n">
        <v>0</v>
      </c>
      <c r="J997" t="n">
        <v>0</v>
      </c>
      <c r="K997" t="n">
        <v>0</v>
      </c>
      <c r="L997" t="n">
        <v>0</v>
      </c>
      <c r="M997" t="n">
        <v>0</v>
      </c>
      <c r="N997" t="n">
        <v>0</v>
      </c>
      <c r="O997" t="n">
        <v>0</v>
      </c>
      <c r="P997" t="n">
        <v>0</v>
      </c>
      <c r="Q997" t="n">
        <v>0</v>
      </c>
      <c r="R997" s="2" t="inlineStr"/>
    </row>
    <row r="998" ht="15" customHeight="1">
      <c r="A998" t="inlineStr">
        <is>
          <t>A 48080-2022</t>
        </is>
      </c>
      <c r="B998" s="1" t="n">
        <v>44855</v>
      </c>
      <c r="C998" s="1" t="n">
        <v>46086</v>
      </c>
      <c r="D998" t="inlineStr">
        <is>
          <t>GÄVLEBORGS LÄN</t>
        </is>
      </c>
      <c r="E998" t="inlineStr">
        <is>
          <t>NORDANSTIG</t>
        </is>
      </c>
      <c r="F998" t="inlineStr">
        <is>
          <t>SCA</t>
        </is>
      </c>
      <c r="G998" t="n">
        <v>12.1</v>
      </c>
      <c r="H998" t="n">
        <v>0</v>
      </c>
      <c r="I998" t="n">
        <v>0</v>
      </c>
      <c r="J998" t="n">
        <v>0</v>
      </c>
      <c r="K998" t="n">
        <v>0</v>
      </c>
      <c r="L998" t="n">
        <v>0</v>
      </c>
      <c r="M998" t="n">
        <v>0</v>
      </c>
      <c r="N998" t="n">
        <v>0</v>
      </c>
      <c r="O998" t="n">
        <v>0</v>
      </c>
      <c r="P998" t="n">
        <v>0</v>
      </c>
      <c r="Q998" t="n">
        <v>0</v>
      </c>
      <c r="R998" s="2" t="inlineStr"/>
    </row>
    <row r="999" ht="15" customHeight="1">
      <c r="A999" t="inlineStr">
        <is>
          <t>A 30770-2021</t>
        </is>
      </c>
      <c r="B999" s="1" t="n">
        <v>44365</v>
      </c>
      <c r="C999" s="1" t="n">
        <v>46086</v>
      </c>
      <c r="D999" t="inlineStr">
        <is>
          <t>GÄVLEBORGS LÄN</t>
        </is>
      </c>
      <c r="E999" t="inlineStr">
        <is>
          <t>LJUSDAL</t>
        </is>
      </c>
      <c r="G999" t="n">
        <v>1.5</v>
      </c>
      <c r="H999" t="n">
        <v>0</v>
      </c>
      <c r="I999" t="n">
        <v>0</v>
      </c>
      <c r="J999" t="n">
        <v>0</v>
      </c>
      <c r="K999" t="n">
        <v>0</v>
      </c>
      <c r="L999" t="n">
        <v>0</v>
      </c>
      <c r="M999" t="n">
        <v>0</v>
      </c>
      <c r="N999" t="n">
        <v>0</v>
      </c>
      <c r="O999" t="n">
        <v>0</v>
      </c>
      <c r="P999" t="n">
        <v>0</v>
      </c>
      <c r="Q999" t="n">
        <v>0</v>
      </c>
      <c r="R999" s="2" t="inlineStr"/>
    </row>
    <row r="1000" ht="15" customHeight="1">
      <c r="A1000" t="inlineStr">
        <is>
          <t>A 48753-2021</t>
        </is>
      </c>
      <c r="B1000" s="1" t="n">
        <v>44452</v>
      </c>
      <c r="C1000" s="1" t="n">
        <v>46086</v>
      </c>
      <c r="D1000" t="inlineStr">
        <is>
          <t>GÄVLEBORGS LÄN</t>
        </is>
      </c>
      <c r="E1000" t="inlineStr">
        <is>
          <t>HUDIKSVALL</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50036-2021</t>
        </is>
      </c>
      <c r="B1001" s="1" t="n">
        <v>44456.49701388889</v>
      </c>
      <c r="C1001" s="1" t="n">
        <v>46086</v>
      </c>
      <c r="D1001" t="inlineStr">
        <is>
          <t>GÄVLEBORGS LÄN</t>
        </is>
      </c>
      <c r="E1001" t="inlineStr">
        <is>
          <t>NORDANSTIG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40159-2021</t>
        </is>
      </c>
      <c r="B1002" s="1" t="n">
        <v>44418</v>
      </c>
      <c r="C1002" s="1" t="n">
        <v>46086</v>
      </c>
      <c r="D1002" t="inlineStr">
        <is>
          <t>GÄVLEBORGS LÄN</t>
        </is>
      </c>
      <c r="E1002" t="inlineStr">
        <is>
          <t>OCKELBO</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43000-2021</t>
        </is>
      </c>
      <c r="B1003" s="1" t="n">
        <v>44431.45945601852</v>
      </c>
      <c r="C1003" s="1" t="n">
        <v>46086</v>
      </c>
      <c r="D1003" t="inlineStr">
        <is>
          <t>GÄVLEBORGS LÄN</t>
        </is>
      </c>
      <c r="E1003" t="inlineStr">
        <is>
          <t>LJUSDAL</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30391-2022</t>
        </is>
      </c>
      <c r="B1004" s="1" t="n">
        <v>44760.79641203704</v>
      </c>
      <c r="C1004" s="1" t="n">
        <v>46086</v>
      </c>
      <c r="D1004" t="inlineStr">
        <is>
          <t>GÄVLEBORGS LÄN</t>
        </is>
      </c>
      <c r="E1004" t="inlineStr">
        <is>
          <t>SANDVIKEN</t>
        </is>
      </c>
      <c r="F1004" t="inlineStr">
        <is>
          <t>Sveaskog</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26940-2022</t>
        </is>
      </c>
      <c r="B1005" s="1" t="n">
        <v>44740</v>
      </c>
      <c r="C1005" s="1" t="n">
        <v>46086</v>
      </c>
      <c r="D1005" t="inlineStr">
        <is>
          <t>GÄVLEBORGS LÄN</t>
        </is>
      </c>
      <c r="E1005" t="inlineStr">
        <is>
          <t>SÖDERHAMN</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51809-2021</t>
        </is>
      </c>
      <c r="B1006" s="1" t="n">
        <v>44462.64712962963</v>
      </c>
      <c r="C1006" s="1" t="n">
        <v>46086</v>
      </c>
      <c r="D1006" t="inlineStr">
        <is>
          <t>GÄVLEBORGS LÄN</t>
        </is>
      </c>
      <c r="E1006" t="inlineStr">
        <is>
          <t>GÄVLE</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55314-2021</t>
        </is>
      </c>
      <c r="B1007" s="1" t="n">
        <v>44475</v>
      </c>
      <c r="C1007" s="1" t="n">
        <v>46086</v>
      </c>
      <c r="D1007" t="inlineStr">
        <is>
          <t>GÄVLEBORGS LÄN</t>
        </is>
      </c>
      <c r="E1007" t="inlineStr">
        <is>
          <t>NORDANSTIG</t>
        </is>
      </c>
      <c r="F1007" t="inlineStr">
        <is>
          <t>Holmen skog AB</t>
        </is>
      </c>
      <c r="G1007" t="n">
        <v>8.199999999999999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55336-2021</t>
        </is>
      </c>
      <c r="B1008" s="1" t="n">
        <v>44475</v>
      </c>
      <c r="C1008" s="1" t="n">
        <v>46086</v>
      </c>
      <c r="D1008" t="inlineStr">
        <is>
          <t>GÄVLEBORGS LÄN</t>
        </is>
      </c>
      <c r="E1008" t="inlineStr">
        <is>
          <t>HUDIKSVALL</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68245-2021</t>
        </is>
      </c>
      <c r="B1009" s="1" t="n">
        <v>44526.60260416667</v>
      </c>
      <c r="C1009" s="1" t="n">
        <v>46086</v>
      </c>
      <c r="D1009" t="inlineStr">
        <is>
          <t>GÄVLEBORGS LÄN</t>
        </is>
      </c>
      <c r="E1009" t="inlineStr">
        <is>
          <t>OVANÅKER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12226-2021</t>
        </is>
      </c>
      <c r="B1010" s="1" t="n">
        <v>44266.68041666667</v>
      </c>
      <c r="C1010" s="1" t="n">
        <v>46086</v>
      </c>
      <c r="D1010" t="inlineStr">
        <is>
          <t>GÄVLEBORGS LÄN</t>
        </is>
      </c>
      <c r="E1010" t="inlineStr">
        <is>
          <t>BOLLNÄS</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34939-2022</t>
        </is>
      </c>
      <c r="B1011" s="1" t="n">
        <v>44796.62805555556</v>
      </c>
      <c r="C1011" s="1" t="n">
        <v>46086</v>
      </c>
      <c r="D1011" t="inlineStr">
        <is>
          <t>GÄVLEBORGS LÄN</t>
        </is>
      </c>
      <c r="E1011" t="inlineStr">
        <is>
          <t>BOLLNÄS</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50935-2021</t>
        </is>
      </c>
      <c r="B1012" s="1" t="n">
        <v>44460</v>
      </c>
      <c r="C1012" s="1" t="n">
        <v>46086</v>
      </c>
      <c r="D1012" t="inlineStr">
        <is>
          <t>GÄVLEBORGS LÄN</t>
        </is>
      </c>
      <c r="E1012" t="inlineStr">
        <is>
          <t>BOLLNÄS</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16305-2021</t>
        </is>
      </c>
      <c r="B1013" s="1" t="n">
        <v>44292</v>
      </c>
      <c r="C1013" s="1" t="n">
        <v>46086</v>
      </c>
      <c r="D1013" t="inlineStr">
        <is>
          <t>GÄVLEBORGS LÄN</t>
        </is>
      </c>
      <c r="E1013" t="inlineStr">
        <is>
          <t>SÖDERHAMN</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70914-2021</t>
        </is>
      </c>
      <c r="B1014" s="1" t="n">
        <v>44538.44221064815</v>
      </c>
      <c r="C1014" s="1" t="n">
        <v>46086</v>
      </c>
      <c r="D1014" t="inlineStr">
        <is>
          <t>GÄVLEBORGS LÄN</t>
        </is>
      </c>
      <c r="E1014" t="inlineStr">
        <is>
          <t>BOLLNÄS</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23629-2021</t>
        </is>
      </c>
      <c r="B1015" s="1" t="n">
        <v>44334</v>
      </c>
      <c r="C1015" s="1" t="n">
        <v>46086</v>
      </c>
      <c r="D1015" t="inlineStr">
        <is>
          <t>GÄVLEBORGS LÄN</t>
        </is>
      </c>
      <c r="E1015" t="inlineStr">
        <is>
          <t>OCKELBO</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62538-2021</t>
        </is>
      </c>
      <c r="B1016" s="1" t="n">
        <v>44503.61028935185</v>
      </c>
      <c r="C1016" s="1" t="n">
        <v>46086</v>
      </c>
      <c r="D1016" t="inlineStr">
        <is>
          <t>GÄVLEBORGS LÄN</t>
        </is>
      </c>
      <c r="E1016" t="inlineStr">
        <is>
          <t>SÖDERHAMN</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51250-2021</t>
        </is>
      </c>
      <c r="B1017" s="1" t="n">
        <v>44460</v>
      </c>
      <c r="C1017" s="1" t="n">
        <v>46086</v>
      </c>
      <c r="D1017" t="inlineStr">
        <is>
          <t>GÄVLEBORGS LÄN</t>
        </is>
      </c>
      <c r="E1017" t="inlineStr">
        <is>
          <t>OCKELBO</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44513-2021</t>
        </is>
      </c>
      <c r="B1018" s="1" t="n">
        <v>44435.61856481482</v>
      </c>
      <c r="C1018" s="1" t="n">
        <v>46086</v>
      </c>
      <c r="D1018" t="inlineStr">
        <is>
          <t>GÄVLEBORGS LÄN</t>
        </is>
      </c>
      <c r="E1018" t="inlineStr">
        <is>
          <t>NORDANSTIG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70219-2021</t>
        </is>
      </c>
      <c r="B1019" s="1" t="n">
        <v>44535</v>
      </c>
      <c r="C1019" s="1" t="n">
        <v>46086</v>
      </c>
      <c r="D1019" t="inlineStr">
        <is>
          <t>GÄVLEBORGS LÄN</t>
        </is>
      </c>
      <c r="E1019" t="inlineStr">
        <is>
          <t>HUDIKSVALL</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23955-2021</t>
        </is>
      </c>
      <c r="B1020" s="1" t="n">
        <v>44335.66545138889</v>
      </c>
      <c r="C1020" s="1" t="n">
        <v>46086</v>
      </c>
      <c r="D1020" t="inlineStr">
        <is>
          <t>GÄVLEBORGS LÄN</t>
        </is>
      </c>
      <c r="E1020" t="inlineStr">
        <is>
          <t>LJUSDAL</t>
        </is>
      </c>
      <c r="F1020" t="inlineStr">
        <is>
          <t>Holmen skog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24347-2022</t>
        </is>
      </c>
      <c r="B1021" s="1" t="n">
        <v>44726</v>
      </c>
      <c r="C1021" s="1" t="n">
        <v>46086</v>
      </c>
      <c r="D1021" t="inlineStr">
        <is>
          <t>GÄVLEBORGS LÄN</t>
        </is>
      </c>
      <c r="E1021" t="inlineStr">
        <is>
          <t>LJUSDAL</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60040-2021</t>
        </is>
      </c>
      <c r="B1022" s="1" t="n">
        <v>44495.32123842592</v>
      </c>
      <c r="C1022" s="1" t="n">
        <v>46086</v>
      </c>
      <c r="D1022" t="inlineStr">
        <is>
          <t>GÄVLEBORGS LÄN</t>
        </is>
      </c>
      <c r="E1022" t="inlineStr">
        <is>
          <t>HUDIKSVALL</t>
        </is>
      </c>
      <c r="F1022" t="inlineStr">
        <is>
          <t>Holmen skog AB</t>
        </is>
      </c>
      <c r="G1022" t="n">
        <v>10.4</v>
      </c>
      <c r="H1022" t="n">
        <v>0</v>
      </c>
      <c r="I1022" t="n">
        <v>0</v>
      </c>
      <c r="J1022" t="n">
        <v>0</v>
      </c>
      <c r="K1022" t="n">
        <v>0</v>
      </c>
      <c r="L1022" t="n">
        <v>0</v>
      </c>
      <c r="M1022" t="n">
        <v>0</v>
      </c>
      <c r="N1022" t="n">
        <v>0</v>
      </c>
      <c r="O1022" t="n">
        <v>0</v>
      </c>
      <c r="P1022" t="n">
        <v>0</v>
      </c>
      <c r="Q1022" t="n">
        <v>0</v>
      </c>
      <c r="R1022" s="2" t="inlineStr"/>
    </row>
    <row r="1023" ht="15" customHeight="1">
      <c r="A1023" t="inlineStr">
        <is>
          <t>A 7102-2022</t>
        </is>
      </c>
      <c r="B1023" s="1" t="n">
        <v>44603.61780092592</v>
      </c>
      <c r="C1023" s="1" t="n">
        <v>46086</v>
      </c>
      <c r="D1023" t="inlineStr">
        <is>
          <t>GÄVLEBORGS LÄN</t>
        </is>
      </c>
      <c r="E1023" t="inlineStr">
        <is>
          <t>BOLLNÄS</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58198-2021</t>
        </is>
      </c>
      <c r="B1024" s="1" t="n">
        <v>44487</v>
      </c>
      <c r="C1024" s="1" t="n">
        <v>46086</v>
      </c>
      <c r="D1024" t="inlineStr">
        <is>
          <t>GÄVLEBORGS LÄN</t>
        </is>
      </c>
      <c r="E1024" t="inlineStr">
        <is>
          <t>SÖDERHAMN</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15694-2022</t>
        </is>
      </c>
      <c r="B1025" s="1" t="n">
        <v>44663.42211805555</v>
      </c>
      <c r="C1025" s="1" t="n">
        <v>46086</v>
      </c>
      <c r="D1025" t="inlineStr">
        <is>
          <t>GÄVLEBORGS LÄN</t>
        </is>
      </c>
      <c r="E1025" t="inlineStr">
        <is>
          <t>OCKELBO</t>
        </is>
      </c>
      <c r="F1025" t="inlineStr">
        <is>
          <t>Bergvik skog väst AB</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15704-2022</t>
        </is>
      </c>
      <c r="B1026" s="1" t="n">
        <v>44663.44313657407</v>
      </c>
      <c r="C1026" s="1" t="n">
        <v>46086</v>
      </c>
      <c r="D1026" t="inlineStr">
        <is>
          <t>GÄVLEBORGS LÄN</t>
        </is>
      </c>
      <c r="E1026" t="inlineStr">
        <is>
          <t>GÄVLE</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1634-2022</t>
        </is>
      </c>
      <c r="B1027" s="1" t="n">
        <v>44573</v>
      </c>
      <c r="C1027" s="1" t="n">
        <v>46086</v>
      </c>
      <c r="D1027" t="inlineStr">
        <is>
          <t>GÄVLEBORGS LÄN</t>
        </is>
      </c>
      <c r="E1027" t="inlineStr">
        <is>
          <t>GÄVLE</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18983-2021</t>
        </is>
      </c>
      <c r="B1028" s="1" t="n">
        <v>44308</v>
      </c>
      <c r="C1028" s="1" t="n">
        <v>46086</v>
      </c>
      <c r="D1028" t="inlineStr">
        <is>
          <t>GÄVLEBORGS LÄN</t>
        </is>
      </c>
      <c r="E1028" t="inlineStr">
        <is>
          <t>OCKELBO</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15269-2022</t>
        </is>
      </c>
      <c r="B1029" s="1" t="n">
        <v>44659.36878472222</v>
      </c>
      <c r="C1029" s="1" t="n">
        <v>46086</v>
      </c>
      <c r="D1029" t="inlineStr">
        <is>
          <t>GÄVLEBORGS LÄN</t>
        </is>
      </c>
      <c r="E1029" t="inlineStr">
        <is>
          <t>BOLLNÄS</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15173-2021</t>
        </is>
      </c>
      <c r="B1030" s="1" t="n">
        <v>44284</v>
      </c>
      <c r="C1030" s="1" t="n">
        <v>46086</v>
      </c>
      <c r="D1030" t="inlineStr">
        <is>
          <t>GÄVLEBORGS LÄN</t>
        </is>
      </c>
      <c r="E1030" t="inlineStr">
        <is>
          <t>NORDANSTIG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40342-2022</t>
        </is>
      </c>
      <c r="B1031" s="1" t="n">
        <v>44823.3633912037</v>
      </c>
      <c r="C1031" s="1" t="n">
        <v>46086</v>
      </c>
      <c r="D1031" t="inlineStr">
        <is>
          <t>GÄVLEBORGS LÄN</t>
        </is>
      </c>
      <c r="E1031" t="inlineStr">
        <is>
          <t>NORDANSTIG</t>
        </is>
      </c>
      <c r="F1031" t="inlineStr">
        <is>
          <t>Holmen skog AB</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44287-2022</t>
        </is>
      </c>
      <c r="B1032" s="1" t="n">
        <v>44839.59350694445</v>
      </c>
      <c r="C1032" s="1" t="n">
        <v>46086</v>
      </c>
      <c r="D1032" t="inlineStr">
        <is>
          <t>GÄVLEBORGS LÄN</t>
        </is>
      </c>
      <c r="E1032" t="inlineStr">
        <is>
          <t>HUDIKSVALL</t>
        </is>
      </c>
      <c r="F1032" t="inlineStr">
        <is>
          <t>Holmen skog AB</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53673-2022</t>
        </is>
      </c>
      <c r="B1033" s="1" t="n">
        <v>44879</v>
      </c>
      <c r="C1033" s="1" t="n">
        <v>46086</v>
      </c>
      <c r="D1033" t="inlineStr">
        <is>
          <t>GÄVLEBORGS LÄN</t>
        </is>
      </c>
      <c r="E1033" t="inlineStr">
        <is>
          <t>NORDANSTIG</t>
        </is>
      </c>
      <c r="F1033" t="inlineStr">
        <is>
          <t>SCA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17487-2022</t>
        </is>
      </c>
      <c r="B1034" s="1" t="n">
        <v>44679.46375</v>
      </c>
      <c r="C1034" s="1" t="n">
        <v>46086</v>
      </c>
      <c r="D1034" t="inlineStr">
        <is>
          <t>GÄVLEBORGS LÄN</t>
        </is>
      </c>
      <c r="E1034" t="inlineStr">
        <is>
          <t>LJUSDAL</t>
        </is>
      </c>
      <c r="F1034" t="inlineStr">
        <is>
          <t>Holmen skog AB</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38824-2022</t>
        </is>
      </c>
      <c r="B1035" s="1" t="n">
        <v>44816.48034722222</v>
      </c>
      <c r="C1035" s="1" t="n">
        <v>46086</v>
      </c>
      <c r="D1035" t="inlineStr">
        <is>
          <t>GÄVLEBORGS LÄN</t>
        </is>
      </c>
      <c r="E1035" t="inlineStr">
        <is>
          <t>LJUSDAL</t>
        </is>
      </c>
      <c r="F1035" t="inlineStr">
        <is>
          <t>Holmen skog AB</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16646-2022</t>
        </is>
      </c>
      <c r="B1036" s="1" t="n">
        <v>44672.65672453704</v>
      </c>
      <c r="C1036" s="1" t="n">
        <v>46086</v>
      </c>
      <c r="D1036" t="inlineStr">
        <is>
          <t>GÄVLEBORGS LÄN</t>
        </is>
      </c>
      <c r="E1036" t="inlineStr">
        <is>
          <t>BOLLNÄS</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15824-2021</t>
        </is>
      </c>
      <c r="B1037" s="1" t="n">
        <v>44286</v>
      </c>
      <c r="C1037" s="1" t="n">
        <v>46086</v>
      </c>
      <c r="D1037" t="inlineStr">
        <is>
          <t>GÄVLEBORGS LÄN</t>
        </is>
      </c>
      <c r="E1037" t="inlineStr">
        <is>
          <t>GÄVLE</t>
        </is>
      </c>
      <c r="F1037" t="inlineStr">
        <is>
          <t>Bergvik skog väst AB</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54393-2022</t>
        </is>
      </c>
      <c r="B1038" s="1" t="n">
        <v>44882.52832175926</v>
      </c>
      <c r="C1038" s="1" t="n">
        <v>46086</v>
      </c>
      <c r="D1038" t="inlineStr">
        <is>
          <t>GÄVLEBORGS LÄN</t>
        </is>
      </c>
      <c r="E1038" t="inlineStr">
        <is>
          <t>GÄVLE</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23881-2022</t>
        </is>
      </c>
      <c r="B1039" s="1" t="n">
        <v>44722.5656712963</v>
      </c>
      <c r="C1039" s="1" t="n">
        <v>46086</v>
      </c>
      <c r="D1039" t="inlineStr">
        <is>
          <t>GÄVLEBORGS LÄN</t>
        </is>
      </c>
      <c r="E1039" t="inlineStr">
        <is>
          <t>NORDANSTIG</t>
        </is>
      </c>
      <c r="F1039" t="inlineStr">
        <is>
          <t>Holmen skog AB</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46975-2021</t>
        </is>
      </c>
      <c r="B1040" s="1" t="n">
        <v>44446.55512731482</v>
      </c>
      <c r="C1040" s="1" t="n">
        <v>46086</v>
      </c>
      <c r="D1040" t="inlineStr">
        <is>
          <t>GÄVLEBORGS LÄN</t>
        </is>
      </c>
      <c r="E1040" t="inlineStr">
        <is>
          <t>SÖDERHAMN</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54706-2022</t>
        </is>
      </c>
      <c r="B1041" s="1" t="n">
        <v>44883</v>
      </c>
      <c r="C1041" s="1" t="n">
        <v>46086</v>
      </c>
      <c r="D1041" t="inlineStr">
        <is>
          <t>GÄVLEBORGS LÄN</t>
        </is>
      </c>
      <c r="E1041" t="inlineStr">
        <is>
          <t>HUDIKSVALL</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54731-2022</t>
        </is>
      </c>
      <c r="B1042" s="1" t="n">
        <v>44883</v>
      </c>
      <c r="C1042" s="1" t="n">
        <v>46086</v>
      </c>
      <c r="D1042" t="inlineStr">
        <is>
          <t>GÄVLEBORGS LÄN</t>
        </is>
      </c>
      <c r="E1042" t="inlineStr">
        <is>
          <t>OVANÅKER</t>
        </is>
      </c>
      <c r="G1042" t="n">
        <v>21.8</v>
      </c>
      <c r="H1042" t="n">
        <v>0</v>
      </c>
      <c r="I1042" t="n">
        <v>0</v>
      </c>
      <c r="J1042" t="n">
        <v>0</v>
      </c>
      <c r="K1042" t="n">
        <v>0</v>
      </c>
      <c r="L1042" t="n">
        <v>0</v>
      </c>
      <c r="M1042" t="n">
        <v>0</v>
      </c>
      <c r="N1042" t="n">
        <v>0</v>
      </c>
      <c r="O1042" t="n">
        <v>0</v>
      </c>
      <c r="P1042" t="n">
        <v>0</v>
      </c>
      <c r="Q1042" t="n">
        <v>0</v>
      </c>
      <c r="R1042" s="2" t="inlineStr"/>
    </row>
    <row r="1043" ht="15" customHeight="1">
      <c r="A1043" t="inlineStr">
        <is>
          <t>A 54897-2022</t>
        </is>
      </c>
      <c r="B1043" s="1" t="n">
        <v>44886.37402777778</v>
      </c>
      <c r="C1043" s="1" t="n">
        <v>46086</v>
      </c>
      <c r="D1043" t="inlineStr">
        <is>
          <t>GÄVLEBORGS LÄN</t>
        </is>
      </c>
      <c r="E1043" t="inlineStr">
        <is>
          <t>BOLLNÄS</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50235-2022</t>
        </is>
      </c>
      <c r="B1044" s="1" t="n">
        <v>44865.66157407407</v>
      </c>
      <c r="C1044" s="1" t="n">
        <v>46086</v>
      </c>
      <c r="D1044" t="inlineStr">
        <is>
          <t>GÄVLEBORGS LÄN</t>
        </is>
      </c>
      <c r="E1044" t="inlineStr">
        <is>
          <t>HUDIKSVALL</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52780-2021</t>
        </is>
      </c>
      <c r="B1045" s="1" t="n">
        <v>44467.35469907407</v>
      </c>
      <c r="C1045" s="1" t="n">
        <v>46086</v>
      </c>
      <c r="D1045" t="inlineStr">
        <is>
          <t>GÄVLEBORGS LÄN</t>
        </is>
      </c>
      <c r="E1045" t="inlineStr">
        <is>
          <t>LJUSDAL</t>
        </is>
      </c>
      <c r="F1045" t="inlineStr">
        <is>
          <t>Sveaskog</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52784-2021</t>
        </is>
      </c>
      <c r="B1046" s="1" t="n">
        <v>44467.35965277778</v>
      </c>
      <c r="C1046" s="1" t="n">
        <v>46086</v>
      </c>
      <c r="D1046" t="inlineStr">
        <is>
          <t>GÄVLEBORGS LÄN</t>
        </is>
      </c>
      <c r="E1046" t="inlineStr">
        <is>
          <t>BOLLNÄS</t>
        </is>
      </c>
      <c r="F1046" t="inlineStr">
        <is>
          <t>Sveaskog</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62875-2021</t>
        </is>
      </c>
      <c r="B1047" s="1" t="n">
        <v>44504.60092592592</v>
      </c>
      <c r="C1047" s="1" t="n">
        <v>46086</v>
      </c>
      <c r="D1047" t="inlineStr">
        <is>
          <t>GÄVLEBORGS LÄN</t>
        </is>
      </c>
      <c r="E1047" t="inlineStr">
        <is>
          <t>HOFORS</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46256-2022</t>
        </is>
      </c>
      <c r="B1048" s="1" t="n">
        <v>44847</v>
      </c>
      <c r="C1048" s="1" t="n">
        <v>46086</v>
      </c>
      <c r="D1048" t="inlineStr">
        <is>
          <t>GÄVLEBORGS LÄN</t>
        </is>
      </c>
      <c r="E1048" t="inlineStr">
        <is>
          <t>LJUSDAL</t>
        </is>
      </c>
      <c r="F1048" t="inlineStr">
        <is>
          <t>Holmen skog AB</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42629-2022</t>
        </is>
      </c>
      <c r="B1049" s="1" t="n">
        <v>44831.92733796296</v>
      </c>
      <c r="C1049" s="1" t="n">
        <v>46086</v>
      </c>
      <c r="D1049" t="inlineStr">
        <is>
          <t>GÄVLEBORGS LÄN</t>
        </is>
      </c>
      <c r="E1049" t="inlineStr">
        <is>
          <t>NORDANSTIG</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46302-2022</t>
        </is>
      </c>
      <c r="B1050" s="1" t="n">
        <v>44847</v>
      </c>
      <c r="C1050" s="1" t="n">
        <v>46086</v>
      </c>
      <c r="D1050" t="inlineStr">
        <is>
          <t>GÄVLEBORGS LÄN</t>
        </is>
      </c>
      <c r="E1050" t="inlineStr">
        <is>
          <t>SÖDERHAMN</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38800-2022</t>
        </is>
      </c>
      <c r="B1051" s="1" t="n">
        <v>44816.44962962963</v>
      </c>
      <c r="C1051" s="1" t="n">
        <v>46086</v>
      </c>
      <c r="D1051" t="inlineStr">
        <is>
          <t>GÄVLEBORGS LÄN</t>
        </is>
      </c>
      <c r="E1051" t="inlineStr">
        <is>
          <t>NORDANSTIG</t>
        </is>
      </c>
      <c r="F1051" t="inlineStr">
        <is>
          <t>Holmen skog AB</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42404-2022</t>
        </is>
      </c>
      <c r="B1052" s="1" t="n">
        <v>44831.43390046297</v>
      </c>
      <c r="C1052" s="1" t="n">
        <v>46086</v>
      </c>
      <c r="D1052" t="inlineStr">
        <is>
          <t>GÄVLEBORGS LÄN</t>
        </is>
      </c>
      <c r="E1052" t="inlineStr">
        <is>
          <t>NORDANSTIG</t>
        </is>
      </c>
      <c r="F1052" t="inlineStr">
        <is>
          <t>Holmen skog AB</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48381-2022</t>
        </is>
      </c>
      <c r="B1053" s="1" t="n">
        <v>44858.59162037037</v>
      </c>
      <c r="C1053" s="1" t="n">
        <v>46086</v>
      </c>
      <c r="D1053" t="inlineStr">
        <is>
          <t>GÄVLEBORGS LÄN</t>
        </is>
      </c>
      <c r="E1053" t="inlineStr">
        <is>
          <t>OCKELBO</t>
        </is>
      </c>
      <c r="F1053" t="inlineStr">
        <is>
          <t>Bergvik skog väst AB</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40575-2022</t>
        </is>
      </c>
      <c r="B1054" s="1" t="n">
        <v>44823</v>
      </c>
      <c r="C1054" s="1" t="n">
        <v>46086</v>
      </c>
      <c r="D1054" t="inlineStr">
        <is>
          <t>GÄVLEBORGS LÄN</t>
        </is>
      </c>
      <c r="E1054" t="inlineStr">
        <is>
          <t>SÖDERHAMN</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51038-2022</t>
        </is>
      </c>
      <c r="B1055" s="1" t="n">
        <v>44868.31685185185</v>
      </c>
      <c r="C1055" s="1" t="n">
        <v>46086</v>
      </c>
      <c r="D1055" t="inlineStr">
        <is>
          <t>GÄVLEBORGS LÄN</t>
        </is>
      </c>
      <c r="E1055" t="inlineStr">
        <is>
          <t>BOLLNÄS</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33568-2022</t>
        </is>
      </c>
      <c r="B1056" s="1" t="n">
        <v>44789.41236111111</v>
      </c>
      <c r="C1056" s="1" t="n">
        <v>46086</v>
      </c>
      <c r="D1056" t="inlineStr">
        <is>
          <t>GÄVLEBORGS LÄN</t>
        </is>
      </c>
      <c r="E1056" t="inlineStr">
        <is>
          <t>LJUSDAL</t>
        </is>
      </c>
      <c r="F1056" t="inlineStr">
        <is>
          <t>Bergvik skog väst AB</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22206-2021</t>
        </is>
      </c>
      <c r="B1057" s="1" t="n">
        <v>44326</v>
      </c>
      <c r="C1057" s="1" t="n">
        <v>46086</v>
      </c>
      <c r="D1057" t="inlineStr">
        <is>
          <t>GÄVLEBORGS LÄN</t>
        </is>
      </c>
      <c r="E1057" t="inlineStr">
        <is>
          <t>LJUSDAL</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63783-2021</t>
        </is>
      </c>
      <c r="B1058" s="1" t="n">
        <v>44509.50847222222</v>
      </c>
      <c r="C1058" s="1" t="n">
        <v>46086</v>
      </c>
      <c r="D1058" t="inlineStr">
        <is>
          <t>GÄVLEBORGS LÄN</t>
        </is>
      </c>
      <c r="E1058" t="inlineStr">
        <is>
          <t>HUDIKSVALL</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46961-2022</t>
        </is>
      </c>
      <c r="B1059" s="1" t="n">
        <v>44851.94770833333</v>
      </c>
      <c r="C1059" s="1" t="n">
        <v>46086</v>
      </c>
      <c r="D1059" t="inlineStr">
        <is>
          <t>GÄVLEBORGS LÄN</t>
        </is>
      </c>
      <c r="E1059" t="inlineStr">
        <is>
          <t>BOLLNÄS</t>
        </is>
      </c>
      <c r="F1059" t="inlineStr">
        <is>
          <t>Bergvik skog väst AB</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534-2022</t>
        </is>
      </c>
      <c r="B1060" s="1" t="n">
        <v>44566.60619212963</v>
      </c>
      <c r="C1060" s="1" t="n">
        <v>46086</v>
      </c>
      <c r="D1060" t="inlineStr">
        <is>
          <t>GÄVLEBORGS LÄN</t>
        </is>
      </c>
      <c r="E1060" t="inlineStr">
        <is>
          <t>BOLLNÄS</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54398-2022</t>
        </is>
      </c>
      <c r="B1061" s="1" t="n">
        <v>44882.53259259259</v>
      </c>
      <c r="C1061" s="1" t="n">
        <v>46086</v>
      </c>
      <c r="D1061" t="inlineStr">
        <is>
          <t>GÄVLEBORGS LÄN</t>
        </is>
      </c>
      <c r="E1061" t="inlineStr">
        <is>
          <t>BOLLNÄS</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52226-2022</t>
        </is>
      </c>
      <c r="B1062" s="1" t="n">
        <v>44873</v>
      </c>
      <c r="C1062" s="1" t="n">
        <v>46086</v>
      </c>
      <c r="D1062" t="inlineStr">
        <is>
          <t>GÄVLEBORGS LÄN</t>
        </is>
      </c>
      <c r="E1062" t="inlineStr">
        <is>
          <t>LJUSDAL</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54546-2022</t>
        </is>
      </c>
      <c r="B1063" s="1" t="n">
        <v>44882.82246527778</v>
      </c>
      <c r="C1063" s="1" t="n">
        <v>46086</v>
      </c>
      <c r="D1063" t="inlineStr">
        <is>
          <t>GÄVLEBORGS LÄN</t>
        </is>
      </c>
      <c r="E1063" t="inlineStr">
        <is>
          <t>BOLLNÄS</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51853-2022</t>
        </is>
      </c>
      <c r="B1064" s="1" t="n">
        <v>44872</v>
      </c>
      <c r="C1064" s="1" t="n">
        <v>46086</v>
      </c>
      <c r="D1064" t="inlineStr">
        <is>
          <t>GÄVLEBORGS LÄN</t>
        </is>
      </c>
      <c r="E1064" t="inlineStr">
        <is>
          <t>LJUSDAL</t>
        </is>
      </c>
      <c r="F1064" t="inlineStr">
        <is>
          <t>Bergvik skog väst AB</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486-2022</t>
        </is>
      </c>
      <c r="B1065" s="1" t="n">
        <v>44566</v>
      </c>
      <c r="C1065" s="1" t="n">
        <v>46086</v>
      </c>
      <c r="D1065" t="inlineStr">
        <is>
          <t>GÄVLEBORGS LÄN</t>
        </is>
      </c>
      <c r="E1065" t="inlineStr">
        <is>
          <t>HUDIKSVALL</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29858-2021</t>
        </is>
      </c>
      <c r="B1066" s="1" t="n">
        <v>44362</v>
      </c>
      <c r="C1066" s="1" t="n">
        <v>46086</v>
      </c>
      <c r="D1066" t="inlineStr">
        <is>
          <t>GÄVLEBORGS LÄN</t>
        </is>
      </c>
      <c r="E1066" t="inlineStr">
        <is>
          <t>HUDIKSVALL</t>
        </is>
      </c>
      <c r="F1066" t="inlineStr">
        <is>
          <t>Holmen skog AB</t>
        </is>
      </c>
      <c r="G1066" t="n">
        <v>8.1</v>
      </c>
      <c r="H1066" t="n">
        <v>0</v>
      </c>
      <c r="I1066" t="n">
        <v>0</v>
      </c>
      <c r="J1066" t="n">
        <v>0</v>
      </c>
      <c r="K1066" t="n">
        <v>0</v>
      </c>
      <c r="L1066" t="n">
        <v>0</v>
      </c>
      <c r="M1066" t="n">
        <v>0</v>
      </c>
      <c r="N1066" t="n">
        <v>0</v>
      </c>
      <c r="O1066" t="n">
        <v>0</v>
      </c>
      <c r="P1066" t="n">
        <v>0</v>
      </c>
      <c r="Q1066" t="n">
        <v>0</v>
      </c>
      <c r="R1066" s="2" t="inlineStr"/>
    </row>
    <row r="1067" ht="15" customHeight="1">
      <c r="A1067" t="inlineStr">
        <is>
          <t>A 24894-2021</t>
        </is>
      </c>
      <c r="B1067" s="1" t="n">
        <v>44341</v>
      </c>
      <c r="C1067" s="1" t="n">
        <v>46086</v>
      </c>
      <c r="D1067" t="inlineStr">
        <is>
          <t>GÄVLEBORGS LÄN</t>
        </is>
      </c>
      <c r="E1067" t="inlineStr">
        <is>
          <t>LJUSDAL</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15876-2022</t>
        </is>
      </c>
      <c r="B1068" s="1" t="n">
        <v>44664.47868055556</v>
      </c>
      <c r="C1068" s="1" t="n">
        <v>46086</v>
      </c>
      <c r="D1068" t="inlineStr">
        <is>
          <t>GÄVLEBORGS LÄN</t>
        </is>
      </c>
      <c r="E1068" t="inlineStr">
        <is>
          <t>HUDIKSVALL</t>
        </is>
      </c>
      <c r="F1068" t="inlineStr">
        <is>
          <t>Holmen skog AB</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7592-2022</t>
        </is>
      </c>
      <c r="B1069" s="1" t="n">
        <v>44607.63438657407</v>
      </c>
      <c r="C1069" s="1" t="n">
        <v>46086</v>
      </c>
      <c r="D1069" t="inlineStr">
        <is>
          <t>GÄVLEBORGS LÄN</t>
        </is>
      </c>
      <c r="E1069" t="inlineStr">
        <is>
          <t>LJUSDAL</t>
        </is>
      </c>
      <c r="F1069" t="inlineStr">
        <is>
          <t>Holmen skog AB</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41663-2021</t>
        </is>
      </c>
      <c r="B1070" s="1" t="n">
        <v>44425</v>
      </c>
      <c r="C1070" s="1" t="n">
        <v>46086</v>
      </c>
      <c r="D1070" t="inlineStr">
        <is>
          <t>GÄVLEBORGS LÄN</t>
        </is>
      </c>
      <c r="E1070" t="inlineStr">
        <is>
          <t>LJUSDAL</t>
        </is>
      </c>
      <c r="F1070" t="inlineStr">
        <is>
          <t>Sveaskog</t>
        </is>
      </c>
      <c r="G1070" t="n">
        <v>8.9</v>
      </c>
      <c r="H1070" t="n">
        <v>0</v>
      </c>
      <c r="I1070" t="n">
        <v>0</v>
      </c>
      <c r="J1070" t="n">
        <v>0</v>
      </c>
      <c r="K1070" t="n">
        <v>0</v>
      </c>
      <c r="L1070" t="n">
        <v>0</v>
      </c>
      <c r="M1070" t="n">
        <v>0</v>
      </c>
      <c r="N1070" t="n">
        <v>0</v>
      </c>
      <c r="O1070" t="n">
        <v>0</v>
      </c>
      <c r="P1070" t="n">
        <v>0</v>
      </c>
      <c r="Q1070" t="n">
        <v>0</v>
      </c>
      <c r="R1070" s="2" t="inlineStr"/>
    </row>
    <row r="1071" ht="15" customHeight="1">
      <c r="A1071" t="inlineStr">
        <is>
          <t>A 45494-2022</t>
        </is>
      </c>
      <c r="B1071" s="1" t="n">
        <v>44841</v>
      </c>
      <c r="C1071" s="1" t="n">
        <v>46086</v>
      </c>
      <c r="D1071" t="inlineStr">
        <is>
          <t>GÄVLEBORGS LÄN</t>
        </is>
      </c>
      <c r="E1071" t="inlineStr">
        <is>
          <t>SÖDERHAMN</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18350-2021</t>
        </is>
      </c>
      <c r="B1072" s="1" t="n">
        <v>44305</v>
      </c>
      <c r="C1072" s="1" t="n">
        <v>46086</v>
      </c>
      <c r="D1072" t="inlineStr">
        <is>
          <t>GÄVLEBORGS LÄN</t>
        </is>
      </c>
      <c r="E1072" t="inlineStr">
        <is>
          <t>OVANÅKER</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13401-2022</t>
        </is>
      </c>
      <c r="B1073" s="1" t="n">
        <v>44645.52770833333</v>
      </c>
      <c r="C1073" s="1" t="n">
        <v>46086</v>
      </c>
      <c r="D1073" t="inlineStr">
        <is>
          <t>GÄVLEBORGS LÄN</t>
        </is>
      </c>
      <c r="E1073" t="inlineStr">
        <is>
          <t>BOLLNÄS</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52276-2022</t>
        </is>
      </c>
      <c r="B1074" s="1" t="n">
        <v>44873.65104166666</v>
      </c>
      <c r="C1074" s="1" t="n">
        <v>46086</v>
      </c>
      <c r="D1074" t="inlineStr">
        <is>
          <t>GÄVLEBORGS LÄN</t>
        </is>
      </c>
      <c r="E1074" t="inlineStr">
        <is>
          <t>SANDVIKEN</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15982-2021</t>
        </is>
      </c>
      <c r="B1075" s="1" t="n">
        <v>44287</v>
      </c>
      <c r="C1075" s="1" t="n">
        <v>46086</v>
      </c>
      <c r="D1075" t="inlineStr">
        <is>
          <t>GÄVLEBORGS LÄN</t>
        </is>
      </c>
      <c r="E1075" t="inlineStr">
        <is>
          <t>NORDANSTIG</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25446-2021</t>
        </is>
      </c>
      <c r="B1076" s="1" t="n">
        <v>44342.67332175926</v>
      </c>
      <c r="C1076" s="1" t="n">
        <v>46086</v>
      </c>
      <c r="D1076" t="inlineStr">
        <is>
          <t>GÄVLEBORGS LÄN</t>
        </is>
      </c>
      <c r="E1076" t="inlineStr">
        <is>
          <t>GÄVLE</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25494-2021</t>
        </is>
      </c>
      <c r="B1077" s="1" t="n">
        <v>44342.92086805555</v>
      </c>
      <c r="C1077" s="1" t="n">
        <v>46086</v>
      </c>
      <c r="D1077" t="inlineStr">
        <is>
          <t>GÄVLEBORGS LÄN</t>
        </is>
      </c>
      <c r="E1077" t="inlineStr">
        <is>
          <t>LJUSDAL</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18078-2021</t>
        </is>
      </c>
      <c r="B1078" s="1" t="n">
        <v>44302.45065972222</v>
      </c>
      <c r="C1078" s="1" t="n">
        <v>46086</v>
      </c>
      <c r="D1078" t="inlineStr">
        <is>
          <t>GÄVLEBORGS LÄN</t>
        </is>
      </c>
      <c r="E1078" t="inlineStr">
        <is>
          <t>LJUSDAL</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19143-2022</t>
        </is>
      </c>
      <c r="B1079" s="1" t="n">
        <v>44691.62394675926</v>
      </c>
      <c r="C1079" s="1" t="n">
        <v>46086</v>
      </c>
      <c r="D1079" t="inlineStr">
        <is>
          <t>GÄVLEBORGS LÄN</t>
        </is>
      </c>
      <c r="E1079" t="inlineStr">
        <is>
          <t>BOLLNÄS</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21436-2022</t>
        </is>
      </c>
      <c r="B1080" s="1" t="n">
        <v>44706.34598379629</v>
      </c>
      <c r="C1080" s="1" t="n">
        <v>46086</v>
      </c>
      <c r="D1080" t="inlineStr">
        <is>
          <t>GÄVLEBORGS LÄN</t>
        </is>
      </c>
      <c r="E1080" t="inlineStr">
        <is>
          <t>HUDIKSVALL</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11189-2022</t>
        </is>
      </c>
      <c r="B1081" s="1" t="n">
        <v>44629</v>
      </c>
      <c r="C1081" s="1" t="n">
        <v>46086</v>
      </c>
      <c r="D1081" t="inlineStr">
        <is>
          <t>GÄVLEBORGS LÄN</t>
        </is>
      </c>
      <c r="E1081" t="inlineStr">
        <is>
          <t>GÄVLE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55489-2021</t>
        </is>
      </c>
      <c r="B1082" s="1" t="n">
        <v>44475.61556712963</v>
      </c>
      <c r="C1082" s="1" t="n">
        <v>46086</v>
      </c>
      <c r="D1082" t="inlineStr">
        <is>
          <t>GÄVLEBORGS LÄN</t>
        </is>
      </c>
      <c r="E1082" t="inlineStr">
        <is>
          <t>HUDIKSVALL</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45584-2021</t>
        </is>
      </c>
      <c r="B1083" s="1" t="n">
        <v>44440.6995949074</v>
      </c>
      <c r="C1083" s="1" t="n">
        <v>46086</v>
      </c>
      <c r="D1083" t="inlineStr">
        <is>
          <t>GÄVLEBORGS LÄN</t>
        </is>
      </c>
      <c r="E1083" t="inlineStr">
        <is>
          <t>LJUSDAL</t>
        </is>
      </c>
      <c r="F1083" t="inlineStr">
        <is>
          <t>Holmen skog AB</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29933-2022</t>
        </is>
      </c>
      <c r="B1084" s="1" t="n">
        <v>44756.58375</v>
      </c>
      <c r="C1084" s="1" t="n">
        <v>46086</v>
      </c>
      <c r="D1084" t="inlineStr">
        <is>
          <t>GÄVLEBORGS LÄN</t>
        </is>
      </c>
      <c r="E1084" t="inlineStr">
        <is>
          <t>GÄVLE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29949-2022</t>
        </is>
      </c>
      <c r="B1085" s="1" t="n">
        <v>44756.62429398148</v>
      </c>
      <c r="C1085" s="1" t="n">
        <v>46086</v>
      </c>
      <c r="D1085" t="inlineStr">
        <is>
          <t>GÄVLEBORGS LÄN</t>
        </is>
      </c>
      <c r="E1085" t="inlineStr">
        <is>
          <t>LJUSDAL</t>
        </is>
      </c>
      <c r="F1085" t="inlineStr">
        <is>
          <t>Sveaskog</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21709-2021</t>
        </is>
      </c>
      <c r="B1086" s="1" t="n">
        <v>44322</v>
      </c>
      <c r="C1086" s="1" t="n">
        <v>46086</v>
      </c>
      <c r="D1086" t="inlineStr">
        <is>
          <t>GÄVLEBORGS LÄN</t>
        </is>
      </c>
      <c r="E1086" t="inlineStr">
        <is>
          <t>OVANÅKER</t>
        </is>
      </c>
      <c r="F1086" t="inlineStr">
        <is>
          <t>Bergvik skog väst AB</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24162-2021</t>
        </is>
      </c>
      <c r="B1087" s="1" t="n">
        <v>44336.60556712963</v>
      </c>
      <c r="C1087" s="1" t="n">
        <v>46086</v>
      </c>
      <c r="D1087" t="inlineStr">
        <is>
          <t>GÄVLEBORGS LÄN</t>
        </is>
      </c>
      <c r="E1087" t="inlineStr">
        <is>
          <t>HUDIKSVALL</t>
        </is>
      </c>
      <c r="F1087" t="inlineStr">
        <is>
          <t>Holmen skog AB</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22239-2021</t>
        </is>
      </c>
      <c r="B1088" s="1" t="n">
        <v>44326</v>
      </c>
      <c r="C1088" s="1" t="n">
        <v>46086</v>
      </c>
      <c r="D1088" t="inlineStr">
        <is>
          <t>GÄVLEBORGS LÄN</t>
        </is>
      </c>
      <c r="E1088" t="inlineStr">
        <is>
          <t>LJUSDAL</t>
        </is>
      </c>
      <c r="G1088" t="n">
        <v>13.9</v>
      </c>
      <c r="H1088" t="n">
        <v>0</v>
      </c>
      <c r="I1088" t="n">
        <v>0</v>
      </c>
      <c r="J1088" t="n">
        <v>0</v>
      </c>
      <c r="K1088" t="n">
        <v>0</v>
      </c>
      <c r="L1088" t="n">
        <v>0</v>
      </c>
      <c r="M1088" t="n">
        <v>0</v>
      </c>
      <c r="N1088" t="n">
        <v>0</v>
      </c>
      <c r="O1088" t="n">
        <v>0</v>
      </c>
      <c r="P1088" t="n">
        <v>0</v>
      </c>
      <c r="Q1088" t="n">
        <v>0</v>
      </c>
      <c r="R1088" s="2" t="inlineStr"/>
    </row>
    <row r="1089" ht="15" customHeight="1">
      <c r="A1089" t="inlineStr">
        <is>
          <t>A 16344-2022</t>
        </is>
      </c>
      <c r="B1089" s="1" t="n">
        <v>44670</v>
      </c>
      <c r="C1089" s="1" t="n">
        <v>46086</v>
      </c>
      <c r="D1089" t="inlineStr">
        <is>
          <t>GÄVLEBORGS LÄN</t>
        </is>
      </c>
      <c r="E1089" t="inlineStr">
        <is>
          <t>HUDIKSVALL</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64706-2021</t>
        </is>
      </c>
      <c r="B1090" s="1" t="n">
        <v>44512</v>
      </c>
      <c r="C1090" s="1" t="n">
        <v>46086</v>
      </c>
      <c r="D1090" t="inlineStr">
        <is>
          <t>GÄVLEBORGS LÄN</t>
        </is>
      </c>
      <c r="E1090" t="inlineStr">
        <is>
          <t>HOFORS</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18151-2021</t>
        </is>
      </c>
      <c r="B1091" s="1" t="n">
        <v>44302</v>
      </c>
      <c r="C1091" s="1" t="n">
        <v>46086</v>
      </c>
      <c r="D1091" t="inlineStr">
        <is>
          <t>GÄVLEBORGS LÄN</t>
        </is>
      </c>
      <c r="E1091" t="inlineStr">
        <is>
          <t>LJUSDAL</t>
        </is>
      </c>
      <c r="F1091" t="inlineStr">
        <is>
          <t>Sveaskog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18496-2021</t>
        </is>
      </c>
      <c r="B1092" s="1" t="n">
        <v>44306.39076388889</v>
      </c>
      <c r="C1092" s="1" t="n">
        <v>46086</v>
      </c>
      <c r="D1092" t="inlineStr">
        <is>
          <t>GÄVLEBORGS LÄN</t>
        </is>
      </c>
      <c r="E1092" t="inlineStr">
        <is>
          <t>SANDVIKEN</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16923-2022</t>
        </is>
      </c>
      <c r="B1093" s="1" t="n">
        <v>44676.44880787037</v>
      </c>
      <c r="C1093" s="1" t="n">
        <v>46086</v>
      </c>
      <c r="D1093" t="inlineStr">
        <is>
          <t>GÄVLEBORGS LÄN</t>
        </is>
      </c>
      <c r="E1093" t="inlineStr">
        <is>
          <t>BOLLNÄS</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19496-2021</t>
        </is>
      </c>
      <c r="B1094" s="1" t="n">
        <v>44312</v>
      </c>
      <c r="C1094" s="1" t="n">
        <v>46086</v>
      </c>
      <c r="D1094" t="inlineStr">
        <is>
          <t>GÄVLEBORGS LÄN</t>
        </is>
      </c>
      <c r="E1094" t="inlineStr">
        <is>
          <t>NORDANSTIG</t>
        </is>
      </c>
      <c r="G1094" t="n">
        <v>5.5</v>
      </c>
      <c r="H1094" t="n">
        <v>0</v>
      </c>
      <c r="I1094" t="n">
        <v>0</v>
      </c>
      <c r="J1094" t="n">
        <v>0</v>
      </c>
      <c r="K1094" t="n">
        <v>0</v>
      </c>
      <c r="L1094" t="n">
        <v>0</v>
      </c>
      <c r="M1094" t="n">
        <v>0</v>
      </c>
      <c r="N1094" t="n">
        <v>0</v>
      </c>
      <c r="O1094" t="n">
        <v>0</v>
      </c>
      <c r="P1094" t="n">
        <v>0</v>
      </c>
      <c r="Q1094" t="n">
        <v>0</v>
      </c>
      <c r="R1094" s="2" t="inlineStr"/>
    </row>
    <row r="1095" ht="15" customHeight="1">
      <c r="A1095" t="inlineStr">
        <is>
          <t>A 30615-2022</t>
        </is>
      </c>
      <c r="B1095" s="1" t="n">
        <v>44763</v>
      </c>
      <c r="C1095" s="1" t="n">
        <v>46086</v>
      </c>
      <c r="D1095" t="inlineStr">
        <is>
          <t>GÄVLEBORGS LÄN</t>
        </is>
      </c>
      <c r="E1095" t="inlineStr">
        <is>
          <t>BOLLNÄS</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17555-2021</t>
        </is>
      </c>
      <c r="B1096" s="1" t="n">
        <v>44299.64576388889</v>
      </c>
      <c r="C1096" s="1" t="n">
        <v>46086</v>
      </c>
      <c r="D1096" t="inlineStr">
        <is>
          <t>GÄVLEBORGS LÄN</t>
        </is>
      </c>
      <c r="E1096" t="inlineStr">
        <is>
          <t>BOLLNÄS</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64843-2021</t>
        </is>
      </c>
      <c r="B1097" s="1" t="n">
        <v>44512.56739583334</v>
      </c>
      <c r="C1097" s="1" t="n">
        <v>46086</v>
      </c>
      <c r="D1097" t="inlineStr">
        <is>
          <t>GÄVLEBORGS LÄN</t>
        </is>
      </c>
      <c r="E1097" t="inlineStr">
        <is>
          <t>OVANÅKER</t>
        </is>
      </c>
      <c r="F1097" t="inlineStr">
        <is>
          <t>Bergvik skog väst AB</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27083-2021</t>
        </is>
      </c>
      <c r="B1098" s="1" t="n">
        <v>44350.48465277778</v>
      </c>
      <c r="C1098" s="1" t="n">
        <v>46086</v>
      </c>
      <c r="D1098" t="inlineStr">
        <is>
          <t>GÄVLEBORGS LÄN</t>
        </is>
      </c>
      <c r="E1098" t="inlineStr">
        <is>
          <t>HUDIKSVALL</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26715-2021</t>
        </is>
      </c>
      <c r="B1099" s="1" t="n">
        <v>44349.36012731482</v>
      </c>
      <c r="C1099" s="1" t="n">
        <v>46086</v>
      </c>
      <c r="D1099" t="inlineStr">
        <is>
          <t>GÄVLEBORGS LÄN</t>
        </is>
      </c>
      <c r="E1099" t="inlineStr">
        <is>
          <t>LJUSDAL</t>
        </is>
      </c>
      <c r="F1099" t="inlineStr">
        <is>
          <t>Sveaskog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26782-2021</t>
        </is>
      </c>
      <c r="B1100" s="1" t="n">
        <v>44349</v>
      </c>
      <c r="C1100" s="1" t="n">
        <v>46086</v>
      </c>
      <c r="D1100" t="inlineStr">
        <is>
          <t>GÄVLEBORGS LÄN</t>
        </is>
      </c>
      <c r="E1100" t="inlineStr">
        <is>
          <t>HUDIKSVALL</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26269-2021</t>
        </is>
      </c>
      <c r="B1101" s="1" t="n">
        <v>44347.50230324074</v>
      </c>
      <c r="C1101" s="1" t="n">
        <v>46086</v>
      </c>
      <c r="D1101" t="inlineStr">
        <is>
          <t>GÄVLEBORGS LÄN</t>
        </is>
      </c>
      <c r="E1101" t="inlineStr">
        <is>
          <t>OVANÅKER</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16532-2021</t>
        </is>
      </c>
      <c r="B1102" s="1" t="n">
        <v>44293.66891203704</v>
      </c>
      <c r="C1102" s="1" t="n">
        <v>46086</v>
      </c>
      <c r="D1102" t="inlineStr">
        <is>
          <t>GÄVLEBORGS LÄN</t>
        </is>
      </c>
      <c r="E1102" t="inlineStr">
        <is>
          <t>SÖDERHAMN</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59629-2021</t>
        </is>
      </c>
      <c r="B1103" s="1" t="n">
        <v>44492</v>
      </c>
      <c r="C1103" s="1" t="n">
        <v>46086</v>
      </c>
      <c r="D1103" t="inlineStr">
        <is>
          <t>GÄVLEBORGS LÄN</t>
        </is>
      </c>
      <c r="E1103" t="inlineStr">
        <is>
          <t>OCKELBO</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55082-2021</t>
        </is>
      </c>
      <c r="B1104" s="1" t="n">
        <v>44474.65907407407</v>
      </c>
      <c r="C1104" s="1" t="n">
        <v>46086</v>
      </c>
      <c r="D1104" t="inlineStr">
        <is>
          <t>GÄVLEBORGS LÄN</t>
        </is>
      </c>
      <c r="E1104" t="inlineStr">
        <is>
          <t>SANDVIKEN</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34462-2021</t>
        </is>
      </c>
      <c r="B1105" s="1" t="n">
        <v>44381</v>
      </c>
      <c r="C1105" s="1" t="n">
        <v>46086</v>
      </c>
      <c r="D1105" t="inlineStr">
        <is>
          <t>GÄVLEBORGS LÄN</t>
        </is>
      </c>
      <c r="E1105" t="inlineStr">
        <is>
          <t>BOLLNÄS</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38447-2022</t>
        </is>
      </c>
      <c r="B1106" s="1" t="n">
        <v>44813.51212962963</v>
      </c>
      <c r="C1106" s="1" t="n">
        <v>46086</v>
      </c>
      <c r="D1106" t="inlineStr">
        <is>
          <t>GÄVLEBORGS LÄN</t>
        </is>
      </c>
      <c r="E1106" t="inlineStr">
        <is>
          <t>GÄVLE</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38348-2022</t>
        </is>
      </c>
      <c r="B1107" s="1" t="n">
        <v>44812.63510416666</v>
      </c>
      <c r="C1107" s="1" t="n">
        <v>46086</v>
      </c>
      <c r="D1107" t="inlineStr">
        <is>
          <t>GÄVLEBORGS LÄN</t>
        </is>
      </c>
      <c r="E1107" t="inlineStr">
        <is>
          <t>NORDANSTIG</t>
        </is>
      </c>
      <c r="F1107" t="inlineStr">
        <is>
          <t>Holmen skog AB</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27276-2022</t>
        </is>
      </c>
      <c r="B1108" s="1" t="n">
        <v>44741.92570601852</v>
      </c>
      <c r="C1108" s="1" t="n">
        <v>46086</v>
      </c>
      <c r="D1108" t="inlineStr">
        <is>
          <t>GÄVLEBORGS LÄN</t>
        </is>
      </c>
      <c r="E1108" t="inlineStr">
        <is>
          <t>NORDANSTIG</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45992-2021</t>
        </is>
      </c>
      <c r="B1109" s="1" t="n">
        <v>44441</v>
      </c>
      <c r="C1109" s="1" t="n">
        <v>46086</v>
      </c>
      <c r="D1109" t="inlineStr">
        <is>
          <t>GÄVLEBORGS LÄN</t>
        </is>
      </c>
      <c r="E1109" t="inlineStr">
        <is>
          <t>SANDVIKEN</t>
        </is>
      </c>
      <c r="F1109" t="inlineStr">
        <is>
          <t>Sveaskog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40787-2022</t>
        </is>
      </c>
      <c r="B1110" s="1" t="n">
        <v>44824</v>
      </c>
      <c r="C1110" s="1" t="n">
        <v>46086</v>
      </c>
      <c r="D1110" t="inlineStr">
        <is>
          <t>GÄVLEBORGS LÄN</t>
        </is>
      </c>
      <c r="E1110" t="inlineStr">
        <is>
          <t>LJUSDAL</t>
        </is>
      </c>
      <c r="F1110" t="inlineStr">
        <is>
          <t>Holmen skog AB</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29479-2021</t>
        </is>
      </c>
      <c r="B1111" s="1" t="n">
        <v>44361.63824074074</v>
      </c>
      <c r="C1111" s="1" t="n">
        <v>46086</v>
      </c>
      <c r="D1111" t="inlineStr">
        <is>
          <t>GÄVLEBORGS LÄN</t>
        </is>
      </c>
      <c r="E1111" t="inlineStr">
        <is>
          <t>LJUSDAL</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64120-2021</t>
        </is>
      </c>
      <c r="B1112" s="1" t="n">
        <v>44510</v>
      </c>
      <c r="C1112" s="1" t="n">
        <v>46086</v>
      </c>
      <c r="D1112" t="inlineStr">
        <is>
          <t>GÄVLEBORGS LÄN</t>
        </is>
      </c>
      <c r="E1112" t="inlineStr">
        <is>
          <t>LJUSDAL</t>
        </is>
      </c>
      <c r="F1112" t="inlineStr">
        <is>
          <t>Kommuner</t>
        </is>
      </c>
      <c r="G1112" t="n">
        <v>7.3</v>
      </c>
      <c r="H1112" t="n">
        <v>0</v>
      </c>
      <c r="I1112" t="n">
        <v>0</v>
      </c>
      <c r="J1112" t="n">
        <v>0</v>
      </c>
      <c r="K1112" t="n">
        <v>0</v>
      </c>
      <c r="L1112" t="n">
        <v>0</v>
      </c>
      <c r="M1112" t="n">
        <v>0</v>
      </c>
      <c r="N1112" t="n">
        <v>0</v>
      </c>
      <c r="O1112" t="n">
        <v>0</v>
      </c>
      <c r="P1112" t="n">
        <v>0</v>
      </c>
      <c r="Q1112" t="n">
        <v>0</v>
      </c>
      <c r="R1112" s="2" t="inlineStr"/>
    </row>
    <row r="1113" ht="15" customHeight="1">
      <c r="A1113" t="inlineStr">
        <is>
          <t>A 43077-2022</t>
        </is>
      </c>
      <c r="B1113" s="1" t="n">
        <v>44833</v>
      </c>
      <c r="C1113" s="1" t="n">
        <v>46086</v>
      </c>
      <c r="D1113" t="inlineStr">
        <is>
          <t>GÄVLEBORGS LÄN</t>
        </is>
      </c>
      <c r="E1113" t="inlineStr">
        <is>
          <t>LJUSDAL</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33605-2021</t>
        </is>
      </c>
      <c r="B1114" s="1" t="n">
        <v>44378.32232638889</v>
      </c>
      <c r="C1114" s="1" t="n">
        <v>46086</v>
      </c>
      <c r="D1114" t="inlineStr">
        <is>
          <t>GÄVLEBORGS LÄN</t>
        </is>
      </c>
      <c r="E1114" t="inlineStr">
        <is>
          <t>LJUSDAL</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40431-2021</t>
        </is>
      </c>
      <c r="B1115" s="1" t="n">
        <v>44419.68258101852</v>
      </c>
      <c r="C1115" s="1" t="n">
        <v>46086</v>
      </c>
      <c r="D1115" t="inlineStr">
        <is>
          <t>GÄVLEBORGS LÄN</t>
        </is>
      </c>
      <c r="E1115" t="inlineStr">
        <is>
          <t>LJUSDAL</t>
        </is>
      </c>
      <c r="F1115" t="inlineStr">
        <is>
          <t>Holmen skog AB</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34286-2021</t>
        </is>
      </c>
      <c r="B1116" s="1" t="n">
        <v>44379</v>
      </c>
      <c r="C1116" s="1" t="n">
        <v>46086</v>
      </c>
      <c r="D1116" t="inlineStr">
        <is>
          <t>GÄVLEBORGS LÄN</t>
        </is>
      </c>
      <c r="E1116" t="inlineStr">
        <is>
          <t>NORDANSTIG</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26158-2021</t>
        </is>
      </c>
      <c r="B1117" s="1" t="n">
        <v>44347</v>
      </c>
      <c r="C1117" s="1" t="n">
        <v>46086</v>
      </c>
      <c r="D1117" t="inlineStr">
        <is>
          <t>GÄVLEBORGS LÄN</t>
        </is>
      </c>
      <c r="E1117" t="inlineStr">
        <is>
          <t>BOLLNÄS</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50876-2022</t>
        </is>
      </c>
      <c r="B1118" s="1" t="n">
        <v>44867.57646990741</v>
      </c>
      <c r="C1118" s="1" t="n">
        <v>46086</v>
      </c>
      <c r="D1118" t="inlineStr">
        <is>
          <t>GÄVLEBORGS LÄN</t>
        </is>
      </c>
      <c r="E1118" t="inlineStr">
        <is>
          <t>SÖDERHAMN</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30591-2022</t>
        </is>
      </c>
      <c r="B1119" s="1" t="n">
        <v>44762.69137731481</v>
      </c>
      <c r="C1119" s="1" t="n">
        <v>46086</v>
      </c>
      <c r="D1119" t="inlineStr">
        <is>
          <t>GÄVLEBORGS LÄN</t>
        </is>
      </c>
      <c r="E1119" t="inlineStr">
        <is>
          <t>HUDIKSVALL</t>
        </is>
      </c>
      <c r="F1119" t="inlineStr">
        <is>
          <t>Sveaskog</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42325-2022</t>
        </is>
      </c>
      <c r="B1120" s="1" t="n">
        <v>44831.34217592593</v>
      </c>
      <c r="C1120" s="1" t="n">
        <v>46086</v>
      </c>
      <c r="D1120" t="inlineStr">
        <is>
          <t>GÄVLEBORGS LÄN</t>
        </is>
      </c>
      <c r="E1120" t="inlineStr">
        <is>
          <t>BOLLNÄS</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47720-2022</t>
        </is>
      </c>
      <c r="B1121" s="1" t="n">
        <v>44854</v>
      </c>
      <c r="C1121" s="1" t="n">
        <v>46086</v>
      </c>
      <c r="D1121" t="inlineStr">
        <is>
          <t>GÄVLEBORGS LÄN</t>
        </is>
      </c>
      <c r="E1121" t="inlineStr">
        <is>
          <t>SANDVIKEN</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47723-2022</t>
        </is>
      </c>
      <c r="B1122" s="1" t="n">
        <v>44854</v>
      </c>
      <c r="C1122" s="1" t="n">
        <v>46086</v>
      </c>
      <c r="D1122" t="inlineStr">
        <is>
          <t>GÄVLEBORGS LÄN</t>
        </is>
      </c>
      <c r="E1122" t="inlineStr">
        <is>
          <t>BOLLNÄS</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72594-2021</t>
        </is>
      </c>
      <c r="B1123" s="1" t="n">
        <v>44546.48967592593</v>
      </c>
      <c r="C1123" s="1" t="n">
        <v>46086</v>
      </c>
      <c r="D1123" t="inlineStr">
        <is>
          <t>GÄVLEBORGS LÄN</t>
        </is>
      </c>
      <c r="E1123" t="inlineStr">
        <is>
          <t>NORDANSTIG</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72645-2021</t>
        </is>
      </c>
      <c r="B1124" s="1" t="n">
        <v>44546</v>
      </c>
      <c r="C1124" s="1" t="n">
        <v>46086</v>
      </c>
      <c r="D1124" t="inlineStr">
        <is>
          <t>GÄVLEBORGS LÄN</t>
        </is>
      </c>
      <c r="E1124" t="inlineStr">
        <is>
          <t>SÖDERHAMN</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50811-2021</t>
        </is>
      </c>
      <c r="B1125" s="1" t="n">
        <v>44460</v>
      </c>
      <c r="C1125" s="1" t="n">
        <v>46086</v>
      </c>
      <c r="D1125" t="inlineStr">
        <is>
          <t>GÄVLEBORGS LÄN</t>
        </is>
      </c>
      <c r="E1125" t="inlineStr">
        <is>
          <t>NORDANSTIG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48811-2022</t>
        </is>
      </c>
      <c r="B1126" s="1" t="n">
        <v>44859</v>
      </c>
      <c r="C1126" s="1" t="n">
        <v>46086</v>
      </c>
      <c r="D1126" t="inlineStr">
        <is>
          <t>GÄVLEBORGS LÄN</t>
        </is>
      </c>
      <c r="E1126" t="inlineStr">
        <is>
          <t>OVANÅKER</t>
        </is>
      </c>
      <c r="F1126" t="inlineStr">
        <is>
          <t>Bergvik skog väst AB</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44585-2021</t>
        </is>
      </c>
      <c r="B1127" s="1" t="n">
        <v>44435</v>
      </c>
      <c r="C1127" s="1" t="n">
        <v>46086</v>
      </c>
      <c r="D1127" t="inlineStr">
        <is>
          <t>GÄVLEBORGS LÄN</t>
        </is>
      </c>
      <c r="E1127" t="inlineStr">
        <is>
          <t>OVANÅKER</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29263-2022</t>
        </is>
      </c>
      <c r="B1128" s="1" t="n">
        <v>44750.65607638889</v>
      </c>
      <c r="C1128" s="1" t="n">
        <v>46086</v>
      </c>
      <c r="D1128" t="inlineStr">
        <is>
          <t>GÄVLEBORGS LÄN</t>
        </is>
      </c>
      <c r="E1128" t="inlineStr">
        <is>
          <t>LJUSDAL</t>
        </is>
      </c>
      <c r="F1128" t="inlineStr">
        <is>
          <t>Holmen skog AB</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34854-2021</t>
        </is>
      </c>
      <c r="B1129" s="1" t="n">
        <v>44383</v>
      </c>
      <c r="C1129" s="1" t="n">
        <v>46086</v>
      </c>
      <c r="D1129" t="inlineStr">
        <is>
          <t>GÄVLEBORGS LÄN</t>
        </is>
      </c>
      <c r="E1129" t="inlineStr">
        <is>
          <t>OCKELBO</t>
        </is>
      </c>
      <c r="F1129" t="inlineStr">
        <is>
          <t>Bergvik skog väst AB</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480-2022</t>
        </is>
      </c>
      <c r="B1130" s="1" t="n">
        <v>44566</v>
      </c>
      <c r="C1130" s="1" t="n">
        <v>46086</v>
      </c>
      <c r="D1130" t="inlineStr">
        <is>
          <t>GÄVLEBORGS LÄN</t>
        </is>
      </c>
      <c r="E1130" t="inlineStr">
        <is>
          <t>HUDIKSVALL</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37705-2021</t>
        </is>
      </c>
      <c r="B1131" s="1" t="n">
        <v>44400.55195601852</v>
      </c>
      <c r="C1131" s="1" t="n">
        <v>46086</v>
      </c>
      <c r="D1131" t="inlineStr">
        <is>
          <t>GÄVLEBORGS LÄN</t>
        </is>
      </c>
      <c r="E1131" t="inlineStr">
        <is>
          <t>OCKELBO</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11821-2021</t>
        </is>
      </c>
      <c r="B1132" s="1" t="n">
        <v>44265.56106481481</v>
      </c>
      <c r="C1132" s="1" t="n">
        <v>46086</v>
      </c>
      <c r="D1132" t="inlineStr">
        <is>
          <t>GÄVLEBORGS LÄN</t>
        </is>
      </c>
      <c r="E1132" t="inlineStr">
        <is>
          <t>SÖDERHAMN</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37900-2021</t>
        </is>
      </c>
      <c r="B1133" s="1" t="n">
        <v>44403.56305555555</v>
      </c>
      <c r="C1133" s="1" t="n">
        <v>46086</v>
      </c>
      <c r="D1133" t="inlineStr">
        <is>
          <t>GÄVLEBORGS LÄN</t>
        </is>
      </c>
      <c r="E1133" t="inlineStr">
        <is>
          <t>HUDIKSVALL</t>
        </is>
      </c>
      <c r="F1133" t="inlineStr">
        <is>
          <t>Holmen skog AB</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37694-2021</t>
        </is>
      </c>
      <c r="B1134" s="1" t="n">
        <v>44400.50061342592</v>
      </c>
      <c r="C1134" s="1" t="n">
        <v>46086</v>
      </c>
      <c r="D1134" t="inlineStr">
        <is>
          <t>GÄVLEBORGS LÄN</t>
        </is>
      </c>
      <c r="E1134" t="inlineStr">
        <is>
          <t>OCKELBO</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62650-2021</t>
        </is>
      </c>
      <c r="B1135" s="1" t="n">
        <v>44503.92040509259</v>
      </c>
      <c r="C1135" s="1" t="n">
        <v>46086</v>
      </c>
      <c r="D1135" t="inlineStr">
        <is>
          <t>GÄVLEBORGS LÄN</t>
        </is>
      </c>
      <c r="E1135" t="inlineStr">
        <is>
          <t>LJUSDAL</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64720-2021</t>
        </is>
      </c>
      <c r="B1136" s="1" t="n">
        <v>44512.376875</v>
      </c>
      <c r="C1136" s="1" t="n">
        <v>46086</v>
      </c>
      <c r="D1136" t="inlineStr">
        <is>
          <t>GÄVLEBORGS LÄN</t>
        </is>
      </c>
      <c r="E1136" t="inlineStr">
        <is>
          <t>SANDVIKEN</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31923-2021</t>
        </is>
      </c>
      <c r="B1137" s="1" t="n">
        <v>44370.48982638889</v>
      </c>
      <c r="C1137" s="1" t="n">
        <v>46086</v>
      </c>
      <c r="D1137" t="inlineStr">
        <is>
          <t>GÄVLEBORGS LÄN</t>
        </is>
      </c>
      <c r="E1137" t="inlineStr">
        <is>
          <t>NORDANSTIG</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31961-2021</t>
        </is>
      </c>
      <c r="B1138" s="1" t="n">
        <v>44370.56376157407</v>
      </c>
      <c r="C1138" s="1" t="n">
        <v>46086</v>
      </c>
      <c r="D1138" t="inlineStr">
        <is>
          <t>GÄVLEBORGS LÄN</t>
        </is>
      </c>
      <c r="E1138" t="inlineStr">
        <is>
          <t>LJUSDAL</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62321-2021</t>
        </is>
      </c>
      <c r="B1139" s="1" t="n">
        <v>44503</v>
      </c>
      <c r="C1139" s="1" t="n">
        <v>46086</v>
      </c>
      <c r="D1139" t="inlineStr">
        <is>
          <t>GÄVLEBORGS LÄN</t>
        </is>
      </c>
      <c r="E1139" t="inlineStr">
        <is>
          <t>HUDIKSVALL</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54496-2021</t>
        </is>
      </c>
      <c r="B1140" s="1" t="n">
        <v>44473.50452546297</v>
      </c>
      <c r="C1140" s="1" t="n">
        <v>46086</v>
      </c>
      <c r="D1140" t="inlineStr">
        <is>
          <t>GÄVLEBORGS LÄN</t>
        </is>
      </c>
      <c r="E1140" t="inlineStr">
        <is>
          <t>NORDANSTIG</t>
        </is>
      </c>
      <c r="F1140" t="inlineStr">
        <is>
          <t>Holmen skog AB</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20089-2021</t>
        </is>
      </c>
      <c r="B1141" s="1" t="n">
        <v>44314.43032407408</v>
      </c>
      <c r="C1141" s="1" t="n">
        <v>46086</v>
      </c>
      <c r="D1141" t="inlineStr">
        <is>
          <t>GÄVLEBORGS LÄN</t>
        </is>
      </c>
      <c r="E1141" t="inlineStr">
        <is>
          <t>OVANÅKER</t>
        </is>
      </c>
      <c r="F1141" t="inlineStr">
        <is>
          <t>Sveaskog</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20095-2021</t>
        </is>
      </c>
      <c r="B1142" s="1" t="n">
        <v>44314</v>
      </c>
      <c r="C1142" s="1" t="n">
        <v>46086</v>
      </c>
      <c r="D1142" t="inlineStr">
        <is>
          <t>GÄVLEBORGS LÄN</t>
        </is>
      </c>
      <c r="E1142" t="inlineStr">
        <is>
          <t>OVANÅKER</t>
        </is>
      </c>
      <c r="F1142" t="inlineStr">
        <is>
          <t>Sveaskog</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69057-2021</t>
        </is>
      </c>
      <c r="B1143" s="1" t="n">
        <v>44530.64190972222</v>
      </c>
      <c r="C1143" s="1" t="n">
        <v>46086</v>
      </c>
      <c r="D1143" t="inlineStr">
        <is>
          <t>GÄVLEBORGS LÄN</t>
        </is>
      </c>
      <c r="E1143" t="inlineStr">
        <is>
          <t>LJUSDAL</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49068-2021</t>
        </is>
      </c>
      <c r="B1144" s="1" t="n">
        <v>44453.61233796296</v>
      </c>
      <c r="C1144" s="1" t="n">
        <v>46086</v>
      </c>
      <c r="D1144" t="inlineStr">
        <is>
          <t>GÄVLEBORGS LÄN</t>
        </is>
      </c>
      <c r="E1144" t="inlineStr">
        <is>
          <t>LJUSDAL</t>
        </is>
      </c>
      <c r="F1144" t="inlineStr">
        <is>
          <t>Holmen skog AB</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62111-2021</t>
        </is>
      </c>
      <c r="B1145" s="1" t="n">
        <v>44502.64059027778</v>
      </c>
      <c r="C1145" s="1" t="n">
        <v>46086</v>
      </c>
      <c r="D1145" t="inlineStr">
        <is>
          <t>GÄVLEBORGS LÄN</t>
        </is>
      </c>
      <c r="E1145" t="inlineStr">
        <is>
          <t>NORDANSTIG</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12330-2021</t>
        </is>
      </c>
      <c r="B1146" s="1" t="n">
        <v>44267</v>
      </c>
      <c r="C1146" s="1" t="n">
        <v>46086</v>
      </c>
      <c r="D1146" t="inlineStr">
        <is>
          <t>GÄVLEBORGS LÄN</t>
        </is>
      </c>
      <c r="E1146" t="inlineStr">
        <is>
          <t>LJUSDAL</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42553-2021</t>
        </is>
      </c>
      <c r="B1147" s="1" t="n">
        <v>44427</v>
      </c>
      <c r="C1147" s="1" t="n">
        <v>46086</v>
      </c>
      <c r="D1147" t="inlineStr">
        <is>
          <t>GÄVLEBORGS LÄN</t>
        </is>
      </c>
      <c r="E1147" t="inlineStr">
        <is>
          <t>LJUSDAL</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54570-2021</t>
        </is>
      </c>
      <c r="B1148" s="1" t="n">
        <v>44473.57443287037</v>
      </c>
      <c r="C1148" s="1" t="n">
        <v>46086</v>
      </c>
      <c r="D1148" t="inlineStr">
        <is>
          <t>GÄVLEBORGS LÄN</t>
        </is>
      </c>
      <c r="E1148" t="inlineStr">
        <is>
          <t>NORDANSTIG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11051-2021</t>
        </is>
      </c>
      <c r="B1149" s="1" t="n">
        <v>44260.5655787037</v>
      </c>
      <c r="C1149" s="1" t="n">
        <v>46086</v>
      </c>
      <c r="D1149" t="inlineStr">
        <is>
          <t>GÄVLEBORGS LÄN</t>
        </is>
      </c>
      <c r="E1149" t="inlineStr">
        <is>
          <t>HUDIKSVALL</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16699-2021</t>
        </is>
      </c>
      <c r="B1150" s="1" t="n">
        <v>44294</v>
      </c>
      <c r="C1150" s="1" t="n">
        <v>46086</v>
      </c>
      <c r="D1150" t="inlineStr">
        <is>
          <t>GÄVLEBORGS LÄN</t>
        </is>
      </c>
      <c r="E1150" t="inlineStr">
        <is>
          <t>LJUSDAL</t>
        </is>
      </c>
      <c r="F1150" t="inlineStr">
        <is>
          <t>Kyrkan</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48547-2021</t>
        </is>
      </c>
      <c r="B1151" s="1" t="n">
        <v>44452.45461805556</v>
      </c>
      <c r="C1151" s="1" t="n">
        <v>46086</v>
      </c>
      <c r="D1151" t="inlineStr">
        <is>
          <t>GÄVLEBORGS LÄN</t>
        </is>
      </c>
      <c r="E1151" t="inlineStr">
        <is>
          <t>BOLLNÄS</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14246-2022</t>
        </is>
      </c>
      <c r="B1152" s="1" t="n">
        <v>44651.68858796296</v>
      </c>
      <c r="C1152" s="1" t="n">
        <v>46086</v>
      </c>
      <c r="D1152" t="inlineStr">
        <is>
          <t>GÄVLEBORGS LÄN</t>
        </is>
      </c>
      <c r="E1152" t="inlineStr">
        <is>
          <t>NORDANSTIG</t>
        </is>
      </c>
      <c r="F1152" t="inlineStr">
        <is>
          <t>Holmen skog AB</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53258-2022</t>
        </is>
      </c>
      <c r="B1153" s="1" t="n">
        <v>44876</v>
      </c>
      <c r="C1153" s="1" t="n">
        <v>46086</v>
      </c>
      <c r="D1153" t="inlineStr">
        <is>
          <t>GÄVLEBORGS LÄN</t>
        </is>
      </c>
      <c r="E1153" t="inlineStr">
        <is>
          <t>SANDVIKEN</t>
        </is>
      </c>
      <c r="F1153" t="inlineStr">
        <is>
          <t>Sveaskog</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17656-2021</t>
        </is>
      </c>
      <c r="B1154" s="1" t="n">
        <v>44300</v>
      </c>
      <c r="C1154" s="1" t="n">
        <v>46086</v>
      </c>
      <c r="D1154" t="inlineStr">
        <is>
          <t>GÄVLEBORGS LÄN</t>
        </is>
      </c>
      <c r="E1154" t="inlineStr">
        <is>
          <t>GÄVLE</t>
        </is>
      </c>
      <c r="F1154" t="inlineStr">
        <is>
          <t>Bergvik skog väst AB</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46419-2021</t>
        </is>
      </c>
      <c r="B1155" s="1" t="n">
        <v>44445.30451388889</v>
      </c>
      <c r="C1155" s="1" t="n">
        <v>46086</v>
      </c>
      <c r="D1155" t="inlineStr">
        <is>
          <t>GÄVLEBORGS LÄN</t>
        </is>
      </c>
      <c r="E1155" t="inlineStr">
        <is>
          <t>LJUSDAL</t>
        </is>
      </c>
      <c r="F1155" t="inlineStr">
        <is>
          <t>Sveaskog</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51121-2022</t>
        </is>
      </c>
      <c r="B1156" s="1" t="n">
        <v>44868.46837962963</v>
      </c>
      <c r="C1156" s="1" t="n">
        <v>46086</v>
      </c>
      <c r="D1156" t="inlineStr">
        <is>
          <t>GÄVLEBORGS LÄN</t>
        </is>
      </c>
      <c r="E1156" t="inlineStr">
        <is>
          <t>LJUSDAL</t>
        </is>
      </c>
      <c r="F1156" t="inlineStr">
        <is>
          <t>Sveaskog</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46651-2021</t>
        </is>
      </c>
      <c r="B1157" s="1" t="n">
        <v>44445</v>
      </c>
      <c r="C1157" s="1" t="n">
        <v>46086</v>
      </c>
      <c r="D1157" t="inlineStr">
        <is>
          <t>GÄVLEBORGS LÄN</t>
        </is>
      </c>
      <c r="E1157" t="inlineStr">
        <is>
          <t>LJUSDAL</t>
        </is>
      </c>
      <c r="F1157" t="inlineStr">
        <is>
          <t>Holmen skog AB</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48664-2022</t>
        </is>
      </c>
      <c r="B1158" s="1" t="n">
        <v>44859</v>
      </c>
      <c r="C1158" s="1" t="n">
        <v>46086</v>
      </c>
      <c r="D1158" t="inlineStr">
        <is>
          <t>GÄVLEBORGS LÄN</t>
        </is>
      </c>
      <c r="E1158" t="inlineStr">
        <is>
          <t>BOLLNÄS</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11923-2022</t>
        </is>
      </c>
      <c r="B1159" s="1" t="n">
        <v>44635.50788194445</v>
      </c>
      <c r="C1159" s="1" t="n">
        <v>46086</v>
      </c>
      <c r="D1159" t="inlineStr">
        <is>
          <t>GÄVLEBORGS LÄN</t>
        </is>
      </c>
      <c r="E1159" t="inlineStr">
        <is>
          <t>SANDVIKEN</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66120-2021</t>
        </is>
      </c>
      <c r="B1160" s="1" t="n">
        <v>44517</v>
      </c>
      <c r="C1160" s="1" t="n">
        <v>46086</v>
      </c>
      <c r="D1160" t="inlineStr">
        <is>
          <t>GÄVLEBORGS LÄN</t>
        </is>
      </c>
      <c r="E1160" t="inlineStr">
        <is>
          <t>BOLLNÄS</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66128-2021</t>
        </is>
      </c>
      <c r="B1161" s="1" t="n">
        <v>44517</v>
      </c>
      <c r="C1161" s="1" t="n">
        <v>46086</v>
      </c>
      <c r="D1161" t="inlineStr">
        <is>
          <t>GÄVLEBORGS LÄN</t>
        </is>
      </c>
      <c r="E1161" t="inlineStr">
        <is>
          <t>BOLLNÄS</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66129-2021</t>
        </is>
      </c>
      <c r="B1162" s="1" t="n">
        <v>44517</v>
      </c>
      <c r="C1162" s="1" t="n">
        <v>46086</v>
      </c>
      <c r="D1162" t="inlineStr">
        <is>
          <t>GÄVLEBORGS LÄN</t>
        </is>
      </c>
      <c r="E1162" t="inlineStr">
        <is>
          <t>BOLLNÄS</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16459-2022</t>
        </is>
      </c>
      <c r="B1163" s="1" t="n">
        <v>44671.58972222222</v>
      </c>
      <c r="C1163" s="1" t="n">
        <v>46086</v>
      </c>
      <c r="D1163" t="inlineStr">
        <is>
          <t>GÄVLEBORGS LÄN</t>
        </is>
      </c>
      <c r="E1163" t="inlineStr">
        <is>
          <t>GÄVLE</t>
        </is>
      </c>
      <c r="F1163" t="inlineStr">
        <is>
          <t>Bergvik skog öst AB</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16469-2022</t>
        </is>
      </c>
      <c r="B1164" s="1" t="n">
        <v>44671.61422453704</v>
      </c>
      <c r="C1164" s="1" t="n">
        <v>46086</v>
      </c>
      <c r="D1164" t="inlineStr">
        <is>
          <t>GÄVLEBORGS LÄN</t>
        </is>
      </c>
      <c r="E1164" t="inlineStr">
        <is>
          <t>GÄVLE</t>
        </is>
      </c>
      <c r="F1164" t="inlineStr">
        <is>
          <t>Bergvik skog öst AB</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52948-2021</t>
        </is>
      </c>
      <c r="B1165" s="1" t="n">
        <v>44467</v>
      </c>
      <c r="C1165" s="1" t="n">
        <v>46086</v>
      </c>
      <c r="D1165" t="inlineStr">
        <is>
          <t>GÄVLEBORGS LÄN</t>
        </is>
      </c>
      <c r="E1165" t="inlineStr">
        <is>
          <t>LJUSDAL</t>
        </is>
      </c>
      <c r="F1165" t="inlineStr">
        <is>
          <t>Holmen skog AB</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46592-2022</t>
        </is>
      </c>
      <c r="B1166" s="1" t="n">
        <v>44848.71773148148</v>
      </c>
      <c r="C1166" s="1" t="n">
        <v>46086</v>
      </c>
      <c r="D1166" t="inlineStr">
        <is>
          <t>GÄVLEBORGS LÄN</t>
        </is>
      </c>
      <c r="E1166" t="inlineStr">
        <is>
          <t>NORDANSTIG</t>
        </is>
      </c>
      <c r="F1166" t="inlineStr">
        <is>
          <t>Holmen skog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22019-2022</t>
        </is>
      </c>
      <c r="B1167" s="1" t="n">
        <v>44711</v>
      </c>
      <c r="C1167" s="1" t="n">
        <v>46086</v>
      </c>
      <c r="D1167" t="inlineStr">
        <is>
          <t>GÄVLEBORGS LÄN</t>
        </is>
      </c>
      <c r="E1167" t="inlineStr">
        <is>
          <t>SÖDERHAMN</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22035-2022</t>
        </is>
      </c>
      <c r="B1168" s="1" t="n">
        <v>44711.63396990741</v>
      </c>
      <c r="C1168" s="1" t="n">
        <v>46086</v>
      </c>
      <c r="D1168" t="inlineStr">
        <is>
          <t>GÄVLEBORGS LÄN</t>
        </is>
      </c>
      <c r="E1168" t="inlineStr">
        <is>
          <t>OCKELBO</t>
        </is>
      </c>
      <c r="F1168" t="inlineStr">
        <is>
          <t>Bergvik skog väst AB</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45273-2021</t>
        </is>
      </c>
      <c r="B1169" s="1" t="n">
        <v>44439.64582175926</v>
      </c>
      <c r="C1169" s="1" t="n">
        <v>46086</v>
      </c>
      <c r="D1169" t="inlineStr">
        <is>
          <t>GÄVLEBORGS LÄN</t>
        </is>
      </c>
      <c r="E1169" t="inlineStr">
        <is>
          <t>OVANÅKER</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45366-2021</t>
        </is>
      </c>
      <c r="B1170" s="1" t="n">
        <v>44440.27297453704</v>
      </c>
      <c r="C1170" s="1" t="n">
        <v>46086</v>
      </c>
      <c r="D1170" t="inlineStr">
        <is>
          <t>GÄVLEBORGS LÄN</t>
        </is>
      </c>
      <c r="E1170" t="inlineStr">
        <is>
          <t>LJUSDAL</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70573-2021</t>
        </is>
      </c>
      <c r="B1171" s="1" t="n">
        <v>44537.35547453703</v>
      </c>
      <c r="C1171" s="1" t="n">
        <v>46086</v>
      </c>
      <c r="D1171" t="inlineStr">
        <is>
          <t>GÄVLEBORGS LÄN</t>
        </is>
      </c>
      <c r="E1171" t="inlineStr">
        <is>
          <t>OVANÅKER</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52614-2021</t>
        </is>
      </c>
      <c r="B1172" s="1" t="n">
        <v>44466.60356481482</v>
      </c>
      <c r="C1172" s="1" t="n">
        <v>46086</v>
      </c>
      <c r="D1172" t="inlineStr">
        <is>
          <t>GÄVLEBORGS LÄN</t>
        </is>
      </c>
      <c r="E1172" t="inlineStr">
        <is>
          <t>OVANÅKER</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5825-2022</t>
        </is>
      </c>
      <c r="B1173" s="1" t="n">
        <v>44596</v>
      </c>
      <c r="C1173" s="1" t="n">
        <v>46086</v>
      </c>
      <c r="D1173" t="inlineStr">
        <is>
          <t>GÄVLEBORGS LÄN</t>
        </is>
      </c>
      <c r="E1173" t="inlineStr">
        <is>
          <t>SANDVIKEN</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25312-2021</t>
        </is>
      </c>
      <c r="B1174" s="1" t="n">
        <v>44342.53046296296</v>
      </c>
      <c r="C1174" s="1" t="n">
        <v>46086</v>
      </c>
      <c r="D1174" t="inlineStr">
        <is>
          <t>GÄVLEBORGS LÄN</t>
        </is>
      </c>
      <c r="E1174" t="inlineStr">
        <is>
          <t>GÄVLE</t>
        </is>
      </c>
      <c r="F1174" t="inlineStr">
        <is>
          <t>Bergvik skog öst AB</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50389-2021</t>
        </is>
      </c>
      <c r="B1175" s="1" t="n">
        <v>44459.46950231482</v>
      </c>
      <c r="C1175" s="1" t="n">
        <v>46086</v>
      </c>
      <c r="D1175" t="inlineStr">
        <is>
          <t>GÄVLEBORGS LÄN</t>
        </is>
      </c>
      <c r="E1175" t="inlineStr">
        <is>
          <t>GÄVLE</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64556-2021</t>
        </is>
      </c>
      <c r="B1176" s="1" t="n">
        <v>44511</v>
      </c>
      <c r="C1176" s="1" t="n">
        <v>46086</v>
      </c>
      <c r="D1176" t="inlineStr">
        <is>
          <t>GÄVLEBORGS LÄN</t>
        </is>
      </c>
      <c r="E1176" t="inlineStr">
        <is>
          <t>LJUSDAL</t>
        </is>
      </c>
      <c r="F1176" t="inlineStr">
        <is>
          <t>Holmen skog AB</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72080-2021</t>
        </is>
      </c>
      <c r="B1177" s="1" t="n">
        <v>44544.51302083334</v>
      </c>
      <c r="C1177" s="1" t="n">
        <v>46086</v>
      </c>
      <c r="D1177" t="inlineStr">
        <is>
          <t>GÄVLEBORGS LÄN</t>
        </is>
      </c>
      <c r="E1177" t="inlineStr">
        <is>
          <t>NORDANSTIG</t>
        </is>
      </c>
      <c r="F1177" t="inlineStr">
        <is>
          <t>Holmen skog AB</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32774-2021</t>
        </is>
      </c>
      <c r="B1178" s="1" t="n">
        <v>44375.57163194445</v>
      </c>
      <c r="C1178" s="1" t="n">
        <v>46086</v>
      </c>
      <c r="D1178" t="inlineStr">
        <is>
          <t>GÄVLEBORGS LÄN</t>
        </is>
      </c>
      <c r="E1178" t="inlineStr">
        <is>
          <t>LJUSDAL</t>
        </is>
      </c>
      <c r="F1178" t="inlineStr">
        <is>
          <t>Holmen skog AB</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63656-2021</t>
        </is>
      </c>
      <c r="B1179" s="1" t="n">
        <v>44509.35530092593</v>
      </c>
      <c r="C1179" s="1" t="n">
        <v>46086</v>
      </c>
      <c r="D1179" t="inlineStr">
        <is>
          <t>GÄVLEBORGS LÄN</t>
        </is>
      </c>
      <c r="E1179" t="inlineStr">
        <is>
          <t>NORDANSTIG</t>
        </is>
      </c>
      <c r="F1179" t="inlineStr">
        <is>
          <t>Holmen skog AB</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5610-2022</t>
        </is>
      </c>
      <c r="B1180" s="1" t="n">
        <v>44595.69634259259</v>
      </c>
      <c r="C1180" s="1" t="n">
        <v>46086</v>
      </c>
      <c r="D1180" t="inlineStr">
        <is>
          <t>GÄVLEBORGS LÄN</t>
        </is>
      </c>
      <c r="E1180" t="inlineStr">
        <is>
          <t>SANDVIKEN</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51223-2021</t>
        </is>
      </c>
      <c r="B1181" s="1" t="n">
        <v>44461</v>
      </c>
      <c r="C1181" s="1" t="n">
        <v>46086</v>
      </c>
      <c r="D1181" t="inlineStr">
        <is>
          <t>GÄVLEBORGS LÄN</t>
        </is>
      </c>
      <c r="E1181" t="inlineStr">
        <is>
          <t>NORDANSTIG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60405-2021</t>
        </is>
      </c>
      <c r="B1182" s="1" t="n">
        <v>44496</v>
      </c>
      <c r="C1182" s="1" t="n">
        <v>46086</v>
      </c>
      <c r="D1182" t="inlineStr">
        <is>
          <t>GÄVLEBORGS LÄN</t>
        </is>
      </c>
      <c r="E1182" t="inlineStr">
        <is>
          <t>SANDVIKEN</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31691-2021</t>
        </is>
      </c>
      <c r="B1183" s="1" t="n">
        <v>44369.69809027778</v>
      </c>
      <c r="C1183" s="1" t="n">
        <v>46086</v>
      </c>
      <c r="D1183" t="inlineStr">
        <is>
          <t>GÄVLEBORGS LÄN</t>
        </is>
      </c>
      <c r="E1183" t="inlineStr">
        <is>
          <t>BOLLNÄS</t>
        </is>
      </c>
      <c r="F1183" t="inlineStr">
        <is>
          <t>Sveaskog</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49928-2021</t>
        </is>
      </c>
      <c r="B1184" s="1" t="n">
        <v>44455</v>
      </c>
      <c r="C1184" s="1" t="n">
        <v>46086</v>
      </c>
      <c r="D1184" t="inlineStr">
        <is>
          <t>GÄVLEBORGS LÄN</t>
        </is>
      </c>
      <c r="E1184" t="inlineStr">
        <is>
          <t>HUDIKSVALL</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58731-2021</t>
        </is>
      </c>
      <c r="B1185" s="1" t="n">
        <v>44489</v>
      </c>
      <c r="C1185" s="1" t="n">
        <v>46086</v>
      </c>
      <c r="D1185" t="inlineStr">
        <is>
          <t>GÄVLEBORGS LÄN</t>
        </is>
      </c>
      <c r="E1185" t="inlineStr">
        <is>
          <t>LJUSDAL</t>
        </is>
      </c>
      <c r="F1185" t="inlineStr">
        <is>
          <t>Holmen skog AB</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59129-2021</t>
        </is>
      </c>
      <c r="B1186" s="1" t="n">
        <v>44490</v>
      </c>
      <c r="C1186" s="1" t="n">
        <v>46086</v>
      </c>
      <c r="D1186" t="inlineStr">
        <is>
          <t>GÄVLEBORGS LÄN</t>
        </is>
      </c>
      <c r="E1186" t="inlineStr">
        <is>
          <t>LJUSDAL</t>
        </is>
      </c>
      <c r="F1186" t="inlineStr">
        <is>
          <t>Sveaskog</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55298-2021</t>
        </is>
      </c>
      <c r="B1187" s="1" t="n">
        <v>44475.44704861111</v>
      </c>
      <c r="C1187" s="1" t="n">
        <v>46086</v>
      </c>
      <c r="D1187" t="inlineStr">
        <is>
          <t>GÄVLEBORGS LÄN</t>
        </is>
      </c>
      <c r="E1187" t="inlineStr">
        <is>
          <t>OVANÅKER</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36000-2021</t>
        </is>
      </c>
      <c r="B1188" s="1" t="n">
        <v>44389</v>
      </c>
      <c r="C1188" s="1" t="n">
        <v>46086</v>
      </c>
      <c r="D1188" t="inlineStr">
        <is>
          <t>GÄVLEBORGS LÄN</t>
        </is>
      </c>
      <c r="E1188" t="inlineStr">
        <is>
          <t>BOLLNÄS</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62424-2021</t>
        </is>
      </c>
      <c r="B1189" s="1" t="n">
        <v>44503.49143518518</v>
      </c>
      <c r="C1189" s="1" t="n">
        <v>46086</v>
      </c>
      <c r="D1189" t="inlineStr">
        <is>
          <t>GÄVLEBORGS LÄN</t>
        </is>
      </c>
      <c r="E1189" t="inlineStr">
        <is>
          <t>LJUSDAL</t>
        </is>
      </c>
      <c r="F1189" t="inlineStr">
        <is>
          <t>Holmen skog AB</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56136-2021</t>
        </is>
      </c>
      <c r="B1190" s="1" t="n">
        <v>44477</v>
      </c>
      <c r="C1190" s="1" t="n">
        <v>46086</v>
      </c>
      <c r="D1190" t="inlineStr">
        <is>
          <t>GÄVLEBORGS LÄN</t>
        </is>
      </c>
      <c r="E1190" t="inlineStr">
        <is>
          <t>HUDIKSVALL</t>
        </is>
      </c>
      <c r="F1190" t="inlineStr">
        <is>
          <t>Kommuner</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19233-2022</t>
        </is>
      </c>
      <c r="B1191" s="1" t="n">
        <v>44692</v>
      </c>
      <c r="C1191" s="1" t="n">
        <v>46086</v>
      </c>
      <c r="D1191" t="inlineStr">
        <is>
          <t>GÄVLEBORGS LÄN</t>
        </is>
      </c>
      <c r="E1191" t="inlineStr">
        <is>
          <t>NORDANSTIG</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34522-2021</t>
        </is>
      </c>
      <c r="B1192" s="1" t="n">
        <v>44382</v>
      </c>
      <c r="C1192" s="1" t="n">
        <v>46086</v>
      </c>
      <c r="D1192" t="inlineStr">
        <is>
          <t>GÄVLEBORGS LÄN</t>
        </is>
      </c>
      <c r="E1192" t="inlineStr">
        <is>
          <t>LJUSDAL</t>
        </is>
      </c>
      <c r="F1192" t="inlineStr">
        <is>
          <t>Bergvik skog väst AB</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8769-2022</t>
        </is>
      </c>
      <c r="B1193" s="1" t="n">
        <v>44614.38916666667</v>
      </c>
      <c r="C1193" s="1" t="n">
        <v>46086</v>
      </c>
      <c r="D1193" t="inlineStr">
        <is>
          <t>GÄVLEBORGS LÄN</t>
        </is>
      </c>
      <c r="E1193" t="inlineStr">
        <is>
          <t>OVANÅKER</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3098-2022</t>
        </is>
      </c>
      <c r="B1194" s="1" t="n">
        <v>44582</v>
      </c>
      <c r="C1194" s="1" t="n">
        <v>46086</v>
      </c>
      <c r="D1194" t="inlineStr">
        <is>
          <t>GÄVLEBORGS LÄN</t>
        </is>
      </c>
      <c r="E1194" t="inlineStr">
        <is>
          <t>LJUSDAL</t>
        </is>
      </c>
      <c r="G1194" t="n">
        <v>0.1</v>
      </c>
      <c r="H1194" t="n">
        <v>0</v>
      </c>
      <c r="I1194" t="n">
        <v>0</v>
      </c>
      <c r="J1194" t="n">
        <v>0</v>
      </c>
      <c r="K1194" t="n">
        <v>0</v>
      </c>
      <c r="L1194" t="n">
        <v>0</v>
      </c>
      <c r="M1194" t="n">
        <v>0</v>
      </c>
      <c r="N1194" t="n">
        <v>0</v>
      </c>
      <c r="O1194" t="n">
        <v>0</v>
      </c>
      <c r="P1194" t="n">
        <v>0</v>
      </c>
      <c r="Q1194" t="n">
        <v>0</v>
      </c>
      <c r="R1194" s="2" t="inlineStr"/>
    </row>
    <row r="1195" ht="15" customHeight="1">
      <c r="A1195" t="inlineStr">
        <is>
          <t>A 44654-2021</t>
        </is>
      </c>
      <c r="B1195" s="1" t="n">
        <v>44437</v>
      </c>
      <c r="C1195" s="1" t="n">
        <v>46086</v>
      </c>
      <c r="D1195" t="inlineStr">
        <is>
          <t>GÄVLEBORGS LÄN</t>
        </is>
      </c>
      <c r="E1195" t="inlineStr">
        <is>
          <t>GÄVLE</t>
        </is>
      </c>
      <c r="G1195" t="n">
        <v>0.1</v>
      </c>
      <c r="H1195" t="n">
        <v>0</v>
      </c>
      <c r="I1195" t="n">
        <v>0</v>
      </c>
      <c r="J1195" t="n">
        <v>0</v>
      </c>
      <c r="K1195" t="n">
        <v>0</v>
      </c>
      <c r="L1195" t="n">
        <v>0</v>
      </c>
      <c r="M1195" t="n">
        <v>0</v>
      </c>
      <c r="N1195" t="n">
        <v>0</v>
      </c>
      <c r="O1195" t="n">
        <v>0</v>
      </c>
      <c r="P1195" t="n">
        <v>0</v>
      </c>
      <c r="Q1195" t="n">
        <v>0</v>
      </c>
      <c r="R1195" s="2" t="inlineStr"/>
    </row>
    <row r="1196" ht="15" customHeight="1">
      <c r="A1196" t="inlineStr">
        <is>
          <t>A 13406-2022</t>
        </is>
      </c>
      <c r="B1196" s="1" t="n">
        <v>44645.53327546296</v>
      </c>
      <c r="C1196" s="1" t="n">
        <v>46086</v>
      </c>
      <c r="D1196" t="inlineStr">
        <is>
          <t>GÄVLEBORGS LÄN</t>
        </is>
      </c>
      <c r="E1196" t="inlineStr">
        <is>
          <t>BOLLNÄS</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13407-2022</t>
        </is>
      </c>
      <c r="B1197" s="1" t="n">
        <v>44645.53493055556</v>
      </c>
      <c r="C1197" s="1" t="n">
        <v>46086</v>
      </c>
      <c r="D1197" t="inlineStr">
        <is>
          <t>GÄVLEBORGS LÄN</t>
        </is>
      </c>
      <c r="E1197" t="inlineStr">
        <is>
          <t>BOLLNÄS</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35461-2022</t>
        </is>
      </c>
      <c r="B1198" s="1" t="n">
        <v>44798.71696759259</v>
      </c>
      <c r="C1198" s="1" t="n">
        <v>46086</v>
      </c>
      <c r="D1198" t="inlineStr">
        <is>
          <t>GÄVLEBORGS LÄN</t>
        </is>
      </c>
      <c r="E1198" t="inlineStr">
        <is>
          <t>LJUSDAL</t>
        </is>
      </c>
      <c r="F1198" t="inlineStr">
        <is>
          <t>Holmen skog AB</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35467-2022</t>
        </is>
      </c>
      <c r="B1199" s="1" t="n">
        <v>44798</v>
      </c>
      <c r="C1199" s="1" t="n">
        <v>46086</v>
      </c>
      <c r="D1199" t="inlineStr">
        <is>
          <t>GÄVLEBORGS LÄN</t>
        </is>
      </c>
      <c r="E1199" t="inlineStr">
        <is>
          <t>LJUSDAL</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19182-2022</t>
        </is>
      </c>
      <c r="B1200" s="1" t="n">
        <v>44691.71042824074</v>
      </c>
      <c r="C1200" s="1" t="n">
        <v>46086</v>
      </c>
      <c r="D1200" t="inlineStr">
        <is>
          <t>GÄVLEBORGS LÄN</t>
        </is>
      </c>
      <c r="E1200" t="inlineStr">
        <is>
          <t>NORDANSTIG</t>
        </is>
      </c>
      <c r="F1200" t="inlineStr">
        <is>
          <t>Holmen skog AB</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14394-2022</t>
        </is>
      </c>
      <c r="B1201" s="1" t="n">
        <v>44652.56049768518</v>
      </c>
      <c r="C1201" s="1" t="n">
        <v>46086</v>
      </c>
      <c r="D1201" t="inlineStr">
        <is>
          <t>GÄVLEBORGS LÄN</t>
        </is>
      </c>
      <c r="E1201" t="inlineStr">
        <is>
          <t>HUDIKSVALL</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14409-2022</t>
        </is>
      </c>
      <c r="B1202" s="1" t="n">
        <v>44652.64380787037</v>
      </c>
      <c r="C1202" s="1" t="n">
        <v>46086</v>
      </c>
      <c r="D1202" t="inlineStr">
        <is>
          <t>GÄVLEBORGS LÄN</t>
        </is>
      </c>
      <c r="E1202" t="inlineStr">
        <is>
          <t>HUDIKSVALL</t>
        </is>
      </c>
      <c r="G1202" t="n">
        <v>23.2</v>
      </c>
      <c r="H1202" t="n">
        <v>0</v>
      </c>
      <c r="I1202" t="n">
        <v>0</v>
      </c>
      <c r="J1202" t="n">
        <v>0</v>
      </c>
      <c r="K1202" t="n">
        <v>0</v>
      </c>
      <c r="L1202" t="n">
        <v>0</v>
      </c>
      <c r="M1202" t="n">
        <v>0</v>
      </c>
      <c r="N1202" t="n">
        <v>0</v>
      </c>
      <c r="O1202" t="n">
        <v>0</v>
      </c>
      <c r="P1202" t="n">
        <v>0</v>
      </c>
      <c r="Q1202" t="n">
        <v>0</v>
      </c>
      <c r="R1202" s="2" t="inlineStr"/>
    </row>
    <row r="1203" ht="15" customHeight="1">
      <c r="A1203" t="inlineStr">
        <is>
          <t>A 64633-2021</t>
        </is>
      </c>
      <c r="B1203" s="1" t="n">
        <v>44511.92282407408</v>
      </c>
      <c r="C1203" s="1" t="n">
        <v>46086</v>
      </c>
      <c r="D1203" t="inlineStr">
        <is>
          <t>GÄVLEBORGS LÄN</t>
        </is>
      </c>
      <c r="E1203" t="inlineStr">
        <is>
          <t>BOLLNÄS</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35387-2022</t>
        </is>
      </c>
      <c r="B1204" s="1" t="n">
        <v>44798.59079861111</v>
      </c>
      <c r="C1204" s="1" t="n">
        <v>46086</v>
      </c>
      <c r="D1204" t="inlineStr">
        <is>
          <t>GÄVLEBORGS LÄN</t>
        </is>
      </c>
      <c r="E1204" t="inlineStr">
        <is>
          <t>LJUSDAL</t>
        </is>
      </c>
      <c r="F1204" t="inlineStr">
        <is>
          <t>Sveaskog</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26547-2022</t>
        </is>
      </c>
      <c r="B1205" s="1" t="n">
        <v>44739</v>
      </c>
      <c r="C1205" s="1" t="n">
        <v>46086</v>
      </c>
      <c r="D1205" t="inlineStr">
        <is>
          <t>GÄVLEBORGS LÄN</t>
        </is>
      </c>
      <c r="E1205" t="inlineStr">
        <is>
          <t>NORDANSTIG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12207-2021</t>
        </is>
      </c>
      <c r="B1206" s="1" t="n">
        <v>44266.65435185185</v>
      </c>
      <c r="C1206" s="1" t="n">
        <v>46086</v>
      </c>
      <c r="D1206" t="inlineStr">
        <is>
          <t>GÄVLEBORGS LÄN</t>
        </is>
      </c>
      <c r="E1206" t="inlineStr">
        <is>
          <t>OVANÅKER</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38341-2022</t>
        </is>
      </c>
      <c r="B1207" s="1" t="n">
        <v>44812.61805555555</v>
      </c>
      <c r="C1207" s="1" t="n">
        <v>46086</v>
      </c>
      <c r="D1207" t="inlineStr">
        <is>
          <t>GÄVLEBORGS LÄN</t>
        </is>
      </c>
      <c r="E1207" t="inlineStr">
        <is>
          <t>HUDIKSVALL</t>
        </is>
      </c>
      <c r="F1207" t="inlineStr">
        <is>
          <t>Holmen skog AB</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35129-2022</t>
        </is>
      </c>
      <c r="B1208" s="1" t="n">
        <v>44797.47615740741</v>
      </c>
      <c r="C1208" s="1" t="n">
        <v>46086</v>
      </c>
      <c r="D1208" t="inlineStr">
        <is>
          <t>GÄVLEBORGS LÄN</t>
        </is>
      </c>
      <c r="E1208" t="inlineStr">
        <is>
          <t>NORDANSTIG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19308-2022</t>
        </is>
      </c>
      <c r="B1209" s="1" t="n">
        <v>44692.55635416666</v>
      </c>
      <c r="C1209" s="1" t="n">
        <v>46086</v>
      </c>
      <c r="D1209" t="inlineStr">
        <is>
          <t>GÄVLEBORGS LÄN</t>
        </is>
      </c>
      <c r="E1209" t="inlineStr">
        <is>
          <t>OVANÅKER</t>
        </is>
      </c>
      <c r="F1209" t="inlineStr">
        <is>
          <t>Sveaskog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50278-2021</t>
        </is>
      </c>
      <c r="B1210" s="1" t="n">
        <v>44456</v>
      </c>
      <c r="C1210" s="1" t="n">
        <v>46086</v>
      </c>
      <c r="D1210" t="inlineStr">
        <is>
          <t>GÄVLEBORGS LÄN</t>
        </is>
      </c>
      <c r="E1210" t="inlineStr">
        <is>
          <t>HOFORS</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45367-2021</t>
        </is>
      </c>
      <c r="B1211" s="1" t="n">
        <v>44440.27378472222</v>
      </c>
      <c r="C1211" s="1" t="n">
        <v>46086</v>
      </c>
      <c r="D1211" t="inlineStr">
        <is>
          <t>GÄVLEBORGS LÄN</t>
        </is>
      </c>
      <c r="E1211" t="inlineStr">
        <is>
          <t>LJUSDAL</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45368-2021</t>
        </is>
      </c>
      <c r="B1212" s="1" t="n">
        <v>44440</v>
      </c>
      <c r="C1212" s="1" t="n">
        <v>46086</v>
      </c>
      <c r="D1212" t="inlineStr">
        <is>
          <t>GÄVLEBORGS LÄN</t>
        </is>
      </c>
      <c r="E1212" t="inlineStr">
        <is>
          <t>LJUSDAL</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11172-2022</t>
        </is>
      </c>
      <c r="B1213" s="1" t="n">
        <v>44629.44729166666</v>
      </c>
      <c r="C1213" s="1" t="n">
        <v>46086</v>
      </c>
      <c r="D1213" t="inlineStr">
        <is>
          <t>GÄVLEBORGS LÄN</t>
        </is>
      </c>
      <c r="E1213" t="inlineStr">
        <is>
          <t>HUDIKSVALL</t>
        </is>
      </c>
      <c r="F1213" t="inlineStr">
        <is>
          <t>Holmen skog AB</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45522-2021</t>
        </is>
      </c>
      <c r="B1214" s="1" t="n">
        <v>44440</v>
      </c>
      <c r="C1214" s="1" t="n">
        <v>46086</v>
      </c>
      <c r="D1214" t="inlineStr">
        <is>
          <t>GÄVLEBORGS LÄN</t>
        </is>
      </c>
      <c r="E1214" t="inlineStr">
        <is>
          <t>OCKELBO</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20022-2022</t>
        </is>
      </c>
      <c r="B1215" s="1" t="n">
        <v>44697</v>
      </c>
      <c r="C1215" s="1" t="n">
        <v>46086</v>
      </c>
      <c r="D1215" t="inlineStr">
        <is>
          <t>GÄVLEBORGS LÄN</t>
        </is>
      </c>
      <c r="E1215" t="inlineStr">
        <is>
          <t>HUDIKSVALL</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16985-2021</t>
        </is>
      </c>
      <c r="B1216" s="1" t="n">
        <v>44295.6012962963</v>
      </c>
      <c r="C1216" s="1" t="n">
        <v>46086</v>
      </c>
      <c r="D1216" t="inlineStr">
        <is>
          <t>GÄVLEBORGS LÄN</t>
        </is>
      </c>
      <c r="E1216" t="inlineStr">
        <is>
          <t>HOFORS</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56410-2021</t>
        </is>
      </c>
      <c r="B1217" s="1" t="n">
        <v>44480.46203703704</v>
      </c>
      <c r="C1217" s="1" t="n">
        <v>46086</v>
      </c>
      <c r="D1217" t="inlineStr">
        <is>
          <t>GÄVLEBORGS LÄN</t>
        </is>
      </c>
      <c r="E1217" t="inlineStr">
        <is>
          <t>BOLLNÄS</t>
        </is>
      </c>
      <c r="F1217" t="inlineStr">
        <is>
          <t>Bergvik skog väst AB</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45272-2021</t>
        </is>
      </c>
      <c r="B1218" s="1" t="n">
        <v>44439.64534722222</v>
      </c>
      <c r="C1218" s="1" t="n">
        <v>46086</v>
      </c>
      <c r="D1218" t="inlineStr">
        <is>
          <t>GÄVLEBORGS LÄN</t>
        </is>
      </c>
      <c r="E1218" t="inlineStr">
        <is>
          <t>NORDANSTIG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71973-2021</t>
        </is>
      </c>
      <c r="B1219" s="1" t="n">
        <v>44544</v>
      </c>
      <c r="C1219" s="1" t="n">
        <v>46086</v>
      </c>
      <c r="D1219" t="inlineStr">
        <is>
          <t>GÄVLEBORGS LÄN</t>
        </is>
      </c>
      <c r="E1219" t="inlineStr">
        <is>
          <t>NORDANSTIG</t>
        </is>
      </c>
      <c r="F1219" t="inlineStr">
        <is>
          <t>Holmen skog AB</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21869-2022</t>
        </is>
      </c>
      <c r="B1220" s="1" t="n">
        <v>44711</v>
      </c>
      <c r="C1220" s="1" t="n">
        <v>46086</v>
      </c>
      <c r="D1220" t="inlineStr">
        <is>
          <t>GÄVLEBORGS LÄN</t>
        </is>
      </c>
      <c r="E1220" t="inlineStr">
        <is>
          <t>NORDANSTIG</t>
        </is>
      </c>
      <c r="F1220" t="inlineStr">
        <is>
          <t>Holmen skog AB</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19343-2022</t>
        </is>
      </c>
      <c r="B1221" s="1" t="n">
        <v>44692.64663194444</v>
      </c>
      <c r="C1221" s="1" t="n">
        <v>46086</v>
      </c>
      <c r="D1221" t="inlineStr">
        <is>
          <t>GÄVLEBORGS LÄN</t>
        </is>
      </c>
      <c r="E1221" t="inlineStr">
        <is>
          <t>HUDIKSVALL</t>
        </is>
      </c>
      <c r="F1221" t="inlineStr">
        <is>
          <t>Holmen skog AB</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19346-2022</t>
        </is>
      </c>
      <c r="B1222" s="1" t="n">
        <v>44692.64946759259</v>
      </c>
      <c r="C1222" s="1" t="n">
        <v>46086</v>
      </c>
      <c r="D1222" t="inlineStr">
        <is>
          <t>GÄVLEBORGS LÄN</t>
        </is>
      </c>
      <c r="E1222" t="inlineStr">
        <is>
          <t>HUDIKSVALL</t>
        </is>
      </c>
      <c r="F1222" t="inlineStr">
        <is>
          <t>Holmen skog AB</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24597-2021</t>
        </is>
      </c>
      <c r="B1223" s="1" t="n">
        <v>44340.32287037037</v>
      </c>
      <c r="C1223" s="1" t="n">
        <v>46086</v>
      </c>
      <c r="D1223" t="inlineStr">
        <is>
          <t>GÄVLEBORGS LÄN</t>
        </is>
      </c>
      <c r="E1223" t="inlineStr">
        <is>
          <t>SÖDERHAMN</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39052-2021</t>
        </is>
      </c>
      <c r="B1224" s="1" t="n">
        <v>44412.52725694444</v>
      </c>
      <c r="C1224" s="1" t="n">
        <v>46086</v>
      </c>
      <c r="D1224" t="inlineStr">
        <is>
          <t>GÄVLEBORGS LÄN</t>
        </is>
      </c>
      <c r="E1224" t="inlineStr">
        <is>
          <t>NORDANSTIG</t>
        </is>
      </c>
      <c r="F1224" t="inlineStr">
        <is>
          <t>Holmen skog AB</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8281-2022</t>
        </is>
      </c>
      <c r="B1225" s="1" t="n">
        <v>44610</v>
      </c>
      <c r="C1225" s="1" t="n">
        <v>46086</v>
      </c>
      <c r="D1225" t="inlineStr">
        <is>
          <t>GÄVLEBORGS LÄN</t>
        </is>
      </c>
      <c r="E1225" t="inlineStr">
        <is>
          <t>HUDIKSVALL</t>
        </is>
      </c>
      <c r="G1225" t="n">
        <v>13.9</v>
      </c>
      <c r="H1225" t="n">
        <v>0</v>
      </c>
      <c r="I1225" t="n">
        <v>0</v>
      </c>
      <c r="J1225" t="n">
        <v>0</v>
      </c>
      <c r="K1225" t="n">
        <v>0</v>
      </c>
      <c r="L1225" t="n">
        <v>0</v>
      </c>
      <c r="M1225" t="n">
        <v>0</v>
      </c>
      <c r="N1225" t="n">
        <v>0</v>
      </c>
      <c r="O1225" t="n">
        <v>0</v>
      </c>
      <c r="P1225" t="n">
        <v>0</v>
      </c>
      <c r="Q1225" t="n">
        <v>0</v>
      </c>
      <c r="R1225" s="2" t="inlineStr"/>
    </row>
    <row r="1226" ht="15" customHeight="1">
      <c r="A1226" t="inlineStr">
        <is>
          <t>A 27539-2022</t>
        </is>
      </c>
      <c r="B1226" s="1" t="n">
        <v>44742.7009375</v>
      </c>
      <c r="C1226" s="1" t="n">
        <v>46086</v>
      </c>
      <c r="D1226" t="inlineStr">
        <is>
          <t>GÄVLEBORGS LÄN</t>
        </is>
      </c>
      <c r="E1226" t="inlineStr">
        <is>
          <t>LJUSDAL</t>
        </is>
      </c>
      <c r="F1226" t="inlineStr">
        <is>
          <t>Holmen skog AB</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31237-2022</t>
        </is>
      </c>
      <c r="B1227" s="1" t="n">
        <v>44771.48913194444</v>
      </c>
      <c r="C1227" s="1" t="n">
        <v>46086</v>
      </c>
      <c r="D1227" t="inlineStr">
        <is>
          <t>GÄVLEBORGS LÄN</t>
        </is>
      </c>
      <c r="E1227" t="inlineStr">
        <is>
          <t>BOLLNÄS</t>
        </is>
      </c>
      <c r="G1227" t="n">
        <v>13.5</v>
      </c>
      <c r="H1227" t="n">
        <v>0</v>
      </c>
      <c r="I1227" t="n">
        <v>0</v>
      </c>
      <c r="J1227" t="n">
        <v>0</v>
      </c>
      <c r="K1227" t="n">
        <v>0</v>
      </c>
      <c r="L1227" t="n">
        <v>0</v>
      </c>
      <c r="M1227" t="n">
        <v>0</v>
      </c>
      <c r="N1227" t="n">
        <v>0</v>
      </c>
      <c r="O1227" t="n">
        <v>0</v>
      </c>
      <c r="P1227" t="n">
        <v>0</v>
      </c>
      <c r="Q1227" t="n">
        <v>0</v>
      </c>
      <c r="R1227" s="2" t="inlineStr"/>
    </row>
    <row r="1228" ht="15" customHeight="1">
      <c r="A1228" t="inlineStr">
        <is>
          <t>A 54158-2021</t>
        </is>
      </c>
      <c r="B1228" s="1" t="n">
        <v>44470</v>
      </c>
      <c r="C1228" s="1" t="n">
        <v>46086</v>
      </c>
      <c r="D1228" t="inlineStr">
        <is>
          <t>GÄVLEBORGS LÄN</t>
        </is>
      </c>
      <c r="E1228" t="inlineStr">
        <is>
          <t>LJUSDAL</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61616-2021</t>
        </is>
      </c>
      <c r="B1229" s="1" t="n">
        <v>44501.48219907407</v>
      </c>
      <c r="C1229" s="1" t="n">
        <v>46086</v>
      </c>
      <c r="D1229" t="inlineStr">
        <is>
          <t>GÄVLEBORGS LÄN</t>
        </is>
      </c>
      <c r="E1229" t="inlineStr">
        <is>
          <t>SANDVIKEN</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5294-2022</t>
        </is>
      </c>
      <c r="B1230" s="1" t="n">
        <v>44594.62877314815</v>
      </c>
      <c r="C1230" s="1" t="n">
        <v>46086</v>
      </c>
      <c r="D1230" t="inlineStr">
        <is>
          <t>GÄVLEBORGS LÄN</t>
        </is>
      </c>
      <c r="E1230" t="inlineStr">
        <is>
          <t>NORDANSTIG</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56686-2021</t>
        </is>
      </c>
      <c r="B1231" s="1" t="n">
        <v>44481.36178240741</v>
      </c>
      <c r="C1231" s="1" t="n">
        <v>46086</v>
      </c>
      <c r="D1231" t="inlineStr">
        <is>
          <t>GÄVLEBORGS LÄN</t>
        </is>
      </c>
      <c r="E1231" t="inlineStr">
        <is>
          <t>BOLLNÄS</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13738-2022</t>
        </is>
      </c>
      <c r="B1232" s="1" t="n">
        <v>44649</v>
      </c>
      <c r="C1232" s="1" t="n">
        <v>46086</v>
      </c>
      <c r="D1232" t="inlineStr">
        <is>
          <t>GÄVLEBORGS LÄN</t>
        </is>
      </c>
      <c r="E1232" t="inlineStr">
        <is>
          <t>HUDIKSVALL</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47589-2022</t>
        </is>
      </c>
      <c r="B1233" s="1" t="n">
        <v>44853.97255787037</v>
      </c>
      <c r="C1233" s="1" t="n">
        <v>46086</v>
      </c>
      <c r="D1233" t="inlineStr">
        <is>
          <t>GÄVLEBORGS LÄN</t>
        </is>
      </c>
      <c r="E1233" t="inlineStr">
        <is>
          <t>NORDANSTIG</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57072-2021</t>
        </is>
      </c>
      <c r="B1234" s="1" t="n">
        <v>44482.57189814815</v>
      </c>
      <c r="C1234" s="1" t="n">
        <v>46086</v>
      </c>
      <c r="D1234" t="inlineStr">
        <is>
          <t>GÄVLEBORGS LÄN</t>
        </is>
      </c>
      <c r="E1234" t="inlineStr">
        <is>
          <t>LJUSDAL</t>
        </is>
      </c>
      <c r="F1234" t="inlineStr">
        <is>
          <t>Holmen skog AB</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48443-2021</t>
        </is>
      </c>
      <c r="B1235" s="1" t="n">
        <v>44452</v>
      </c>
      <c r="C1235" s="1" t="n">
        <v>46086</v>
      </c>
      <c r="D1235" t="inlineStr">
        <is>
          <t>GÄVLEBORGS LÄN</t>
        </is>
      </c>
      <c r="E1235" t="inlineStr">
        <is>
          <t>BOLLNÄS</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13807-2022</t>
        </is>
      </c>
      <c r="B1236" s="1" t="n">
        <v>44649</v>
      </c>
      <c r="C1236" s="1" t="n">
        <v>46086</v>
      </c>
      <c r="D1236" t="inlineStr">
        <is>
          <t>GÄVLEBORGS LÄN</t>
        </is>
      </c>
      <c r="E1236" t="inlineStr">
        <is>
          <t>HOFORS</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13816-2022</t>
        </is>
      </c>
      <c r="B1237" s="1" t="n">
        <v>44649.60190972222</v>
      </c>
      <c r="C1237" s="1" t="n">
        <v>46086</v>
      </c>
      <c r="D1237" t="inlineStr">
        <is>
          <t>GÄVLEBORGS LÄN</t>
        </is>
      </c>
      <c r="E1237" t="inlineStr">
        <is>
          <t>HUDIKSVALL</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13819-2022</t>
        </is>
      </c>
      <c r="B1238" s="1" t="n">
        <v>44649.60987268519</v>
      </c>
      <c r="C1238" s="1" t="n">
        <v>46086</v>
      </c>
      <c r="D1238" t="inlineStr">
        <is>
          <t>GÄVLEBORGS LÄN</t>
        </is>
      </c>
      <c r="E1238" t="inlineStr">
        <is>
          <t>HUDIKSVALL</t>
        </is>
      </c>
      <c r="F1238" t="inlineStr">
        <is>
          <t>Holmen skog AB</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28231-2022</t>
        </is>
      </c>
      <c r="B1239" s="1" t="n">
        <v>44746.66461805555</v>
      </c>
      <c r="C1239" s="1" t="n">
        <v>46086</v>
      </c>
      <c r="D1239" t="inlineStr">
        <is>
          <t>GÄVLEBORGS LÄN</t>
        </is>
      </c>
      <c r="E1239" t="inlineStr">
        <is>
          <t>OVANÅKER</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18039-2021</t>
        </is>
      </c>
      <c r="B1240" s="1" t="n">
        <v>44302.38584490741</v>
      </c>
      <c r="C1240" s="1" t="n">
        <v>46086</v>
      </c>
      <c r="D1240" t="inlineStr">
        <is>
          <t>GÄVLEBORGS LÄN</t>
        </is>
      </c>
      <c r="E1240" t="inlineStr">
        <is>
          <t>LJUSDAL</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17983-2021</t>
        </is>
      </c>
      <c r="B1241" s="1" t="n">
        <v>44301.67956018518</v>
      </c>
      <c r="C1241" s="1" t="n">
        <v>46086</v>
      </c>
      <c r="D1241" t="inlineStr">
        <is>
          <t>GÄVLEBORGS LÄN</t>
        </is>
      </c>
      <c r="E1241" t="inlineStr">
        <is>
          <t>NORDANSTIG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66590-2021</t>
        </is>
      </c>
      <c r="B1242" s="1" t="n">
        <v>44519.46857638889</v>
      </c>
      <c r="C1242" s="1" t="n">
        <v>46086</v>
      </c>
      <c r="D1242" t="inlineStr">
        <is>
          <t>GÄVLEBORGS LÄN</t>
        </is>
      </c>
      <c r="E1242" t="inlineStr">
        <is>
          <t>SANDVIKEN</t>
        </is>
      </c>
      <c r="G1242" t="n">
        <v>7.2</v>
      </c>
      <c r="H1242" t="n">
        <v>0</v>
      </c>
      <c r="I1242" t="n">
        <v>0</v>
      </c>
      <c r="J1242" t="n">
        <v>0</v>
      </c>
      <c r="K1242" t="n">
        <v>0</v>
      </c>
      <c r="L1242" t="n">
        <v>0</v>
      </c>
      <c r="M1242" t="n">
        <v>0</v>
      </c>
      <c r="N1242" t="n">
        <v>0</v>
      </c>
      <c r="O1242" t="n">
        <v>0</v>
      </c>
      <c r="P1242" t="n">
        <v>0</v>
      </c>
      <c r="Q1242" t="n">
        <v>0</v>
      </c>
      <c r="R1242" s="2" t="inlineStr"/>
    </row>
    <row r="1243" ht="15" customHeight="1">
      <c r="A1243" t="inlineStr">
        <is>
          <t>A 29062-2021</t>
        </is>
      </c>
      <c r="B1243" s="1" t="n">
        <v>44358</v>
      </c>
      <c r="C1243" s="1" t="n">
        <v>46086</v>
      </c>
      <c r="D1243" t="inlineStr">
        <is>
          <t>GÄVLEBORGS LÄN</t>
        </is>
      </c>
      <c r="E1243" t="inlineStr">
        <is>
          <t>LJUSDAL</t>
        </is>
      </c>
      <c r="F1243" t="inlineStr">
        <is>
          <t>Bergvik skog väst AB</t>
        </is>
      </c>
      <c r="G1243" t="n">
        <v>10.8</v>
      </c>
      <c r="H1243" t="n">
        <v>0</v>
      </c>
      <c r="I1243" t="n">
        <v>0</v>
      </c>
      <c r="J1243" t="n">
        <v>0</v>
      </c>
      <c r="K1243" t="n">
        <v>0</v>
      </c>
      <c r="L1243" t="n">
        <v>0</v>
      </c>
      <c r="M1243" t="n">
        <v>0</v>
      </c>
      <c r="N1243" t="n">
        <v>0</v>
      </c>
      <c r="O1243" t="n">
        <v>0</v>
      </c>
      <c r="P1243" t="n">
        <v>0</v>
      </c>
      <c r="Q1243" t="n">
        <v>0</v>
      </c>
      <c r="R1243" s="2" t="inlineStr"/>
    </row>
    <row r="1244" ht="15" customHeight="1">
      <c r="A1244" t="inlineStr">
        <is>
          <t>A 51519-2022</t>
        </is>
      </c>
      <c r="B1244" s="1" t="n">
        <v>44869.66986111111</v>
      </c>
      <c r="C1244" s="1" t="n">
        <v>46086</v>
      </c>
      <c r="D1244" t="inlineStr">
        <is>
          <t>GÄVLEBORGS LÄN</t>
        </is>
      </c>
      <c r="E1244" t="inlineStr">
        <is>
          <t>LJUSDAL</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11020-2021</t>
        </is>
      </c>
      <c r="B1245" s="1" t="n">
        <v>44260</v>
      </c>
      <c r="C1245" s="1" t="n">
        <v>46086</v>
      </c>
      <c r="D1245" t="inlineStr">
        <is>
          <t>GÄVLEBORGS LÄN</t>
        </is>
      </c>
      <c r="E1245" t="inlineStr">
        <is>
          <t>GÄVLE</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21696-2021</t>
        </is>
      </c>
      <c r="B1246" s="1" t="n">
        <v>44322.4402662037</v>
      </c>
      <c r="C1246" s="1" t="n">
        <v>46086</v>
      </c>
      <c r="D1246" t="inlineStr">
        <is>
          <t>GÄVLEBORGS LÄN</t>
        </is>
      </c>
      <c r="E1246" t="inlineStr">
        <is>
          <t>LJUSDAL</t>
        </is>
      </c>
      <c r="F1246" t="inlineStr">
        <is>
          <t>Sveaskog</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21708-2021</t>
        </is>
      </c>
      <c r="B1247" s="1" t="n">
        <v>44322.47003472222</v>
      </c>
      <c r="C1247" s="1" t="n">
        <v>46086</v>
      </c>
      <c r="D1247" t="inlineStr">
        <is>
          <t>GÄVLEBORGS LÄN</t>
        </is>
      </c>
      <c r="E1247" t="inlineStr">
        <is>
          <t>LJUSDAL</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45528-2022</t>
        </is>
      </c>
      <c r="B1248" s="1" t="n">
        <v>44845.46920138889</v>
      </c>
      <c r="C1248" s="1" t="n">
        <v>46086</v>
      </c>
      <c r="D1248" t="inlineStr">
        <is>
          <t>GÄVLEBORGS LÄN</t>
        </is>
      </c>
      <c r="E1248" t="inlineStr">
        <is>
          <t>OVANÅKER</t>
        </is>
      </c>
      <c r="F1248" t="inlineStr">
        <is>
          <t>Sveaskog</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30813-2021</t>
        </is>
      </c>
      <c r="B1249" s="1" t="n">
        <v>44365</v>
      </c>
      <c r="C1249" s="1" t="n">
        <v>46086</v>
      </c>
      <c r="D1249" t="inlineStr">
        <is>
          <t>GÄVLEBORGS LÄN</t>
        </is>
      </c>
      <c r="E1249" t="inlineStr">
        <is>
          <t>BOLLNÄS</t>
        </is>
      </c>
      <c r="F1249" t="inlineStr">
        <is>
          <t>Sveaskog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30668-2021</t>
        </is>
      </c>
      <c r="B1250" s="1" t="n">
        <v>44365.38498842593</v>
      </c>
      <c r="C1250" s="1" t="n">
        <v>46086</v>
      </c>
      <c r="D1250" t="inlineStr">
        <is>
          <t>GÄVLEBORGS LÄN</t>
        </is>
      </c>
      <c r="E1250" t="inlineStr">
        <is>
          <t>LJUSDAL</t>
        </is>
      </c>
      <c r="G1250" t="n">
        <v>7.6</v>
      </c>
      <c r="H1250" t="n">
        <v>0</v>
      </c>
      <c r="I1250" t="n">
        <v>0</v>
      </c>
      <c r="J1250" t="n">
        <v>0</v>
      </c>
      <c r="K1250" t="n">
        <v>0</v>
      </c>
      <c r="L1250" t="n">
        <v>0</v>
      </c>
      <c r="M1250" t="n">
        <v>0</v>
      </c>
      <c r="N1250" t="n">
        <v>0</v>
      </c>
      <c r="O1250" t="n">
        <v>0</v>
      </c>
      <c r="P1250" t="n">
        <v>0</v>
      </c>
      <c r="Q1250" t="n">
        <v>0</v>
      </c>
      <c r="R1250" s="2" t="inlineStr"/>
    </row>
    <row r="1251" ht="15" customHeight="1">
      <c r="A1251" t="inlineStr">
        <is>
          <t>A 65907-2021</t>
        </is>
      </c>
      <c r="B1251" s="1" t="n">
        <v>44517</v>
      </c>
      <c r="C1251" s="1" t="n">
        <v>46086</v>
      </c>
      <c r="D1251" t="inlineStr">
        <is>
          <t>GÄVLEBORGS LÄN</t>
        </is>
      </c>
      <c r="E1251" t="inlineStr">
        <is>
          <t>HUDIKSVALL</t>
        </is>
      </c>
      <c r="F1251" t="inlineStr">
        <is>
          <t>Holmen skog AB</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35890-2022</t>
        </is>
      </c>
      <c r="B1252" s="1" t="n">
        <v>44802.47668981482</v>
      </c>
      <c r="C1252" s="1" t="n">
        <v>46086</v>
      </c>
      <c r="D1252" t="inlineStr">
        <is>
          <t>GÄVLEBORGS LÄN</t>
        </is>
      </c>
      <c r="E1252" t="inlineStr">
        <is>
          <t>LJUSDAL</t>
        </is>
      </c>
      <c r="F1252" t="inlineStr">
        <is>
          <t>Bergvik skog väst AB</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32749-2022</t>
        </is>
      </c>
      <c r="B1253" s="1" t="n">
        <v>44783.73983796296</v>
      </c>
      <c r="C1253" s="1" t="n">
        <v>46086</v>
      </c>
      <c r="D1253" t="inlineStr">
        <is>
          <t>GÄVLEBORGS LÄN</t>
        </is>
      </c>
      <c r="E1253" t="inlineStr">
        <is>
          <t>SÖDERHAMN</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31967-2021</t>
        </is>
      </c>
      <c r="B1254" s="1" t="n">
        <v>44370.57430555556</v>
      </c>
      <c r="C1254" s="1" t="n">
        <v>46086</v>
      </c>
      <c r="D1254" t="inlineStr">
        <is>
          <t>GÄVLEBORGS LÄN</t>
        </is>
      </c>
      <c r="E1254" t="inlineStr">
        <is>
          <t>HUDIKSVALL</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8081-2022</t>
        </is>
      </c>
      <c r="B1255" s="1" t="n">
        <v>44609.51679398148</v>
      </c>
      <c r="C1255" s="1" t="n">
        <v>46086</v>
      </c>
      <c r="D1255" t="inlineStr">
        <is>
          <t>GÄVLEBORGS LÄN</t>
        </is>
      </c>
      <c r="E1255" t="inlineStr">
        <is>
          <t>HUDIKSVALL</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331-2022</t>
        </is>
      </c>
      <c r="B1256" s="1" t="n">
        <v>44565.58488425926</v>
      </c>
      <c r="C1256" s="1" t="n">
        <v>46086</v>
      </c>
      <c r="D1256" t="inlineStr">
        <is>
          <t>GÄVLEBORGS LÄN</t>
        </is>
      </c>
      <c r="E1256" t="inlineStr">
        <is>
          <t>LJUSDAL</t>
        </is>
      </c>
      <c r="F1256" t="inlineStr">
        <is>
          <t>Holmen skog AB</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1530-2022</t>
        </is>
      </c>
      <c r="B1257" s="1" t="n">
        <v>44573.57800925926</v>
      </c>
      <c r="C1257" s="1" t="n">
        <v>46086</v>
      </c>
      <c r="D1257" t="inlineStr">
        <is>
          <t>GÄVLEBORGS LÄN</t>
        </is>
      </c>
      <c r="E1257" t="inlineStr">
        <is>
          <t>OVANÅKER</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8133-2022</t>
        </is>
      </c>
      <c r="B1258" s="1" t="n">
        <v>44609.6027662037</v>
      </c>
      <c r="C1258" s="1" t="n">
        <v>46086</v>
      </c>
      <c r="D1258" t="inlineStr">
        <is>
          <t>GÄVLEBORGS LÄN</t>
        </is>
      </c>
      <c r="E1258" t="inlineStr">
        <is>
          <t>HUDIKSVALL</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11393-2021</t>
        </is>
      </c>
      <c r="B1259" s="1" t="n">
        <v>44263.6728125</v>
      </c>
      <c r="C1259" s="1" t="n">
        <v>46086</v>
      </c>
      <c r="D1259" t="inlineStr">
        <is>
          <t>GÄVLEBORGS LÄN</t>
        </is>
      </c>
      <c r="E1259" t="inlineStr">
        <is>
          <t>BOLLNÄS</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72711-2021</t>
        </is>
      </c>
      <c r="B1260" s="1" t="n">
        <v>44546.67815972222</v>
      </c>
      <c r="C1260" s="1" t="n">
        <v>46086</v>
      </c>
      <c r="D1260" t="inlineStr">
        <is>
          <t>GÄVLEBORGS LÄN</t>
        </is>
      </c>
      <c r="E1260" t="inlineStr">
        <is>
          <t>LJUSDAL</t>
        </is>
      </c>
      <c r="F1260" t="inlineStr">
        <is>
          <t>Sveaskog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33799-2021</t>
        </is>
      </c>
      <c r="B1261" s="1" t="n">
        <v>44378</v>
      </c>
      <c r="C1261" s="1" t="n">
        <v>46086</v>
      </c>
      <c r="D1261" t="inlineStr">
        <is>
          <t>GÄVLEBORGS LÄN</t>
        </is>
      </c>
      <c r="E1261" t="inlineStr">
        <is>
          <t>HUDIKSVALL</t>
        </is>
      </c>
      <c r="F1261" t="inlineStr">
        <is>
          <t>Holmen skog AB</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33377-2022</t>
        </is>
      </c>
      <c r="B1262" s="1" t="n">
        <v>44788.54135416666</v>
      </c>
      <c r="C1262" s="1" t="n">
        <v>46086</v>
      </c>
      <c r="D1262" t="inlineStr">
        <is>
          <t>GÄVLEBORGS LÄN</t>
        </is>
      </c>
      <c r="E1262" t="inlineStr">
        <is>
          <t>NORDANSTIG</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41246-2022</t>
        </is>
      </c>
      <c r="B1263" s="1" t="n">
        <v>44826</v>
      </c>
      <c r="C1263" s="1" t="n">
        <v>46086</v>
      </c>
      <c r="D1263" t="inlineStr">
        <is>
          <t>GÄVLEBORGS LÄN</t>
        </is>
      </c>
      <c r="E1263" t="inlineStr">
        <is>
          <t>SÖDERHAMN</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33086-2022</t>
        </is>
      </c>
      <c r="B1264" s="1" t="n">
        <v>44785.455</v>
      </c>
      <c r="C1264" s="1" t="n">
        <v>46086</v>
      </c>
      <c r="D1264" t="inlineStr">
        <is>
          <t>GÄVLEBORGS LÄN</t>
        </is>
      </c>
      <c r="E1264" t="inlineStr">
        <is>
          <t>BOLLNÄS</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5430-2022</t>
        </is>
      </c>
      <c r="B1265" s="1" t="n">
        <v>44595</v>
      </c>
      <c r="C1265" s="1" t="n">
        <v>46086</v>
      </c>
      <c r="D1265" t="inlineStr">
        <is>
          <t>GÄVLEBORGS LÄN</t>
        </is>
      </c>
      <c r="E1265" t="inlineStr">
        <is>
          <t>SANDVIKEN</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72435-2021</t>
        </is>
      </c>
      <c r="B1266" s="1" t="n">
        <v>44545</v>
      </c>
      <c r="C1266" s="1" t="n">
        <v>46086</v>
      </c>
      <c r="D1266" t="inlineStr">
        <is>
          <t>GÄVLEBORGS LÄN</t>
        </is>
      </c>
      <c r="E1266" t="inlineStr">
        <is>
          <t>NORDANSTIG</t>
        </is>
      </c>
      <c r="G1266" t="n">
        <v>0.1</v>
      </c>
      <c r="H1266" t="n">
        <v>0</v>
      </c>
      <c r="I1266" t="n">
        <v>0</v>
      </c>
      <c r="J1266" t="n">
        <v>0</v>
      </c>
      <c r="K1266" t="n">
        <v>0</v>
      </c>
      <c r="L1266" t="n">
        <v>0</v>
      </c>
      <c r="M1266" t="n">
        <v>0</v>
      </c>
      <c r="N1266" t="n">
        <v>0</v>
      </c>
      <c r="O1266" t="n">
        <v>0</v>
      </c>
      <c r="P1266" t="n">
        <v>0</v>
      </c>
      <c r="Q1266" t="n">
        <v>0</v>
      </c>
      <c r="R1266" s="2" t="inlineStr"/>
    </row>
    <row r="1267" ht="15" customHeight="1">
      <c r="A1267" t="inlineStr">
        <is>
          <t>A 65030-2021</t>
        </is>
      </c>
      <c r="B1267" s="1" t="n">
        <v>44515.32060185185</v>
      </c>
      <c r="C1267" s="1" t="n">
        <v>46086</v>
      </c>
      <c r="D1267" t="inlineStr">
        <is>
          <t>GÄVLEBORGS LÄN</t>
        </is>
      </c>
      <c r="E1267" t="inlineStr">
        <is>
          <t>BOLLNÄS</t>
        </is>
      </c>
      <c r="F1267" t="inlineStr">
        <is>
          <t>Bergvik skog väst AB</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35859-2021</t>
        </is>
      </c>
      <c r="B1268" s="1" t="n">
        <v>44386</v>
      </c>
      <c r="C1268" s="1" t="n">
        <v>46086</v>
      </c>
      <c r="D1268" t="inlineStr">
        <is>
          <t>GÄVLEBORGS LÄN</t>
        </is>
      </c>
      <c r="E1268" t="inlineStr">
        <is>
          <t>NORDANSTIG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12648-2021</t>
        </is>
      </c>
      <c r="B1269" s="1" t="n">
        <v>44270.48195601852</v>
      </c>
      <c r="C1269" s="1" t="n">
        <v>46086</v>
      </c>
      <c r="D1269" t="inlineStr">
        <is>
          <t>GÄVLEBORGS LÄN</t>
        </is>
      </c>
      <c r="E1269" t="inlineStr">
        <is>
          <t>LJUSDAL</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70473-2021</t>
        </is>
      </c>
      <c r="B1270" s="1" t="n">
        <v>44536</v>
      </c>
      <c r="C1270" s="1" t="n">
        <v>46086</v>
      </c>
      <c r="D1270" t="inlineStr">
        <is>
          <t>GÄVLEBORGS LÄN</t>
        </is>
      </c>
      <c r="E1270" t="inlineStr">
        <is>
          <t>BOLLNÄS</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34709-2022</t>
        </is>
      </c>
      <c r="B1271" s="1" t="n">
        <v>44795.57931712963</v>
      </c>
      <c r="C1271" s="1" t="n">
        <v>46086</v>
      </c>
      <c r="D1271" t="inlineStr">
        <is>
          <t>GÄVLEBORGS LÄN</t>
        </is>
      </c>
      <c r="E1271" t="inlineStr">
        <is>
          <t>OCKELBO</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46854-2021</t>
        </is>
      </c>
      <c r="B1272" s="1" t="n">
        <v>44446.38486111111</v>
      </c>
      <c r="C1272" s="1" t="n">
        <v>46086</v>
      </c>
      <c r="D1272" t="inlineStr">
        <is>
          <t>GÄVLEBORGS LÄN</t>
        </is>
      </c>
      <c r="E1272" t="inlineStr">
        <is>
          <t>SANDVIKEN</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13740-2022</t>
        </is>
      </c>
      <c r="B1273" s="1" t="n">
        <v>44649.38474537037</v>
      </c>
      <c r="C1273" s="1" t="n">
        <v>46086</v>
      </c>
      <c r="D1273" t="inlineStr">
        <is>
          <t>GÄVLEBORGS LÄN</t>
        </is>
      </c>
      <c r="E1273" t="inlineStr">
        <is>
          <t>HUDIKSVALL</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11706-2022</t>
        </is>
      </c>
      <c r="B1274" s="1" t="n">
        <v>44634.41484953704</v>
      </c>
      <c r="C1274" s="1" t="n">
        <v>46086</v>
      </c>
      <c r="D1274" t="inlineStr">
        <is>
          <t>GÄVLEBORGS LÄN</t>
        </is>
      </c>
      <c r="E1274" t="inlineStr">
        <is>
          <t>NORDANSTIG</t>
        </is>
      </c>
      <c r="F1274" t="inlineStr">
        <is>
          <t>Holmen skog AB</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29454-2021</t>
        </is>
      </c>
      <c r="B1275" s="1" t="n">
        <v>44361</v>
      </c>
      <c r="C1275" s="1" t="n">
        <v>46086</v>
      </c>
      <c r="D1275" t="inlineStr">
        <is>
          <t>GÄVLEBORGS LÄN</t>
        </is>
      </c>
      <c r="E1275" t="inlineStr">
        <is>
          <t>HUDIKSVALL</t>
        </is>
      </c>
      <c r="F1275" t="inlineStr">
        <is>
          <t>Holmen skog AB</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6025-2022</t>
        </is>
      </c>
      <c r="B1276" s="1" t="n">
        <v>44599</v>
      </c>
      <c r="C1276" s="1" t="n">
        <v>46086</v>
      </c>
      <c r="D1276" t="inlineStr">
        <is>
          <t>GÄVLEBORGS LÄN</t>
        </is>
      </c>
      <c r="E1276" t="inlineStr">
        <is>
          <t>GÄVLE</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48205-2022</t>
        </is>
      </c>
      <c r="B1277" s="1" t="n">
        <v>44858.42241898148</v>
      </c>
      <c r="C1277" s="1" t="n">
        <v>46086</v>
      </c>
      <c r="D1277" t="inlineStr">
        <is>
          <t>GÄVLEBORGS LÄN</t>
        </is>
      </c>
      <c r="E1277" t="inlineStr">
        <is>
          <t>OCKELBO</t>
        </is>
      </c>
      <c r="F1277" t="inlineStr">
        <is>
          <t>Bergvik skog väst AB</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48151-2021</t>
        </is>
      </c>
      <c r="B1278" s="1" t="n">
        <v>44449</v>
      </c>
      <c r="C1278" s="1" t="n">
        <v>46086</v>
      </c>
      <c r="D1278" t="inlineStr">
        <is>
          <t>GÄVLEBORGS LÄN</t>
        </is>
      </c>
      <c r="E1278" t="inlineStr">
        <is>
          <t>OVANÅKER</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50567-2022</t>
        </is>
      </c>
      <c r="B1279" s="1" t="n">
        <v>44866.63675925926</v>
      </c>
      <c r="C1279" s="1" t="n">
        <v>46086</v>
      </c>
      <c r="D1279" t="inlineStr">
        <is>
          <t>GÄVLEBORGS LÄN</t>
        </is>
      </c>
      <c r="E1279" t="inlineStr">
        <is>
          <t>LJUSDAL</t>
        </is>
      </c>
      <c r="F1279" t="inlineStr">
        <is>
          <t>Holmen skog AB</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48718-2021</t>
        </is>
      </c>
      <c r="B1280" s="1" t="n">
        <v>44452</v>
      </c>
      <c r="C1280" s="1" t="n">
        <v>46086</v>
      </c>
      <c r="D1280" t="inlineStr">
        <is>
          <t>GÄVLEBORGS LÄN</t>
        </is>
      </c>
      <c r="E1280" t="inlineStr">
        <is>
          <t>BOLLNÄS</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41622-2021</t>
        </is>
      </c>
      <c r="B1281" s="1" t="n">
        <v>44425</v>
      </c>
      <c r="C1281" s="1" t="n">
        <v>46086</v>
      </c>
      <c r="D1281" t="inlineStr">
        <is>
          <t>GÄVLEBORGS LÄN</t>
        </is>
      </c>
      <c r="E1281" t="inlineStr">
        <is>
          <t>OCKELBO</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51708-2021</t>
        </is>
      </c>
      <c r="B1282" s="1" t="n">
        <v>44462</v>
      </c>
      <c r="C1282" s="1" t="n">
        <v>46086</v>
      </c>
      <c r="D1282" t="inlineStr">
        <is>
          <t>GÄVLEBORGS LÄN</t>
        </is>
      </c>
      <c r="E1282" t="inlineStr">
        <is>
          <t>OCKELBO</t>
        </is>
      </c>
      <c r="F1282" t="inlineStr">
        <is>
          <t>Bergvik skog väst AB</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26336-2022</t>
        </is>
      </c>
      <c r="B1283" s="1" t="n">
        <v>44735.61905092592</v>
      </c>
      <c r="C1283" s="1" t="n">
        <v>46086</v>
      </c>
      <c r="D1283" t="inlineStr">
        <is>
          <t>GÄVLEBORGS LÄN</t>
        </is>
      </c>
      <c r="E1283" t="inlineStr">
        <is>
          <t>GÄVLE</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40148-2022</t>
        </is>
      </c>
      <c r="B1284" s="1" t="n">
        <v>44820.55082175926</v>
      </c>
      <c r="C1284" s="1" t="n">
        <v>46086</v>
      </c>
      <c r="D1284" t="inlineStr">
        <is>
          <t>GÄVLEBORGS LÄN</t>
        </is>
      </c>
      <c r="E1284" t="inlineStr">
        <is>
          <t>SÖDERHAMN</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17959-2021</t>
        </is>
      </c>
      <c r="B1285" s="1" t="n">
        <v>44301</v>
      </c>
      <c r="C1285" s="1" t="n">
        <v>46086</v>
      </c>
      <c r="D1285" t="inlineStr">
        <is>
          <t>GÄVLEBORGS LÄN</t>
        </is>
      </c>
      <c r="E1285" t="inlineStr">
        <is>
          <t>OVANÅKER</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15101-2022</t>
        </is>
      </c>
      <c r="B1286" s="1" t="n">
        <v>44658</v>
      </c>
      <c r="C1286" s="1" t="n">
        <v>46086</v>
      </c>
      <c r="D1286" t="inlineStr">
        <is>
          <t>GÄVLEBORGS LÄN</t>
        </is>
      </c>
      <c r="E1286" t="inlineStr">
        <is>
          <t>GÄVLE</t>
        </is>
      </c>
      <c r="F1286" t="inlineStr">
        <is>
          <t>Bergvik skog öst AB</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12775-2021</t>
        </is>
      </c>
      <c r="B1287" s="1" t="n">
        <v>44270.69513888889</v>
      </c>
      <c r="C1287" s="1" t="n">
        <v>46086</v>
      </c>
      <c r="D1287" t="inlineStr">
        <is>
          <t>GÄVLEBORGS LÄN</t>
        </is>
      </c>
      <c r="E1287" t="inlineStr">
        <is>
          <t>GÄVLE</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58397-2021</t>
        </is>
      </c>
      <c r="B1288" s="1" t="n">
        <v>44488</v>
      </c>
      <c r="C1288" s="1" t="n">
        <v>46086</v>
      </c>
      <c r="D1288" t="inlineStr">
        <is>
          <t>GÄVLEBORGS LÄN</t>
        </is>
      </c>
      <c r="E1288" t="inlineStr">
        <is>
          <t>LJUSDAL</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56481-2021</t>
        </is>
      </c>
      <c r="B1289" s="1" t="n">
        <v>44480</v>
      </c>
      <c r="C1289" s="1" t="n">
        <v>46086</v>
      </c>
      <c r="D1289" t="inlineStr">
        <is>
          <t>GÄVLEBORGS LÄN</t>
        </is>
      </c>
      <c r="E1289" t="inlineStr">
        <is>
          <t>BOLLNÄS</t>
        </is>
      </c>
      <c r="F1289" t="inlineStr">
        <is>
          <t>Bergvik skog väst AB</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25460-2022</t>
        </is>
      </c>
      <c r="B1290" s="1" t="n">
        <v>44732.51826388889</v>
      </c>
      <c r="C1290" s="1" t="n">
        <v>46086</v>
      </c>
      <c r="D1290" t="inlineStr">
        <is>
          <t>GÄVLEBORGS LÄN</t>
        </is>
      </c>
      <c r="E1290" t="inlineStr">
        <is>
          <t>NORDANSTIG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9635-2022</t>
        </is>
      </c>
      <c r="B1291" s="1" t="n">
        <v>44617</v>
      </c>
      <c r="C1291" s="1" t="n">
        <v>46086</v>
      </c>
      <c r="D1291" t="inlineStr">
        <is>
          <t>GÄVLEBORGS LÄN</t>
        </is>
      </c>
      <c r="E1291" t="inlineStr">
        <is>
          <t>OVANÅKER</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22198-2022</t>
        </is>
      </c>
      <c r="B1292" s="1" t="n">
        <v>44712</v>
      </c>
      <c r="C1292" s="1" t="n">
        <v>46086</v>
      </c>
      <c r="D1292" t="inlineStr">
        <is>
          <t>GÄVLEBORGS LÄN</t>
        </is>
      </c>
      <c r="E1292" t="inlineStr">
        <is>
          <t>HUDIKSVALL</t>
        </is>
      </c>
      <c r="F1292" t="inlineStr">
        <is>
          <t>Holmen skog AB</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48179-2022</t>
        </is>
      </c>
      <c r="B1293" s="1" t="n">
        <v>44858.39075231482</v>
      </c>
      <c r="C1293" s="1" t="n">
        <v>46086</v>
      </c>
      <c r="D1293" t="inlineStr">
        <is>
          <t>GÄVLEBORGS LÄN</t>
        </is>
      </c>
      <c r="E1293" t="inlineStr">
        <is>
          <t>NORDANSTIG</t>
        </is>
      </c>
      <c r="F1293" t="inlineStr">
        <is>
          <t>Holmen skog AB</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52792-2021</t>
        </is>
      </c>
      <c r="B1294" s="1" t="n">
        <v>44467</v>
      </c>
      <c r="C1294" s="1" t="n">
        <v>46086</v>
      </c>
      <c r="D1294" t="inlineStr">
        <is>
          <t>GÄVLEBORGS LÄN</t>
        </is>
      </c>
      <c r="E1294" t="inlineStr">
        <is>
          <t>BOLLNÄS</t>
        </is>
      </c>
      <c r="F1294" t="inlineStr">
        <is>
          <t>Sveaskog</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59270-2021</t>
        </is>
      </c>
      <c r="B1295" s="1" t="n">
        <v>44490</v>
      </c>
      <c r="C1295" s="1" t="n">
        <v>46086</v>
      </c>
      <c r="D1295" t="inlineStr">
        <is>
          <t>GÄVLEBORGS LÄN</t>
        </is>
      </c>
      <c r="E1295" t="inlineStr">
        <is>
          <t>NORDANSTIG</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17246-2022</t>
        </is>
      </c>
      <c r="B1296" s="1" t="n">
        <v>44678.38255787037</v>
      </c>
      <c r="C1296" s="1" t="n">
        <v>46086</v>
      </c>
      <c r="D1296" t="inlineStr">
        <is>
          <t>GÄVLEBORGS LÄN</t>
        </is>
      </c>
      <c r="E1296" t="inlineStr">
        <is>
          <t>LJUSDAL</t>
        </is>
      </c>
      <c r="F1296" t="inlineStr">
        <is>
          <t>Holmen skog AB</t>
        </is>
      </c>
      <c r="G1296" t="n">
        <v>6.6</v>
      </c>
      <c r="H1296" t="n">
        <v>0</v>
      </c>
      <c r="I1296" t="n">
        <v>0</v>
      </c>
      <c r="J1296" t="n">
        <v>0</v>
      </c>
      <c r="K1296" t="n">
        <v>0</v>
      </c>
      <c r="L1296" t="n">
        <v>0</v>
      </c>
      <c r="M1296" t="n">
        <v>0</v>
      </c>
      <c r="N1296" t="n">
        <v>0</v>
      </c>
      <c r="O1296" t="n">
        <v>0</v>
      </c>
      <c r="P1296" t="n">
        <v>0</v>
      </c>
      <c r="Q1296" t="n">
        <v>0</v>
      </c>
      <c r="R1296" s="2" t="inlineStr"/>
    </row>
    <row r="1297" ht="15" customHeight="1">
      <c r="A1297" t="inlineStr">
        <is>
          <t>A 9980-2022</t>
        </is>
      </c>
      <c r="B1297" s="1" t="n">
        <v>44621</v>
      </c>
      <c r="C1297" s="1" t="n">
        <v>46086</v>
      </c>
      <c r="D1297" t="inlineStr">
        <is>
          <t>GÄVLEBORGS LÄN</t>
        </is>
      </c>
      <c r="E1297" t="inlineStr">
        <is>
          <t>OVANÅKER</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25583-2021</t>
        </is>
      </c>
      <c r="B1298" s="1" t="n">
        <v>44343</v>
      </c>
      <c r="C1298" s="1" t="n">
        <v>46086</v>
      </c>
      <c r="D1298" t="inlineStr">
        <is>
          <t>GÄVLEBORGS LÄN</t>
        </is>
      </c>
      <c r="E1298" t="inlineStr">
        <is>
          <t>OCKELBO</t>
        </is>
      </c>
      <c r="F1298" t="inlineStr">
        <is>
          <t>Bergvik skog väst AB</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57337-2021</t>
        </is>
      </c>
      <c r="B1299" s="1" t="n">
        <v>44483.4696875</v>
      </c>
      <c r="C1299" s="1" t="n">
        <v>46086</v>
      </c>
      <c r="D1299" t="inlineStr">
        <is>
          <t>GÄVLEBORGS LÄN</t>
        </is>
      </c>
      <c r="E1299" t="inlineStr">
        <is>
          <t>BOLLNÄS</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50347-2022</t>
        </is>
      </c>
      <c r="B1300" s="1" t="n">
        <v>44866.29783564815</v>
      </c>
      <c r="C1300" s="1" t="n">
        <v>46086</v>
      </c>
      <c r="D1300" t="inlineStr">
        <is>
          <t>GÄVLEBORGS LÄN</t>
        </is>
      </c>
      <c r="E1300" t="inlineStr">
        <is>
          <t>LJUSDAL</t>
        </is>
      </c>
      <c r="F1300" t="inlineStr">
        <is>
          <t>Holmen skog AB</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29285-2021</t>
        </is>
      </c>
      <c r="B1301" s="1" t="n">
        <v>44361.37318287037</v>
      </c>
      <c r="C1301" s="1" t="n">
        <v>46086</v>
      </c>
      <c r="D1301" t="inlineStr">
        <is>
          <t>GÄVLEBORGS LÄN</t>
        </is>
      </c>
      <c r="E1301" t="inlineStr">
        <is>
          <t>LJUSDAL</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29326-2021</t>
        </is>
      </c>
      <c r="B1302" s="1" t="n">
        <v>44361</v>
      </c>
      <c r="C1302" s="1" t="n">
        <v>46086</v>
      </c>
      <c r="D1302" t="inlineStr">
        <is>
          <t>GÄVLEBORGS LÄN</t>
        </is>
      </c>
      <c r="E1302" t="inlineStr">
        <is>
          <t>LJUSDAL</t>
        </is>
      </c>
      <c r="G1302" t="n">
        <v>7.9</v>
      </c>
      <c r="H1302" t="n">
        <v>0</v>
      </c>
      <c r="I1302" t="n">
        <v>0</v>
      </c>
      <c r="J1302" t="n">
        <v>0</v>
      </c>
      <c r="K1302" t="n">
        <v>0</v>
      </c>
      <c r="L1302" t="n">
        <v>0</v>
      </c>
      <c r="M1302" t="n">
        <v>0</v>
      </c>
      <c r="N1302" t="n">
        <v>0</v>
      </c>
      <c r="O1302" t="n">
        <v>0</v>
      </c>
      <c r="P1302" t="n">
        <v>0</v>
      </c>
      <c r="Q1302" t="n">
        <v>0</v>
      </c>
      <c r="R1302" s="2" t="inlineStr"/>
    </row>
    <row r="1303" ht="15" customHeight="1">
      <c r="A1303" t="inlineStr">
        <is>
          <t>A 67931-2021</t>
        </is>
      </c>
      <c r="B1303" s="1" t="n">
        <v>44525.61733796296</v>
      </c>
      <c r="C1303" s="1" t="n">
        <v>46086</v>
      </c>
      <c r="D1303" t="inlineStr">
        <is>
          <t>GÄVLEBORGS LÄN</t>
        </is>
      </c>
      <c r="E1303" t="inlineStr">
        <is>
          <t>NORDANSTIG</t>
        </is>
      </c>
      <c r="F1303" t="inlineStr">
        <is>
          <t>Holmen skog AB</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26711-2022</t>
        </is>
      </c>
      <c r="B1304" s="1" t="n">
        <v>44739.83524305555</v>
      </c>
      <c r="C1304" s="1" t="n">
        <v>46086</v>
      </c>
      <c r="D1304" t="inlineStr">
        <is>
          <t>GÄVLEBORGS LÄN</t>
        </is>
      </c>
      <c r="E1304" t="inlineStr">
        <is>
          <t>SANDVIKEN</t>
        </is>
      </c>
      <c r="F1304" t="inlineStr">
        <is>
          <t>Sveaskog</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49493-2022</t>
        </is>
      </c>
      <c r="B1305" s="1" t="n">
        <v>44861</v>
      </c>
      <c r="C1305" s="1" t="n">
        <v>46086</v>
      </c>
      <c r="D1305" t="inlineStr">
        <is>
          <t>GÄVLEBORGS LÄN</t>
        </is>
      </c>
      <c r="E1305" t="inlineStr">
        <is>
          <t>SANDVIKEN</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49780-2021</t>
        </is>
      </c>
      <c r="B1306" s="1" t="n">
        <v>44455.57879629629</v>
      </c>
      <c r="C1306" s="1" t="n">
        <v>46086</v>
      </c>
      <c r="D1306" t="inlineStr">
        <is>
          <t>GÄVLEBORGS LÄN</t>
        </is>
      </c>
      <c r="E1306" t="inlineStr">
        <is>
          <t>LJUSDAL</t>
        </is>
      </c>
      <c r="F1306" t="inlineStr">
        <is>
          <t>Holmen skog AB</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34930-2021</t>
        </is>
      </c>
      <c r="B1307" s="1" t="n">
        <v>44383.56744212963</v>
      </c>
      <c r="C1307" s="1" t="n">
        <v>46086</v>
      </c>
      <c r="D1307" t="inlineStr">
        <is>
          <t>GÄVLEBORGS LÄN</t>
        </is>
      </c>
      <c r="E1307" t="inlineStr">
        <is>
          <t>SANDVIKEN</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26301-2022</t>
        </is>
      </c>
      <c r="B1308" s="1" t="n">
        <v>44735.5850462963</v>
      </c>
      <c r="C1308" s="1" t="n">
        <v>46086</v>
      </c>
      <c r="D1308" t="inlineStr">
        <is>
          <t>GÄVLEBORGS LÄN</t>
        </is>
      </c>
      <c r="E1308" t="inlineStr">
        <is>
          <t>BOLLNÄS</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31773-2022</t>
        </is>
      </c>
      <c r="B1309" s="1" t="n">
        <v>44776</v>
      </c>
      <c r="C1309" s="1" t="n">
        <v>46086</v>
      </c>
      <c r="D1309" t="inlineStr">
        <is>
          <t>GÄVLEBORGS LÄN</t>
        </is>
      </c>
      <c r="E1309" t="inlineStr">
        <is>
          <t>GÄVLE</t>
        </is>
      </c>
      <c r="F1309" t="inlineStr">
        <is>
          <t>Bergvik skog väst AB</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59216-2021</t>
        </is>
      </c>
      <c r="B1310" s="1" t="n">
        <v>44490.61769675926</v>
      </c>
      <c r="C1310" s="1" t="n">
        <v>46086</v>
      </c>
      <c r="D1310" t="inlineStr">
        <is>
          <t>GÄVLEBORGS LÄN</t>
        </is>
      </c>
      <c r="E1310" t="inlineStr">
        <is>
          <t>SÖDERHAMN</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55411-2022</t>
        </is>
      </c>
      <c r="B1311" s="1" t="n">
        <v>44887.58847222223</v>
      </c>
      <c r="C1311" s="1" t="n">
        <v>46086</v>
      </c>
      <c r="D1311" t="inlineStr">
        <is>
          <t>GÄVLEBORGS LÄN</t>
        </is>
      </c>
      <c r="E1311" t="inlineStr">
        <is>
          <t>SANDVIKEN</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18112-2021</t>
        </is>
      </c>
      <c r="B1312" s="1" t="n">
        <v>44302</v>
      </c>
      <c r="C1312" s="1" t="n">
        <v>46086</v>
      </c>
      <c r="D1312" t="inlineStr">
        <is>
          <t>GÄVLEBORGS LÄN</t>
        </is>
      </c>
      <c r="E1312" t="inlineStr">
        <is>
          <t>SÖDERHAMN</t>
        </is>
      </c>
      <c r="F1312" t="inlineStr">
        <is>
          <t>Kyrkan</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20916-2022</t>
        </is>
      </c>
      <c r="B1313" s="1" t="n">
        <v>44701.62305555555</v>
      </c>
      <c r="C1313" s="1" t="n">
        <v>46086</v>
      </c>
      <c r="D1313" t="inlineStr">
        <is>
          <t>GÄVLEBORGS LÄN</t>
        </is>
      </c>
      <c r="E1313" t="inlineStr">
        <is>
          <t>LJUSDAL</t>
        </is>
      </c>
      <c r="F1313" t="inlineStr">
        <is>
          <t>Sveaskog</t>
        </is>
      </c>
      <c r="G1313" t="n">
        <v>8.800000000000001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57561-2021</t>
        </is>
      </c>
      <c r="B1314" s="1" t="n">
        <v>44483</v>
      </c>
      <c r="C1314" s="1" t="n">
        <v>46086</v>
      </c>
      <c r="D1314" t="inlineStr">
        <is>
          <t>GÄVLEBORGS LÄN</t>
        </is>
      </c>
      <c r="E1314" t="inlineStr">
        <is>
          <t>LJUSDAL</t>
        </is>
      </c>
      <c r="F1314" t="inlineStr">
        <is>
          <t>SCA</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52046-2021</t>
        </is>
      </c>
      <c r="B1315" s="1" t="n">
        <v>44463.36844907407</v>
      </c>
      <c r="C1315" s="1" t="n">
        <v>46086</v>
      </c>
      <c r="D1315" t="inlineStr">
        <is>
          <t>GÄVLEBORGS LÄN</t>
        </is>
      </c>
      <c r="E1315" t="inlineStr">
        <is>
          <t>OVANÅKER</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73447-2021</t>
        </is>
      </c>
      <c r="B1316" s="1" t="n">
        <v>44551.56446759259</v>
      </c>
      <c r="C1316" s="1" t="n">
        <v>46086</v>
      </c>
      <c r="D1316" t="inlineStr">
        <is>
          <t>GÄVLEBORGS LÄN</t>
        </is>
      </c>
      <c r="E1316" t="inlineStr">
        <is>
          <t>SÖDERHAMN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1031-2022</t>
        </is>
      </c>
      <c r="B1317" s="1" t="n">
        <v>44571</v>
      </c>
      <c r="C1317" s="1" t="n">
        <v>46086</v>
      </c>
      <c r="D1317" t="inlineStr">
        <is>
          <t>GÄVLEBORGS LÄN</t>
        </is>
      </c>
      <c r="E1317" t="inlineStr">
        <is>
          <t>GÄVLE</t>
        </is>
      </c>
      <c r="G1317" t="n">
        <v>12.2</v>
      </c>
      <c r="H1317" t="n">
        <v>0</v>
      </c>
      <c r="I1317" t="n">
        <v>0</v>
      </c>
      <c r="J1317" t="n">
        <v>0</v>
      </c>
      <c r="K1317" t="n">
        <v>0</v>
      </c>
      <c r="L1317" t="n">
        <v>0</v>
      </c>
      <c r="M1317" t="n">
        <v>0</v>
      </c>
      <c r="N1317" t="n">
        <v>0</v>
      </c>
      <c r="O1317" t="n">
        <v>0</v>
      </c>
      <c r="P1317" t="n">
        <v>0</v>
      </c>
      <c r="Q1317" t="n">
        <v>0</v>
      </c>
      <c r="R1317" s="2" t="inlineStr"/>
    </row>
    <row r="1318" ht="15" customHeight="1">
      <c r="A1318" t="inlineStr">
        <is>
          <t>A 28878-2021</t>
        </is>
      </c>
      <c r="B1318" s="1" t="n">
        <v>44357</v>
      </c>
      <c r="C1318" s="1" t="n">
        <v>46086</v>
      </c>
      <c r="D1318" t="inlineStr">
        <is>
          <t>GÄVLEBORGS LÄN</t>
        </is>
      </c>
      <c r="E1318" t="inlineStr">
        <is>
          <t>NORDANSTIG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18082-2021</t>
        </is>
      </c>
      <c r="B1319" s="1" t="n">
        <v>44302.45612268519</v>
      </c>
      <c r="C1319" s="1" t="n">
        <v>46086</v>
      </c>
      <c r="D1319" t="inlineStr">
        <is>
          <t>GÄVLEBORGS LÄN</t>
        </is>
      </c>
      <c r="E1319" t="inlineStr">
        <is>
          <t>HUDIKSVALL</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43490-2022</t>
        </is>
      </c>
      <c r="B1320" s="1" t="n">
        <v>44837.31979166667</v>
      </c>
      <c r="C1320" s="1" t="n">
        <v>46086</v>
      </c>
      <c r="D1320" t="inlineStr">
        <is>
          <t>GÄVLEBORGS LÄN</t>
        </is>
      </c>
      <c r="E1320" t="inlineStr">
        <is>
          <t>SÖDERHAMN</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39114-2022</t>
        </is>
      </c>
      <c r="B1321" s="1" t="n">
        <v>44817</v>
      </c>
      <c r="C1321" s="1" t="n">
        <v>46086</v>
      </c>
      <c r="D1321" t="inlineStr">
        <is>
          <t>GÄVLEBORGS LÄN</t>
        </is>
      </c>
      <c r="E1321" t="inlineStr">
        <is>
          <t>HUDIKSVALL</t>
        </is>
      </c>
      <c r="F1321" t="inlineStr">
        <is>
          <t>Holmen skog AB</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33280-2022</t>
        </is>
      </c>
      <c r="B1322" s="1" t="n">
        <v>44788.34717592593</v>
      </c>
      <c r="C1322" s="1" t="n">
        <v>46086</v>
      </c>
      <c r="D1322" t="inlineStr">
        <is>
          <t>GÄVLEBORGS LÄN</t>
        </is>
      </c>
      <c r="E1322" t="inlineStr">
        <is>
          <t>GÄVLE</t>
        </is>
      </c>
      <c r="F1322" t="inlineStr">
        <is>
          <t>Bergvik skog öst AB</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14449-2021</t>
        </is>
      </c>
      <c r="B1323" s="1" t="n">
        <v>44279.49376157407</v>
      </c>
      <c r="C1323" s="1" t="n">
        <v>46086</v>
      </c>
      <c r="D1323" t="inlineStr">
        <is>
          <t>GÄVLEBORGS LÄN</t>
        </is>
      </c>
      <c r="E1323" t="inlineStr">
        <is>
          <t>GÄVLE</t>
        </is>
      </c>
      <c r="F1323" t="inlineStr">
        <is>
          <t>Bergvik skog öst AB</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39374-2021</t>
        </is>
      </c>
      <c r="B1324" s="1" t="n">
        <v>44414</v>
      </c>
      <c r="C1324" s="1" t="n">
        <v>46086</v>
      </c>
      <c r="D1324" t="inlineStr">
        <is>
          <t>GÄVLEBORGS LÄN</t>
        </is>
      </c>
      <c r="E1324" t="inlineStr">
        <is>
          <t>GÄVLE</t>
        </is>
      </c>
      <c r="F1324" t="inlineStr">
        <is>
          <t>Kyrkan</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36470-2022</t>
        </is>
      </c>
      <c r="B1325" s="1" t="n">
        <v>44804</v>
      </c>
      <c r="C1325" s="1" t="n">
        <v>46086</v>
      </c>
      <c r="D1325" t="inlineStr">
        <is>
          <t>GÄVLEBORGS LÄN</t>
        </is>
      </c>
      <c r="E1325" t="inlineStr">
        <is>
          <t>LJUSDAL</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39241-2022</t>
        </is>
      </c>
      <c r="B1326" s="1" t="n">
        <v>44817</v>
      </c>
      <c r="C1326" s="1" t="n">
        <v>46086</v>
      </c>
      <c r="D1326" t="inlineStr">
        <is>
          <t>GÄVLEBORGS LÄN</t>
        </is>
      </c>
      <c r="E1326" t="inlineStr">
        <is>
          <t>SANDVIKEN</t>
        </is>
      </c>
      <c r="F1326" t="inlineStr">
        <is>
          <t>Bergvik skog öst AB</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42129-2022</t>
        </is>
      </c>
      <c r="B1327" s="1" t="n">
        <v>44830.575</v>
      </c>
      <c r="C1327" s="1" t="n">
        <v>46086</v>
      </c>
      <c r="D1327" t="inlineStr">
        <is>
          <t>GÄVLEBORGS LÄN</t>
        </is>
      </c>
      <c r="E1327" t="inlineStr">
        <is>
          <t>NORDANSTIG</t>
        </is>
      </c>
      <c r="F1327" t="inlineStr">
        <is>
          <t>Holmen skog AB</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22581-2021</t>
        </is>
      </c>
      <c r="B1328" s="1" t="n">
        <v>44327.39258101852</v>
      </c>
      <c r="C1328" s="1" t="n">
        <v>46086</v>
      </c>
      <c r="D1328" t="inlineStr">
        <is>
          <t>GÄVLEBORGS LÄN</t>
        </is>
      </c>
      <c r="E1328" t="inlineStr">
        <is>
          <t>OCKELBO</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22583-2021</t>
        </is>
      </c>
      <c r="B1329" s="1" t="n">
        <v>44327.396875</v>
      </c>
      <c r="C1329" s="1" t="n">
        <v>46086</v>
      </c>
      <c r="D1329" t="inlineStr">
        <is>
          <t>GÄVLEBORGS LÄN</t>
        </is>
      </c>
      <c r="E1329" t="inlineStr">
        <is>
          <t>OCKELBO</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29762-2022</t>
        </is>
      </c>
      <c r="B1330" s="1" t="n">
        <v>44755.60700231481</v>
      </c>
      <c r="C1330" s="1" t="n">
        <v>46086</v>
      </c>
      <c r="D1330" t="inlineStr">
        <is>
          <t>GÄVLEBORGS LÄN</t>
        </is>
      </c>
      <c r="E1330" t="inlineStr">
        <is>
          <t>OVANÅKER</t>
        </is>
      </c>
      <c r="F1330" t="inlineStr">
        <is>
          <t>Bergvik skog öst AB</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20171-2022</t>
        </is>
      </c>
      <c r="B1331" s="1" t="n">
        <v>44698</v>
      </c>
      <c r="C1331" s="1" t="n">
        <v>46086</v>
      </c>
      <c r="D1331" t="inlineStr">
        <is>
          <t>GÄVLEBORGS LÄN</t>
        </is>
      </c>
      <c r="E1331" t="inlineStr">
        <is>
          <t>SÖDERHAMN</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35846-2022</t>
        </is>
      </c>
      <c r="B1332" s="1" t="n">
        <v>44802.41177083334</v>
      </c>
      <c r="C1332" s="1" t="n">
        <v>46086</v>
      </c>
      <c r="D1332" t="inlineStr">
        <is>
          <t>GÄVLEBORGS LÄN</t>
        </is>
      </c>
      <c r="E1332" t="inlineStr">
        <is>
          <t>OCKELBO</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33078-2021</t>
        </is>
      </c>
      <c r="B1333" s="1" t="n">
        <v>44376.56015046296</v>
      </c>
      <c r="C1333" s="1" t="n">
        <v>46086</v>
      </c>
      <c r="D1333" t="inlineStr">
        <is>
          <t>GÄVLEBORGS LÄN</t>
        </is>
      </c>
      <c r="E1333" t="inlineStr">
        <is>
          <t>HUDIKSVALL</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23282-2021</t>
        </is>
      </c>
      <c r="B1334" s="1" t="n">
        <v>44333.43928240741</v>
      </c>
      <c r="C1334" s="1" t="n">
        <v>46086</v>
      </c>
      <c r="D1334" t="inlineStr">
        <is>
          <t>GÄVLEBORGS LÄN</t>
        </is>
      </c>
      <c r="E1334" t="inlineStr">
        <is>
          <t>BOLLNÄS</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54152-2022</t>
        </is>
      </c>
      <c r="B1335" s="1" t="n">
        <v>44881.63907407408</v>
      </c>
      <c r="C1335" s="1" t="n">
        <v>46086</v>
      </c>
      <c r="D1335" t="inlineStr">
        <is>
          <t>GÄVLEBORGS LÄN</t>
        </is>
      </c>
      <c r="E1335" t="inlineStr">
        <is>
          <t>OCKELBO</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7075-2022</t>
        </is>
      </c>
      <c r="B1336" s="1" t="n">
        <v>44603</v>
      </c>
      <c r="C1336" s="1" t="n">
        <v>46086</v>
      </c>
      <c r="D1336" t="inlineStr">
        <is>
          <t>GÄVLEBORGS LÄN</t>
        </is>
      </c>
      <c r="E1336" t="inlineStr">
        <is>
          <t>BOLLNÄS</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7079-2022</t>
        </is>
      </c>
      <c r="B1337" s="1" t="n">
        <v>44603.58001157407</v>
      </c>
      <c r="C1337" s="1" t="n">
        <v>46086</v>
      </c>
      <c r="D1337" t="inlineStr">
        <is>
          <t>GÄVLEBORGS LÄN</t>
        </is>
      </c>
      <c r="E1337" t="inlineStr">
        <is>
          <t>BOLLNÄS</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7092-2022</t>
        </is>
      </c>
      <c r="B1338" s="1" t="n">
        <v>44603.59678240741</v>
      </c>
      <c r="C1338" s="1" t="n">
        <v>46086</v>
      </c>
      <c r="D1338" t="inlineStr">
        <is>
          <t>GÄVLEBORGS LÄN</t>
        </is>
      </c>
      <c r="E1338" t="inlineStr">
        <is>
          <t>BOLLNÄS</t>
        </is>
      </c>
      <c r="G1338" t="n">
        <v>6.3</v>
      </c>
      <c r="H1338" t="n">
        <v>0</v>
      </c>
      <c r="I1338" t="n">
        <v>0</v>
      </c>
      <c r="J1338" t="n">
        <v>0</v>
      </c>
      <c r="K1338" t="n">
        <v>0</v>
      </c>
      <c r="L1338" t="n">
        <v>0</v>
      </c>
      <c r="M1338" t="n">
        <v>0</v>
      </c>
      <c r="N1338" t="n">
        <v>0</v>
      </c>
      <c r="O1338" t="n">
        <v>0</v>
      </c>
      <c r="P1338" t="n">
        <v>0</v>
      </c>
      <c r="Q1338" t="n">
        <v>0</v>
      </c>
      <c r="R1338" s="2" t="inlineStr"/>
    </row>
    <row r="1339" ht="15" customHeight="1">
      <c r="A1339" t="inlineStr">
        <is>
          <t>A 9888-2022</t>
        </is>
      </c>
      <c r="B1339" s="1" t="n">
        <v>44620.60839120371</v>
      </c>
      <c r="C1339" s="1" t="n">
        <v>46086</v>
      </c>
      <c r="D1339" t="inlineStr">
        <is>
          <t>GÄVLEBORGS LÄN</t>
        </is>
      </c>
      <c r="E1339" t="inlineStr">
        <is>
          <t>BOLLNÄS</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9899-2022</t>
        </is>
      </c>
      <c r="B1340" s="1" t="n">
        <v>44620.64556712963</v>
      </c>
      <c r="C1340" s="1" t="n">
        <v>46086</v>
      </c>
      <c r="D1340" t="inlineStr">
        <is>
          <t>GÄVLEBORGS LÄN</t>
        </is>
      </c>
      <c r="E1340" t="inlineStr">
        <is>
          <t>NORDANSTIG</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19374-2022</t>
        </is>
      </c>
      <c r="B1341" s="1" t="n">
        <v>44692.75837962963</v>
      </c>
      <c r="C1341" s="1" t="n">
        <v>46086</v>
      </c>
      <c r="D1341" t="inlineStr">
        <is>
          <t>GÄVLEBORGS LÄN</t>
        </is>
      </c>
      <c r="E1341" t="inlineStr">
        <is>
          <t>NORDANSTIG</t>
        </is>
      </c>
      <c r="F1341" t="inlineStr">
        <is>
          <t>Holmen skog AB</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38018-2021</t>
        </is>
      </c>
      <c r="B1342" s="1" t="n">
        <v>44404</v>
      </c>
      <c r="C1342" s="1" t="n">
        <v>46086</v>
      </c>
      <c r="D1342" t="inlineStr">
        <is>
          <t>GÄVLEBORGS LÄN</t>
        </is>
      </c>
      <c r="E1342" t="inlineStr">
        <is>
          <t>HUDIKSVALL</t>
        </is>
      </c>
      <c r="F1342" t="inlineStr">
        <is>
          <t>Kommuner</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21291-2022</t>
        </is>
      </c>
      <c r="B1343" s="1" t="n">
        <v>44705.48972222222</v>
      </c>
      <c r="C1343" s="1" t="n">
        <v>46086</v>
      </c>
      <c r="D1343" t="inlineStr">
        <is>
          <t>GÄVLEBORGS LÄN</t>
        </is>
      </c>
      <c r="E1343" t="inlineStr">
        <is>
          <t>OCKELBO</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46709-2022</t>
        </is>
      </c>
      <c r="B1344" s="1" t="n">
        <v>44851.38769675926</v>
      </c>
      <c r="C1344" s="1" t="n">
        <v>46086</v>
      </c>
      <c r="D1344" t="inlineStr">
        <is>
          <t>GÄVLEBORGS LÄN</t>
        </is>
      </c>
      <c r="E1344" t="inlineStr">
        <is>
          <t>OVANÅKER</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51127-2022</t>
        </is>
      </c>
      <c r="B1345" s="1" t="n">
        <v>44868.47707175926</v>
      </c>
      <c r="C1345" s="1" t="n">
        <v>46086</v>
      </c>
      <c r="D1345" t="inlineStr">
        <is>
          <t>GÄVLEBORGS LÄN</t>
        </is>
      </c>
      <c r="E1345" t="inlineStr">
        <is>
          <t>OVANÅKER</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23434-2021</t>
        </is>
      </c>
      <c r="B1346" s="1" t="n">
        <v>44333</v>
      </c>
      <c r="C1346" s="1" t="n">
        <v>46086</v>
      </c>
      <c r="D1346" t="inlineStr">
        <is>
          <t>GÄVLEBORGS LÄN</t>
        </is>
      </c>
      <c r="E1346" t="inlineStr">
        <is>
          <t>HUDIKSVALL</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51747-2022</t>
        </is>
      </c>
      <c r="B1347" s="1" t="n">
        <v>44872.49866898148</v>
      </c>
      <c r="C1347" s="1" t="n">
        <v>46086</v>
      </c>
      <c r="D1347" t="inlineStr">
        <is>
          <t>GÄVLEBORGS LÄN</t>
        </is>
      </c>
      <c r="E1347" t="inlineStr">
        <is>
          <t>OCKELBO</t>
        </is>
      </c>
      <c r="F1347" t="inlineStr">
        <is>
          <t>Bergvik skog väst AB</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18691-2022</t>
        </is>
      </c>
      <c r="B1348" s="1" t="n">
        <v>44687.59209490741</v>
      </c>
      <c r="C1348" s="1" t="n">
        <v>46086</v>
      </c>
      <c r="D1348" t="inlineStr">
        <is>
          <t>GÄVLEBORGS LÄN</t>
        </is>
      </c>
      <c r="E1348" t="inlineStr">
        <is>
          <t>LJUSDAL</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58385-2021</t>
        </is>
      </c>
      <c r="B1349" s="1" t="n">
        <v>44488.47545138889</v>
      </c>
      <c r="C1349" s="1" t="n">
        <v>46086</v>
      </c>
      <c r="D1349" t="inlineStr">
        <is>
          <t>GÄVLEBORGS LÄN</t>
        </is>
      </c>
      <c r="E1349" t="inlineStr">
        <is>
          <t>LJUSDAL</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23707-2021</t>
        </is>
      </c>
      <c r="B1350" s="1" t="n">
        <v>44334.68707175926</v>
      </c>
      <c r="C1350" s="1" t="n">
        <v>46086</v>
      </c>
      <c r="D1350" t="inlineStr">
        <is>
          <t>GÄVLEBORGS LÄN</t>
        </is>
      </c>
      <c r="E1350" t="inlineStr">
        <is>
          <t>OCKELBO</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53445-2022</t>
        </is>
      </c>
      <c r="B1351" s="1" t="n">
        <v>44879.48770833333</v>
      </c>
      <c r="C1351" s="1" t="n">
        <v>46086</v>
      </c>
      <c r="D1351" t="inlineStr">
        <is>
          <t>GÄVLEBORGS LÄN</t>
        </is>
      </c>
      <c r="E1351" t="inlineStr">
        <is>
          <t>OVANÅKER</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44257-2021</t>
        </is>
      </c>
      <c r="B1352" s="1" t="n">
        <v>44435</v>
      </c>
      <c r="C1352" s="1" t="n">
        <v>46086</v>
      </c>
      <c r="D1352" t="inlineStr">
        <is>
          <t>GÄVLEBORGS LÄN</t>
        </is>
      </c>
      <c r="E1352" t="inlineStr">
        <is>
          <t>LJUSDAL</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15725-2022</t>
        </is>
      </c>
      <c r="B1353" s="1" t="n">
        <v>44663.49115740741</v>
      </c>
      <c r="C1353" s="1" t="n">
        <v>46086</v>
      </c>
      <c r="D1353" t="inlineStr">
        <is>
          <t>GÄVLEBORGS LÄN</t>
        </is>
      </c>
      <c r="E1353" t="inlineStr">
        <is>
          <t>SÖDERHAMN</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30152-2022</t>
        </is>
      </c>
      <c r="B1354" s="1" t="n">
        <v>44757.508125</v>
      </c>
      <c r="C1354" s="1" t="n">
        <v>46086</v>
      </c>
      <c r="D1354" t="inlineStr">
        <is>
          <t>GÄVLEBORGS LÄN</t>
        </is>
      </c>
      <c r="E1354" t="inlineStr">
        <is>
          <t>BOLLNÄS</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27695-2022</t>
        </is>
      </c>
      <c r="B1355" s="1" t="n">
        <v>44743.45225694445</v>
      </c>
      <c r="C1355" s="1" t="n">
        <v>46086</v>
      </c>
      <c r="D1355" t="inlineStr">
        <is>
          <t>GÄVLEBORGS LÄN</t>
        </is>
      </c>
      <c r="E1355" t="inlineStr">
        <is>
          <t>NORDANSTIG</t>
        </is>
      </c>
      <c r="F1355" t="inlineStr">
        <is>
          <t>Holmen skog AB</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4349-2022</t>
        </is>
      </c>
      <c r="B1356" s="1" t="n">
        <v>44589.32091435185</v>
      </c>
      <c r="C1356" s="1" t="n">
        <v>46086</v>
      </c>
      <c r="D1356" t="inlineStr">
        <is>
          <t>GÄVLEBORGS LÄN</t>
        </is>
      </c>
      <c r="E1356" t="inlineStr">
        <is>
          <t>GÄVLE</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44765-2022</t>
        </is>
      </c>
      <c r="B1357" s="1" t="n">
        <v>44840.95450231482</v>
      </c>
      <c r="C1357" s="1" t="n">
        <v>46086</v>
      </c>
      <c r="D1357" t="inlineStr">
        <is>
          <t>GÄVLEBORGS LÄN</t>
        </is>
      </c>
      <c r="E1357" t="inlineStr">
        <is>
          <t>NORDANSTIG</t>
        </is>
      </c>
      <c r="F1357" t="inlineStr">
        <is>
          <t>SCA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30779-2022</t>
        </is>
      </c>
      <c r="B1358" s="1" t="n">
        <v>44764.59569444445</v>
      </c>
      <c r="C1358" s="1" t="n">
        <v>46086</v>
      </c>
      <c r="D1358" t="inlineStr">
        <is>
          <t>GÄVLEBORGS LÄN</t>
        </is>
      </c>
      <c r="E1358" t="inlineStr">
        <is>
          <t>NORDANSTIG</t>
        </is>
      </c>
      <c r="F1358" t="inlineStr">
        <is>
          <t>Holmen skog AB</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33609-2021</t>
        </is>
      </c>
      <c r="B1359" s="1" t="n">
        <v>44378</v>
      </c>
      <c r="C1359" s="1" t="n">
        <v>46086</v>
      </c>
      <c r="D1359" t="inlineStr">
        <is>
          <t>GÄVLEBORGS LÄN</t>
        </is>
      </c>
      <c r="E1359" t="inlineStr">
        <is>
          <t>LJUSDAL</t>
        </is>
      </c>
      <c r="F1359" t="inlineStr">
        <is>
          <t>Sveaskog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29450-2021</t>
        </is>
      </c>
      <c r="B1360" s="1" t="n">
        <v>44361</v>
      </c>
      <c r="C1360" s="1" t="n">
        <v>46086</v>
      </c>
      <c r="D1360" t="inlineStr">
        <is>
          <t>GÄVLEBORGS LÄN</t>
        </is>
      </c>
      <c r="E1360" t="inlineStr">
        <is>
          <t>HUDIKSVALL</t>
        </is>
      </c>
      <c r="F1360" t="inlineStr">
        <is>
          <t>Holmen skog AB</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29480-2021</t>
        </is>
      </c>
      <c r="B1361" s="1" t="n">
        <v>44361.63996527778</v>
      </c>
      <c r="C1361" s="1" t="n">
        <v>46086</v>
      </c>
      <c r="D1361" t="inlineStr">
        <is>
          <t>GÄVLEBORGS LÄN</t>
        </is>
      </c>
      <c r="E1361" t="inlineStr">
        <is>
          <t>LJUSDAL</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21871-2022</t>
        </is>
      </c>
      <c r="B1362" s="1" t="n">
        <v>44711.39554398148</v>
      </c>
      <c r="C1362" s="1" t="n">
        <v>46086</v>
      </c>
      <c r="D1362" t="inlineStr">
        <is>
          <t>GÄVLEBORGS LÄN</t>
        </is>
      </c>
      <c r="E1362" t="inlineStr">
        <is>
          <t>NORDANSTIG</t>
        </is>
      </c>
      <c r="G1362" t="n">
        <v>8.800000000000001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21877-2022</t>
        </is>
      </c>
      <c r="B1363" s="1" t="n">
        <v>44711</v>
      </c>
      <c r="C1363" s="1" t="n">
        <v>46086</v>
      </c>
      <c r="D1363" t="inlineStr">
        <is>
          <t>GÄVLEBORGS LÄN</t>
        </is>
      </c>
      <c r="E1363" t="inlineStr">
        <is>
          <t>HUDIKSVALL</t>
        </is>
      </c>
      <c r="F1363" t="inlineStr">
        <is>
          <t>Holmen skog AB</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63621-2021</t>
        </is>
      </c>
      <c r="B1364" s="1" t="n">
        <v>44509</v>
      </c>
      <c r="C1364" s="1" t="n">
        <v>46086</v>
      </c>
      <c r="D1364" t="inlineStr">
        <is>
          <t>GÄVLEBORGS LÄN</t>
        </is>
      </c>
      <c r="E1364" t="inlineStr">
        <is>
          <t>SANDVIKEN</t>
        </is>
      </c>
      <c r="F1364" t="inlineStr">
        <is>
          <t>Kommuner</t>
        </is>
      </c>
      <c r="G1364" t="n">
        <v>18.3</v>
      </c>
      <c r="H1364" t="n">
        <v>0</v>
      </c>
      <c r="I1364" t="n">
        <v>0</v>
      </c>
      <c r="J1364" t="n">
        <v>0</v>
      </c>
      <c r="K1364" t="n">
        <v>0</v>
      </c>
      <c r="L1364" t="n">
        <v>0</v>
      </c>
      <c r="M1364" t="n">
        <v>0</v>
      </c>
      <c r="N1364" t="n">
        <v>0</v>
      </c>
      <c r="O1364" t="n">
        <v>0</v>
      </c>
      <c r="P1364" t="n">
        <v>0</v>
      </c>
      <c r="Q1364" t="n">
        <v>0</v>
      </c>
      <c r="R1364" s="2" t="inlineStr"/>
    </row>
    <row r="1365" ht="15" customHeight="1">
      <c r="A1365" t="inlineStr">
        <is>
          <t>A 15748-2022</t>
        </is>
      </c>
      <c r="B1365" s="1" t="n">
        <v>44663.55478009259</v>
      </c>
      <c r="C1365" s="1" t="n">
        <v>46086</v>
      </c>
      <c r="D1365" t="inlineStr">
        <is>
          <t>GÄVLEBORGS LÄN</t>
        </is>
      </c>
      <c r="E1365" t="inlineStr">
        <is>
          <t>SÖDERHAMN</t>
        </is>
      </c>
      <c r="G1365" t="n">
        <v>10.3</v>
      </c>
      <c r="H1365" t="n">
        <v>0</v>
      </c>
      <c r="I1365" t="n">
        <v>0</v>
      </c>
      <c r="J1365" t="n">
        <v>0</v>
      </c>
      <c r="K1365" t="n">
        <v>0</v>
      </c>
      <c r="L1365" t="n">
        <v>0</v>
      </c>
      <c r="M1365" t="n">
        <v>0</v>
      </c>
      <c r="N1365" t="n">
        <v>0</v>
      </c>
      <c r="O1365" t="n">
        <v>0</v>
      </c>
      <c r="P1365" t="n">
        <v>0</v>
      </c>
      <c r="Q1365" t="n">
        <v>0</v>
      </c>
      <c r="R1365" s="2" t="inlineStr"/>
    </row>
    <row r="1366" ht="15" customHeight="1">
      <c r="A1366" t="inlineStr">
        <is>
          <t>A 30112-2021</t>
        </is>
      </c>
      <c r="B1366" s="1" t="n">
        <v>44363</v>
      </c>
      <c r="C1366" s="1" t="n">
        <v>46086</v>
      </c>
      <c r="D1366" t="inlineStr">
        <is>
          <t>GÄVLEBORGS LÄN</t>
        </is>
      </c>
      <c r="E1366" t="inlineStr">
        <is>
          <t>LJUSDAL</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47718-2022</t>
        </is>
      </c>
      <c r="B1367" s="1" t="n">
        <v>44854.60716435185</v>
      </c>
      <c r="C1367" s="1" t="n">
        <v>46086</v>
      </c>
      <c r="D1367" t="inlineStr">
        <is>
          <t>GÄVLEBORGS LÄN</t>
        </is>
      </c>
      <c r="E1367" t="inlineStr">
        <is>
          <t>SANDVIKEN</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31801-2021</t>
        </is>
      </c>
      <c r="B1368" s="1" t="n">
        <v>44370</v>
      </c>
      <c r="C1368" s="1" t="n">
        <v>46086</v>
      </c>
      <c r="D1368" t="inlineStr">
        <is>
          <t>GÄVLEBORGS LÄN</t>
        </is>
      </c>
      <c r="E1368" t="inlineStr">
        <is>
          <t>BOLLNÄS</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29437-2021</t>
        </is>
      </c>
      <c r="B1369" s="1" t="n">
        <v>44361.58487268518</v>
      </c>
      <c r="C1369" s="1" t="n">
        <v>46086</v>
      </c>
      <c r="D1369" t="inlineStr">
        <is>
          <t>GÄVLEBORGS LÄN</t>
        </is>
      </c>
      <c r="E1369" t="inlineStr">
        <is>
          <t>OCKELBO</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32282-2021</t>
        </is>
      </c>
      <c r="B1370" s="1" t="n">
        <v>44371.49859953704</v>
      </c>
      <c r="C1370" s="1" t="n">
        <v>46086</v>
      </c>
      <c r="D1370" t="inlineStr">
        <is>
          <t>GÄVLEBORGS LÄN</t>
        </is>
      </c>
      <c r="E1370" t="inlineStr">
        <is>
          <t>OCKELBO</t>
        </is>
      </c>
      <c r="F1370" t="inlineStr">
        <is>
          <t>Bergvik skog väst AB</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25632-2022</t>
        </is>
      </c>
      <c r="B1371" s="1" t="n">
        <v>44732.92746527777</v>
      </c>
      <c r="C1371" s="1" t="n">
        <v>46086</v>
      </c>
      <c r="D1371" t="inlineStr">
        <is>
          <t>GÄVLEBORGS LÄN</t>
        </is>
      </c>
      <c r="E1371" t="inlineStr">
        <is>
          <t>BOLLNÄS</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30166-2022</t>
        </is>
      </c>
      <c r="B1372" s="1" t="n">
        <v>44757.56145833333</v>
      </c>
      <c r="C1372" s="1" t="n">
        <v>46086</v>
      </c>
      <c r="D1372" t="inlineStr">
        <is>
          <t>GÄVLEBORGS LÄN</t>
        </is>
      </c>
      <c r="E1372" t="inlineStr">
        <is>
          <t>OVANÅKER</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35278-2021</t>
        </is>
      </c>
      <c r="B1373" s="1" t="n">
        <v>44384.64277777778</v>
      </c>
      <c r="C1373" s="1" t="n">
        <v>46086</v>
      </c>
      <c r="D1373" t="inlineStr">
        <is>
          <t>GÄVLEBORGS LÄN</t>
        </is>
      </c>
      <c r="E1373" t="inlineStr">
        <is>
          <t>OVANÅKER</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66986-2021</t>
        </is>
      </c>
      <c r="B1374" s="1" t="n">
        <v>44522</v>
      </c>
      <c r="C1374" s="1" t="n">
        <v>46086</v>
      </c>
      <c r="D1374" t="inlineStr">
        <is>
          <t>GÄVLEBORGS LÄN</t>
        </is>
      </c>
      <c r="E1374" t="inlineStr">
        <is>
          <t>BOLLNÄS</t>
        </is>
      </c>
      <c r="F1374" t="inlineStr">
        <is>
          <t>Kommuner</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29267-2022</t>
        </is>
      </c>
      <c r="B1375" s="1" t="n">
        <v>44750.66155092593</v>
      </c>
      <c r="C1375" s="1" t="n">
        <v>46086</v>
      </c>
      <c r="D1375" t="inlineStr">
        <is>
          <t>GÄVLEBORGS LÄN</t>
        </is>
      </c>
      <c r="E1375" t="inlineStr">
        <is>
          <t>LJUSDAL</t>
        </is>
      </c>
      <c r="F1375" t="inlineStr">
        <is>
          <t>Holmen skog AB</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44181-2022</t>
        </is>
      </c>
      <c r="B1376" s="1" t="n">
        <v>44839.45443287037</v>
      </c>
      <c r="C1376" s="1" t="n">
        <v>46086</v>
      </c>
      <c r="D1376" t="inlineStr">
        <is>
          <t>GÄVLEBORGS LÄN</t>
        </is>
      </c>
      <c r="E1376" t="inlineStr">
        <is>
          <t>HUDIKSVALL</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40462-2022</t>
        </is>
      </c>
      <c r="B1377" s="1" t="n">
        <v>44823</v>
      </c>
      <c r="C1377" s="1" t="n">
        <v>46086</v>
      </c>
      <c r="D1377" t="inlineStr">
        <is>
          <t>GÄVLEBORGS LÄN</t>
        </is>
      </c>
      <c r="E1377" t="inlineStr">
        <is>
          <t>SÖDERHAMN</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31694-2021</t>
        </is>
      </c>
      <c r="B1378" s="1" t="n">
        <v>44369.70108796296</v>
      </c>
      <c r="C1378" s="1" t="n">
        <v>46086</v>
      </c>
      <c r="D1378" t="inlineStr">
        <is>
          <t>GÄVLEBORGS LÄN</t>
        </is>
      </c>
      <c r="E1378" t="inlineStr">
        <is>
          <t>BOLLNÄS</t>
        </is>
      </c>
      <c r="F1378" t="inlineStr">
        <is>
          <t>Sveaskog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52990-2021</t>
        </is>
      </c>
      <c r="B1379" s="1" t="n">
        <v>44467.63489583333</v>
      </c>
      <c r="C1379" s="1" t="n">
        <v>46086</v>
      </c>
      <c r="D1379" t="inlineStr">
        <is>
          <t>GÄVLEBORGS LÄN</t>
        </is>
      </c>
      <c r="E1379" t="inlineStr">
        <is>
          <t>NORDANSTIG</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13734-2022</t>
        </is>
      </c>
      <c r="B1380" s="1" t="n">
        <v>44649</v>
      </c>
      <c r="C1380" s="1" t="n">
        <v>46086</v>
      </c>
      <c r="D1380" t="inlineStr">
        <is>
          <t>GÄVLEBORGS LÄN</t>
        </is>
      </c>
      <c r="E1380" t="inlineStr">
        <is>
          <t>HUDIKSVALL</t>
        </is>
      </c>
      <c r="G1380" t="n">
        <v>7.7</v>
      </c>
      <c r="H1380" t="n">
        <v>0</v>
      </c>
      <c r="I1380" t="n">
        <v>0</v>
      </c>
      <c r="J1380" t="n">
        <v>0</v>
      </c>
      <c r="K1380" t="n">
        <v>0</v>
      </c>
      <c r="L1380" t="n">
        <v>0</v>
      </c>
      <c r="M1380" t="n">
        <v>0</v>
      </c>
      <c r="N1380" t="n">
        <v>0</v>
      </c>
      <c r="O1380" t="n">
        <v>0</v>
      </c>
      <c r="P1380" t="n">
        <v>0</v>
      </c>
      <c r="Q1380" t="n">
        <v>0</v>
      </c>
      <c r="R1380" s="2" t="inlineStr"/>
    </row>
    <row r="1381" ht="15" customHeight="1">
      <c r="A1381" t="inlineStr">
        <is>
          <t>A 23957-2022</t>
        </is>
      </c>
      <c r="B1381" s="1" t="n">
        <v>44722.68072916667</v>
      </c>
      <c r="C1381" s="1" t="n">
        <v>46086</v>
      </c>
      <c r="D1381" t="inlineStr">
        <is>
          <t>GÄVLEBORGS LÄN</t>
        </is>
      </c>
      <c r="E1381" t="inlineStr">
        <is>
          <t>LJUSDAL</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24763-2022</t>
        </is>
      </c>
      <c r="B1382" s="1" t="n">
        <v>44728</v>
      </c>
      <c r="C1382" s="1" t="n">
        <v>46086</v>
      </c>
      <c r="D1382" t="inlineStr">
        <is>
          <t>GÄVLEBORGS LÄN</t>
        </is>
      </c>
      <c r="E1382" t="inlineStr">
        <is>
          <t>BOLLNÄS</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73725-2021</t>
        </is>
      </c>
      <c r="B1383" s="1" t="n">
        <v>44552.54694444445</v>
      </c>
      <c r="C1383" s="1" t="n">
        <v>46086</v>
      </c>
      <c r="D1383" t="inlineStr">
        <is>
          <t>GÄVLEBORGS LÄN</t>
        </is>
      </c>
      <c r="E1383" t="inlineStr">
        <is>
          <t>NORDANSTIG</t>
        </is>
      </c>
      <c r="F1383" t="inlineStr">
        <is>
          <t>Holmen skog AB</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19776-2021</t>
        </is>
      </c>
      <c r="B1384" s="1" t="n">
        <v>44313</v>
      </c>
      <c r="C1384" s="1" t="n">
        <v>46086</v>
      </c>
      <c r="D1384" t="inlineStr">
        <is>
          <t>GÄVLEBORGS LÄN</t>
        </is>
      </c>
      <c r="E1384" t="inlineStr">
        <is>
          <t>OCKELBO</t>
        </is>
      </c>
      <c r="F1384" t="inlineStr">
        <is>
          <t>Bergvik skog väst AB</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32018-2021</t>
        </is>
      </c>
      <c r="B1385" s="1" t="n">
        <v>44370.63998842592</v>
      </c>
      <c r="C1385" s="1" t="n">
        <v>46086</v>
      </c>
      <c r="D1385" t="inlineStr">
        <is>
          <t>GÄVLEBORGS LÄN</t>
        </is>
      </c>
      <c r="E1385" t="inlineStr">
        <is>
          <t>GÄVLE</t>
        </is>
      </c>
      <c r="F1385" t="inlineStr">
        <is>
          <t>Bergvik skog öst AB</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33626-2022</t>
        </is>
      </c>
      <c r="B1386" s="1" t="n">
        <v>44789</v>
      </c>
      <c r="C1386" s="1" t="n">
        <v>46086</v>
      </c>
      <c r="D1386" t="inlineStr">
        <is>
          <t>GÄVLEBORGS LÄN</t>
        </is>
      </c>
      <c r="E1386" t="inlineStr">
        <is>
          <t>LJUSDAL</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43578-2022</t>
        </is>
      </c>
      <c r="B1387" s="1" t="n">
        <v>44837.45850694444</v>
      </c>
      <c r="C1387" s="1" t="n">
        <v>46086</v>
      </c>
      <c r="D1387" t="inlineStr">
        <is>
          <t>GÄVLEBORGS LÄN</t>
        </is>
      </c>
      <c r="E1387" t="inlineStr">
        <is>
          <t>HUDIKSVALL</t>
        </is>
      </c>
      <c r="F1387" t="inlineStr">
        <is>
          <t>Holmen skog AB</t>
        </is>
      </c>
      <c r="G1387" t="n">
        <v>8.1</v>
      </c>
      <c r="H1387" t="n">
        <v>0</v>
      </c>
      <c r="I1387" t="n">
        <v>0</v>
      </c>
      <c r="J1387" t="n">
        <v>0</v>
      </c>
      <c r="K1387" t="n">
        <v>0</v>
      </c>
      <c r="L1387" t="n">
        <v>0</v>
      </c>
      <c r="M1387" t="n">
        <v>0</v>
      </c>
      <c r="N1387" t="n">
        <v>0</v>
      </c>
      <c r="O1387" t="n">
        <v>0</v>
      </c>
      <c r="P1387" t="n">
        <v>0</v>
      </c>
      <c r="Q1387" t="n">
        <v>0</v>
      </c>
      <c r="R1387" s="2" t="inlineStr"/>
    </row>
    <row r="1388" ht="15" customHeight="1">
      <c r="A1388" t="inlineStr">
        <is>
          <t>A 55409-2021</t>
        </is>
      </c>
      <c r="B1388" s="1" t="n">
        <v>44475</v>
      </c>
      <c r="C1388" s="1" t="n">
        <v>46086</v>
      </c>
      <c r="D1388" t="inlineStr">
        <is>
          <t>GÄVLEBORGS LÄN</t>
        </is>
      </c>
      <c r="E1388" t="inlineStr">
        <is>
          <t>LJUSDAL</t>
        </is>
      </c>
      <c r="F1388" t="inlineStr">
        <is>
          <t>Holmen skog AB</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44256-2021</t>
        </is>
      </c>
      <c r="B1389" s="1" t="n">
        <v>44435.24907407408</v>
      </c>
      <c r="C1389" s="1" t="n">
        <v>46086</v>
      </c>
      <c r="D1389" t="inlineStr">
        <is>
          <t>GÄVLEBORGS LÄN</t>
        </is>
      </c>
      <c r="E1389" t="inlineStr">
        <is>
          <t>LJUSDAL</t>
        </is>
      </c>
      <c r="F1389" t="inlineStr">
        <is>
          <t>Sveaskog</t>
        </is>
      </c>
      <c r="G1389" t="n">
        <v>6.1</v>
      </c>
      <c r="H1389" t="n">
        <v>0</v>
      </c>
      <c r="I1389" t="n">
        <v>0</v>
      </c>
      <c r="J1389" t="n">
        <v>0</v>
      </c>
      <c r="K1389" t="n">
        <v>0</v>
      </c>
      <c r="L1389" t="n">
        <v>0</v>
      </c>
      <c r="M1389" t="n">
        <v>0</v>
      </c>
      <c r="N1389" t="n">
        <v>0</v>
      </c>
      <c r="O1389" t="n">
        <v>0</v>
      </c>
      <c r="P1389" t="n">
        <v>0</v>
      </c>
      <c r="Q1389" t="n">
        <v>0</v>
      </c>
      <c r="R1389" s="2" t="inlineStr"/>
    </row>
    <row r="1390" ht="15" customHeight="1">
      <c r="A1390" t="inlineStr">
        <is>
          <t>A 43936-2022</t>
        </is>
      </c>
      <c r="B1390" s="1" t="n">
        <v>44838</v>
      </c>
      <c r="C1390" s="1" t="n">
        <v>46086</v>
      </c>
      <c r="D1390" t="inlineStr">
        <is>
          <t>GÄVLEBORGS LÄN</t>
        </is>
      </c>
      <c r="E1390" t="inlineStr">
        <is>
          <t>SÖDERHAMN</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61352-2021</t>
        </is>
      </c>
      <c r="B1391" s="1" t="n">
        <v>44498.84503472222</v>
      </c>
      <c r="C1391" s="1" t="n">
        <v>46086</v>
      </c>
      <c r="D1391" t="inlineStr">
        <is>
          <t>GÄVLEBORGS LÄN</t>
        </is>
      </c>
      <c r="E1391" t="inlineStr">
        <is>
          <t>GÄVLE</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63882-2021</t>
        </is>
      </c>
      <c r="B1392" s="1" t="n">
        <v>44509</v>
      </c>
      <c r="C1392" s="1" t="n">
        <v>46086</v>
      </c>
      <c r="D1392" t="inlineStr">
        <is>
          <t>GÄVLEBORGS LÄN</t>
        </is>
      </c>
      <c r="E1392" t="inlineStr">
        <is>
          <t>BOLLNÄS</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63128-2021</t>
        </is>
      </c>
      <c r="B1393" s="1" t="n">
        <v>44505.66327546296</v>
      </c>
      <c r="C1393" s="1" t="n">
        <v>46086</v>
      </c>
      <c r="D1393" t="inlineStr">
        <is>
          <t>GÄVLEBORGS LÄN</t>
        </is>
      </c>
      <c r="E1393" t="inlineStr">
        <is>
          <t>BOLLNÄS</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12987-2022</t>
        </is>
      </c>
      <c r="B1394" s="1" t="n">
        <v>44643.42163194445</v>
      </c>
      <c r="C1394" s="1" t="n">
        <v>46086</v>
      </c>
      <c r="D1394" t="inlineStr">
        <is>
          <t>GÄVLEBORGS LÄN</t>
        </is>
      </c>
      <c r="E1394" t="inlineStr">
        <is>
          <t>OCKELBO</t>
        </is>
      </c>
      <c r="G1394" t="n">
        <v>7.6</v>
      </c>
      <c r="H1394" t="n">
        <v>0</v>
      </c>
      <c r="I1394" t="n">
        <v>0</v>
      </c>
      <c r="J1394" t="n">
        <v>0</v>
      </c>
      <c r="K1394" t="n">
        <v>0</v>
      </c>
      <c r="L1394" t="n">
        <v>0</v>
      </c>
      <c r="M1394" t="n">
        <v>0</v>
      </c>
      <c r="N1394" t="n">
        <v>0</v>
      </c>
      <c r="O1394" t="n">
        <v>0</v>
      </c>
      <c r="P1394" t="n">
        <v>0</v>
      </c>
      <c r="Q1394" t="n">
        <v>0</v>
      </c>
      <c r="R1394" s="2" t="inlineStr"/>
    </row>
    <row r="1395" ht="15" customHeight="1">
      <c r="A1395" t="inlineStr">
        <is>
          <t>A 69580-2021</t>
        </is>
      </c>
      <c r="B1395" s="1" t="n">
        <v>44532.35103009259</v>
      </c>
      <c r="C1395" s="1" t="n">
        <v>46086</v>
      </c>
      <c r="D1395" t="inlineStr">
        <is>
          <t>GÄVLEBORGS LÄN</t>
        </is>
      </c>
      <c r="E1395" t="inlineStr">
        <is>
          <t>OCKELBO</t>
        </is>
      </c>
      <c r="F1395" t="inlineStr">
        <is>
          <t>Bergvik skog väst AB</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53694-2022</t>
        </is>
      </c>
      <c r="B1396" s="1" t="n">
        <v>44880.33703703704</v>
      </c>
      <c r="C1396" s="1" t="n">
        <v>46086</v>
      </c>
      <c r="D1396" t="inlineStr">
        <is>
          <t>GÄVLEBORGS LÄN</t>
        </is>
      </c>
      <c r="E1396" t="inlineStr">
        <is>
          <t>OVANÅKER</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25001-2022</t>
        </is>
      </c>
      <c r="B1397" s="1" t="n">
        <v>44728</v>
      </c>
      <c r="C1397" s="1" t="n">
        <v>46086</v>
      </c>
      <c r="D1397" t="inlineStr">
        <is>
          <t>GÄVLEBORGS LÄN</t>
        </is>
      </c>
      <c r="E1397" t="inlineStr">
        <is>
          <t>NORDANSTIG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44310-2022</t>
        </is>
      </c>
      <c r="B1398" s="1" t="n">
        <v>44839.6370949074</v>
      </c>
      <c r="C1398" s="1" t="n">
        <v>46086</v>
      </c>
      <c r="D1398" t="inlineStr">
        <is>
          <t>GÄVLEBORGS LÄN</t>
        </is>
      </c>
      <c r="E1398" t="inlineStr">
        <is>
          <t>OVANÅKER</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34871-2022</t>
        </is>
      </c>
      <c r="B1399" s="1" t="n">
        <v>44796.46392361111</v>
      </c>
      <c r="C1399" s="1" t="n">
        <v>46086</v>
      </c>
      <c r="D1399" t="inlineStr">
        <is>
          <t>GÄVLEBORGS LÄN</t>
        </is>
      </c>
      <c r="E1399" t="inlineStr">
        <is>
          <t>GÄVLE</t>
        </is>
      </c>
      <c r="F1399" t="inlineStr">
        <is>
          <t>Bergvik skog öst AB</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20602-2022</t>
        </is>
      </c>
      <c r="B1400" s="1" t="n">
        <v>44700</v>
      </c>
      <c r="C1400" s="1" t="n">
        <v>46086</v>
      </c>
      <c r="D1400" t="inlineStr">
        <is>
          <t>GÄVLEBORGS LÄN</t>
        </is>
      </c>
      <c r="E1400" t="inlineStr">
        <is>
          <t>HUDIKSVALL</t>
        </is>
      </c>
      <c r="F1400" t="inlineStr">
        <is>
          <t>Holmen skog AB</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52320-2022</t>
        </is>
      </c>
      <c r="B1401" s="1" t="n">
        <v>44873</v>
      </c>
      <c r="C1401" s="1" t="n">
        <v>46086</v>
      </c>
      <c r="D1401" t="inlineStr">
        <is>
          <t>GÄVLEBORGS LÄN</t>
        </is>
      </c>
      <c r="E1401" t="inlineStr">
        <is>
          <t>HOFORS</t>
        </is>
      </c>
      <c r="G1401" t="n">
        <v>6.1</v>
      </c>
      <c r="H1401" t="n">
        <v>0</v>
      </c>
      <c r="I1401" t="n">
        <v>0</v>
      </c>
      <c r="J1401" t="n">
        <v>0</v>
      </c>
      <c r="K1401" t="n">
        <v>0</v>
      </c>
      <c r="L1401" t="n">
        <v>0</v>
      </c>
      <c r="M1401" t="n">
        <v>0</v>
      </c>
      <c r="N1401" t="n">
        <v>0</v>
      </c>
      <c r="O1401" t="n">
        <v>0</v>
      </c>
      <c r="P1401" t="n">
        <v>0</v>
      </c>
      <c r="Q1401" t="n">
        <v>0</v>
      </c>
      <c r="R1401" s="2" t="inlineStr"/>
    </row>
    <row r="1402" ht="15" customHeight="1">
      <c r="A1402" t="inlineStr">
        <is>
          <t>A 28649-2022</t>
        </is>
      </c>
      <c r="B1402" s="1" t="n">
        <v>44748</v>
      </c>
      <c r="C1402" s="1" t="n">
        <v>46086</v>
      </c>
      <c r="D1402" t="inlineStr">
        <is>
          <t>GÄVLEBORGS LÄN</t>
        </is>
      </c>
      <c r="E1402" t="inlineStr">
        <is>
          <t>SÖDERHAMN</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4813-2022</t>
        </is>
      </c>
      <c r="B1403" s="1" t="n">
        <v>44592</v>
      </c>
      <c r="C1403" s="1" t="n">
        <v>46086</v>
      </c>
      <c r="D1403" t="inlineStr">
        <is>
          <t>GÄVLEBORGS LÄN</t>
        </is>
      </c>
      <c r="E1403" t="inlineStr">
        <is>
          <t>LJUSDAL</t>
        </is>
      </c>
      <c r="F1403" t="inlineStr">
        <is>
          <t>Sveaskog</t>
        </is>
      </c>
      <c r="G1403" t="n">
        <v>0.1</v>
      </c>
      <c r="H1403" t="n">
        <v>0</v>
      </c>
      <c r="I1403" t="n">
        <v>0</v>
      </c>
      <c r="J1403" t="n">
        <v>0</v>
      </c>
      <c r="K1403" t="n">
        <v>0</v>
      </c>
      <c r="L1403" t="n">
        <v>0</v>
      </c>
      <c r="M1403" t="n">
        <v>0</v>
      </c>
      <c r="N1403" t="n">
        <v>0</v>
      </c>
      <c r="O1403" t="n">
        <v>0</v>
      </c>
      <c r="P1403" t="n">
        <v>0</v>
      </c>
      <c r="Q1403" t="n">
        <v>0</v>
      </c>
      <c r="R1403" s="2" t="inlineStr"/>
    </row>
    <row r="1404" ht="15" customHeight="1">
      <c r="A1404" t="inlineStr">
        <is>
          <t>A 25088-2022</t>
        </is>
      </c>
      <c r="B1404" s="1" t="n">
        <v>44729</v>
      </c>
      <c r="C1404" s="1" t="n">
        <v>46086</v>
      </c>
      <c r="D1404" t="inlineStr">
        <is>
          <t>GÄVLEBORGS LÄN</t>
        </is>
      </c>
      <c r="E1404" t="inlineStr">
        <is>
          <t>BOLLNÄS</t>
        </is>
      </c>
      <c r="F1404" t="inlineStr">
        <is>
          <t>Bergvik skog väst AB</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52763-2022</t>
        </is>
      </c>
      <c r="B1405" s="1" t="n">
        <v>44875.32665509259</v>
      </c>
      <c r="C1405" s="1" t="n">
        <v>46086</v>
      </c>
      <c r="D1405" t="inlineStr">
        <is>
          <t>GÄVLEBORGS LÄN</t>
        </is>
      </c>
      <c r="E1405" t="inlineStr">
        <is>
          <t>SANDVIKEN</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52765-2022</t>
        </is>
      </c>
      <c r="B1406" s="1" t="n">
        <v>44875</v>
      </c>
      <c r="C1406" s="1" t="n">
        <v>46086</v>
      </c>
      <c r="D1406" t="inlineStr">
        <is>
          <t>GÄVLEBORGS LÄN</t>
        </is>
      </c>
      <c r="E1406" t="inlineStr">
        <is>
          <t>SANDVIKEN</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58874-2021</t>
        </is>
      </c>
      <c r="B1407" s="1" t="n">
        <v>44489</v>
      </c>
      <c r="C1407" s="1" t="n">
        <v>46086</v>
      </c>
      <c r="D1407" t="inlineStr">
        <is>
          <t>GÄVLEBORGS LÄN</t>
        </is>
      </c>
      <c r="E1407" t="inlineStr">
        <is>
          <t>LJUSDAL</t>
        </is>
      </c>
      <c r="F1407" t="inlineStr">
        <is>
          <t>Holmen skog AB</t>
        </is>
      </c>
      <c r="G1407" t="n">
        <v>17.2</v>
      </c>
      <c r="H1407" t="n">
        <v>0</v>
      </c>
      <c r="I1407" t="n">
        <v>0</v>
      </c>
      <c r="J1407" t="n">
        <v>0</v>
      </c>
      <c r="K1407" t="n">
        <v>0</v>
      </c>
      <c r="L1407" t="n">
        <v>0</v>
      </c>
      <c r="M1407" t="n">
        <v>0</v>
      </c>
      <c r="N1407" t="n">
        <v>0</v>
      </c>
      <c r="O1407" t="n">
        <v>0</v>
      </c>
      <c r="P1407" t="n">
        <v>0</v>
      </c>
      <c r="Q1407" t="n">
        <v>0</v>
      </c>
      <c r="R1407" s="2" t="inlineStr"/>
    </row>
    <row r="1408" ht="15" customHeight="1">
      <c r="A1408" t="inlineStr">
        <is>
          <t>A 44425-2022</t>
        </is>
      </c>
      <c r="B1408" s="1" t="n">
        <v>44839.92886574074</v>
      </c>
      <c r="C1408" s="1" t="n">
        <v>46086</v>
      </c>
      <c r="D1408" t="inlineStr">
        <is>
          <t>GÄVLEBORGS LÄN</t>
        </is>
      </c>
      <c r="E1408" t="inlineStr">
        <is>
          <t>HUDIKSVALL</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23400-2022</t>
        </is>
      </c>
      <c r="B1409" s="1" t="n">
        <v>44720</v>
      </c>
      <c r="C1409" s="1" t="n">
        <v>46086</v>
      </c>
      <c r="D1409" t="inlineStr">
        <is>
          <t>GÄVLEBORGS LÄN</t>
        </is>
      </c>
      <c r="E1409" t="inlineStr">
        <is>
          <t>GÄVLE</t>
        </is>
      </c>
      <c r="F1409" t="inlineStr">
        <is>
          <t>Bergvik skog väst AB</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8927-2022</t>
        </is>
      </c>
      <c r="B1410" s="1" t="n">
        <v>44614.67208333333</v>
      </c>
      <c r="C1410" s="1" t="n">
        <v>46086</v>
      </c>
      <c r="D1410" t="inlineStr">
        <is>
          <t>GÄVLEBORGS LÄN</t>
        </is>
      </c>
      <c r="E1410" t="inlineStr">
        <is>
          <t>OVANÅKER</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67180-2021</t>
        </is>
      </c>
      <c r="B1411" s="1" t="n">
        <v>44523.44119212963</v>
      </c>
      <c r="C1411" s="1" t="n">
        <v>46086</v>
      </c>
      <c r="D1411" t="inlineStr">
        <is>
          <t>GÄVLEBORGS LÄN</t>
        </is>
      </c>
      <c r="E1411" t="inlineStr">
        <is>
          <t>SANDVIKEN</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59583-2021</t>
        </is>
      </c>
      <c r="B1412" s="1" t="n">
        <v>44491.63751157407</v>
      </c>
      <c r="C1412" s="1" t="n">
        <v>46086</v>
      </c>
      <c r="D1412" t="inlineStr">
        <is>
          <t>GÄVLEBORGS LÄN</t>
        </is>
      </c>
      <c r="E1412" t="inlineStr">
        <is>
          <t>NORDANSTIG</t>
        </is>
      </c>
      <c r="F1412" t="inlineStr">
        <is>
          <t>Holmen skog AB</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12300-2021</t>
        </is>
      </c>
      <c r="B1413" s="1" t="n">
        <v>44267.34975694444</v>
      </c>
      <c r="C1413" s="1" t="n">
        <v>46086</v>
      </c>
      <c r="D1413" t="inlineStr">
        <is>
          <t>GÄVLEBORGS LÄN</t>
        </is>
      </c>
      <c r="E1413" t="inlineStr">
        <is>
          <t>LJUSDAL</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18235-2022</t>
        </is>
      </c>
      <c r="B1414" s="1" t="n">
        <v>44685</v>
      </c>
      <c r="C1414" s="1" t="n">
        <v>46086</v>
      </c>
      <c r="D1414" t="inlineStr">
        <is>
          <t>GÄVLEBORGS LÄN</t>
        </is>
      </c>
      <c r="E1414" t="inlineStr">
        <is>
          <t>HUDIKSVALL</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25200-2022</t>
        </is>
      </c>
      <c r="B1415" s="1" t="n">
        <v>44729.65466435185</v>
      </c>
      <c r="C1415" s="1" t="n">
        <v>46086</v>
      </c>
      <c r="D1415" t="inlineStr">
        <is>
          <t>GÄVLEBORGS LÄN</t>
        </is>
      </c>
      <c r="E1415" t="inlineStr">
        <is>
          <t>NORDANSTIG</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30556-2022</t>
        </is>
      </c>
      <c r="B1416" s="1" t="n">
        <v>44762</v>
      </c>
      <c r="C1416" s="1" t="n">
        <v>46086</v>
      </c>
      <c r="D1416" t="inlineStr">
        <is>
          <t>GÄVLEBORGS LÄN</t>
        </is>
      </c>
      <c r="E1416" t="inlineStr">
        <is>
          <t>LJUSDAL</t>
        </is>
      </c>
      <c r="F1416" t="inlineStr">
        <is>
          <t>Bergvik skog väst AB</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54390-2022</t>
        </is>
      </c>
      <c r="B1417" s="1" t="n">
        <v>44882.52335648148</v>
      </c>
      <c r="C1417" s="1" t="n">
        <v>46086</v>
      </c>
      <c r="D1417" t="inlineStr">
        <is>
          <t>GÄVLEBORGS LÄN</t>
        </is>
      </c>
      <c r="E1417" t="inlineStr">
        <is>
          <t>GÄVLE</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42469-2022</t>
        </is>
      </c>
      <c r="B1418" s="1" t="n">
        <v>44831.5209837963</v>
      </c>
      <c r="C1418" s="1" t="n">
        <v>46086</v>
      </c>
      <c r="D1418" t="inlineStr">
        <is>
          <t>GÄVLEBORGS LÄN</t>
        </is>
      </c>
      <c r="E1418" t="inlineStr">
        <is>
          <t>NORDANSTIG</t>
        </is>
      </c>
      <c r="F1418" t="inlineStr">
        <is>
          <t>Holmen skog AB</t>
        </is>
      </c>
      <c r="G1418" t="n">
        <v>13.2</v>
      </c>
      <c r="H1418" t="n">
        <v>0</v>
      </c>
      <c r="I1418" t="n">
        <v>0</v>
      </c>
      <c r="J1418" t="n">
        <v>0</v>
      </c>
      <c r="K1418" t="n">
        <v>0</v>
      </c>
      <c r="L1418" t="n">
        <v>0</v>
      </c>
      <c r="M1418" t="n">
        <v>0</v>
      </c>
      <c r="N1418" t="n">
        <v>0</v>
      </c>
      <c r="O1418" t="n">
        <v>0</v>
      </c>
      <c r="P1418" t="n">
        <v>0</v>
      </c>
      <c r="Q1418" t="n">
        <v>0</v>
      </c>
      <c r="R1418" s="2" t="inlineStr"/>
    </row>
    <row r="1419" ht="15" customHeight="1">
      <c r="A1419" t="inlineStr">
        <is>
          <t>A 42519-2022</t>
        </is>
      </c>
      <c r="B1419" s="1" t="n">
        <v>44831.60743055555</v>
      </c>
      <c r="C1419" s="1" t="n">
        <v>46086</v>
      </c>
      <c r="D1419" t="inlineStr">
        <is>
          <t>GÄVLEBORGS LÄN</t>
        </is>
      </c>
      <c r="E1419" t="inlineStr">
        <is>
          <t>BOLLNÄS</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16559-2021</t>
        </is>
      </c>
      <c r="B1420" s="1" t="n">
        <v>44293.91796296297</v>
      </c>
      <c r="C1420" s="1" t="n">
        <v>46086</v>
      </c>
      <c r="D1420" t="inlineStr">
        <is>
          <t>GÄVLEBORGS LÄN</t>
        </is>
      </c>
      <c r="E1420" t="inlineStr">
        <is>
          <t>HUDIKSVALL</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15705-2022</t>
        </is>
      </c>
      <c r="B1421" s="1" t="n">
        <v>44663.44337962963</v>
      </c>
      <c r="C1421" s="1" t="n">
        <v>46086</v>
      </c>
      <c r="D1421" t="inlineStr">
        <is>
          <t>GÄVLEBORGS LÄN</t>
        </is>
      </c>
      <c r="E1421" t="inlineStr">
        <is>
          <t>OCKELBO</t>
        </is>
      </c>
      <c r="F1421" t="inlineStr">
        <is>
          <t>Bergvik skog väst AB</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40403-2022</t>
        </is>
      </c>
      <c r="B1422" s="1" t="n">
        <v>44823</v>
      </c>
      <c r="C1422" s="1" t="n">
        <v>46086</v>
      </c>
      <c r="D1422" t="inlineStr">
        <is>
          <t>GÄVLEBORGS LÄN</t>
        </is>
      </c>
      <c r="E1422" t="inlineStr">
        <is>
          <t>OVANÅKER</t>
        </is>
      </c>
      <c r="F1422" t="inlineStr">
        <is>
          <t>Bergvik skog väst AB</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22334-2021</t>
        </is>
      </c>
      <c r="B1423" s="1" t="n">
        <v>44326</v>
      </c>
      <c r="C1423" s="1" t="n">
        <v>46086</v>
      </c>
      <c r="D1423" t="inlineStr">
        <is>
          <t>GÄVLEBORGS LÄN</t>
        </is>
      </c>
      <c r="E1423" t="inlineStr">
        <is>
          <t>BOLLNÄS</t>
        </is>
      </c>
      <c r="F1423" t="inlineStr">
        <is>
          <t>Sveaskog</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28683-2021</t>
        </is>
      </c>
      <c r="B1424" s="1" t="n">
        <v>44357.40423611111</v>
      </c>
      <c r="C1424" s="1" t="n">
        <v>46086</v>
      </c>
      <c r="D1424" t="inlineStr">
        <is>
          <t>GÄVLEBORGS LÄN</t>
        </is>
      </c>
      <c r="E1424" t="inlineStr">
        <is>
          <t>LJUSDAL</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33178-2022</t>
        </is>
      </c>
      <c r="B1425" s="1" t="n">
        <v>44785.60922453704</v>
      </c>
      <c r="C1425" s="1" t="n">
        <v>46086</v>
      </c>
      <c r="D1425" t="inlineStr">
        <is>
          <t>GÄVLEBORGS LÄN</t>
        </is>
      </c>
      <c r="E1425" t="inlineStr">
        <is>
          <t>GÄVLE</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22654-2022</t>
        </is>
      </c>
      <c r="B1426" s="1" t="n">
        <v>44714</v>
      </c>
      <c r="C1426" s="1" t="n">
        <v>46086</v>
      </c>
      <c r="D1426" t="inlineStr">
        <is>
          <t>GÄVLEBORGS LÄN</t>
        </is>
      </c>
      <c r="E1426" t="inlineStr">
        <is>
          <t>SANDVIKEN</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24217-2022</t>
        </is>
      </c>
      <c r="B1427" s="1" t="n">
        <v>44725.62199074074</v>
      </c>
      <c r="C1427" s="1" t="n">
        <v>46086</v>
      </c>
      <c r="D1427" t="inlineStr">
        <is>
          <t>GÄVLEBORGS LÄN</t>
        </is>
      </c>
      <c r="E1427" t="inlineStr">
        <is>
          <t>LJUSDAL</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23066-2021</t>
        </is>
      </c>
      <c r="B1428" s="1" t="n">
        <v>44329</v>
      </c>
      <c r="C1428" s="1" t="n">
        <v>46086</v>
      </c>
      <c r="D1428" t="inlineStr">
        <is>
          <t>GÄVLEBORGS LÄN</t>
        </is>
      </c>
      <c r="E1428" t="inlineStr">
        <is>
          <t>NORDANSTIG</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23179-2021</t>
        </is>
      </c>
      <c r="B1429" s="1" t="n">
        <v>44333.30881944444</v>
      </c>
      <c r="C1429" s="1" t="n">
        <v>46086</v>
      </c>
      <c r="D1429" t="inlineStr">
        <is>
          <t>GÄVLEBORGS LÄN</t>
        </is>
      </c>
      <c r="E1429" t="inlineStr">
        <is>
          <t>BOLLNÄS</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14012-2022</t>
        </is>
      </c>
      <c r="B1430" s="1" t="n">
        <v>44650</v>
      </c>
      <c r="C1430" s="1" t="n">
        <v>46086</v>
      </c>
      <c r="D1430" t="inlineStr">
        <is>
          <t>GÄVLEBORGS LÄN</t>
        </is>
      </c>
      <c r="E1430" t="inlineStr">
        <is>
          <t>BOLLNÄS</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23966-2021</t>
        </is>
      </c>
      <c r="B1431" s="1" t="n">
        <v>44335.67445601852</v>
      </c>
      <c r="C1431" s="1" t="n">
        <v>46086</v>
      </c>
      <c r="D1431" t="inlineStr">
        <is>
          <t>GÄVLEBORGS LÄN</t>
        </is>
      </c>
      <c r="E1431" t="inlineStr">
        <is>
          <t>LJUSDAL</t>
        </is>
      </c>
      <c r="F1431" t="inlineStr">
        <is>
          <t>Holmen skog AB</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24075-2021</t>
        </is>
      </c>
      <c r="B1432" s="1" t="n">
        <v>44336.41662037037</v>
      </c>
      <c r="C1432" s="1" t="n">
        <v>46086</v>
      </c>
      <c r="D1432" t="inlineStr">
        <is>
          <t>GÄVLEBORGS LÄN</t>
        </is>
      </c>
      <c r="E1432" t="inlineStr">
        <is>
          <t>OVANÅKER</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14462-2021</t>
        </is>
      </c>
      <c r="B1433" s="1" t="n">
        <v>44279</v>
      </c>
      <c r="C1433" s="1" t="n">
        <v>46086</v>
      </c>
      <c r="D1433" t="inlineStr">
        <is>
          <t>GÄVLEBORGS LÄN</t>
        </is>
      </c>
      <c r="E1433" t="inlineStr">
        <is>
          <t>BOLLNÄS</t>
        </is>
      </c>
      <c r="F1433" t="inlineStr">
        <is>
          <t>Kommuner</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23908-2021</t>
        </is>
      </c>
      <c r="B1434" s="1" t="n">
        <v>44335.6046412037</v>
      </c>
      <c r="C1434" s="1" t="n">
        <v>46086</v>
      </c>
      <c r="D1434" t="inlineStr">
        <is>
          <t>GÄVLEBORGS LÄN</t>
        </is>
      </c>
      <c r="E1434" t="inlineStr">
        <is>
          <t>HUDIKSVALL</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23925-2021</t>
        </is>
      </c>
      <c r="B1435" s="1" t="n">
        <v>44335</v>
      </c>
      <c r="C1435" s="1" t="n">
        <v>46086</v>
      </c>
      <c r="D1435" t="inlineStr">
        <is>
          <t>GÄVLEBORGS LÄN</t>
        </is>
      </c>
      <c r="E1435" t="inlineStr">
        <is>
          <t>HUDIKSVALL</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23930-2021</t>
        </is>
      </c>
      <c r="B1436" s="1" t="n">
        <v>44335</v>
      </c>
      <c r="C1436" s="1" t="n">
        <v>46086</v>
      </c>
      <c r="D1436" t="inlineStr">
        <is>
          <t>GÄVLEBORGS LÄN</t>
        </is>
      </c>
      <c r="E1436" t="inlineStr">
        <is>
          <t>HUDIKSVALL</t>
        </is>
      </c>
      <c r="G1436" t="n">
        <v>0.1</v>
      </c>
      <c r="H1436" t="n">
        <v>0</v>
      </c>
      <c r="I1436" t="n">
        <v>0</v>
      </c>
      <c r="J1436" t="n">
        <v>0</v>
      </c>
      <c r="K1436" t="n">
        <v>0</v>
      </c>
      <c r="L1436" t="n">
        <v>0</v>
      </c>
      <c r="M1436" t="n">
        <v>0</v>
      </c>
      <c r="N1436" t="n">
        <v>0</v>
      </c>
      <c r="O1436" t="n">
        <v>0</v>
      </c>
      <c r="P1436" t="n">
        <v>0</v>
      </c>
      <c r="Q1436" t="n">
        <v>0</v>
      </c>
      <c r="R1436" s="2" t="inlineStr"/>
    </row>
    <row r="1437" ht="15" customHeight="1">
      <c r="A1437" t="inlineStr">
        <is>
          <t>A 6001-2022</t>
        </is>
      </c>
      <c r="B1437" s="1" t="n">
        <v>44599</v>
      </c>
      <c r="C1437" s="1" t="n">
        <v>46086</v>
      </c>
      <c r="D1437" t="inlineStr">
        <is>
          <t>GÄVLEBORGS LÄN</t>
        </is>
      </c>
      <c r="E1437" t="inlineStr">
        <is>
          <t>GÄVLE</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20272-2022</t>
        </is>
      </c>
      <c r="B1438" s="1" t="n">
        <v>44698.68241898148</v>
      </c>
      <c r="C1438" s="1" t="n">
        <v>46086</v>
      </c>
      <c r="D1438" t="inlineStr">
        <is>
          <t>GÄVLEBORGS LÄN</t>
        </is>
      </c>
      <c r="E1438" t="inlineStr">
        <is>
          <t>SÖDERHAMN</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44862-2021</t>
        </is>
      </c>
      <c r="B1439" s="1" t="n">
        <v>44438</v>
      </c>
      <c r="C1439" s="1" t="n">
        <v>46086</v>
      </c>
      <c r="D1439" t="inlineStr">
        <is>
          <t>GÄVLEBORGS LÄN</t>
        </is>
      </c>
      <c r="E1439" t="inlineStr">
        <is>
          <t>BOLLNÄS</t>
        </is>
      </c>
      <c r="F1439" t="inlineStr">
        <is>
          <t>Kyrkan</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11536-2021</t>
        </is>
      </c>
      <c r="B1440" s="1" t="n">
        <v>44264</v>
      </c>
      <c r="C1440" s="1" t="n">
        <v>46086</v>
      </c>
      <c r="D1440" t="inlineStr">
        <is>
          <t>GÄVLEBORGS LÄN</t>
        </is>
      </c>
      <c r="E1440" t="inlineStr">
        <is>
          <t>OVANÅKER</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16980-2021</t>
        </is>
      </c>
      <c r="B1441" s="1" t="n">
        <v>44295</v>
      </c>
      <c r="C1441" s="1" t="n">
        <v>46086</v>
      </c>
      <c r="D1441" t="inlineStr">
        <is>
          <t>GÄVLEBORGS LÄN</t>
        </is>
      </c>
      <c r="E1441" t="inlineStr">
        <is>
          <t>BOLLNÄS</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45592-2022</t>
        </is>
      </c>
      <c r="B1442" s="1" t="n">
        <v>44845.5477662037</v>
      </c>
      <c r="C1442" s="1" t="n">
        <v>46086</v>
      </c>
      <c r="D1442" t="inlineStr">
        <is>
          <t>GÄVLEBORGS LÄN</t>
        </is>
      </c>
      <c r="E1442" t="inlineStr">
        <is>
          <t>GÄVLE</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42959-2022</t>
        </is>
      </c>
      <c r="B1443" s="1" t="n">
        <v>44833.41351851852</v>
      </c>
      <c r="C1443" s="1" t="n">
        <v>46086</v>
      </c>
      <c r="D1443" t="inlineStr">
        <is>
          <t>GÄVLEBORGS LÄN</t>
        </is>
      </c>
      <c r="E1443" t="inlineStr">
        <is>
          <t>LJUSDAL</t>
        </is>
      </c>
      <c r="F1443" t="inlineStr">
        <is>
          <t>Bergvik skog väst AB</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66345-2021</t>
        </is>
      </c>
      <c r="B1444" s="1" t="n">
        <v>44518.5616087963</v>
      </c>
      <c r="C1444" s="1" t="n">
        <v>46086</v>
      </c>
      <c r="D1444" t="inlineStr">
        <is>
          <t>GÄVLEBORGS LÄN</t>
        </is>
      </c>
      <c r="E1444" t="inlineStr">
        <is>
          <t>SANDVIKEN</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72150-2021</t>
        </is>
      </c>
      <c r="B1445" s="1" t="n">
        <v>44544</v>
      </c>
      <c r="C1445" s="1" t="n">
        <v>46086</v>
      </c>
      <c r="D1445" t="inlineStr">
        <is>
          <t>GÄVLEBORGS LÄN</t>
        </is>
      </c>
      <c r="E1445" t="inlineStr">
        <is>
          <t>LJUSDAL</t>
        </is>
      </c>
      <c r="F1445" t="inlineStr">
        <is>
          <t>Holmen skog AB</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58434-2021</t>
        </is>
      </c>
      <c r="B1446" s="1" t="n">
        <v>44488</v>
      </c>
      <c r="C1446" s="1" t="n">
        <v>46086</v>
      </c>
      <c r="D1446" t="inlineStr">
        <is>
          <t>GÄVLEBORGS LÄN</t>
        </is>
      </c>
      <c r="E1446" t="inlineStr">
        <is>
          <t>BOLLNÄS</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45134-2021</t>
        </is>
      </c>
      <c r="B1447" s="1" t="n">
        <v>44439</v>
      </c>
      <c r="C1447" s="1" t="n">
        <v>46086</v>
      </c>
      <c r="D1447" t="inlineStr">
        <is>
          <t>GÄVLEBORGS LÄN</t>
        </is>
      </c>
      <c r="E1447" t="inlineStr">
        <is>
          <t>GÄVLE</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34893-2022</t>
        </is>
      </c>
      <c r="B1448" s="1" t="n">
        <v>44796</v>
      </c>
      <c r="C1448" s="1" t="n">
        <v>46086</v>
      </c>
      <c r="D1448" t="inlineStr">
        <is>
          <t>GÄVLEBORGS LÄN</t>
        </is>
      </c>
      <c r="E1448" t="inlineStr">
        <is>
          <t>BOLLNÄS</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24996-2022</t>
        </is>
      </c>
      <c r="B1449" s="1" t="n">
        <v>44728.92789351852</v>
      </c>
      <c r="C1449" s="1" t="n">
        <v>46086</v>
      </c>
      <c r="D1449" t="inlineStr">
        <is>
          <t>GÄVLEBORGS LÄN</t>
        </is>
      </c>
      <c r="E1449" t="inlineStr">
        <is>
          <t>NORDANSTIG</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65-2022</t>
        </is>
      </c>
      <c r="B1450" s="1" t="n">
        <v>44564.46445601852</v>
      </c>
      <c r="C1450" s="1" t="n">
        <v>46086</v>
      </c>
      <c r="D1450" t="inlineStr">
        <is>
          <t>GÄVLEBORGS LÄN</t>
        </is>
      </c>
      <c r="E1450" t="inlineStr">
        <is>
          <t>OVANÅKER</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39913-2021</t>
        </is>
      </c>
      <c r="B1451" s="1" t="n">
        <v>44417</v>
      </c>
      <c r="C1451" s="1" t="n">
        <v>46086</v>
      </c>
      <c r="D1451" t="inlineStr">
        <is>
          <t>GÄVLEBORGS LÄN</t>
        </is>
      </c>
      <c r="E1451" t="inlineStr">
        <is>
          <t>SÖDERHAMN</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44092-2022</t>
        </is>
      </c>
      <c r="B1452" s="1" t="n">
        <v>44839</v>
      </c>
      <c r="C1452" s="1" t="n">
        <v>46086</v>
      </c>
      <c r="D1452" t="inlineStr">
        <is>
          <t>GÄVLEBORGS LÄN</t>
        </is>
      </c>
      <c r="E1452" t="inlineStr">
        <is>
          <t>OVANÅKER</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23925-2022</t>
        </is>
      </c>
      <c r="B1453" s="1" t="n">
        <v>44722</v>
      </c>
      <c r="C1453" s="1" t="n">
        <v>46086</v>
      </c>
      <c r="D1453" t="inlineStr">
        <is>
          <t>GÄVLEBORGS LÄN</t>
        </is>
      </c>
      <c r="E1453" t="inlineStr">
        <is>
          <t>BOLLNÄS</t>
        </is>
      </c>
      <c r="G1453" t="n">
        <v>0.1</v>
      </c>
      <c r="H1453" t="n">
        <v>0</v>
      </c>
      <c r="I1453" t="n">
        <v>0</v>
      </c>
      <c r="J1453" t="n">
        <v>0</v>
      </c>
      <c r="K1453" t="n">
        <v>0</v>
      </c>
      <c r="L1453" t="n">
        <v>0</v>
      </c>
      <c r="M1453" t="n">
        <v>0</v>
      </c>
      <c r="N1453" t="n">
        <v>0</v>
      </c>
      <c r="O1453" t="n">
        <v>0</v>
      </c>
      <c r="P1453" t="n">
        <v>0</v>
      </c>
      <c r="Q1453" t="n">
        <v>0</v>
      </c>
      <c r="R1453" s="2" t="inlineStr"/>
    </row>
    <row r="1454" ht="15" customHeight="1">
      <c r="A1454" t="inlineStr">
        <is>
          <t>A 35811-2021</t>
        </is>
      </c>
      <c r="B1454" s="1" t="n">
        <v>44386</v>
      </c>
      <c r="C1454" s="1" t="n">
        <v>46086</v>
      </c>
      <c r="D1454" t="inlineStr">
        <is>
          <t>GÄVLEBORGS LÄN</t>
        </is>
      </c>
      <c r="E1454" t="inlineStr">
        <is>
          <t>HUDIKSVALL</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47739-2021</t>
        </is>
      </c>
      <c r="B1455" s="1" t="n">
        <v>44448</v>
      </c>
      <c r="C1455" s="1" t="n">
        <v>46086</v>
      </c>
      <c r="D1455" t="inlineStr">
        <is>
          <t>GÄVLEBORGS LÄN</t>
        </is>
      </c>
      <c r="E1455" t="inlineStr">
        <is>
          <t>GÄVLE</t>
        </is>
      </c>
      <c r="G1455" t="n">
        <v>5.9</v>
      </c>
      <c r="H1455" t="n">
        <v>0</v>
      </c>
      <c r="I1455" t="n">
        <v>0</v>
      </c>
      <c r="J1455" t="n">
        <v>0</v>
      </c>
      <c r="K1455" t="n">
        <v>0</v>
      </c>
      <c r="L1455" t="n">
        <v>0</v>
      </c>
      <c r="M1455" t="n">
        <v>0</v>
      </c>
      <c r="N1455" t="n">
        <v>0</v>
      </c>
      <c r="O1455" t="n">
        <v>0</v>
      </c>
      <c r="P1455" t="n">
        <v>0</v>
      </c>
      <c r="Q1455" t="n">
        <v>0</v>
      </c>
      <c r="R1455" s="2" t="inlineStr"/>
    </row>
    <row r="1456" ht="15" customHeight="1">
      <c r="A1456" t="inlineStr">
        <is>
          <t>A 48451-2021</t>
        </is>
      </c>
      <c r="B1456" s="1" t="n">
        <v>44452</v>
      </c>
      <c r="C1456" s="1" t="n">
        <v>46086</v>
      </c>
      <c r="D1456" t="inlineStr">
        <is>
          <t>GÄVLEBORGS LÄN</t>
        </is>
      </c>
      <c r="E1456" t="inlineStr">
        <is>
          <t>BOLLNÄS</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54388-2022</t>
        </is>
      </c>
      <c r="B1457" s="1" t="n">
        <v>44882</v>
      </c>
      <c r="C1457" s="1" t="n">
        <v>46086</v>
      </c>
      <c r="D1457" t="inlineStr">
        <is>
          <t>GÄVLEBORGS LÄN</t>
        </is>
      </c>
      <c r="E1457" t="inlineStr">
        <is>
          <t>GÄVLE</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46123-2021</t>
        </is>
      </c>
      <c r="B1458" s="1" t="n">
        <v>44442.38140046296</v>
      </c>
      <c r="C1458" s="1" t="n">
        <v>46086</v>
      </c>
      <c r="D1458" t="inlineStr">
        <is>
          <t>GÄVLEBORGS LÄN</t>
        </is>
      </c>
      <c r="E1458" t="inlineStr">
        <is>
          <t>LJUSDAL</t>
        </is>
      </c>
      <c r="F1458" t="inlineStr">
        <is>
          <t>Sveaskog</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31642-2021</t>
        </is>
      </c>
      <c r="B1459" s="1" t="n">
        <v>44369</v>
      </c>
      <c r="C1459" s="1" t="n">
        <v>46086</v>
      </c>
      <c r="D1459" t="inlineStr">
        <is>
          <t>GÄVLEBORGS LÄN</t>
        </is>
      </c>
      <c r="E1459" t="inlineStr">
        <is>
          <t>HUDIKSVALL</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54380-2021</t>
        </is>
      </c>
      <c r="B1460" s="1" t="n">
        <v>44473</v>
      </c>
      <c r="C1460" s="1" t="n">
        <v>46086</v>
      </c>
      <c r="D1460" t="inlineStr">
        <is>
          <t>GÄVLEBORGS LÄN</t>
        </is>
      </c>
      <c r="E1460" t="inlineStr">
        <is>
          <t>HUDIKSVALL</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13901-2021</t>
        </is>
      </c>
      <c r="B1461" s="1" t="n">
        <v>44277</v>
      </c>
      <c r="C1461" s="1" t="n">
        <v>46086</v>
      </c>
      <c r="D1461" t="inlineStr">
        <is>
          <t>GÄVLEBORGS LÄN</t>
        </is>
      </c>
      <c r="E1461" t="inlineStr">
        <is>
          <t>OVANÅKER</t>
        </is>
      </c>
      <c r="F1461" t="inlineStr">
        <is>
          <t>Bergvik skog väst AB</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52947-2022</t>
        </is>
      </c>
      <c r="B1462" s="1" t="n">
        <v>44875.65561342592</v>
      </c>
      <c r="C1462" s="1" t="n">
        <v>46086</v>
      </c>
      <c r="D1462" t="inlineStr">
        <is>
          <t>GÄVLEBORGS LÄN</t>
        </is>
      </c>
      <c r="E1462" t="inlineStr">
        <is>
          <t>HUDIKSVALL</t>
        </is>
      </c>
      <c r="F1462" t="inlineStr">
        <is>
          <t>Holmen skog AB</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13259-2021</t>
        </is>
      </c>
      <c r="B1463" s="1" t="n">
        <v>44272.65707175926</v>
      </c>
      <c r="C1463" s="1" t="n">
        <v>46086</v>
      </c>
      <c r="D1463" t="inlineStr">
        <is>
          <t>GÄVLEBORGS LÄN</t>
        </is>
      </c>
      <c r="E1463" t="inlineStr">
        <is>
          <t>GÄVLE</t>
        </is>
      </c>
      <c r="F1463" t="inlineStr">
        <is>
          <t>Bergvik skog öst AB</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17544-2021</t>
        </is>
      </c>
      <c r="B1464" s="1" t="n">
        <v>44299</v>
      </c>
      <c r="C1464" s="1" t="n">
        <v>46086</v>
      </c>
      <c r="D1464" t="inlineStr">
        <is>
          <t>GÄVLEBORGS LÄN</t>
        </is>
      </c>
      <c r="E1464" t="inlineStr">
        <is>
          <t>SANDVIKEN</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56416-2021</t>
        </is>
      </c>
      <c r="B1465" s="1" t="n">
        <v>44480</v>
      </c>
      <c r="C1465" s="1" t="n">
        <v>46086</v>
      </c>
      <c r="D1465" t="inlineStr">
        <is>
          <t>GÄVLEBORGS LÄN</t>
        </is>
      </c>
      <c r="E1465" t="inlineStr">
        <is>
          <t>BOLLNÄS</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57369-2021</t>
        </is>
      </c>
      <c r="B1466" s="1" t="n">
        <v>44483</v>
      </c>
      <c r="C1466" s="1" t="n">
        <v>46086</v>
      </c>
      <c r="D1466" t="inlineStr">
        <is>
          <t>GÄVLEBORGS LÄN</t>
        </is>
      </c>
      <c r="E1466" t="inlineStr">
        <is>
          <t>HUDIKSVALL</t>
        </is>
      </c>
      <c r="F1466" t="inlineStr">
        <is>
          <t>Holmen skog AB</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55403-2021</t>
        </is>
      </c>
      <c r="B1467" s="1" t="n">
        <v>44475.53581018518</v>
      </c>
      <c r="C1467" s="1" t="n">
        <v>46086</v>
      </c>
      <c r="D1467" t="inlineStr">
        <is>
          <t>GÄVLEBORGS LÄN</t>
        </is>
      </c>
      <c r="E1467" t="inlineStr">
        <is>
          <t>OVANÅKER</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16154-2021</t>
        </is>
      </c>
      <c r="B1468" s="1" t="n">
        <v>44292.37005787037</v>
      </c>
      <c r="C1468" s="1" t="n">
        <v>46086</v>
      </c>
      <c r="D1468" t="inlineStr">
        <is>
          <t>GÄVLEBORGS LÄN</t>
        </is>
      </c>
      <c r="E1468" t="inlineStr">
        <is>
          <t>LJUSDAL</t>
        </is>
      </c>
      <c r="F1468" t="inlineStr">
        <is>
          <t>Holmen skog AB</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19655-2021</t>
        </is>
      </c>
      <c r="B1469" s="1" t="n">
        <v>44312</v>
      </c>
      <c r="C1469" s="1" t="n">
        <v>46086</v>
      </c>
      <c r="D1469" t="inlineStr">
        <is>
          <t>GÄVLEBORGS LÄN</t>
        </is>
      </c>
      <c r="E1469" t="inlineStr">
        <is>
          <t>HUDIKSVALL</t>
        </is>
      </c>
      <c r="F1469" t="inlineStr">
        <is>
          <t>Holmen skog AB</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57458-2021</t>
        </is>
      </c>
      <c r="B1470" s="1" t="n">
        <v>44483.65805555556</v>
      </c>
      <c r="C1470" s="1" t="n">
        <v>46086</v>
      </c>
      <c r="D1470" t="inlineStr">
        <is>
          <t>GÄVLEBORGS LÄN</t>
        </is>
      </c>
      <c r="E1470" t="inlineStr">
        <is>
          <t>LJUSDAL</t>
        </is>
      </c>
      <c r="F1470" t="inlineStr">
        <is>
          <t>Holmen skog AB</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56734-2021</t>
        </is>
      </c>
      <c r="B1471" s="1" t="n">
        <v>44481.44684027778</v>
      </c>
      <c r="C1471" s="1" t="n">
        <v>46086</v>
      </c>
      <c r="D1471" t="inlineStr">
        <is>
          <t>GÄVLEBORGS LÄN</t>
        </is>
      </c>
      <c r="E1471" t="inlineStr">
        <is>
          <t>SANDVIKEN</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62065-2021</t>
        </is>
      </c>
      <c r="B1472" s="1" t="n">
        <v>44502.59028935185</v>
      </c>
      <c r="C1472" s="1" t="n">
        <v>46086</v>
      </c>
      <c r="D1472" t="inlineStr">
        <is>
          <t>GÄVLEBORGS LÄN</t>
        </is>
      </c>
      <c r="E1472" t="inlineStr">
        <is>
          <t>NORDANSTIG</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26869-2021</t>
        </is>
      </c>
      <c r="B1473" s="1" t="n">
        <v>44349</v>
      </c>
      <c r="C1473" s="1" t="n">
        <v>46086</v>
      </c>
      <c r="D1473" t="inlineStr">
        <is>
          <t>GÄVLEBORGS LÄN</t>
        </is>
      </c>
      <c r="E1473" t="inlineStr">
        <is>
          <t>NORDANSTIG</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4433-2022</t>
        </is>
      </c>
      <c r="B1474" s="1" t="n">
        <v>44589.53163194445</v>
      </c>
      <c r="C1474" s="1" t="n">
        <v>46086</v>
      </c>
      <c r="D1474" t="inlineStr">
        <is>
          <t>GÄVLEBORGS LÄN</t>
        </is>
      </c>
      <c r="E1474" t="inlineStr">
        <is>
          <t>LJUSDAL</t>
        </is>
      </c>
      <c r="G1474" t="n">
        <v>10.3</v>
      </c>
      <c r="H1474" t="n">
        <v>0</v>
      </c>
      <c r="I1474" t="n">
        <v>0</v>
      </c>
      <c r="J1474" t="n">
        <v>0</v>
      </c>
      <c r="K1474" t="n">
        <v>0</v>
      </c>
      <c r="L1474" t="n">
        <v>0</v>
      </c>
      <c r="M1474" t="n">
        <v>0</v>
      </c>
      <c r="N1474" t="n">
        <v>0</v>
      </c>
      <c r="O1474" t="n">
        <v>0</v>
      </c>
      <c r="P1474" t="n">
        <v>0</v>
      </c>
      <c r="Q1474" t="n">
        <v>0</v>
      </c>
      <c r="R1474" s="2" t="inlineStr"/>
    </row>
    <row r="1475" ht="15" customHeight="1">
      <c r="A1475" t="inlineStr">
        <is>
          <t>A 960-2022</t>
        </is>
      </c>
      <c r="B1475" s="1" t="n">
        <v>44571.56971064815</v>
      </c>
      <c r="C1475" s="1" t="n">
        <v>46086</v>
      </c>
      <c r="D1475" t="inlineStr">
        <is>
          <t>GÄVLEBORGS LÄN</t>
        </is>
      </c>
      <c r="E1475" t="inlineStr">
        <is>
          <t>NORDANSTIG</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1707-2022</t>
        </is>
      </c>
      <c r="B1476" s="1" t="n">
        <v>44574</v>
      </c>
      <c r="C1476" s="1" t="n">
        <v>46086</v>
      </c>
      <c r="D1476" t="inlineStr">
        <is>
          <t>GÄVLEBORGS LÄN</t>
        </is>
      </c>
      <c r="E1476" t="inlineStr">
        <is>
          <t>HUDIKSVALL</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19100-2021</t>
        </is>
      </c>
      <c r="B1477" s="1" t="n">
        <v>44308</v>
      </c>
      <c r="C1477" s="1" t="n">
        <v>46086</v>
      </c>
      <c r="D1477" t="inlineStr">
        <is>
          <t>GÄVLEBORGS LÄN</t>
        </is>
      </c>
      <c r="E1477" t="inlineStr">
        <is>
          <t>HUDIKSVALL</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34542-2021</t>
        </is>
      </c>
      <c r="B1478" s="1" t="n">
        <v>44382.43252314815</v>
      </c>
      <c r="C1478" s="1" t="n">
        <v>46086</v>
      </c>
      <c r="D1478" t="inlineStr">
        <is>
          <t>GÄVLEBORGS LÄN</t>
        </is>
      </c>
      <c r="E1478" t="inlineStr">
        <is>
          <t>NORDANSTIG</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34566-2021</t>
        </is>
      </c>
      <c r="B1479" s="1" t="n">
        <v>44382</v>
      </c>
      <c r="C1479" s="1" t="n">
        <v>46086</v>
      </c>
      <c r="D1479" t="inlineStr">
        <is>
          <t>GÄVLEBORGS LÄN</t>
        </is>
      </c>
      <c r="E1479" t="inlineStr">
        <is>
          <t>LJUSDAL</t>
        </is>
      </c>
      <c r="F1479" t="inlineStr">
        <is>
          <t>Bergvik skog väst AB</t>
        </is>
      </c>
      <c r="G1479" t="n">
        <v>8.199999999999999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11423-2021</t>
        </is>
      </c>
      <c r="B1480" s="1" t="n">
        <v>44263.91773148148</v>
      </c>
      <c r="C1480" s="1" t="n">
        <v>46086</v>
      </c>
      <c r="D1480" t="inlineStr">
        <is>
          <t>GÄVLEBORGS LÄN</t>
        </is>
      </c>
      <c r="E1480" t="inlineStr">
        <is>
          <t>HUDIKSVALL</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28006-2021</t>
        </is>
      </c>
      <c r="B1481" s="1" t="n">
        <v>44355.33836805556</v>
      </c>
      <c r="C1481" s="1" t="n">
        <v>46086</v>
      </c>
      <c r="D1481" t="inlineStr">
        <is>
          <t>GÄVLEBORGS LÄN</t>
        </is>
      </c>
      <c r="E1481" t="inlineStr">
        <is>
          <t>OCKELBO</t>
        </is>
      </c>
      <c r="F1481" t="inlineStr">
        <is>
          <t>Bergvik skog väst AB</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37402-2021</t>
        </is>
      </c>
      <c r="B1482" s="1" t="n">
        <v>44398.41361111111</v>
      </c>
      <c r="C1482" s="1" t="n">
        <v>46086</v>
      </c>
      <c r="D1482" t="inlineStr">
        <is>
          <t>GÄVLEBORGS LÄN</t>
        </is>
      </c>
      <c r="E1482" t="inlineStr">
        <is>
          <t>LJUSDAL</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51271-2021</t>
        </is>
      </c>
      <c r="B1483" s="1" t="n">
        <v>44460</v>
      </c>
      <c r="C1483" s="1" t="n">
        <v>46086</v>
      </c>
      <c r="D1483" t="inlineStr">
        <is>
          <t>GÄVLEBORGS LÄN</t>
        </is>
      </c>
      <c r="E1483" t="inlineStr">
        <is>
          <t>OCKELBO</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38604-2021</t>
        </is>
      </c>
      <c r="B1484" s="1" t="n">
        <v>44409.33064814815</v>
      </c>
      <c r="C1484" s="1" t="n">
        <v>46086</v>
      </c>
      <c r="D1484" t="inlineStr">
        <is>
          <t>GÄVLEBORGS LÄN</t>
        </is>
      </c>
      <c r="E1484" t="inlineStr">
        <is>
          <t>OCKELBO</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15304-2021</t>
        </is>
      </c>
      <c r="B1485" s="1" t="n">
        <v>44284</v>
      </c>
      <c r="C1485" s="1" t="n">
        <v>46086</v>
      </c>
      <c r="D1485" t="inlineStr">
        <is>
          <t>GÄVLEBORGS LÄN</t>
        </is>
      </c>
      <c r="E1485" t="inlineStr">
        <is>
          <t>NORDANSTIG</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31423-2021</t>
        </is>
      </c>
      <c r="B1486" s="1" t="n">
        <v>44369.35077546296</v>
      </c>
      <c r="C1486" s="1" t="n">
        <v>46086</v>
      </c>
      <c r="D1486" t="inlineStr">
        <is>
          <t>GÄVLEBORGS LÄN</t>
        </is>
      </c>
      <c r="E1486" t="inlineStr">
        <is>
          <t>GÄVLE</t>
        </is>
      </c>
      <c r="F1486" t="inlineStr">
        <is>
          <t>Bergvik skog väst AB</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66208-2021</t>
        </is>
      </c>
      <c r="B1487" s="1" t="n">
        <v>44518.35971064815</v>
      </c>
      <c r="C1487" s="1" t="n">
        <v>46086</v>
      </c>
      <c r="D1487" t="inlineStr">
        <is>
          <t>GÄVLEBORGS LÄN</t>
        </is>
      </c>
      <c r="E1487" t="inlineStr">
        <is>
          <t>LJUSDAL</t>
        </is>
      </c>
      <c r="F1487" t="inlineStr">
        <is>
          <t>Sveaskog</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8328-2022</t>
        </is>
      </c>
      <c r="B1488" s="1" t="n">
        <v>44610</v>
      </c>
      <c r="C1488" s="1" t="n">
        <v>46086</v>
      </c>
      <c r="D1488" t="inlineStr">
        <is>
          <t>GÄVLEBORGS LÄN</t>
        </is>
      </c>
      <c r="E1488" t="inlineStr">
        <is>
          <t>HUDIKSVALL</t>
        </is>
      </c>
      <c r="G1488" t="n">
        <v>11.9</v>
      </c>
      <c r="H1488" t="n">
        <v>0</v>
      </c>
      <c r="I1488" t="n">
        <v>0</v>
      </c>
      <c r="J1488" t="n">
        <v>0</v>
      </c>
      <c r="K1488" t="n">
        <v>0</v>
      </c>
      <c r="L1488" t="n">
        <v>0</v>
      </c>
      <c r="M1488" t="n">
        <v>0</v>
      </c>
      <c r="N1488" t="n">
        <v>0</v>
      </c>
      <c r="O1488" t="n">
        <v>0</v>
      </c>
      <c r="P1488" t="n">
        <v>0</v>
      </c>
      <c r="Q1488" t="n">
        <v>0</v>
      </c>
      <c r="R1488" s="2" t="inlineStr"/>
    </row>
    <row r="1489" ht="15" customHeight="1">
      <c r="A1489" t="inlineStr">
        <is>
          <t>A 71698-2021</t>
        </is>
      </c>
      <c r="B1489" s="1" t="n">
        <v>44543.43693287037</v>
      </c>
      <c r="C1489" s="1" t="n">
        <v>46086</v>
      </c>
      <c r="D1489" t="inlineStr">
        <is>
          <t>GÄVLEBORGS LÄN</t>
        </is>
      </c>
      <c r="E1489" t="inlineStr">
        <is>
          <t>LJUSDAL</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33180-2021</t>
        </is>
      </c>
      <c r="B1490" s="1" t="n">
        <v>44376</v>
      </c>
      <c r="C1490" s="1" t="n">
        <v>46086</v>
      </c>
      <c r="D1490" t="inlineStr">
        <is>
          <t>GÄVLEBORGS LÄN</t>
        </is>
      </c>
      <c r="E1490" t="inlineStr">
        <is>
          <t>OVANÅKER</t>
        </is>
      </c>
      <c r="F1490" t="inlineStr">
        <is>
          <t>Sveaskog</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60481-2021</t>
        </is>
      </c>
      <c r="B1491" s="1" t="n">
        <v>44496</v>
      </c>
      <c r="C1491" s="1" t="n">
        <v>46086</v>
      </c>
      <c r="D1491" t="inlineStr">
        <is>
          <t>GÄVLEBORGS LÄN</t>
        </is>
      </c>
      <c r="E1491" t="inlineStr">
        <is>
          <t>BOLLNÄS</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12108-2022</t>
        </is>
      </c>
      <c r="B1492" s="1" t="n">
        <v>44636</v>
      </c>
      <c r="C1492" s="1" t="n">
        <v>46086</v>
      </c>
      <c r="D1492" t="inlineStr">
        <is>
          <t>GÄVLEBORGS LÄN</t>
        </is>
      </c>
      <c r="E1492" t="inlineStr">
        <is>
          <t>BOLLNÄS</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62146-2021</t>
        </is>
      </c>
      <c r="B1493" s="1" t="n">
        <v>44502</v>
      </c>
      <c r="C1493" s="1" t="n">
        <v>46086</v>
      </c>
      <c r="D1493" t="inlineStr">
        <is>
          <t>GÄVLEBORGS LÄN</t>
        </is>
      </c>
      <c r="E1493" t="inlineStr">
        <is>
          <t>LJUSDAL</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35245-2021</t>
        </is>
      </c>
      <c r="B1494" s="1" t="n">
        <v>44384.58857638889</v>
      </c>
      <c r="C1494" s="1" t="n">
        <v>46086</v>
      </c>
      <c r="D1494" t="inlineStr">
        <is>
          <t>GÄVLEBORGS LÄN</t>
        </is>
      </c>
      <c r="E1494" t="inlineStr">
        <is>
          <t>OCKELBO</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34457-2022</t>
        </is>
      </c>
      <c r="B1495" s="1" t="n">
        <v>44792</v>
      </c>
      <c r="C1495" s="1" t="n">
        <v>46086</v>
      </c>
      <c r="D1495" t="inlineStr">
        <is>
          <t>GÄVLEBORGS LÄN</t>
        </is>
      </c>
      <c r="E1495" t="inlineStr">
        <is>
          <t>LJUSDAL</t>
        </is>
      </c>
      <c r="F1495" t="inlineStr">
        <is>
          <t>Sveaskog</t>
        </is>
      </c>
      <c r="G1495" t="n">
        <v>11.1</v>
      </c>
      <c r="H1495" t="n">
        <v>0</v>
      </c>
      <c r="I1495" t="n">
        <v>0</v>
      </c>
      <c r="J1495" t="n">
        <v>0</v>
      </c>
      <c r="K1495" t="n">
        <v>0</v>
      </c>
      <c r="L1495" t="n">
        <v>0</v>
      </c>
      <c r="M1495" t="n">
        <v>0</v>
      </c>
      <c r="N1495" t="n">
        <v>0</v>
      </c>
      <c r="O1495" t="n">
        <v>0</v>
      </c>
      <c r="P1495" t="n">
        <v>0</v>
      </c>
      <c r="Q1495" t="n">
        <v>0</v>
      </c>
      <c r="R1495" s="2" t="inlineStr"/>
    </row>
    <row r="1496" ht="15" customHeight="1">
      <c r="A1496" t="inlineStr">
        <is>
          <t>A 23087-2022</t>
        </is>
      </c>
      <c r="B1496" s="1" t="n">
        <v>44719.48083333333</v>
      </c>
      <c r="C1496" s="1" t="n">
        <v>46086</v>
      </c>
      <c r="D1496" t="inlineStr">
        <is>
          <t>GÄVLEBORGS LÄN</t>
        </is>
      </c>
      <c r="E1496" t="inlineStr">
        <is>
          <t>LJUSDAL</t>
        </is>
      </c>
      <c r="F1496" t="inlineStr">
        <is>
          <t>Sveaskog</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11993-2022</t>
        </is>
      </c>
      <c r="B1497" s="1" t="n">
        <v>44635.71787037037</v>
      </c>
      <c r="C1497" s="1" t="n">
        <v>46086</v>
      </c>
      <c r="D1497" t="inlineStr">
        <is>
          <t>GÄVLEBORGS LÄN</t>
        </is>
      </c>
      <c r="E1497" t="inlineStr">
        <is>
          <t>SANDVIKEN</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40110-2022</t>
        </is>
      </c>
      <c r="B1498" s="1" t="n">
        <v>44820.49546296296</v>
      </c>
      <c r="C1498" s="1" t="n">
        <v>46086</v>
      </c>
      <c r="D1498" t="inlineStr">
        <is>
          <t>GÄVLEBORGS LÄN</t>
        </is>
      </c>
      <c r="E1498" t="inlineStr">
        <is>
          <t>NORDANSTIG</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2946-2022</t>
        </is>
      </c>
      <c r="B1499" s="1" t="n">
        <v>44581.62998842593</v>
      </c>
      <c r="C1499" s="1" t="n">
        <v>46086</v>
      </c>
      <c r="D1499" t="inlineStr">
        <is>
          <t>GÄVLEBORGS LÄN</t>
        </is>
      </c>
      <c r="E1499" t="inlineStr">
        <is>
          <t>OVANÅKER</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44151-2022</t>
        </is>
      </c>
      <c r="B1500" s="1" t="n">
        <v>44839</v>
      </c>
      <c r="C1500" s="1" t="n">
        <v>46086</v>
      </c>
      <c r="D1500" t="inlineStr">
        <is>
          <t>GÄVLEBORGS LÄN</t>
        </is>
      </c>
      <c r="E1500" t="inlineStr">
        <is>
          <t>BOLLNÄS</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41919-2021</t>
        </is>
      </c>
      <c r="B1501" s="1" t="n">
        <v>44426</v>
      </c>
      <c r="C1501" s="1" t="n">
        <v>46086</v>
      </c>
      <c r="D1501" t="inlineStr">
        <is>
          <t>GÄVLEBORGS LÄN</t>
        </is>
      </c>
      <c r="E1501" t="inlineStr">
        <is>
          <t>LJUSDAL</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10858-2022</t>
        </is>
      </c>
      <c r="B1502" s="1" t="n">
        <v>44627</v>
      </c>
      <c r="C1502" s="1" t="n">
        <v>46086</v>
      </c>
      <c r="D1502" t="inlineStr">
        <is>
          <t>GÄVLEBORGS LÄN</t>
        </is>
      </c>
      <c r="E1502" t="inlineStr">
        <is>
          <t>HUDIKSVALL</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45280-2022</t>
        </is>
      </c>
      <c r="B1503" s="1" t="n">
        <v>44840</v>
      </c>
      <c r="C1503" s="1" t="n">
        <v>46086</v>
      </c>
      <c r="D1503" t="inlineStr">
        <is>
          <t>GÄVLEBORGS LÄN</t>
        </is>
      </c>
      <c r="E1503" t="inlineStr">
        <is>
          <t>GÄVLE</t>
        </is>
      </c>
      <c r="F1503" t="inlineStr">
        <is>
          <t>Bergvik skog väst AB</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9593-2022</t>
        </is>
      </c>
      <c r="B1504" s="1" t="n">
        <v>44617</v>
      </c>
      <c r="C1504" s="1" t="n">
        <v>46086</v>
      </c>
      <c r="D1504" t="inlineStr">
        <is>
          <t>GÄVLEBORGS LÄN</t>
        </is>
      </c>
      <c r="E1504" t="inlineStr">
        <is>
          <t>OVANÅKER</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20926-2022</t>
        </is>
      </c>
      <c r="B1505" s="1" t="n">
        <v>44701</v>
      </c>
      <c r="C1505" s="1" t="n">
        <v>46086</v>
      </c>
      <c r="D1505" t="inlineStr">
        <is>
          <t>GÄVLEBORGS LÄN</t>
        </is>
      </c>
      <c r="E1505" t="inlineStr">
        <is>
          <t>OVANÅKER</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25087-2022</t>
        </is>
      </c>
      <c r="B1506" s="1" t="n">
        <v>44729</v>
      </c>
      <c r="C1506" s="1" t="n">
        <v>46086</v>
      </c>
      <c r="D1506" t="inlineStr">
        <is>
          <t>GÄVLEBORGS LÄN</t>
        </is>
      </c>
      <c r="E1506" t="inlineStr">
        <is>
          <t>OVANÅKER</t>
        </is>
      </c>
      <c r="F1506" t="inlineStr">
        <is>
          <t>Bergvik skog väst AB</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51249-2021</t>
        </is>
      </c>
      <c r="B1507" s="1" t="n">
        <v>44461</v>
      </c>
      <c r="C1507" s="1" t="n">
        <v>46086</v>
      </c>
      <c r="D1507" t="inlineStr">
        <is>
          <t>GÄVLEBORGS LÄN</t>
        </is>
      </c>
      <c r="E1507" t="inlineStr">
        <is>
          <t>GÄVLE</t>
        </is>
      </c>
      <c r="F1507" t="inlineStr">
        <is>
          <t>Bergvik skog öst AB</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46064-2022</t>
        </is>
      </c>
      <c r="B1508" s="1" t="n">
        <v>44847</v>
      </c>
      <c r="C1508" s="1" t="n">
        <v>46086</v>
      </c>
      <c r="D1508" t="inlineStr">
        <is>
          <t>GÄVLEBORGS LÄN</t>
        </is>
      </c>
      <c r="E1508" t="inlineStr">
        <is>
          <t>HUDIKSVALL</t>
        </is>
      </c>
      <c r="F1508" t="inlineStr">
        <is>
          <t>Naturvårdsverket</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6947-2022</t>
        </is>
      </c>
      <c r="B1509" s="1" t="n">
        <v>44603</v>
      </c>
      <c r="C1509" s="1" t="n">
        <v>46086</v>
      </c>
      <c r="D1509" t="inlineStr">
        <is>
          <t>GÄVLEBORGS LÄN</t>
        </is>
      </c>
      <c r="E1509" t="inlineStr">
        <is>
          <t>SANDVIKEN</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3632-2022</t>
        </is>
      </c>
      <c r="B1510" s="1" t="n">
        <v>44586</v>
      </c>
      <c r="C1510" s="1" t="n">
        <v>46086</v>
      </c>
      <c r="D1510" t="inlineStr">
        <is>
          <t>GÄVLEBORGS LÄN</t>
        </is>
      </c>
      <c r="E1510" t="inlineStr">
        <is>
          <t>NORDANSTIG</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46823-2022</t>
        </is>
      </c>
      <c r="B1511" s="1" t="n">
        <v>44851.56997685185</v>
      </c>
      <c r="C1511" s="1" t="n">
        <v>46086</v>
      </c>
      <c r="D1511" t="inlineStr">
        <is>
          <t>GÄVLEBORGS LÄN</t>
        </is>
      </c>
      <c r="E1511" t="inlineStr">
        <is>
          <t>OVANÅKER</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13809-2022</t>
        </is>
      </c>
      <c r="B1512" s="1" t="n">
        <v>44649</v>
      </c>
      <c r="C1512" s="1" t="n">
        <v>46086</v>
      </c>
      <c r="D1512" t="inlineStr">
        <is>
          <t>GÄVLEBORGS LÄN</t>
        </is>
      </c>
      <c r="E1512" t="inlineStr">
        <is>
          <t>HUDIKSVALL</t>
        </is>
      </c>
      <c r="G1512" t="n">
        <v>9</v>
      </c>
      <c r="H1512" t="n">
        <v>0</v>
      </c>
      <c r="I1512" t="n">
        <v>0</v>
      </c>
      <c r="J1512" t="n">
        <v>0</v>
      </c>
      <c r="K1512" t="n">
        <v>0</v>
      </c>
      <c r="L1512" t="n">
        <v>0</v>
      </c>
      <c r="M1512" t="n">
        <v>0</v>
      </c>
      <c r="N1512" t="n">
        <v>0</v>
      </c>
      <c r="O1512" t="n">
        <v>0</v>
      </c>
      <c r="P1512" t="n">
        <v>0</v>
      </c>
      <c r="Q1512" t="n">
        <v>0</v>
      </c>
      <c r="R1512" s="2" t="inlineStr"/>
    </row>
    <row r="1513" ht="15" customHeight="1">
      <c r="A1513" t="inlineStr">
        <is>
          <t>A 33175-2022</t>
        </is>
      </c>
      <c r="B1513" s="1" t="n">
        <v>44785.60788194444</v>
      </c>
      <c r="C1513" s="1" t="n">
        <v>46086</v>
      </c>
      <c r="D1513" t="inlineStr">
        <is>
          <t>GÄVLEBORGS LÄN</t>
        </is>
      </c>
      <c r="E1513" t="inlineStr">
        <is>
          <t>GÄVLE</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51543-2021</t>
        </is>
      </c>
      <c r="B1514" s="1" t="n">
        <v>44461</v>
      </c>
      <c r="C1514" s="1" t="n">
        <v>46086</v>
      </c>
      <c r="D1514" t="inlineStr">
        <is>
          <t>GÄVLEBORGS LÄN</t>
        </is>
      </c>
      <c r="E1514" t="inlineStr">
        <is>
          <t>NORDANSTIG</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51565-2021</t>
        </is>
      </c>
      <c r="B1515" s="1" t="n">
        <v>44460</v>
      </c>
      <c r="C1515" s="1" t="n">
        <v>46086</v>
      </c>
      <c r="D1515" t="inlineStr">
        <is>
          <t>GÄVLEBORGS LÄN</t>
        </is>
      </c>
      <c r="E1515" t="inlineStr">
        <is>
          <t>OCKELBO</t>
        </is>
      </c>
      <c r="G1515" t="n">
        <v>8.800000000000001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35735-2022</t>
        </is>
      </c>
      <c r="B1516" s="1" t="n">
        <v>44799</v>
      </c>
      <c r="C1516" s="1" t="n">
        <v>46086</v>
      </c>
      <c r="D1516" t="inlineStr">
        <is>
          <t>GÄVLEBORGS LÄN</t>
        </is>
      </c>
      <c r="E1516" t="inlineStr">
        <is>
          <t>BOLLNÄS</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58112-2021</t>
        </is>
      </c>
      <c r="B1517" s="1" t="n">
        <v>44487.53695601852</v>
      </c>
      <c r="C1517" s="1" t="n">
        <v>46086</v>
      </c>
      <c r="D1517" t="inlineStr">
        <is>
          <t>GÄVLEBORGS LÄN</t>
        </is>
      </c>
      <c r="E1517" t="inlineStr">
        <is>
          <t>BOLLNÄS</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17557-2021</t>
        </is>
      </c>
      <c r="B1518" s="1" t="n">
        <v>44299</v>
      </c>
      <c r="C1518" s="1" t="n">
        <v>46086</v>
      </c>
      <c r="D1518" t="inlineStr">
        <is>
          <t>GÄVLEBORGS LÄN</t>
        </is>
      </c>
      <c r="E1518" t="inlineStr">
        <is>
          <t>BOLLNÄS</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18306-2022</t>
        </is>
      </c>
      <c r="B1519" s="1" t="n">
        <v>44685</v>
      </c>
      <c r="C1519" s="1" t="n">
        <v>46086</v>
      </c>
      <c r="D1519" t="inlineStr">
        <is>
          <t>GÄVLEBORGS LÄN</t>
        </is>
      </c>
      <c r="E1519" t="inlineStr">
        <is>
          <t>NORDANSTIG</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54080-2021</t>
        </is>
      </c>
      <c r="B1520" s="1" t="n">
        <v>44470.4640625</v>
      </c>
      <c r="C1520" s="1" t="n">
        <v>46086</v>
      </c>
      <c r="D1520" t="inlineStr">
        <is>
          <t>GÄVLEBORGS LÄN</t>
        </is>
      </c>
      <c r="E1520" t="inlineStr">
        <is>
          <t>OVANÅKER</t>
        </is>
      </c>
      <c r="F1520" t="inlineStr">
        <is>
          <t>Sveaskog</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25002-2022</t>
        </is>
      </c>
      <c r="B1521" s="1" t="n">
        <v>44728</v>
      </c>
      <c r="C1521" s="1" t="n">
        <v>46086</v>
      </c>
      <c r="D1521" t="inlineStr">
        <is>
          <t>GÄVLEBORGS LÄN</t>
        </is>
      </c>
      <c r="E1521" t="inlineStr">
        <is>
          <t>NORDANSTIG</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50762-2021</t>
        </is>
      </c>
      <c r="B1522" s="1" t="n">
        <v>44460.42206018518</v>
      </c>
      <c r="C1522" s="1" t="n">
        <v>46086</v>
      </c>
      <c r="D1522" t="inlineStr">
        <is>
          <t>GÄVLEBORGS LÄN</t>
        </is>
      </c>
      <c r="E1522" t="inlineStr">
        <is>
          <t>OCKELBO</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33109-2022</t>
        </is>
      </c>
      <c r="B1523" s="1" t="n">
        <v>44785.50188657407</v>
      </c>
      <c r="C1523" s="1" t="n">
        <v>46086</v>
      </c>
      <c r="D1523" t="inlineStr">
        <is>
          <t>GÄVLEBORGS LÄN</t>
        </is>
      </c>
      <c r="E1523" t="inlineStr">
        <is>
          <t>NORDANSTIG</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72464-2021</t>
        </is>
      </c>
      <c r="B1524" s="1" t="n">
        <v>44545.73892361111</v>
      </c>
      <c r="C1524" s="1" t="n">
        <v>46086</v>
      </c>
      <c r="D1524" t="inlineStr">
        <is>
          <t>GÄVLEBORGS LÄN</t>
        </is>
      </c>
      <c r="E1524" t="inlineStr">
        <is>
          <t>LJUSDAL</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60626-2021</t>
        </is>
      </c>
      <c r="B1525" s="1" t="n">
        <v>44496</v>
      </c>
      <c r="C1525" s="1" t="n">
        <v>46086</v>
      </c>
      <c r="D1525" t="inlineStr">
        <is>
          <t>GÄVLEBORGS LÄN</t>
        </is>
      </c>
      <c r="E1525" t="inlineStr">
        <is>
          <t>HUDIKSVALL</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69127-2021</t>
        </is>
      </c>
      <c r="B1526" s="1" t="n">
        <v>44530.92103009259</v>
      </c>
      <c r="C1526" s="1" t="n">
        <v>46086</v>
      </c>
      <c r="D1526" t="inlineStr">
        <is>
          <t>GÄVLEBORGS LÄN</t>
        </is>
      </c>
      <c r="E1526" t="inlineStr">
        <is>
          <t>NORDANSTIG</t>
        </is>
      </c>
      <c r="G1526" t="n">
        <v>7.8</v>
      </c>
      <c r="H1526" t="n">
        <v>0</v>
      </c>
      <c r="I1526" t="n">
        <v>0</v>
      </c>
      <c r="J1526" t="n">
        <v>0</v>
      </c>
      <c r="K1526" t="n">
        <v>0</v>
      </c>
      <c r="L1526" t="n">
        <v>0</v>
      </c>
      <c r="M1526" t="n">
        <v>0</v>
      </c>
      <c r="N1526" t="n">
        <v>0</v>
      </c>
      <c r="O1526" t="n">
        <v>0</v>
      </c>
      <c r="P1526" t="n">
        <v>0</v>
      </c>
      <c r="Q1526" t="n">
        <v>0</v>
      </c>
      <c r="R1526" s="2" t="inlineStr"/>
    </row>
    <row r="1527" ht="15" customHeight="1">
      <c r="A1527" t="inlineStr">
        <is>
          <t>A 57658-2021</t>
        </is>
      </c>
      <c r="B1527" s="1" t="n">
        <v>44484</v>
      </c>
      <c r="C1527" s="1" t="n">
        <v>46086</v>
      </c>
      <c r="D1527" t="inlineStr">
        <is>
          <t>GÄVLEBORGS LÄN</t>
        </is>
      </c>
      <c r="E1527" t="inlineStr">
        <is>
          <t>HUDIKSVALL</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22027-2022</t>
        </is>
      </c>
      <c r="B1528" s="1" t="n">
        <v>44711.6125462963</v>
      </c>
      <c r="C1528" s="1" t="n">
        <v>46086</v>
      </c>
      <c r="D1528" t="inlineStr">
        <is>
          <t>GÄVLEBORGS LÄN</t>
        </is>
      </c>
      <c r="E1528" t="inlineStr">
        <is>
          <t>NORDANSTIG</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62450-2021</t>
        </is>
      </c>
      <c r="B1529" s="1" t="n">
        <v>44503</v>
      </c>
      <c r="C1529" s="1" t="n">
        <v>46086</v>
      </c>
      <c r="D1529" t="inlineStr">
        <is>
          <t>GÄVLEBORGS LÄN</t>
        </is>
      </c>
      <c r="E1529" t="inlineStr">
        <is>
          <t>NORDANSTIG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69001-2021</t>
        </is>
      </c>
      <c r="B1530" s="1" t="n">
        <v>44530</v>
      </c>
      <c r="C1530" s="1" t="n">
        <v>46086</v>
      </c>
      <c r="D1530" t="inlineStr">
        <is>
          <t>GÄVLEBORGS LÄN</t>
        </is>
      </c>
      <c r="E1530" t="inlineStr">
        <is>
          <t>OVANÅKER</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40593-2022</t>
        </is>
      </c>
      <c r="B1531" s="1" t="n">
        <v>44823.83914351852</v>
      </c>
      <c r="C1531" s="1" t="n">
        <v>46086</v>
      </c>
      <c r="D1531" t="inlineStr">
        <is>
          <t>GÄVLEBORGS LÄN</t>
        </is>
      </c>
      <c r="E1531" t="inlineStr">
        <is>
          <t>HUDIKSVALL</t>
        </is>
      </c>
      <c r="F1531" t="inlineStr">
        <is>
          <t>Holmen skog AB</t>
        </is>
      </c>
      <c r="G1531" t="n">
        <v>15.3</v>
      </c>
      <c r="H1531" t="n">
        <v>0</v>
      </c>
      <c r="I1531" t="n">
        <v>0</v>
      </c>
      <c r="J1531" t="n">
        <v>0</v>
      </c>
      <c r="K1531" t="n">
        <v>0</v>
      </c>
      <c r="L1531" t="n">
        <v>0</v>
      </c>
      <c r="M1531" t="n">
        <v>0</v>
      </c>
      <c r="N1531" t="n">
        <v>0</v>
      </c>
      <c r="O1531" t="n">
        <v>0</v>
      </c>
      <c r="P1531" t="n">
        <v>0</v>
      </c>
      <c r="Q1531" t="n">
        <v>0</v>
      </c>
      <c r="R1531" s="2" t="inlineStr"/>
    </row>
    <row r="1532" ht="15" customHeight="1">
      <c r="A1532" t="inlineStr">
        <is>
          <t>A 575-2022</t>
        </is>
      </c>
      <c r="B1532" s="1" t="n">
        <v>44566.92070601852</v>
      </c>
      <c r="C1532" s="1" t="n">
        <v>46086</v>
      </c>
      <c r="D1532" t="inlineStr">
        <is>
          <t>GÄVLEBORGS LÄN</t>
        </is>
      </c>
      <c r="E1532" t="inlineStr">
        <is>
          <t>NORDANSTIG</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39228-2022</t>
        </is>
      </c>
      <c r="B1533" s="1" t="n">
        <v>44817.58592592592</v>
      </c>
      <c r="C1533" s="1" t="n">
        <v>46086</v>
      </c>
      <c r="D1533" t="inlineStr">
        <is>
          <t>GÄVLEBORGS LÄN</t>
        </is>
      </c>
      <c r="E1533" t="inlineStr">
        <is>
          <t>LJUSDAL</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39258-2022</t>
        </is>
      </c>
      <c r="B1534" s="1" t="n">
        <v>44817.62399305555</v>
      </c>
      <c r="C1534" s="1" t="n">
        <v>46086</v>
      </c>
      <c r="D1534" t="inlineStr">
        <is>
          <t>GÄVLEBORGS LÄN</t>
        </is>
      </c>
      <c r="E1534" t="inlineStr">
        <is>
          <t>HUDIKSVALL</t>
        </is>
      </c>
      <c r="F1534" t="inlineStr">
        <is>
          <t>Holmen skog AB</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35251-2021</t>
        </is>
      </c>
      <c r="B1535" s="1" t="n">
        <v>44384</v>
      </c>
      <c r="C1535" s="1" t="n">
        <v>46086</v>
      </c>
      <c r="D1535" t="inlineStr">
        <is>
          <t>GÄVLEBORGS LÄN</t>
        </is>
      </c>
      <c r="E1535" t="inlineStr">
        <is>
          <t>SÖDERHAMN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13995-2022</t>
        </is>
      </c>
      <c r="B1536" s="1" t="n">
        <v>44650</v>
      </c>
      <c r="C1536" s="1" t="n">
        <v>46086</v>
      </c>
      <c r="D1536" t="inlineStr">
        <is>
          <t>GÄVLEBORGS LÄN</t>
        </is>
      </c>
      <c r="E1536" t="inlineStr">
        <is>
          <t>OVANÅKER</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62505-2021</t>
        </is>
      </c>
      <c r="B1537" s="1" t="n">
        <v>44503.58114583333</v>
      </c>
      <c r="C1537" s="1" t="n">
        <v>46086</v>
      </c>
      <c r="D1537" t="inlineStr">
        <is>
          <t>GÄVLEBORGS LÄN</t>
        </is>
      </c>
      <c r="E1537" t="inlineStr">
        <is>
          <t>LJUSDAL</t>
        </is>
      </c>
      <c r="F1537" t="inlineStr">
        <is>
          <t>Holmen skog AB</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21547-2021</t>
        </is>
      </c>
      <c r="B1538" s="1" t="n">
        <v>44321.61015046296</v>
      </c>
      <c r="C1538" s="1" t="n">
        <v>46086</v>
      </c>
      <c r="D1538" t="inlineStr">
        <is>
          <t>GÄVLEBORGS LÄN</t>
        </is>
      </c>
      <c r="E1538" t="inlineStr">
        <is>
          <t>BOLLNÄS</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13402-2022</t>
        </is>
      </c>
      <c r="B1539" s="1" t="n">
        <v>44645.52859953704</v>
      </c>
      <c r="C1539" s="1" t="n">
        <v>46086</v>
      </c>
      <c r="D1539" t="inlineStr">
        <is>
          <t>GÄVLEBORGS LÄN</t>
        </is>
      </c>
      <c r="E1539" t="inlineStr">
        <is>
          <t>BOLLNÄS</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17342-2022</t>
        </is>
      </c>
      <c r="B1540" s="1" t="n">
        <v>44678.54438657407</v>
      </c>
      <c r="C1540" s="1" t="n">
        <v>46086</v>
      </c>
      <c r="D1540" t="inlineStr">
        <is>
          <t>GÄVLEBORGS LÄN</t>
        </is>
      </c>
      <c r="E1540" t="inlineStr">
        <is>
          <t>HUDIKSVALL</t>
        </is>
      </c>
      <c r="F1540" t="inlineStr">
        <is>
          <t>Holmen skog AB</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32837-2021</t>
        </is>
      </c>
      <c r="B1541" s="1" t="n">
        <v>44375.6319212963</v>
      </c>
      <c r="C1541" s="1" t="n">
        <v>46086</v>
      </c>
      <c r="D1541" t="inlineStr">
        <is>
          <t>GÄVLEBORGS LÄN</t>
        </is>
      </c>
      <c r="E1541" t="inlineStr">
        <is>
          <t>BOLLNÄS</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30589-2022</t>
        </is>
      </c>
      <c r="B1542" s="1" t="n">
        <v>44762.68552083334</v>
      </c>
      <c r="C1542" s="1" t="n">
        <v>46086</v>
      </c>
      <c r="D1542" t="inlineStr">
        <is>
          <t>GÄVLEBORGS LÄN</t>
        </is>
      </c>
      <c r="E1542" t="inlineStr">
        <is>
          <t>HUDIKSVALL</t>
        </is>
      </c>
      <c r="F1542" t="inlineStr">
        <is>
          <t>Sveaskog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25938-2022</t>
        </is>
      </c>
      <c r="B1543" s="1" t="n">
        <v>44734.39373842593</v>
      </c>
      <c r="C1543" s="1" t="n">
        <v>46086</v>
      </c>
      <c r="D1543" t="inlineStr">
        <is>
          <t>GÄVLEBORGS LÄN</t>
        </is>
      </c>
      <c r="E1543" t="inlineStr">
        <is>
          <t>GÄVLE</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21610-2021</t>
        </is>
      </c>
      <c r="B1544" s="1" t="n">
        <v>44321</v>
      </c>
      <c r="C1544" s="1" t="n">
        <v>46086</v>
      </c>
      <c r="D1544" t="inlineStr">
        <is>
          <t>GÄVLEBORGS LÄN</t>
        </is>
      </c>
      <c r="E1544" t="inlineStr">
        <is>
          <t>SANDVIKEN</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25100-2022</t>
        </is>
      </c>
      <c r="B1545" s="1" t="n">
        <v>44729.44290509259</v>
      </c>
      <c r="C1545" s="1" t="n">
        <v>46086</v>
      </c>
      <c r="D1545" t="inlineStr">
        <is>
          <t>GÄVLEBORGS LÄN</t>
        </is>
      </c>
      <c r="E1545" t="inlineStr">
        <is>
          <t>BOLLNÄS</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21438-2022</t>
        </is>
      </c>
      <c r="B1546" s="1" t="n">
        <v>44706.34857638889</v>
      </c>
      <c r="C1546" s="1" t="n">
        <v>46086</v>
      </c>
      <c r="D1546" t="inlineStr">
        <is>
          <t>GÄVLEBORGS LÄN</t>
        </is>
      </c>
      <c r="E1546" t="inlineStr">
        <is>
          <t>BOLLNÄS</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22126-2022</t>
        </is>
      </c>
      <c r="B1547" s="1" t="n">
        <v>44712</v>
      </c>
      <c r="C1547" s="1" t="n">
        <v>46086</v>
      </c>
      <c r="D1547" t="inlineStr">
        <is>
          <t>GÄVLEBORGS LÄN</t>
        </is>
      </c>
      <c r="E1547" t="inlineStr">
        <is>
          <t>BOLLNÄS</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18477-2022</t>
        </is>
      </c>
      <c r="B1548" s="1" t="n">
        <v>44686.56325231482</v>
      </c>
      <c r="C1548" s="1" t="n">
        <v>46086</v>
      </c>
      <c r="D1548" t="inlineStr">
        <is>
          <t>GÄVLEBORGS LÄN</t>
        </is>
      </c>
      <c r="E1548" t="inlineStr">
        <is>
          <t>BOLLNÄS</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22587-2021</t>
        </is>
      </c>
      <c r="B1549" s="1" t="n">
        <v>44327.40118055556</v>
      </c>
      <c r="C1549" s="1" t="n">
        <v>46086</v>
      </c>
      <c r="D1549" t="inlineStr">
        <is>
          <t>GÄVLEBORGS LÄN</t>
        </is>
      </c>
      <c r="E1549" t="inlineStr">
        <is>
          <t>OCKELBO</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14470-2021</t>
        </is>
      </c>
      <c r="B1550" s="1" t="n">
        <v>44279</v>
      </c>
      <c r="C1550" s="1" t="n">
        <v>46086</v>
      </c>
      <c r="D1550" t="inlineStr">
        <is>
          <t>GÄVLEBORGS LÄN</t>
        </is>
      </c>
      <c r="E1550" t="inlineStr">
        <is>
          <t>BOLLNÄS</t>
        </is>
      </c>
      <c r="F1550" t="inlineStr">
        <is>
          <t>Kommuner</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56635-2021</t>
        </is>
      </c>
      <c r="B1551" s="1" t="n">
        <v>44480</v>
      </c>
      <c r="C1551" s="1" t="n">
        <v>46086</v>
      </c>
      <c r="D1551" t="inlineStr">
        <is>
          <t>GÄVLEBORGS LÄN</t>
        </is>
      </c>
      <c r="E1551" t="inlineStr">
        <is>
          <t>OCKELBO</t>
        </is>
      </c>
      <c r="G1551" t="n">
        <v>10.8</v>
      </c>
      <c r="H1551" t="n">
        <v>0</v>
      </c>
      <c r="I1551" t="n">
        <v>0</v>
      </c>
      <c r="J1551" t="n">
        <v>0</v>
      </c>
      <c r="K1551" t="n">
        <v>0</v>
      </c>
      <c r="L1551" t="n">
        <v>0</v>
      </c>
      <c r="M1551" t="n">
        <v>0</v>
      </c>
      <c r="N1551" t="n">
        <v>0</v>
      </c>
      <c r="O1551" t="n">
        <v>0</v>
      </c>
      <c r="P1551" t="n">
        <v>0</v>
      </c>
      <c r="Q1551" t="n">
        <v>0</v>
      </c>
      <c r="R1551" s="2" t="inlineStr"/>
    </row>
    <row r="1552" ht="15" customHeight="1">
      <c r="A1552" t="inlineStr">
        <is>
          <t>A 40009-2021</t>
        </is>
      </c>
      <c r="B1552" s="1" t="n">
        <v>44418</v>
      </c>
      <c r="C1552" s="1" t="n">
        <v>46086</v>
      </c>
      <c r="D1552" t="inlineStr">
        <is>
          <t>GÄVLEBORGS LÄN</t>
        </is>
      </c>
      <c r="E1552" t="inlineStr">
        <is>
          <t>LJUSDAL</t>
        </is>
      </c>
      <c r="F1552" t="inlineStr">
        <is>
          <t>Sveaskog</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30374-2022</t>
        </is>
      </c>
      <c r="B1553" s="1" t="n">
        <v>44760.65425925926</v>
      </c>
      <c r="C1553" s="1" t="n">
        <v>46086</v>
      </c>
      <c r="D1553" t="inlineStr">
        <is>
          <t>GÄVLEBORGS LÄN</t>
        </is>
      </c>
      <c r="E1553" t="inlineStr">
        <is>
          <t>OVANÅKER</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31930-2021</t>
        </is>
      </c>
      <c r="B1554" s="1" t="n">
        <v>44370.49515046296</v>
      </c>
      <c r="C1554" s="1" t="n">
        <v>46086</v>
      </c>
      <c r="D1554" t="inlineStr">
        <is>
          <t>GÄVLEBORGS LÄN</t>
        </is>
      </c>
      <c r="E1554" t="inlineStr">
        <is>
          <t>NORDANSTIG</t>
        </is>
      </c>
      <c r="G1554" t="n">
        <v>9.4</v>
      </c>
      <c r="H1554" t="n">
        <v>0</v>
      </c>
      <c r="I1554" t="n">
        <v>0</v>
      </c>
      <c r="J1554" t="n">
        <v>0</v>
      </c>
      <c r="K1554" t="n">
        <v>0</v>
      </c>
      <c r="L1554" t="n">
        <v>0</v>
      </c>
      <c r="M1554" t="n">
        <v>0</v>
      </c>
      <c r="N1554" t="n">
        <v>0</v>
      </c>
      <c r="O1554" t="n">
        <v>0</v>
      </c>
      <c r="P1554" t="n">
        <v>0</v>
      </c>
      <c r="Q1554" t="n">
        <v>0</v>
      </c>
      <c r="R1554" s="2" t="inlineStr"/>
    </row>
    <row r="1555" ht="15" customHeight="1">
      <c r="A1555" t="inlineStr">
        <is>
          <t>A 22416-2021</t>
        </is>
      </c>
      <c r="B1555" s="1" t="n">
        <v>44326.62326388889</v>
      </c>
      <c r="C1555" s="1" t="n">
        <v>46086</v>
      </c>
      <c r="D1555" t="inlineStr">
        <is>
          <t>GÄVLEBORGS LÄN</t>
        </is>
      </c>
      <c r="E1555" t="inlineStr">
        <is>
          <t>OVANÅKER</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26499-2021</t>
        </is>
      </c>
      <c r="B1556" s="1" t="n">
        <v>44348.44310185185</v>
      </c>
      <c r="C1556" s="1" t="n">
        <v>46086</v>
      </c>
      <c r="D1556" t="inlineStr">
        <is>
          <t>GÄVLEBORGS LÄN</t>
        </is>
      </c>
      <c r="E1556" t="inlineStr">
        <is>
          <t>OCKELBO</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36680-2021</t>
        </is>
      </c>
      <c r="B1557" s="1" t="n">
        <v>44392</v>
      </c>
      <c r="C1557" s="1" t="n">
        <v>46086</v>
      </c>
      <c r="D1557" t="inlineStr">
        <is>
          <t>GÄVLEBORGS LÄN</t>
        </is>
      </c>
      <c r="E1557" t="inlineStr">
        <is>
          <t>SÖDERHAMN</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18394-2021</t>
        </is>
      </c>
      <c r="B1558" s="1" t="n">
        <v>44305.62493055555</v>
      </c>
      <c r="C1558" s="1" t="n">
        <v>46086</v>
      </c>
      <c r="D1558" t="inlineStr">
        <is>
          <t>GÄVLEBORGS LÄN</t>
        </is>
      </c>
      <c r="E1558" t="inlineStr">
        <is>
          <t>NORDANSTIG</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19264-2021</t>
        </is>
      </c>
      <c r="B1559" s="1" t="n">
        <v>44309</v>
      </c>
      <c r="C1559" s="1" t="n">
        <v>46086</v>
      </c>
      <c r="D1559" t="inlineStr">
        <is>
          <t>GÄVLEBORGS LÄN</t>
        </is>
      </c>
      <c r="E1559" t="inlineStr">
        <is>
          <t>NORDANSTIG</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21189-2022</t>
        </is>
      </c>
      <c r="B1560" s="1" t="n">
        <v>44704.92618055556</v>
      </c>
      <c r="C1560" s="1" t="n">
        <v>46086</v>
      </c>
      <c r="D1560" t="inlineStr">
        <is>
          <t>GÄVLEBORGS LÄN</t>
        </is>
      </c>
      <c r="E1560" t="inlineStr">
        <is>
          <t>NORDANSTIG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19180-2021</t>
        </is>
      </c>
      <c r="B1561" s="1" t="n">
        <v>44308.72342592593</v>
      </c>
      <c r="C1561" s="1" t="n">
        <v>46086</v>
      </c>
      <c r="D1561" t="inlineStr">
        <is>
          <t>GÄVLEBORGS LÄN</t>
        </is>
      </c>
      <c r="E1561" t="inlineStr">
        <is>
          <t>GÄVLE</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55209-2021</t>
        </is>
      </c>
      <c r="B1562" s="1" t="n">
        <v>44475.37101851852</v>
      </c>
      <c r="C1562" s="1" t="n">
        <v>46086</v>
      </c>
      <c r="D1562" t="inlineStr">
        <is>
          <t>GÄVLEBORGS LÄN</t>
        </is>
      </c>
      <c r="E1562" t="inlineStr">
        <is>
          <t>LJUSDAL</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41529-2021</t>
        </is>
      </c>
      <c r="B1563" s="1" t="n">
        <v>44425.33693287037</v>
      </c>
      <c r="C1563" s="1" t="n">
        <v>46086</v>
      </c>
      <c r="D1563" t="inlineStr">
        <is>
          <t>GÄVLEBORGS LÄN</t>
        </is>
      </c>
      <c r="E1563" t="inlineStr">
        <is>
          <t>OVANÅKER</t>
        </is>
      </c>
      <c r="F1563" t="inlineStr">
        <is>
          <t>Bergvik skog väst AB</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42287-2021</t>
        </is>
      </c>
      <c r="B1564" s="1" t="n">
        <v>44427.35351851852</v>
      </c>
      <c r="C1564" s="1" t="n">
        <v>46086</v>
      </c>
      <c r="D1564" t="inlineStr">
        <is>
          <t>GÄVLEBORGS LÄN</t>
        </is>
      </c>
      <c r="E1564" t="inlineStr">
        <is>
          <t>SANDVIKEN</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80-2022</t>
        </is>
      </c>
      <c r="B1565" s="1" t="n">
        <v>44564.47640046296</v>
      </c>
      <c r="C1565" s="1" t="n">
        <v>46086</v>
      </c>
      <c r="D1565" t="inlineStr">
        <is>
          <t>GÄVLEBORGS LÄN</t>
        </is>
      </c>
      <c r="E1565" t="inlineStr">
        <is>
          <t>OVANÅKER</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51645-2022</t>
        </is>
      </c>
      <c r="B1566" s="1" t="n">
        <v>44872.38538194444</v>
      </c>
      <c r="C1566" s="1" t="n">
        <v>46086</v>
      </c>
      <c r="D1566" t="inlineStr">
        <is>
          <t>GÄVLEBORGS LÄN</t>
        </is>
      </c>
      <c r="E1566" t="inlineStr">
        <is>
          <t>BOLLNÄS</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53618-2022</t>
        </is>
      </c>
      <c r="B1567" s="1" t="n">
        <v>44879</v>
      </c>
      <c r="C1567" s="1" t="n">
        <v>46086</v>
      </c>
      <c r="D1567" t="inlineStr">
        <is>
          <t>GÄVLEBORGS LÄN</t>
        </is>
      </c>
      <c r="E1567" t="inlineStr">
        <is>
          <t>BOLLNÄS</t>
        </is>
      </c>
      <c r="F1567" t="inlineStr">
        <is>
          <t>Bergvik skog väst AB</t>
        </is>
      </c>
      <c r="G1567" t="n">
        <v>7.1</v>
      </c>
      <c r="H1567" t="n">
        <v>0</v>
      </c>
      <c r="I1567" t="n">
        <v>0</v>
      </c>
      <c r="J1567" t="n">
        <v>0</v>
      </c>
      <c r="K1567" t="n">
        <v>0</v>
      </c>
      <c r="L1567" t="n">
        <v>0</v>
      </c>
      <c r="M1567" t="n">
        <v>0</v>
      </c>
      <c r="N1567" t="n">
        <v>0</v>
      </c>
      <c r="O1567" t="n">
        <v>0</v>
      </c>
      <c r="P1567" t="n">
        <v>0</v>
      </c>
      <c r="Q1567" t="n">
        <v>0</v>
      </c>
      <c r="R1567" s="2" t="inlineStr"/>
    </row>
    <row r="1568" ht="15" customHeight="1">
      <c r="A1568" t="inlineStr">
        <is>
          <t>A 50697-2021</t>
        </is>
      </c>
      <c r="B1568" s="1" t="n">
        <v>44460</v>
      </c>
      <c r="C1568" s="1" t="n">
        <v>46086</v>
      </c>
      <c r="D1568" t="inlineStr">
        <is>
          <t>GÄVLEBORGS LÄN</t>
        </is>
      </c>
      <c r="E1568" t="inlineStr">
        <is>
          <t>LJUSDAL</t>
        </is>
      </c>
      <c r="F1568" t="inlineStr">
        <is>
          <t>Holmen skog AB</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39170-2022</t>
        </is>
      </c>
      <c r="B1569" s="1" t="n">
        <v>44817.4978125</v>
      </c>
      <c r="C1569" s="1" t="n">
        <v>46086</v>
      </c>
      <c r="D1569" t="inlineStr">
        <is>
          <t>GÄVLEBORGS LÄN</t>
        </is>
      </c>
      <c r="E1569" t="inlineStr">
        <is>
          <t>SANDVIKEN</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28527-2022</t>
        </is>
      </c>
      <c r="B1570" s="1" t="n">
        <v>44748</v>
      </c>
      <c r="C1570" s="1" t="n">
        <v>46086</v>
      </c>
      <c r="D1570" t="inlineStr">
        <is>
          <t>GÄVLEBORGS LÄN</t>
        </is>
      </c>
      <c r="E1570" t="inlineStr">
        <is>
          <t>LJUSDAL</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21688-2021</t>
        </is>
      </c>
      <c r="B1571" s="1" t="n">
        <v>44322</v>
      </c>
      <c r="C1571" s="1" t="n">
        <v>46086</v>
      </c>
      <c r="D1571" t="inlineStr">
        <is>
          <t>GÄVLEBORGS LÄN</t>
        </is>
      </c>
      <c r="E1571" t="inlineStr">
        <is>
          <t>HUDIKSVALL</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59611-2021</t>
        </is>
      </c>
      <c r="B1572" s="1" t="n">
        <v>44491.69429398148</v>
      </c>
      <c r="C1572" s="1" t="n">
        <v>46086</v>
      </c>
      <c r="D1572" t="inlineStr">
        <is>
          <t>GÄVLEBORGS LÄN</t>
        </is>
      </c>
      <c r="E1572" t="inlineStr">
        <is>
          <t>SÖDERHAMN</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73672-2021</t>
        </is>
      </c>
      <c r="B1573" s="1" t="n">
        <v>44552</v>
      </c>
      <c r="C1573" s="1" t="n">
        <v>46086</v>
      </c>
      <c r="D1573" t="inlineStr">
        <is>
          <t>GÄVLEBORGS LÄN</t>
        </is>
      </c>
      <c r="E1573" t="inlineStr">
        <is>
          <t>LJUSDAL</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12330-2022</t>
        </is>
      </c>
      <c r="B1574" s="1" t="n">
        <v>44637.62068287037</v>
      </c>
      <c r="C1574" s="1" t="n">
        <v>46086</v>
      </c>
      <c r="D1574" t="inlineStr">
        <is>
          <t>GÄVLEBORGS LÄN</t>
        </is>
      </c>
      <c r="E1574" t="inlineStr">
        <is>
          <t>OVANÅKER</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18167-2022</t>
        </is>
      </c>
      <c r="B1575" s="1" t="n">
        <v>44684</v>
      </c>
      <c r="C1575" s="1" t="n">
        <v>46086</v>
      </c>
      <c r="D1575" t="inlineStr">
        <is>
          <t>GÄVLEBORGS LÄN</t>
        </is>
      </c>
      <c r="E1575" t="inlineStr">
        <is>
          <t>NORDANSTIG</t>
        </is>
      </c>
      <c r="F1575" t="inlineStr">
        <is>
          <t>Holmen skog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18181-2022</t>
        </is>
      </c>
      <c r="B1576" s="1" t="n">
        <v>44684.68034722222</v>
      </c>
      <c r="C1576" s="1" t="n">
        <v>46086</v>
      </c>
      <c r="D1576" t="inlineStr">
        <is>
          <t>GÄVLEBORGS LÄN</t>
        </is>
      </c>
      <c r="E1576" t="inlineStr">
        <is>
          <t>GÄVLE</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28454-2022</t>
        </is>
      </c>
      <c r="B1577" s="1" t="n">
        <v>44747.69561342592</v>
      </c>
      <c r="C1577" s="1" t="n">
        <v>46086</v>
      </c>
      <c r="D1577" t="inlineStr">
        <is>
          <t>GÄVLEBORGS LÄN</t>
        </is>
      </c>
      <c r="E1577" t="inlineStr">
        <is>
          <t>LJUSDAL</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32238-2022</t>
        </is>
      </c>
      <c r="B1578" s="1" t="n">
        <v>44781</v>
      </c>
      <c r="C1578" s="1" t="n">
        <v>46086</v>
      </c>
      <c r="D1578" t="inlineStr">
        <is>
          <t>GÄVLEBORGS LÄN</t>
        </is>
      </c>
      <c r="E1578" t="inlineStr">
        <is>
          <t>LJUSDAL</t>
        </is>
      </c>
      <c r="F1578" t="inlineStr">
        <is>
          <t>Holmen skog AB</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19279-2022</t>
        </is>
      </c>
      <c r="B1579" s="1" t="n">
        <v>44692</v>
      </c>
      <c r="C1579" s="1" t="n">
        <v>46086</v>
      </c>
      <c r="D1579" t="inlineStr">
        <is>
          <t>GÄVLEBORGS LÄN</t>
        </is>
      </c>
      <c r="E1579" t="inlineStr">
        <is>
          <t>NORDANSTIG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19288-2022</t>
        </is>
      </c>
      <c r="B1580" s="1" t="n">
        <v>44692.49936342592</v>
      </c>
      <c r="C1580" s="1" t="n">
        <v>46086</v>
      </c>
      <c r="D1580" t="inlineStr">
        <is>
          <t>GÄVLEBORGS LÄN</t>
        </is>
      </c>
      <c r="E1580" t="inlineStr">
        <is>
          <t>LJUSDAL</t>
        </is>
      </c>
      <c r="F1580" t="inlineStr">
        <is>
          <t>Holmen skog AB</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19292-2022</t>
        </is>
      </c>
      <c r="B1581" s="1" t="n">
        <v>44692</v>
      </c>
      <c r="C1581" s="1" t="n">
        <v>46086</v>
      </c>
      <c r="D1581" t="inlineStr">
        <is>
          <t>GÄVLEBORGS LÄN</t>
        </is>
      </c>
      <c r="E1581" t="inlineStr">
        <is>
          <t>HOFORS</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5614-2022</t>
        </is>
      </c>
      <c r="B1582" s="1" t="n">
        <v>44595</v>
      </c>
      <c r="C1582" s="1" t="n">
        <v>46086</v>
      </c>
      <c r="D1582" t="inlineStr">
        <is>
          <t>GÄVLEBORGS LÄN</t>
        </is>
      </c>
      <c r="E1582" t="inlineStr">
        <is>
          <t>LJUSDAL</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51567-2022</t>
        </is>
      </c>
      <c r="B1583" s="1" t="n">
        <v>44869.96807870371</v>
      </c>
      <c r="C1583" s="1" t="n">
        <v>46086</v>
      </c>
      <c r="D1583" t="inlineStr">
        <is>
          <t>GÄVLEBORGS LÄN</t>
        </is>
      </c>
      <c r="E1583" t="inlineStr">
        <is>
          <t>HUDIKSVALL</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20593-2022</t>
        </is>
      </c>
      <c r="B1584" s="1" t="n">
        <v>44700.44726851852</v>
      </c>
      <c r="C1584" s="1" t="n">
        <v>46086</v>
      </c>
      <c r="D1584" t="inlineStr">
        <is>
          <t>GÄVLEBORGS LÄN</t>
        </is>
      </c>
      <c r="E1584" t="inlineStr">
        <is>
          <t>LJUSDAL</t>
        </is>
      </c>
      <c r="F1584" t="inlineStr">
        <is>
          <t>Holmen skog AB</t>
        </is>
      </c>
      <c r="G1584" t="n">
        <v>6.3</v>
      </c>
      <c r="H1584" t="n">
        <v>0</v>
      </c>
      <c r="I1584" t="n">
        <v>0</v>
      </c>
      <c r="J1584" t="n">
        <v>0</v>
      </c>
      <c r="K1584" t="n">
        <v>0</v>
      </c>
      <c r="L1584" t="n">
        <v>0</v>
      </c>
      <c r="M1584" t="n">
        <v>0</v>
      </c>
      <c r="N1584" t="n">
        <v>0</v>
      </c>
      <c r="O1584" t="n">
        <v>0</v>
      </c>
      <c r="P1584" t="n">
        <v>0</v>
      </c>
      <c r="Q1584" t="n">
        <v>0</v>
      </c>
      <c r="R1584" s="2" t="inlineStr"/>
    </row>
    <row r="1585" ht="15" customHeight="1">
      <c r="A1585" t="inlineStr">
        <is>
          <t>A 34706-2022</t>
        </is>
      </c>
      <c r="B1585" s="1" t="n">
        <v>44795.57741898148</v>
      </c>
      <c r="C1585" s="1" t="n">
        <v>46086</v>
      </c>
      <c r="D1585" t="inlineStr">
        <is>
          <t>GÄVLEBORGS LÄN</t>
        </is>
      </c>
      <c r="E1585" t="inlineStr">
        <is>
          <t>GÄVLE</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51202-2022</t>
        </is>
      </c>
      <c r="B1586" s="1" t="n">
        <v>44868.60868055555</v>
      </c>
      <c r="C1586" s="1" t="n">
        <v>46086</v>
      </c>
      <c r="D1586" t="inlineStr">
        <is>
          <t>GÄVLEBORGS LÄN</t>
        </is>
      </c>
      <c r="E1586" t="inlineStr">
        <is>
          <t>HOFORS</t>
        </is>
      </c>
      <c r="F1586" t="inlineStr">
        <is>
          <t>Sveaskog</t>
        </is>
      </c>
      <c r="G1586" t="n">
        <v>11.3</v>
      </c>
      <c r="H1586" t="n">
        <v>0</v>
      </c>
      <c r="I1586" t="n">
        <v>0</v>
      </c>
      <c r="J1586" t="n">
        <v>0</v>
      </c>
      <c r="K1586" t="n">
        <v>0</v>
      </c>
      <c r="L1586" t="n">
        <v>0</v>
      </c>
      <c r="M1586" t="n">
        <v>0</v>
      </c>
      <c r="N1586" t="n">
        <v>0</v>
      </c>
      <c r="O1586" t="n">
        <v>0</v>
      </c>
      <c r="P1586" t="n">
        <v>0</v>
      </c>
      <c r="Q1586" t="n">
        <v>0</v>
      </c>
      <c r="R1586" s="2" t="inlineStr"/>
    </row>
    <row r="1587" ht="15" customHeight="1">
      <c r="A1587" t="inlineStr">
        <is>
          <t>A 26113-2022</t>
        </is>
      </c>
      <c r="B1587" s="1" t="n">
        <v>44734</v>
      </c>
      <c r="C1587" s="1" t="n">
        <v>46086</v>
      </c>
      <c r="D1587" t="inlineStr">
        <is>
          <t>GÄVLEBORGS LÄN</t>
        </is>
      </c>
      <c r="E1587" t="inlineStr">
        <is>
          <t>NORDANSTIG</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36563-2022</t>
        </is>
      </c>
      <c r="B1588" s="1" t="n">
        <v>44804.59276620371</v>
      </c>
      <c r="C1588" s="1" t="n">
        <v>46086</v>
      </c>
      <c r="D1588" t="inlineStr">
        <is>
          <t>GÄVLEBORGS LÄN</t>
        </is>
      </c>
      <c r="E1588" t="inlineStr">
        <is>
          <t>LJUSDAL</t>
        </is>
      </c>
      <c r="F1588" t="inlineStr">
        <is>
          <t>Holmen skog AB</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59515-2021</t>
        </is>
      </c>
      <c r="B1589" s="1" t="n">
        <v>44491</v>
      </c>
      <c r="C1589" s="1" t="n">
        <v>46086</v>
      </c>
      <c r="D1589" t="inlineStr">
        <is>
          <t>GÄVLEBORGS LÄN</t>
        </is>
      </c>
      <c r="E1589" t="inlineStr">
        <is>
          <t>GÄVLE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64423-2021</t>
        </is>
      </c>
      <c r="B1590" s="1" t="n">
        <v>44511.46030092592</v>
      </c>
      <c r="C1590" s="1" t="n">
        <v>46086</v>
      </c>
      <c r="D1590" t="inlineStr">
        <is>
          <t>GÄVLEBORGS LÄN</t>
        </is>
      </c>
      <c r="E1590" t="inlineStr">
        <is>
          <t>LJUSDAL</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25005-2022</t>
        </is>
      </c>
      <c r="B1591" s="1" t="n">
        <v>44728.92844907408</v>
      </c>
      <c r="C1591" s="1" t="n">
        <v>46086</v>
      </c>
      <c r="D1591" t="inlineStr">
        <is>
          <t>GÄVLEBORGS LÄN</t>
        </is>
      </c>
      <c r="E1591" t="inlineStr">
        <is>
          <t>NORDANSTIG</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16603-2022</t>
        </is>
      </c>
      <c r="B1592" s="1" t="n">
        <v>44672</v>
      </c>
      <c r="C1592" s="1" t="n">
        <v>46086</v>
      </c>
      <c r="D1592" t="inlineStr">
        <is>
          <t>GÄVLEBORGS LÄN</t>
        </is>
      </c>
      <c r="E1592" t="inlineStr">
        <is>
          <t>SANDVIKEN</t>
        </is>
      </c>
      <c r="F1592" t="inlineStr">
        <is>
          <t>Bergvik skog öst AB</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9241-2023</t>
        </is>
      </c>
      <c r="B1593" s="1" t="n">
        <v>44980</v>
      </c>
      <c r="C1593" s="1" t="n">
        <v>46086</v>
      </c>
      <c r="D1593" t="inlineStr">
        <is>
          <t>GÄVLEBORGS LÄN</t>
        </is>
      </c>
      <c r="E1593" t="inlineStr">
        <is>
          <t>LJUSDAL</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41862-2022</t>
        </is>
      </c>
      <c r="B1594" s="1" t="n">
        <v>44829</v>
      </c>
      <c r="C1594" s="1" t="n">
        <v>46086</v>
      </c>
      <c r="D1594" t="inlineStr">
        <is>
          <t>GÄVLEBORGS LÄN</t>
        </is>
      </c>
      <c r="E1594" t="inlineStr">
        <is>
          <t>SANDVIKEN</t>
        </is>
      </c>
      <c r="F1594" t="inlineStr">
        <is>
          <t>Sveaskog</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15312-2022</t>
        </is>
      </c>
      <c r="B1595" s="1" t="n">
        <v>44659.47033564815</v>
      </c>
      <c r="C1595" s="1" t="n">
        <v>46086</v>
      </c>
      <c r="D1595" t="inlineStr">
        <is>
          <t>GÄVLEBORGS LÄN</t>
        </is>
      </c>
      <c r="E1595" t="inlineStr">
        <is>
          <t>NORDANSTIG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7743-2025</t>
        </is>
      </c>
      <c r="B1596" s="1" t="n">
        <v>45706.47894675926</v>
      </c>
      <c r="C1596" s="1" t="n">
        <v>46086</v>
      </c>
      <c r="D1596" t="inlineStr">
        <is>
          <t>GÄVLEBORGS LÄN</t>
        </is>
      </c>
      <c r="E1596" t="inlineStr">
        <is>
          <t>GÄVLE</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6752-2024</t>
        </is>
      </c>
      <c r="B1597" s="1" t="n">
        <v>45342</v>
      </c>
      <c r="C1597" s="1" t="n">
        <v>46086</v>
      </c>
      <c r="D1597" t="inlineStr">
        <is>
          <t>GÄVLEBORGS LÄN</t>
        </is>
      </c>
      <c r="E1597" t="inlineStr">
        <is>
          <t>BOLLNÄS</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3472-2022</t>
        </is>
      </c>
      <c r="B1598" s="1" t="n">
        <v>44585.59899305556</v>
      </c>
      <c r="C1598" s="1" t="n">
        <v>46086</v>
      </c>
      <c r="D1598" t="inlineStr">
        <is>
          <t>GÄVLEBORGS LÄN</t>
        </is>
      </c>
      <c r="E1598" t="inlineStr">
        <is>
          <t>GÄVLE</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2885-2023</t>
        </is>
      </c>
      <c r="B1599" s="1" t="n">
        <v>44945</v>
      </c>
      <c r="C1599" s="1" t="n">
        <v>46086</v>
      </c>
      <c r="D1599" t="inlineStr">
        <is>
          <t>GÄVLEBORGS LÄN</t>
        </is>
      </c>
      <c r="E1599" t="inlineStr">
        <is>
          <t>BOLLNÄS</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55952-2022</t>
        </is>
      </c>
      <c r="B1600" s="1" t="n">
        <v>44889</v>
      </c>
      <c r="C1600" s="1" t="n">
        <v>46086</v>
      </c>
      <c r="D1600" t="inlineStr">
        <is>
          <t>GÄVLEBORGS LÄN</t>
        </is>
      </c>
      <c r="E1600" t="inlineStr">
        <is>
          <t>OCKELBO</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55976-2022</t>
        </is>
      </c>
      <c r="B1601" s="1" t="n">
        <v>44889.4528125</v>
      </c>
      <c r="C1601" s="1" t="n">
        <v>46086</v>
      </c>
      <c r="D1601" t="inlineStr">
        <is>
          <t>GÄVLEBORGS LÄN</t>
        </is>
      </c>
      <c r="E1601" t="inlineStr">
        <is>
          <t>GÄVLE</t>
        </is>
      </c>
      <c r="F1601" t="inlineStr">
        <is>
          <t>Kyrkan</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39068-2023</t>
        </is>
      </c>
      <c r="B1602" s="1" t="n">
        <v>45163</v>
      </c>
      <c r="C1602" s="1" t="n">
        <v>46086</v>
      </c>
      <c r="D1602" t="inlineStr">
        <is>
          <t>GÄVLEBORGS LÄN</t>
        </is>
      </c>
      <c r="E1602" t="inlineStr">
        <is>
          <t>NORDANSTIG</t>
        </is>
      </c>
      <c r="F1602" t="inlineStr">
        <is>
          <t>SCA</t>
        </is>
      </c>
      <c r="G1602" t="n">
        <v>11.8</v>
      </c>
      <c r="H1602" t="n">
        <v>0</v>
      </c>
      <c r="I1602" t="n">
        <v>0</v>
      </c>
      <c r="J1602" t="n">
        <v>0</v>
      </c>
      <c r="K1602" t="n">
        <v>0</v>
      </c>
      <c r="L1602" t="n">
        <v>0</v>
      </c>
      <c r="M1602" t="n">
        <v>0</v>
      </c>
      <c r="N1602" t="n">
        <v>0</v>
      </c>
      <c r="O1602" t="n">
        <v>0</v>
      </c>
      <c r="P1602" t="n">
        <v>0</v>
      </c>
      <c r="Q1602" t="n">
        <v>0</v>
      </c>
      <c r="R1602" s="2" t="inlineStr"/>
    </row>
    <row r="1603" ht="15" customHeight="1">
      <c r="A1603" t="inlineStr">
        <is>
          <t>A 14857-2022</t>
        </is>
      </c>
      <c r="B1603" s="1" t="n">
        <v>44656.65101851852</v>
      </c>
      <c r="C1603" s="1" t="n">
        <v>46086</v>
      </c>
      <c r="D1603" t="inlineStr">
        <is>
          <t>GÄVLEBORGS LÄN</t>
        </is>
      </c>
      <c r="E1603" t="inlineStr">
        <is>
          <t>BOLLNÄS</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15883-2023</t>
        </is>
      </c>
      <c r="B1604" s="1" t="n">
        <v>45022</v>
      </c>
      <c r="C1604" s="1" t="n">
        <v>46086</v>
      </c>
      <c r="D1604" t="inlineStr">
        <is>
          <t>GÄVLEBORGS LÄN</t>
        </is>
      </c>
      <c r="E1604" t="inlineStr">
        <is>
          <t>HUDIKSVALL</t>
        </is>
      </c>
      <c r="G1604" t="n">
        <v>9.6</v>
      </c>
      <c r="H1604" t="n">
        <v>0</v>
      </c>
      <c r="I1604" t="n">
        <v>0</v>
      </c>
      <c r="J1604" t="n">
        <v>0</v>
      </c>
      <c r="K1604" t="n">
        <v>0</v>
      </c>
      <c r="L1604" t="n">
        <v>0</v>
      </c>
      <c r="M1604" t="n">
        <v>0</v>
      </c>
      <c r="N1604" t="n">
        <v>0</v>
      </c>
      <c r="O1604" t="n">
        <v>0</v>
      </c>
      <c r="P1604" t="n">
        <v>0</v>
      </c>
      <c r="Q1604" t="n">
        <v>0</v>
      </c>
      <c r="R1604" s="2" t="inlineStr"/>
      <c r="U1604">
        <f>HYPERLINK("https://klasma.github.io/Logging_2184/knärot/A 15883-2023 karta knärot.png", "A 15883-2023")</f>
        <v/>
      </c>
      <c r="V1604">
        <f>HYPERLINK("https://klasma.github.io/Logging_2184/klagomål/A 15883-2023 FSC-klagomål.docx", "A 15883-2023")</f>
        <v/>
      </c>
      <c r="W1604">
        <f>HYPERLINK("https://klasma.github.io/Logging_2184/klagomålsmail/A 15883-2023 FSC-klagomål mail.docx", "A 15883-2023")</f>
        <v/>
      </c>
      <c r="X1604">
        <f>HYPERLINK("https://klasma.github.io/Logging_2184/tillsyn/A 15883-2023 tillsynsbegäran.docx", "A 15883-2023")</f>
        <v/>
      </c>
      <c r="Y1604">
        <f>HYPERLINK("https://klasma.github.io/Logging_2184/tillsynsmail/A 15883-2023 tillsynsbegäran mail.docx", "A 15883-2023")</f>
        <v/>
      </c>
    </row>
    <row r="1605" ht="15" customHeight="1">
      <c r="A1605" t="inlineStr">
        <is>
          <t>A 15907-2023</t>
        </is>
      </c>
      <c r="B1605" s="1" t="n">
        <v>45022.49149305555</v>
      </c>
      <c r="C1605" s="1" t="n">
        <v>46086</v>
      </c>
      <c r="D1605" t="inlineStr">
        <is>
          <t>GÄVLEBORGS LÄN</t>
        </is>
      </c>
      <c r="E1605" t="inlineStr">
        <is>
          <t>SANDVIKEN</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58929-2023</t>
        </is>
      </c>
      <c r="B1606" s="1" t="n">
        <v>45252.5525462963</v>
      </c>
      <c r="C1606" s="1" t="n">
        <v>46086</v>
      </c>
      <c r="D1606" t="inlineStr">
        <is>
          <t>GÄVLEBORGS LÄN</t>
        </is>
      </c>
      <c r="E1606" t="inlineStr">
        <is>
          <t>BOLLNÄS</t>
        </is>
      </c>
      <c r="F1606" t="inlineStr">
        <is>
          <t>Holmen skog AB</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40793-2024</t>
        </is>
      </c>
      <c r="B1607" s="1" t="n">
        <v>45558</v>
      </c>
      <c r="C1607" s="1" t="n">
        <v>46086</v>
      </c>
      <c r="D1607" t="inlineStr">
        <is>
          <t>GÄVLEBORGS LÄN</t>
        </is>
      </c>
      <c r="E1607" t="inlineStr">
        <is>
          <t>SÖDERHAMN</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26625-2023</t>
        </is>
      </c>
      <c r="B1608" s="1" t="n">
        <v>45092.71197916667</v>
      </c>
      <c r="C1608" s="1" t="n">
        <v>46086</v>
      </c>
      <c r="D1608" t="inlineStr">
        <is>
          <t>GÄVLEBORGS LÄN</t>
        </is>
      </c>
      <c r="E1608" t="inlineStr">
        <is>
          <t>LJUSDAL</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26752-2021</t>
        </is>
      </c>
      <c r="B1609" s="1" t="n">
        <v>44349.41986111111</v>
      </c>
      <c r="C1609" s="1" t="n">
        <v>46086</v>
      </c>
      <c r="D1609" t="inlineStr">
        <is>
          <t>GÄVLEBORGS LÄN</t>
        </is>
      </c>
      <c r="E1609" t="inlineStr">
        <is>
          <t>OVANÅKER</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26776-2021</t>
        </is>
      </c>
      <c r="B1610" s="1" t="n">
        <v>44349.48065972222</v>
      </c>
      <c r="C1610" s="1" t="n">
        <v>46086</v>
      </c>
      <c r="D1610" t="inlineStr">
        <is>
          <t>GÄVLEBORGS LÄN</t>
        </is>
      </c>
      <c r="E1610" t="inlineStr">
        <is>
          <t>GÄVLE</t>
        </is>
      </c>
      <c r="F1610" t="inlineStr">
        <is>
          <t>Bergvik skog öst AB</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60869-2024</t>
        </is>
      </c>
      <c r="B1611" s="1" t="n">
        <v>45644.70296296296</v>
      </c>
      <c r="C1611" s="1" t="n">
        <v>46086</v>
      </c>
      <c r="D1611" t="inlineStr">
        <is>
          <t>GÄVLEBORGS LÄN</t>
        </is>
      </c>
      <c r="E1611" t="inlineStr">
        <is>
          <t>NORDANSTIG</t>
        </is>
      </c>
      <c r="F1611" t="inlineStr">
        <is>
          <t>Holmen skog AB</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20577-2025</t>
        </is>
      </c>
      <c r="B1612" s="1" t="n">
        <v>45775.67856481481</v>
      </c>
      <c r="C1612" s="1" t="n">
        <v>46086</v>
      </c>
      <c r="D1612" t="inlineStr">
        <is>
          <t>GÄVLEBORGS LÄN</t>
        </is>
      </c>
      <c r="E1612" t="inlineStr">
        <is>
          <t>NORDANSTIG</t>
        </is>
      </c>
      <c r="F1612" t="inlineStr">
        <is>
          <t>Holmen skog AB</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138-2023</t>
        </is>
      </c>
      <c r="B1613" s="1" t="n">
        <v>44928.52260416667</v>
      </c>
      <c r="C1613" s="1" t="n">
        <v>46086</v>
      </c>
      <c r="D1613" t="inlineStr">
        <is>
          <t>GÄVLEBORGS LÄN</t>
        </is>
      </c>
      <c r="E1613" t="inlineStr">
        <is>
          <t>GÄVLE</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19364-2022</t>
        </is>
      </c>
      <c r="B1614" s="1" t="n">
        <v>44692</v>
      </c>
      <c r="C1614" s="1" t="n">
        <v>46086</v>
      </c>
      <c r="D1614" t="inlineStr">
        <is>
          <t>GÄVLEBORGS LÄN</t>
        </is>
      </c>
      <c r="E1614" t="inlineStr">
        <is>
          <t>NORDANSTIG</t>
        </is>
      </c>
      <c r="F1614" t="inlineStr">
        <is>
          <t>Holmen skog AB</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30590-2022</t>
        </is>
      </c>
      <c r="B1615" s="1" t="n">
        <v>44762</v>
      </c>
      <c r="C1615" s="1" t="n">
        <v>46086</v>
      </c>
      <c r="D1615" t="inlineStr">
        <is>
          <t>GÄVLEBORGS LÄN</t>
        </is>
      </c>
      <c r="E1615" t="inlineStr">
        <is>
          <t>HUDIKSVALL</t>
        </is>
      </c>
      <c r="F1615" t="inlineStr">
        <is>
          <t>Sveaskog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36210-2024</t>
        </is>
      </c>
      <c r="B1616" s="1" t="n">
        <v>45534.45524305556</v>
      </c>
      <c r="C1616" s="1" t="n">
        <v>46086</v>
      </c>
      <c r="D1616" t="inlineStr">
        <is>
          <t>GÄVLEBORGS LÄN</t>
        </is>
      </c>
      <c r="E1616" t="inlineStr">
        <is>
          <t>OCKELBO</t>
        </is>
      </c>
      <c r="F1616" t="inlineStr">
        <is>
          <t>Kyrkan</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42313-2023</t>
        </is>
      </c>
      <c r="B1617" s="1" t="n">
        <v>45180.46878472222</v>
      </c>
      <c r="C1617" s="1" t="n">
        <v>46086</v>
      </c>
      <c r="D1617" t="inlineStr">
        <is>
          <t>GÄVLEBORGS LÄN</t>
        </is>
      </c>
      <c r="E1617" t="inlineStr">
        <is>
          <t>OCKELBO</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8096-2024</t>
        </is>
      </c>
      <c r="B1618" s="1" t="n">
        <v>45351.45673611111</v>
      </c>
      <c r="C1618" s="1" t="n">
        <v>46086</v>
      </c>
      <c r="D1618" t="inlineStr">
        <is>
          <t>GÄVLEBORGS LÄN</t>
        </is>
      </c>
      <c r="E1618" t="inlineStr">
        <is>
          <t>HUDIKSVALL</t>
        </is>
      </c>
      <c r="F1618" t="inlineStr">
        <is>
          <t>Holmen skog AB</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65208-2023</t>
        </is>
      </c>
      <c r="B1619" s="1" t="n">
        <v>45289.46237268519</v>
      </c>
      <c r="C1619" s="1" t="n">
        <v>46086</v>
      </c>
      <c r="D1619" t="inlineStr">
        <is>
          <t>GÄVLEBORGS LÄN</t>
        </is>
      </c>
      <c r="E1619" t="inlineStr">
        <is>
          <t>NORDANSTIG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6879-2023</t>
        </is>
      </c>
      <c r="B1620" s="1" t="n">
        <v>44967.4797337963</v>
      </c>
      <c r="C1620" s="1" t="n">
        <v>46086</v>
      </c>
      <c r="D1620" t="inlineStr">
        <is>
          <t>GÄVLEBORGS LÄN</t>
        </is>
      </c>
      <c r="E1620" t="inlineStr">
        <is>
          <t>BOLLNÄS</t>
        </is>
      </c>
      <c r="G1620" t="n">
        <v>6.3</v>
      </c>
      <c r="H1620" t="n">
        <v>0</v>
      </c>
      <c r="I1620" t="n">
        <v>0</v>
      </c>
      <c r="J1620" t="n">
        <v>0</v>
      </c>
      <c r="K1620" t="n">
        <v>0</v>
      </c>
      <c r="L1620" t="n">
        <v>0</v>
      </c>
      <c r="M1620" t="n">
        <v>0</v>
      </c>
      <c r="N1620" t="n">
        <v>0</v>
      </c>
      <c r="O1620" t="n">
        <v>0</v>
      </c>
      <c r="P1620" t="n">
        <v>0</v>
      </c>
      <c r="Q1620" t="n">
        <v>0</v>
      </c>
      <c r="R1620" s="2" t="inlineStr"/>
    </row>
    <row r="1621" ht="15" customHeight="1">
      <c r="A1621" t="inlineStr">
        <is>
          <t>A 6922-2023</t>
        </is>
      </c>
      <c r="B1621" s="1" t="n">
        <v>44967</v>
      </c>
      <c r="C1621" s="1" t="n">
        <v>46086</v>
      </c>
      <c r="D1621" t="inlineStr">
        <is>
          <t>GÄVLEBORGS LÄN</t>
        </is>
      </c>
      <c r="E1621" t="inlineStr">
        <is>
          <t>BOLLNÄS</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28697-2023</t>
        </is>
      </c>
      <c r="B1622" s="1" t="n">
        <v>45103</v>
      </c>
      <c r="C1622" s="1" t="n">
        <v>46086</v>
      </c>
      <c r="D1622" t="inlineStr">
        <is>
          <t>GÄVLEBORGS LÄN</t>
        </is>
      </c>
      <c r="E1622" t="inlineStr">
        <is>
          <t>NORDANSTIG</t>
        </is>
      </c>
      <c r="F1622" t="inlineStr">
        <is>
          <t>Holmen skog AB</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18538-2024</t>
        </is>
      </c>
      <c r="B1623" s="1" t="n">
        <v>45425.63649305556</v>
      </c>
      <c r="C1623" s="1" t="n">
        <v>46086</v>
      </c>
      <c r="D1623" t="inlineStr">
        <is>
          <t>GÄVLEBORGS LÄN</t>
        </is>
      </c>
      <c r="E1623" t="inlineStr">
        <is>
          <t>HUDIKSVALL</t>
        </is>
      </c>
      <c r="F1623" t="inlineStr">
        <is>
          <t>Holmen skog AB</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20386-2024</t>
        </is>
      </c>
      <c r="B1624" s="1" t="n">
        <v>45435.50869212963</v>
      </c>
      <c r="C1624" s="1" t="n">
        <v>46086</v>
      </c>
      <c r="D1624" t="inlineStr">
        <is>
          <t>GÄVLEBORGS LÄN</t>
        </is>
      </c>
      <c r="E1624" t="inlineStr">
        <is>
          <t>NORDANSTIG</t>
        </is>
      </c>
      <c r="F1624" t="inlineStr">
        <is>
          <t>Holmen skog AB</t>
        </is>
      </c>
      <c r="G1624" t="n">
        <v>6.5</v>
      </c>
      <c r="H1624" t="n">
        <v>0</v>
      </c>
      <c r="I1624" t="n">
        <v>0</v>
      </c>
      <c r="J1624" t="n">
        <v>0</v>
      </c>
      <c r="K1624" t="n">
        <v>0</v>
      </c>
      <c r="L1624" t="n">
        <v>0</v>
      </c>
      <c r="M1624" t="n">
        <v>0</v>
      </c>
      <c r="N1624" t="n">
        <v>0</v>
      </c>
      <c r="O1624" t="n">
        <v>0</v>
      </c>
      <c r="P1624" t="n">
        <v>0</v>
      </c>
      <c r="Q1624" t="n">
        <v>0</v>
      </c>
      <c r="R1624" s="2" t="inlineStr"/>
    </row>
    <row r="1625" ht="15" customHeight="1">
      <c r="A1625" t="inlineStr">
        <is>
          <t>A 386-2023</t>
        </is>
      </c>
      <c r="B1625" s="1" t="n">
        <v>44929.59525462963</v>
      </c>
      <c r="C1625" s="1" t="n">
        <v>46086</v>
      </c>
      <c r="D1625" t="inlineStr">
        <is>
          <t>GÄVLEBORGS LÄN</t>
        </is>
      </c>
      <c r="E1625" t="inlineStr">
        <is>
          <t>HUDIKSVALL</t>
        </is>
      </c>
      <c r="F1625" t="inlineStr">
        <is>
          <t>Holmen skog AB</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29289-2022</t>
        </is>
      </c>
      <c r="B1626" s="1" t="n">
        <v>44750</v>
      </c>
      <c r="C1626" s="1" t="n">
        <v>46086</v>
      </c>
      <c r="D1626" t="inlineStr">
        <is>
          <t>GÄVLEBORGS LÄN</t>
        </is>
      </c>
      <c r="E1626" t="inlineStr">
        <is>
          <t>SÖDERHAMN</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24667-2024</t>
        </is>
      </c>
      <c r="B1627" s="1" t="n">
        <v>45460.58346064815</v>
      </c>
      <c r="C1627" s="1" t="n">
        <v>46086</v>
      </c>
      <c r="D1627" t="inlineStr">
        <is>
          <t>GÄVLEBORGS LÄN</t>
        </is>
      </c>
      <c r="E1627" t="inlineStr">
        <is>
          <t>LJUSDAL</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25182-2024</t>
        </is>
      </c>
      <c r="B1628" s="1" t="n">
        <v>45462.55569444445</v>
      </c>
      <c r="C1628" s="1" t="n">
        <v>46086</v>
      </c>
      <c r="D1628" t="inlineStr">
        <is>
          <t>GÄVLEBORGS LÄN</t>
        </is>
      </c>
      <c r="E1628" t="inlineStr">
        <is>
          <t>HUDIKSVALL</t>
        </is>
      </c>
      <c r="F1628" t="inlineStr">
        <is>
          <t>Holmen skog AB</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14801-2023</t>
        </is>
      </c>
      <c r="B1629" s="1" t="n">
        <v>45014.62342592593</v>
      </c>
      <c r="C1629" s="1" t="n">
        <v>46086</v>
      </c>
      <c r="D1629" t="inlineStr">
        <is>
          <t>GÄVLEBORGS LÄN</t>
        </is>
      </c>
      <c r="E1629" t="inlineStr">
        <is>
          <t>GÄVLE</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53450-2024</t>
        </is>
      </c>
      <c r="B1630" s="1" t="n">
        <v>45614.5456712963</v>
      </c>
      <c r="C1630" s="1" t="n">
        <v>46086</v>
      </c>
      <c r="D1630" t="inlineStr">
        <is>
          <t>GÄVLEBORGS LÄN</t>
        </is>
      </c>
      <c r="E1630" t="inlineStr">
        <is>
          <t>LJUSDAL</t>
        </is>
      </c>
      <c r="F1630" t="inlineStr">
        <is>
          <t>Sveaskog</t>
        </is>
      </c>
      <c r="G1630" t="n">
        <v>0.1</v>
      </c>
      <c r="H1630" t="n">
        <v>0</v>
      </c>
      <c r="I1630" t="n">
        <v>0</v>
      </c>
      <c r="J1630" t="n">
        <v>0</v>
      </c>
      <c r="K1630" t="n">
        <v>0</v>
      </c>
      <c r="L1630" t="n">
        <v>0</v>
      </c>
      <c r="M1630" t="n">
        <v>0</v>
      </c>
      <c r="N1630" t="n">
        <v>0</v>
      </c>
      <c r="O1630" t="n">
        <v>0</v>
      </c>
      <c r="P1630" t="n">
        <v>0</v>
      </c>
      <c r="Q1630" t="n">
        <v>0</v>
      </c>
      <c r="R1630" s="2" t="inlineStr"/>
    </row>
    <row r="1631" ht="15" customHeight="1">
      <c r="A1631" t="inlineStr">
        <is>
          <t>A 38701-2024</t>
        </is>
      </c>
      <c r="B1631" s="1" t="n">
        <v>45547</v>
      </c>
      <c r="C1631" s="1" t="n">
        <v>46086</v>
      </c>
      <c r="D1631" t="inlineStr">
        <is>
          <t>GÄVLEBORGS LÄN</t>
        </is>
      </c>
      <c r="E1631" t="inlineStr">
        <is>
          <t>HUDIKSVALL</t>
        </is>
      </c>
      <c r="G1631" t="n">
        <v>6</v>
      </c>
      <c r="H1631" t="n">
        <v>0</v>
      </c>
      <c r="I1631" t="n">
        <v>0</v>
      </c>
      <c r="J1631" t="n">
        <v>0</v>
      </c>
      <c r="K1631" t="n">
        <v>0</v>
      </c>
      <c r="L1631" t="n">
        <v>0</v>
      </c>
      <c r="M1631" t="n">
        <v>0</v>
      </c>
      <c r="N1631" t="n">
        <v>0</v>
      </c>
      <c r="O1631" t="n">
        <v>0</v>
      </c>
      <c r="P1631" t="n">
        <v>0</v>
      </c>
      <c r="Q1631" t="n">
        <v>0</v>
      </c>
      <c r="R1631" s="2" t="inlineStr"/>
    </row>
    <row r="1632" ht="15" customHeight="1">
      <c r="A1632" t="inlineStr">
        <is>
          <t>A 50905-2024</t>
        </is>
      </c>
      <c r="B1632" s="1" t="n">
        <v>45602.69391203704</v>
      </c>
      <c r="C1632" s="1" t="n">
        <v>46086</v>
      </c>
      <c r="D1632" t="inlineStr">
        <is>
          <t>GÄVLEBORGS LÄN</t>
        </is>
      </c>
      <c r="E1632" t="inlineStr">
        <is>
          <t>SANDVIKEN</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8732-2023</t>
        </is>
      </c>
      <c r="B1633" s="1" t="n">
        <v>44978</v>
      </c>
      <c r="C1633" s="1" t="n">
        <v>46086</v>
      </c>
      <c r="D1633" t="inlineStr">
        <is>
          <t>GÄVLEBORGS LÄN</t>
        </is>
      </c>
      <c r="E1633" t="inlineStr">
        <is>
          <t>HUDIKSVALL</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29004-2024</t>
        </is>
      </c>
      <c r="B1634" s="1" t="n">
        <v>45481.53094907408</v>
      </c>
      <c r="C1634" s="1" t="n">
        <v>46086</v>
      </c>
      <c r="D1634" t="inlineStr">
        <is>
          <t>GÄVLEBORGS LÄN</t>
        </is>
      </c>
      <c r="E1634" t="inlineStr">
        <is>
          <t>HUDIKSVALL</t>
        </is>
      </c>
      <c r="F1634" t="inlineStr">
        <is>
          <t>Holmen skog AB</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59442-2021</t>
        </is>
      </c>
      <c r="B1635" s="1" t="n">
        <v>44491</v>
      </c>
      <c r="C1635" s="1" t="n">
        <v>46086</v>
      </c>
      <c r="D1635" t="inlineStr">
        <is>
          <t>GÄVLEBORGS LÄN</t>
        </is>
      </c>
      <c r="E1635" t="inlineStr">
        <is>
          <t>OVANÅKER</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18611-2025</t>
        </is>
      </c>
      <c r="B1636" s="1" t="n">
        <v>45763.49574074074</v>
      </c>
      <c r="C1636" s="1" t="n">
        <v>46086</v>
      </c>
      <c r="D1636" t="inlineStr">
        <is>
          <t>GÄVLEBORGS LÄN</t>
        </is>
      </c>
      <c r="E1636" t="inlineStr">
        <is>
          <t>SANDVIKEN</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34427-2022</t>
        </is>
      </c>
      <c r="B1637" s="1" t="n">
        <v>44792</v>
      </c>
      <c r="C1637" s="1" t="n">
        <v>46086</v>
      </c>
      <c r="D1637" t="inlineStr">
        <is>
          <t>GÄVLEBORGS LÄN</t>
        </is>
      </c>
      <c r="E1637" t="inlineStr">
        <is>
          <t>HUDIKSVALL</t>
        </is>
      </c>
      <c r="F1637" t="inlineStr">
        <is>
          <t>Holmen skog AB</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54945-2022</t>
        </is>
      </c>
      <c r="B1638" s="1" t="n">
        <v>44886.46003472222</v>
      </c>
      <c r="C1638" s="1" t="n">
        <v>46086</v>
      </c>
      <c r="D1638" t="inlineStr">
        <is>
          <t>GÄVLEBORGS LÄN</t>
        </is>
      </c>
      <c r="E1638" t="inlineStr">
        <is>
          <t>BOLLNÄS</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12012-2024</t>
        </is>
      </c>
      <c r="B1639" s="1" t="n">
        <v>45377.3384375</v>
      </c>
      <c r="C1639" s="1" t="n">
        <v>46086</v>
      </c>
      <c r="D1639" t="inlineStr">
        <is>
          <t>GÄVLEBORGS LÄN</t>
        </is>
      </c>
      <c r="E1639" t="inlineStr">
        <is>
          <t>OVANÅKER</t>
        </is>
      </c>
      <c r="G1639" t="n">
        <v>10.9</v>
      </c>
      <c r="H1639" t="n">
        <v>0</v>
      </c>
      <c r="I1639" t="n">
        <v>0</v>
      </c>
      <c r="J1639" t="n">
        <v>0</v>
      </c>
      <c r="K1639" t="n">
        <v>0</v>
      </c>
      <c r="L1639" t="n">
        <v>0</v>
      </c>
      <c r="M1639" t="n">
        <v>0</v>
      </c>
      <c r="N1639" t="n">
        <v>0</v>
      </c>
      <c r="O1639" t="n">
        <v>0</v>
      </c>
      <c r="P1639" t="n">
        <v>0</v>
      </c>
      <c r="Q1639" t="n">
        <v>0</v>
      </c>
      <c r="R1639" s="2" t="inlineStr"/>
    </row>
    <row r="1640" ht="15" customHeight="1">
      <c r="A1640" t="inlineStr">
        <is>
          <t>A 53174-2022</t>
        </is>
      </c>
      <c r="B1640" s="1" t="n">
        <v>44876</v>
      </c>
      <c r="C1640" s="1" t="n">
        <v>46086</v>
      </c>
      <c r="D1640" t="inlineStr">
        <is>
          <t>GÄVLEBORGS LÄN</t>
        </is>
      </c>
      <c r="E1640" t="inlineStr">
        <is>
          <t>OVANÅKER</t>
        </is>
      </c>
      <c r="G1640" t="n">
        <v>6.4</v>
      </c>
      <c r="H1640" t="n">
        <v>0</v>
      </c>
      <c r="I1640" t="n">
        <v>0</v>
      </c>
      <c r="J1640" t="n">
        <v>0</v>
      </c>
      <c r="K1640" t="n">
        <v>0</v>
      </c>
      <c r="L1640" t="n">
        <v>0</v>
      </c>
      <c r="M1640" t="n">
        <v>0</v>
      </c>
      <c r="N1640" t="n">
        <v>0</v>
      </c>
      <c r="O1640" t="n">
        <v>0</v>
      </c>
      <c r="P1640" t="n">
        <v>0</v>
      </c>
      <c r="Q1640" t="n">
        <v>0</v>
      </c>
      <c r="R1640" s="2" t="inlineStr"/>
    </row>
    <row r="1641" ht="15" customHeight="1">
      <c r="A1641" t="inlineStr">
        <is>
          <t>A 44339-2024</t>
        </is>
      </c>
      <c r="B1641" s="1" t="n">
        <v>45573.61497685185</v>
      </c>
      <c r="C1641" s="1" t="n">
        <v>46086</v>
      </c>
      <c r="D1641" t="inlineStr">
        <is>
          <t>GÄVLEBORGS LÄN</t>
        </is>
      </c>
      <c r="E1641" t="inlineStr">
        <is>
          <t>NORDANSTIG</t>
        </is>
      </c>
      <c r="G1641" t="n">
        <v>10.7</v>
      </c>
      <c r="H1641" t="n">
        <v>0</v>
      </c>
      <c r="I1641" t="n">
        <v>0</v>
      </c>
      <c r="J1641" t="n">
        <v>0</v>
      </c>
      <c r="K1641" t="n">
        <v>0</v>
      </c>
      <c r="L1641" t="n">
        <v>0</v>
      </c>
      <c r="M1641" t="n">
        <v>0</v>
      </c>
      <c r="N1641" t="n">
        <v>0</v>
      </c>
      <c r="O1641" t="n">
        <v>0</v>
      </c>
      <c r="P1641" t="n">
        <v>0</v>
      </c>
      <c r="Q1641" t="n">
        <v>0</v>
      </c>
      <c r="R1641" s="2" t="inlineStr"/>
    </row>
    <row r="1642" ht="15" customHeight="1">
      <c r="A1642" t="inlineStr">
        <is>
          <t>A 49944-2024</t>
        </is>
      </c>
      <c r="B1642" s="1" t="n">
        <v>45597.60057870371</v>
      </c>
      <c r="C1642" s="1" t="n">
        <v>46086</v>
      </c>
      <c r="D1642" t="inlineStr">
        <is>
          <t>GÄVLEBORGS LÄN</t>
        </is>
      </c>
      <c r="E1642" t="inlineStr">
        <is>
          <t>SÖDERHAMN</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49957-2024</t>
        </is>
      </c>
      <c r="B1643" s="1" t="n">
        <v>45597.61802083333</v>
      </c>
      <c r="C1643" s="1" t="n">
        <v>46086</v>
      </c>
      <c r="D1643" t="inlineStr">
        <is>
          <t>GÄVLEBORGS LÄN</t>
        </is>
      </c>
      <c r="E1643" t="inlineStr">
        <is>
          <t>LJUSDAL</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624-2025</t>
        </is>
      </c>
      <c r="B1644" s="1" t="n">
        <v>45664</v>
      </c>
      <c r="C1644" s="1" t="n">
        <v>46086</v>
      </c>
      <c r="D1644" t="inlineStr">
        <is>
          <t>GÄVLEBORGS LÄN</t>
        </is>
      </c>
      <c r="E1644" t="inlineStr">
        <is>
          <t>HUDIKSVALL</t>
        </is>
      </c>
      <c r="F1644" t="inlineStr">
        <is>
          <t>Holmen skog AB</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36521-2022</t>
        </is>
      </c>
      <c r="B1645" s="1" t="n">
        <v>44804.53847222222</v>
      </c>
      <c r="C1645" s="1" t="n">
        <v>46086</v>
      </c>
      <c r="D1645" t="inlineStr">
        <is>
          <t>GÄVLEBORGS LÄN</t>
        </is>
      </c>
      <c r="E1645" t="inlineStr">
        <is>
          <t>OCKELBO</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23440-2024</t>
        </is>
      </c>
      <c r="B1646" s="1" t="n">
        <v>45453</v>
      </c>
      <c r="C1646" s="1" t="n">
        <v>46086</v>
      </c>
      <c r="D1646" t="inlineStr">
        <is>
          <t>GÄVLEBORGS LÄN</t>
        </is>
      </c>
      <c r="E1646" t="inlineStr">
        <is>
          <t>BOLLNÄS</t>
        </is>
      </c>
      <c r="F1646" t="inlineStr">
        <is>
          <t>Bergvik skog väst AB</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55120-2022</t>
        </is>
      </c>
      <c r="B1647" s="1" t="n">
        <v>44886</v>
      </c>
      <c r="C1647" s="1" t="n">
        <v>46086</v>
      </c>
      <c r="D1647" t="inlineStr">
        <is>
          <t>GÄVLEBORGS LÄN</t>
        </is>
      </c>
      <c r="E1647" t="inlineStr">
        <is>
          <t>NORDANSTIG</t>
        </is>
      </c>
      <c r="F1647" t="inlineStr">
        <is>
          <t>Holmen skog AB</t>
        </is>
      </c>
      <c r="G1647" t="n">
        <v>8.4</v>
      </c>
      <c r="H1647" t="n">
        <v>0</v>
      </c>
      <c r="I1647" t="n">
        <v>0</v>
      </c>
      <c r="J1647" t="n">
        <v>0</v>
      </c>
      <c r="K1647" t="n">
        <v>0</v>
      </c>
      <c r="L1647" t="n">
        <v>0</v>
      </c>
      <c r="M1647" t="n">
        <v>0</v>
      </c>
      <c r="N1647" t="n">
        <v>0</v>
      </c>
      <c r="O1647" t="n">
        <v>0</v>
      </c>
      <c r="P1647" t="n">
        <v>0</v>
      </c>
      <c r="Q1647" t="n">
        <v>0</v>
      </c>
      <c r="R1647" s="2" t="inlineStr"/>
    </row>
    <row r="1648" ht="15" customHeight="1">
      <c r="A1648" t="inlineStr">
        <is>
          <t>A 62124-2023</t>
        </is>
      </c>
      <c r="B1648" s="1" t="n">
        <v>45267.32875</v>
      </c>
      <c r="C1648" s="1" t="n">
        <v>46086</v>
      </c>
      <c r="D1648" t="inlineStr">
        <is>
          <t>GÄVLEBORGS LÄN</t>
        </is>
      </c>
      <c r="E1648" t="inlineStr">
        <is>
          <t>HUDIKSVALL</t>
        </is>
      </c>
      <c r="F1648" t="inlineStr">
        <is>
          <t>Sveaskog</t>
        </is>
      </c>
      <c r="G1648" t="n">
        <v>10.3</v>
      </c>
      <c r="H1648" t="n">
        <v>0</v>
      </c>
      <c r="I1648" t="n">
        <v>0</v>
      </c>
      <c r="J1648" t="n">
        <v>0</v>
      </c>
      <c r="K1648" t="n">
        <v>0</v>
      </c>
      <c r="L1648" t="n">
        <v>0</v>
      </c>
      <c r="M1648" t="n">
        <v>0</v>
      </c>
      <c r="N1648" t="n">
        <v>0</v>
      </c>
      <c r="O1648" t="n">
        <v>0</v>
      </c>
      <c r="P1648" t="n">
        <v>0</v>
      </c>
      <c r="Q1648" t="n">
        <v>0</v>
      </c>
      <c r="R1648" s="2" t="inlineStr"/>
    </row>
    <row r="1649" ht="15" customHeight="1">
      <c r="A1649" t="inlineStr">
        <is>
          <t>A 69378-2021</t>
        </is>
      </c>
      <c r="B1649" s="1" t="n">
        <v>44531.56668981481</v>
      </c>
      <c r="C1649" s="1" t="n">
        <v>46086</v>
      </c>
      <c r="D1649" t="inlineStr">
        <is>
          <t>GÄVLEBORGS LÄN</t>
        </is>
      </c>
      <c r="E1649" t="inlineStr">
        <is>
          <t>BOLLNÄS</t>
        </is>
      </c>
      <c r="F1649" t="inlineStr">
        <is>
          <t>Bergvik skog väst AB</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31876-2023</t>
        </is>
      </c>
      <c r="B1650" s="1" t="n">
        <v>45118.6359375</v>
      </c>
      <c r="C1650" s="1" t="n">
        <v>46086</v>
      </c>
      <c r="D1650" t="inlineStr">
        <is>
          <t>GÄVLEBORGS LÄN</t>
        </is>
      </c>
      <c r="E1650" t="inlineStr">
        <is>
          <t>HUDIKSVALL</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48369-2022</t>
        </is>
      </c>
      <c r="B1651" s="1" t="n">
        <v>44858.58332175926</v>
      </c>
      <c r="C1651" s="1" t="n">
        <v>46086</v>
      </c>
      <c r="D1651" t="inlineStr">
        <is>
          <t>GÄVLEBORGS LÄN</t>
        </is>
      </c>
      <c r="E1651" t="inlineStr">
        <is>
          <t>OVANÅKER</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53815-2022</t>
        </is>
      </c>
      <c r="B1652" s="1" t="n">
        <v>44880</v>
      </c>
      <c r="C1652" s="1" t="n">
        <v>46086</v>
      </c>
      <c r="D1652" t="inlineStr">
        <is>
          <t>GÄVLEBORGS LÄN</t>
        </is>
      </c>
      <c r="E1652" t="inlineStr">
        <is>
          <t>BOLLNÄS</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29928-2024</t>
        </is>
      </c>
      <c r="B1653" s="1" t="n">
        <v>45488.38681712963</v>
      </c>
      <c r="C1653" s="1" t="n">
        <v>46086</v>
      </c>
      <c r="D1653" t="inlineStr">
        <is>
          <t>GÄVLEBORGS LÄN</t>
        </is>
      </c>
      <c r="E1653" t="inlineStr">
        <is>
          <t>SANDVIKEN</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29953-2024</t>
        </is>
      </c>
      <c r="B1654" s="1" t="n">
        <v>45488.44724537037</v>
      </c>
      <c r="C1654" s="1" t="n">
        <v>46086</v>
      </c>
      <c r="D1654" t="inlineStr">
        <is>
          <t>GÄVLEBORGS LÄN</t>
        </is>
      </c>
      <c r="E1654" t="inlineStr">
        <is>
          <t>OCKELBO</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18279-2023</t>
        </is>
      </c>
      <c r="B1655" s="1" t="n">
        <v>45041.54736111111</v>
      </c>
      <c r="C1655" s="1" t="n">
        <v>46086</v>
      </c>
      <c r="D1655" t="inlineStr">
        <is>
          <t>GÄVLEBORGS LÄN</t>
        </is>
      </c>
      <c r="E1655" t="inlineStr">
        <is>
          <t>NORDANSTIG</t>
        </is>
      </c>
      <c r="F1655" t="inlineStr">
        <is>
          <t>Holmen skog AB</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53702-2024</t>
        </is>
      </c>
      <c r="B1656" s="1" t="n">
        <v>45615.39707175926</v>
      </c>
      <c r="C1656" s="1" t="n">
        <v>46086</v>
      </c>
      <c r="D1656" t="inlineStr">
        <is>
          <t>GÄVLEBORGS LÄN</t>
        </is>
      </c>
      <c r="E1656" t="inlineStr">
        <is>
          <t>OCKELBO</t>
        </is>
      </c>
      <c r="G1656" t="n">
        <v>5.8</v>
      </c>
      <c r="H1656" t="n">
        <v>0</v>
      </c>
      <c r="I1656" t="n">
        <v>0</v>
      </c>
      <c r="J1656" t="n">
        <v>0</v>
      </c>
      <c r="K1656" t="n">
        <v>0</v>
      </c>
      <c r="L1656" t="n">
        <v>0</v>
      </c>
      <c r="M1656" t="n">
        <v>0</v>
      </c>
      <c r="N1656" t="n">
        <v>0</v>
      </c>
      <c r="O1656" t="n">
        <v>0</v>
      </c>
      <c r="P1656" t="n">
        <v>0</v>
      </c>
      <c r="Q1656" t="n">
        <v>0</v>
      </c>
      <c r="R1656" s="2" t="inlineStr"/>
    </row>
    <row r="1657" ht="15" customHeight="1">
      <c r="A1657" t="inlineStr">
        <is>
          <t>A 53719-2024</t>
        </is>
      </c>
      <c r="B1657" s="1" t="n">
        <v>45615.43756944445</v>
      </c>
      <c r="C1657" s="1" t="n">
        <v>46086</v>
      </c>
      <c r="D1657" t="inlineStr">
        <is>
          <t>GÄVLEBORGS LÄN</t>
        </is>
      </c>
      <c r="E1657" t="inlineStr">
        <is>
          <t>SANDVIKEN</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53804-2024</t>
        </is>
      </c>
      <c r="B1658" s="1" t="n">
        <v>45615.59229166667</v>
      </c>
      <c r="C1658" s="1" t="n">
        <v>46086</v>
      </c>
      <c r="D1658" t="inlineStr">
        <is>
          <t>GÄVLEBORGS LÄN</t>
        </is>
      </c>
      <c r="E1658" t="inlineStr">
        <is>
          <t>LJUSDAL</t>
        </is>
      </c>
      <c r="G1658" t="n">
        <v>34.2</v>
      </c>
      <c r="H1658" t="n">
        <v>0</v>
      </c>
      <c r="I1658" t="n">
        <v>0</v>
      </c>
      <c r="J1658" t="n">
        <v>0</v>
      </c>
      <c r="K1658" t="n">
        <v>0</v>
      </c>
      <c r="L1658" t="n">
        <v>0</v>
      </c>
      <c r="M1658" t="n">
        <v>0</v>
      </c>
      <c r="N1658" t="n">
        <v>0</v>
      </c>
      <c r="O1658" t="n">
        <v>0</v>
      </c>
      <c r="P1658" t="n">
        <v>0</v>
      </c>
      <c r="Q1658" t="n">
        <v>0</v>
      </c>
      <c r="R1658" s="2" t="inlineStr"/>
    </row>
    <row r="1659" ht="15" customHeight="1">
      <c r="A1659" t="inlineStr">
        <is>
          <t>A 44009-2023</t>
        </is>
      </c>
      <c r="B1659" s="1" t="n">
        <v>45188.33112268519</v>
      </c>
      <c r="C1659" s="1" t="n">
        <v>46086</v>
      </c>
      <c r="D1659" t="inlineStr">
        <is>
          <t>GÄVLEBORGS LÄN</t>
        </is>
      </c>
      <c r="E1659" t="inlineStr">
        <is>
          <t>NORDANSTIG</t>
        </is>
      </c>
      <c r="F1659" t="inlineStr">
        <is>
          <t>Holmen skog AB</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2056-2025</t>
        </is>
      </c>
      <c r="B1660" s="1" t="n">
        <v>45672.55016203703</v>
      </c>
      <c r="C1660" s="1" t="n">
        <v>46086</v>
      </c>
      <c r="D1660" t="inlineStr">
        <is>
          <t>GÄVLEBORGS LÄN</t>
        </is>
      </c>
      <c r="E1660" t="inlineStr">
        <is>
          <t>LJUSDAL</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27051-2022</t>
        </is>
      </c>
      <c r="B1661" s="1" t="n">
        <v>44741.34873842593</v>
      </c>
      <c r="C1661" s="1" t="n">
        <v>46086</v>
      </c>
      <c r="D1661" t="inlineStr">
        <is>
          <t>GÄVLEBORGS LÄN</t>
        </is>
      </c>
      <c r="E1661" t="inlineStr">
        <is>
          <t>HUDIKSVALL</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5415-2025</t>
        </is>
      </c>
      <c r="B1662" s="1" t="n">
        <v>45692.67747685185</v>
      </c>
      <c r="C1662" s="1" t="n">
        <v>46086</v>
      </c>
      <c r="D1662" t="inlineStr">
        <is>
          <t>GÄVLEBORGS LÄN</t>
        </is>
      </c>
      <c r="E1662" t="inlineStr">
        <is>
          <t>LJUSDAL</t>
        </is>
      </c>
      <c r="F1662" t="inlineStr">
        <is>
          <t>SCA</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21999-2023</t>
        </is>
      </c>
      <c r="B1663" s="1" t="n">
        <v>45068.92696759259</v>
      </c>
      <c r="C1663" s="1" t="n">
        <v>46086</v>
      </c>
      <c r="D1663" t="inlineStr">
        <is>
          <t>GÄVLEBORGS LÄN</t>
        </is>
      </c>
      <c r="E1663" t="inlineStr">
        <is>
          <t>NORDANSTIG</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5409-2023</t>
        </is>
      </c>
      <c r="B1664" s="1" t="n">
        <v>44959</v>
      </c>
      <c r="C1664" s="1" t="n">
        <v>46086</v>
      </c>
      <c r="D1664" t="inlineStr">
        <is>
          <t>GÄVLEBORGS LÄN</t>
        </is>
      </c>
      <c r="E1664" t="inlineStr">
        <is>
          <t>GÄVLE</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5415-2023</t>
        </is>
      </c>
      <c r="B1665" s="1" t="n">
        <v>44959</v>
      </c>
      <c r="C1665" s="1" t="n">
        <v>46086</v>
      </c>
      <c r="D1665" t="inlineStr">
        <is>
          <t>GÄVLEBORGS LÄN</t>
        </is>
      </c>
      <c r="E1665" t="inlineStr">
        <is>
          <t>GÄVLE</t>
        </is>
      </c>
      <c r="G1665" t="n">
        <v>0.1</v>
      </c>
      <c r="H1665" t="n">
        <v>0</v>
      </c>
      <c r="I1665" t="n">
        <v>0</v>
      </c>
      <c r="J1665" t="n">
        <v>0</v>
      </c>
      <c r="K1665" t="n">
        <v>0</v>
      </c>
      <c r="L1665" t="n">
        <v>0</v>
      </c>
      <c r="M1665" t="n">
        <v>0</v>
      </c>
      <c r="N1665" t="n">
        <v>0</v>
      </c>
      <c r="O1665" t="n">
        <v>0</v>
      </c>
      <c r="P1665" t="n">
        <v>0</v>
      </c>
      <c r="Q1665" t="n">
        <v>0</v>
      </c>
      <c r="R1665" s="2" t="inlineStr"/>
    </row>
    <row r="1666" ht="15" customHeight="1">
      <c r="A1666" t="inlineStr">
        <is>
          <t>A 14172-2024</t>
        </is>
      </c>
      <c r="B1666" s="1" t="n">
        <v>45392</v>
      </c>
      <c r="C1666" s="1" t="n">
        <v>46086</v>
      </c>
      <c r="D1666" t="inlineStr">
        <is>
          <t>GÄVLEBORGS LÄN</t>
        </is>
      </c>
      <c r="E1666" t="inlineStr">
        <is>
          <t>NORDANSTIG</t>
        </is>
      </c>
      <c r="F1666" t="inlineStr">
        <is>
          <t>SCA</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9191-2022</t>
        </is>
      </c>
      <c r="B1667" s="1" t="n">
        <v>44615</v>
      </c>
      <c r="C1667" s="1" t="n">
        <v>46086</v>
      </c>
      <c r="D1667" t="inlineStr">
        <is>
          <t>GÄVLEBORGS LÄN</t>
        </is>
      </c>
      <c r="E1667" t="inlineStr">
        <is>
          <t>LJUSDAL</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17665-2025</t>
        </is>
      </c>
      <c r="B1668" s="1" t="n">
        <v>45758.36224537037</v>
      </c>
      <c r="C1668" s="1" t="n">
        <v>46086</v>
      </c>
      <c r="D1668" t="inlineStr">
        <is>
          <t>GÄVLEBORGS LÄN</t>
        </is>
      </c>
      <c r="E1668" t="inlineStr">
        <is>
          <t>OVANÅKER</t>
        </is>
      </c>
      <c r="F1668" t="inlineStr">
        <is>
          <t>Sveaskog</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17668-2025</t>
        </is>
      </c>
      <c r="B1669" s="1" t="n">
        <v>45758.36554398148</v>
      </c>
      <c r="C1669" s="1" t="n">
        <v>46086</v>
      </c>
      <c r="D1669" t="inlineStr">
        <is>
          <t>GÄVLEBORGS LÄN</t>
        </is>
      </c>
      <c r="E1669" t="inlineStr">
        <is>
          <t>OVANÅKER</t>
        </is>
      </c>
      <c r="F1669" t="inlineStr">
        <is>
          <t>Sveaskog</t>
        </is>
      </c>
      <c r="G1669" t="n">
        <v>8.199999999999999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17677-2025</t>
        </is>
      </c>
      <c r="B1670" s="1" t="n">
        <v>45758.37188657407</v>
      </c>
      <c r="C1670" s="1" t="n">
        <v>46086</v>
      </c>
      <c r="D1670" t="inlineStr">
        <is>
          <t>GÄVLEBORGS LÄN</t>
        </is>
      </c>
      <c r="E1670" t="inlineStr">
        <is>
          <t>OVANÅKER</t>
        </is>
      </c>
      <c r="F1670" t="inlineStr">
        <is>
          <t>Sveaskog</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53139-2024</t>
        </is>
      </c>
      <c r="B1671" s="1" t="n">
        <v>45611.59930555556</v>
      </c>
      <c r="C1671" s="1" t="n">
        <v>46086</v>
      </c>
      <c r="D1671" t="inlineStr">
        <is>
          <t>GÄVLEBORGS LÄN</t>
        </is>
      </c>
      <c r="E1671" t="inlineStr">
        <is>
          <t>OCKELBO</t>
        </is>
      </c>
      <c r="F1671" t="inlineStr">
        <is>
          <t>Bergvik skog väst AB</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62465-2021</t>
        </is>
      </c>
      <c r="B1672" s="1" t="n">
        <v>44503.53527777778</v>
      </c>
      <c r="C1672" s="1" t="n">
        <v>46086</v>
      </c>
      <c r="D1672" t="inlineStr">
        <is>
          <t>GÄVLEBORGS LÄN</t>
        </is>
      </c>
      <c r="E1672" t="inlineStr">
        <is>
          <t>NORDANSTIG</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21941-2022</t>
        </is>
      </c>
      <c r="B1673" s="1" t="n">
        <v>44711.48230324074</v>
      </c>
      <c r="C1673" s="1" t="n">
        <v>46086</v>
      </c>
      <c r="D1673" t="inlineStr">
        <is>
          <t>GÄVLEBORGS LÄN</t>
        </is>
      </c>
      <c r="E1673" t="inlineStr">
        <is>
          <t>LJUSDAL</t>
        </is>
      </c>
      <c r="F1673" t="inlineStr">
        <is>
          <t>Bergvik skog väst AB</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56215-2024</t>
        </is>
      </c>
      <c r="B1674" s="1" t="n">
        <v>45624</v>
      </c>
      <c r="C1674" s="1" t="n">
        <v>46086</v>
      </c>
      <c r="D1674" t="inlineStr">
        <is>
          <t>GÄVLEBORGS LÄN</t>
        </is>
      </c>
      <c r="E1674" t="inlineStr">
        <is>
          <t>HUDIKSVALL</t>
        </is>
      </c>
      <c r="F1674" t="inlineStr">
        <is>
          <t>Holmen skog AB</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64225-2021</t>
        </is>
      </c>
      <c r="B1675" s="1" t="n">
        <v>44510.63287037037</v>
      </c>
      <c r="C1675" s="1" t="n">
        <v>46086</v>
      </c>
      <c r="D1675" t="inlineStr">
        <is>
          <t>GÄVLEBORGS LÄN</t>
        </is>
      </c>
      <c r="E1675" t="inlineStr">
        <is>
          <t>SANDVIKEN</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19818-2025</t>
        </is>
      </c>
      <c r="B1676" s="1" t="n">
        <v>45771.4608912037</v>
      </c>
      <c r="C1676" s="1" t="n">
        <v>46086</v>
      </c>
      <c r="D1676" t="inlineStr">
        <is>
          <t>GÄVLEBORGS LÄN</t>
        </is>
      </c>
      <c r="E1676" t="inlineStr">
        <is>
          <t>OVANÅKER</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42128-2023</t>
        </is>
      </c>
      <c r="B1677" s="1" t="n">
        <v>45177</v>
      </c>
      <c r="C1677" s="1" t="n">
        <v>46086</v>
      </c>
      <c r="D1677" t="inlineStr">
        <is>
          <t>GÄVLEBORGS LÄN</t>
        </is>
      </c>
      <c r="E1677" t="inlineStr">
        <is>
          <t>HUDIKSVALL</t>
        </is>
      </c>
      <c r="F1677" t="inlineStr">
        <is>
          <t>Holmen skog AB</t>
        </is>
      </c>
      <c r="G1677" t="n">
        <v>9.1</v>
      </c>
      <c r="H1677" t="n">
        <v>0</v>
      </c>
      <c r="I1677" t="n">
        <v>0</v>
      </c>
      <c r="J1677" t="n">
        <v>0</v>
      </c>
      <c r="K1677" t="n">
        <v>0</v>
      </c>
      <c r="L1677" t="n">
        <v>0</v>
      </c>
      <c r="M1677" t="n">
        <v>0</v>
      </c>
      <c r="N1677" t="n">
        <v>0</v>
      </c>
      <c r="O1677" t="n">
        <v>0</v>
      </c>
      <c r="P1677" t="n">
        <v>0</v>
      </c>
      <c r="Q1677" t="n">
        <v>0</v>
      </c>
      <c r="R1677" s="2" t="inlineStr"/>
    </row>
    <row r="1678" ht="15" customHeight="1">
      <c r="A1678" t="inlineStr">
        <is>
          <t>A 17179-2025</t>
        </is>
      </c>
      <c r="B1678" s="1" t="n">
        <v>45755</v>
      </c>
      <c r="C1678" s="1" t="n">
        <v>46086</v>
      </c>
      <c r="D1678" t="inlineStr">
        <is>
          <t>GÄVLEBORGS LÄN</t>
        </is>
      </c>
      <c r="E1678" t="inlineStr">
        <is>
          <t>HOFORS</t>
        </is>
      </c>
      <c r="F1678" t="inlineStr">
        <is>
          <t>Bergvik skog väst AB</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5408-2023</t>
        </is>
      </c>
      <c r="B1679" s="1" t="n">
        <v>44959.71658564815</v>
      </c>
      <c r="C1679" s="1" t="n">
        <v>46086</v>
      </c>
      <c r="D1679" t="inlineStr">
        <is>
          <t>GÄVLEBORGS LÄN</t>
        </is>
      </c>
      <c r="E1679" t="inlineStr">
        <is>
          <t>GÄVLE</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18288-2023</t>
        </is>
      </c>
      <c r="B1680" s="1" t="n">
        <v>45041.5646412037</v>
      </c>
      <c r="C1680" s="1" t="n">
        <v>46086</v>
      </c>
      <c r="D1680" t="inlineStr">
        <is>
          <t>GÄVLEBORGS LÄN</t>
        </is>
      </c>
      <c r="E1680" t="inlineStr">
        <is>
          <t>NORDANSTIG</t>
        </is>
      </c>
      <c r="F1680" t="inlineStr">
        <is>
          <t>Holmen skog AB</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23924-2023</t>
        </is>
      </c>
      <c r="B1681" s="1" t="n">
        <v>45078.58785879629</v>
      </c>
      <c r="C1681" s="1" t="n">
        <v>46086</v>
      </c>
      <c r="D1681" t="inlineStr">
        <is>
          <t>GÄVLEBORGS LÄN</t>
        </is>
      </c>
      <c r="E1681" t="inlineStr">
        <is>
          <t>HUDIKSVALL</t>
        </is>
      </c>
      <c r="F1681" t="inlineStr">
        <is>
          <t>Holmen skog AB</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35498-2024</t>
        </is>
      </c>
      <c r="B1682" s="1" t="n">
        <v>45531.51796296296</v>
      </c>
      <c r="C1682" s="1" t="n">
        <v>46086</v>
      </c>
      <c r="D1682" t="inlineStr">
        <is>
          <t>GÄVLEBORGS LÄN</t>
        </is>
      </c>
      <c r="E1682" t="inlineStr">
        <is>
          <t>HOFORS</t>
        </is>
      </c>
      <c r="F1682" t="inlineStr">
        <is>
          <t>Sveaskog</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24851-2021</t>
        </is>
      </c>
      <c r="B1683" s="1" t="n">
        <v>44340</v>
      </c>
      <c r="C1683" s="1" t="n">
        <v>46086</v>
      </c>
      <c r="D1683" t="inlineStr">
        <is>
          <t>GÄVLEBORGS LÄN</t>
        </is>
      </c>
      <c r="E1683" t="inlineStr">
        <is>
          <t>HOFORS</t>
        </is>
      </c>
      <c r="F1683" t="inlineStr">
        <is>
          <t>Sveaskog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6096-2022</t>
        </is>
      </c>
      <c r="B1684" s="1" t="n">
        <v>44599</v>
      </c>
      <c r="C1684" s="1" t="n">
        <v>46086</v>
      </c>
      <c r="D1684" t="inlineStr">
        <is>
          <t>GÄVLEBORGS LÄN</t>
        </is>
      </c>
      <c r="E1684" t="inlineStr">
        <is>
          <t>NORDANSTIG</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49607-2022</t>
        </is>
      </c>
      <c r="B1685" s="1" t="n">
        <v>44862.41356481481</v>
      </c>
      <c r="C1685" s="1" t="n">
        <v>46086</v>
      </c>
      <c r="D1685" t="inlineStr">
        <is>
          <t>GÄVLEBORGS LÄN</t>
        </is>
      </c>
      <c r="E1685" t="inlineStr">
        <is>
          <t>NORDANSTIG</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68342-2021</t>
        </is>
      </c>
      <c r="B1686" s="1" t="n">
        <v>44528.64484953704</v>
      </c>
      <c r="C1686" s="1" t="n">
        <v>46086</v>
      </c>
      <c r="D1686" t="inlineStr">
        <is>
          <t>GÄVLEBORGS LÄN</t>
        </is>
      </c>
      <c r="E1686" t="inlineStr">
        <is>
          <t>HUDIKSVALL</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27620-2024</t>
        </is>
      </c>
      <c r="B1687" s="1" t="n">
        <v>45474.88189814815</v>
      </c>
      <c r="C1687" s="1" t="n">
        <v>46086</v>
      </c>
      <c r="D1687" t="inlineStr">
        <is>
          <t>GÄVLEBORGS LÄN</t>
        </is>
      </c>
      <c r="E1687" t="inlineStr">
        <is>
          <t>HUDIKSVALL</t>
        </is>
      </c>
      <c r="F1687" t="inlineStr">
        <is>
          <t>Holmen skog AB</t>
        </is>
      </c>
      <c r="G1687" t="n">
        <v>11.7</v>
      </c>
      <c r="H1687" t="n">
        <v>0</v>
      </c>
      <c r="I1687" t="n">
        <v>0</v>
      </c>
      <c r="J1687" t="n">
        <v>0</v>
      </c>
      <c r="K1687" t="n">
        <v>0</v>
      </c>
      <c r="L1687" t="n">
        <v>0</v>
      </c>
      <c r="M1687" t="n">
        <v>0</v>
      </c>
      <c r="N1687" t="n">
        <v>0</v>
      </c>
      <c r="O1687" t="n">
        <v>0</v>
      </c>
      <c r="P1687" t="n">
        <v>0</v>
      </c>
      <c r="Q1687" t="n">
        <v>0</v>
      </c>
      <c r="R1687" s="2" t="inlineStr"/>
    </row>
    <row r="1688" ht="15" customHeight="1">
      <c r="A1688" t="inlineStr">
        <is>
          <t>A 56754-2022</t>
        </is>
      </c>
      <c r="B1688" s="1" t="n">
        <v>44894</v>
      </c>
      <c r="C1688" s="1" t="n">
        <v>46086</v>
      </c>
      <c r="D1688" t="inlineStr">
        <is>
          <t>GÄVLEBORGS LÄN</t>
        </is>
      </c>
      <c r="E1688" t="inlineStr">
        <is>
          <t>HUDIKSVALL</t>
        </is>
      </c>
      <c r="F1688" t="inlineStr">
        <is>
          <t>Holmen skog AB</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29716-2023</t>
        </is>
      </c>
      <c r="B1689" s="1" t="n">
        <v>45107</v>
      </c>
      <c r="C1689" s="1" t="n">
        <v>46086</v>
      </c>
      <c r="D1689" t="inlineStr">
        <is>
          <t>GÄVLEBORGS LÄN</t>
        </is>
      </c>
      <c r="E1689" t="inlineStr">
        <is>
          <t>BOLLNÄS</t>
        </is>
      </c>
      <c r="F1689" t="inlineStr">
        <is>
          <t>Sveaskog</t>
        </is>
      </c>
      <c r="G1689" t="n">
        <v>7.3</v>
      </c>
      <c r="H1689" t="n">
        <v>0</v>
      </c>
      <c r="I1689" t="n">
        <v>0</v>
      </c>
      <c r="J1689" t="n">
        <v>0</v>
      </c>
      <c r="K1689" t="n">
        <v>0</v>
      </c>
      <c r="L1689" t="n">
        <v>0</v>
      </c>
      <c r="M1689" t="n">
        <v>0</v>
      </c>
      <c r="N1689" t="n">
        <v>0</v>
      </c>
      <c r="O1689" t="n">
        <v>0</v>
      </c>
      <c r="P1689" t="n">
        <v>0</v>
      </c>
      <c r="Q1689" t="n">
        <v>0</v>
      </c>
      <c r="R1689" s="2" t="inlineStr"/>
    </row>
    <row r="1690" ht="15" customHeight="1">
      <c r="A1690" t="inlineStr">
        <is>
          <t>A 56494-2024</t>
        </is>
      </c>
      <c r="B1690" s="1" t="n">
        <v>45625</v>
      </c>
      <c r="C1690" s="1" t="n">
        <v>46086</v>
      </c>
      <c r="D1690" t="inlineStr">
        <is>
          <t>GÄVLEBORGS LÄN</t>
        </is>
      </c>
      <c r="E1690" t="inlineStr">
        <is>
          <t>NORDANSTIG</t>
        </is>
      </c>
      <c r="G1690" t="n">
        <v>10.1</v>
      </c>
      <c r="H1690" t="n">
        <v>0</v>
      </c>
      <c r="I1690" t="n">
        <v>0</v>
      </c>
      <c r="J1690" t="n">
        <v>0</v>
      </c>
      <c r="K1690" t="n">
        <v>0</v>
      </c>
      <c r="L1690" t="n">
        <v>0</v>
      </c>
      <c r="M1690" t="n">
        <v>0</v>
      </c>
      <c r="N1690" t="n">
        <v>0</v>
      </c>
      <c r="O1690" t="n">
        <v>0</v>
      </c>
      <c r="P1690" t="n">
        <v>0</v>
      </c>
      <c r="Q1690" t="n">
        <v>0</v>
      </c>
      <c r="R1690" s="2" t="inlineStr"/>
    </row>
    <row r="1691" ht="15" customHeight="1">
      <c r="A1691" t="inlineStr">
        <is>
          <t>A 54156-2022</t>
        </is>
      </c>
      <c r="B1691" s="1" t="n">
        <v>44881</v>
      </c>
      <c r="C1691" s="1" t="n">
        <v>46086</v>
      </c>
      <c r="D1691" t="inlineStr">
        <is>
          <t>GÄVLEBORGS LÄN</t>
        </is>
      </c>
      <c r="E1691" t="inlineStr">
        <is>
          <t>SÖDERHAMN</t>
        </is>
      </c>
      <c r="G1691" t="n">
        <v>5.8</v>
      </c>
      <c r="H1691" t="n">
        <v>0</v>
      </c>
      <c r="I1691" t="n">
        <v>0</v>
      </c>
      <c r="J1691" t="n">
        <v>0</v>
      </c>
      <c r="K1691" t="n">
        <v>0</v>
      </c>
      <c r="L1691" t="n">
        <v>0</v>
      </c>
      <c r="M1691" t="n">
        <v>0</v>
      </c>
      <c r="N1691" t="n">
        <v>0</v>
      </c>
      <c r="O1691" t="n">
        <v>0</v>
      </c>
      <c r="P1691" t="n">
        <v>0</v>
      </c>
      <c r="Q1691" t="n">
        <v>0</v>
      </c>
      <c r="R1691" s="2" t="inlineStr"/>
    </row>
    <row r="1692" ht="15" customHeight="1">
      <c r="A1692" t="inlineStr">
        <is>
          <t>A 13085-2023</t>
        </is>
      </c>
      <c r="B1692" s="1" t="n">
        <v>45002.42137731481</v>
      </c>
      <c r="C1692" s="1" t="n">
        <v>46086</v>
      </c>
      <c r="D1692" t="inlineStr">
        <is>
          <t>GÄVLEBORGS LÄN</t>
        </is>
      </c>
      <c r="E1692" t="inlineStr">
        <is>
          <t>HUDIKSVALL</t>
        </is>
      </c>
      <c r="F1692" t="inlineStr">
        <is>
          <t>Holmen skog AB</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53138-2024</t>
        </is>
      </c>
      <c r="B1693" s="1" t="n">
        <v>45611.59840277778</v>
      </c>
      <c r="C1693" s="1" t="n">
        <v>46086</v>
      </c>
      <c r="D1693" t="inlineStr">
        <is>
          <t>GÄVLEBORGS LÄN</t>
        </is>
      </c>
      <c r="E1693" t="inlineStr">
        <is>
          <t>GÄVLE</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48581-2021</t>
        </is>
      </c>
      <c r="B1694" s="1" t="n">
        <v>44452.47513888889</v>
      </c>
      <c r="C1694" s="1" t="n">
        <v>46086</v>
      </c>
      <c r="D1694" t="inlineStr">
        <is>
          <t>GÄVLEBORGS LÄN</t>
        </is>
      </c>
      <c r="E1694" t="inlineStr">
        <is>
          <t>LJUSDAL</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21346-2024</t>
        </is>
      </c>
      <c r="B1695" s="1" t="n">
        <v>45440.92872685185</v>
      </c>
      <c r="C1695" s="1" t="n">
        <v>46086</v>
      </c>
      <c r="D1695" t="inlineStr">
        <is>
          <t>GÄVLEBORGS LÄN</t>
        </is>
      </c>
      <c r="E1695" t="inlineStr">
        <is>
          <t>LJUSDAL</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21347-2024</t>
        </is>
      </c>
      <c r="B1696" s="1" t="n">
        <v>45440.92880787037</v>
      </c>
      <c r="C1696" s="1" t="n">
        <v>46086</v>
      </c>
      <c r="D1696" t="inlineStr">
        <is>
          <t>GÄVLEBORGS LÄN</t>
        </is>
      </c>
      <c r="E1696" t="inlineStr">
        <is>
          <t>LJUSDAL</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29813-2023</t>
        </is>
      </c>
      <c r="B1697" s="1" t="n">
        <v>45107.55283564814</v>
      </c>
      <c r="C1697" s="1" t="n">
        <v>46086</v>
      </c>
      <c r="D1697" t="inlineStr">
        <is>
          <t>GÄVLEBORGS LÄN</t>
        </is>
      </c>
      <c r="E1697" t="inlineStr">
        <is>
          <t>SÖDERHAMN</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230-2025</t>
        </is>
      </c>
      <c r="B1698" s="1" t="n">
        <v>45660.36721064815</v>
      </c>
      <c r="C1698" s="1" t="n">
        <v>46086</v>
      </c>
      <c r="D1698" t="inlineStr">
        <is>
          <t>GÄVLEBORGS LÄN</t>
        </is>
      </c>
      <c r="E1698" t="inlineStr">
        <is>
          <t>GÄVLE</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35053-2022</t>
        </is>
      </c>
      <c r="B1699" s="1" t="n">
        <v>44797</v>
      </c>
      <c r="C1699" s="1" t="n">
        <v>46086</v>
      </c>
      <c r="D1699" t="inlineStr">
        <is>
          <t>GÄVLEBORGS LÄN</t>
        </is>
      </c>
      <c r="E1699" t="inlineStr">
        <is>
          <t>OVANÅKER</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205-2025</t>
        </is>
      </c>
      <c r="B1700" s="1" t="n">
        <v>45660.31962962963</v>
      </c>
      <c r="C1700" s="1" t="n">
        <v>46086</v>
      </c>
      <c r="D1700" t="inlineStr">
        <is>
          <t>GÄVLEBORGS LÄN</t>
        </is>
      </c>
      <c r="E1700" t="inlineStr">
        <is>
          <t>LJUSDAL</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16768-2024</t>
        </is>
      </c>
      <c r="B1701" s="1" t="n">
        <v>45411.38644675926</v>
      </c>
      <c r="C1701" s="1" t="n">
        <v>46086</v>
      </c>
      <c r="D1701" t="inlineStr">
        <is>
          <t>GÄVLEBORGS LÄN</t>
        </is>
      </c>
      <c r="E1701" t="inlineStr">
        <is>
          <t>HUDIKSVALL</t>
        </is>
      </c>
      <c r="F1701" t="inlineStr">
        <is>
          <t>Holmen skog AB</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16827-2024</t>
        </is>
      </c>
      <c r="B1702" s="1" t="n">
        <v>45411.47578703704</v>
      </c>
      <c r="C1702" s="1" t="n">
        <v>46086</v>
      </c>
      <c r="D1702" t="inlineStr">
        <is>
          <t>GÄVLEBORGS LÄN</t>
        </is>
      </c>
      <c r="E1702" t="inlineStr">
        <is>
          <t>HUDIKSVALL</t>
        </is>
      </c>
      <c r="F1702" t="inlineStr">
        <is>
          <t>Holmen skog AB</t>
        </is>
      </c>
      <c r="G1702" t="n">
        <v>5.9</v>
      </c>
      <c r="H1702" t="n">
        <v>0</v>
      </c>
      <c r="I1702" t="n">
        <v>0</v>
      </c>
      <c r="J1702" t="n">
        <v>0</v>
      </c>
      <c r="K1702" t="n">
        <v>0</v>
      </c>
      <c r="L1702" t="n">
        <v>0</v>
      </c>
      <c r="M1702" t="n">
        <v>0</v>
      </c>
      <c r="N1702" t="n">
        <v>0</v>
      </c>
      <c r="O1702" t="n">
        <v>0</v>
      </c>
      <c r="P1702" t="n">
        <v>0</v>
      </c>
      <c r="Q1702" t="n">
        <v>0</v>
      </c>
      <c r="R1702" s="2" t="inlineStr"/>
    </row>
    <row r="1703" ht="15" customHeight="1">
      <c r="A1703" t="inlineStr">
        <is>
          <t>A 18017-2023</t>
        </is>
      </c>
      <c r="B1703" s="1" t="n">
        <v>45040.57936342592</v>
      </c>
      <c r="C1703" s="1" t="n">
        <v>46086</v>
      </c>
      <c r="D1703" t="inlineStr">
        <is>
          <t>GÄVLEBORGS LÄN</t>
        </is>
      </c>
      <c r="E1703" t="inlineStr">
        <is>
          <t>GÄVLE</t>
        </is>
      </c>
      <c r="F1703" t="inlineStr">
        <is>
          <t>Bergvik skog väst AB</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2611-2022</t>
        </is>
      </c>
      <c r="B1704" s="1" t="n">
        <v>44580.4372337963</v>
      </c>
      <c r="C1704" s="1" t="n">
        <v>46086</v>
      </c>
      <c r="D1704" t="inlineStr">
        <is>
          <t>GÄVLEBORGS LÄN</t>
        </is>
      </c>
      <c r="E1704" t="inlineStr">
        <is>
          <t>BOLLNÄS</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50544-2023</t>
        </is>
      </c>
      <c r="B1705" s="1" t="n">
        <v>45217.35626157407</v>
      </c>
      <c r="C1705" s="1" t="n">
        <v>46086</v>
      </c>
      <c r="D1705" t="inlineStr">
        <is>
          <t>GÄVLEBORGS LÄN</t>
        </is>
      </c>
      <c r="E1705" t="inlineStr">
        <is>
          <t>BOLLNÄS</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257-2025</t>
        </is>
      </c>
      <c r="B1706" s="1" t="n">
        <v>45660</v>
      </c>
      <c r="C1706" s="1" t="n">
        <v>46086</v>
      </c>
      <c r="D1706" t="inlineStr">
        <is>
          <t>GÄVLEBORGS LÄN</t>
        </is>
      </c>
      <c r="E1706" t="inlineStr">
        <is>
          <t>GÄVLE</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59476-2022</t>
        </is>
      </c>
      <c r="B1707" s="1" t="n">
        <v>44907.44679398148</v>
      </c>
      <c r="C1707" s="1" t="n">
        <v>46086</v>
      </c>
      <c r="D1707" t="inlineStr">
        <is>
          <t>GÄVLEBORGS LÄN</t>
        </is>
      </c>
      <c r="E1707" t="inlineStr">
        <is>
          <t>SÖDERHAMN</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41451-2023</t>
        </is>
      </c>
      <c r="B1708" s="1" t="n">
        <v>45175.38716435185</v>
      </c>
      <c r="C1708" s="1" t="n">
        <v>46086</v>
      </c>
      <c r="D1708" t="inlineStr">
        <is>
          <t>GÄVLEBORGS LÄN</t>
        </is>
      </c>
      <c r="E1708" t="inlineStr">
        <is>
          <t>OVANÅKER</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56232-2022</t>
        </is>
      </c>
      <c r="B1709" s="1" t="n">
        <v>44890.52128472222</v>
      </c>
      <c r="C1709" s="1" t="n">
        <v>46086</v>
      </c>
      <c r="D1709" t="inlineStr">
        <is>
          <t>GÄVLEBORGS LÄN</t>
        </is>
      </c>
      <c r="E1709" t="inlineStr">
        <is>
          <t>OCKELBO</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60428-2024</t>
        </is>
      </c>
      <c r="B1710" s="1" t="n">
        <v>45643</v>
      </c>
      <c r="C1710" s="1" t="n">
        <v>46086</v>
      </c>
      <c r="D1710" t="inlineStr">
        <is>
          <t>GÄVLEBORGS LÄN</t>
        </is>
      </c>
      <c r="E1710" t="inlineStr">
        <is>
          <t>BOLLNÄS</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6367-2025</t>
        </is>
      </c>
      <c r="B1711" s="1" t="n">
        <v>45699.3866087963</v>
      </c>
      <c r="C1711" s="1" t="n">
        <v>46086</v>
      </c>
      <c r="D1711" t="inlineStr">
        <is>
          <t>GÄVLEBORGS LÄN</t>
        </is>
      </c>
      <c r="E1711" t="inlineStr">
        <is>
          <t>GÄVLE</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31404-2023</t>
        </is>
      </c>
      <c r="B1712" s="1" t="n">
        <v>45114.58046296296</v>
      </c>
      <c r="C1712" s="1" t="n">
        <v>46086</v>
      </c>
      <c r="D1712" t="inlineStr">
        <is>
          <t>GÄVLEBORGS LÄN</t>
        </is>
      </c>
      <c r="E1712" t="inlineStr">
        <is>
          <t>OVANÅKER</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59740-2023</t>
        </is>
      </c>
      <c r="B1713" s="1" t="n">
        <v>45257</v>
      </c>
      <c r="C1713" s="1" t="n">
        <v>46086</v>
      </c>
      <c r="D1713" t="inlineStr">
        <is>
          <t>GÄVLEBORGS LÄN</t>
        </is>
      </c>
      <c r="E1713" t="inlineStr">
        <is>
          <t>BOLLNÄS</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5892-2025</t>
        </is>
      </c>
      <c r="B1714" s="1" t="n">
        <v>45695.38471064815</v>
      </c>
      <c r="C1714" s="1" t="n">
        <v>46086</v>
      </c>
      <c r="D1714" t="inlineStr">
        <is>
          <t>GÄVLEBORGS LÄN</t>
        </is>
      </c>
      <c r="E1714" t="inlineStr">
        <is>
          <t>HUDIKSVALL</t>
        </is>
      </c>
      <c r="F1714" t="inlineStr">
        <is>
          <t>Holmen skog AB</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57977-2024</t>
        </is>
      </c>
      <c r="B1715" s="1" t="n">
        <v>45631.60908564815</v>
      </c>
      <c r="C1715" s="1" t="n">
        <v>46086</v>
      </c>
      <c r="D1715" t="inlineStr">
        <is>
          <t>GÄVLEBORGS LÄN</t>
        </is>
      </c>
      <c r="E1715" t="inlineStr">
        <is>
          <t>NORDANSTIG</t>
        </is>
      </c>
      <c r="F1715" t="inlineStr">
        <is>
          <t>Holmen skog AB</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34339-2023</t>
        </is>
      </c>
      <c r="B1716" s="1" t="n">
        <v>45139.35453703703</v>
      </c>
      <c r="C1716" s="1" t="n">
        <v>46086</v>
      </c>
      <c r="D1716" t="inlineStr">
        <is>
          <t>GÄVLEBORGS LÄN</t>
        </is>
      </c>
      <c r="E1716" t="inlineStr">
        <is>
          <t>NORDANSTIG</t>
        </is>
      </c>
      <c r="F1716" t="inlineStr">
        <is>
          <t>Holmen skog AB</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64364-2023</t>
        </is>
      </c>
      <c r="B1717" s="1" t="n">
        <v>45280.52896990741</v>
      </c>
      <c r="C1717" s="1" t="n">
        <v>46086</v>
      </c>
      <c r="D1717" t="inlineStr">
        <is>
          <t>GÄVLEBORGS LÄN</t>
        </is>
      </c>
      <c r="E1717" t="inlineStr">
        <is>
          <t>OCKELBO</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56455-2022</t>
        </is>
      </c>
      <c r="B1718" s="1" t="n">
        <v>44893.31280092592</v>
      </c>
      <c r="C1718" s="1" t="n">
        <v>46086</v>
      </c>
      <c r="D1718" t="inlineStr">
        <is>
          <t>GÄVLEBORGS LÄN</t>
        </is>
      </c>
      <c r="E1718" t="inlineStr">
        <is>
          <t>OVANÅKER</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12228-2022</t>
        </is>
      </c>
      <c r="B1719" s="1" t="n">
        <v>44637.36871527778</v>
      </c>
      <c r="C1719" s="1" t="n">
        <v>46086</v>
      </c>
      <c r="D1719" t="inlineStr">
        <is>
          <t>GÄVLEBORGS LÄN</t>
        </is>
      </c>
      <c r="E1719" t="inlineStr">
        <is>
          <t>GÄVLE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57013-2022</t>
        </is>
      </c>
      <c r="B1720" s="1" t="n">
        <v>44894</v>
      </c>
      <c r="C1720" s="1" t="n">
        <v>46086</v>
      </c>
      <c r="D1720" t="inlineStr">
        <is>
          <t>GÄVLEBORGS LÄN</t>
        </is>
      </c>
      <c r="E1720" t="inlineStr">
        <is>
          <t>NORDANSTIG</t>
        </is>
      </c>
      <c r="F1720" t="inlineStr">
        <is>
          <t>SCA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54608-2024</t>
        </is>
      </c>
      <c r="B1721" s="1" t="n">
        <v>45617.6917824074</v>
      </c>
      <c r="C1721" s="1" t="n">
        <v>46086</v>
      </c>
      <c r="D1721" t="inlineStr">
        <is>
          <t>GÄVLEBORGS LÄN</t>
        </is>
      </c>
      <c r="E1721" t="inlineStr">
        <is>
          <t>SÖDERHAMN</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54627-2024</t>
        </is>
      </c>
      <c r="B1722" s="1" t="n">
        <v>45617.82288194444</v>
      </c>
      <c r="C1722" s="1" t="n">
        <v>46086</v>
      </c>
      <c r="D1722" t="inlineStr">
        <is>
          <t>GÄVLEBORGS LÄN</t>
        </is>
      </c>
      <c r="E1722" t="inlineStr">
        <is>
          <t>OCKELBO</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54690-2024</t>
        </is>
      </c>
      <c r="B1723" s="1" t="n">
        <v>45618.37921296297</v>
      </c>
      <c r="C1723" s="1" t="n">
        <v>46086</v>
      </c>
      <c r="D1723" t="inlineStr">
        <is>
          <t>GÄVLEBORGS LÄN</t>
        </is>
      </c>
      <c r="E1723" t="inlineStr">
        <is>
          <t>HUDIKSVALL</t>
        </is>
      </c>
      <c r="F1723" t="inlineStr">
        <is>
          <t>Holmen skog AB</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48148-2023</t>
        </is>
      </c>
      <c r="B1724" s="1" t="n">
        <v>45205.40086805556</v>
      </c>
      <c r="C1724" s="1" t="n">
        <v>46086</v>
      </c>
      <c r="D1724" t="inlineStr">
        <is>
          <t>GÄVLEBORGS LÄN</t>
        </is>
      </c>
      <c r="E1724" t="inlineStr">
        <is>
          <t>OCKELBO</t>
        </is>
      </c>
      <c r="F1724" t="inlineStr">
        <is>
          <t>Kyrkan</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62339-2023</t>
        </is>
      </c>
      <c r="B1725" s="1" t="n">
        <v>45267.92671296297</v>
      </c>
      <c r="C1725" s="1" t="n">
        <v>46086</v>
      </c>
      <c r="D1725" t="inlineStr">
        <is>
          <t>GÄVLEBORGS LÄN</t>
        </is>
      </c>
      <c r="E1725" t="inlineStr">
        <is>
          <t>SÖDERHAMN</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18902-2025</t>
        </is>
      </c>
      <c r="B1726" s="1" t="n">
        <v>45764.45541666666</v>
      </c>
      <c r="C1726" s="1" t="n">
        <v>46086</v>
      </c>
      <c r="D1726" t="inlineStr">
        <is>
          <t>GÄVLEBORGS LÄN</t>
        </is>
      </c>
      <c r="E1726" t="inlineStr">
        <is>
          <t>SÖDERHAMN</t>
        </is>
      </c>
      <c r="F1726" t="inlineStr">
        <is>
          <t>Kommuner</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18905-2025</t>
        </is>
      </c>
      <c r="B1727" s="1" t="n">
        <v>45764.46203703704</v>
      </c>
      <c r="C1727" s="1" t="n">
        <v>46086</v>
      </c>
      <c r="D1727" t="inlineStr">
        <is>
          <t>GÄVLEBORGS LÄN</t>
        </is>
      </c>
      <c r="E1727" t="inlineStr">
        <is>
          <t>SÖDERHAMN</t>
        </is>
      </c>
      <c r="F1727" t="inlineStr">
        <is>
          <t>Kommuner</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6882-2023</t>
        </is>
      </c>
      <c r="B1728" s="1" t="n">
        <v>44967.48270833334</v>
      </c>
      <c r="C1728" s="1" t="n">
        <v>46086</v>
      </c>
      <c r="D1728" t="inlineStr">
        <is>
          <t>GÄVLEBORGS LÄN</t>
        </is>
      </c>
      <c r="E1728" t="inlineStr">
        <is>
          <t>BOLLNÄS</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6929-2023</t>
        </is>
      </c>
      <c r="B1729" s="1" t="n">
        <v>44967</v>
      </c>
      <c r="C1729" s="1" t="n">
        <v>46086</v>
      </c>
      <c r="D1729" t="inlineStr">
        <is>
          <t>GÄVLEBORGS LÄN</t>
        </is>
      </c>
      <c r="E1729" t="inlineStr">
        <is>
          <t>HOFORS</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33979-2024</t>
        </is>
      </c>
      <c r="B1730" s="1" t="n">
        <v>45523.51896990741</v>
      </c>
      <c r="C1730" s="1" t="n">
        <v>46086</v>
      </c>
      <c r="D1730" t="inlineStr">
        <is>
          <t>GÄVLEBORGS LÄN</t>
        </is>
      </c>
      <c r="E1730" t="inlineStr">
        <is>
          <t>HOFORS</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36447-2024</t>
        </is>
      </c>
      <c r="B1731" s="1" t="n">
        <v>45537</v>
      </c>
      <c r="C1731" s="1" t="n">
        <v>46086</v>
      </c>
      <c r="D1731" t="inlineStr">
        <is>
          <t>GÄVLEBORGS LÄN</t>
        </is>
      </c>
      <c r="E1731" t="inlineStr">
        <is>
          <t>LJUSDAL</t>
        </is>
      </c>
      <c r="F1731" t="inlineStr">
        <is>
          <t>Sveaskog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49925-2021</t>
        </is>
      </c>
      <c r="B1732" s="1" t="n">
        <v>44455.92104166667</v>
      </c>
      <c r="C1732" s="1" t="n">
        <v>46086</v>
      </c>
      <c r="D1732" t="inlineStr">
        <is>
          <t>GÄVLEBORGS LÄN</t>
        </is>
      </c>
      <c r="E1732" t="inlineStr">
        <is>
          <t>HUDIKSVALL</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3271-2025</t>
        </is>
      </c>
      <c r="B1733" s="1" t="n">
        <v>45679.58766203704</v>
      </c>
      <c r="C1733" s="1" t="n">
        <v>46086</v>
      </c>
      <c r="D1733" t="inlineStr">
        <is>
          <t>GÄVLEBORGS LÄN</t>
        </is>
      </c>
      <c r="E1733" t="inlineStr">
        <is>
          <t>BOLLNÄS</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26806-2021</t>
        </is>
      </c>
      <c r="B1734" s="1" t="n">
        <v>44349.54518518518</v>
      </c>
      <c r="C1734" s="1" t="n">
        <v>46086</v>
      </c>
      <c r="D1734" t="inlineStr">
        <is>
          <t>GÄVLEBORGS LÄN</t>
        </is>
      </c>
      <c r="E1734" t="inlineStr">
        <is>
          <t>OVANÅKER</t>
        </is>
      </c>
      <c r="F1734" t="inlineStr">
        <is>
          <t>Sveaskog</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26827-2021</t>
        </is>
      </c>
      <c r="B1735" s="1" t="n">
        <v>44349</v>
      </c>
      <c r="C1735" s="1" t="n">
        <v>46086</v>
      </c>
      <c r="D1735" t="inlineStr">
        <is>
          <t>GÄVLEBORGS LÄN</t>
        </is>
      </c>
      <c r="E1735" t="inlineStr">
        <is>
          <t>NORDANSTIG</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16424-2025</t>
        </is>
      </c>
      <c r="B1736" s="1" t="n">
        <v>45751.47364583334</v>
      </c>
      <c r="C1736" s="1" t="n">
        <v>46086</v>
      </c>
      <c r="D1736" t="inlineStr">
        <is>
          <t>GÄVLEBORGS LÄN</t>
        </is>
      </c>
      <c r="E1736" t="inlineStr">
        <is>
          <t>OVANÅKER</t>
        </is>
      </c>
      <c r="F1736" t="inlineStr">
        <is>
          <t>Bergvik skog öst AB</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28314-2023</t>
        </is>
      </c>
      <c r="B1737" s="1" t="n">
        <v>45099.66478009259</v>
      </c>
      <c r="C1737" s="1" t="n">
        <v>46086</v>
      </c>
      <c r="D1737" t="inlineStr">
        <is>
          <t>GÄVLEBORGS LÄN</t>
        </is>
      </c>
      <c r="E1737" t="inlineStr">
        <is>
          <t>BOLLNÄS</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32002-2024</t>
        </is>
      </c>
      <c r="B1738" s="1" t="n">
        <v>45510.60306712963</v>
      </c>
      <c r="C1738" s="1" t="n">
        <v>46086</v>
      </c>
      <c r="D1738" t="inlineStr">
        <is>
          <t>GÄVLEBORGS LÄN</t>
        </is>
      </c>
      <c r="E1738" t="inlineStr">
        <is>
          <t>SANDVIKEN</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19113-2024</t>
        </is>
      </c>
      <c r="B1739" s="1" t="n">
        <v>45428.37322916667</v>
      </c>
      <c r="C1739" s="1" t="n">
        <v>46086</v>
      </c>
      <c r="D1739" t="inlineStr">
        <is>
          <t>GÄVLEBORGS LÄN</t>
        </is>
      </c>
      <c r="E1739" t="inlineStr">
        <is>
          <t>SÖDERHAMN</t>
        </is>
      </c>
      <c r="F1739" t="inlineStr">
        <is>
          <t>Bergvik skog väst AB</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28348-2023</t>
        </is>
      </c>
      <c r="B1740" s="1" t="n">
        <v>45099.79817129629</v>
      </c>
      <c r="C1740" s="1" t="n">
        <v>46086</v>
      </c>
      <c r="D1740" t="inlineStr">
        <is>
          <t>GÄVLEBORGS LÄN</t>
        </is>
      </c>
      <c r="E1740" t="inlineStr">
        <is>
          <t>LJUSDAL</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59875-2023</t>
        </is>
      </c>
      <c r="B1741" s="1" t="n">
        <v>45257.58866898148</v>
      </c>
      <c r="C1741" s="1" t="n">
        <v>46086</v>
      </c>
      <c r="D1741" t="inlineStr">
        <is>
          <t>GÄVLEBORGS LÄN</t>
        </is>
      </c>
      <c r="E1741" t="inlineStr">
        <is>
          <t>HUDIKSVALL</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59883-2023</t>
        </is>
      </c>
      <c r="B1742" s="1" t="n">
        <v>45257</v>
      </c>
      <c r="C1742" s="1" t="n">
        <v>46086</v>
      </c>
      <c r="D1742" t="inlineStr">
        <is>
          <t>GÄVLEBORGS LÄN</t>
        </is>
      </c>
      <c r="E1742" t="inlineStr">
        <is>
          <t>LJUSDAL</t>
        </is>
      </c>
      <c r="G1742" t="n">
        <v>16.6</v>
      </c>
      <c r="H1742" t="n">
        <v>0</v>
      </c>
      <c r="I1742" t="n">
        <v>0</v>
      </c>
      <c r="J1742" t="n">
        <v>0</v>
      </c>
      <c r="K1742" t="n">
        <v>0</v>
      </c>
      <c r="L1742" t="n">
        <v>0</v>
      </c>
      <c r="M1742" t="n">
        <v>0</v>
      </c>
      <c r="N1742" t="n">
        <v>0</v>
      </c>
      <c r="O1742" t="n">
        <v>0</v>
      </c>
      <c r="P1742" t="n">
        <v>0</v>
      </c>
      <c r="Q1742" t="n">
        <v>0</v>
      </c>
      <c r="R1742" s="2" t="inlineStr"/>
    </row>
    <row r="1743" ht="15" customHeight="1">
      <c r="A1743" t="inlineStr">
        <is>
          <t>A 57776-2022</t>
        </is>
      </c>
      <c r="B1743" s="1" t="n">
        <v>44897</v>
      </c>
      <c r="C1743" s="1" t="n">
        <v>46086</v>
      </c>
      <c r="D1743" t="inlineStr">
        <is>
          <t>GÄVLEBORGS LÄN</t>
        </is>
      </c>
      <c r="E1743" t="inlineStr">
        <is>
          <t>OVANÅKER</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328-2024</t>
        </is>
      </c>
      <c r="B1744" s="1" t="n">
        <v>45295</v>
      </c>
      <c r="C1744" s="1" t="n">
        <v>46086</v>
      </c>
      <c r="D1744" t="inlineStr">
        <is>
          <t>GÄVLEBORGS LÄN</t>
        </is>
      </c>
      <c r="E1744" t="inlineStr">
        <is>
          <t>LJUSDAL</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8395-2024</t>
        </is>
      </c>
      <c r="B1745" s="1" t="n">
        <v>45352.68155092592</v>
      </c>
      <c r="C1745" s="1" t="n">
        <v>46086</v>
      </c>
      <c r="D1745" t="inlineStr">
        <is>
          <t>GÄVLEBORGS LÄN</t>
        </is>
      </c>
      <c r="E1745" t="inlineStr">
        <is>
          <t>NORDANSTIG</t>
        </is>
      </c>
      <c r="F1745" t="inlineStr">
        <is>
          <t>Holmen skog AB</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43177-2024</t>
        </is>
      </c>
      <c r="B1746" s="1" t="n">
        <v>45567.66236111111</v>
      </c>
      <c r="C1746" s="1" t="n">
        <v>46086</v>
      </c>
      <c r="D1746" t="inlineStr">
        <is>
          <t>GÄVLEBORGS LÄN</t>
        </is>
      </c>
      <c r="E1746" t="inlineStr">
        <is>
          <t>BOLLNÄS</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43180-2024</t>
        </is>
      </c>
      <c r="B1747" s="1" t="n">
        <v>45567.66302083333</v>
      </c>
      <c r="C1747" s="1" t="n">
        <v>46086</v>
      </c>
      <c r="D1747" t="inlineStr">
        <is>
          <t>GÄVLEBORGS LÄN</t>
        </is>
      </c>
      <c r="E1747" t="inlineStr">
        <is>
          <t>LJUSDAL</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55519-2024</t>
        </is>
      </c>
      <c r="B1748" s="1" t="n">
        <v>45622</v>
      </c>
      <c r="C1748" s="1" t="n">
        <v>46086</v>
      </c>
      <c r="D1748" t="inlineStr">
        <is>
          <t>GÄVLEBORGS LÄN</t>
        </is>
      </c>
      <c r="E1748" t="inlineStr">
        <is>
          <t>HUDIKSVALL</t>
        </is>
      </c>
      <c r="F1748" t="inlineStr">
        <is>
          <t>Holmen skog AB</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55574-2024</t>
        </is>
      </c>
      <c r="B1749" s="1" t="n">
        <v>45622.55423611111</v>
      </c>
      <c r="C1749" s="1" t="n">
        <v>46086</v>
      </c>
      <c r="D1749" t="inlineStr">
        <is>
          <t>GÄVLEBORGS LÄN</t>
        </is>
      </c>
      <c r="E1749" t="inlineStr">
        <is>
          <t>HUDIKSVALL</t>
        </is>
      </c>
      <c r="F1749" t="inlineStr">
        <is>
          <t>Holmen skog AB</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57260-2023</t>
        </is>
      </c>
      <c r="B1750" s="1" t="n">
        <v>45239</v>
      </c>
      <c r="C1750" s="1" t="n">
        <v>46086</v>
      </c>
      <c r="D1750" t="inlineStr">
        <is>
          <t>GÄVLEBORGS LÄN</t>
        </is>
      </c>
      <c r="E1750" t="inlineStr">
        <is>
          <t>BOLLNÄS</t>
        </is>
      </c>
      <c r="F1750" t="inlineStr">
        <is>
          <t>Kommuner</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24096-2023</t>
        </is>
      </c>
      <c r="B1751" s="1" t="n">
        <v>45079.43686342592</v>
      </c>
      <c r="C1751" s="1" t="n">
        <v>46086</v>
      </c>
      <c r="D1751" t="inlineStr">
        <is>
          <t>GÄVLEBORGS LÄN</t>
        </is>
      </c>
      <c r="E1751" t="inlineStr">
        <is>
          <t>NORDANSTIG</t>
        </is>
      </c>
      <c r="F1751" t="inlineStr">
        <is>
          <t>Holmen skog AB</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18614-2023</t>
        </is>
      </c>
      <c r="B1752" s="1" t="n">
        <v>45043</v>
      </c>
      <c r="C1752" s="1" t="n">
        <v>46086</v>
      </c>
      <c r="D1752" t="inlineStr">
        <is>
          <t>GÄVLEBORGS LÄN</t>
        </is>
      </c>
      <c r="E1752" t="inlineStr">
        <is>
          <t>BOLLNÄS</t>
        </is>
      </c>
      <c r="G1752" t="n">
        <v>5.4</v>
      </c>
      <c r="H1752" t="n">
        <v>0</v>
      </c>
      <c r="I1752" t="n">
        <v>0</v>
      </c>
      <c r="J1752" t="n">
        <v>0</v>
      </c>
      <c r="K1752" t="n">
        <v>0</v>
      </c>
      <c r="L1752" t="n">
        <v>0</v>
      </c>
      <c r="M1752" t="n">
        <v>0</v>
      </c>
      <c r="N1752" t="n">
        <v>0</v>
      </c>
      <c r="O1752" t="n">
        <v>0</v>
      </c>
      <c r="P1752" t="n">
        <v>0</v>
      </c>
      <c r="Q1752" t="n">
        <v>0</v>
      </c>
      <c r="R1752" s="2" t="inlineStr"/>
    </row>
    <row r="1753" ht="15" customHeight="1">
      <c r="A1753" t="inlineStr">
        <is>
          <t>A 6274-2025</t>
        </is>
      </c>
      <c r="B1753" s="1" t="n">
        <v>45698.61483796296</v>
      </c>
      <c r="C1753" s="1" t="n">
        <v>46086</v>
      </c>
      <c r="D1753" t="inlineStr">
        <is>
          <t>GÄVLEBORGS LÄN</t>
        </is>
      </c>
      <c r="E1753" t="inlineStr">
        <is>
          <t>HUDIKSVALL</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28918-2021</t>
        </is>
      </c>
      <c r="B1754" s="1" t="n">
        <v>44358</v>
      </c>
      <c r="C1754" s="1" t="n">
        <v>46086</v>
      </c>
      <c r="D1754" t="inlineStr">
        <is>
          <t>GÄVLEBORGS LÄN</t>
        </is>
      </c>
      <c r="E1754" t="inlineStr">
        <is>
          <t>OCKELBO</t>
        </is>
      </c>
      <c r="F1754" t="inlineStr">
        <is>
          <t>Bergvik skog väst AB</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40733-2023</t>
        </is>
      </c>
      <c r="B1755" s="1" t="n">
        <v>45170.70216435185</v>
      </c>
      <c r="C1755" s="1" t="n">
        <v>46086</v>
      </c>
      <c r="D1755" t="inlineStr">
        <is>
          <t>GÄVLEBORGS LÄN</t>
        </is>
      </c>
      <c r="E1755" t="inlineStr">
        <is>
          <t>NORDANSTIG</t>
        </is>
      </c>
      <c r="F1755" t="inlineStr">
        <is>
          <t>Holmen skog AB</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39062-2024</t>
        </is>
      </c>
      <c r="B1756" s="1" t="n">
        <v>45548.50462962963</v>
      </c>
      <c r="C1756" s="1" t="n">
        <v>46086</v>
      </c>
      <c r="D1756" t="inlineStr">
        <is>
          <t>GÄVLEBORGS LÄN</t>
        </is>
      </c>
      <c r="E1756" t="inlineStr">
        <is>
          <t>OCKELBO</t>
        </is>
      </c>
      <c r="F1756" t="inlineStr">
        <is>
          <t>Bergvik skog väst AB</t>
        </is>
      </c>
      <c r="G1756" t="n">
        <v>10.1</v>
      </c>
      <c r="H1756" t="n">
        <v>0</v>
      </c>
      <c r="I1756" t="n">
        <v>0</v>
      </c>
      <c r="J1756" t="n">
        <v>0</v>
      </c>
      <c r="K1756" t="n">
        <v>0</v>
      </c>
      <c r="L1756" t="n">
        <v>0</v>
      </c>
      <c r="M1756" t="n">
        <v>0</v>
      </c>
      <c r="N1756" t="n">
        <v>0</v>
      </c>
      <c r="O1756" t="n">
        <v>0</v>
      </c>
      <c r="P1756" t="n">
        <v>0</v>
      </c>
      <c r="Q1756" t="n">
        <v>0</v>
      </c>
      <c r="R1756" s="2" t="inlineStr"/>
    </row>
    <row r="1757" ht="15" customHeight="1">
      <c r="A1757" t="inlineStr">
        <is>
          <t>A 8909-2024</t>
        </is>
      </c>
      <c r="B1757" s="1" t="n">
        <v>45357</v>
      </c>
      <c r="C1757" s="1" t="n">
        <v>46086</v>
      </c>
      <c r="D1757" t="inlineStr">
        <is>
          <t>GÄVLEBORGS LÄN</t>
        </is>
      </c>
      <c r="E1757" t="inlineStr">
        <is>
          <t>NORDANSTIG</t>
        </is>
      </c>
      <c r="G1757" t="n">
        <v>15.3</v>
      </c>
      <c r="H1757" t="n">
        <v>0</v>
      </c>
      <c r="I1757" t="n">
        <v>0</v>
      </c>
      <c r="J1757" t="n">
        <v>0</v>
      </c>
      <c r="K1757" t="n">
        <v>0</v>
      </c>
      <c r="L1757" t="n">
        <v>0</v>
      </c>
      <c r="M1757" t="n">
        <v>0</v>
      </c>
      <c r="N1757" t="n">
        <v>0</v>
      </c>
      <c r="O1757" t="n">
        <v>0</v>
      </c>
      <c r="P1757" t="n">
        <v>0</v>
      </c>
      <c r="Q1757" t="n">
        <v>0</v>
      </c>
      <c r="R1757" s="2" t="inlineStr"/>
    </row>
    <row r="1758" ht="15" customHeight="1">
      <c r="A1758" t="inlineStr">
        <is>
          <t>A 39091-2024</t>
        </is>
      </c>
      <c r="B1758" s="1" t="n">
        <v>45548.55346064815</v>
      </c>
      <c r="C1758" s="1" t="n">
        <v>46086</v>
      </c>
      <c r="D1758" t="inlineStr">
        <is>
          <t>GÄVLEBORGS LÄN</t>
        </is>
      </c>
      <c r="E1758" t="inlineStr">
        <is>
          <t>BOLLNÄS</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21633-2024</t>
        </is>
      </c>
      <c r="B1759" s="1" t="n">
        <v>45442.33913194444</v>
      </c>
      <c r="C1759" s="1" t="n">
        <v>46086</v>
      </c>
      <c r="D1759" t="inlineStr">
        <is>
          <t>GÄVLEBORGS LÄN</t>
        </is>
      </c>
      <c r="E1759" t="inlineStr">
        <is>
          <t>LJUSDAL</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14240-2023</t>
        </is>
      </c>
      <c r="B1760" s="1" t="n">
        <v>45009.6615625</v>
      </c>
      <c r="C1760" s="1" t="n">
        <v>46086</v>
      </c>
      <c r="D1760" t="inlineStr">
        <is>
          <t>GÄVLEBORGS LÄN</t>
        </is>
      </c>
      <c r="E1760" t="inlineStr">
        <is>
          <t>OVANÅKER</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32879-2022</t>
        </is>
      </c>
      <c r="B1761" s="1" t="n">
        <v>44784.54256944444</v>
      </c>
      <c r="C1761" s="1" t="n">
        <v>46086</v>
      </c>
      <c r="D1761" t="inlineStr">
        <is>
          <t>GÄVLEBORGS LÄN</t>
        </is>
      </c>
      <c r="E1761" t="inlineStr">
        <is>
          <t>LJUSDAL</t>
        </is>
      </c>
      <c r="F1761" t="inlineStr">
        <is>
          <t>Bergvik skog väst AB</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24512-2022</t>
        </is>
      </c>
      <c r="B1762" s="1" t="n">
        <v>44726</v>
      </c>
      <c r="C1762" s="1" t="n">
        <v>46086</v>
      </c>
      <c r="D1762" t="inlineStr">
        <is>
          <t>GÄVLEBORGS LÄN</t>
        </is>
      </c>
      <c r="E1762" t="inlineStr">
        <is>
          <t>LJUSDAL</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50620-2023</t>
        </is>
      </c>
      <c r="B1763" s="1" t="n">
        <v>45217.45277777778</v>
      </c>
      <c r="C1763" s="1" t="n">
        <v>46086</v>
      </c>
      <c r="D1763" t="inlineStr">
        <is>
          <t>GÄVLEBORGS LÄN</t>
        </is>
      </c>
      <c r="E1763" t="inlineStr">
        <is>
          <t>OVANÅKER</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3877-2024</t>
        </is>
      </c>
      <c r="B1764" s="1" t="n">
        <v>45322</v>
      </c>
      <c r="C1764" s="1" t="n">
        <v>46086</v>
      </c>
      <c r="D1764" t="inlineStr">
        <is>
          <t>GÄVLEBORGS LÄN</t>
        </is>
      </c>
      <c r="E1764" t="inlineStr">
        <is>
          <t>OVANÅKER</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56709-2024</t>
        </is>
      </c>
      <c r="B1765" s="1" t="n">
        <v>45627.92614583333</v>
      </c>
      <c r="C1765" s="1" t="n">
        <v>46086</v>
      </c>
      <c r="D1765" t="inlineStr">
        <is>
          <t>GÄVLEBORGS LÄN</t>
        </is>
      </c>
      <c r="E1765" t="inlineStr">
        <is>
          <t>HUDIKSVALL</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11410-2025</t>
        </is>
      </c>
      <c r="B1766" s="1" t="n">
        <v>45726.59032407407</v>
      </c>
      <c r="C1766" s="1" t="n">
        <v>46086</v>
      </c>
      <c r="D1766" t="inlineStr">
        <is>
          <t>GÄVLEBORGS LÄN</t>
        </is>
      </c>
      <c r="E1766" t="inlineStr">
        <is>
          <t>GÄVLE</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11417-2025</t>
        </is>
      </c>
      <c r="B1767" s="1" t="n">
        <v>45726.59607638889</v>
      </c>
      <c r="C1767" s="1" t="n">
        <v>46086</v>
      </c>
      <c r="D1767" t="inlineStr">
        <is>
          <t>GÄVLEBORGS LÄN</t>
        </is>
      </c>
      <c r="E1767" t="inlineStr">
        <is>
          <t>GÄVLE</t>
        </is>
      </c>
      <c r="F1767" t="inlineStr">
        <is>
          <t>Bergvik skog öst AB</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13194-2025</t>
        </is>
      </c>
      <c r="B1768" s="1" t="n">
        <v>45735</v>
      </c>
      <c r="C1768" s="1" t="n">
        <v>46086</v>
      </c>
      <c r="D1768" t="inlineStr">
        <is>
          <t>GÄVLEBORGS LÄN</t>
        </is>
      </c>
      <c r="E1768" t="inlineStr">
        <is>
          <t>SANDVIKEN</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15630-2025</t>
        </is>
      </c>
      <c r="B1769" s="1" t="n">
        <v>45748.36497685185</v>
      </c>
      <c r="C1769" s="1" t="n">
        <v>46086</v>
      </c>
      <c r="D1769" t="inlineStr">
        <is>
          <t>GÄVLEBORGS LÄN</t>
        </is>
      </c>
      <c r="E1769" t="inlineStr">
        <is>
          <t>SÖDERHAMN</t>
        </is>
      </c>
      <c r="F1769" t="inlineStr">
        <is>
          <t>Kommuner</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12880-2023</t>
        </is>
      </c>
      <c r="B1770" s="1" t="n">
        <v>45001</v>
      </c>
      <c r="C1770" s="1" t="n">
        <v>46086</v>
      </c>
      <c r="D1770" t="inlineStr">
        <is>
          <t>GÄVLEBORGS LÄN</t>
        </is>
      </c>
      <c r="E1770" t="inlineStr">
        <is>
          <t>HUDIKSVALL</t>
        </is>
      </c>
      <c r="G1770" t="n">
        <v>11.4</v>
      </c>
      <c r="H1770" t="n">
        <v>0</v>
      </c>
      <c r="I1770" t="n">
        <v>0</v>
      </c>
      <c r="J1770" t="n">
        <v>0</v>
      </c>
      <c r="K1770" t="n">
        <v>0</v>
      </c>
      <c r="L1770" t="n">
        <v>0</v>
      </c>
      <c r="M1770" t="n">
        <v>0</v>
      </c>
      <c r="N1770" t="n">
        <v>0</v>
      </c>
      <c r="O1770" t="n">
        <v>0</v>
      </c>
      <c r="P1770" t="n">
        <v>0</v>
      </c>
      <c r="Q1770" t="n">
        <v>0</v>
      </c>
      <c r="R1770" s="2" t="inlineStr"/>
    </row>
    <row r="1771" ht="15" customHeight="1">
      <c r="A1771" t="inlineStr">
        <is>
          <t>A 19641-2023</t>
        </is>
      </c>
      <c r="B1771" s="1" t="n">
        <v>45051.31606481481</v>
      </c>
      <c r="C1771" s="1" t="n">
        <v>46086</v>
      </c>
      <c r="D1771" t="inlineStr">
        <is>
          <t>GÄVLEBORGS LÄN</t>
        </is>
      </c>
      <c r="E1771" t="inlineStr">
        <is>
          <t>HUDIKSVALL</t>
        </is>
      </c>
      <c r="F1771" t="inlineStr">
        <is>
          <t>Holmen skog AB</t>
        </is>
      </c>
      <c r="G1771" t="n">
        <v>6.2</v>
      </c>
      <c r="H1771" t="n">
        <v>0</v>
      </c>
      <c r="I1771" t="n">
        <v>0</v>
      </c>
      <c r="J1771" t="n">
        <v>0</v>
      </c>
      <c r="K1771" t="n">
        <v>0</v>
      </c>
      <c r="L1771" t="n">
        <v>0</v>
      </c>
      <c r="M1771" t="n">
        <v>0</v>
      </c>
      <c r="N1771" t="n">
        <v>0</v>
      </c>
      <c r="O1771" t="n">
        <v>0</v>
      </c>
      <c r="P1771" t="n">
        <v>0</v>
      </c>
      <c r="Q1771" t="n">
        <v>0</v>
      </c>
      <c r="R1771" s="2" t="inlineStr"/>
    </row>
    <row r="1772" ht="15" customHeight="1">
      <c r="A1772" t="inlineStr">
        <is>
          <t>A 14750-2022</t>
        </is>
      </c>
      <c r="B1772" s="1" t="n">
        <v>44656</v>
      </c>
      <c r="C1772" s="1" t="n">
        <v>46086</v>
      </c>
      <c r="D1772" t="inlineStr">
        <is>
          <t>GÄVLEBORGS LÄN</t>
        </is>
      </c>
      <c r="E1772" t="inlineStr">
        <is>
          <t>GÄVLE</t>
        </is>
      </c>
      <c r="G1772" t="n">
        <v>0.1</v>
      </c>
      <c r="H1772" t="n">
        <v>0</v>
      </c>
      <c r="I1772" t="n">
        <v>0</v>
      </c>
      <c r="J1772" t="n">
        <v>0</v>
      </c>
      <c r="K1772" t="n">
        <v>0</v>
      </c>
      <c r="L1772" t="n">
        <v>0</v>
      </c>
      <c r="M1772" t="n">
        <v>0</v>
      </c>
      <c r="N1772" t="n">
        <v>0</v>
      </c>
      <c r="O1772" t="n">
        <v>0</v>
      </c>
      <c r="P1772" t="n">
        <v>0</v>
      </c>
      <c r="Q1772" t="n">
        <v>0</v>
      </c>
      <c r="R1772" s="2" t="inlineStr"/>
    </row>
    <row r="1773" ht="15" customHeight="1">
      <c r="A1773" t="inlineStr">
        <is>
          <t>A 14840-2022</t>
        </is>
      </c>
      <c r="B1773" s="1" t="n">
        <v>44656.57594907407</v>
      </c>
      <c r="C1773" s="1" t="n">
        <v>46086</v>
      </c>
      <c r="D1773" t="inlineStr">
        <is>
          <t>GÄVLEBORGS LÄN</t>
        </is>
      </c>
      <c r="E1773" t="inlineStr">
        <is>
          <t>SANDVIKEN</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52181-2024</t>
        </is>
      </c>
      <c r="B1774" s="1" t="n">
        <v>45608.56155092592</v>
      </c>
      <c r="C1774" s="1" t="n">
        <v>46086</v>
      </c>
      <c r="D1774" t="inlineStr">
        <is>
          <t>GÄVLEBORGS LÄN</t>
        </is>
      </c>
      <c r="E1774" t="inlineStr">
        <is>
          <t>BOLLNÄS</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45920-2022</t>
        </is>
      </c>
      <c r="B1775" s="1" t="n">
        <v>44846.62366898148</v>
      </c>
      <c r="C1775" s="1" t="n">
        <v>46086</v>
      </c>
      <c r="D1775" t="inlineStr">
        <is>
          <t>GÄVLEBORGS LÄN</t>
        </is>
      </c>
      <c r="E1775" t="inlineStr">
        <is>
          <t>SANDVIKEN</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1066-2025</t>
        </is>
      </c>
      <c r="B1776" s="1" t="n">
        <v>45666.58805555556</v>
      </c>
      <c r="C1776" s="1" t="n">
        <v>46086</v>
      </c>
      <c r="D1776" t="inlineStr">
        <is>
          <t>GÄVLEBORGS LÄN</t>
        </is>
      </c>
      <c r="E1776" t="inlineStr">
        <is>
          <t>GÄVLE</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1072-2025</t>
        </is>
      </c>
      <c r="B1777" s="1" t="n">
        <v>45666.59835648148</v>
      </c>
      <c r="C1777" s="1" t="n">
        <v>46086</v>
      </c>
      <c r="D1777" t="inlineStr">
        <is>
          <t>GÄVLEBORGS LÄN</t>
        </is>
      </c>
      <c r="E1777" t="inlineStr">
        <is>
          <t>OVANÅKER</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39267-2022</t>
        </is>
      </c>
      <c r="B1778" s="1" t="n">
        <v>44817</v>
      </c>
      <c r="C1778" s="1" t="n">
        <v>46086</v>
      </c>
      <c r="D1778" t="inlineStr">
        <is>
          <t>GÄVLEBORGS LÄN</t>
        </is>
      </c>
      <c r="E1778" t="inlineStr">
        <is>
          <t>HUDIKSVALL</t>
        </is>
      </c>
      <c r="F1778" t="inlineStr">
        <is>
          <t>Holmen skog AB</t>
        </is>
      </c>
      <c r="G1778" t="n">
        <v>11.2</v>
      </c>
      <c r="H1778" t="n">
        <v>0</v>
      </c>
      <c r="I1778" t="n">
        <v>0</v>
      </c>
      <c r="J1778" t="n">
        <v>0</v>
      </c>
      <c r="K1778" t="n">
        <v>0</v>
      </c>
      <c r="L1778" t="n">
        <v>0</v>
      </c>
      <c r="M1778" t="n">
        <v>0</v>
      </c>
      <c r="N1778" t="n">
        <v>0</v>
      </c>
      <c r="O1778" t="n">
        <v>0</v>
      </c>
      <c r="P1778" t="n">
        <v>0</v>
      </c>
      <c r="Q1778" t="n">
        <v>0</v>
      </c>
      <c r="R1778" s="2" t="inlineStr"/>
    </row>
    <row r="1779" ht="15" customHeight="1">
      <c r="A1779" t="inlineStr">
        <is>
          <t>A 61492-2024</t>
        </is>
      </c>
      <c r="B1779" s="1" t="n">
        <v>45646.55134259259</v>
      </c>
      <c r="C1779" s="1" t="n">
        <v>46086</v>
      </c>
      <c r="D1779" t="inlineStr">
        <is>
          <t>GÄVLEBORGS LÄN</t>
        </is>
      </c>
      <c r="E1779" t="inlineStr">
        <is>
          <t>GÄVLE</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53393-2022</t>
        </is>
      </c>
      <c r="B1780" s="1" t="n">
        <v>44879</v>
      </c>
      <c r="C1780" s="1" t="n">
        <v>46086</v>
      </c>
      <c r="D1780" t="inlineStr">
        <is>
          <t>GÄVLEBORGS LÄN</t>
        </is>
      </c>
      <c r="E1780" t="inlineStr">
        <is>
          <t>OCKELBO</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42324-2024</t>
        </is>
      </c>
      <c r="B1781" s="1" t="n">
        <v>45562.6505787037</v>
      </c>
      <c r="C1781" s="1" t="n">
        <v>46086</v>
      </c>
      <c r="D1781" t="inlineStr">
        <is>
          <t>GÄVLEBORGS LÄN</t>
        </is>
      </c>
      <c r="E1781" t="inlineStr">
        <is>
          <t>OVANÅKER</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25250-2024</t>
        </is>
      </c>
      <c r="B1782" s="1" t="n">
        <v>45462.60744212963</v>
      </c>
      <c r="C1782" s="1" t="n">
        <v>46086</v>
      </c>
      <c r="D1782" t="inlineStr">
        <is>
          <t>GÄVLEBORGS LÄN</t>
        </is>
      </c>
      <c r="E1782" t="inlineStr">
        <is>
          <t>OVANÅKER</t>
        </is>
      </c>
      <c r="F1782" t="inlineStr">
        <is>
          <t>Bergvik skog öst AB</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64015-2023</t>
        </is>
      </c>
      <c r="B1783" s="1" t="n">
        <v>45278</v>
      </c>
      <c r="C1783" s="1" t="n">
        <v>46086</v>
      </c>
      <c r="D1783" t="inlineStr">
        <is>
          <t>GÄVLEBORGS LÄN</t>
        </is>
      </c>
      <c r="E1783" t="inlineStr">
        <is>
          <t>HUDIKSVALL</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54565-2021</t>
        </is>
      </c>
      <c r="B1784" s="1" t="n">
        <v>44473.57090277778</v>
      </c>
      <c r="C1784" s="1" t="n">
        <v>46086</v>
      </c>
      <c r="D1784" t="inlineStr">
        <is>
          <t>GÄVLEBORGS LÄN</t>
        </is>
      </c>
      <c r="E1784" t="inlineStr">
        <is>
          <t>HUDIKSVALL</t>
        </is>
      </c>
      <c r="F1784" t="inlineStr">
        <is>
          <t>Holmen skog AB</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19484-2023</t>
        </is>
      </c>
      <c r="B1785" s="1" t="n">
        <v>45050</v>
      </c>
      <c r="C1785" s="1" t="n">
        <v>46086</v>
      </c>
      <c r="D1785" t="inlineStr">
        <is>
          <t>GÄVLEBORGS LÄN</t>
        </is>
      </c>
      <c r="E1785" t="inlineStr">
        <is>
          <t>HUDIKSVALL</t>
        </is>
      </c>
      <c r="F1785" t="inlineStr">
        <is>
          <t>Holmen skog AB</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11438-2023</t>
        </is>
      </c>
      <c r="B1786" s="1" t="n">
        <v>44988</v>
      </c>
      <c r="C1786" s="1" t="n">
        <v>46086</v>
      </c>
      <c r="D1786" t="inlineStr">
        <is>
          <t>GÄVLEBORGS LÄN</t>
        </is>
      </c>
      <c r="E1786" t="inlineStr">
        <is>
          <t>SANDVIKEN</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11447-2023</t>
        </is>
      </c>
      <c r="B1787" s="1" t="n">
        <v>44988</v>
      </c>
      <c r="C1787" s="1" t="n">
        <v>46086</v>
      </c>
      <c r="D1787" t="inlineStr">
        <is>
          <t>GÄVLEBORGS LÄN</t>
        </is>
      </c>
      <c r="E1787" t="inlineStr">
        <is>
          <t>SANDVIKEN</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11920-2025</t>
        </is>
      </c>
      <c r="B1788" s="1" t="n">
        <v>45728.49407407407</v>
      </c>
      <c r="C1788" s="1" t="n">
        <v>46086</v>
      </c>
      <c r="D1788" t="inlineStr">
        <is>
          <t>GÄVLEBORGS LÄN</t>
        </is>
      </c>
      <c r="E1788" t="inlineStr">
        <is>
          <t>LJUSDAL</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10796-2025</t>
        </is>
      </c>
      <c r="B1789" s="1" t="n">
        <v>45722.50196759259</v>
      </c>
      <c r="C1789" s="1" t="n">
        <v>46086</v>
      </c>
      <c r="D1789" t="inlineStr">
        <is>
          <t>GÄVLEBORGS LÄN</t>
        </is>
      </c>
      <c r="E1789" t="inlineStr">
        <is>
          <t>NORDANSTIG</t>
        </is>
      </c>
      <c r="F1789" t="inlineStr">
        <is>
          <t>Holmen skog AB</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35225-2024</t>
        </is>
      </c>
      <c r="B1790" s="1" t="n">
        <v>45530.51480324074</v>
      </c>
      <c r="C1790" s="1" t="n">
        <v>46086</v>
      </c>
      <c r="D1790" t="inlineStr">
        <is>
          <t>GÄVLEBORGS LÄN</t>
        </is>
      </c>
      <c r="E1790" t="inlineStr">
        <is>
          <t>GÄVLE</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60193-2024</t>
        </is>
      </c>
      <c r="B1791" s="1" t="n">
        <v>45642.65353009259</v>
      </c>
      <c r="C1791" s="1" t="n">
        <v>46086</v>
      </c>
      <c r="D1791" t="inlineStr">
        <is>
          <t>GÄVLEBORGS LÄN</t>
        </is>
      </c>
      <c r="E1791" t="inlineStr">
        <is>
          <t>NORDANSTIG</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60197-2024</t>
        </is>
      </c>
      <c r="B1792" s="1" t="n">
        <v>45642.6599537037</v>
      </c>
      <c r="C1792" s="1" t="n">
        <v>46086</v>
      </c>
      <c r="D1792" t="inlineStr">
        <is>
          <t>GÄVLEBORGS LÄN</t>
        </is>
      </c>
      <c r="E1792" t="inlineStr">
        <is>
          <t>LJUSDAL</t>
        </is>
      </c>
      <c r="G1792" t="n">
        <v>4.9</v>
      </c>
      <c r="H1792" t="n">
        <v>0</v>
      </c>
      <c r="I1792" t="n">
        <v>0</v>
      </c>
      <c r="J1792" t="n">
        <v>0</v>
      </c>
      <c r="K1792" t="n">
        <v>0</v>
      </c>
      <c r="L1792" t="n">
        <v>0</v>
      </c>
      <c r="M1792" t="n">
        <v>0</v>
      </c>
      <c r="N1792" t="n">
        <v>0</v>
      </c>
      <c r="O1792" t="n">
        <v>0</v>
      </c>
      <c r="P1792" t="n">
        <v>0</v>
      </c>
      <c r="Q1792" t="n">
        <v>0</v>
      </c>
      <c r="R1792" s="2" t="inlineStr"/>
    </row>
    <row r="1793" ht="15" customHeight="1">
      <c r="A1793" t="inlineStr">
        <is>
          <t>A 38793-2024</t>
        </is>
      </c>
      <c r="B1793" s="1" t="n">
        <v>45547.48995370371</v>
      </c>
      <c r="C1793" s="1" t="n">
        <v>46086</v>
      </c>
      <c r="D1793" t="inlineStr">
        <is>
          <t>GÄVLEBORGS LÄN</t>
        </is>
      </c>
      <c r="E1793" t="inlineStr">
        <is>
          <t>GÄVLE</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38799-2024</t>
        </is>
      </c>
      <c r="B1794" s="1" t="n">
        <v>45547</v>
      </c>
      <c r="C1794" s="1" t="n">
        <v>46086</v>
      </c>
      <c r="D1794" t="inlineStr">
        <is>
          <t>GÄVLEBORGS LÄN</t>
        </is>
      </c>
      <c r="E1794" t="inlineStr">
        <is>
          <t>OCKELBO</t>
        </is>
      </c>
      <c r="F1794" t="inlineStr">
        <is>
          <t>Kyrkan</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12166-2024</t>
        </is>
      </c>
      <c r="B1795" s="1" t="n">
        <v>45377.8671412037</v>
      </c>
      <c r="C1795" s="1" t="n">
        <v>46086</v>
      </c>
      <c r="D1795" t="inlineStr">
        <is>
          <t>GÄVLEBORGS LÄN</t>
        </is>
      </c>
      <c r="E1795" t="inlineStr">
        <is>
          <t>BOLLNÄS</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51983-2024</t>
        </is>
      </c>
      <c r="B1796" s="1" t="n">
        <v>45607.67049768518</v>
      </c>
      <c r="C1796" s="1" t="n">
        <v>46086</v>
      </c>
      <c r="D1796" t="inlineStr">
        <is>
          <t>GÄVLEBORGS LÄN</t>
        </is>
      </c>
      <c r="E1796" t="inlineStr">
        <is>
          <t>BOLLNÄS</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33978-2024</t>
        </is>
      </c>
      <c r="B1797" s="1" t="n">
        <v>45523.51716435186</v>
      </c>
      <c r="C1797" s="1" t="n">
        <v>46086</v>
      </c>
      <c r="D1797" t="inlineStr">
        <is>
          <t>GÄVLEBORGS LÄN</t>
        </is>
      </c>
      <c r="E1797" t="inlineStr">
        <is>
          <t>HOFORS</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38667-2023</t>
        </is>
      </c>
      <c r="B1798" s="1" t="n">
        <v>45162.91134259259</v>
      </c>
      <c r="C1798" s="1" t="n">
        <v>46086</v>
      </c>
      <c r="D1798" t="inlineStr">
        <is>
          <t>GÄVLEBORGS LÄN</t>
        </is>
      </c>
      <c r="E1798" t="inlineStr">
        <is>
          <t>HUDIKSVALL</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45299-2023</t>
        </is>
      </c>
      <c r="B1799" s="1" t="n">
        <v>45191.66645833333</v>
      </c>
      <c r="C1799" s="1" t="n">
        <v>46086</v>
      </c>
      <c r="D1799" t="inlineStr">
        <is>
          <t>GÄVLEBORGS LÄN</t>
        </is>
      </c>
      <c r="E1799" t="inlineStr">
        <is>
          <t>SANDVIKEN</t>
        </is>
      </c>
      <c r="F1799" t="inlineStr">
        <is>
          <t>Bergvik skog öst AB</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33984-2024</t>
        </is>
      </c>
      <c r="B1800" s="1" t="n">
        <v>45523.52378472222</v>
      </c>
      <c r="C1800" s="1" t="n">
        <v>46086</v>
      </c>
      <c r="D1800" t="inlineStr">
        <is>
          <t>GÄVLEBORGS LÄN</t>
        </is>
      </c>
      <c r="E1800" t="inlineStr">
        <is>
          <t>HOFORS</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34013-2024</t>
        </is>
      </c>
      <c r="B1801" s="1" t="n">
        <v>45523.56701388889</v>
      </c>
      <c r="C1801" s="1" t="n">
        <v>46086</v>
      </c>
      <c r="D1801" t="inlineStr">
        <is>
          <t>GÄVLEBORGS LÄN</t>
        </is>
      </c>
      <c r="E1801" t="inlineStr">
        <is>
          <t>SANDVIKEN</t>
        </is>
      </c>
      <c r="F1801" t="inlineStr">
        <is>
          <t>Bergvik skog öst AB</t>
        </is>
      </c>
      <c r="G1801" t="n">
        <v>5.2</v>
      </c>
      <c r="H1801" t="n">
        <v>0</v>
      </c>
      <c r="I1801" t="n">
        <v>0</v>
      </c>
      <c r="J1801" t="n">
        <v>0</v>
      </c>
      <c r="K1801" t="n">
        <v>0</v>
      </c>
      <c r="L1801" t="n">
        <v>0</v>
      </c>
      <c r="M1801" t="n">
        <v>0</v>
      </c>
      <c r="N1801" t="n">
        <v>0</v>
      </c>
      <c r="O1801" t="n">
        <v>0</v>
      </c>
      <c r="P1801" t="n">
        <v>0</v>
      </c>
      <c r="Q1801" t="n">
        <v>0</v>
      </c>
      <c r="R1801" s="2" t="inlineStr"/>
    </row>
    <row r="1802" ht="15" customHeight="1">
      <c r="A1802" t="inlineStr">
        <is>
          <t>A 45318-2023</t>
        </is>
      </c>
      <c r="B1802" s="1" t="n">
        <v>45191.76460648148</v>
      </c>
      <c r="C1802" s="1" t="n">
        <v>46086</v>
      </c>
      <c r="D1802" t="inlineStr">
        <is>
          <t>GÄVLEBORGS LÄN</t>
        </is>
      </c>
      <c r="E1802" t="inlineStr">
        <is>
          <t>HUDIKSVALL</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282-2025</t>
        </is>
      </c>
      <c r="B1803" s="1" t="n">
        <v>45660</v>
      </c>
      <c r="C1803" s="1" t="n">
        <v>46086</v>
      </c>
      <c r="D1803" t="inlineStr">
        <is>
          <t>GÄVLEBORGS LÄN</t>
        </is>
      </c>
      <c r="E1803" t="inlineStr">
        <is>
          <t>NORDANSTIG</t>
        </is>
      </c>
      <c r="F1803" t="inlineStr">
        <is>
          <t>Holmen skog AB</t>
        </is>
      </c>
      <c r="G1803" t="n">
        <v>14.1</v>
      </c>
      <c r="H1803" t="n">
        <v>0</v>
      </c>
      <c r="I1803" t="n">
        <v>0</v>
      </c>
      <c r="J1803" t="n">
        <v>0</v>
      </c>
      <c r="K1803" t="n">
        <v>0</v>
      </c>
      <c r="L1803" t="n">
        <v>0</v>
      </c>
      <c r="M1803" t="n">
        <v>0</v>
      </c>
      <c r="N1803" t="n">
        <v>0</v>
      </c>
      <c r="O1803" t="n">
        <v>0</v>
      </c>
      <c r="P1803" t="n">
        <v>0</v>
      </c>
      <c r="Q1803" t="n">
        <v>0</v>
      </c>
      <c r="R1803" s="2" t="inlineStr"/>
    </row>
    <row r="1804" ht="15" customHeight="1">
      <c r="A1804" t="inlineStr">
        <is>
          <t>A 22459-2023</t>
        </is>
      </c>
      <c r="B1804" s="1" t="n">
        <v>45070</v>
      </c>
      <c r="C1804" s="1" t="n">
        <v>46086</v>
      </c>
      <c r="D1804" t="inlineStr">
        <is>
          <t>GÄVLEBORGS LÄN</t>
        </is>
      </c>
      <c r="E1804" t="inlineStr">
        <is>
          <t>NORDANSTIG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19724-2024</t>
        </is>
      </c>
      <c r="B1805" s="1" t="n">
        <v>45432</v>
      </c>
      <c r="C1805" s="1" t="n">
        <v>46086</v>
      </c>
      <c r="D1805" t="inlineStr">
        <is>
          <t>GÄVLEBORGS LÄN</t>
        </is>
      </c>
      <c r="E1805" t="inlineStr">
        <is>
          <t>HUDIKSVALL</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18430-2021</t>
        </is>
      </c>
      <c r="B1806" s="1" t="n">
        <v>44305.68789351852</v>
      </c>
      <c r="C1806" s="1" t="n">
        <v>46086</v>
      </c>
      <c r="D1806" t="inlineStr">
        <is>
          <t>GÄVLEBORGS LÄN</t>
        </is>
      </c>
      <c r="E1806" t="inlineStr">
        <is>
          <t>NORDANSTIG</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7748-2025</t>
        </is>
      </c>
      <c r="B1807" s="1" t="n">
        <v>45706</v>
      </c>
      <c r="C1807" s="1" t="n">
        <v>46086</v>
      </c>
      <c r="D1807" t="inlineStr">
        <is>
          <t>GÄVLEBORGS LÄN</t>
        </is>
      </c>
      <c r="E1807" t="inlineStr">
        <is>
          <t>GÄVLE</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42417-2024</t>
        </is>
      </c>
      <c r="B1808" s="1" t="n">
        <v>45565.38208333333</v>
      </c>
      <c r="C1808" s="1" t="n">
        <v>46086</v>
      </c>
      <c r="D1808" t="inlineStr">
        <is>
          <t>GÄVLEBORGS LÄN</t>
        </is>
      </c>
      <c r="E1808" t="inlineStr">
        <is>
          <t>LJUSDAL</t>
        </is>
      </c>
      <c r="G1808" t="n">
        <v>5.3</v>
      </c>
      <c r="H1808" t="n">
        <v>0</v>
      </c>
      <c r="I1808" t="n">
        <v>0</v>
      </c>
      <c r="J1808" t="n">
        <v>0</v>
      </c>
      <c r="K1808" t="n">
        <v>0</v>
      </c>
      <c r="L1808" t="n">
        <v>0</v>
      </c>
      <c r="M1808" t="n">
        <v>0</v>
      </c>
      <c r="N1808" t="n">
        <v>0</v>
      </c>
      <c r="O1808" t="n">
        <v>0</v>
      </c>
      <c r="P1808" t="n">
        <v>0</v>
      </c>
      <c r="Q1808" t="n">
        <v>0</v>
      </c>
      <c r="R1808" s="2" t="inlineStr"/>
    </row>
    <row r="1809" ht="15" customHeight="1">
      <c r="A1809" t="inlineStr">
        <is>
          <t>A 11762-2023</t>
        </is>
      </c>
      <c r="B1809" s="1" t="n">
        <v>44994</v>
      </c>
      <c r="C1809" s="1" t="n">
        <v>46086</v>
      </c>
      <c r="D1809" t="inlineStr">
        <is>
          <t>GÄVLEBORGS LÄN</t>
        </is>
      </c>
      <c r="E1809" t="inlineStr">
        <is>
          <t>NORDANSTIG</t>
        </is>
      </c>
      <c r="G1809" t="n">
        <v>9.5</v>
      </c>
      <c r="H1809" t="n">
        <v>0</v>
      </c>
      <c r="I1809" t="n">
        <v>0</v>
      </c>
      <c r="J1809" t="n">
        <v>0</v>
      </c>
      <c r="K1809" t="n">
        <v>0</v>
      </c>
      <c r="L1809" t="n">
        <v>0</v>
      </c>
      <c r="M1809" t="n">
        <v>0</v>
      </c>
      <c r="N1809" t="n">
        <v>0</v>
      </c>
      <c r="O1809" t="n">
        <v>0</v>
      </c>
      <c r="P1809" t="n">
        <v>0</v>
      </c>
      <c r="Q1809" t="n">
        <v>0</v>
      </c>
      <c r="R1809" s="2" t="inlineStr"/>
    </row>
    <row r="1810" ht="15" customHeight="1">
      <c r="A1810" t="inlineStr">
        <is>
          <t>A 22588-2023</t>
        </is>
      </c>
      <c r="B1810" s="1" t="n">
        <v>45071.48023148148</v>
      </c>
      <c r="C1810" s="1" t="n">
        <v>46086</v>
      </c>
      <c r="D1810" t="inlineStr">
        <is>
          <t>GÄVLEBORGS LÄN</t>
        </is>
      </c>
      <c r="E1810" t="inlineStr">
        <is>
          <t>HUDIKSVALL</t>
        </is>
      </c>
      <c r="G1810" t="n">
        <v>8.4</v>
      </c>
      <c r="H1810" t="n">
        <v>0</v>
      </c>
      <c r="I1810" t="n">
        <v>0</v>
      </c>
      <c r="J1810" t="n">
        <v>0</v>
      </c>
      <c r="K1810" t="n">
        <v>0</v>
      </c>
      <c r="L1810" t="n">
        <v>0</v>
      </c>
      <c r="M1810" t="n">
        <v>0</v>
      </c>
      <c r="N1810" t="n">
        <v>0</v>
      </c>
      <c r="O1810" t="n">
        <v>0</v>
      </c>
      <c r="P1810" t="n">
        <v>0</v>
      </c>
      <c r="Q1810" t="n">
        <v>0</v>
      </c>
      <c r="R1810" s="2" t="inlineStr"/>
    </row>
    <row r="1811" ht="15" customHeight="1">
      <c r="A1811" t="inlineStr">
        <is>
          <t>A 19954-2023</t>
        </is>
      </c>
      <c r="B1811" s="1" t="n">
        <v>45054.54555555555</v>
      </c>
      <c r="C1811" s="1" t="n">
        <v>46086</v>
      </c>
      <c r="D1811" t="inlineStr">
        <is>
          <t>GÄVLEBORGS LÄN</t>
        </is>
      </c>
      <c r="E1811" t="inlineStr">
        <is>
          <t>LJUSDAL</t>
        </is>
      </c>
      <c r="F1811" t="inlineStr">
        <is>
          <t>Holmen skog AB</t>
        </is>
      </c>
      <c r="G1811" t="n">
        <v>6.1</v>
      </c>
      <c r="H1811" t="n">
        <v>0</v>
      </c>
      <c r="I1811" t="n">
        <v>0</v>
      </c>
      <c r="J1811" t="n">
        <v>0</v>
      </c>
      <c r="K1811" t="n">
        <v>0</v>
      </c>
      <c r="L1811" t="n">
        <v>0</v>
      </c>
      <c r="M1811" t="n">
        <v>0</v>
      </c>
      <c r="N1811" t="n">
        <v>0</v>
      </c>
      <c r="O1811" t="n">
        <v>0</v>
      </c>
      <c r="P1811" t="n">
        <v>0</v>
      </c>
      <c r="Q1811" t="n">
        <v>0</v>
      </c>
      <c r="R1811" s="2" t="inlineStr"/>
    </row>
    <row r="1812" ht="15" customHeight="1">
      <c r="A1812" t="inlineStr">
        <is>
          <t>A 62926-2023</t>
        </is>
      </c>
      <c r="B1812" s="1" t="n">
        <v>45272</v>
      </c>
      <c r="C1812" s="1" t="n">
        <v>46086</v>
      </c>
      <c r="D1812" t="inlineStr">
        <is>
          <t>GÄVLEBORGS LÄN</t>
        </is>
      </c>
      <c r="E1812" t="inlineStr">
        <is>
          <t>HUDIKSVALL</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25532-2023</t>
        </is>
      </c>
      <c r="B1813" s="1" t="n">
        <v>45089.5450462963</v>
      </c>
      <c r="C1813" s="1" t="n">
        <v>46086</v>
      </c>
      <c r="D1813" t="inlineStr">
        <is>
          <t>GÄVLEBORGS LÄN</t>
        </is>
      </c>
      <c r="E1813" t="inlineStr">
        <is>
          <t>GÄVLE</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49448-2023</t>
        </is>
      </c>
      <c r="B1814" s="1" t="n">
        <v>45211</v>
      </c>
      <c r="C1814" s="1" t="n">
        <v>46086</v>
      </c>
      <c r="D1814" t="inlineStr">
        <is>
          <t>GÄVLEBORGS LÄN</t>
        </is>
      </c>
      <c r="E1814" t="inlineStr">
        <is>
          <t>OCKELBO</t>
        </is>
      </c>
      <c r="F1814" t="inlineStr">
        <is>
          <t>Bergvik skog väst AB</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65363-2021</t>
        </is>
      </c>
      <c r="B1815" s="1" t="n">
        <v>44515.67112268518</v>
      </c>
      <c r="C1815" s="1" t="n">
        <v>46086</v>
      </c>
      <c r="D1815" t="inlineStr">
        <is>
          <t>GÄVLEBORGS LÄN</t>
        </is>
      </c>
      <c r="E1815" t="inlineStr">
        <is>
          <t>HUDIKSVALL</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43274-2023</t>
        </is>
      </c>
      <c r="B1816" s="1" t="n">
        <v>45183.54471064815</v>
      </c>
      <c r="C1816" s="1" t="n">
        <v>46086</v>
      </c>
      <c r="D1816" t="inlineStr">
        <is>
          <t>GÄVLEBORGS LÄN</t>
        </is>
      </c>
      <c r="E1816" t="inlineStr">
        <is>
          <t>OVANÅKER</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43469-2023</t>
        </is>
      </c>
      <c r="B1817" s="1" t="n">
        <v>45184.4184837963</v>
      </c>
      <c r="C1817" s="1" t="n">
        <v>46086</v>
      </c>
      <c r="D1817" t="inlineStr">
        <is>
          <t>GÄVLEBORGS LÄN</t>
        </is>
      </c>
      <c r="E1817" t="inlineStr">
        <is>
          <t>HUDIKSVALL</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37534-2023</t>
        </is>
      </c>
      <c r="B1818" s="1" t="n">
        <v>45158.91878472222</v>
      </c>
      <c r="C1818" s="1" t="n">
        <v>46086</v>
      </c>
      <c r="D1818" t="inlineStr">
        <is>
          <t>GÄVLEBORGS LÄN</t>
        </is>
      </c>
      <c r="E1818" t="inlineStr">
        <is>
          <t>GÄVLE</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37538-2023</t>
        </is>
      </c>
      <c r="B1819" s="1" t="n">
        <v>45158.94141203703</v>
      </c>
      <c r="C1819" s="1" t="n">
        <v>46086</v>
      </c>
      <c r="D1819" t="inlineStr">
        <is>
          <t>GÄVLEBORGS LÄN</t>
        </is>
      </c>
      <c r="E1819" t="inlineStr">
        <is>
          <t>GÄVLE</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15877-2025</t>
        </is>
      </c>
      <c r="B1820" s="1" t="n">
        <v>45749.38613425926</v>
      </c>
      <c r="C1820" s="1" t="n">
        <v>46086</v>
      </c>
      <c r="D1820" t="inlineStr">
        <is>
          <t>GÄVLEBORGS LÄN</t>
        </is>
      </c>
      <c r="E1820" t="inlineStr">
        <is>
          <t>SÖDERHAMN</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15292-2021</t>
        </is>
      </c>
      <c r="B1821" s="1" t="n">
        <v>44284</v>
      </c>
      <c r="C1821" s="1" t="n">
        <v>46086</v>
      </c>
      <c r="D1821" t="inlineStr">
        <is>
          <t>GÄVLEBORGS LÄN</t>
        </is>
      </c>
      <c r="E1821" t="inlineStr">
        <is>
          <t>NORDANSTIG</t>
        </is>
      </c>
      <c r="G1821" t="n">
        <v>7</v>
      </c>
      <c r="H1821" t="n">
        <v>0</v>
      </c>
      <c r="I1821" t="n">
        <v>0</v>
      </c>
      <c r="J1821" t="n">
        <v>0</v>
      </c>
      <c r="K1821" t="n">
        <v>0</v>
      </c>
      <c r="L1821" t="n">
        <v>0</v>
      </c>
      <c r="M1821" t="n">
        <v>0</v>
      </c>
      <c r="N1821" t="n">
        <v>0</v>
      </c>
      <c r="O1821" t="n">
        <v>0</v>
      </c>
      <c r="P1821" t="n">
        <v>0</v>
      </c>
      <c r="Q1821" t="n">
        <v>0</v>
      </c>
      <c r="R1821" s="2" t="inlineStr"/>
    </row>
    <row r="1822" ht="15" customHeight="1">
      <c r="A1822" t="inlineStr">
        <is>
          <t>A 50830-2024</t>
        </is>
      </c>
      <c r="B1822" s="1" t="n">
        <v>45602.58806712963</v>
      </c>
      <c r="C1822" s="1" t="n">
        <v>46086</v>
      </c>
      <c r="D1822" t="inlineStr">
        <is>
          <t>GÄVLEBORGS LÄN</t>
        </is>
      </c>
      <c r="E1822" t="inlineStr">
        <is>
          <t>LJUSDAL</t>
        </is>
      </c>
      <c r="F1822" t="inlineStr">
        <is>
          <t>Holmen skog AB</t>
        </is>
      </c>
      <c r="G1822" t="n">
        <v>16.9</v>
      </c>
      <c r="H1822" t="n">
        <v>0</v>
      </c>
      <c r="I1822" t="n">
        <v>0</v>
      </c>
      <c r="J1822" t="n">
        <v>0</v>
      </c>
      <c r="K1822" t="n">
        <v>0</v>
      </c>
      <c r="L1822" t="n">
        <v>0</v>
      </c>
      <c r="M1822" t="n">
        <v>0</v>
      </c>
      <c r="N1822" t="n">
        <v>0</v>
      </c>
      <c r="O1822" t="n">
        <v>0</v>
      </c>
      <c r="P1822" t="n">
        <v>0</v>
      </c>
      <c r="Q1822" t="n">
        <v>0</v>
      </c>
      <c r="R1822" s="2" t="inlineStr"/>
    </row>
    <row r="1823" ht="15" customHeight="1">
      <c r="A1823" t="inlineStr">
        <is>
          <t>A 13551-2025</t>
        </is>
      </c>
      <c r="B1823" s="1" t="n">
        <v>45736.54557870371</v>
      </c>
      <c r="C1823" s="1" t="n">
        <v>46086</v>
      </c>
      <c r="D1823" t="inlineStr">
        <is>
          <t>GÄVLEBORGS LÄN</t>
        </is>
      </c>
      <c r="E1823" t="inlineStr">
        <is>
          <t>LJUSDAL</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24665-2024</t>
        </is>
      </c>
      <c r="B1824" s="1" t="n">
        <v>45460.58212962963</v>
      </c>
      <c r="C1824" s="1" t="n">
        <v>46086</v>
      </c>
      <c r="D1824" t="inlineStr">
        <is>
          <t>GÄVLEBORGS LÄN</t>
        </is>
      </c>
      <c r="E1824" t="inlineStr">
        <is>
          <t>LJUSDAL</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61672-2023</t>
        </is>
      </c>
      <c r="B1825" s="1" t="n">
        <v>45265.62027777778</v>
      </c>
      <c r="C1825" s="1" t="n">
        <v>46086</v>
      </c>
      <c r="D1825" t="inlineStr">
        <is>
          <t>GÄVLEBORGS LÄN</t>
        </is>
      </c>
      <c r="E1825" t="inlineStr">
        <is>
          <t>GÄVLE</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59901-2022</t>
        </is>
      </c>
      <c r="B1826" s="1" t="n">
        <v>44908.89185185185</v>
      </c>
      <c r="C1826" s="1" t="n">
        <v>46086</v>
      </c>
      <c r="D1826" t="inlineStr">
        <is>
          <t>GÄVLEBORGS LÄN</t>
        </is>
      </c>
      <c r="E1826" t="inlineStr">
        <is>
          <t>LJUSDAL</t>
        </is>
      </c>
      <c r="G1826" t="n">
        <v>10.3</v>
      </c>
      <c r="H1826" t="n">
        <v>0</v>
      </c>
      <c r="I1826" t="n">
        <v>0</v>
      </c>
      <c r="J1826" t="n">
        <v>0</v>
      </c>
      <c r="K1826" t="n">
        <v>0</v>
      </c>
      <c r="L1826" t="n">
        <v>0</v>
      </c>
      <c r="M1826" t="n">
        <v>0</v>
      </c>
      <c r="N1826" t="n">
        <v>0</v>
      </c>
      <c r="O1826" t="n">
        <v>0</v>
      </c>
      <c r="P1826" t="n">
        <v>0</v>
      </c>
      <c r="Q1826" t="n">
        <v>0</v>
      </c>
      <c r="R1826" s="2" t="inlineStr"/>
    </row>
    <row r="1827" ht="15" customHeight="1">
      <c r="A1827" t="inlineStr">
        <is>
          <t>A 15295-2025</t>
        </is>
      </c>
      <c r="B1827" s="1" t="n">
        <v>45745.77329861111</v>
      </c>
      <c r="C1827" s="1" t="n">
        <v>46086</v>
      </c>
      <c r="D1827" t="inlineStr">
        <is>
          <t>GÄVLEBORGS LÄN</t>
        </is>
      </c>
      <c r="E1827" t="inlineStr">
        <is>
          <t>LJUSDAL</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18250-2025</t>
        </is>
      </c>
      <c r="B1828" s="1" t="n">
        <v>45762.33427083334</v>
      </c>
      <c r="C1828" s="1" t="n">
        <v>46086</v>
      </c>
      <c r="D1828" t="inlineStr">
        <is>
          <t>GÄVLEBORGS LÄN</t>
        </is>
      </c>
      <c r="E1828" t="inlineStr">
        <is>
          <t>LJUSDAL</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16431-2025</t>
        </is>
      </c>
      <c r="B1829" s="1" t="n">
        <v>45751.47953703703</v>
      </c>
      <c r="C1829" s="1" t="n">
        <v>46086</v>
      </c>
      <c r="D1829" t="inlineStr">
        <is>
          <t>GÄVLEBORGS LÄN</t>
        </is>
      </c>
      <c r="E1829" t="inlineStr">
        <is>
          <t>OVANÅKER</t>
        </is>
      </c>
      <c r="F1829" t="inlineStr">
        <is>
          <t>Bergvik skog öst AB</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55423-2023</t>
        </is>
      </c>
      <c r="B1830" s="1" t="n">
        <v>45238.4189699074</v>
      </c>
      <c r="C1830" s="1" t="n">
        <v>46086</v>
      </c>
      <c r="D1830" t="inlineStr">
        <is>
          <t>GÄVLEBORGS LÄN</t>
        </is>
      </c>
      <c r="E1830" t="inlineStr">
        <is>
          <t>OVANÅKER</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37767-2024</t>
        </is>
      </c>
      <c r="B1831" s="1" t="n">
        <v>45541.80368055555</v>
      </c>
      <c r="C1831" s="1" t="n">
        <v>46086</v>
      </c>
      <c r="D1831" t="inlineStr">
        <is>
          <t>GÄVLEBORGS LÄN</t>
        </is>
      </c>
      <c r="E1831" t="inlineStr">
        <is>
          <t>LJUSDAL</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42942-2024</t>
        </is>
      </c>
      <c r="B1832" s="1" t="n">
        <v>45567.35226851852</v>
      </c>
      <c r="C1832" s="1" t="n">
        <v>46086</v>
      </c>
      <c r="D1832" t="inlineStr">
        <is>
          <t>GÄVLEBORGS LÄN</t>
        </is>
      </c>
      <c r="E1832" t="inlineStr">
        <is>
          <t>HUDIKSVALL</t>
        </is>
      </c>
      <c r="F1832" t="inlineStr">
        <is>
          <t>Holmen skog AB</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61053-2023</t>
        </is>
      </c>
      <c r="B1833" s="1" t="n">
        <v>45261.60179398148</v>
      </c>
      <c r="C1833" s="1" t="n">
        <v>46086</v>
      </c>
      <c r="D1833" t="inlineStr">
        <is>
          <t>GÄVLEBORGS LÄN</t>
        </is>
      </c>
      <c r="E1833" t="inlineStr">
        <is>
          <t>LJUSDAL</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58544-2023</t>
        </is>
      </c>
      <c r="B1834" s="1" t="n">
        <v>45251</v>
      </c>
      <c r="C1834" s="1" t="n">
        <v>46086</v>
      </c>
      <c r="D1834" t="inlineStr">
        <is>
          <t>GÄVLEBORGS LÄN</t>
        </is>
      </c>
      <c r="E1834" t="inlineStr">
        <is>
          <t>SÖDERHAMN</t>
        </is>
      </c>
      <c r="F1834" t="inlineStr">
        <is>
          <t>Bergvik skog väst AB</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61060-2023</t>
        </is>
      </c>
      <c r="B1835" s="1" t="n">
        <v>45261.61160879629</v>
      </c>
      <c r="C1835" s="1" t="n">
        <v>46086</v>
      </c>
      <c r="D1835" t="inlineStr">
        <is>
          <t>GÄVLEBORGS LÄN</t>
        </is>
      </c>
      <c r="E1835" t="inlineStr">
        <is>
          <t>BOLLNÄS</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37778-2024</t>
        </is>
      </c>
      <c r="B1836" s="1" t="n">
        <v>45542</v>
      </c>
      <c r="C1836" s="1" t="n">
        <v>46086</v>
      </c>
      <c r="D1836" t="inlineStr">
        <is>
          <t>GÄVLEBORGS LÄN</t>
        </is>
      </c>
      <c r="E1836" t="inlineStr">
        <is>
          <t>HUDIKSVALL</t>
        </is>
      </c>
      <c r="F1836" t="inlineStr">
        <is>
          <t>Holmen skog AB</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61092-2023</t>
        </is>
      </c>
      <c r="B1837" s="1" t="n">
        <v>45261.64163194445</v>
      </c>
      <c r="C1837" s="1" t="n">
        <v>46086</v>
      </c>
      <c r="D1837" t="inlineStr">
        <is>
          <t>GÄVLEBORGS LÄN</t>
        </is>
      </c>
      <c r="E1837" t="inlineStr">
        <is>
          <t>LJUSDAL</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59063-2023</t>
        </is>
      </c>
      <c r="B1838" s="1" t="n">
        <v>45252.81868055555</v>
      </c>
      <c r="C1838" s="1" t="n">
        <v>46086</v>
      </c>
      <c r="D1838" t="inlineStr">
        <is>
          <t>GÄVLEBORGS LÄN</t>
        </is>
      </c>
      <c r="E1838" t="inlineStr">
        <is>
          <t>OCKELBO</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9309-2022</t>
        </is>
      </c>
      <c r="B1839" s="1" t="n">
        <v>44616.50363425926</v>
      </c>
      <c r="C1839" s="1" t="n">
        <v>46086</v>
      </c>
      <c r="D1839" t="inlineStr">
        <is>
          <t>GÄVLEBORGS LÄN</t>
        </is>
      </c>
      <c r="E1839" t="inlineStr">
        <is>
          <t>HUDIKSVALL</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40241-2023</t>
        </is>
      </c>
      <c r="B1840" s="1" t="n">
        <v>45169.48854166667</v>
      </c>
      <c r="C1840" s="1" t="n">
        <v>46086</v>
      </c>
      <c r="D1840" t="inlineStr">
        <is>
          <t>GÄVLEBORGS LÄN</t>
        </is>
      </c>
      <c r="E1840" t="inlineStr">
        <is>
          <t>NORDANSTIG</t>
        </is>
      </c>
      <c r="F1840" t="inlineStr">
        <is>
          <t>Holmen skog AB</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1712-2025</t>
        </is>
      </c>
      <c r="B1841" s="1" t="n">
        <v>45671.31266203704</v>
      </c>
      <c r="C1841" s="1" t="n">
        <v>46086</v>
      </c>
      <c r="D1841" t="inlineStr">
        <is>
          <t>GÄVLEBORGS LÄN</t>
        </is>
      </c>
      <c r="E1841" t="inlineStr">
        <is>
          <t>SANDVIKEN</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38220-2024</t>
        </is>
      </c>
      <c r="B1842" s="1" t="n">
        <v>45545.53237268519</v>
      </c>
      <c r="C1842" s="1" t="n">
        <v>46086</v>
      </c>
      <c r="D1842" t="inlineStr">
        <is>
          <t>GÄVLEBORGS LÄN</t>
        </is>
      </c>
      <c r="E1842" t="inlineStr">
        <is>
          <t>HUDIKSVALL</t>
        </is>
      </c>
      <c r="F1842" t="inlineStr">
        <is>
          <t>Holmen skog AB</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38241-2024</t>
        </is>
      </c>
      <c r="B1843" s="1" t="n">
        <v>45545.57097222222</v>
      </c>
      <c r="C1843" s="1" t="n">
        <v>46086</v>
      </c>
      <c r="D1843" t="inlineStr">
        <is>
          <t>GÄVLEBORGS LÄN</t>
        </is>
      </c>
      <c r="E1843" t="inlineStr">
        <is>
          <t>NORDANSTIG</t>
        </is>
      </c>
      <c r="F1843" t="inlineStr">
        <is>
          <t>Holmen skog AB</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50999-2024</t>
        </is>
      </c>
      <c r="B1844" s="1" t="n">
        <v>45603</v>
      </c>
      <c r="C1844" s="1" t="n">
        <v>46086</v>
      </c>
      <c r="D1844" t="inlineStr">
        <is>
          <t>GÄVLEBORGS LÄN</t>
        </is>
      </c>
      <c r="E1844" t="inlineStr">
        <is>
          <t>HUDIKSVALL</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51005-2024</t>
        </is>
      </c>
      <c r="B1845" s="1" t="n">
        <v>45603</v>
      </c>
      <c r="C1845" s="1" t="n">
        <v>46086</v>
      </c>
      <c r="D1845" t="inlineStr">
        <is>
          <t>GÄVLEBORGS LÄN</t>
        </is>
      </c>
      <c r="E1845" t="inlineStr">
        <is>
          <t>OVANÅKER</t>
        </is>
      </c>
      <c r="G1845" t="n">
        <v>10.9</v>
      </c>
      <c r="H1845" t="n">
        <v>0</v>
      </c>
      <c r="I1845" t="n">
        <v>0</v>
      </c>
      <c r="J1845" t="n">
        <v>0</v>
      </c>
      <c r="K1845" t="n">
        <v>0</v>
      </c>
      <c r="L1845" t="n">
        <v>0</v>
      </c>
      <c r="M1845" t="n">
        <v>0</v>
      </c>
      <c r="N1845" t="n">
        <v>0</v>
      </c>
      <c r="O1845" t="n">
        <v>0</v>
      </c>
      <c r="P1845" t="n">
        <v>0</v>
      </c>
      <c r="Q1845" t="n">
        <v>0</v>
      </c>
      <c r="R1845" s="2" t="inlineStr"/>
    </row>
    <row r="1846" ht="15" customHeight="1">
      <c r="A1846" t="inlineStr">
        <is>
          <t>A 54236-2023</t>
        </is>
      </c>
      <c r="B1846" s="1" t="n">
        <v>45232.61173611111</v>
      </c>
      <c r="C1846" s="1" t="n">
        <v>46086</v>
      </c>
      <c r="D1846" t="inlineStr">
        <is>
          <t>GÄVLEBORGS LÄN</t>
        </is>
      </c>
      <c r="E1846" t="inlineStr">
        <is>
          <t>BOLLNÄS</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60628-2023</t>
        </is>
      </c>
      <c r="B1847" s="1" t="n">
        <v>45260.39491898148</v>
      </c>
      <c r="C1847" s="1" t="n">
        <v>46086</v>
      </c>
      <c r="D1847" t="inlineStr">
        <is>
          <t>GÄVLEBORGS LÄN</t>
        </is>
      </c>
      <c r="E1847" t="inlineStr">
        <is>
          <t>HUDIKSVALL</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10482-2024</t>
        </is>
      </c>
      <c r="B1848" s="1" t="n">
        <v>45366</v>
      </c>
      <c r="C1848" s="1" t="n">
        <v>46086</v>
      </c>
      <c r="D1848" t="inlineStr">
        <is>
          <t>GÄVLEBORGS LÄN</t>
        </is>
      </c>
      <c r="E1848" t="inlineStr">
        <is>
          <t>BOLLNÄS</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6701-2025</t>
        </is>
      </c>
      <c r="B1849" s="1" t="n">
        <v>45700.54153935185</v>
      </c>
      <c r="C1849" s="1" t="n">
        <v>46086</v>
      </c>
      <c r="D1849" t="inlineStr">
        <is>
          <t>GÄVLEBORGS LÄN</t>
        </is>
      </c>
      <c r="E1849" t="inlineStr">
        <is>
          <t>GÄVLE</t>
        </is>
      </c>
      <c r="F1849" t="inlineStr">
        <is>
          <t>Bergvik skog öst AB</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35002-2023</t>
        </is>
      </c>
      <c r="B1850" s="1" t="n">
        <v>45142</v>
      </c>
      <c r="C1850" s="1" t="n">
        <v>46086</v>
      </c>
      <c r="D1850" t="inlineStr">
        <is>
          <t>GÄVLEBORGS LÄN</t>
        </is>
      </c>
      <c r="E1850" t="inlineStr">
        <is>
          <t>HUDIKSVALL</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19331-2025</t>
        </is>
      </c>
      <c r="B1851" s="1" t="n">
        <v>45769.58547453704</v>
      </c>
      <c r="C1851" s="1" t="n">
        <v>46086</v>
      </c>
      <c r="D1851" t="inlineStr">
        <is>
          <t>GÄVLEBORGS LÄN</t>
        </is>
      </c>
      <c r="E1851" t="inlineStr">
        <is>
          <t>GÄVLE</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19333-2025</t>
        </is>
      </c>
      <c r="B1852" s="1" t="n">
        <v>45769.58668981482</v>
      </c>
      <c r="C1852" s="1" t="n">
        <v>46086</v>
      </c>
      <c r="D1852" t="inlineStr">
        <is>
          <t>GÄVLEBORGS LÄN</t>
        </is>
      </c>
      <c r="E1852" t="inlineStr">
        <is>
          <t>GÄVLE</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31938-2024</t>
        </is>
      </c>
      <c r="B1853" s="1" t="n">
        <v>45510.42049768518</v>
      </c>
      <c r="C1853" s="1" t="n">
        <v>46086</v>
      </c>
      <c r="D1853" t="inlineStr">
        <is>
          <t>GÄVLEBORGS LÄN</t>
        </is>
      </c>
      <c r="E1853" t="inlineStr">
        <is>
          <t>SÖDERHAMN</t>
        </is>
      </c>
      <c r="F1853" t="inlineStr">
        <is>
          <t>Bergvik skog väst AB</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73925-2021</t>
        </is>
      </c>
      <c r="B1854" s="1" t="n">
        <v>44553</v>
      </c>
      <c r="C1854" s="1" t="n">
        <v>46086</v>
      </c>
      <c r="D1854" t="inlineStr">
        <is>
          <t>GÄVLEBORGS LÄN</t>
        </is>
      </c>
      <c r="E1854" t="inlineStr">
        <is>
          <t>SANDVIKEN</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6455-2025</t>
        </is>
      </c>
      <c r="B1855" s="1" t="n">
        <v>45699.55270833334</v>
      </c>
      <c r="C1855" s="1" t="n">
        <v>46086</v>
      </c>
      <c r="D1855" t="inlineStr">
        <is>
          <t>GÄVLEBORGS LÄN</t>
        </is>
      </c>
      <c r="E1855" t="inlineStr">
        <is>
          <t>SÖDERHAMN</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27050-2024</t>
        </is>
      </c>
      <c r="B1856" s="1" t="n">
        <v>45471.44736111111</v>
      </c>
      <c r="C1856" s="1" t="n">
        <v>46086</v>
      </c>
      <c r="D1856" t="inlineStr">
        <is>
          <t>GÄVLEBORGS LÄN</t>
        </is>
      </c>
      <c r="E1856" t="inlineStr">
        <is>
          <t>SÖDERHAMN</t>
        </is>
      </c>
      <c r="F1856" t="inlineStr">
        <is>
          <t>Kommuner</t>
        </is>
      </c>
      <c r="G1856" t="n">
        <v>10.8</v>
      </c>
      <c r="H1856" t="n">
        <v>0</v>
      </c>
      <c r="I1856" t="n">
        <v>0</v>
      </c>
      <c r="J1856" t="n">
        <v>0</v>
      </c>
      <c r="K1856" t="n">
        <v>0</v>
      </c>
      <c r="L1856" t="n">
        <v>0</v>
      </c>
      <c r="M1856" t="n">
        <v>0</v>
      </c>
      <c r="N1856" t="n">
        <v>0</v>
      </c>
      <c r="O1856" t="n">
        <v>0</v>
      </c>
      <c r="P1856" t="n">
        <v>0</v>
      </c>
      <c r="Q1856" t="n">
        <v>0</v>
      </c>
      <c r="R1856" s="2" t="inlineStr"/>
    </row>
    <row r="1857" ht="15" customHeight="1">
      <c r="A1857" t="inlineStr">
        <is>
          <t>A 21795-2022</t>
        </is>
      </c>
      <c r="B1857" s="1" t="n">
        <v>44708</v>
      </c>
      <c r="C1857" s="1" t="n">
        <v>46086</v>
      </c>
      <c r="D1857" t="inlineStr">
        <is>
          <t>GÄVLEBORGS LÄN</t>
        </is>
      </c>
      <c r="E1857" t="inlineStr">
        <is>
          <t>GÄVLE</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42067-2023</t>
        </is>
      </c>
      <c r="B1858" s="1" t="n">
        <v>45177.57534722222</v>
      </c>
      <c r="C1858" s="1" t="n">
        <v>46086</v>
      </c>
      <c r="D1858" t="inlineStr">
        <is>
          <t>GÄVLEBORGS LÄN</t>
        </is>
      </c>
      <c r="E1858" t="inlineStr">
        <is>
          <t>OVANÅKER</t>
        </is>
      </c>
      <c r="G1858" t="n">
        <v>5.8</v>
      </c>
      <c r="H1858" t="n">
        <v>0</v>
      </c>
      <c r="I1858" t="n">
        <v>0</v>
      </c>
      <c r="J1858" t="n">
        <v>0</v>
      </c>
      <c r="K1858" t="n">
        <v>0</v>
      </c>
      <c r="L1858" t="n">
        <v>0</v>
      </c>
      <c r="M1858" t="n">
        <v>0</v>
      </c>
      <c r="N1858" t="n">
        <v>0</v>
      </c>
      <c r="O1858" t="n">
        <v>0</v>
      </c>
      <c r="P1858" t="n">
        <v>0</v>
      </c>
      <c r="Q1858" t="n">
        <v>0</v>
      </c>
      <c r="R1858" s="2" t="inlineStr"/>
    </row>
    <row r="1859" ht="15" customHeight="1">
      <c r="A1859" t="inlineStr">
        <is>
          <t>A 42076-2023</t>
        </is>
      </c>
      <c r="B1859" s="1" t="n">
        <v>45177.59209490741</v>
      </c>
      <c r="C1859" s="1" t="n">
        <v>46086</v>
      </c>
      <c r="D1859" t="inlineStr">
        <is>
          <t>GÄVLEBORGS LÄN</t>
        </is>
      </c>
      <c r="E1859" t="inlineStr">
        <is>
          <t>OVANÅKER</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45562-2022</t>
        </is>
      </c>
      <c r="B1860" s="1" t="n">
        <v>44845</v>
      </c>
      <c r="C1860" s="1" t="n">
        <v>46086</v>
      </c>
      <c r="D1860" t="inlineStr">
        <is>
          <t>GÄVLEBORGS LÄN</t>
        </is>
      </c>
      <c r="E1860" t="inlineStr">
        <is>
          <t>SANDVIKEN</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7485-2025</t>
        </is>
      </c>
      <c r="B1861" s="1" t="n">
        <v>45705.4721412037</v>
      </c>
      <c r="C1861" s="1" t="n">
        <v>46086</v>
      </c>
      <c r="D1861" t="inlineStr">
        <is>
          <t>GÄVLEBORGS LÄN</t>
        </is>
      </c>
      <c r="E1861" t="inlineStr">
        <is>
          <t>HUDIKSVALL</t>
        </is>
      </c>
      <c r="F1861" t="inlineStr">
        <is>
          <t>Holmen skog AB</t>
        </is>
      </c>
      <c r="G1861" t="n">
        <v>9.199999999999999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39710-2023</t>
        </is>
      </c>
      <c r="B1862" s="1" t="n">
        <v>45167.61197916666</v>
      </c>
      <c r="C1862" s="1" t="n">
        <v>46086</v>
      </c>
      <c r="D1862" t="inlineStr">
        <is>
          <t>GÄVLEBORGS LÄN</t>
        </is>
      </c>
      <c r="E1862" t="inlineStr">
        <is>
          <t>OCKELBO</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60041-2023</t>
        </is>
      </c>
      <c r="B1863" s="1" t="n">
        <v>45258.34424768519</v>
      </c>
      <c r="C1863" s="1" t="n">
        <v>46086</v>
      </c>
      <c r="D1863" t="inlineStr">
        <is>
          <t>GÄVLEBORGS LÄN</t>
        </is>
      </c>
      <c r="E1863" t="inlineStr">
        <is>
          <t>NORDANSTIG</t>
        </is>
      </c>
      <c r="G1863" t="n">
        <v>7.2</v>
      </c>
      <c r="H1863" t="n">
        <v>0</v>
      </c>
      <c r="I1863" t="n">
        <v>0</v>
      </c>
      <c r="J1863" t="n">
        <v>0</v>
      </c>
      <c r="K1863" t="n">
        <v>0</v>
      </c>
      <c r="L1863" t="n">
        <v>0</v>
      </c>
      <c r="M1863" t="n">
        <v>0</v>
      </c>
      <c r="N1863" t="n">
        <v>0</v>
      </c>
      <c r="O1863" t="n">
        <v>0</v>
      </c>
      <c r="P1863" t="n">
        <v>0</v>
      </c>
      <c r="Q1863" t="n">
        <v>0</v>
      </c>
      <c r="R1863" s="2" t="inlineStr"/>
    </row>
    <row r="1864" ht="15" customHeight="1">
      <c r="A1864" t="inlineStr">
        <is>
          <t>A 59048-2024</t>
        </is>
      </c>
      <c r="B1864" s="1" t="n">
        <v>45636</v>
      </c>
      <c r="C1864" s="1" t="n">
        <v>46086</v>
      </c>
      <c r="D1864" t="inlineStr">
        <is>
          <t>GÄVLEBORGS LÄN</t>
        </is>
      </c>
      <c r="E1864" t="inlineStr">
        <is>
          <t>SÖDERHAMN</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29500-2024</t>
        </is>
      </c>
      <c r="B1865" s="1" t="n">
        <v>45484.39853009259</v>
      </c>
      <c r="C1865" s="1" t="n">
        <v>46086</v>
      </c>
      <c r="D1865" t="inlineStr">
        <is>
          <t>GÄVLEBORGS LÄN</t>
        </is>
      </c>
      <c r="E1865" t="inlineStr">
        <is>
          <t>NORDANSTIG</t>
        </is>
      </c>
      <c r="F1865" t="inlineStr">
        <is>
          <t>Holmen skog AB</t>
        </is>
      </c>
      <c r="G1865" t="n">
        <v>7.6</v>
      </c>
      <c r="H1865" t="n">
        <v>0</v>
      </c>
      <c r="I1865" t="n">
        <v>0</v>
      </c>
      <c r="J1865" t="n">
        <v>0</v>
      </c>
      <c r="K1865" t="n">
        <v>0</v>
      </c>
      <c r="L1865" t="n">
        <v>0</v>
      </c>
      <c r="M1865" t="n">
        <v>0</v>
      </c>
      <c r="N1865" t="n">
        <v>0</v>
      </c>
      <c r="O1865" t="n">
        <v>0</v>
      </c>
      <c r="P1865" t="n">
        <v>0</v>
      </c>
      <c r="Q1865" t="n">
        <v>0</v>
      </c>
      <c r="R1865" s="2" t="inlineStr"/>
    </row>
    <row r="1866" ht="15" customHeight="1">
      <c r="A1866" t="inlineStr">
        <is>
          <t>A 1327-2024</t>
        </is>
      </c>
      <c r="B1866" s="1" t="n">
        <v>45303.42979166667</v>
      </c>
      <c r="C1866" s="1" t="n">
        <v>46086</v>
      </c>
      <c r="D1866" t="inlineStr">
        <is>
          <t>GÄVLEBORGS LÄN</t>
        </is>
      </c>
      <c r="E1866" t="inlineStr">
        <is>
          <t>NORDANSTIG</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16093-2024</t>
        </is>
      </c>
      <c r="B1867" s="1" t="n">
        <v>45406.41305555555</v>
      </c>
      <c r="C1867" s="1" t="n">
        <v>46086</v>
      </c>
      <c r="D1867" t="inlineStr">
        <is>
          <t>GÄVLEBORGS LÄN</t>
        </is>
      </c>
      <c r="E1867" t="inlineStr">
        <is>
          <t>HUDIKSVALL</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30422-2023</t>
        </is>
      </c>
      <c r="B1868" s="1" t="n">
        <v>45111.53038194445</v>
      </c>
      <c r="C1868" s="1" t="n">
        <v>46086</v>
      </c>
      <c r="D1868" t="inlineStr">
        <is>
          <t>GÄVLEBORGS LÄN</t>
        </is>
      </c>
      <c r="E1868" t="inlineStr">
        <is>
          <t>OCKELBO</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6581-2022</t>
        </is>
      </c>
      <c r="B1869" s="1" t="n">
        <v>44601.62753472223</v>
      </c>
      <c r="C1869" s="1" t="n">
        <v>46086</v>
      </c>
      <c r="D1869" t="inlineStr">
        <is>
          <t>GÄVLEBORGS LÄN</t>
        </is>
      </c>
      <c r="E1869" t="inlineStr">
        <is>
          <t>NORDANSTIG</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64587-2023</t>
        </is>
      </c>
      <c r="B1870" s="1" t="n">
        <v>45281.46988425926</v>
      </c>
      <c r="C1870" s="1" t="n">
        <v>46086</v>
      </c>
      <c r="D1870" t="inlineStr">
        <is>
          <t>GÄVLEBORGS LÄN</t>
        </is>
      </c>
      <c r="E1870" t="inlineStr">
        <is>
          <t>SANDVIKEN</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64593-2023</t>
        </is>
      </c>
      <c r="B1871" s="1" t="n">
        <v>45281</v>
      </c>
      <c r="C1871" s="1" t="n">
        <v>46086</v>
      </c>
      <c r="D1871" t="inlineStr">
        <is>
          <t>GÄVLEBORGS LÄN</t>
        </is>
      </c>
      <c r="E1871" t="inlineStr">
        <is>
          <t>HUDIKSVALL</t>
        </is>
      </c>
      <c r="F1871" t="inlineStr">
        <is>
          <t>Holmen skog AB</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19903-2025</t>
        </is>
      </c>
      <c r="B1872" s="1" t="n">
        <v>45771.59248842593</v>
      </c>
      <c r="C1872" s="1" t="n">
        <v>46086</v>
      </c>
      <c r="D1872" t="inlineStr">
        <is>
          <t>GÄVLEBORGS LÄN</t>
        </is>
      </c>
      <c r="E1872" t="inlineStr">
        <is>
          <t>OVANÅKER</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591-2024</t>
        </is>
      </c>
      <c r="B1873" s="1" t="n">
        <v>45299</v>
      </c>
      <c r="C1873" s="1" t="n">
        <v>46086</v>
      </c>
      <c r="D1873" t="inlineStr">
        <is>
          <t>GÄVLEBORGS LÄN</t>
        </is>
      </c>
      <c r="E1873" t="inlineStr">
        <is>
          <t>LJUSDAL</t>
        </is>
      </c>
      <c r="G1873" t="n">
        <v>14.1</v>
      </c>
      <c r="H1873" t="n">
        <v>0</v>
      </c>
      <c r="I1873" t="n">
        <v>0</v>
      </c>
      <c r="J1873" t="n">
        <v>0</v>
      </c>
      <c r="K1873" t="n">
        <v>0</v>
      </c>
      <c r="L1873" t="n">
        <v>0</v>
      </c>
      <c r="M1873" t="n">
        <v>0</v>
      </c>
      <c r="N1873" t="n">
        <v>0</v>
      </c>
      <c r="O1873" t="n">
        <v>0</v>
      </c>
      <c r="P1873" t="n">
        <v>0</v>
      </c>
      <c r="Q1873" t="n">
        <v>0</v>
      </c>
      <c r="R1873" s="2" t="inlineStr"/>
    </row>
    <row r="1874" ht="15" customHeight="1">
      <c r="A1874" t="inlineStr">
        <is>
          <t>A 49704-2023</t>
        </is>
      </c>
      <c r="B1874" s="1" t="n">
        <v>45212</v>
      </c>
      <c r="C1874" s="1" t="n">
        <v>46086</v>
      </c>
      <c r="D1874" t="inlineStr">
        <is>
          <t>GÄVLEBORGS LÄN</t>
        </is>
      </c>
      <c r="E1874" t="inlineStr">
        <is>
          <t>SANDVIKEN</t>
        </is>
      </c>
      <c r="F1874" t="inlineStr">
        <is>
          <t>Sveaskog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24119-2024</t>
        </is>
      </c>
      <c r="B1875" s="1" t="n">
        <v>45456.62002314815</v>
      </c>
      <c r="C1875" s="1" t="n">
        <v>46086</v>
      </c>
      <c r="D1875" t="inlineStr">
        <is>
          <t>GÄVLEBORGS LÄN</t>
        </is>
      </c>
      <c r="E1875" t="inlineStr">
        <is>
          <t>HUDIKSVALL</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26413-2023</t>
        </is>
      </c>
      <c r="B1876" s="1" t="n">
        <v>45092.3786574074</v>
      </c>
      <c r="C1876" s="1" t="n">
        <v>46086</v>
      </c>
      <c r="D1876" t="inlineStr">
        <is>
          <t>GÄVLEBORGS LÄN</t>
        </is>
      </c>
      <c r="E1876" t="inlineStr">
        <is>
          <t>SANDVIKEN</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58723-2022</t>
        </is>
      </c>
      <c r="B1877" s="1" t="n">
        <v>44902.92579861111</v>
      </c>
      <c r="C1877" s="1" t="n">
        <v>46086</v>
      </c>
      <c r="D1877" t="inlineStr">
        <is>
          <t>GÄVLEBORGS LÄN</t>
        </is>
      </c>
      <c r="E1877" t="inlineStr">
        <is>
          <t>HUDIKSVALL</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1458-2023</t>
        </is>
      </c>
      <c r="B1878" s="1" t="n">
        <v>44937</v>
      </c>
      <c r="C1878" s="1" t="n">
        <v>46086</v>
      </c>
      <c r="D1878" t="inlineStr">
        <is>
          <t>GÄVLEBORGS LÄN</t>
        </is>
      </c>
      <c r="E1878" t="inlineStr">
        <is>
          <t>SÖDERHAMN</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44826-2024</t>
        </is>
      </c>
      <c r="B1879" s="1" t="n">
        <v>45574.67715277777</v>
      </c>
      <c r="C1879" s="1" t="n">
        <v>46086</v>
      </c>
      <c r="D1879" t="inlineStr">
        <is>
          <t>GÄVLEBORGS LÄN</t>
        </is>
      </c>
      <c r="E1879" t="inlineStr">
        <is>
          <t>NORDANSTIG</t>
        </is>
      </c>
      <c r="F1879" t="inlineStr">
        <is>
          <t>Holmen skog AB</t>
        </is>
      </c>
      <c r="G1879" t="n">
        <v>15.3</v>
      </c>
      <c r="H1879" t="n">
        <v>0</v>
      </c>
      <c r="I1879" t="n">
        <v>0</v>
      </c>
      <c r="J1879" t="n">
        <v>0</v>
      </c>
      <c r="K1879" t="n">
        <v>0</v>
      </c>
      <c r="L1879" t="n">
        <v>0</v>
      </c>
      <c r="M1879" t="n">
        <v>0</v>
      </c>
      <c r="N1879" t="n">
        <v>0</v>
      </c>
      <c r="O1879" t="n">
        <v>0</v>
      </c>
      <c r="P1879" t="n">
        <v>0</v>
      </c>
      <c r="Q1879" t="n">
        <v>0</v>
      </c>
      <c r="R1879" s="2" t="inlineStr"/>
    </row>
    <row r="1880" ht="15" customHeight="1">
      <c r="A1880" t="inlineStr">
        <is>
          <t>A 50712-2024</t>
        </is>
      </c>
      <c r="B1880" s="1" t="n">
        <v>45602.3834375</v>
      </c>
      <c r="C1880" s="1" t="n">
        <v>46086</v>
      </c>
      <c r="D1880" t="inlineStr">
        <is>
          <t>GÄVLEBORGS LÄN</t>
        </is>
      </c>
      <c r="E1880" t="inlineStr">
        <is>
          <t>LJUSDAL</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28003-2024</t>
        </is>
      </c>
      <c r="B1881" s="1" t="n">
        <v>45476</v>
      </c>
      <c r="C1881" s="1" t="n">
        <v>46086</v>
      </c>
      <c r="D1881" t="inlineStr">
        <is>
          <t>GÄVLEBORGS LÄN</t>
        </is>
      </c>
      <c r="E1881" t="inlineStr">
        <is>
          <t>LJUSDAL</t>
        </is>
      </c>
      <c r="F1881" t="inlineStr">
        <is>
          <t>Allmännings- och besparingsskogar</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12018-2024</t>
        </is>
      </c>
      <c r="B1882" s="1" t="n">
        <v>45377.36298611111</v>
      </c>
      <c r="C1882" s="1" t="n">
        <v>46086</v>
      </c>
      <c r="D1882" t="inlineStr">
        <is>
          <t>GÄVLEBORGS LÄN</t>
        </is>
      </c>
      <c r="E1882" t="inlineStr">
        <is>
          <t>BOLLNÄS</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579-2025</t>
        </is>
      </c>
      <c r="B1883" s="1" t="n">
        <v>45664.56732638889</v>
      </c>
      <c r="C1883" s="1" t="n">
        <v>46086</v>
      </c>
      <c r="D1883" t="inlineStr">
        <is>
          <t>GÄVLEBORGS LÄN</t>
        </is>
      </c>
      <c r="E1883" t="inlineStr">
        <is>
          <t>BOLLNÄS</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12023-2024</t>
        </is>
      </c>
      <c r="B1884" s="1" t="n">
        <v>45377.3715625</v>
      </c>
      <c r="C1884" s="1" t="n">
        <v>46086</v>
      </c>
      <c r="D1884" t="inlineStr">
        <is>
          <t>GÄVLEBORGS LÄN</t>
        </is>
      </c>
      <c r="E1884" t="inlineStr">
        <is>
          <t>BOLLNÄS</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54820-2024</t>
        </is>
      </c>
      <c r="B1885" s="1" t="n">
        <v>45618.53278935186</v>
      </c>
      <c r="C1885" s="1" t="n">
        <v>46086</v>
      </c>
      <c r="D1885" t="inlineStr">
        <is>
          <t>GÄVLEBORGS LÄN</t>
        </is>
      </c>
      <c r="E1885" t="inlineStr">
        <is>
          <t>LJUSDAL</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58339-2024</t>
        </is>
      </c>
      <c r="B1886" s="1" t="n">
        <v>45632.63729166667</v>
      </c>
      <c r="C1886" s="1" t="n">
        <v>46086</v>
      </c>
      <c r="D1886" t="inlineStr">
        <is>
          <t>GÄVLEBORGS LÄN</t>
        </is>
      </c>
      <c r="E1886" t="inlineStr">
        <is>
          <t>HUDIKSVALL</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55276-2024</t>
        </is>
      </c>
      <c r="B1887" s="1" t="n">
        <v>45621.62126157407</v>
      </c>
      <c r="C1887" s="1" t="n">
        <v>46086</v>
      </c>
      <c r="D1887" t="inlineStr">
        <is>
          <t>GÄVLEBORGS LÄN</t>
        </is>
      </c>
      <c r="E1887" t="inlineStr">
        <is>
          <t>NORDANSTIG</t>
        </is>
      </c>
      <c r="F1887" t="inlineStr">
        <is>
          <t>Holmen skog AB</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45807-2022</t>
        </is>
      </c>
      <c r="B1888" s="1" t="n">
        <v>44846</v>
      </c>
      <c r="C1888" s="1" t="n">
        <v>46086</v>
      </c>
      <c r="D1888" t="inlineStr">
        <is>
          <t>GÄVLEBORGS LÄN</t>
        </is>
      </c>
      <c r="E1888" t="inlineStr">
        <is>
          <t>SÖDERHAMN</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4689-2025</t>
        </is>
      </c>
      <c r="B1889" s="1" t="n">
        <v>45688.33554398148</v>
      </c>
      <c r="C1889" s="1" t="n">
        <v>46086</v>
      </c>
      <c r="D1889" t="inlineStr">
        <is>
          <t>GÄVLEBORGS LÄN</t>
        </is>
      </c>
      <c r="E1889" t="inlineStr">
        <is>
          <t>OVANÅKER</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42937-2022</t>
        </is>
      </c>
      <c r="B1890" s="1" t="n">
        <v>44833</v>
      </c>
      <c r="C1890" s="1" t="n">
        <v>46086</v>
      </c>
      <c r="D1890" t="inlineStr">
        <is>
          <t>GÄVLEBORGS LÄN</t>
        </is>
      </c>
      <c r="E1890" t="inlineStr">
        <is>
          <t>LJUSDAL</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58423-2022</t>
        </is>
      </c>
      <c r="B1891" s="1" t="n">
        <v>44901.92490740741</v>
      </c>
      <c r="C1891" s="1" t="n">
        <v>46086</v>
      </c>
      <c r="D1891" t="inlineStr">
        <is>
          <t>GÄVLEBORGS LÄN</t>
        </is>
      </c>
      <c r="E1891" t="inlineStr">
        <is>
          <t>HUDIKSVALL</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48310-2023</t>
        </is>
      </c>
      <c r="B1892" s="1" t="n">
        <v>45205</v>
      </c>
      <c r="C1892" s="1" t="n">
        <v>46086</v>
      </c>
      <c r="D1892" t="inlineStr">
        <is>
          <t>GÄVLEBORGS LÄN</t>
        </is>
      </c>
      <c r="E1892" t="inlineStr">
        <is>
          <t>BOLLNÄS</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58467-2022</t>
        </is>
      </c>
      <c r="B1893" s="1" t="n">
        <v>44902</v>
      </c>
      <c r="C1893" s="1" t="n">
        <v>46086</v>
      </c>
      <c r="D1893" t="inlineStr">
        <is>
          <t>GÄVLEBORGS LÄN</t>
        </is>
      </c>
      <c r="E1893" t="inlineStr">
        <is>
          <t>OVANÅKER</t>
        </is>
      </c>
      <c r="F1893" t="inlineStr">
        <is>
          <t>Bergvik skog väst AB</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15001-2023</t>
        </is>
      </c>
      <c r="B1894" s="1" t="n">
        <v>45015</v>
      </c>
      <c r="C1894" s="1" t="n">
        <v>46086</v>
      </c>
      <c r="D1894" t="inlineStr">
        <is>
          <t>GÄVLEBORGS LÄN</t>
        </is>
      </c>
      <c r="E1894" t="inlineStr">
        <is>
          <t>GÄVLE</t>
        </is>
      </c>
      <c r="F1894" t="inlineStr">
        <is>
          <t>Bergvik skog öst AB</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58530-2022</t>
        </is>
      </c>
      <c r="B1895" s="1" t="n">
        <v>44902.43958333333</v>
      </c>
      <c r="C1895" s="1" t="n">
        <v>46086</v>
      </c>
      <c r="D1895" t="inlineStr">
        <is>
          <t>GÄVLEBORGS LÄN</t>
        </is>
      </c>
      <c r="E1895" t="inlineStr">
        <is>
          <t>LJUSDAL</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30240-2023</t>
        </is>
      </c>
      <c r="B1896" s="1" t="n">
        <v>45110.66166666667</v>
      </c>
      <c r="C1896" s="1" t="n">
        <v>46086</v>
      </c>
      <c r="D1896" t="inlineStr">
        <is>
          <t>GÄVLEBORGS LÄN</t>
        </is>
      </c>
      <c r="E1896" t="inlineStr">
        <is>
          <t>LJUSDAL</t>
        </is>
      </c>
      <c r="F1896" t="inlineStr">
        <is>
          <t>Sveaskog</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30407-2023</t>
        </is>
      </c>
      <c r="B1897" s="1" t="n">
        <v>45111</v>
      </c>
      <c r="C1897" s="1" t="n">
        <v>46086</v>
      </c>
      <c r="D1897" t="inlineStr">
        <is>
          <t>GÄVLEBORGS LÄN</t>
        </is>
      </c>
      <c r="E1897" t="inlineStr">
        <is>
          <t>SÖDERHAMN</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11394-2025</t>
        </is>
      </c>
      <c r="B1898" s="1" t="n">
        <v>45726</v>
      </c>
      <c r="C1898" s="1" t="n">
        <v>46086</v>
      </c>
      <c r="D1898" t="inlineStr">
        <is>
          <t>GÄVLEBORGS LÄN</t>
        </is>
      </c>
      <c r="E1898" t="inlineStr">
        <is>
          <t>NORDANSTIG</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14675-2025</t>
        </is>
      </c>
      <c r="B1899" s="1" t="n">
        <v>45742.55755787037</v>
      </c>
      <c r="C1899" s="1" t="n">
        <v>46086</v>
      </c>
      <c r="D1899" t="inlineStr">
        <is>
          <t>GÄVLEBORGS LÄN</t>
        </is>
      </c>
      <c r="E1899" t="inlineStr">
        <is>
          <t>GÄVLE</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61514-2024</t>
        </is>
      </c>
      <c r="B1900" s="1" t="n">
        <v>45646.57283564815</v>
      </c>
      <c r="C1900" s="1" t="n">
        <v>46086</v>
      </c>
      <c r="D1900" t="inlineStr">
        <is>
          <t>GÄVLEBORGS LÄN</t>
        </is>
      </c>
      <c r="E1900" t="inlineStr">
        <is>
          <t>BOLLNÄS</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549-2024</t>
        </is>
      </c>
      <c r="B1901" s="1" t="n">
        <v>45299</v>
      </c>
      <c r="C1901" s="1" t="n">
        <v>46086</v>
      </c>
      <c r="D1901" t="inlineStr">
        <is>
          <t>GÄVLEBORGS LÄN</t>
        </is>
      </c>
      <c r="E1901" t="inlineStr">
        <is>
          <t>BOLLNÄS</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23187-2023</t>
        </is>
      </c>
      <c r="B1902" s="1" t="n">
        <v>45075</v>
      </c>
      <c r="C1902" s="1" t="n">
        <v>46086</v>
      </c>
      <c r="D1902" t="inlineStr">
        <is>
          <t>GÄVLEBORGS LÄN</t>
        </is>
      </c>
      <c r="E1902" t="inlineStr">
        <is>
          <t>HUDIKSVALL</t>
        </is>
      </c>
      <c r="F1902" t="inlineStr">
        <is>
          <t>Kommuner</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71068-2021</t>
        </is>
      </c>
      <c r="B1903" s="1" t="n">
        <v>44538</v>
      </c>
      <c r="C1903" s="1" t="n">
        <v>46086</v>
      </c>
      <c r="D1903" t="inlineStr">
        <is>
          <t>GÄVLEBORGS LÄN</t>
        </is>
      </c>
      <c r="E1903" t="inlineStr">
        <is>
          <t>LJUSDAL</t>
        </is>
      </c>
      <c r="G1903" t="n">
        <v>5.8</v>
      </c>
      <c r="H1903" t="n">
        <v>0</v>
      </c>
      <c r="I1903" t="n">
        <v>0</v>
      </c>
      <c r="J1903" t="n">
        <v>0</v>
      </c>
      <c r="K1903" t="n">
        <v>0</v>
      </c>
      <c r="L1903" t="n">
        <v>0</v>
      </c>
      <c r="M1903" t="n">
        <v>0</v>
      </c>
      <c r="N1903" t="n">
        <v>0</v>
      </c>
      <c r="O1903" t="n">
        <v>0</v>
      </c>
      <c r="P1903" t="n">
        <v>0</v>
      </c>
      <c r="Q1903" t="n">
        <v>0</v>
      </c>
      <c r="R1903" s="2" t="inlineStr"/>
    </row>
    <row r="1904" ht="15" customHeight="1">
      <c r="A1904" t="inlineStr">
        <is>
          <t>A 42949-2023</t>
        </is>
      </c>
      <c r="B1904" s="1" t="n">
        <v>45182</v>
      </c>
      <c r="C1904" s="1" t="n">
        <v>46086</v>
      </c>
      <c r="D1904" t="inlineStr">
        <is>
          <t>GÄVLEBORGS LÄN</t>
        </is>
      </c>
      <c r="E1904" t="inlineStr">
        <is>
          <t>LJUSDAL</t>
        </is>
      </c>
      <c r="G1904" t="n">
        <v>10.4</v>
      </c>
      <c r="H1904" t="n">
        <v>0</v>
      </c>
      <c r="I1904" t="n">
        <v>0</v>
      </c>
      <c r="J1904" t="n">
        <v>0</v>
      </c>
      <c r="K1904" t="n">
        <v>0</v>
      </c>
      <c r="L1904" t="n">
        <v>0</v>
      </c>
      <c r="M1904" t="n">
        <v>0</v>
      </c>
      <c r="N1904" t="n">
        <v>0</v>
      </c>
      <c r="O1904" t="n">
        <v>0</v>
      </c>
      <c r="P1904" t="n">
        <v>0</v>
      </c>
      <c r="Q1904" t="n">
        <v>0</v>
      </c>
      <c r="R1904" s="2" t="inlineStr"/>
    </row>
    <row r="1905" ht="15" customHeight="1">
      <c r="A1905" t="inlineStr">
        <is>
          <t>A 43007-2023</t>
        </is>
      </c>
      <c r="B1905" s="1" t="n">
        <v>45182.63752314815</v>
      </c>
      <c r="C1905" s="1" t="n">
        <v>46086</v>
      </c>
      <c r="D1905" t="inlineStr">
        <is>
          <t>GÄVLEBORGS LÄN</t>
        </is>
      </c>
      <c r="E1905" t="inlineStr">
        <is>
          <t>HUDIKSVALL</t>
        </is>
      </c>
      <c r="F1905" t="inlineStr">
        <is>
          <t>Holmen skog AB</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23587-2024</t>
        </is>
      </c>
      <c r="B1906" s="1" t="n">
        <v>45454</v>
      </c>
      <c r="C1906" s="1" t="n">
        <v>46086</v>
      </c>
      <c r="D1906" t="inlineStr">
        <is>
          <t>GÄVLEBORGS LÄN</t>
        </is>
      </c>
      <c r="E1906" t="inlineStr">
        <is>
          <t>GÄVLE</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22010-2024</t>
        </is>
      </c>
      <c r="B1907" s="1" t="n">
        <v>45443.57775462963</v>
      </c>
      <c r="C1907" s="1" t="n">
        <v>46086</v>
      </c>
      <c r="D1907" t="inlineStr">
        <is>
          <t>GÄVLEBORGS LÄN</t>
        </is>
      </c>
      <c r="E1907" t="inlineStr">
        <is>
          <t>BOLLNÄS</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37386-2023</t>
        </is>
      </c>
      <c r="B1908" s="1" t="n">
        <v>45156</v>
      </c>
      <c r="C1908" s="1" t="n">
        <v>46086</v>
      </c>
      <c r="D1908" t="inlineStr">
        <is>
          <t>GÄVLEBORGS LÄN</t>
        </is>
      </c>
      <c r="E1908" t="inlineStr">
        <is>
          <t>OCKELBO</t>
        </is>
      </c>
      <c r="F1908" t="inlineStr">
        <is>
          <t>Bergvik skog väst AB</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12815-2023</t>
        </is>
      </c>
      <c r="B1909" s="1" t="n">
        <v>45001</v>
      </c>
      <c r="C1909" s="1" t="n">
        <v>46086</v>
      </c>
      <c r="D1909" t="inlineStr">
        <is>
          <t>GÄVLEBORGS LÄN</t>
        </is>
      </c>
      <c r="E1909" t="inlineStr">
        <is>
          <t>NORDANSTIG</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23928-2023</t>
        </is>
      </c>
      <c r="B1910" s="1" t="n">
        <v>45078</v>
      </c>
      <c r="C1910" s="1" t="n">
        <v>46086</v>
      </c>
      <c r="D1910" t="inlineStr">
        <is>
          <t>GÄVLEBORGS LÄN</t>
        </is>
      </c>
      <c r="E1910" t="inlineStr">
        <is>
          <t>HUDIKSVALL</t>
        </is>
      </c>
      <c r="F1910" t="inlineStr">
        <is>
          <t>Holmen skog AB</t>
        </is>
      </c>
      <c r="G1910" t="n">
        <v>5.7</v>
      </c>
      <c r="H1910" t="n">
        <v>0</v>
      </c>
      <c r="I1910" t="n">
        <v>0</v>
      </c>
      <c r="J1910" t="n">
        <v>0</v>
      </c>
      <c r="K1910" t="n">
        <v>0</v>
      </c>
      <c r="L1910" t="n">
        <v>0</v>
      </c>
      <c r="M1910" t="n">
        <v>0</v>
      </c>
      <c r="N1910" t="n">
        <v>0</v>
      </c>
      <c r="O1910" t="n">
        <v>0</v>
      </c>
      <c r="P1910" t="n">
        <v>0</v>
      </c>
      <c r="Q1910" t="n">
        <v>0</v>
      </c>
      <c r="R1910" s="2" t="inlineStr"/>
    </row>
    <row r="1911" ht="15" customHeight="1">
      <c r="A1911" t="inlineStr">
        <is>
          <t>A 23930-2023</t>
        </is>
      </c>
      <c r="B1911" s="1" t="n">
        <v>45078</v>
      </c>
      <c r="C1911" s="1" t="n">
        <v>46086</v>
      </c>
      <c r="D1911" t="inlineStr">
        <is>
          <t>GÄVLEBORGS LÄN</t>
        </is>
      </c>
      <c r="E1911" t="inlineStr">
        <is>
          <t>LJUSDAL</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59826-2022</t>
        </is>
      </c>
      <c r="B1912" s="1" t="n">
        <v>44908.60137731482</v>
      </c>
      <c r="C1912" s="1" t="n">
        <v>46086</v>
      </c>
      <c r="D1912" t="inlineStr">
        <is>
          <t>GÄVLEBORGS LÄN</t>
        </is>
      </c>
      <c r="E1912" t="inlineStr">
        <is>
          <t>LJUSDAL</t>
        </is>
      </c>
      <c r="F1912" t="inlineStr">
        <is>
          <t>Kommuner</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37458-2024</t>
        </is>
      </c>
      <c r="B1913" s="1" t="n">
        <v>45540.71457175926</v>
      </c>
      <c r="C1913" s="1" t="n">
        <v>46086</v>
      </c>
      <c r="D1913" t="inlineStr">
        <is>
          <t>GÄVLEBORGS LÄN</t>
        </is>
      </c>
      <c r="E1913" t="inlineStr">
        <is>
          <t>SANDVIKEN</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10176-2023</t>
        </is>
      </c>
      <c r="B1914" s="1" t="n">
        <v>44986.47180555556</v>
      </c>
      <c r="C1914" s="1" t="n">
        <v>46086</v>
      </c>
      <c r="D1914" t="inlineStr">
        <is>
          <t>GÄVLEBORGS LÄN</t>
        </is>
      </c>
      <c r="E1914" t="inlineStr">
        <is>
          <t>LJUSDAL</t>
        </is>
      </c>
      <c r="F1914" t="inlineStr">
        <is>
          <t>Bergvik skog väst AB</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25991-2023</t>
        </is>
      </c>
      <c r="B1915" s="1" t="n">
        <v>45090.92539351852</v>
      </c>
      <c r="C1915" s="1" t="n">
        <v>46086</v>
      </c>
      <c r="D1915" t="inlineStr">
        <is>
          <t>GÄVLEBORGS LÄN</t>
        </is>
      </c>
      <c r="E1915" t="inlineStr">
        <is>
          <t>LJUSDAL</t>
        </is>
      </c>
      <c r="G1915" t="n">
        <v>9.5</v>
      </c>
      <c r="H1915" t="n">
        <v>0</v>
      </c>
      <c r="I1915" t="n">
        <v>0</v>
      </c>
      <c r="J1915" t="n">
        <v>0</v>
      </c>
      <c r="K1915" t="n">
        <v>0</v>
      </c>
      <c r="L1915" t="n">
        <v>0</v>
      </c>
      <c r="M1915" t="n">
        <v>0</v>
      </c>
      <c r="N1915" t="n">
        <v>0</v>
      </c>
      <c r="O1915" t="n">
        <v>0</v>
      </c>
      <c r="P1915" t="n">
        <v>0</v>
      </c>
      <c r="Q1915" t="n">
        <v>0</v>
      </c>
      <c r="R1915" s="2" t="inlineStr"/>
    </row>
    <row r="1916" ht="15" customHeight="1">
      <c r="A1916" t="inlineStr">
        <is>
          <t>A 42118-2022</t>
        </is>
      </c>
      <c r="B1916" s="1" t="n">
        <v>44830.5665162037</v>
      </c>
      <c r="C1916" s="1" t="n">
        <v>46086</v>
      </c>
      <c r="D1916" t="inlineStr">
        <is>
          <t>GÄVLEBORGS LÄN</t>
        </is>
      </c>
      <c r="E1916" t="inlineStr">
        <is>
          <t>NORDANSTIG</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58870-2024</t>
        </is>
      </c>
      <c r="B1917" s="1" t="n">
        <v>45636.43966435185</v>
      </c>
      <c r="C1917" s="1" t="n">
        <v>46086</v>
      </c>
      <c r="D1917" t="inlineStr">
        <is>
          <t>GÄVLEBORGS LÄN</t>
        </is>
      </c>
      <c r="E1917" t="inlineStr">
        <is>
          <t>SÖDERHAMN</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52423-2023</t>
        </is>
      </c>
      <c r="B1918" s="1" t="n">
        <v>45225.32539351852</v>
      </c>
      <c r="C1918" s="1" t="n">
        <v>46086</v>
      </c>
      <c r="D1918" t="inlineStr">
        <is>
          <t>GÄVLEBORGS LÄN</t>
        </is>
      </c>
      <c r="E1918" t="inlineStr">
        <is>
          <t>OVANÅKER</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50392-2023</t>
        </is>
      </c>
      <c r="B1919" s="1" t="n">
        <v>45216.63394675926</v>
      </c>
      <c r="C1919" s="1" t="n">
        <v>46086</v>
      </c>
      <c r="D1919" t="inlineStr">
        <is>
          <t>GÄVLEBORGS LÄN</t>
        </is>
      </c>
      <c r="E1919" t="inlineStr">
        <is>
          <t>LJUSDAL</t>
        </is>
      </c>
      <c r="G1919" t="n">
        <v>6.5</v>
      </c>
      <c r="H1919" t="n">
        <v>0</v>
      </c>
      <c r="I1919" t="n">
        <v>0</v>
      </c>
      <c r="J1919" t="n">
        <v>0</v>
      </c>
      <c r="K1919" t="n">
        <v>0</v>
      </c>
      <c r="L1919" t="n">
        <v>0</v>
      </c>
      <c r="M1919" t="n">
        <v>0</v>
      </c>
      <c r="N1919" t="n">
        <v>0</v>
      </c>
      <c r="O1919" t="n">
        <v>0</v>
      </c>
      <c r="P1919" t="n">
        <v>0</v>
      </c>
      <c r="Q1919" t="n">
        <v>0</v>
      </c>
      <c r="R1919" s="2" t="inlineStr"/>
    </row>
    <row r="1920" ht="15" customHeight="1">
      <c r="A1920" t="inlineStr">
        <is>
          <t>A 52438-2023</t>
        </is>
      </c>
      <c r="B1920" s="1" t="n">
        <v>45225.35223379629</v>
      </c>
      <c r="C1920" s="1" t="n">
        <v>46086</v>
      </c>
      <c r="D1920" t="inlineStr">
        <is>
          <t>GÄVLEBORGS LÄN</t>
        </is>
      </c>
      <c r="E1920" t="inlineStr">
        <is>
          <t>HUDIKSVALL</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1570-2024</t>
        </is>
      </c>
      <c r="B1921" s="1" t="n">
        <v>45306</v>
      </c>
      <c r="C1921" s="1" t="n">
        <v>46086</v>
      </c>
      <c r="D1921" t="inlineStr">
        <is>
          <t>GÄVLEBORGS LÄN</t>
        </is>
      </c>
      <c r="E1921" t="inlineStr">
        <is>
          <t>OVANÅKER</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21991-2024</t>
        </is>
      </c>
      <c r="B1922" s="1" t="n">
        <v>45443.55751157407</v>
      </c>
      <c r="C1922" s="1" t="n">
        <v>46086</v>
      </c>
      <c r="D1922" t="inlineStr">
        <is>
          <t>GÄVLEBORGS LÄN</t>
        </is>
      </c>
      <c r="E1922" t="inlineStr">
        <is>
          <t>SÖDERHAMN</t>
        </is>
      </c>
      <c r="F1922" t="inlineStr">
        <is>
          <t>Kommuner</t>
        </is>
      </c>
      <c r="G1922" t="n">
        <v>5.9</v>
      </c>
      <c r="H1922" t="n">
        <v>0</v>
      </c>
      <c r="I1922" t="n">
        <v>0</v>
      </c>
      <c r="J1922" t="n">
        <v>0</v>
      </c>
      <c r="K1922" t="n">
        <v>0</v>
      </c>
      <c r="L1922" t="n">
        <v>0</v>
      </c>
      <c r="M1922" t="n">
        <v>0</v>
      </c>
      <c r="N1922" t="n">
        <v>0</v>
      </c>
      <c r="O1922" t="n">
        <v>0</v>
      </c>
      <c r="P1922" t="n">
        <v>0</v>
      </c>
      <c r="Q1922" t="n">
        <v>0</v>
      </c>
      <c r="R1922" s="2" t="inlineStr"/>
    </row>
    <row r="1923" ht="15" customHeight="1">
      <c r="A1923" t="inlineStr">
        <is>
          <t>A 4275-2023</t>
        </is>
      </c>
      <c r="B1923" s="1" t="n">
        <v>44953.5824537037</v>
      </c>
      <c r="C1923" s="1" t="n">
        <v>46086</v>
      </c>
      <c r="D1923" t="inlineStr">
        <is>
          <t>GÄVLEBORGS LÄN</t>
        </is>
      </c>
      <c r="E1923" t="inlineStr">
        <is>
          <t>LJUSDAL</t>
        </is>
      </c>
      <c r="F1923" t="inlineStr">
        <is>
          <t>Holmen skog AB</t>
        </is>
      </c>
      <c r="G1923" t="n">
        <v>16.4</v>
      </c>
      <c r="H1923" t="n">
        <v>0</v>
      </c>
      <c r="I1923" t="n">
        <v>0</v>
      </c>
      <c r="J1923" t="n">
        <v>0</v>
      </c>
      <c r="K1923" t="n">
        <v>0</v>
      </c>
      <c r="L1923" t="n">
        <v>0</v>
      </c>
      <c r="M1923" t="n">
        <v>0</v>
      </c>
      <c r="N1923" t="n">
        <v>0</v>
      </c>
      <c r="O1923" t="n">
        <v>0</v>
      </c>
      <c r="P1923" t="n">
        <v>0</v>
      </c>
      <c r="Q1923" t="n">
        <v>0</v>
      </c>
      <c r="R1923" s="2" t="inlineStr"/>
    </row>
    <row r="1924" ht="15" customHeight="1">
      <c r="A1924" t="inlineStr">
        <is>
          <t>A 34783-2022</t>
        </is>
      </c>
      <c r="B1924" s="1" t="n">
        <v>44795</v>
      </c>
      <c r="C1924" s="1" t="n">
        <v>46086</v>
      </c>
      <c r="D1924" t="inlineStr">
        <is>
          <t>GÄVLEBORGS LÄN</t>
        </is>
      </c>
      <c r="E1924" t="inlineStr">
        <is>
          <t>NORDANSTIG</t>
        </is>
      </c>
      <c r="G1924" t="n">
        <v>7.8</v>
      </c>
      <c r="H1924" t="n">
        <v>0</v>
      </c>
      <c r="I1924" t="n">
        <v>0</v>
      </c>
      <c r="J1924" t="n">
        <v>0</v>
      </c>
      <c r="K1924" t="n">
        <v>0</v>
      </c>
      <c r="L1924" t="n">
        <v>0</v>
      </c>
      <c r="M1924" t="n">
        <v>0</v>
      </c>
      <c r="N1924" t="n">
        <v>0</v>
      </c>
      <c r="O1924" t="n">
        <v>0</v>
      </c>
      <c r="P1924" t="n">
        <v>0</v>
      </c>
      <c r="Q1924" t="n">
        <v>0</v>
      </c>
      <c r="R1924" s="2" t="inlineStr"/>
    </row>
    <row r="1925" ht="15" customHeight="1">
      <c r="A1925" t="inlineStr">
        <is>
          <t>A 1820-2024</t>
        </is>
      </c>
      <c r="B1925" s="1" t="n">
        <v>45307</v>
      </c>
      <c r="C1925" s="1" t="n">
        <v>46086</v>
      </c>
      <c r="D1925" t="inlineStr">
        <is>
          <t>GÄVLEBORGS LÄN</t>
        </is>
      </c>
      <c r="E1925" t="inlineStr">
        <is>
          <t>LJUSDAL</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4301-2023</t>
        </is>
      </c>
      <c r="B1926" s="1" t="n">
        <v>44953</v>
      </c>
      <c r="C1926" s="1" t="n">
        <v>46086</v>
      </c>
      <c r="D1926" t="inlineStr">
        <is>
          <t>GÄVLEBORGS LÄN</t>
        </is>
      </c>
      <c r="E1926" t="inlineStr">
        <is>
          <t>HUDIKSVALL</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55367-2023</t>
        </is>
      </c>
      <c r="B1927" s="1" t="n">
        <v>45238.34386574074</v>
      </c>
      <c r="C1927" s="1" t="n">
        <v>46086</v>
      </c>
      <c r="D1927" t="inlineStr">
        <is>
          <t>GÄVLEBORGS LÄN</t>
        </is>
      </c>
      <c r="E1927" t="inlineStr">
        <is>
          <t>BOLLNÄS</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27320-2023</t>
        </is>
      </c>
      <c r="B1928" s="1" t="n">
        <v>45096.66672453703</v>
      </c>
      <c r="C1928" s="1" t="n">
        <v>46086</v>
      </c>
      <c r="D1928" t="inlineStr">
        <is>
          <t>GÄVLEBORGS LÄN</t>
        </is>
      </c>
      <c r="E1928" t="inlineStr">
        <is>
          <t>OVANÅKER</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2658-2024</t>
        </is>
      </c>
      <c r="B1929" s="1" t="n">
        <v>45314.37314814814</v>
      </c>
      <c r="C1929" s="1" t="n">
        <v>46086</v>
      </c>
      <c r="D1929" t="inlineStr">
        <is>
          <t>GÄVLEBORGS LÄN</t>
        </is>
      </c>
      <c r="E1929" t="inlineStr">
        <is>
          <t>HUDIKSVALL</t>
        </is>
      </c>
      <c r="F1929" t="inlineStr">
        <is>
          <t>Holmen skog AB</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34887-2022</t>
        </is>
      </c>
      <c r="B1930" s="1" t="n">
        <v>44796</v>
      </c>
      <c r="C1930" s="1" t="n">
        <v>46086</v>
      </c>
      <c r="D1930" t="inlineStr">
        <is>
          <t>GÄVLEBORGS LÄN</t>
        </is>
      </c>
      <c r="E1930" t="inlineStr">
        <is>
          <t>BOLLNÄS</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2802-2025</t>
        </is>
      </c>
      <c r="B1931" s="1" t="n">
        <v>45677.58137731482</v>
      </c>
      <c r="C1931" s="1" t="n">
        <v>46086</v>
      </c>
      <c r="D1931" t="inlineStr">
        <is>
          <t>GÄVLEBORGS LÄN</t>
        </is>
      </c>
      <c r="E1931" t="inlineStr">
        <is>
          <t>BOLLNÄS</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4212-2025</t>
        </is>
      </c>
      <c r="B1932" s="1" t="n">
        <v>45685</v>
      </c>
      <c r="C1932" s="1" t="n">
        <v>46086</v>
      </c>
      <c r="D1932" t="inlineStr">
        <is>
          <t>GÄVLEBORGS LÄN</t>
        </is>
      </c>
      <c r="E1932" t="inlineStr">
        <is>
          <t>LJUSDAL</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63798-2023</t>
        </is>
      </c>
      <c r="B1933" s="1" t="n">
        <v>45278.41434027778</v>
      </c>
      <c r="C1933" s="1" t="n">
        <v>46086</v>
      </c>
      <c r="D1933" t="inlineStr">
        <is>
          <t>GÄVLEBORGS LÄN</t>
        </is>
      </c>
      <c r="E1933" t="inlineStr">
        <is>
          <t>SÖDERHAMN</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9392-2025</t>
        </is>
      </c>
      <c r="B1934" s="1" t="n">
        <v>45715.35614583334</v>
      </c>
      <c r="C1934" s="1" t="n">
        <v>46086</v>
      </c>
      <c r="D1934" t="inlineStr">
        <is>
          <t>GÄVLEBORGS LÄN</t>
        </is>
      </c>
      <c r="E1934" t="inlineStr">
        <is>
          <t>HUDIKSVALL</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61848-2023</t>
        </is>
      </c>
      <c r="B1935" s="1" t="n">
        <v>45265</v>
      </c>
      <c r="C1935" s="1" t="n">
        <v>46086</v>
      </c>
      <c r="D1935" t="inlineStr">
        <is>
          <t>GÄVLEBORGS LÄN</t>
        </is>
      </c>
      <c r="E1935" t="inlineStr">
        <is>
          <t>SANDVIKEN</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18991-2025</t>
        </is>
      </c>
      <c r="B1936" s="1" t="n">
        <v>45764.57142361111</v>
      </c>
      <c r="C1936" s="1" t="n">
        <v>46086</v>
      </c>
      <c r="D1936" t="inlineStr">
        <is>
          <t>GÄVLEBORGS LÄN</t>
        </is>
      </c>
      <c r="E1936" t="inlineStr">
        <is>
          <t>HUDIKSVALL</t>
        </is>
      </c>
      <c r="F1936" t="inlineStr">
        <is>
          <t>Holmen skog AB</t>
        </is>
      </c>
      <c r="G1936" t="n">
        <v>6.8</v>
      </c>
      <c r="H1936" t="n">
        <v>0</v>
      </c>
      <c r="I1936" t="n">
        <v>0</v>
      </c>
      <c r="J1936" t="n">
        <v>0</v>
      </c>
      <c r="K1936" t="n">
        <v>0</v>
      </c>
      <c r="L1936" t="n">
        <v>0</v>
      </c>
      <c r="M1936" t="n">
        <v>0</v>
      </c>
      <c r="N1936" t="n">
        <v>0</v>
      </c>
      <c r="O1936" t="n">
        <v>0</v>
      </c>
      <c r="P1936" t="n">
        <v>0</v>
      </c>
      <c r="Q1936" t="n">
        <v>0</v>
      </c>
      <c r="R1936" s="2" t="inlineStr"/>
    </row>
    <row r="1937" ht="15" customHeight="1">
      <c r="A1937" t="inlineStr">
        <is>
          <t>A 36405-2024</t>
        </is>
      </c>
      <c r="B1937" s="1" t="n">
        <v>45535.78827546296</v>
      </c>
      <c r="C1937" s="1" t="n">
        <v>46086</v>
      </c>
      <c r="D1937" t="inlineStr">
        <is>
          <t>GÄVLEBORGS LÄN</t>
        </is>
      </c>
      <c r="E1937" t="inlineStr">
        <is>
          <t>HUDIKSVALL</t>
        </is>
      </c>
      <c r="F1937" t="inlineStr">
        <is>
          <t>Holmen skog AB</t>
        </is>
      </c>
      <c r="G1937" t="n">
        <v>16.8</v>
      </c>
      <c r="H1937" t="n">
        <v>0</v>
      </c>
      <c r="I1937" t="n">
        <v>0</v>
      </c>
      <c r="J1937" t="n">
        <v>0</v>
      </c>
      <c r="K1937" t="n">
        <v>0</v>
      </c>
      <c r="L1937" t="n">
        <v>0</v>
      </c>
      <c r="M1937" t="n">
        <v>0</v>
      </c>
      <c r="N1937" t="n">
        <v>0</v>
      </c>
      <c r="O1937" t="n">
        <v>0</v>
      </c>
      <c r="P1937" t="n">
        <v>0</v>
      </c>
      <c r="Q1937" t="n">
        <v>0</v>
      </c>
      <c r="R1937" s="2" t="inlineStr"/>
    </row>
    <row r="1938" ht="15" customHeight="1">
      <c r="A1938" t="inlineStr">
        <is>
          <t>A 55704-2024</t>
        </is>
      </c>
      <c r="B1938" s="1" t="n">
        <v>45622.69447916667</v>
      </c>
      <c r="C1938" s="1" t="n">
        <v>46086</v>
      </c>
      <c r="D1938" t="inlineStr">
        <is>
          <t>GÄVLEBORGS LÄN</t>
        </is>
      </c>
      <c r="E1938" t="inlineStr">
        <is>
          <t>NORDANSTIG</t>
        </is>
      </c>
      <c r="F1938" t="inlineStr">
        <is>
          <t>Holmen skog AB</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30782-2024</t>
        </is>
      </c>
      <c r="B1939" s="1" t="n">
        <v>45496.95054398148</v>
      </c>
      <c r="C1939" s="1" t="n">
        <v>46086</v>
      </c>
      <c r="D1939" t="inlineStr">
        <is>
          <t>GÄVLEBORGS LÄN</t>
        </is>
      </c>
      <c r="E1939" t="inlineStr">
        <is>
          <t>LJUSDAL</t>
        </is>
      </c>
      <c r="F1939" t="inlineStr">
        <is>
          <t>SCA</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4221-2024</t>
        </is>
      </c>
      <c r="B1940" s="1" t="n">
        <v>45324</v>
      </c>
      <c r="C1940" s="1" t="n">
        <v>46086</v>
      </c>
      <c r="D1940" t="inlineStr">
        <is>
          <t>GÄVLEBORGS LÄN</t>
        </is>
      </c>
      <c r="E1940" t="inlineStr">
        <is>
          <t>LJUSDAL</t>
        </is>
      </c>
      <c r="G1940" t="n">
        <v>14.5</v>
      </c>
      <c r="H1940" t="n">
        <v>0</v>
      </c>
      <c r="I1940" t="n">
        <v>0</v>
      </c>
      <c r="J1940" t="n">
        <v>0</v>
      </c>
      <c r="K1940" t="n">
        <v>0</v>
      </c>
      <c r="L1940" t="n">
        <v>0</v>
      </c>
      <c r="M1940" t="n">
        <v>0</v>
      </c>
      <c r="N1940" t="n">
        <v>0</v>
      </c>
      <c r="O1940" t="n">
        <v>0</v>
      </c>
      <c r="P1940" t="n">
        <v>0</v>
      </c>
      <c r="Q1940" t="n">
        <v>0</v>
      </c>
      <c r="R1940" s="2" t="inlineStr"/>
    </row>
    <row r="1941" ht="15" customHeight="1">
      <c r="A1941" t="inlineStr">
        <is>
          <t>A 4230-2024</t>
        </is>
      </c>
      <c r="B1941" s="1" t="n">
        <v>45324</v>
      </c>
      <c r="C1941" s="1" t="n">
        <v>46086</v>
      </c>
      <c r="D1941" t="inlineStr">
        <is>
          <t>GÄVLEBORGS LÄN</t>
        </is>
      </c>
      <c r="E1941" t="inlineStr">
        <is>
          <t>LJUSDAL</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59593-2021</t>
        </is>
      </c>
      <c r="B1942" s="1" t="n">
        <v>44491</v>
      </c>
      <c r="C1942" s="1" t="n">
        <v>46086</v>
      </c>
      <c r="D1942" t="inlineStr">
        <is>
          <t>GÄVLEBORGS LÄN</t>
        </is>
      </c>
      <c r="E1942" t="inlineStr">
        <is>
          <t>HUDIKSVALL</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17834-2021</t>
        </is>
      </c>
      <c r="B1943" s="1" t="n">
        <v>44300.80547453704</v>
      </c>
      <c r="C1943" s="1" t="n">
        <v>46086</v>
      </c>
      <c r="D1943" t="inlineStr">
        <is>
          <t>GÄVLEBORGS LÄN</t>
        </is>
      </c>
      <c r="E1943" t="inlineStr">
        <is>
          <t>GÄVLE</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61056-2024</t>
        </is>
      </c>
      <c r="B1944" s="1" t="n">
        <v>45645.48956018518</v>
      </c>
      <c r="C1944" s="1" t="n">
        <v>46086</v>
      </c>
      <c r="D1944" t="inlineStr">
        <is>
          <t>GÄVLEBORGS LÄN</t>
        </is>
      </c>
      <c r="E1944" t="inlineStr">
        <is>
          <t>GÄVLE</t>
        </is>
      </c>
      <c r="F1944" t="inlineStr">
        <is>
          <t>Bergvik skog öst AB</t>
        </is>
      </c>
      <c r="G1944" t="n">
        <v>5.3</v>
      </c>
      <c r="H1944" t="n">
        <v>0</v>
      </c>
      <c r="I1944" t="n">
        <v>0</v>
      </c>
      <c r="J1944" t="n">
        <v>0</v>
      </c>
      <c r="K1944" t="n">
        <v>0</v>
      </c>
      <c r="L1944" t="n">
        <v>0</v>
      </c>
      <c r="M1944" t="n">
        <v>0</v>
      </c>
      <c r="N1944" t="n">
        <v>0</v>
      </c>
      <c r="O1944" t="n">
        <v>0</v>
      </c>
      <c r="P1944" t="n">
        <v>0</v>
      </c>
      <c r="Q1944" t="n">
        <v>0</v>
      </c>
      <c r="R1944" s="2" t="inlineStr"/>
    </row>
    <row r="1945" ht="15" customHeight="1">
      <c r="A1945" t="inlineStr">
        <is>
          <t>A 7436-2024</t>
        </is>
      </c>
      <c r="B1945" s="1" t="n">
        <v>45345</v>
      </c>
      <c r="C1945" s="1" t="n">
        <v>46086</v>
      </c>
      <c r="D1945" t="inlineStr">
        <is>
          <t>GÄVLEBORGS LÄN</t>
        </is>
      </c>
      <c r="E1945" t="inlineStr">
        <is>
          <t>NORDANSTIG</t>
        </is>
      </c>
      <c r="F1945" t="inlineStr">
        <is>
          <t>Holmen skog AB</t>
        </is>
      </c>
      <c r="G1945" t="n">
        <v>62.5</v>
      </c>
      <c r="H1945" t="n">
        <v>0</v>
      </c>
      <c r="I1945" t="n">
        <v>0</v>
      </c>
      <c r="J1945" t="n">
        <v>0</v>
      </c>
      <c r="K1945" t="n">
        <v>0</v>
      </c>
      <c r="L1945" t="n">
        <v>0</v>
      </c>
      <c r="M1945" t="n">
        <v>0</v>
      </c>
      <c r="N1945" t="n">
        <v>0</v>
      </c>
      <c r="O1945" t="n">
        <v>0</v>
      </c>
      <c r="P1945" t="n">
        <v>0</v>
      </c>
      <c r="Q1945" t="n">
        <v>0</v>
      </c>
      <c r="R1945" s="2" t="inlineStr"/>
    </row>
    <row r="1946" ht="15" customHeight="1">
      <c r="A1946" t="inlineStr">
        <is>
          <t>A 38596-2022</t>
        </is>
      </c>
      <c r="B1946" s="1" t="n">
        <v>44813.58180555556</v>
      </c>
      <c r="C1946" s="1" t="n">
        <v>46086</v>
      </c>
      <c r="D1946" t="inlineStr">
        <is>
          <t>GÄVLEBORGS LÄN</t>
        </is>
      </c>
      <c r="E1946" t="inlineStr">
        <is>
          <t>LJUSDAL</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7460-2024</t>
        </is>
      </c>
      <c r="B1947" s="1" t="n">
        <v>45345.92609953704</v>
      </c>
      <c r="C1947" s="1" t="n">
        <v>46086</v>
      </c>
      <c r="D1947" t="inlineStr">
        <is>
          <t>GÄVLEBORGS LÄN</t>
        </is>
      </c>
      <c r="E1947" t="inlineStr">
        <is>
          <t>NORDANSTIG</t>
        </is>
      </c>
      <c r="G1947" t="n">
        <v>10.8</v>
      </c>
      <c r="H1947" t="n">
        <v>0</v>
      </c>
      <c r="I1947" t="n">
        <v>0</v>
      </c>
      <c r="J1947" t="n">
        <v>0</v>
      </c>
      <c r="K1947" t="n">
        <v>0</v>
      </c>
      <c r="L1947" t="n">
        <v>0</v>
      </c>
      <c r="M1947" t="n">
        <v>0</v>
      </c>
      <c r="N1947" t="n">
        <v>0</v>
      </c>
      <c r="O1947" t="n">
        <v>0</v>
      </c>
      <c r="P1947" t="n">
        <v>0</v>
      </c>
      <c r="Q1947" t="n">
        <v>0</v>
      </c>
      <c r="R1947" s="2" t="inlineStr"/>
    </row>
    <row r="1948" ht="15" customHeight="1">
      <c r="A1948" t="inlineStr">
        <is>
          <t>A 49856-2024</t>
        </is>
      </c>
      <c r="B1948" s="1" t="n">
        <v>45597.46902777778</v>
      </c>
      <c r="C1948" s="1" t="n">
        <v>46086</v>
      </c>
      <c r="D1948" t="inlineStr">
        <is>
          <t>GÄVLEBORGS LÄN</t>
        </is>
      </c>
      <c r="E1948" t="inlineStr">
        <is>
          <t>OVANÅKER</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22745-2022</t>
        </is>
      </c>
      <c r="B1949" s="1" t="n">
        <v>44714.71814814815</v>
      </c>
      <c r="C1949" s="1" t="n">
        <v>46086</v>
      </c>
      <c r="D1949" t="inlineStr">
        <is>
          <t>GÄVLEBORGS LÄN</t>
        </is>
      </c>
      <c r="E1949" t="inlineStr">
        <is>
          <t>BOLLNÄS</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9426-2025</t>
        </is>
      </c>
      <c r="B1950" s="1" t="n">
        <v>45715.40354166667</v>
      </c>
      <c r="C1950" s="1" t="n">
        <v>46086</v>
      </c>
      <c r="D1950" t="inlineStr">
        <is>
          <t>GÄVLEBORGS LÄN</t>
        </is>
      </c>
      <c r="E1950" t="inlineStr">
        <is>
          <t>GÄVLE</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72535-2021</t>
        </is>
      </c>
      <c r="B1951" s="1" t="n">
        <v>44546</v>
      </c>
      <c r="C1951" s="1" t="n">
        <v>46086</v>
      </c>
      <c r="D1951" t="inlineStr">
        <is>
          <t>GÄVLEBORGS LÄN</t>
        </is>
      </c>
      <c r="E1951" t="inlineStr">
        <is>
          <t>HUDIKSVALL</t>
        </is>
      </c>
      <c r="F1951" t="inlineStr">
        <is>
          <t>Sveaskog</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6568-2024</t>
        </is>
      </c>
      <c r="B1952" s="1" t="n">
        <v>45341.46197916667</v>
      </c>
      <c r="C1952" s="1" t="n">
        <v>46086</v>
      </c>
      <c r="D1952" t="inlineStr">
        <is>
          <t>GÄVLEBORGS LÄN</t>
        </is>
      </c>
      <c r="E1952" t="inlineStr">
        <is>
          <t>OCKELBO</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57196-2022</t>
        </is>
      </c>
      <c r="B1953" s="1" t="n">
        <v>44895.63180555555</v>
      </c>
      <c r="C1953" s="1" t="n">
        <v>46086</v>
      </c>
      <c r="D1953" t="inlineStr">
        <is>
          <t>GÄVLEBORGS LÄN</t>
        </is>
      </c>
      <c r="E1953" t="inlineStr">
        <is>
          <t>NORDANSTIG</t>
        </is>
      </c>
      <c r="F1953" t="inlineStr">
        <is>
          <t>Holmen skog AB</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17792-2023</t>
        </is>
      </c>
      <c r="B1954" s="1" t="n">
        <v>45037</v>
      </c>
      <c r="C1954" s="1" t="n">
        <v>46086</v>
      </c>
      <c r="D1954" t="inlineStr">
        <is>
          <t>GÄVLEBORGS LÄN</t>
        </is>
      </c>
      <c r="E1954" t="inlineStr">
        <is>
          <t>BOLLNÄS</t>
        </is>
      </c>
      <c r="F1954" t="inlineStr">
        <is>
          <t>Kyrkan</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60962-2024</t>
        </is>
      </c>
      <c r="B1955" s="1" t="n">
        <v>45645.39519675926</v>
      </c>
      <c r="C1955" s="1" t="n">
        <v>46086</v>
      </c>
      <c r="D1955" t="inlineStr">
        <is>
          <t>GÄVLEBORGS LÄN</t>
        </is>
      </c>
      <c r="E1955" t="inlineStr">
        <is>
          <t>OCKELBO</t>
        </is>
      </c>
      <c r="F1955" t="inlineStr">
        <is>
          <t>Kyrkan</t>
        </is>
      </c>
      <c r="G1955" t="n">
        <v>5.9</v>
      </c>
      <c r="H1955" t="n">
        <v>0</v>
      </c>
      <c r="I1955" t="n">
        <v>0</v>
      </c>
      <c r="J1955" t="n">
        <v>0</v>
      </c>
      <c r="K1955" t="n">
        <v>0</v>
      </c>
      <c r="L1955" t="n">
        <v>0</v>
      </c>
      <c r="M1955" t="n">
        <v>0</v>
      </c>
      <c r="N1955" t="n">
        <v>0</v>
      </c>
      <c r="O1955" t="n">
        <v>0</v>
      </c>
      <c r="P1955" t="n">
        <v>0</v>
      </c>
      <c r="Q1955" t="n">
        <v>0</v>
      </c>
      <c r="R1955" s="2" t="inlineStr"/>
    </row>
    <row r="1956" ht="15" customHeight="1">
      <c r="A1956" t="inlineStr">
        <is>
          <t>A 11215-2023</t>
        </is>
      </c>
      <c r="B1956" s="1" t="n">
        <v>44992.61489583334</v>
      </c>
      <c r="C1956" s="1" t="n">
        <v>46086</v>
      </c>
      <c r="D1956" t="inlineStr">
        <is>
          <t>GÄVLEBORGS LÄN</t>
        </is>
      </c>
      <c r="E1956" t="inlineStr">
        <is>
          <t>SÖDERHAMN</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9412-2025</t>
        </is>
      </c>
      <c r="B1957" s="1" t="n">
        <v>45715.39028935185</v>
      </c>
      <c r="C1957" s="1" t="n">
        <v>46086</v>
      </c>
      <c r="D1957" t="inlineStr">
        <is>
          <t>GÄVLEBORGS LÄN</t>
        </is>
      </c>
      <c r="E1957" t="inlineStr">
        <is>
          <t>GÄVLE</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27460-2023</t>
        </is>
      </c>
      <c r="B1958" s="1" t="n">
        <v>45097</v>
      </c>
      <c r="C1958" s="1" t="n">
        <v>46086</v>
      </c>
      <c r="D1958" t="inlineStr">
        <is>
          <t>GÄVLEBORGS LÄN</t>
        </is>
      </c>
      <c r="E1958" t="inlineStr">
        <is>
          <t>LJUSDAL</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27475-2023</t>
        </is>
      </c>
      <c r="B1959" s="1" t="n">
        <v>45097</v>
      </c>
      <c r="C1959" s="1" t="n">
        <v>46086</v>
      </c>
      <c r="D1959" t="inlineStr">
        <is>
          <t>GÄVLEBORGS LÄN</t>
        </is>
      </c>
      <c r="E1959" t="inlineStr">
        <is>
          <t>HUDIKSVALL</t>
        </is>
      </c>
      <c r="F1959" t="inlineStr">
        <is>
          <t>Holmen skog AB</t>
        </is>
      </c>
      <c r="G1959" t="n">
        <v>14.6</v>
      </c>
      <c r="H1959" t="n">
        <v>0</v>
      </c>
      <c r="I1959" t="n">
        <v>0</v>
      </c>
      <c r="J1959" t="n">
        <v>0</v>
      </c>
      <c r="K1959" t="n">
        <v>0</v>
      </c>
      <c r="L1959" t="n">
        <v>0</v>
      </c>
      <c r="M1959" t="n">
        <v>0</v>
      </c>
      <c r="N1959" t="n">
        <v>0</v>
      </c>
      <c r="O1959" t="n">
        <v>0</v>
      </c>
      <c r="P1959" t="n">
        <v>0</v>
      </c>
      <c r="Q1959" t="n">
        <v>0</v>
      </c>
      <c r="R1959" s="2" t="inlineStr"/>
    </row>
    <row r="1960" ht="15" customHeight="1">
      <c r="A1960" t="inlineStr">
        <is>
          <t>A 48605-2023</t>
        </is>
      </c>
      <c r="B1960" s="1" t="n">
        <v>45208</v>
      </c>
      <c r="C1960" s="1" t="n">
        <v>46086</v>
      </c>
      <c r="D1960" t="inlineStr">
        <is>
          <t>GÄVLEBORGS LÄN</t>
        </is>
      </c>
      <c r="E1960" t="inlineStr">
        <is>
          <t>BOLLNÄS</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52090-2024</t>
        </is>
      </c>
      <c r="B1961" s="1" t="n">
        <v>45608</v>
      </c>
      <c r="C1961" s="1" t="n">
        <v>46086</v>
      </c>
      <c r="D1961" t="inlineStr">
        <is>
          <t>GÄVLEBORGS LÄN</t>
        </is>
      </c>
      <c r="E1961" t="inlineStr">
        <is>
          <t>LJUSDAL</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54309-2024</t>
        </is>
      </c>
      <c r="B1962" s="1" t="n">
        <v>45617.34234953704</v>
      </c>
      <c r="C1962" s="1" t="n">
        <v>46086</v>
      </c>
      <c r="D1962" t="inlineStr">
        <is>
          <t>GÄVLEBORGS LÄN</t>
        </is>
      </c>
      <c r="E1962" t="inlineStr">
        <is>
          <t>OCKELBO</t>
        </is>
      </c>
      <c r="F1962" t="inlineStr">
        <is>
          <t>Bergvik skog väst AB</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61859-2024</t>
        </is>
      </c>
      <c r="B1963" s="1" t="n">
        <v>45649</v>
      </c>
      <c r="C1963" s="1" t="n">
        <v>46086</v>
      </c>
      <c r="D1963" t="inlineStr">
        <is>
          <t>GÄVLEBORGS LÄN</t>
        </is>
      </c>
      <c r="E1963" t="inlineStr">
        <is>
          <t>SANDVIKEN</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61881-2024</t>
        </is>
      </c>
      <c r="B1964" s="1" t="n">
        <v>45652</v>
      </c>
      <c r="C1964" s="1" t="n">
        <v>46086</v>
      </c>
      <c r="D1964" t="inlineStr">
        <is>
          <t>GÄVLEBORGS LÄN</t>
        </is>
      </c>
      <c r="E1964" t="inlineStr">
        <is>
          <t>SÖDERHAMN</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11401-2023</t>
        </is>
      </c>
      <c r="B1965" s="1" t="n">
        <v>44988</v>
      </c>
      <c r="C1965" s="1" t="n">
        <v>46086</v>
      </c>
      <c r="D1965" t="inlineStr">
        <is>
          <t>GÄVLEBORGS LÄN</t>
        </is>
      </c>
      <c r="E1965" t="inlineStr">
        <is>
          <t>SANDVIKEN</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58184-2022</t>
        </is>
      </c>
      <c r="B1966" s="1" t="n">
        <v>44900</v>
      </c>
      <c r="C1966" s="1" t="n">
        <v>46086</v>
      </c>
      <c r="D1966" t="inlineStr">
        <is>
          <t>GÄVLEBORGS LÄN</t>
        </is>
      </c>
      <c r="E1966" t="inlineStr">
        <is>
          <t>NORDANSTIG</t>
        </is>
      </c>
      <c r="F1966" t="inlineStr">
        <is>
          <t>SCA</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24220-2024</t>
        </is>
      </c>
      <c r="B1967" s="1" t="n">
        <v>45457.32453703704</v>
      </c>
      <c r="C1967" s="1" t="n">
        <v>46086</v>
      </c>
      <c r="D1967" t="inlineStr">
        <is>
          <t>GÄVLEBORGS LÄN</t>
        </is>
      </c>
      <c r="E1967" t="inlineStr">
        <is>
          <t>HUDIKSVALL</t>
        </is>
      </c>
      <c r="F1967" t="inlineStr">
        <is>
          <t>Holmen skog AB</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19200-2022</t>
        </is>
      </c>
      <c r="B1968" s="1" t="n">
        <v>44691</v>
      </c>
      <c r="C1968" s="1" t="n">
        <v>46086</v>
      </c>
      <c r="D1968" t="inlineStr">
        <is>
          <t>GÄVLEBORGS LÄN</t>
        </is>
      </c>
      <c r="E1968" t="inlineStr">
        <is>
          <t>LJUSDAL</t>
        </is>
      </c>
      <c r="F1968" t="inlineStr">
        <is>
          <t>Bergvik skog väst AB</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9363-2024</t>
        </is>
      </c>
      <c r="B1969" s="1" t="n">
        <v>45359.33664351852</v>
      </c>
      <c r="C1969" s="1" t="n">
        <v>46086</v>
      </c>
      <c r="D1969" t="inlineStr">
        <is>
          <t>GÄVLEBORGS LÄN</t>
        </is>
      </c>
      <c r="E1969" t="inlineStr">
        <is>
          <t>LJUSDAL</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45352-2021</t>
        </is>
      </c>
      <c r="B1970" s="1" t="n">
        <v>44439</v>
      </c>
      <c r="C1970" s="1" t="n">
        <v>46086</v>
      </c>
      <c r="D1970" t="inlineStr">
        <is>
          <t>GÄVLEBORGS LÄN</t>
        </is>
      </c>
      <c r="E1970" t="inlineStr">
        <is>
          <t>HUDIKSVALL</t>
        </is>
      </c>
      <c r="G1970" t="n">
        <v>7.3</v>
      </c>
      <c r="H1970" t="n">
        <v>0</v>
      </c>
      <c r="I1970" t="n">
        <v>0</v>
      </c>
      <c r="J1970" t="n">
        <v>0</v>
      </c>
      <c r="K1970" t="n">
        <v>0</v>
      </c>
      <c r="L1970" t="n">
        <v>0</v>
      </c>
      <c r="M1970" t="n">
        <v>0</v>
      </c>
      <c r="N1970" t="n">
        <v>0</v>
      </c>
      <c r="O1970" t="n">
        <v>0</v>
      </c>
      <c r="P1970" t="n">
        <v>0</v>
      </c>
      <c r="Q1970" t="n">
        <v>0</v>
      </c>
      <c r="R1970" s="2" t="inlineStr"/>
    </row>
    <row r="1971" ht="15" customHeight="1">
      <c r="A1971" t="inlineStr">
        <is>
          <t>A 58165-2023</t>
        </is>
      </c>
      <c r="B1971" s="1" t="n">
        <v>45250.39545138889</v>
      </c>
      <c r="C1971" s="1" t="n">
        <v>46086</v>
      </c>
      <c r="D1971" t="inlineStr">
        <is>
          <t>GÄVLEBORGS LÄN</t>
        </is>
      </c>
      <c r="E1971" t="inlineStr">
        <is>
          <t>NORDANSTIG</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17345-2024</t>
        </is>
      </c>
      <c r="B1972" s="1" t="n">
        <v>45414</v>
      </c>
      <c r="C1972" s="1" t="n">
        <v>46086</v>
      </c>
      <c r="D1972" t="inlineStr">
        <is>
          <t>GÄVLEBORGS LÄN</t>
        </is>
      </c>
      <c r="E1972" t="inlineStr">
        <is>
          <t>HUDIKSVALL</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61785-2024</t>
        </is>
      </c>
      <c r="B1973" s="1" t="n">
        <v>45649.47710648148</v>
      </c>
      <c r="C1973" s="1" t="n">
        <v>46086</v>
      </c>
      <c r="D1973" t="inlineStr">
        <is>
          <t>GÄVLEBORGS LÄN</t>
        </is>
      </c>
      <c r="E1973" t="inlineStr">
        <is>
          <t>HUDIKSVALL</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18300-2025</t>
        </is>
      </c>
      <c r="B1974" s="1" t="n">
        <v>45762.42745370371</v>
      </c>
      <c r="C1974" s="1" t="n">
        <v>46086</v>
      </c>
      <c r="D1974" t="inlineStr">
        <is>
          <t>GÄVLEBORGS LÄN</t>
        </is>
      </c>
      <c r="E1974" t="inlineStr">
        <is>
          <t>HUDIKSVALL</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61792-2024</t>
        </is>
      </c>
      <c r="B1975" s="1" t="n">
        <v>45649</v>
      </c>
      <c r="C1975" s="1" t="n">
        <v>46086</v>
      </c>
      <c r="D1975" t="inlineStr">
        <is>
          <t>GÄVLEBORGS LÄN</t>
        </is>
      </c>
      <c r="E1975" t="inlineStr">
        <is>
          <t>HUDIKSVALL</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17375-2024</t>
        </is>
      </c>
      <c r="B1976" s="1" t="n">
        <v>45414.63744212963</v>
      </c>
      <c r="C1976" s="1" t="n">
        <v>46086</v>
      </c>
      <c r="D1976" t="inlineStr">
        <is>
          <t>GÄVLEBORGS LÄN</t>
        </is>
      </c>
      <c r="E1976" t="inlineStr">
        <is>
          <t>BOLLNÄS</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28979-2022</t>
        </is>
      </c>
      <c r="B1977" s="1" t="n">
        <v>44749.65016203704</v>
      </c>
      <c r="C1977" s="1" t="n">
        <v>46086</v>
      </c>
      <c r="D1977" t="inlineStr">
        <is>
          <t>GÄVLEBORGS LÄN</t>
        </is>
      </c>
      <c r="E1977" t="inlineStr">
        <is>
          <t>BOLLNÄS</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47688-2024</t>
        </is>
      </c>
      <c r="B1978" s="1" t="n">
        <v>45588.44521990741</v>
      </c>
      <c r="C1978" s="1" t="n">
        <v>46086</v>
      </c>
      <c r="D1978" t="inlineStr">
        <is>
          <t>GÄVLEBORGS LÄN</t>
        </is>
      </c>
      <c r="E1978" t="inlineStr">
        <is>
          <t>HUDIKSVALL</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30798-2022</t>
        </is>
      </c>
      <c r="B1979" s="1" t="n">
        <v>44764.71993055556</v>
      </c>
      <c r="C1979" s="1" t="n">
        <v>46086</v>
      </c>
      <c r="D1979" t="inlineStr">
        <is>
          <t>GÄVLEBORGS LÄN</t>
        </is>
      </c>
      <c r="E1979" t="inlineStr">
        <is>
          <t>SANDVIKEN</t>
        </is>
      </c>
      <c r="F1979" t="inlineStr">
        <is>
          <t>Sveaskog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19737-2025</t>
        </is>
      </c>
      <c r="B1980" s="1" t="n">
        <v>45771.36810185185</v>
      </c>
      <c r="C1980" s="1" t="n">
        <v>46086</v>
      </c>
      <c r="D1980" t="inlineStr">
        <is>
          <t>GÄVLEBORGS LÄN</t>
        </is>
      </c>
      <c r="E1980" t="inlineStr">
        <is>
          <t>OVANÅKER</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19771-2025</t>
        </is>
      </c>
      <c r="B1981" s="1" t="n">
        <v>45771.41731481482</v>
      </c>
      <c r="C1981" s="1" t="n">
        <v>46086</v>
      </c>
      <c r="D1981" t="inlineStr">
        <is>
          <t>GÄVLEBORGS LÄN</t>
        </is>
      </c>
      <c r="E1981" t="inlineStr">
        <is>
          <t>SANDVIKEN</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28905-2023</t>
        </is>
      </c>
      <c r="B1982" s="1" t="n">
        <v>45104.50863425926</v>
      </c>
      <c r="C1982" s="1" t="n">
        <v>46086</v>
      </c>
      <c r="D1982" t="inlineStr">
        <is>
          <t>GÄVLEBORGS LÄN</t>
        </is>
      </c>
      <c r="E1982" t="inlineStr">
        <is>
          <t>GÄVLE</t>
        </is>
      </c>
      <c r="F1982" t="inlineStr">
        <is>
          <t>Bergvik skog väst AB</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58369-2023</t>
        </is>
      </c>
      <c r="B1983" s="1" t="n">
        <v>45250</v>
      </c>
      <c r="C1983" s="1" t="n">
        <v>46086</v>
      </c>
      <c r="D1983" t="inlineStr">
        <is>
          <t>GÄVLEBORGS LÄN</t>
        </is>
      </c>
      <c r="E1983" t="inlineStr">
        <is>
          <t>HOFORS</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44418-2024</t>
        </is>
      </c>
      <c r="B1984" s="1" t="n">
        <v>45573.83903935185</v>
      </c>
      <c r="C1984" s="1" t="n">
        <v>46086</v>
      </c>
      <c r="D1984" t="inlineStr">
        <is>
          <t>GÄVLEBORGS LÄN</t>
        </is>
      </c>
      <c r="E1984" t="inlineStr">
        <is>
          <t>OVANÅKER</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44837-2024</t>
        </is>
      </c>
      <c r="B1985" s="1" t="n">
        <v>45574</v>
      </c>
      <c r="C1985" s="1" t="n">
        <v>46086</v>
      </c>
      <c r="D1985" t="inlineStr">
        <is>
          <t>GÄVLEBORGS LÄN</t>
        </is>
      </c>
      <c r="E1985" t="inlineStr">
        <is>
          <t>NORDANSTIG</t>
        </is>
      </c>
      <c r="F1985" t="inlineStr">
        <is>
          <t>Holmen skog AB</t>
        </is>
      </c>
      <c r="G1985" t="n">
        <v>1.6</v>
      </c>
      <c r="H1985" t="n">
        <v>0</v>
      </c>
      <c r="I1985" t="n">
        <v>0</v>
      </c>
      <c r="J1985" t="n">
        <v>0</v>
      </c>
      <c r="K1985" t="n">
        <v>0</v>
      </c>
      <c r="L1985" t="n">
        <v>0</v>
      </c>
      <c r="M1985" t="n">
        <v>0</v>
      </c>
      <c r="N1985" t="n">
        <v>0</v>
      </c>
      <c r="O1985" t="n">
        <v>0</v>
      </c>
      <c r="P1985" t="n">
        <v>0</v>
      </c>
      <c r="Q1985" t="n">
        <v>0</v>
      </c>
      <c r="R1985" s="2" t="inlineStr"/>
      <c r="U1985">
        <f>HYPERLINK("https://klasma.github.io/Logging_2132/knärot/A 44837-2024 karta knärot.png", "A 44837-2024")</f>
        <v/>
      </c>
      <c r="V1985">
        <f>HYPERLINK("https://klasma.github.io/Logging_2132/klagomål/A 44837-2024 FSC-klagomål.docx", "A 44837-2024")</f>
        <v/>
      </c>
      <c r="W1985">
        <f>HYPERLINK("https://klasma.github.io/Logging_2132/klagomålsmail/A 44837-2024 FSC-klagomål mail.docx", "A 44837-2024")</f>
        <v/>
      </c>
      <c r="X1985">
        <f>HYPERLINK("https://klasma.github.io/Logging_2132/tillsyn/A 44837-2024 tillsynsbegäran.docx", "A 44837-2024")</f>
        <v/>
      </c>
      <c r="Y1985">
        <f>HYPERLINK("https://klasma.github.io/Logging_2132/tillsynsmail/A 44837-2024 tillsynsbegäran mail.docx", "A 44837-2024")</f>
        <v/>
      </c>
    </row>
    <row r="1986" ht="15" customHeight="1">
      <c r="A1986" t="inlineStr">
        <is>
          <t>A 36061-2024</t>
        </is>
      </c>
      <c r="B1986" s="1" t="n">
        <v>45533.63870370371</v>
      </c>
      <c r="C1986" s="1" t="n">
        <v>46086</v>
      </c>
      <c r="D1986" t="inlineStr">
        <is>
          <t>GÄVLEBORGS LÄN</t>
        </is>
      </c>
      <c r="E1986" t="inlineStr">
        <is>
          <t>LJUSDAL</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56036-2023</t>
        </is>
      </c>
      <c r="B1987" s="1" t="n">
        <v>45240.44027777778</v>
      </c>
      <c r="C1987" s="1" t="n">
        <v>46086</v>
      </c>
      <c r="D1987" t="inlineStr">
        <is>
          <t>GÄVLEBORGS LÄN</t>
        </is>
      </c>
      <c r="E1987" t="inlineStr">
        <is>
          <t>SANDVIKEN</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49771-2022</t>
        </is>
      </c>
      <c r="B1988" s="1" t="n">
        <v>44862.61767361111</v>
      </c>
      <c r="C1988" s="1" t="n">
        <v>46086</v>
      </c>
      <c r="D1988" t="inlineStr">
        <is>
          <t>GÄVLEBORGS LÄN</t>
        </is>
      </c>
      <c r="E1988" t="inlineStr">
        <is>
          <t>GÄVLE</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18445-2025</t>
        </is>
      </c>
      <c r="B1989" s="1" t="n">
        <v>45762.6605787037</v>
      </c>
      <c r="C1989" s="1" t="n">
        <v>46086</v>
      </c>
      <c r="D1989" t="inlineStr">
        <is>
          <t>GÄVLEBORGS LÄN</t>
        </is>
      </c>
      <c r="E1989" t="inlineStr">
        <is>
          <t>NORDANSTIG</t>
        </is>
      </c>
      <c r="F1989" t="inlineStr">
        <is>
          <t>Holmen skog AB</t>
        </is>
      </c>
      <c r="G1989" t="n">
        <v>5.2</v>
      </c>
      <c r="H1989" t="n">
        <v>0</v>
      </c>
      <c r="I1989" t="n">
        <v>0</v>
      </c>
      <c r="J1989" t="n">
        <v>0</v>
      </c>
      <c r="K1989" t="n">
        <v>0</v>
      </c>
      <c r="L1989" t="n">
        <v>0</v>
      </c>
      <c r="M1989" t="n">
        <v>0</v>
      </c>
      <c r="N1989" t="n">
        <v>0</v>
      </c>
      <c r="O1989" t="n">
        <v>0</v>
      </c>
      <c r="P1989" t="n">
        <v>0</v>
      </c>
      <c r="Q1989" t="n">
        <v>0</v>
      </c>
      <c r="R1989" s="2" t="inlineStr"/>
    </row>
    <row r="1990" ht="15" customHeight="1">
      <c r="A1990" t="inlineStr">
        <is>
          <t>A 23014-2022</t>
        </is>
      </c>
      <c r="B1990" s="1" t="n">
        <v>44719.36284722222</v>
      </c>
      <c r="C1990" s="1" t="n">
        <v>46086</v>
      </c>
      <c r="D1990" t="inlineStr">
        <is>
          <t>GÄVLEBORGS LÄN</t>
        </is>
      </c>
      <c r="E1990" t="inlineStr">
        <is>
          <t>OVANÅKER</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15825-2025</t>
        </is>
      </c>
      <c r="B1991" s="1" t="n">
        <v>45748.70894675926</v>
      </c>
      <c r="C1991" s="1" t="n">
        <v>46086</v>
      </c>
      <c r="D1991" t="inlineStr">
        <is>
          <t>GÄVLEBORGS LÄN</t>
        </is>
      </c>
      <c r="E1991" t="inlineStr">
        <is>
          <t>LJUSDAL</t>
        </is>
      </c>
      <c r="F1991" t="inlineStr">
        <is>
          <t>SCA</t>
        </is>
      </c>
      <c r="G1991" t="n">
        <v>9.9</v>
      </c>
      <c r="H1991" t="n">
        <v>0</v>
      </c>
      <c r="I1991" t="n">
        <v>0</v>
      </c>
      <c r="J1991" t="n">
        <v>0</v>
      </c>
      <c r="K1991" t="n">
        <v>0</v>
      </c>
      <c r="L1991" t="n">
        <v>0</v>
      </c>
      <c r="M1991" t="n">
        <v>0</v>
      </c>
      <c r="N1991" t="n">
        <v>0</v>
      </c>
      <c r="O1991" t="n">
        <v>0</v>
      </c>
      <c r="P1991" t="n">
        <v>0</v>
      </c>
      <c r="Q1991" t="n">
        <v>0</v>
      </c>
      <c r="R1991" s="2" t="inlineStr"/>
      <c r="U1991">
        <f>HYPERLINK("https://klasma.github.io/Logging_2161/knärot/A 15825-2025 karta knärot.png", "A 15825-2025")</f>
        <v/>
      </c>
      <c r="V1991">
        <f>HYPERLINK("https://klasma.github.io/Logging_2161/klagomål/A 15825-2025 FSC-klagomål.docx", "A 15825-2025")</f>
        <v/>
      </c>
      <c r="W1991">
        <f>HYPERLINK("https://klasma.github.io/Logging_2161/klagomålsmail/A 15825-2025 FSC-klagomål mail.docx", "A 15825-2025")</f>
        <v/>
      </c>
      <c r="X1991">
        <f>HYPERLINK("https://klasma.github.io/Logging_2161/tillsyn/A 15825-2025 tillsynsbegäran.docx", "A 15825-2025")</f>
        <v/>
      </c>
      <c r="Y1991">
        <f>HYPERLINK("https://klasma.github.io/Logging_2161/tillsynsmail/A 15825-2025 tillsynsbegäran mail.docx", "A 15825-2025")</f>
        <v/>
      </c>
    </row>
    <row r="1992" ht="15" customHeight="1">
      <c r="A1992" t="inlineStr">
        <is>
          <t>A 33296-2023</t>
        </is>
      </c>
      <c r="B1992" s="1" t="n">
        <v>45127.69603009259</v>
      </c>
      <c r="C1992" s="1" t="n">
        <v>46086</v>
      </c>
      <c r="D1992" t="inlineStr">
        <is>
          <t>GÄVLEBORGS LÄN</t>
        </is>
      </c>
      <c r="E1992" t="inlineStr">
        <is>
          <t>HOFORS</t>
        </is>
      </c>
      <c r="F1992" t="inlineStr">
        <is>
          <t>Sveaskog</t>
        </is>
      </c>
      <c r="G1992" t="n">
        <v>6.4</v>
      </c>
      <c r="H1992" t="n">
        <v>0</v>
      </c>
      <c r="I1992" t="n">
        <v>0</v>
      </c>
      <c r="J1992" t="n">
        <v>0</v>
      </c>
      <c r="K1992" t="n">
        <v>0</v>
      </c>
      <c r="L1992" t="n">
        <v>0</v>
      </c>
      <c r="M1992" t="n">
        <v>0</v>
      </c>
      <c r="N1992" t="n">
        <v>0</v>
      </c>
      <c r="O1992" t="n">
        <v>0</v>
      </c>
      <c r="P1992" t="n">
        <v>0</v>
      </c>
      <c r="Q1992" t="n">
        <v>0</v>
      </c>
      <c r="R1992" s="2" t="inlineStr"/>
    </row>
    <row r="1993" ht="15" customHeight="1">
      <c r="A1993" t="inlineStr">
        <is>
          <t>A 5190-2025</t>
        </is>
      </c>
      <c r="B1993" s="1" t="n">
        <v>45691.64688657408</v>
      </c>
      <c r="C1993" s="1" t="n">
        <v>46086</v>
      </c>
      <c r="D1993" t="inlineStr">
        <is>
          <t>GÄVLEBORGS LÄN</t>
        </is>
      </c>
      <c r="E1993" t="inlineStr">
        <is>
          <t>HUDIKSVALL</t>
        </is>
      </c>
      <c r="G1993" t="n">
        <v>8.699999999999999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5979-2025</t>
        </is>
      </c>
      <c r="B1994" s="1" t="n">
        <v>45695.54638888889</v>
      </c>
      <c r="C1994" s="1" t="n">
        <v>46086</v>
      </c>
      <c r="D1994" t="inlineStr">
        <is>
          <t>GÄVLEBORGS LÄN</t>
        </is>
      </c>
      <c r="E1994" t="inlineStr">
        <is>
          <t>OVANÅKER</t>
        </is>
      </c>
      <c r="G1994" t="n">
        <v>8.4</v>
      </c>
      <c r="H1994" t="n">
        <v>0</v>
      </c>
      <c r="I1994" t="n">
        <v>0</v>
      </c>
      <c r="J1994" t="n">
        <v>0</v>
      </c>
      <c r="K1994" t="n">
        <v>0</v>
      </c>
      <c r="L1994" t="n">
        <v>0</v>
      </c>
      <c r="M1994" t="n">
        <v>0</v>
      </c>
      <c r="N1994" t="n">
        <v>0</v>
      </c>
      <c r="O1994" t="n">
        <v>0</v>
      </c>
      <c r="P1994" t="n">
        <v>0</v>
      </c>
      <c r="Q1994" t="n">
        <v>0</v>
      </c>
      <c r="R1994" s="2" t="inlineStr"/>
    </row>
    <row r="1995" ht="15" customHeight="1">
      <c r="A1995" t="inlineStr">
        <is>
          <t>A 13337-2024</t>
        </is>
      </c>
      <c r="B1995" s="1" t="n">
        <v>45386</v>
      </c>
      <c r="C1995" s="1" t="n">
        <v>46086</v>
      </c>
      <c r="D1995" t="inlineStr">
        <is>
          <t>GÄVLEBORGS LÄN</t>
        </is>
      </c>
      <c r="E1995" t="inlineStr">
        <is>
          <t>LJUSDAL</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61130-2024</t>
        </is>
      </c>
      <c r="B1996" s="1" t="n">
        <v>45645.58069444444</v>
      </c>
      <c r="C1996" s="1" t="n">
        <v>46086</v>
      </c>
      <c r="D1996" t="inlineStr">
        <is>
          <t>GÄVLEBORGS LÄN</t>
        </is>
      </c>
      <c r="E1996" t="inlineStr">
        <is>
          <t>GÄVLE</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24992-2024</t>
        </is>
      </c>
      <c r="B1997" s="1" t="n">
        <v>45461</v>
      </c>
      <c r="C1997" s="1" t="n">
        <v>46086</v>
      </c>
      <c r="D1997" t="inlineStr">
        <is>
          <t>GÄVLEBORGS LÄN</t>
        </is>
      </c>
      <c r="E1997" t="inlineStr">
        <is>
          <t>BOLLNÄS</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2400-2023</t>
        </is>
      </c>
      <c r="B1998" s="1" t="n">
        <v>44942</v>
      </c>
      <c r="C1998" s="1" t="n">
        <v>46086</v>
      </c>
      <c r="D1998" t="inlineStr">
        <is>
          <t>GÄVLEBORGS LÄN</t>
        </is>
      </c>
      <c r="E1998" t="inlineStr">
        <is>
          <t>GÄVLE</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57806-2024</t>
        </is>
      </c>
      <c r="B1999" s="1" t="n">
        <v>45631.35064814815</v>
      </c>
      <c r="C1999" s="1" t="n">
        <v>46086</v>
      </c>
      <c r="D1999" t="inlineStr">
        <is>
          <t>GÄVLEBORGS LÄN</t>
        </is>
      </c>
      <c r="E1999" t="inlineStr">
        <is>
          <t>NORDANSTIG</t>
        </is>
      </c>
      <c r="F1999" t="inlineStr">
        <is>
          <t>Holmen skog AB</t>
        </is>
      </c>
      <c r="G1999" t="n">
        <v>2.6</v>
      </c>
      <c r="H1999" t="n">
        <v>0</v>
      </c>
      <c r="I1999" t="n">
        <v>0</v>
      </c>
      <c r="J1999" t="n">
        <v>0</v>
      </c>
      <c r="K1999" t="n">
        <v>0</v>
      </c>
      <c r="L1999" t="n">
        <v>0</v>
      </c>
      <c r="M1999" t="n">
        <v>0</v>
      </c>
      <c r="N1999" t="n">
        <v>0</v>
      </c>
      <c r="O1999" t="n">
        <v>0</v>
      </c>
      <c r="P1999" t="n">
        <v>0</v>
      </c>
      <c r="Q1999" t="n">
        <v>0</v>
      </c>
      <c r="R1999" s="2" t="inlineStr"/>
      <c r="U1999">
        <f>HYPERLINK("https://klasma.github.io/Logging_2132/knärot/A 57806-2024 karta knärot.png", "A 57806-2024")</f>
        <v/>
      </c>
      <c r="V1999">
        <f>HYPERLINK("https://klasma.github.io/Logging_2132/klagomål/A 57806-2024 FSC-klagomål.docx", "A 57806-2024")</f>
        <v/>
      </c>
      <c r="W1999">
        <f>HYPERLINK("https://klasma.github.io/Logging_2132/klagomålsmail/A 57806-2024 FSC-klagomål mail.docx", "A 57806-2024")</f>
        <v/>
      </c>
      <c r="X1999">
        <f>HYPERLINK("https://klasma.github.io/Logging_2132/tillsyn/A 57806-2024 tillsynsbegäran.docx", "A 57806-2024")</f>
        <v/>
      </c>
      <c r="Y1999">
        <f>HYPERLINK("https://klasma.github.io/Logging_2132/tillsynsmail/A 57806-2024 tillsynsbegäran mail.docx", "A 57806-2024")</f>
        <v/>
      </c>
    </row>
    <row r="2000" ht="15" customHeight="1">
      <c r="A2000" t="inlineStr">
        <is>
          <t>A 37232-2024</t>
        </is>
      </c>
      <c r="B2000" s="1" t="n">
        <v>45540</v>
      </c>
      <c r="C2000" s="1" t="n">
        <v>46086</v>
      </c>
      <c r="D2000" t="inlineStr">
        <is>
          <t>GÄVLEBORGS LÄN</t>
        </is>
      </c>
      <c r="E2000" t="inlineStr">
        <is>
          <t>SANDVIKEN</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28391-2024</t>
        </is>
      </c>
      <c r="B2001" s="1" t="n">
        <v>45477.60254629629</v>
      </c>
      <c r="C2001" s="1" t="n">
        <v>46086</v>
      </c>
      <c r="D2001" t="inlineStr">
        <is>
          <t>GÄVLEBORGS LÄN</t>
        </is>
      </c>
      <c r="E2001" t="inlineStr">
        <is>
          <t>HOFORS</t>
        </is>
      </c>
      <c r="F2001" t="inlineStr">
        <is>
          <t>Sveaskog</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45302-2023</t>
        </is>
      </c>
      <c r="B2002" s="1" t="n">
        <v>45191</v>
      </c>
      <c r="C2002" s="1" t="n">
        <v>46086</v>
      </c>
      <c r="D2002" t="inlineStr">
        <is>
          <t>GÄVLEBORGS LÄN</t>
        </is>
      </c>
      <c r="E2002" t="inlineStr">
        <is>
          <t>SANDVIKEN</t>
        </is>
      </c>
      <c r="F2002" t="inlineStr">
        <is>
          <t>Sveaskog</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18311-2023</t>
        </is>
      </c>
      <c r="B2003" s="1" t="n">
        <v>45041.59797453704</v>
      </c>
      <c r="C2003" s="1" t="n">
        <v>46086</v>
      </c>
      <c r="D2003" t="inlineStr">
        <is>
          <t>GÄVLEBORGS LÄN</t>
        </is>
      </c>
      <c r="E2003" t="inlineStr">
        <is>
          <t>BOLLNÄS</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54173-2023</t>
        </is>
      </c>
      <c r="B2004" s="1" t="n">
        <v>45232</v>
      </c>
      <c r="C2004" s="1" t="n">
        <v>46086</v>
      </c>
      <c r="D2004" t="inlineStr">
        <is>
          <t>GÄVLEBORGS LÄN</t>
        </is>
      </c>
      <c r="E2004" t="inlineStr">
        <is>
          <t>HUDIKSVALL</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55427-2024</t>
        </is>
      </c>
      <c r="B2005" s="1" t="n">
        <v>45622.38875</v>
      </c>
      <c r="C2005" s="1" t="n">
        <v>46086</v>
      </c>
      <c r="D2005" t="inlineStr">
        <is>
          <t>GÄVLEBORGS LÄN</t>
        </is>
      </c>
      <c r="E2005" t="inlineStr">
        <is>
          <t>OVANÅKER</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26157-2022</t>
        </is>
      </c>
      <c r="B2006" s="1" t="n">
        <v>44735</v>
      </c>
      <c r="C2006" s="1" t="n">
        <v>46086</v>
      </c>
      <c r="D2006" t="inlineStr">
        <is>
          <t>GÄVLEBORGS LÄN</t>
        </is>
      </c>
      <c r="E2006" t="inlineStr">
        <is>
          <t>GÄVLE</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5719-2023</t>
        </is>
      </c>
      <c r="B2007" s="1" t="n">
        <v>44961.40068287037</v>
      </c>
      <c r="C2007" s="1" t="n">
        <v>46086</v>
      </c>
      <c r="D2007" t="inlineStr">
        <is>
          <t>GÄVLEBORGS LÄN</t>
        </is>
      </c>
      <c r="E2007" t="inlineStr">
        <is>
          <t>OVANÅKER</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4032-2025</t>
        </is>
      </c>
      <c r="B2008" s="1" t="n">
        <v>45684</v>
      </c>
      <c r="C2008" s="1" t="n">
        <v>46086</v>
      </c>
      <c r="D2008" t="inlineStr">
        <is>
          <t>GÄVLEBORGS LÄN</t>
        </is>
      </c>
      <c r="E2008" t="inlineStr">
        <is>
          <t>HOFORS</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2120-2024</t>
        </is>
      </c>
      <c r="B2009" s="1" t="n">
        <v>45309.50126157407</v>
      </c>
      <c r="C2009" s="1" t="n">
        <v>46086</v>
      </c>
      <c r="D2009" t="inlineStr">
        <is>
          <t>GÄVLEBORGS LÄN</t>
        </is>
      </c>
      <c r="E2009" t="inlineStr">
        <is>
          <t>HUDIKSVALL</t>
        </is>
      </c>
      <c r="F2009" t="inlineStr">
        <is>
          <t>Holmen skog AB</t>
        </is>
      </c>
      <c r="G2009" t="n">
        <v>10.9</v>
      </c>
      <c r="H2009" t="n">
        <v>0</v>
      </c>
      <c r="I2009" t="n">
        <v>0</v>
      </c>
      <c r="J2009" t="n">
        <v>0</v>
      </c>
      <c r="K2009" t="n">
        <v>0</v>
      </c>
      <c r="L2009" t="n">
        <v>0</v>
      </c>
      <c r="M2009" t="n">
        <v>0</v>
      </c>
      <c r="N2009" t="n">
        <v>0</v>
      </c>
      <c r="O2009" t="n">
        <v>0</v>
      </c>
      <c r="P2009" t="n">
        <v>0</v>
      </c>
      <c r="Q2009" t="n">
        <v>0</v>
      </c>
      <c r="R2009" s="2" t="inlineStr"/>
    </row>
    <row r="2010" ht="15" customHeight="1">
      <c r="A2010" t="inlineStr">
        <is>
          <t>A 15353-2025</t>
        </is>
      </c>
      <c r="B2010" s="1" t="n">
        <v>45747.38574074074</v>
      </c>
      <c r="C2010" s="1" t="n">
        <v>46086</v>
      </c>
      <c r="D2010" t="inlineStr">
        <is>
          <t>GÄVLEBORGS LÄN</t>
        </is>
      </c>
      <c r="E2010" t="inlineStr">
        <is>
          <t>BOLLNÄS</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32635-2022</t>
        </is>
      </c>
      <c r="B2011" s="1" t="n">
        <v>44783</v>
      </c>
      <c r="C2011" s="1" t="n">
        <v>46086</v>
      </c>
      <c r="D2011" t="inlineStr">
        <is>
          <t>GÄVLEBORGS LÄN</t>
        </is>
      </c>
      <c r="E2011" t="inlineStr">
        <is>
          <t>NORDANSTIG</t>
        </is>
      </c>
      <c r="G2011" t="n">
        <v>10</v>
      </c>
      <c r="H2011" t="n">
        <v>0</v>
      </c>
      <c r="I2011" t="n">
        <v>0</v>
      </c>
      <c r="J2011" t="n">
        <v>0</v>
      </c>
      <c r="K2011" t="n">
        <v>0</v>
      </c>
      <c r="L2011" t="n">
        <v>0</v>
      </c>
      <c r="M2011" t="n">
        <v>0</v>
      </c>
      <c r="N2011" t="n">
        <v>0</v>
      </c>
      <c r="O2011" t="n">
        <v>0</v>
      </c>
      <c r="P2011" t="n">
        <v>0</v>
      </c>
      <c r="Q2011" t="n">
        <v>0</v>
      </c>
      <c r="R2011" s="2" t="inlineStr"/>
    </row>
    <row r="2012" ht="15" customHeight="1">
      <c r="A2012" t="inlineStr">
        <is>
          <t>A 10543-2025</t>
        </is>
      </c>
      <c r="B2012" s="1" t="n">
        <v>45721.48769675926</v>
      </c>
      <c r="C2012" s="1" t="n">
        <v>46086</v>
      </c>
      <c r="D2012" t="inlineStr">
        <is>
          <t>GÄVLEBORGS LÄN</t>
        </is>
      </c>
      <c r="E2012" t="inlineStr">
        <is>
          <t>NORDANSTIG</t>
        </is>
      </c>
      <c r="F2012" t="inlineStr">
        <is>
          <t>Holmen skog AB</t>
        </is>
      </c>
      <c r="G2012" t="n">
        <v>8.9</v>
      </c>
      <c r="H2012" t="n">
        <v>0</v>
      </c>
      <c r="I2012" t="n">
        <v>0</v>
      </c>
      <c r="J2012" t="n">
        <v>0</v>
      </c>
      <c r="K2012" t="n">
        <v>0</v>
      </c>
      <c r="L2012" t="n">
        <v>0</v>
      </c>
      <c r="M2012" t="n">
        <v>0</v>
      </c>
      <c r="N2012" t="n">
        <v>0</v>
      </c>
      <c r="O2012" t="n">
        <v>0</v>
      </c>
      <c r="P2012" t="n">
        <v>0</v>
      </c>
      <c r="Q2012" t="n">
        <v>0</v>
      </c>
      <c r="R2012" s="2" t="inlineStr"/>
    </row>
    <row r="2013" ht="15" customHeight="1">
      <c r="A2013" t="inlineStr">
        <is>
          <t>A 61091-2024</t>
        </is>
      </c>
      <c r="B2013" s="1" t="n">
        <v>45645.54240740741</v>
      </c>
      <c r="C2013" s="1" t="n">
        <v>46086</v>
      </c>
      <c r="D2013" t="inlineStr">
        <is>
          <t>GÄVLEBORGS LÄN</t>
        </is>
      </c>
      <c r="E2013" t="inlineStr">
        <is>
          <t>LJUSDAL</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61131-2024</t>
        </is>
      </c>
      <c r="B2014" s="1" t="n">
        <v>45645.58155092593</v>
      </c>
      <c r="C2014" s="1" t="n">
        <v>46086</v>
      </c>
      <c r="D2014" t="inlineStr">
        <is>
          <t>GÄVLEBORGS LÄN</t>
        </is>
      </c>
      <c r="E2014" t="inlineStr">
        <is>
          <t>GÄVLE</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45768-2024</t>
        </is>
      </c>
      <c r="B2015" s="1" t="n">
        <v>45579</v>
      </c>
      <c r="C2015" s="1" t="n">
        <v>46086</v>
      </c>
      <c r="D2015" t="inlineStr">
        <is>
          <t>GÄVLEBORGS LÄN</t>
        </is>
      </c>
      <c r="E2015" t="inlineStr">
        <is>
          <t>LJUSDAL</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51599-2024</t>
        </is>
      </c>
      <c r="B2016" s="1" t="n">
        <v>45604</v>
      </c>
      <c r="C2016" s="1" t="n">
        <v>46086</v>
      </c>
      <c r="D2016" t="inlineStr">
        <is>
          <t>GÄVLEBORGS LÄN</t>
        </is>
      </c>
      <c r="E2016" t="inlineStr">
        <is>
          <t>LJUSDAL</t>
        </is>
      </c>
      <c r="F2016" t="inlineStr">
        <is>
          <t>Sveaskog</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5586-2025</t>
        </is>
      </c>
      <c r="B2017" s="1" t="n">
        <v>45693.55771990741</v>
      </c>
      <c r="C2017" s="1" t="n">
        <v>46086</v>
      </c>
      <c r="D2017" t="inlineStr">
        <is>
          <t>GÄVLEBORGS LÄN</t>
        </is>
      </c>
      <c r="E2017" t="inlineStr">
        <is>
          <t>SANDVIKEN</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56547-2023</t>
        </is>
      </c>
      <c r="B2018" s="1" t="n">
        <v>45243</v>
      </c>
      <c r="C2018" s="1" t="n">
        <v>46086</v>
      </c>
      <c r="D2018" t="inlineStr">
        <is>
          <t>GÄVLEBORGS LÄN</t>
        </is>
      </c>
      <c r="E2018" t="inlineStr">
        <is>
          <t>BOLLNÄS</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721-2025</t>
        </is>
      </c>
      <c r="B2019" s="1" t="n">
        <v>45665</v>
      </c>
      <c r="C2019" s="1" t="n">
        <v>46086</v>
      </c>
      <c r="D2019" t="inlineStr">
        <is>
          <t>GÄVLEBORGS LÄN</t>
        </is>
      </c>
      <c r="E2019" t="inlineStr">
        <is>
          <t>SÖDERHAMN</t>
        </is>
      </c>
      <c r="F2019" t="inlineStr">
        <is>
          <t>Bergvik skog väst AB</t>
        </is>
      </c>
      <c r="G2019" t="n">
        <v>15.2</v>
      </c>
      <c r="H2019" t="n">
        <v>0</v>
      </c>
      <c r="I2019" t="n">
        <v>0</v>
      </c>
      <c r="J2019" t="n">
        <v>0</v>
      </c>
      <c r="K2019" t="n">
        <v>0</v>
      </c>
      <c r="L2019" t="n">
        <v>0</v>
      </c>
      <c r="M2019" t="n">
        <v>0</v>
      </c>
      <c r="N2019" t="n">
        <v>0</v>
      </c>
      <c r="O2019" t="n">
        <v>0</v>
      </c>
      <c r="P2019" t="n">
        <v>0</v>
      </c>
      <c r="Q2019" t="n">
        <v>0</v>
      </c>
      <c r="R2019" s="2" t="inlineStr"/>
    </row>
    <row r="2020" ht="15" customHeight="1">
      <c r="A2020" t="inlineStr">
        <is>
          <t>A 19227-2025</t>
        </is>
      </c>
      <c r="B2020" s="1" t="n">
        <v>45769.45020833334</v>
      </c>
      <c r="C2020" s="1" t="n">
        <v>46086</v>
      </c>
      <c r="D2020" t="inlineStr">
        <is>
          <t>GÄVLEBORGS LÄN</t>
        </is>
      </c>
      <c r="E2020" t="inlineStr">
        <is>
          <t>HUDIKSVALL</t>
        </is>
      </c>
      <c r="F2020" t="inlineStr">
        <is>
          <t>Holmen skog AB</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49858-2024</t>
        </is>
      </c>
      <c r="B2021" s="1" t="n">
        <v>45597.46925925926</v>
      </c>
      <c r="C2021" s="1" t="n">
        <v>46086</v>
      </c>
      <c r="D2021" t="inlineStr">
        <is>
          <t>GÄVLEBORGS LÄN</t>
        </is>
      </c>
      <c r="E2021" t="inlineStr">
        <is>
          <t>OVANÅKER</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57041-2022</t>
        </is>
      </c>
      <c r="B2022" s="1" t="n">
        <v>44895</v>
      </c>
      <c r="C2022" s="1" t="n">
        <v>46086</v>
      </c>
      <c r="D2022" t="inlineStr">
        <is>
          <t>GÄVLEBORGS LÄN</t>
        </is>
      </c>
      <c r="E2022" t="inlineStr">
        <is>
          <t>BOLLNÄS</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51681-2024</t>
        </is>
      </c>
      <c r="B2023" s="1" t="n">
        <v>45607.34104166667</v>
      </c>
      <c r="C2023" s="1" t="n">
        <v>46086</v>
      </c>
      <c r="D2023" t="inlineStr">
        <is>
          <t>GÄVLEBORGS LÄN</t>
        </is>
      </c>
      <c r="E2023" t="inlineStr">
        <is>
          <t>BOLLNÄS</t>
        </is>
      </c>
      <c r="F2023" t="inlineStr">
        <is>
          <t>Bergvik skog väst AB</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15146-2023</t>
        </is>
      </c>
      <c r="B2024" s="1" t="n">
        <v>45016</v>
      </c>
      <c r="C2024" s="1" t="n">
        <v>46086</v>
      </c>
      <c r="D2024" t="inlineStr">
        <is>
          <t>GÄVLEBORGS LÄN</t>
        </is>
      </c>
      <c r="E2024" t="inlineStr">
        <is>
          <t>BOLLNÄS</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7731-2024</t>
        </is>
      </c>
      <c r="B2025" s="1" t="n">
        <v>45349</v>
      </c>
      <c r="C2025" s="1" t="n">
        <v>46086</v>
      </c>
      <c r="D2025" t="inlineStr">
        <is>
          <t>GÄVLEBORGS LÄN</t>
        </is>
      </c>
      <c r="E2025" t="inlineStr">
        <is>
          <t>LJUSDAL</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42685-2022</t>
        </is>
      </c>
      <c r="B2026" s="1" t="n">
        <v>44832.34842592593</v>
      </c>
      <c r="C2026" s="1" t="n">
        <v>46086</v>
      </c>
      <c r="D2026" t="inlineStr">
        <is>
          <t>GÄVLEBORGS LÄN</t>
        </is>
      </c>
      <c r="E2026" t="inlineStr">
        <is>
          <t>OVANÅKER</t>
        </is>
      </c>
      <c r="G2026" t="n">
        <v>7.2</v>
      </c>
      <c r="H2026" t="n">
        <v>0</v>
      </c>
      <c r="I2026" t="n">
        <v>0</v>
      </c>
      <c r="J2026" t="n">
        <v>0</v>
      </c>
      <c r="K2026" t="n">
        <v>0</v>
      </c>
      <c r="L2026" t="n">
        <v>0</v>
      </c>
      <c r="M2026" t="n">
        <v>0</v>
      </c>
      <c r="N2026" t="n">
        <v>0</v>
      </c>
      <c r="O2026" t="n">
        <v>0</v>
      </c>
      <c r="P2026" t="n">
        <v>0</v>
      </c>
      <c r="Q2026" t="n">
        <v>0</v>
      </c>
      <c r="R2026" s="2" t="inlineStr"/>
    </row>
    <row r="2027" ht="15" customHeight="1">
      <c r="A2027" t="inlineStr">
        <is>
          <t>A 816-2022</t>
        </is>
      </c>
      <c r="B2027" s="1" t="n">
        <v>44571</v>
      </c>
      <c r="C2027" s="1" t="n">
        <v>46086</v>
      </c>
      <c r="D2027" t="inlineStr">
        <is>
          <t>GÄVLEBORGS LÄN</t>
        </is>
      </c>
      <c r="E2027" t="inlineStr">
        <is>
          <t>HUDIKSVALL</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31005-2023</t>
        </is>
      </c>
      <c r="B2028" s="1" t="n">
        <v>45113.5514699074</v>
      </c>
      <c r="C2028" s="1" t="n">
        <v>46086</v>
      </c>
      <c r="D2028" t="inlineStr">
        <is>
          <t>GÄVLEBORGS LÄN</t>
        </is>
      </c>
      <c r="E2028" t="inlineStr">
        <is>
          <t>OVANÅKER</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17380-2025</t>
        </is>
      </c>
      <c r="B2029" s="1" t="n">
        <v>45757.29439814815</v>
      </c>
      <c r="C2029" s="1" t="n">
        <v>46086</v>
      </c>
      <c r="D2029" t="inlineStr">
        <is>
          <t>GÄVLEBORGS LÄN</t>
        </is>
      </c>
      <c r="E2029" t="inlineStr">
        <is>
          <t>BOLLNÄS</t>
        </is>
      </c>
      <c r="F2029" t="inlineStr">
        <is>
          <t>Bergvik skog väst AB</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25297-2024</t>
        </is>
      </c>
      <c r="B2030" s="1" t="n">
        <v>45462.67136574074</v>
      </c>
      <c r="C2030" s="1" t="n">
        <v>46086</v>
      </c>
      <c r="D2030" t="inlineStr">
        <is>
          <t>GÄVLEBORGS LÄN</t>
        </is>
      </c>
      <c r="E2030" t="inlineStr">
        <is>
          <t>OVANÅKER</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25299-2024</t>
        </is>
      </c>
      <c r="B2031" s="1" t="n">
        <v>45462</v>
      </c>
      <c r="C2031" s="1" t="n">
        <v>46086</v>
      </c>
      <c r="D2031" t="inlineStr">
        <is>
          <t>GÄVLEBORGS LÄN</t>
        </is>
      </c>
      <c r="E2031" t="inlineStr">
        <is>
          <t>OVANÅKER</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31022-2024</t>
        </is>
      </c>
      <c r="B2032" s="1" t="n">
        <v>45500.42336805556</v>
      </c>
      <c r="C2032" s="1" t="n">
        <v>46086</v>
      </c>
      <c r="D2032" t="inlineStr">
        <is>
          <t>GÄVLEBORGS LÄN</t>
        </is>
      </c>
      <c r="E2032" t="inlineStr">
        <is>
          <t>BOLLNÄS</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31052-2024</t>
        </is>
      </c>
      <c r="B2033" s="1" t="n">
        <v>45502.34298611111</v>
      </c>
      <c r="C2033" s="1" t="n">
        <v>46086</v>
      </c>
      <c r="D2033" t="inlineStr">
        <is>
          <t>GÄVLEBORGS LÄN</t>
        </is>
      </c>
      <c r="E2033" t="inlineStr">
        <is>
          <t>OVANÅKER</t>
        </is>
      </c>
      <c r="F2033" t="inlineStr">
        <is>
          <t>Bergvik skog väst AB</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10327-2024</t>
        </is>
      </c>
      <c r="B2034" s="1" t="n">
        <v>45365.55339120371</v>
      </c>
      <c r="C2034" s="1" t="n">
        <v>46086</v>
      </c>
      <c r="D2034" t="inlineStr">
        <is>
          <t>GÄVLEBORGS LÄN</t>
        </is>
      </c>
      <c r="E2034" t="inlineStr">
        <is>
          <t>SÖDERHAMN</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8434-2024</t>
        </is>
      </c>
      <c r="B2035" s="1" t="n">
        <v>45353</v>
      </c>
      <c r="C2035" s="1" t="n">
        <v>46086</v>
      </c>
      <c r="D2035" t="inlineStr">
        <is>
          <t>GÄVLEBORGS LÄN</t>
        </is>
      </c>
      <c r="E2035" t="inlineStr">
        <is>
          <t>HUDIKSVALL</t>
        </is>
      </c>
      <c r="F2035" t="inlineStr">
        <is>
          <t>Holmen skog AB</t>
        </is>
      </c>
      <c r="G2035" t="n">
        <v>10.1</v>
      </c>
      <c r="H2035" t="n">
        <v>0</v>
      </c>
      <c r="I2035" t="n">
        <v>0</v>
      </c>
      <c r="J2035" t="n">
        <v>0</v>
      </c>
      <c r="K2035" t="n">
        <v>0</v>
      </c>
      <c r="L2035" t="n">
        <v>0</v>
      </c>
      <c r="M2035" t="n">
        <v>0</v>
      </c>
      <c r="N2035" t="n">
        <v>0</v>
      </c>
      <c r="O2035" t="n">
        <v>0</v>
      </c>
      <c r="P2035" t="n">
        <v>0</v>
      </c>
      <c r="Q2035" t="n">
        <v>0</v>
      </c>
      <c r="R2035" s="2" t="inlineStr"/>
    </row>
    <row r="2036" ht="15" customHeight="1">
      <c r="A2036" t="inlineStr">
        <is>
          <t>A 24770-2022</t>
        </is>
      </c>
      <c r="B2036" s="1" t="n">
        <v>44728.36199074074</v>
      </c>
      <c r="C2036" s="1" t="n">
        <v>46086</v>
      </c>
      <c r="D2036" t="inlineStr">
        <is>
          <t>GÄVLEBORGS LÄN</t>
        </is>
      </c>
      <c r="E2036" t="inlineStr">
        <is>
          <t>BOLLNÄS</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51337-2023</t>
        </is>
      </c>
      <c r="B2037" s="1" t="n">
        <v>45219.59144675926</v>
      </c>
      <c r="C2037" s="1" t="n">
        <v>46086</v>
      </c>
      <c r="D2037" t="inlineStr">
        <is>
          <t>GÄVLEBORGS LÄN</t>
        </is>
      </c>
      <c r="E2037" t="inlineStr">
        <is>
          <t>HOFORS</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2546-2023</t>
        </is>
      </c>
      <c r="B2038" s="1" t="n">
        <v>44943</v>
      </c>
      <c r="C2038" s="1" t="n">
        <v>46086</v>
      </c>
      <c r="D2038" t="inlineStr">
        <is>
          <t>GÄVLEBORGS LÄN</t>
        </is>
      </c>
      <c r="E2038" t="inlineStr">
        <is>
          <t>OVANÅKER</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28795-2024</t>
        </is>
      </c>
      <c r="B2039" s="1" t="n">
        <v>45478.61697916667</v>
      </c>
      <c r="C2039" s="1" t="n">
        <v>46086</v>
      </c>
      <c r="D2039" t="inlineStr">
        <is>
          <t>GÄVLEBORGS LÄN</t>
        </is>
      </c>
      <c r="E2039" t="inlineStr">
        <is>
          <t>BOLLNÄS</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28801-2024</t>
        </is>
      </c>
      <c r="B2040" s="1" t="n">
        <v>45478.62592592592</v>
      </c>
      <c r="C2040" s="1" t="n">
        <v>46086</v>
      </c>
      <c r="D2040" t="inlineStr">
        <is>
          <t>GÄVLEBORGS LÄN</t>
        </is>
      </c>
      <c r="E2040" t="inlineStr">
        <is>
          <t>BOLLNÄS</t>
        </is>
      </c>
      <c r="F2040" t="inlineStr">
        <is>
          <t>Bergvik skog väst AB</t>
        </is>
      </c>
      <c r="G2040" t="n">
        <v>5.2</v>
      </c>
      <c r="H2040" t="n">
        <v>0</v>
      </c>
      <c r="I2040" t="n">
        <v>0</v>
      </c>
      <c r="J2040" t="n">
        <v>0</v>
      </c>
      <c r="K2040" t="n">
        <v>0</v>
      </c>
      <c r="L2040" t="n">
        <v>0</v>
      </c>
      <c r="M2040" t="n">
        <v>0</v>
      </c>
      <c r="N2040" t="n">
        <v>0</v>
      </c>
      <c r="O2040" t="n">
        <v>0</v>
      </c>
      <c r="P2040" t="n">
        <v>0</v>
      </c>
      <c r="Q2040" t="n">
        <v>0</v>
      </c>
      <c r="R2040" s="2" t="inlineStr"/>
    </row>
    <row r="2041" ht="15" customHeight="1">
      <c r="A2041" t="inlineStr">
        <is>
          <t>A 45965-2024</t>
        </is>
      </c>
      <c r="B2041" s="1" t="n">
        <v>45580</v>
      </c>
      <c r="C2041" s="1" t="n">
        <v>46086</v>
      </c>
      <c r="D2041" t="inlineStr">
        <is>
          <t>GÄVLEBORGS LÄN</t>
        </is>
      </c>
      <c r="E2041" t="inlineStr">
        <is>
          <t>GÄVLE</t>
        </is>
      </c>
      <c r="F2041" t="inlineStr">
        <is>
          <t>Bergvik skog öst AB</t>
        </is>
      </c>
      <c r="G2041" t="n">
        <v>15.3</v>
      </c>
      <c r="H2041" t="n">
        <v>0</v>
      </c>
      <c r="I2041" t="n">
        <v>0</v>
      </c>
      <c r="J2041" t="n">
        <v>0</v>
      </c>
      <c r="K2041" t="n">
        <v>0</v>
      </c>
      <c r="L2041" t="n">
        <v>0</v>
      </c>
      <c r="M2041" t="n">
        <v>0</v>
      </c>
      <c r="N2041" t="n">
        <v>0</v>
      </c>
      <c r="O2041" t="n">
        <v>0</v>
      </c>
      <c r="P2041" t="n">
        <v>0</v>
      </c>
      <c r="Q2041" t="n">
        <v>0</v>
      </c>
      <c r="R2041" s="2" t="inlineStr"/>
    </row>
    <row r="2042" ht="15" customHeight="1">
      <c r="A2042" t="inlineStr">
        <is>
          <t>A 46000-2024</t>
        </is>
      </c>
      <c r="B2042" s="1" t="n">
        <v>45580.65564814815</v>
      </c>
      <c r="C2042" s="1" t="n">
        <v>46086</v>
      </c>
      <c r="D2042" t="inlineStr">
        <is>
          <t>GÄVLEBORGS LÄN</t>
        </is>
      </c>
      <c r="E2042" t="inlineStr">
        <is>
          <t>OVANÅKER</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5143-2025</t>
        </is>
      </c>
      <c r="B2043" s="1" t="n">
        <v>45691.58659722222</v>
      </c>
      <c r="C2043" s="1" t="n">
        <v>46086</v>
      </c>
      <c r="D2043" t="inlineStr">
        <is>
          <t>GÄVLEBORGS LÄN</t>
        </is>
      </c>
      <c r="E2043" t="inlineStr">
        <is>
          <t>NORDANSTIG</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29337-2024</t>
        </is>
      </c>
      <c r="B2044" s="1" t="n">
        <v>45483</v>
      </c>
      <c r="C2044" s="1" t="n">
        <v>46086</v>
      </c>
      <c r="D2044" t="inlineStr">
        <is>
          <t>GÄVLEBORGS LÄN</t>
        </is>
      </c>
      <c r="E2044" t="inlineStr">
        <is>
          <t>HUDIKSVALL</t>
        </is>
      </c>
      <c r="F2044" t="inlineStr">
        <is>
          <t>Holmen skog AB</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41258-2024</t>
        </is>
      </c>
      <c r="B2045" s="1" t="n">
        <v>45559.58393518518</v>
      </c>
      <c r="C2045" s="1" t="n">
        <v>46086</v>
      </c>
      <c r="D2045" t="inlineStr">
        <is>
          <t>GÄVLEBORGS LÄN</t>
        </is>
      </c>
      <c r="E2045" t="inlineStr">
        <is>
          <t>HUDIKSVALL</t>
        </is>
      </c>
      <c r="F2045" t="inlineStr">
        <is>
          <t>Holmen skog AB</t>
        </is>
      </c>
      <c r="G2045" t="n">
        <v>8.4</v>
      </c>
      <c r="H2045" t="n">
        <v>0</v>
      </c>
      <c r="I2045" t="n">
        <v>0</v>
      </c>
      <c r="J2045" t="n">
        <v>0</v>
      </c>
      <c r="K2045" t="n">
        <v>0</v>
      </c>
      <c r="L2045" t="n">
        <v>0</v>
      </c>
      <c r="M2045" t="n">
        <v>0</v>
      </c>
      <c r="N2045" t="n">
        <v>0</v>
      </c>
      <c r="O2045" t="n">
        <v>0</v>
      </c>
      <c r="P2045" t="n">
        <v>0</v>
      </c>
      <c r="Q2045" t="n">
        <v>0</v>
      </c>
      <c r="R2045" s="2" t="inlineStr"/>
    </row>
    <row r="2046" ht="15" customHeight="1">
      <c r="A2046" t="inlineStr">
        <is>
          <t>A 6730-2025</t>
        </is>
      </c>
      <c r="B2046" s="1" t="n">
        <v>45700.59322916667</v>
      </c>
      <c r="C2046" s="1" t="n">
        <v>46086</v>
      </c>
      <c r="D2046" t="inlineStr">
        <is>
          <t>GÄVLEBORGS LÄN</t>
        </is>
      </c>
      <c r="E2046" t="inlineStr">
        <is>
          <t>HUDIKSVALL</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24374-2024</t>
        </is>
      </c>
      <c r="B2047" s="1" t="n">
        <v>45457.61493055556</v>
      </c>
      <c r="C2047" s="1" t="n">
        <v>46086</v>
      </c>
      <c r="D2047" t="inlineStr">
        <is>
          <t>GÄVLEBORGS LÄN</t>
        </is>
      </c>
      <c r="E2047" t="inlineStr">
        <is>
          <t>NORDANSTIG</t>
        </is>
      </c>
      <c r="F2047" t="inlineStr">
        <is>
          <t>Holmen skog AB</t>
        </is>
      </c>
      <c r="G2047" t="n">
        <v>5.4</v>
      </c>
      <c r="H2047" t="n">
        <v>0</v>
      </c>
      <c r="I2047" t="n">
        <v>0</v>
      </c>
      <c r="J2047" t="n">
        <v>0</v>
      </c>
      <c r="K2047" t="n">
        <v>0</v>
      </c>
      <c r="L2047" t="n">
        <v>0</v>
      </c>
      <c r="M2047" t="n">
        <v>0</v>
      </c>
      <c r="N2047" t="n">
        <v>0</v>
      </c>
      <c r="O2047" t="n">
        <v>0</v>
      </c>
      <c r="P2047" t="n">
        <v>0</v>
      </c>
      <c r="Q2047" t="n">
        <v>0</v>
      </c>
      <c r="R2047" s="2" t="inlineStr"/>
    </row>
    <row r="2048" ht="15" customHeight="1">
      <c r="A2048" t="inlineStr">
        <is>
          <t>A 58918-2022</t>
        </is>
      </c>
      <c r="B2048" s="1" t="n">
        <v>44903.61586805555</v>
      </c>
      <c r="C2048" s="1" t="n">
        <v>46086</v>
      </c>
      <c r="D2048" t="inlineStr">
        <is>
          <t>GÄVLEBORGS LÄN</t>
        </is>
      </c>
      <c r="E2048" t="inlineStr">
        <is>
          <t>OVANÅKER</t>
        </is>
      </c>
      <c r="F2048" t="inlineStr">
        <is>
          <t>Bergvik skog väst AB</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47486-2021</t>
        </is>
      </c>
      <c r="B2049" s="1" t="n">
        <v>44447.66361111111</v>
      </c>
      <c r="C2049" s="1" t="n">
        <v>46086</v>
      </c>
      <c r="D2049" t="inlineStr">
        <is>
          <t>GÄVLEBORGS LÄN</t>
        </is>
      </c>
      <c r="E2049" t="inlineStr">
        <is>
          <t>OVANÅKER</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13519-2021</t>
        </is>
      </c>
      <c r="B2050" s="1" t="n">
        <v>44273</v>
      </c>
      <c r="C2050" s="1" t="n">
        <v>46086</v>
      </c>
      <c r="D2050" t="inlineStr">
        <is>
          <t>GÄVLEBORGS LÄN</t>
        </is>
      </c>
      <c r="E2050" t="inlineStr">
        <is>
          <t>LJUSDAL</t>
        </is>
      </c>
      <c r="F2050" t="inlineStr">
        <is>
          <t>Sveaskog</t>
        </is>
      </c>
      <c r="G2050" t="n">
        <v>17.2</v>
      </c>
      <c r="H2050" t="n">
        <v>0</v>
      </c>
      <c r="I2050" t="n">
        <v>0</v>
      </c>
      <c r="J2050" t="n">
        <v>0</v>
      </c>
      <c r="K2050" t="n">
        <v>0</v>
      </c>
      <c r="L2050" t="n">
        <v>0</v>
      </c>
      <c r="M2050" t="n">
        <v>0</v>
      </c>
      <c r="N2050" t="n">
        <v>0</v>
      </c>
      <c r="O2050" t="n">
        <v>0</v>
      </c>
      <c r="P2050" t="n">
        <v>0</v>
      </c>
      <c r="Q2050" t="n">
        <v>0</v>
      </c>
      <c r="R2050" s="2" t="inlineStr"/>
    </row>
    <row r="2051" ht="15" customHeight="1">
      <c r="A2051" t="inlineStr">
        <is>
          <t>A 53005-2024</t>
        </is>
      </c>
      <c r="B2051" s="1" t="n">
        <v>45611.38907407408</v>
      </c>
      <c r="C2051" s="1" t="n">
        <v>46086</v>
      </c>
      <c r="D2051" t="inlineStr">
        <is>
          <t>GÄVLEBORGS LÄN</t>
        </is>
      </c>
      <c r="E2051" t="inlineStr">
        <is>
          <t>SANDVIKEN</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53917-2024</t>
        </is>
      </c>
      <c r="B2052" s="1" t="n">
        <v>45615.75956018519</v>
      </c>
      <c r="C2052" s="1" t="n">
        <v>46086</v>
      </c>
      <c r="D2052" t="inlineStr">
        <is>
          <t>GÄVLEBORGS LÄN</t>
        </is>
      </c>
      <c r="E2052" t="inlineStr">
        <is>
          <t>SÖDERHAMN</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14864-2025</t>
        </is>
      </c>
      <c r="B2053" s="1" t="n">
        <v>45743.43662037037</v>
      </c>
      <c r="C2053" s="1" t="n">
        <v>46086</v>
      </c>
      <c r="D2053" t="inlineStr">
        <is>
          <t>GÄVLEBORGS LÄN</t>
        </is>
      </c>
      <c r="E2053" t="inlineStr">
        <is>
          <t>BOLLNÄS</t>
        </is>
      </c>
      <c r="G2053" t="n">
        <v>11.7</v>
      </c>
      <c r="H2053" t="n">
        <v>0</v>
      </c>
      <c r="I2053" t="n">
        <v>0</v>
      </c>
      <c r="J2053" t="n">
        <v>0</v>
      </c>
      <c r="K2053" t="n">
        <v>0</v>
      </c>
      <c r="L2053" t="n">
        <v>0</v>
      </c>
      <c r="M2053" t="n">
        <v>0</v>
      </c>
      <c r="N2053" t="n">
        <v>0</v>
      </c>
      <c r="O2053" t="n">
        <v>0</v>
      </c>
      <c r="P2053" t="n">
        <v>0</v>
      </c>
      <c r="Q2053" t="n">
        <v>0</v>
      </c>
      <c r="R2053" s="2" t="inlineStr"/>
    </row>
    <row r="2054" ht="15" customHeight="1">
      <c r="A2054" t="inlineStr">
        <is>
          <t>A 36028-2024</t>
        </is>
      </c>
      <c r="B2054" s="1" t="n">
        <v>45533.57940972222</v>
      </c>
      <c r="C2054" s="1" t="n">
        <v>46086</v>
      </c>
      <c r="D2054" t="inlineStr">
        <is>
          <t>GÄVLEBORGS LÄN</t>
        </is>
      </c>
      <c r="E2054" t="inlineStr">
        <is>
          <t>NORDANSTIG</t>
        </is>
      </c>
      <c r="F2054" t="inlineStr">
        <is>
          <t>Holmen skog AB</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4619-2024</t>
        </is>
      </c>
      <c r="B2055" s="1" t="n">
        <v>45328</v>
      </c>
      <c r="C2055" s="1" t="n">
        <v>46086</v>
      </c>
      <c r="D2055" t="inlineStr">
        <is>
          <t>GÄVLEBORGS LÄN</t>
        </is>
      </c>
      <c r="E2055" t="inlineStr">
        <is>
          <t>HUDIKSVALL</t>
        </is>
      </c>
      <c r="F2055" t="inlineStr">
        <is>
          <t>Holmen skog AB</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19095-2022</t>
        </is>
      </c>
      <c r="B2056" s="1" t="n">
        <v>44691</v>
      </c>
      <c r="C2056" s="1" t="n">
        <v>46086</v>
      </c>
      <c r="D2056" t="inlineStr">
        <is>
          <t>GÄVLEBORGS LÄN</t>
        </is>
      </c>
      <c r="E2056" t="inlineStr">
        <is>
          <t>GÄVLE</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17523-2025</t>
        </is>
      </c>
      <c r="B2057" s="1" t="n">
        <v>45757.58005787037</v>
      </c>
      <c r="C2057" s="1" t="n">
        <v>46086</v>
      </c>
      <c r="D2057" t="inlineStr">
        <is>
          <t>GÄVLEBORGS LÄN</t>
        </is>
      </c>
      <c r="E2057" t="inlineStr">
        <is>
          <t>OVANÅKER</t>
        </is>
      </c>
      <c r="F2057" t="inlineStr">
        <is>
          <t>Bergvik skog öst AB</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52788-2024</t>
        </is>
      </c>
      <c r="B2058" s="1" t="n">
        <v>45610.55405092592</v>
      </c>
      <c r="C2058" s="1" t="n">
        <v>46086</v>
      </c>
      <c r="D2058" t="inlineStr">
        <is>
          <t>GÄVLEBORGS LÄN</t>
        </is>
      </c>
      <c r="E2058" t="inlineStr">
        <is>
          <t>NORDANSTIG</t>
        </is>
      </c>
      <c r="F2058" t="inlineStr">
        <is>
          <t>Holmen skog AB</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4605-2023</t>
        </is>
      </c>
      <c r="B2059" s="1" t="n">
        <v>44956.92472222223</v>
      </c>
      <c r="C2059" s="1" t="n">
        <v>46086</v>
      </c>
      <c r="D2059" t="inlineStr">
        <is>
          <t>GÄVLEBORGS LÄN</t>
        </is>
      </c>
      <c r="E2059" t="inlineStr">
        <is>
          <t>HUDIKSVALL</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4980-2025</t>
        </is>
      </c>
      <c r="B2060" s="1" t="n">
        <v>45691.24708333334</v>
      </c>
      <c r="C2060" s="1" t="n">
        <v>46086</v>
      </c>
      <c r="D2060" t="inlineStr">
        <is>
          <t>GÄVLEBORGS LÄN</t>
        </is>
      </c>
      <c r="E2060" t="inlineStr">
        <is>
          <t>OVANÅKER</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14629-2025</t>
        </is>
      </c>
      <c r="B2061" s="1" t="n">
        <v>45742.42773148148</v>
      </c>
      <c r="C2061" s="1" t="n">
        <v>46086</v>
      </c>
      <c r="D2061" t="inlineStr">
        <is>
          <t>GÄVLEBORGS LÄN</t>
        </is>
      </c>
      <c r="E2061" t="inlineStr">
        <is>
          <t>GÄVLE</t>
        </is>
      </c>
      <c r="F2061" t="inlineStr">
        <is>
          <t>Bergvik skog öst AB</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15859-2023</t>
        </is>
      </c>
      <c r="B2062" s="1" t="n">
        <v>45022.37446759259</v>
      </c>
      <c r="C2062" s="1" t="n">
        <v>46086</v>
      </c>
      <c r="D2062" t="inlineStr">
        <is>
          <t>GÄVLEBORGS LÄN</t>
        </is>
      </c>
      <c r="E2062" t="inlineStr">
        <is>
          <t>HUDIKSVALL</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67794-2021</t>
        </is>
      </c>
      <c r="B2063" s="1" t="n">
        <v>44525.42381944445</v>
      </c>
      <c r="C2063" s="1" t="n">
        <v>46086</v>
      </c>
      <c r="D2063" t="inlineStr">
        <is>
          <t>GÄVLEBORGS LÄN</t>
        </is>
      </c>
      <c r="E2063" t="inlineStr">
        <is>
          <t>LJUSDAL</t>
        </is>
      </c>
      <c r="F2063" t="inlineStr">
        <is>
          <t>Allmännings- och besparingsskogar</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59409-2023</t>
        </is>
      </c>
      <c r="B2064" s="1" t="n">
        <v>45253</v>
      </c>
      <c r="C2064" s="1" t="n">
        <v>46086</v>
      </c>
      <c r="D2064" t="inlineStr">
        <is>
          <t>GÄVLEBORGS LÄN</t>
        </is>
      </c>
      <c r="E2064" t="inlineStr">
        <is>
          <t>NORDANSTIG</t>
        </is>
      </c>
      <c r="G2064" t="n">
        <v>12.5</v>
      </c>
      <c r="H2064" t="n">
        <v>0</v>
      </c>
      <c r="I2064" t="n">
        <v>0</v>
      </c>
      <c r="J2064" t="n">
        <v>0</v>
      </c>
      <c r="K2064" t="n">
        <v>0</v>
      </c>
      <c r="L2064" t="n">
        <v>0</v>
      </c>
      <c r="M2064" t="n">
        <v>0</v>
      </c>
      <c r="N2064" t="n">
        <v>0</v>
      </c>
      <c r="O2064" t="n">
        <v>0</v>
      </c>
      <c r="P2064" t="n">
        <v>0</v>
      </c>
      <c r="Q2064" t="n">
        <v>0</v>
      </c>
      <c r="R2064" s="2" t="inlineStr"/>
    </row>
    <row r="2065" ht="15" customHeight="1">
      <c r="A2065" t="inlineStr">
        <is>
          <t>A 37360-2024</t>
        </is>
      </c>
      <c r="B2065" s="1" t="n">
        <v>45540</v>
      </c>
      <c r="C2065" s="1" t="n">
        <v>46086</v>
      </c>
      <c r="D2065" t="inlineStr">
        <is>
          <t>GÄVLEBORGS LÄN</t>
        </is>
      </c>
      <c r="E2065" t="inlineStr">
        <is>
          <t>BOLLNÄS</t>
        </is>
      </c>
      <c r="F2065" t="inlineStr">
        <is>
          <t>Bergvik skog väst AB</t>
        </is>
      </c>
      <c r="G2065" t="n">
        <v>8.1</v>
      </c>
      <c r="H2065" t="n">
        <v>0</v>
      </c>
      <c r="I2065" t="n">
        <v>0</v>
      </c>
      <c r="J2065" t="n">
        <v>0</v>
      </c>
      <c r="K2065" t="n">
        <v>0</v>
      </c>
      <c r="L2065" t="n">
        <v>0</v>
      </c>
      <c r="M2065" t="n">
        <v>0</v>
      </c>
      <c r="N2065" t="n">
        <v>0</v>
      </c>
      <c r="O2065" t="n">
        <v>0</v>
      </c>
      <c r="P2065" t="n">
        <v>0</v>
      </c>
      <c r="Q2065" t="n">
        <v>0</v>
      </c>
      <c r="R2065" s="2" t="inlineStr"/>
    </row>
    <row r="2066" ht="15" customHeight="1">
      <c r="A2066" t="inlineStr">
        <is>
          <t>A 57664-2024</t>
        </is>
      </c>
      <c r="B2066" s="1" t="n">
        <v>45630.61591435185</v>
      </c>
      <c r="C2066" s="1" t="n">
        <v>46086</v>
      </c>
      <c r="D2066" t="inlineStr">
        <is>
          <t>GÄVLEBORGS LÄN</t>
        </is>
      </c>
      <c r="E2066" t="inlineStr">
        <is>
          <t>LJUSDAL</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50365-2023</t>
        </is>
      </c>
      <c r="B2067" s="1" t="n">
        <v>45216.60457175926</v>
      </c>
      <c r="C2067" s="1" t="n">
        <v>46086</v>
      </c>
      <c r="D2067" t="inlineStr">
        <is>
          <t>GÄVLEBORGS LÄN</t>
        </is>
      </c>
      <c r="E2067" t="inlineStr">
        <is>
          <t>NORDANSTIG</t>
        </is>
      </c>
      <c r="F2067" t="inlineStr">
        <is>
          <t>Holmen skog AB</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18084-2021</t>
        </is>
      </c>
      <c r="B2068" s="1" t="n">
        <v>44302.45947916667</v>
      </c>
      <c r="C2068" s="1" t="n">
        <v>46086</v>
      </c>
      <c r="D2068" t="inlineStr">
        <is>
          <t>GÄVLEBORGS LÄN</t>
        </is>
      </c>
      <c r="E2068" t="inlineStr">
        <is>
          <t>HUDIKSVALL</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781-2025</t>
        </is>
      </c>
      <c r="B2069" s="1" t="n">
        <v>45665.4825</v>
      </c>
      <c r="C2069" s="1" t="n">
        <v>46086</v>
      </c>
      <c r="D2069" t="inlineStr">
        <is>
          <t>GÄVLEBORGS LÄN</t>
        </is>
      </c>
      <c r="E2069" t="inlineStr">
        <is>
          <t>SANDVIKEN</t>
        </is>
      </c>
      <c r="G2069" t="n">
        <v>6.3</v>
      </c>
      <c r="H2069" t="n">
        <v>0</v>
      </c>
      <c r="I2069" t="n">
        <v>0</v>
      </c>
      <c r="J2069" t="n">
        <v>0</v>
      </c>
      <c r="K2069" t="n">
        <v>0</v>
      </c>
      <c r="L2069" t="n">
        <v>0</v>
      </c>
      <c r="M2069" t="n">
        <v>0</v>
      </c>
      <c r="N2069" t="n">
        <v>0</v>
      </c>
      <c r="O2069" t="n">
        <v>0</v>
      </c>
      <c r="P2069" t="n">
        <v>0</v>
      </c>
      <c r="Q2069" t="n">
        <v>0</v>
      </c>
      <c r="R2069" s="2" t="inlineStr"/>
    </row>
    <row r="2070" ht="15" customHeight="1">
      <c r="A2070" t="inlineStr">
        <is>
          <t>A 6923-2024</t>
        </is>
      </c>
      <c r="B2070" s="1" t="n">
        <v>45343.34635416666</v>
      </c>
      <c r="C2070" s="1" t="n">
        <v>46086</v>
      </c>
      <c r="D2070" t="inlineStr">
        <is>
          <t>GÄVLEBORGS LÄN</t>
        </is>
      </c>
      <c r="E2070" t="inlineStr">
        <is>
          <t>NORDANSTIG</t>
        </is>
      </c>
      <c r="F2070" t="inlineStr">
        <is>
          <t>Holmen skog AB</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13404-2021</t>
        </is>
      </c>
      <c r="B2071" s="1" t="n">
        <v>44273.47614583333</v>
      </c>
      <c r="C2071" s="1" t="n">
        <v>46086</v>
      </c>
      <c r="D2071" t="inlineStr">
        <is>
          <t>GÄVLEBORGS LÄN</t>
        </is>
      </c>
      <c r="E2071" t="inlineStr">
        <is>
          <t>OVANÅKER</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33629-2021</t>
        </is>
      </c>
      <c r="B2072" s="1" t="n">
        <v>44378</v>
      </c>
      <c r="C2072" s="1" t="n">
        <v>46086</v>
      </c>
      <c r="D2072" t="inlineStr">
        <is>
          <t>GÄVLEBORGS LÄN</t>
        </is>
      </c>
      <c r="E2072" t="inlineStr">
        <is>
          <t>HUDIKSVALL</t>
        </is>
      </c>
      <c r="F2072" t="inlineStr">
        <is>
          <t>Kyrkan</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5999-2024</t>
        </is>
      </c>
      <c r="B2073" s="1" t="n">
        <v>45336.59125</v>
      </c>
      <c r="C2073" s="1" t="n">
        <v>46086</v>
      </c>
      <c r="D2073" t="inlineStr">
        <is>
          <t>GÄVLEBORGS LÄN</t>
        </is>
      </c>
      <c r="E2073" t="inlineStr">
        <is>
          <t>NORDANSTIG</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59085-2021</t>
        </is>
      </c>
      <c r="B2074" s="1" t="n">
        <v>44490.41263888889</v>
      </c>
      <c r="C2074" s="1" t="n">
        <v>46086</v>
      </c>
      <c r="D2074" t="inlineStr">
        <is>
          <t>GÄVLEBORGS LÄN</t>
        </is>
      </c>
      <c r="E2074" t="inlineStr">
        <is>
          <t>BOLLNÄS</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33347-2024</t>
        </is>
      </c>
      <c r="B2075" s="1" t="n">
        <v>45519.36583333334</v>
      </c>
      <c r="C2075" s="1" t="n">
        <v>46086</v>
      </c>
      <c r="D2075" t="inlineStr">
        <is>
          <t>GÄVLEBORGS LÄN</t>
        </is>
      </c>
      <c r="E2075" t="inlineStr">
        <is>
          <t>LJUSDAL</t>
        </is>
      </c>
      <c r="F2075" t="inlineStr">
        <is>
          <t>Holmen skog AB</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54149-2023</t>
        </is>
      </c>
      <c r="B2076" s="1" t="n">
        <v>45232.4528125</v>
      </c>
      <c r="C2076" s="1" t="n">
        <v>46086</v>
      </c>
      <c r="D2076" t="inlineStr">
        <is>
          <t>GÄVLEBORGS LÄN</t>
        </is>
      </c>
      <c r="E2076" t="inlineStr">
        <is>
          <t>HOFORS</t>
        </is>
      </c>
      <c r="G2076" t="n">
        <v>4.6</v>
      </c>
      <c r="H2076" t="n">
        <v>0</v>
      </c>
      <c r="I2076" t="n">
        <v>0</v>
      </c>
      <c r="J2076" t="n">
        <v>0</v>
      </c>
      <c r="K2076" t="n">
        <v>0</v>
      </c>
      <c r="L2076" t="n">
        <v>0</v>
      </c>
      <c r="M2076" t="n">
        <v>0</v>
      </c>
      <c r="N2076" t="n">
        <v>0</v>
      </c>
      <c r="O2076" t="n">
        <v>0</v>
      </c>
      <c r="P2076" t="n">
        <v>0</v>
      </c>
      <c r="Q2076" t="n">
        <v>0</v>
      </c>
      <c r="R2076" s="2" t="inlineStr"/>
    </row>
    <row r="2077" ht="15" customHeight="1">
      <c r="A2077" t="inlineStr">
        <is>
          <t>A 2127-2024</t>
        </is>
      </c>
      <c r="B2077" s="1" t="n">
        <v>45309.51131944444</v>
      </c>
      <c r="C2077" s="1" t="n">
        <v>46086</v>
      </c>
      <c r="D2077" t="inlineStr">
        <is>
          <t>GÄVLEBORGS LÄN</t>
        </is>
      </c>
      <c r="E2077" t="inlineStr">
        <is>
          <t>HUDIKSVALL</t>
        </is>
      </c>
      <c r="F2077" t="inlineStr">
        <is>
          <t>Holmen skog AB</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2141-2024</t>
        </is>
      </c>
      <c r="B2078" s="1" t="n">
        <v>45309.55506944445</v>
      </c>
      <c r="C2078" s="1" t="n">
        <v>46086</v>
      </c>
      <c r="D2078" t="inlineStr">
        <is>
          <t>GÄVLEBORGS LÄN</t>
        </is>
      </c>
      <c r="E2078" t="inlineStr">
        <is>
          <t>NORDANSTIG</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9440-2025</t>
        </is>
      </c>
      <c r="B2079" s="1" t="n">
        <v>45715.41775462963</v>
      </c>
      <c r="C2079" s="1" t="n">
        <v>46086</v>
      </c>
      <c r="D2079" t="inlineStr">
        <is>
          <t>GÄVLEBORGS LÄN</t>
        </is>
      </c>
      <c r="E2079" t="inlineStr">
        <is>
          <t>GÄVLE</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13884-2025</t>
        </is>
      </c>
      <c r="B2080" s="1" t="n">
        <v>45737.60386574074</v>
      </c>
      <c r="C2080" s="1" t="n">
        <v>46086</v>
      </c>
      <c r="D2080" t="inlineStr">
        <is>
          <t>GÄVLEBORGS LÄN</t>
        </is>
      </c>
      <c r="E2080" t="inlineStr">
        <is>
          <t>LJUSDAL</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9447-2025</t>
        </is>
      </c>
      <c r="B2081" s="1" t="n">
        <v>45715.42207175926</v>
      </c>
      <c r="C2081" s="1" t="n">
        <v>46086</v>
      </c>
      <c r="D2081" t="inlineStr">
        <is>
          <t>GÄVLEBORGS LÄN</t>
        </is>
      </c>
      <c r="E2081" t="inlineStr">
        <is>
          <t>OCKELBO</t>
        </is>
      </c>
      <c r="F2081" t="inlineStr">
        <is>
          <t>Bergvik skog öst AB</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9449-2025</t>
        </is>
      </c>
      <c r="B2082" s="1" t="n">
        <v>45715.42604166667</v>
      </c>
      <c r="C2082" s="1" t="n">
        <v>46086</v>
      </c>
      <c r="D2082" t="inlineStr">
        <is>
          <t>GÄVLEBORGS LÄN</t>
        </is>
      </c>
      <c r="E2082" t="inlineStr">
        <is>
          <t>GÄVLE</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10260-2024</t>
        </is>
      </c>
      <c r="B2083" s="1" t="n">
        <v>45365.42304398148</v>
      </c>
      <c r="C2083" s="1" t="n">
        <v>46086</v>
      </c>
      <c r="D2083" t="inlineStr">
        <is>
          <t>GÄVLEBORGS LÄN</t>
        </is>
      </c>
      <c r="E2083" t="inlineStr">
        <is>
          <t>SANDVIKEN</t>
        </is>
      </c>
      <c r="F2083" t="inlineStr">
        <is>
          <t>Kommuner</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36186-2023</t>
        </is>
      </c>
      <c r="B2084" s="1" t="n">
        <v>45149.70965277778</v>
      </c>
      <c r="C2084" s="1" t="n">
        <v>46086</v>
      </c>
      <c r="D2084" t="inlineStr">
        <is>
          <t>GÄVLEBORGS LÄN</t>
        </is>
      </c>
      <c r="E2084" t="inlineStr">
        <is>
          <t>NORDANSTIG</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19601-2024</t>
        </is>
      </c>
      <c r="B2085" s="1" t="n">
        <v>45431.84266203704</v>
      </c>
      <c r="C2085" s="1" t="n">
        <v>46086</v>
      </c>
      <c r="D2085" t="inlineStr">
        <is>
          <t>GÄVLEBORGS LÄN</t>
        </is>
      </c>
      <c r="E2085" t="inlineStr">
        <is>
          <t>HUDIKSVALL</t>
        </is>
      </c>
      <c r="F2085" t="inlineStr">
        <is>
          <t>Holmen skog AB</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9477-2025</t>
        </is>
      </c>
      <c r="B2086" s="1" t="n">
        <v>45715.47542824074</v>
      </c>
      <c r="C2086" s="1" t="n">
        <v>46086</v>
      </c>
      <c r="D2086" t="inlineStr">
        <is>
          <t>GÄVLEBORGS LÄN</t>
        </is>
      </c>
      <c r="E2086" t="inlineStr">
        <is>
          <t>HUDIKSVALL</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3620-2023</t>
        </is>
      </c>
      <c r="B2087" s="1" t="n">
        <v>44950</v>
      </c>
      <c r="C2087" s="1" t="n">
        <v>46086</v>
      </c>
      <c r="D2087" t="inlineStr">
        <is>
          <t>GÄVLEBORGS LÄN</t>
        </is>
      </c>
      <c r="E2087" t="inlineStr">
        <is>
          <t>OCKELBO</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19617-2024</t>
        </is>
      </c>
      <c r="B2088" s="1" t="n">
        <v>45432.32243055556</v>
      </c>
      <c r="C2088" s="1" t="n">
        <v>46086</v>
      </c>
      <c r="D2088" t="inlineStr">
        <is>
          <t>GÄVLEBORGS LÄN</t>
        </is>
      </c>
      <c r="E2088" t="inlineStr">
        <is>
          <t>SÖDERHAMN</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59533-2023</t>
        </is>
      </c>
      <c r="B2089" s="1" t="n">
        <v>45254.51929398148</v>
      </c>
      <c r="C2089" s="1" t="n">
        <v>46086</v>
      </c>
      <c r="D2089" t="inlineStr">
        <is>
          <t>GÄVLEBORGS LÄN</t>
        </is>
      </c>
      <c r="E2089" t="inlineStr">
        <is>
          <t>OCKELBO</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57315-2024</t>
        </is>
      </c>
      <c r="B2090" s="1" t="n">
        <v>45629.61274305556</v>
      </c>
      <c r="C2090" s="1" t="n">
        <v>46086</v>
      </c>
      <c r="D2090" t="inlineStr">
        <is>
          <t>GÄVLEBORGS LÄN</t>
        </is>
      </c>
      <c r="E2090" t="inlineStr">
        <is>
          <t>LJUSDAL</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43556-2023</t>
        </is>
      </c>
      <c r="B2091" s="1" t="n">
        <v>45184.57194444445</v>
      </c>
      <c r="C2091" s="1" t="n">
        <v>46086</v>
      </c>
      <c r="D2091" t="inlineStr">
        <is>
          <t>GÄVLEBORGS LÄN</t>
        </is>
      </c>
      <c r="E2091" t="inlineStr">
        <is>
          <t>GÄVLE</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56894-2023</t>
        </is>
      </c>
      <c r="B2092" s="1" t="n">
        <v>45244.56226851852</v>
      </c>
      <c r="C2092" s="1" t="n">
        <v>46086</v>
      </c>
      <c r="D2092" t="inlineStr">
        <is>
          <t>GÄVLEBORGS LÄN</t>
        </is>
      </c>
      <c r="E2092" t="inlineStr">
        <is>
          <t>HUDIKSVALL</t>
        </is>
      </c>
      <c r="F2092" t="inlineStr">
        <is>
          <t>Holmen skog AB</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6350-2025</t>
        </is>
      </c>
      <c r="B2093" s="1" t="n">
        <v>45699.34824074074</v>
      </c>
      <c r="C2093" s="1" t="n">
        <v>46086</v>
      </c>
      <c r="D2093" t="inlineStr">
        <is>
          <t>GÄVLEBORGS LÄN</t>
        </is>
      </c>
      <c r="E2093" t="inlineStr">
        <is>
          <t>NORDANSTIG</t>
        </is>
      </c>
      <c r="F2093" t="inlineStr">
        <is>
          <t>Holmen skog AB</t>
        </is>
      </c>
      <c r="G2093" t="n">
        <v>9.699999999999999</v>
      </c>
      <c r="H2093" t="n">
        <v>0</v>
      </c>
      <c r="I2093" t="n">
        <v>0</v>
      </c>
      <c r="J2093" t="n">
        <v>0</v>
      </c>
      <c r="K2093" t="n">
        <v>0</v>
      </c>
      <c r="L2093" t="n">
        <v>0</v>
      </c>
      <c r="M2093" t="n">
        <v>0</v>
      </c>
      <c r="N2093" t="n">
        <v>0</v>
      </c>
      <c r="O2093" t="n">
        <v>0</v>
      </c>
      <c r="P2093" t="n">
        <v>0</v>
      </c>
      <c r="Q2093" t="n">
        <v>0</v>
      </c>
      <c r="R2093" s="2" t="inlineStr"/>
    </row>
    <row r="2094" ht="15" customHeight="1">
      <c r="A2094" t="inlineStr">
        <is>
          <t>A 46664-2024</t>
        </is>
      </c>
      <c r="B2094" s="1" t="n">
        <v>45583.36581018518</v>
      </c>
      <c r="C2094" s="1" t="n">
        <v>46086</v>
      </c>
      <c r="D2094" t="inlineStr">
        <is>
          <t>GÄVLEBORGS LÄN</t>
        </is>
      </c>
      <c r="E2094" t="inlineStr">
        <is>
          <t>BOLLNÄS</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46669-2024</t>
        </is>
      </c>
      <c r="B2095" s="1" t="n">
        <v>45583.3762037037</v>
      </c>
      <c r="C2095" s="1" t="n">
        <v>46086</v>
      </c>
      <c r="D2095" t="inlineStr">
        <is>
          <t>GÄVLEBORGS LÄN</t>
        </is>
      </c>
      <c r="E2095" t="inlineStr">
        <is>
          <t>BOLLNÄS</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37743-2022</t>
        </is>
      </c>
      <c r="B2096" s="1" t="n">
        <v>44810.58275462963</v>
      </c>
      <c r="C2096" s="1" t="n">
        <v>46086</v>
      </c>
      <c r="D2096" t="inlineStr">
        <is>
          <t>GÄVLEBORGS LÄN</t>
        </is>
      </c>
      <c r="E2096" t="inlineStr">
        <is>
          <t>HOFORS</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16191-2025</t>
        </is>
      </c>
      <c r="B2097" s="1" t="n">
        <v>45750.59752314815</v>
      </c>
      <c r="C2097" s="1" t="n">
        <v>46086</v>
      </c>
      <c r="D2097" t="inlineStr">
        <is>
          <t>GÄVLEBORGS LÄN</t>
        </is>
      </c>
      <c r="E2097" t="inlineStr">
        <is>
          <t>SÖDERHAMN</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20059-2025</t>
        </is>
      </c>
      <c r="B2098" s="1" t="n">
        <v>45772.41228009259</v>
      </c>
      <c r="C2098" s="1" t="n">
        <v>46086</v>
      </c>
      <c r="D2098" t="inlineStr">
        <is>
          <t>GÄVLEBORGS LÄN</t>
        </is>
      </c>
      <c r="E2098" t="inlineStr">
        <is>
          <t>OCKELBO</t>
        </is>
      </c>
      <c r="G2098" t="n">
        <v>14.8</v>
      </c>
      <c r="H2098" t="n">
        <v>0</v>
      </c>
      <c r="I2098" t="n">
        <v>0</v>
      </c>
      <c r="J2098" t="n">
        <v>0</v>
      </c>
      <c r="K2098" t="n">
        <v>0</v>
      </c>
      <c r="L2098" t="n">
        <v>0</v>
      </c>
      <c r="M2098" t="n">
        <v>0</v>
      </c>
      <c r="N2098" t="n">
        <v>0</v>
      </c>
      <c r="O2098" t="n">
        <v>0</v>
      </c>
      <c r="P2098" t="n">
        <v>0</v>
      </c>
      <c r="Q2098" t="n">
        <v>0</v>
      </c>
      <c r="R2098" s="2" t="inlineStr"/>
    </row>
    <row r="2099" ht="15" customHeight="1">
      <c r="A2099" t="inlineStr">
        <is>
          <t>A 16196-2025</t>
        </is>
      </c>
      <c r="B2099" s="1" t="n">
        <v>45750.60038194444</v>
      </c>
      <c r="C2099" s="1" t="n">
        <v>46086</v>
      </c>
      <c r="D2099" t="inlineStr">
        <is>
          <t>GÄVLEBORGS LÄN</t>
        </is>
      </c>
      <c r="E2099" t="inlineStr">
        <is>
          <t>SÖDERHAMN</t>
        </is>
      </c>
      <c r="F2099" t="inlineStr">
        <is>
          <t>Kommuner</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38658-2023</t>
        </is>
      </c>
      <c r="B2100" s="1" t="n">
        <v>45162.8475925926</v>
      </c>
      <c r="C2100" s="1" t="n">
        <v>46086</v>
      </c>
      <c r="D2100" t="inlineStr">
        <is>
          <t>GÄVLEBORGS LÄN</t>
        </is>
      </c>
      <c r="E2100" t="inlineStr">
        <is>
          <t>NORDANSTIG</t>
        </is>
      </c>
      <c r="F2100" t="inlineStr">
        <is>
          <t>Holmen skog AB</t>
        </is>
      </c>
      <c r="G2100" t="n">
        <v>5.2</v>
      </c>
      <c r="H2100" t="n">
        <v>0</v>
      </c>
      <c r="I2100" t="n">
        <v>0</v>
      </c>
      <c r="J2100" t="n">
        <v>0</v>
      </c>
      <c r="K2100" t="n">
        <v>0</v>
      </c>
      <c r="L2100" t="n">
        <v>0</v>
      </c>
      <c r="M2100" t="n">
        <v>0</v>
      </c>
      <c r="N2100" t="n">
        <v>0</v>
      </c>
      <c r="O2100" t="n">
        <v>0</v>
      </c>
      <c r="P2100" t="n">
        <v>0</v>
      </c>
      <c r="Q2100" t="n">
        <v>0</v>
      </c>
      <c r="R2100" s="2" t="inlineStr"/>
    </row>
    <row r="2101" ht="15" customHeight="1">
      <c r="A2101" t="inlineStr">
        <is>
          <t>A 16204-2025</t>
        </is>
      </c>
      <c r="B2101" s="1" t="n">
        <v>45750.62034722222</v>
      </c>
      <c r="C2101" s="1" t="n">
        <v>46086</v>
      </c>
      <c r="D2101" t="inlineStr">
        <is>
          <t>GÄVLEBORGS LÄN</t>
        </is>
      </c>
      <c r="E2101" t="inlineStr">
        <is>
          <t>OVANÅKER</t>
        </is>
      </c>
      <c r="G2101" t="n">
        <v>16.7</v>
      </c>
      <c r="H2101" t="n">
        <v>0</v>
      </c>
      <c r="I2101" t="n">
        <v>0</v>
      </c>
      <c r="J2101" t="n">
        <v>0</v>
      </c>
      <c r="K2101" t="n">
        <v>0</v>
      </c>
      <c r="L2101" t="n">
        <v>0</v>
      </c>
      <c r="M2101" t="n">
        <v>0</v>
      </c>
      <c r="N2101" t="n">
        <v>0</v>
      </c>
      <c r="O2101" t="n">
        <v>0</v>
      </c>
      <c r="P2101" t="n">
        <v>0</v>
      </c>
      <c r="Q2101" t="n">
        <v>0</v>
      </c>
      <c r="R2101" s="2" t="inlineStr"/>
    </row>
    <row r="2102" ht="15" customHeight="1">
      <c r="A2102" t="inlineStr">
        <is>
          <t>A 2688-2025</t>
        </is>
      </c>
      <c r="B2102" s="1" t="n">
        <v>45677.37628472222</v>
      </c>
      <c r="C2102" s="1" t="n">
        <v>46086</v>
      </c>
      <c r="D2102" t="inlineStr">
        <is>
          <t>GÄVLEBORGS LÄN</t>
        </is>
      </c>
      <c r="E2102" t="inlineStr">
        <is>
          <t>HUDIKSVALL</t>
        </is>
      </c>
      <c r="F2102" t="inlineStr">
        <is>
          <t>Holmen skog AB</t>
        </is>
      </c>
      <c r="G2102" t="n">
        <v>7.4</v>
      </c>
      <c r="H2102" t="n">
        <v>0</v>
      </c>
      <c r="I2102" t="n">
        <v>0</v>
      </c>
      <c r="J2102" t="n">
        <v>0</v>
      </c>
      <c r="K2102" t="n">
        <v>0</v>
      </c>
      <c r="L2102" t="n">
        <v>0</v>
      </c>
      <c r="M2102" t="n">
        <v>0</v>
      </c>
      <c r="N2102" t="n">
        <v>0</v>
      </c>
      <c r="O2102" t="n">
        <v>0</v>
      </c>
      <c r="P2102" t="n">
        <v>0</v>
      </c>
      <c r="Q2102" t="n">
        <v>0</v>
      </c>
      <c r="R2102" s="2" t="inlineStr"/>
    </row>
    <row r="2103" ht="15" customHeight="1">
      <c r="A2103" t="inlineStr">
        <is>
          <t>A 4294-2024</t>
        </is>
      </c>
      <c r="B2103" s="1" t="n">
        <v>45324</v>
      </c>
      <c r="C2103" s="1" t="n">
        <v>46086</v>
      </c>
      <c r="D2103" t="inlineStr">
        <is>
          <t>GÄVLEBORGS LÄN</t>
        </is>
      </c>
      <c r="E2103" t="inlineStr">
        <is>
          <t>GÄVLE</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27804-2024</t>
        </is>
      </c>
      <c r="B2104" s="1" t="n">
        <v>45475.5766087963</v>
      </c>
      <c r="C2104" s="1" t="n">
        <v>46086</v>
      </c>
      <c r="D2104" t="inlineStr">
        <is>
          <t>GÄVLEBORGS LÄN</t>
        </is>
      </c>
      <c r="E2104" t="inlineStr">
        <is>
          <t>BOLLNÄS</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405-2025</t>
        </is>
      </c>
      <c r="B2105" s="1" t="n">
        <v>45663.625</v>
      </c>
      <c r="C2105" s="1" t="n">
        <v>46086</v>
      </c>
      <c r="D2105" t="inlineStr">
        <is>
          <t>GÄVLEBORGS LÄN</t>
        </is>
      </c>
      <c r="E2105" t="inlineStr">
        <is>
          <t>HUDIKSVALL</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18130-2024</t>
        </is>
      </c>
      <c r="B2106" s="1" t="n">
        <v>45420.56704861111</v>
      </c>
      <c r="C2106" s="1" t="n">
        <v>46086</v>
      </c>
      <c r="D2106" t="inlineStr">
        <is>
          <t>GÄVLEBORGS LÄN</t>
        </is>
      </c>
      <c r="E2106" t="inlineStr">
        <is>
          <t>LJUSDAL</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18156-2024</t>
        </is>
      </c>
      <c r="B2107" s="1" t="n">
        <v>45420.60981481482</v>
      </c>
      <c r="C2107" s="1" t="n">
        <v>46086</v>
      </c>
      <c r="D2107" t="inlineStr">
        <is>
          <t>GÄVLEBORGS LÄN</t>
        </is>
      </c>
      <c r="E2107" t="inlineStr">
        <is>
          <t>OVANÅKER</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30187-2024</t>
        </is>
      </c>
      <c r="B2108" s="1" t="n">
        <v>45490.27436342592</v>
      </c>
      <c r="C2108" s="1" t="n">
        <v>46086</v>
      </c>
      <c r="D2108" t="inlineStr">
        <is>
          <t>GÄVLEBORGS LÄN</t>
        </is>
      </c>
      <c r="E2108" t="inlineStr">
        <is>
          <t>BOLLNÄS</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55026-2022</t>
        </is>
      </c>
      <c r="B2109" s="1" t="n">
        <v>44886</v>
      </c>
      <c r="C2109" s="1" t="n">
        <v>46086</v>
      </c>
      <c r="D2109" t="inlineStr">
        <is>
          <t>GÄVLEBORGS LÄN</t>
        </is>
      </c>
      <c r="E2109" t="inlineStr">
        <is>
          <t>NORDANSTIG</t>
        </is>
      </c>
      <c r="F2109" t="inlineStr">
        <is>
          <t>Holmen skog AB</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2720-2025</t>
        </is>
      </c>
      <c r="B2110" s="1" t="n">
        <v>45677.43327546296</v>
      </c>
      <c r="C2110" s="1" t="n">
        <v>46086</v>
      </c>
      <c r="D2110" t="inlineStr">
        <is>
          <t>GÄVLEBORGS LÄN</t>
        </is>
      </c>
      <c r="E2110" t="inlineStr">
        <is>
          <t>HUDIKSVALL</t>
        </is>
      </c>
      <c r="F2110" t="inlineStr">
        <is>
          <t>Holmen skog AB</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39207-2024</t>
        </is>
      </c>
      <c r="B2111" s="1" t="n">
        <v>45548.82506944444</v>
      </c>
      <c r="C2111" s="1" t="n">
        <v>46086</v>
      </c>
      <c r="D2111" t="inlineStr">
        <is>
          <t>GÄVLEBORGS LÄN</t>
        </is>
      </c>
      <c r="E2111" t="inlineStr">
        <is>
          <t>SÖDERHAMN</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54203-2023</t>
        </is>
      </c>
      <c r="B2112" s="1" t="n">
        <v>45232.56078703704</v>
      </c>
      <c r="C2112" s="1" t="n">
        <v>46086</v>
      </c>
      <c r="D2112" t="inlineStr">
        <is>
          <t>GÄVLEBORGS LÄN</t>
        </is>
      </c>
      <c r="E2112" t="inlineStr">
        <is>
          <t>BOLLNÄS</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11810-2023</t>
        </is>
      </c>
      <c r="B2113" s="1" t="n">
        <v>44994.71511574074</v>
      </c>
      <c r="C2113" s="1" t="n">
        <v>46086</v>
      </c>
      <c r="D2113" t="inlineStr">
        <is>
          <t>GÄVLEBORGS LÄN</t>
        </is>
      </c>
      <c r="E2113" t="inlineStr">
        <is>
          <t>SANDVIKEN</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18357-2024</t>
        </is>
      </c>
      <c r="B2114" s="1" t="n">
        <v>45422.71068287037</v>
      </c>
      <c r="C2114" s="1" t="n">
        <v>46086</v>
      </c>
      <c r="D2114" t="inlineStr">
        <is>
          <t>GÄVLEBORGS LÄN</t>
        </is>
      </c>
      <c r="E2114" t="inlineStr">
        <is>
          <t>LJUSDAL</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60778-2022</t>
        </is>
      </c>
      <c r="B2115" s="1" t="n">
        <v>44914.38366898148</v>
      </c>
      <c r="C2115" s="1" t="n">
        <v>46086</v>
      </c>
      <c r="D2115" t="inlineStr">
        <is>
          <t>GÄVLEBORGS LÄN</t>
        </is>
      </c>
      <c r="E2115" t="inlineStr">
        <is>
          <t>OVANÅKER</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14356-2025</t>
        </is>
      </c>
      <c r="B2116" s="1" t="n">
        <v>45741.36755787037</v>
      </c>
      <c r="C2116" s="1" t="n">
        <v>46086</v>
      </c>
      <c r="D2116" t="inlineStr">
        <is>
          <t>GÄVLEBORGS LÄN</t>
        </is>
      </c>
      <c r="E2116" t="inlineStr">
        <is>
          <t>SANDVIKEN</t>
        </is>
      </c>
      <c r="F2116" t="inlineStr">
        <is>
          <t>Bergvik skog öst AB</t>
        </is>
      </c>
      <c r="G2116" t="n">
        <v>7.1</v>
      </c>
      <c r="H2116" t="n">
        <v>0</v>
      </c>
      <c r="I2116" t="n">
        <v>0</v>
      </c>
      <c r="J2116" t="n">
        <v>0</v>
      </c>
      <c r="K2116" t="n">
        <v>0</v>
      </c>
      <c r="L2116" t="n">
        <v>0</v>
      </c>
      <c r="M2116" t="n">
        <v>0</v>
      </c>
      <c r="N2116" t="n">
        <v>0</v>
      </c>
      <c r="O2116" t="n">
        <v>0</v>
      </c>
      <c r="P2116" t="n">
        <v>0</v>
      </c>
      <c r="Q2116" t="n">
        <v>0</v>
      </c>
      <c r="R2116" s="2" t="inlineStr"/>
    </row>
    <row r="2117" ht="15" customHeight="1">
      <c r="A2117" t="inlineStr">
        <is>
          <t>A 7441-2025</t>
        </is>
      </c>
      <c r="B2117" s="1" t="n">
        <v>45705.40342592593</v>
      </c>
      <c r="C2117" s="1" t="n">
        <v>46086</v>
      </c>
      <c r="D2117" t="inlineStr">
        <is>
          <t>GÄVLEBORGS LÄN</t>
        </is>
      </c>
      <c r="E2117" t="inlineStr">
        <is>
          <t>GÄVLE</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35174-2023</t>
        </is>
      </c>
      <c r="B2118" s="1" t="n">
        <v>45145.58690972222</v>
      </c>
      <c r="C2118" s="1" t="n">
        <v>46086</v>
      </c>
      <c r="D2118" t="inlineStr">
        <is>
          <t>GÄVLEBORGS LÄN</t>
        </is>
      </c>
      <c r="E2118" t="inlineStr">
        <is>
          <t>BOLLNÄS</t>
        </is>
      </c>
      <c r="F2118" t="inlineStr">
        <is>
          <t>Holmen skog AB</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18363-2025</t>
        </is>
      </c>
      <c r="B2119" s="1" t="n">
        <v>45762.56040509259</v>
      </c>
      <c r="C2119" s="1" t="n">
        <v>46086</v>
      </c>
      <c r="D2119" t="inlineStr">
        <is>
          <t>GÄVLEBORGS LÄN</t>
        </is>
      </c>
      <c r="E2119" t="inlineStr">
        <is>
          <t>OVANÅKER</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1468-2025</t>
        </is>
      </c>
      <c r="B2120" s="1" t="n">
        <v>45670</v>
      </c>
      <c r="C2120" s="1" t="n">
        <v>46086</v>
      </c>
      <c r="D2120" t="inlineStr">
        <is>
          <t>GÄVLEBORGS LÄN</t>
        </is>
      </c>
      <c r="E2120" t="inlineStr">
        <is>
          <t>HUDIKSVALL</t>
        </is>
      </c>
      <c r="G2120" t="n">
        <v>11.8</v>
      </c>
      <c r="H2120" t="n">
        <v>0</v>
      </c>
      <c r="I2120" t="n">
        <v>0</v>
      </c>
      <c r="J2120" t="n">
        <v>0</v>
      </c>
      <c r="K2120" t="n">
        <v>0</v>
      </c>
      <c r="L2120" t="n">
        <v>0</v>
      </c>
      <c r="M2120" t="n">
        <v>0</v>
      </c>
      <c r="N2120" t="n">
        <v>0</v>
      </c>
      <c r="O2120" t="n">
        <v>0</v>
      </c>
      <c r="P2120" t="n">
        <v>0</v>
      </c>
      <c r="Q2120" t="n">
        <v>0</v>
      </c>
      <c r="R2120" s="2" t="inlineStr"/>
    </row>
    <row r="2121" ht="15" customHeight="1">
      <c r="A2121" t="inlineStr">
        <is>
          <t>A 7031-2025</t>
        </is>
      </c>
      <c r="B2121" s="1" t="n">
        <v>45701.63361111111</v>
      </c>
      <c r="C2121" s="1" t="n">
        <v>46086</v>
      </c>
      <c r="D2121" t="inlineStr">
        <is>
          <t>GÄVLEBORGS LÄN</t>
        </is>
      </c>
      <c r="E2121" t="inlineStr">
        <is>
          <t>SANDVIKEN</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23251-2022</t>
        </is>
      </c>
      <c r="B2122" s="1" t="n">
        <v>44720.37357638889</v>
      </c>
      <c r="C2122" s="1" t="n">
        <v>46086</v>
      </c>
      <c r="D2122" t="inlineStr">
        <is>
          <t>GÄVLEBORGS LÄN</t>
        </is>
      </c>
      <c r="E2122" t="inlineStr">
        <is>
          <t>OVANÅKER</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1570-2025</t>
        </is>
      </c>
      <c r="B2123" s="1" t="n">
        <v>45670.55271990741</v>
      </c>
      <c r="C2123" s="1" t="n">
        <v>46086</v>
      </c>
      <c r="D2123" t="inlineStr">
        <is>
          <t>GÄVLEBORGS LÄN</t>
        </is>
      </c>
      <c r="E2123" t="inlineStr">
        <is>
          <t>LJUSDAL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58113-2022</t>
        </is>
      </c>
      <c r="B2124" s="1" t="n">
        <v>44900.65167824074</v>
      </c>
      <c r="C2124" s="1" t="n">
        <v>46086</v>
      </c>
      <c r="D2124" t="inlineStr">
        <is>
          <t>GÄVLEBORGS LÄN</t>
        </is>
      </c>
      <c r="E2124" t="inlineStr">
        <is>
          <t>LJUSDAL</t>
        </is>
      </c>
      <c r="F2124" t="inlineStr">
        <is>
          <t>Sveaskog</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32412-2024</t>
        </is>
      </c>
      <c r="B2125" s="1" t="n">
        <v>45512.71197916667</v>
      </c>
      <c r="C2125" s="1" t="n">
        <v>46086</v>
      </c>
      <c r="D2125" t="inlineStr">
        <is>
          <t>GÄVLEBORGS LÄN</t>
        </is>
      </c>
      <c r="E2125" t="inlineStr">
        <is>
          <t>HUDIKSVALL</t>
        </is>
      </c>
      <c r="F2125" t="inlineStr">
        <is>
          <t>Holmen skog AB</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32414-2024</t>
        </is>
      </c>
      <c r="B2126" s="1" t="n">
        <v>45512.72439814815</v>
      </c>
      <c r="C2126" s="1" t="n">
        <v>46086</v>
      </c>
      <c r="D2126" t="inlineStr">
        <is>
          <t>GÄVLEBORGS LÄN</t>
        </is>
      </c>
      <c r="E2126" t="inlineStr">
        <is>
          <t>HUDIKSVALL</t>
        </is>
      </c>
      <c r="F2126" t="inlineStr">
        <is>
          <t>Holmen skog AB</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2798-2025</t>
        </is>
      </c>
      <c r="B2127" s="1" t="n">
        <v>45677.57865740741</v>
      </c>
      <c r="C2127" s="1" t="n">
        <v>46086</v>
      </c>
      <c r="D2127" t="inlineStr">
        <is>
          <t>GÄVLEBORGS LÄN</t>
        </is>
      </c>
      <c r="E2127" t="inlineStr">
        <is>
          <t>BOLLNÄS</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37996-2024</t>
        </is>
      </c>
      <c r="B2128" s="1" t="n">
        <v>45544.60001157408</v>
      </c>
      <c r="C2128" s="1" t="n">
        <v>46086</v>
      </c>
      <c r="D2128" t="inlineStr">
        <is>
          <t>GÄVLEBORGS LÄN</t>
        </is>
      </c>
      <c r="E2128" t="inlineStr">
        <is>
          <t>SANDVIKEN</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31544-2023</t>
        </is>
      </c>
      <c r="B2129" s="1" t="n">
        <v>45117</v>
      </c>
      <c r="C2129" s="1" t="n">
        <v>46086</v>
      </c>
      <c r="D2129" t="inlineStr">
        <is>
          <t>GÄVLEBORGS LÄN</t>
        </is>
      </c>
      <c r="E2129" t="inlineStr">
        <is>
          <t>GÄVLE</t>
        </is>
      </c>
      <c r="F2129" t="inlineStr">
        <is>
          <t>Bergvik skog väst AB</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49281-2024</t>
        </is>
      </c>
      <c r="B2130" s="1" t="n">
        <v>45595.50841435185</v>
      </c>
      <c r="C2130" s="1" t="n">
        <v>46086</v>
      </c>
      <c r="D2130" t="inlineStr">
        <is>
          <t>GÄVLEBORGS LÄN</t>
        </is>
      </c>
      <c r="E2130" t="inlineStr">
        <is>
          <t>SÖDERHAMN</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42858-2024</t>
        </is>
      </c>
      <c r="B2131" s="1" t="n">
        <v>45566.65224537037</v>
      </c>
      <c r="C2131" s="1" t="n">
        <v>46086</v>
      </c>
      <c r="D2131" t="inlineStr">
        <is>
          <t>GÄVLEBORGS LÄN</t>
        </is>
      </c>
      <c r="E2131" t="inlineStr">
        <is>
          <t>NORDANSTIG</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15763-2021</t>
        </is>
      </c>
      <c r="B2132" s="1" t="n">
        <v>44286</v>
      </c>
      <c r="C2132" s="1" t="n">
        <v>46086</v>
      </c>
      <c r="D2132" t="inlineStr">
        <is>
          <t>GÄVLEBORGS LÄN</t>
        </is>
      </c>
      <c r="E2132" t="inlineStr">
        <is>
          <t>GÄVLE</t>
        </is>
      </c>
      <c r="F2132" t="inlineStr">
        <is>
          <t>Bergvik skog väst AB</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29923-2022</t>
        </is>
      </c>
      <c r="B2133" s="1" t="n">
        <v>44756.56537037037</v>
      </c>
      <c r="C2133" s="1" t="n">
        <v>46086</v>
      </c>
      <c r="D2133" t="inlineStr">
        <is>
          <t>GÄVLEBORGS LÄN</t>
        </is>
      </c>
      <c r="E2133" t="inlineStr">
        <is>
          <t>GÄVLE</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29927-2022</t>
        </is>
      </c>
      <c r="B2134" s="1" t="n">
        <v>44756.57232638889</v>
      </c>
      <c r="C2134" s="1" t="n">
        <v>46086</v>
      </c>
      <c r="D2134" t="inlineStr">
        <is>
          <t>GÄVLEBORGS LÄN</t>
        </is>
      </c>
      <c r="E2134" t="inlineStr">
        <is>
          <t>GÄVLE</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24618-2023</t>
        </is>
      </c>
      <c r="B2135" s="1" t="n">
        <v>45084.35936342592</v>
      </c>
      <c r="C2135" s="1" t="n">
        <v>46086</v>
      </c>
      <c r="D2135" t="inlineStr">
        <is>
          <t>GÄVLEBORGS LÄN</t>
        </is>
      </c>
      <c r="E2135" t="inlineStr">
        <is>
          <t>GÄVLE</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23375-2024</t>
        </is>
      </c>
      <c r="B2136" s="1" t="n">
        <v>45453.55662037037</v>
      </c>
      <c r="C2136" s="1" t="n">
        <v>46086</v>
      </c>
      <c r="D2136" t="inlineStr">
        <is>
          <t>GÄVLEBORGS LÄN</t>
        </is>
      </c>
      <c r="E2136" t="inlineStr">
        <is>
          <t>BOLLNÄS</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37005-2022</t>
        </is>
      </c>
      <c r="B2137" s="1" t="n">
        <v>44806</v>
      </c>
      <c r="C2137" s="1" t="n">
        <v>46086</v>
      </c>
      <c r="D2137" t="inlineStr">
        <is>
          <t>GÄVLEBORGS LÄN</t>
        </is>
      </c>
      <c r="E2137" t="inlineStr">
        <is>
          <t>NORDANSTIG</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11107-2024</t>
        </is>
      </c>
      <c r="B2138" s="1" t="n">
        <v>45371.35532407407</v>
      </c>
      <c r="C2138" s="1" t="n">
        <v>46086</v>
      </c>
      <c r="D2138" t="inlineStr">
        <is>
          <t>GÄVLEBORGS LÄN</t>
        </is>
      </c>
      <c r="E2138" t="inlineStr">
        <is>
          <t>HUDIKSVALL</t>
        </is>
      </c>
      <c r="F2138" t="inlineStr">
        <is>
          <t>Holmen skog AB</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57196-2024</t>
        </is>
      </c>
      <c r="B2139" s="1" t="n">
        <v>45629.47431712963</v>
      </c>
      <c r="C2139" s="1" t="n">
        <v>46086</v>
      </c>
      <c r="D2139" t="inlineStr">
        <is>
          <t>GÄVLEBORGS LÄN</t>
        </is>
      </c>
      <c r="E2139" t="inlineStr">
        <is>
          <t>HUDIKSVALL</t>
        </is>
      </c>
      <c r="F2139" t="inlineStr">
        <is>
          <t>Naturvårdsverket</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50169-2024</t>
        </is>
      </c>
      <c r="B2140" s="1" t="n">
        <v>45600.46696759259</v>
      </c>
      <c r="C2140" s="1" t="n">
        <v>46086</v>
      </c>
      <c r="D2140" t="inlineStr">
        <is>
          <t>GÄVLEBORGS LÄN</t>
        </is>
      </c>
      <c r="E2140" t="inlineStr">
        <is>
          <t>LJUSDAL</t>
        </is>
      </c>
      <c r="F2140" t="inlineStr">
        <is>
          <t>Sveaskog</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34103-2023</t>
        </is>
      </c>
      <c r="B2141" s="1" t="n">
        <v>45135.59890046297</v>
      </c>
      <c r="C2141" s="1" t="n">
        <v>46086</v>
      </c>
      <c r="D2141" t="inlineStr">
        <is>
          <t>GÄVLEBORGS LÄN</t>
        </is>
      </c>
      <c r="E2141" t="inlineStr">
        <is>
          <t>LJUSDAL</t>
        </is>
      </c>
      <c r="F2141" t="inlineStr">
        <is>
          <t>Holmen skog AB</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34113-2023</t>
        </is>
      </c>
      <c r="B2142" s="1" t="n">
        <v>45135.62081018519</v>
      </c>
      <c r="C2142" s="1" t="n">
        <v>46086</v>
      </c>
      <c r="D2142" t="inlineStr">
        <is>
          <t>GÄVLEBORGS LÄN</t>
        </is>
      </c>
      <c r="E2142" t="inlineStr">
        <is>
          <t>LJUSDAL</t>
        </is>
      </c>
      <c r="F2142" t="inlineStr">
        <is>
          <t>Holmen skog AB</t>
        </is>
      </c>
      <c r="G2142" t="n">
        <v>6.6</v>
      </c>
      <c r="H2142" t="n">
        <v>0</v>
      </c>
      <c r="I2142" t="n">
        <v>0</v>
      </c>
      <c r="J2142" t="n">
        <v>0</v>
      </c>
      <c r="K2142" t="n">
        <v>0</v>
      </c>
      <c r="L2142" t="n">
        <v>0</v>
      </c>
      <c r="M2142" t="n">
        <v>0</v>
      </c>
      <c r="N2142" t="n">
        <v>0</v>
      </c>
      <c r="O2142" t="n">
        <v>0</v>
      </c>
      <c r="P2142" t="n">
        <v>0</v>
      </c>
      <c r="Q2142" t="n">
        <v>0</v>
      </c>
      <c r="R2142" s="2" t="inlineStr"/>
    </row>
    <row r="2143" ht="15" customHeight="1">
      <c r="A2143" t="inlineStr">
        <is>
          <t>A 9172-2023</t>
        </is>
      </c>
      <c r="B2143" s="1" t="n">
        <v>44980.42094907408</v>
      </c>
      <c r="C2143" s="1" t="n">
        <v>46086</v>
      </c>
      <c r="D2143" t="inlineStr">
        <is>
          <t>GÄVLEBORGS LÄN</t>
        </is>
      </c>
      <c r="E2143" t="inlineStr">
        <is>
          <t>HUDIKSVALL</t>
        </is>
      </c>
      <c r="F2143" t="inlineStr">
        <is>
          <t>Holmen skog AB</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40386-2024</t>
        </is>
      </c>
      <c r="B2144" s="1" t="n">
        <v>45555.43184027778</v>
      </c>
      <c r="C2144" s="1" t="n">
        <v>46086</v>
      </c>
      <c r="D2144" t="inlineStr">
        <is>
          <t>GÄVLEBORGS LÄN</t>
        </is>
      </c>
      <c r="E2144" t="inlineStr">
        <is>
          <t>BOLLNÄS</t>
        </is>
      </c>
      <c r="F2144" t="inlineStr">
        <is>
          <t>Bergvik skog väst AB</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22155-2022</t>
        </is>
      </c>
      <c r="B2145" s="1" t="n">
        <v>44712</v>
      </c>
      <c r="C2145" s="1" t="n">
        <v>46086</v>
      </c>
      <c r="D2145" t="inlineStr">
        <is>
          <t>GÄVLEBORGS LÄN</t>
        </is>
      </c>
      <c r="E2145" t="inlineStr">
        <is>
          <t>LJUSDAL</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45284-2023</t>
        </is>
      </c>
      <c r="B2146" s="1" t="n">
        <v>45191.64744212963</v>
      </c>
      <c r="C2146" s="1" t="n">
        <v>46086</v>
      </c>
      <c r="D2146" t="inlineStr">
        <is>
          <t>GÄVLEBORGS LÄN</t>
        </is>
      </c>
      <c r="E2146" t="inlineStr">
        <is>
          <t>SANDVIKEN</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16738-2025</t>
        </is>
      </c>
      <c r="B2147" s="1" t="n">
        <v>45754.54916666666</v>
      </c>
      <c r="C2147" s="1" t="n">
        <v>46086</v>
      </c>
      <c r="D2147" t="inlineStr">
        <is>
          <t>GÄVLEBORGS LÄN</t>
        </is>
      </c>
      <c r="E2147" t="inlineStr">
        <is>
          <t>OCKELBO</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38232-2024</t>
        </is>
      </c>
      <c r="B2148" s="1" t="n">
        <v>45545.55649305556</v>
      </c>
      <c r="C2148" s="1" t="n">
        <v>46086</v>
      </c>
      <c r="D2148" t="inlineStr">
        <is>
          <t>GÄVLEBORGS LÄN</t>
        </is>
      </c>
      <c r="E2148" t="inlineStr">
        <is>
          <t>LJUSDAL</t>
        </is>
      </c>
      <c r="F2148" t="inlineStr">
        <is>
          <t>Sveaskog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59614-2024</t>
        </is>
      </c>
      <c r="B2149" s="1" t="n">
        <v>45638.78225694445</v>
      </c>
      <c r="C2149" s="1" t="n">
        <v>46086</v>
      </c>
      <c r="D2149" t="inlineStr">
        <is>
          <t>GÄVLEBORGS LÄN</t>
        </is>
      </c>
      <c r="E2149" t="inlineStr">
        <is>
          <t>SANDVIKEN</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56310-2021</t>
        </is>
      </c>
      <c r="B2150" s="1" t="n">
        <v>44477</v>
      </c>
      <c r="C2150" s="1" t="n">
        <v>46086</v>
      </c>
      <c r="D2150" t="inlineStr">
        <is>
          <t>GÄVLEBORGS LÄN</t>
        </is>
      </c>
      <c r="E2150" t="inlineStr">
        <is>
          <t>SANDVIKEN</t>
        </is>
      </c>
      <c r="F2150" t="inlineStr">
        <is>
          <t>Bergvik skog väst AB</t>
        </is>
      </c>
      <c r="G2150" t="n">
        <v>18.5</v>
      </c>
      <c r="H2150" t="n">
        <v>0</v>
      </c>
      <c r="I2150" t="n">
        <v>0</v>
      </c>
      <c r="J2150" t="n">
        <v>0</v>
      </c>
      <c r="K2150" t="n">
        <v>0</v>
      </c>
      <c r="L2150" t="n">
        <v>0</v>
      </c>
      <c r="M2150" t="n">
        <v>0</v>
      </c>
      <c r="N2150" t="n">
        <v>0</v>
      </c>
      <c r="O2150" t="n">
        <v>0</v>
      </c>
      <c r="P2150" t="n">
        <v>0</v>
      </c>
      <c r="Q2150" t="n">
        <v>0</v>
      </c>
      <c r="R2150" s="2" t="inlineStr"/>
    </row>
    <row r="2151" ht="15" customHeight="1">
      <c r="A2151" t="inlineStr">
        <is>
          <t>A 48282-2023</t>
        </is>
      </c>
      <c r="B2151" s="1" t="n">
        <v>45205</v>
      </c>
      <c r="C2151" s="1" t="n">
        <v>46086</v>
      </c>
      <c r="D2151" t="inlineStr">
        <is>
          <t>GÄVLEBORGS LÄN</t>
        </is>
      </c>
      <c r="E2151" t="inlineStr">
        <is>
          <t>OVANÅKER</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55434-2022</t>
        </is>
      </c>
      <c r="B2152" s="1" t="n">
        <v>44887</v>
      </c>
      <c r="C2152" s="1" t="n">
        <v>46086</v>
      </c>
      <c r="D2152" t="inlineStr">
        <is>
          <t>GÄVLEBORGS LÄN</t>
        </is>
      </c>
      <c r="E2152" t="inlineStr">
        <is>
          <t>HUDIKSVALL</t>
        </is>
      </c>
      <c r="F2152" t="inlineStr">
        <is>
          <t>Holmen skog AB</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16995-2024</t>
        </is>
      </c>
      <c r="B2153" s="1" t="n">
        <v>45412.33939814815</v>
      </c>
      <c r="C2153" s="1" t="n">
        <v>46086</v>
      </c>
      <c r="D2153" t="inlineStr">
        <is>
          <t>GÄVLEBORGS LÄN</t>
        </is>
      </c>
      <c r="E2153" t="inlineStr">
        <is>
          <t>HUDIKSVALL</t>
        </is>
      </c>
      <c r="F2153" t="inlineStr">
        <is>
          <t>Holmen skog AB</t>
        </is>
      </c>
      <c r="G2153" t="n">
        <v>28.6</v>
      </c>
      <c r="H2153" t="n">
        <v>0</v>
      </c>
      <c r="I2153" t="n">
        <v>0</v>
      </c>
      <c r="J2153" t="n">
        <v>0</v>
      </c>
      <c r="K2153" t="n">
        <v>0</v>
      </c>
      <c r="L2153" t="n">
        <v>0</v>
      </c>
      <c r="M2153" t="n">
        <v>0</v>
      </c>
      <c r="N2153" t="n">
        <v>0</v>
      </c>
      <c r="O2153" t="n">
        <v>0</v>
      </c>
      <c r="P2153" t="n">
        <v>0</v>
      </c>
      <c r="Q2153" t="n">
        <v>0</v>
      </c>
      <c r="R2153" s="2" t="inlineStr"/>
    </row>
    <row r="2154" ht="15" customHeight="1">
      <c r="A2154" t="inlineStr">
        <is>
          <t>A 13461-2024</t>
        </is>
      </c>
      <c r="B2154" s="1" t="n">
        <v>45387.55202546297</v>
      </c>
      <c r="C2154" s="1" t="n">
        <v>46086</v>
      </c>
      <c r="D2154" t="inlineStr">
        <is>
          <t>GÄVLEBORGS LÄN</t>
        </is>
      </c>
      <c r="E2154" t="inlineStr">
        <is>
          <t>BOLLNÄS</t>
        </is>
      </c>
      <c r="F2154" t="inlineStr">
        <is>
          <t>Holmen skog AB</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13759-2022</t>
        </is>
      </c>
      <c r="B2155" s="1" t="n">
        <v>44649.45197916667</v>
      </c>
      <c r="C2155" s="1" t="n">
        <v>46086</v>
      </c>
      <c r="D2155" t="inlineStr">
        <is>
          <t>GÄVLEBORGS LÄN</t>
        </is>
      </c>
      <c r="E2155" t="inlineStr">
        <is>
          <t>HUDIKSVALL</t>
        </is>
      </c>
      <c r="F2155" t="inlineStr">
        <is>
          <t>Holmen skog AB</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40736-2021</t>
        </is>
      </c>
      <c r="B2156" s="1" t="n">
        <v>44420.66540509259</v>
      </c>
      <c r="C2156" s="1" t="n">
        <v>46086</v>
      </c>
      <c r="D2156" t="inlineStr">
        <is>
          <t>GÄVLEBORGS LÄN</t>
        </is>
      </c>
      <c r="E2156" t="inlineStr">
        <is>
          <t>SÖDERHAMN</t>
        </is>
      </c>
      <c r="G2156" t="n">
        <v>5.2</v>
      </c>
      <c r="H2156" t="n">
        <v>0</v>
      </c>
      <c r="I2156" t="n">
        <v>0</v>
      </c>
      <c r="J2156" t="n">
        <v>0</v>
      </c>
      <c r="K2156" t="n">
        <v>0</v>
      </c>
      <c r="L2156" t="n">
        <v>0</v>
      </c>
      <c r="M2156" t="n">
        <v>0</v>
      </c>
      <c r="N2156" t="n">
        <v>0</v>
      </c>
      <c r="O2156" t="n">
        <v>0</v>
      </c>
      <c r="P2156" t="n">
        <v>0</v>
      </c>
      <c r="Q2156" t="n">
        <v>0</v>
      </c>
      <c r="R2156" s="2" t="inlineStr"/>
    </row>
    <row r="2157" ht="15" customHeight="1">
      <c r="A2157" t="inlineStr">
        <is>
          <t>A 36369-2024</t>
        </is>
      </c>
      <c r="B2157" s="1" t="n">
        <v>45534.66434027778</v>
      </c>
      <c r="C2157" s="1" t="n">
        <v>46086</v>
      </c>
      <c r="D2157" t="inlineStr">
        <is>
          <t>GÄVLEBORGS LÄN</t>
        </is>
      </c>
      <c r="E2157" t="inlineStr">
        <is>
          <t>NORDANSTIG</t>
        </is>
      </c>
      <c r="F2157" t="inlineStr">
        <is>
          <t>Holmen skog AB</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48654-2022</t>
        </is>
      </c>
      <c r="B2158" s="1" t="n">
        <v>44859.43793981482</v>
      </c>
      <c r="C2158" s="1" t="n">
        <v>46086</v>
      </c>
      <c r="D2158" t="inlineStr">
        <is>
          <t>GÄVLEBORGS LÄN</t>
        </is>
      </c>
      <c r="E2158" t="inlineStr">
        <is>
          <t>LJUSDAL</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15233-2023</t>
        </is>
      </c>
      <c r="B2159" s="1" t="n">
        <v>45019.34851851852</v>
      </c>
      <c r="C2159" s="1" t="n">
        <v>46086</v>
      </c>
      <c r="D2159" t="inlineStr">
        <is>
          <t>GÄVLEBORGS LÄN</t>
        </is>
      </c>
      <c r="E2159" t="inlineStr">
        <is>
          <t>HUDIKSVALL</t>
        </is>
      </c>
      <c r="F2159" t="inlineStr">
        <is>
          <t>Holmen skog AB</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35094-2021</t>
        </is>
      </c>
      <c r="B2160" s="1" t="n">
        <v>44384.34634259259</v>
      </c>
      <c r="C2160" s="1" t="n">
        <v>46086</v>
      </c>
      <c r="D2160" t="inlineStr">
        <is>
          <t>GÄVLEBORGS LÄN</t>
        </is>
      </c>
      <c r="E2160" t="inlineStr">
        <is>
          <t>OVANÅKER</t>
        </is>
      </c>
      <c r="F2160" t="inlineStr">
        <is>
          <t>Bergvik skog väst AB</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41318-2024</t>
        </is>
      </c>
      <c r="B2161" s="1" t="n">
        <v>45559.63951388889</v>
      </c>
      <c r="C2161" s="1" t="n">
        <v>46086</v>
      </c>
      <c r="D2161" t="inlineStr">
        <is>
          <t>GÄVLEBORGS LÄN</t>
        </is>
      </c>
      <c r="E2161" t="inlineStr">
        <is>
          <t>NORDANSTIG</t>
        </is>
      </c>
      <c r="F2161" t="inlineStr">
        <is>
          <t>Holmen skog AB</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59118-2022</t>
        </is>
      </c>
      <c r="B2162" s="1" t="n">
        <v>44904.43150462963</v>
      </c>
      <c r="C2162" s="1" t="n">
        <v>46086</v>
      </c>
      <c r="D2162" t="inlineStr">
        <is>
          <t>GÄVLEBORGS LÄN</t>
        </is>
      </c>
      <c r="E2162" t="inlineStr">
        <is>
          <t>HUDIKSVALL</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15285-2023</t>
        </is>
      </c>
      <c r="B2163" s="1" t="n">
        <v>45019.43928240741</v>
      </c>
      <c r="C2163" s="1" t="n">
        <v>46086</v>
      </c>
      <c r="D2163" t="inlineStr">
        <is>
          <t>GÄVLEBORGS LÄN</t>
        </is>
      </c>
      <c r="E2163" t="inlineStr">
        <is>
          <t>LJUSDAL</t>
        </is>
      </c>
      <c r="F2163" t="inlineStr">
        <is>
          <t>Holmen skog AB</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33015-2023</t>
        </is>
      </c>
      <c r="B2164" s="1" t="n">
        <v>45125.74876157408</v>
      </c>
      <c r="C2164" s="1" t="n">
        <v>46086</v>
      </c>
      <c r="D2164" t="inlineStr">
        <is>
          <t>GÄVLEBORGS LÄN</t>
        </is>
      </c>
      <c r="E2164" t="inlineStr">
        <is>
          <t>GÄVLE</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35172-2021</t>
        </is>
      </c>
      <c r="B2165" s="1" t="n">
        <v>44384</v>
      </c>
      <c r="C2165" s="1" t="n">
        <v>46086</v>
      </c>
      <c r="D2165" t="inlineStr">
        <is>
          <t>GÄVLEBORGS LÄN</t>
        </is>
      </c>
      <c r="E2165" t="inlineStr">
        <is>
          <t>SÖDERHAMN</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55526-2024</t>
        </is>
      </c>
      <c r="B2166" s="1" t="n">
        <v>45622</v>
      </c>
      <c r="C2166" s="1" t="n">
        <v>46086</v>
      </c>
      <c r="D2166" t="inlineStr">
        <is>
          <t>GÄVLEBORGS LÄN</t>
        </is>
      </c>
      <c r="E2166" t="inlineStr">
        <is>
          <t>NORDANSTIG</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51156-2023</t>
        </is>
      </c>
      <c r="B2167" s="1" t="n">
        <v>45212</v>
      </c>
      <c r="C2167" s="1" t="n">
        <v>46086</v>
      </c>
      <c r="D2167" t="inlineStr">
        <is>
          <t>GÄVLEBORGS LÄN</t>
        </is>
      </c>
      <c r="E2167" t="inlineStr">
        <is>
          <t>BOLLNÄS</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16819-2025</t>
        </is>
      </c>
      <c r="B2168" s="1" t="n">
        <v>45754.64091435185</v>
      </c>
      <c r="C2168" s="1" t="n">
        <v>46086</v>
      </c>
      <c r="D2168" t="inlineStr">
        <is>
          <t>GÄVLEBORGS LÄN</t>
        </is>
      </c>
      <c r="E2168" t="inlineStr">
        <is>
          <t>SANDVIKEN</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34451-2024</t>
        </is>
      </c>
      <c r="B2169" s="1" t="n">
        <v>45525.55493055555</v>
      </c>
      <c r="C2169" s="1" t="n">
        <v>46086</v>
      </c>
      <c r="D2169" t="inlineStr">
        <is>
          <t>GÄVLEBORGS LÄN</t>
        </is>
      </c>
      <c r="E2169" t="inlineStr">
        <is>
          <t>OVANÅKER</t>
        </is>
      </c>
      <c r="F2169" t="inlineStr">
        <is>
          <t>Bergvik skog öst AB</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60495-2023</t>
        </is>
      </c>
      <c r="B2170" s="1" t="n">
        <v>45258</v>
      </c>
      <c r="C2170" s="1" t="n">
        <v>46086</v>
      </c>
      <c r="D2170" t="inlineStr">
        <is>
          <t>GÄVLEBORGS LÄN</t>
        </is>
      </c>
      <c r="E2170" t="inlineStr">
        <is>
          <t>BOLLNÄS</t>
        </is>
      </c>
      <c r="G2170" t="n">
        <v>7.1</v>
      </c>
      <c r="H2170" t="n">
        <v>0</v>
      </c>
      <c r="I2170" t="n">
        <v>0</v>
      </c>
      <c r="J2170" t="n">
        <v>0</v>
      </c>
      <c r="K2170" t="n">
        <v>0</v>
      </c>
      <c r="L2170" t="n">
        <v>0</v>
      </c>
      <c r="M2170" t="n">
        <v>0</v>
      </c>
      <c r="N2170" t="n">
        <v>0</v>
      </c>
      <c r="O2170" t="n">
        <v>0</v>
      </c>
      <c r="P2170" t="n">
        <v>0</v>
      </c>
      <c r="Q2170" t="n">
        <v>0</v>
      </c>
      <c r="R2170" s="2" t="inlineStr"/>
    </row>
    <row r="2171" ht="15" customHeight="1">
      <c r="A2171" t="inlineStr">
        <is>
          <t>A 36125-2023</t>
        </is>
      </c>
      <c r="B2171" s="1" t="n">
        <v>45149.57210648148</v>
      </c>
      <c r="C2171" s="1" t="n">
        <v>46086</v>
      </c>
      <c r="D2171" t="inlineStr">
        <is>
          <t>GÄVLEBORGS LÄN</t>
        </is>
      </c>
      <c r="E2171" t="inlineStr">
        <is>
          <t>HUDIKSVALL</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49941-2024</t>
        </is>
      </c>
      <c r="B2172" s="1" t="n">
        <v>45597.59409722222</v>
      </c>
      <c r="C2172" s="1" t="n">
        <v>46086</v>
      </c>
      <c r="D2172" t="inlineStr">
        <is>
          <t>GÄVLEBORGS LÄN</t>
        </is>
      </c>
      <c r="E2172" t="inlineStr">
        <is>
          <t>SÖDERHAMN</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49963-2024</t>
        </is>
      </c>
      <c r="B2173" s="1" t="n">
        <v>45597.63175925926</v>
      </c>
      <c r="C2173" s="1" t="n">
        <v>46086</v>
      </c>
      <c r="D2173" t="inlineStr">
        <is>
          <t>GÄVLEBORGS LÄN</t>
        </is>
      </c>
      <c r="E2173" t="inlineStr">
        <is>
          <t>SÖDERHAMN</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12686-2025</t>
        </is>
      </c>
      <c r="B2174" s="1" t="n">
        <v>45733</v>
      </c>
      <c r="C2174" s="1" t="n">
        <v>46086</v>
      </c>
      <c r="D2174" t="inlineStr">
        <is>
          <t>GÄVLEBORGS LÄN</t>
        </is>
      </c>
      <c r="E2174" t="inlineStr">
        <is>
          <t>BOLLNÄS</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51310-2023</t>
        </is>
      </c>
      <c r="B2175" s="1" t="n">
        <v>45219.56564814815</v>
      </c>
      <c r="C2175" s="1" t="n">
        <v>46086</v>
      </c>
      <c r="D2175" t="inlineStr">
        <is>
          <t>GÄVLEBORGS LÄN</t>
        </is>
      </c>
      <c r="E2175" t="inlineStr">
        <is>
          <t>BOLLNÄS</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52695-2024</t>
        </is>
      </c>
      <c r="B2176" s="1" t="n">
        <v>45610.40315972222</v>
      </c>
      <c r="C2176" s="1" t="n">
        <v>46086</v>
      </c>
      <c r="D2176" t="inlineStr">
        <is>
          <t>GÄVLEBORGS LÄN</t>
        </is>
      </c>
      <c r="E2176" t="inlineStr">
        <is>
          <t>NORDANSTIG</t>
        </is>
      </c>
      <c r="F2176" t="inlineStr">
        <is>
          <t>Holmen skog AB</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59237-2024</t>
        </is>
      </c>
      <c r="B2177" s="1" t="n">
        <v>45637.58819444444</v>
      </c>
      <c r="C2177" s="1" t="n">
        <v>46086</v>
      </c>
      <c r="D2177" t="inlineStr">
        <is>
          <t>GÄVLEBORGS LÄN</t>
        </is>
      </c>
      <c r="E2177" t="inlineStr">
        <is>
          <t>BOLLNÄS</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47143-2024</t>
        </is>
      </c>
      <c r="B2178" s="1" t="n">
        <v>45586.58848379629</v>
      </c>
      <c r="C2178" s="1" t="n">
        <v>46086</v>
      </c>
      <c r="D2178" t="inlineStr">
        <is>
          <t>GÄVLEBORGS LÄN</t>
        </is>
      </c>
      <c r="E2178" t="inlineStr">
        <is>
          <t>GÄVLE</t>
        </is>
      </c>
      <c r="F2178" t="inlineStr">
        <is>
          <t>Bergvik skog öst AB</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59252-2024</t>
        </is>
      </c>
      <c r="B2179" s="1" t="n">
        <v>45637.59668981482</v>
      </c>
      <c r="C2179" s="1" t="n">
        <v>46086</v>
      </c>
      <c r="D2179" t="inlineStr">
        <is>
          <t>GÄVLEBORGS LÄN</t>
        </is>
      </c>
      <c r="E2179" t="inlineStr">
        <is>
          <t>LJUSDAL</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61258-2022</t>
        </is>
      </c>
      <c r="B2180" s="1" t="n">
        <v>44915</v>
      </c>
      <c r="C2180" s="1" t="n">
        <v>46086</v>
      </c>
      <c r="D2180" t="inlineStr">
        <is>
          <t>GÄVLEBORGS LÄN</t>
        </is>
      </c>
      <c r="E2180" t="inlineStr">
        <is>
          <t>HUDIKSVALL</t>
        </is>
      </c>
      <c r="G2180" t="n">
        <v>10.3</v>
      </c>
      <c r="H2180" t="n">
        <v>0</v>
      </c>
      <c r="I2180" t="n">
        <v>0</v>
      </c>
      <c r="J2180" t="n">
        <v>0</v>
      </c>
      <c r="K2180" t="n">
        <v>0</v>
      </c>
      <c r="L2180" t="n">
        <v>0</v>
      </c>
      <c r="M2180" t="n">
        <v>0</v>
      </c>
      <c r="N2180" t="n">
        <v>0</v>
      </c>
      <c r="O2180" t="n">
        <v>0</v>
      </c>
      <c r="P2180" t="n">
        <v>0</v>
      </c>
      <c r="Q2180" t="n">
        <v>0</v>
      </c>
      <c r="R2180" s="2" t="inlineStr"/>
    </row>
    <row r="2181" ht="15" customHeight="1">
      <c r="A2181" t="inlineStr">
        <is>
          <t>A 28296-2024</t>
        </is>
      </c>
      <c r="B2181" s="1" t="n">
        <v>45477.47487268518</v>
      </c>
      <c r="C2181" s="1" t="n">
        <v>46086</v>
      </c>
      <c r="D2181" t="inlineStr">
        <is>
          <t>GÄVLEBORGS LÄN</t>
        </is>
      </c>
      <c r="E2181" t="inlineStr">
        <is>
          <t>HUDIKSVALL</t>
        </is>
      </c>
      <c r="F2181" t="inlineStr">
        <is>
          <t>Holmen skog AB</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61399-2023</t>
        </is>
      </c>
      <c r="B2182" s="1" t="n">
        <v>45264</v>
      </c>
      <c r="C2182" s="1" t="n">
        <v>46086</v>
      </c>
      <c r="D2182" t="inlineStr">
        <is>
          <t>GÄVLEBORGS LÄN</t>
        </is>
      </c>
      <c r="E2182" t="inlineStr">
        <is>
          <t>BOLLNÄS</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40363-2023</t>
        </is>
      </c>
      <c r="B2183" s="1" t="n">
        <v>45169.66825231481</v>
      </c>
      <c r="C2183" s="1" t="n">
        <v>46086</v>
      </c>
      <c r="D2183" t="inlineStr">
        <is>
          <t>GÄVLEBORGS LÄN</t>
        </is>
      </c>
      <c r="E2183" t="inlineStr">
        <is>
          <t>SANDVIKEN</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50790-2024</t>
        </is>
      </c>
      <c r="B2184" s="1" t="n">
        <v>45602.47313657407</v>
      </c>
      <c r="C2184" s="1" t="n">
        <v>46086</v>
      </c>
      <c r="D2184" t="inlineStr">
        <is>
          <t>GÄVLEBORGS LÄN</t>
        </is>
      </c>
      <c r="E2184" t="inlineStr">
        <is>
          <t>HUDIKSVALL</t>
        </is>
      </c>
      <c r="F2184" t="inlineStr">
        <is>
          <t>Holmen skog AB</t>
        </is>
      </c>
      <c r="G2184" t="n">
        <v>13.9</v>
      </c>
      <c r="H2184" t="n">
        <v>0</v>
      </c>
      <c r="I2184" t="n">
        <v>0</v>
      </c>
      <c r="J2184" t="n">
        <v>0</v>
      </c>
      <c r="K2184" t="n">
        <v>0</v>
      </c>
      <c r="L2184" t="n">
        <v>0</v>
      </c>
      <c r="M2184" t="n">
        <v>0</v>
      </c>
      <c r="N2184" t="n">
        <v>0</v>
      </c>
      <c r="O2184" t="n">
        <v>0</v>
      </c>
      <c r="P2184" t="n">
        <v>0</v>
      </c>
      <c r="Q2184" t="n">
        <v>0</v>
      </c>
      <c r="R2184" s="2" t="inlineStr"/>
    </row>
    <row r="2185" ht="15" customHeight="1">
      <c r="A2185" t="inlineStr">
        <is>
          <t>A 45536-2023</t>
        </is>
      </c>
      <c r="B2185" s="1" t="n">
        <v>45194.5497800926</v>
      </c>
      <c r="C2185" s="1" t="n">
        <v>46086</v>
      </c>
      <c r="D2185" t="inlineStr">
        <is>
          <t>GÄVLEBORGS LÄN</t>
        </is>
      </c>
      <c r="E2185" t="inlineStr">
        <is>
          <t>LJUSDAL</t>
        </is>
      </c>
      <c r="G2185" t="n">
        <v>10.7</v>
      </c>
      <c r="H2185" t="n">
        <v>0</v>
      </c>
      <c r="I2185" t="n">
        <v>0</v>
      </c>
      <c r="J2185" t="n">
        <v>0</v>
      </c>
      <c r="K2185" t="n">
        <v>0</v>
      </c>
      <c r="L2185" t="n">
        <v>0</v>
      </c>
      <c r="M2185" t="n">
        <v>0</v>
      </c>
      <c r="N2185" t="n">
        <v>0</v>
      </c>
      <c r="O2185" t="n">
        <v>0</v>
      </c>
      <c r="P2185" t="n">
        <v>0</v>
      </c>
      <c r="Q2185" t="n">
        <v>0</v>
      </c>
      <c r="R2185" s="2" t="inlineStr"/>
    </row>
    <row r="2186" ht="15" customHeight="1">
      <c r="A2186" t="inlineStr">
        <is>
          <t>A 34370-2022</t>
        </is>
      </c>
      <c r="B2186" s="1" t="n">
        <v>44792</v>
      </c>
      <c r="C2186" s="1" t="n">
        <v>46086</v>
      </c>
      <c r="D2186" t="inlineStr">
        <is>
          <t>GÄVLEBORGS LÄN</t>
        </is>
      </c>
      <c r="E2186" t="inlineStr">
        <is>
          <t>HUDIKSVALL</t>
        </is>
      </c>
      <c r="F2186" t="inlineStr">
        <is>
          <t>Holmen skog AB</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35054-2022</t>
        </is>
      </c>
      <c r="B2187" s="1" t="n">
        <v>44797.3377662037</v>
      </c>
      <c r="C2187" s="1" t="n">
        <v>46086</v>
      </c>
      <c r="D2187" t="inlineStr">
        <is>
          <t>GÄVLEBORGS LÄN</t>
        </is>
      </c>
      <c r="E2187" t="inlineStr">
        <is>
          <t>OCKELBO</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71249-2021</t>
        </is>
      </c>
      <c r="B2188" s="1" t="n">
        <v>44539</v>
      </c>
      <c r="C2188" s="1" t="n">
        <v>46086</v>
      </c>
      <c r="D2188" t="inlineStr">
        <is>
          <t>GÄVLEBORGS LÄN</t>
        </is>
      </c>
      <c r="E2188" t="inlineStr">
        <is>
          <t>GÄVLE</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46459-2024</t>
        </is>
      </c>
      <c r="B2189" s="1" t="n">
        <v>45582.52916666667</v>
      </c>
      <c r="C2189" s="1" t="n">
        <v>46086</v>
      </c>
      <c r="D2189" t="inlineStr">
        <is>
          <t>GÄVLEBORGS LÄN</t>
        </is>
      </c>
      <c r="E2189" t="inlineStr">
        <is>
          <t>NORDANSTIG</t>
        </is>
      </c>
      <c r="F2189" t="inlineStr">
        <is>
          <t>Holmen skog AB</t>
        </is>
      </c>
      <c r="G2189" t="n">
        <v>5.5</v>
      </c>
      <c r="H2189" t="n">
        <v>0</v>
      </c>
      <c r="I2189" t="n">
        <v>0</v>
      </c>
      <c r="J2189" t="n">
        <v>0</v>
      </c>
      <c r="K2189" t="n">
        <v>0</v>
      </c>
      <c r="L2189" t="n">
        <v>0</v>
      </c>
      <c r="M2189" t="n">
        <v>0</v>
      </c>
      <c r="N2189" t="n">
        <v>0</v>
      </c>
      <c r="O2189" t="n">
        <v>0</v>
      </c>
      <c r="P2189" t="n">
        <v>0</v>
      </c>
      <c r="Q2189" t="n">
        <v>0</v>
      </c>
      <c r="R2189" s="2" t="inlineStr"/>
    </row>
    <row r="2190" ht="15" customHeight="1">
      <c r="A2190" t="inlineStr">
        <is>
          <t>A 7617-2025</t>
        </is>
      </c>
      <c r="B2190" s="1" t="n">
        <v>45705</v>
      </c>
      <c r="C2190" s="1" t="n">
        <v>46086</v>
      </c>
      <c r="D2190" t="inlineStr">
        <is>
          <t>GÄVLEBORGS LÄN</t>
        </is>
      </c>
      <c r="E2190" t="inlineStr">
        <is>
          <t>SANDVIKEN</t>
        </is>
      </c>
      <c r="G2190" t="n">
        <v>6.7</v>
      </c>
      <c r="H2190" t="n">
        <v>0</v>
      </c>
      <c r="I2190" t="n">
        <v>0</v>
      </c>
      <c r="J2190" t="n">
        <v>0</v>
      </c>
      <c r="K2190" t="n">
        <v>0</v>
      </c>
      <c r="L2190" t="n">
        <v>0</v>
      </c>
      <c r="M2190" t="n">
        <v>0</v>
      </c>
      <c r="N2190" t="n">
        <v>0</v>
      </c>
      <c r="O2190" t="n">
        <v>0</v>
      </c>
      <c r="P2190" t="n">
        <v>0</v>
      </c>
      <c r="Q2190" t="n">
        <v>0</v>
      </c>
      <c r="R2190" s="2" t="inlineStr"/>
    </row>
    <row r="2191" ht="15" customHeight="1">
      <c r="A2191" t="inlineStr">
        <is>
          <t>A 24372-2023</t>
        </is>
      </c>
      <c r="B2191" s="1" t="n">
        <v>45082</v>
      </c>
      <c r="C2191" s="1" t="n">
        <v>46086</v>
      </c>
      <c r="D2191" t="inlineStr">
        <is>
          <t>GÄVLEBORGS LÄN</t>
        </is>
      </c>
      <c r="E2191" t="inlineStr">
        <is>
          <t>HUDIKSVALL</t>
        </is>
      </c>
      <c r="G2191" t="n">
        <v>5.9</v>
      </c>
      <c r="H2191" t="n">
        <v>0</v>
      </c>
      <c r="I2191" t="n">
        <v>0</v>
      </c>
      <c r="J2191" t="n">
        <v>0</v>
      </c>
      <c r="K2191" t="n">
        <v>0</v>
      </c>
      <c r="L2191" t="n">
        <v>0</v>
      </c>
      <c r="M2191" t="n">
        <v>0</v>
      </c>
      <c r="N2191" t="n">
        <v>0</v>
      </c>
      <c r="O2191" t="n">
        <v>0</v>
      </c>
      <c r="P2191" t="n">
        <v>0</v>
      </c>
      <c r="Q2191" t="n">
        <v>0</v>
      </c>
      <c r="R2191" s="2" t="inlineStr"/>
    </row>
    <row r="2192" ht="15" customHeight="1">
      <c r="A2192" t="inlineStr">
        <is>
          <t>A 38295-2024</t>
        </is>
      </c>
      <c r="B2192" s="1" t="n">
        <v>45545.6265625</v>
      </c>
      <c r="C2192" s="1" t="n">
        <v>46086</v>
      </c>
      <c r="D2192" t="inlineStr">
        <is>
          <t>GÄVLEBORGS LÄN</t>
        </is>
      </c>
      <c r="E2192" t="inlineStr">
        <is>
          <t>HUDIKSVALL</t>
        </is>
      </c>
      <c r="F2192" t="inlineStr">
        <is>
          <t>Holmen skog AB</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11393-2023</t>
        </is>
      </c>
      <c r="B2193" s="1" t="n">
        <v>44988</v>
      </c>
      <c r="C2193" s="1" t="n">
        <v>46086</v>
      </c>
      <c r="D2193" t="inlineStr">
        <is>
          <t>GÄVLEBORGS LÄN</t>
        </is>
      </c>
      <c r="E2193" t="inlineStr">
        <is>
          <t>SANDVIKEN</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11432-2023</t>
        </is>
      </c>
      <c r="B2194" s="1" t="n">
        <v>44993</v>
      </c>
      <c r="C2194" s="1" t="n">
        <v>46086</v>
      </c>
      <c r="D2194" t="inlineStr">
        <is>
          <t>GÄVLEBORGS LÄN</t>
        </is>
      </c>
      <c r="E2194" t="inlineStr">
        <is>
          <t>HUDIKSVALL</t>
        </is>
      </c>
      <c r="G2194" t="n">
        <v>6.3</v>
      </c>
      <c r="H2194" t="n">
        <v>0</v>
      </c>
      <c r="I2194" t="n">
        <v>0</v>
      </c>
      <c r="J2194" t="n">
        <v>0</v>
      </c>
      <c r="K2194" t="n">
        <v>0</v>
      </c>
      <c r="L2194" t="n">
        <v>0</v>
      </c>
      <c r="M2194" t="n">
        <v>0</v>
      </c>
      <c r="N2194" t="n">
        <v>0</v>
      </c>
      <c r="O2194" t="n">
        <v>0</v>
      </c>
      <c r="P2194" t="n">
        <v>0</v>
      </c>
      <c r="Q2194" t="n">
        <v>0</v>
      </c>
      <c r="R2194" s="2" t="inlineStr"/>
    </row>
    <row r="2195" ht="15" customHeight="1">
      <c r="A2195" t="inlineStr">
        <is>
          <t>A 11436-2023</t>
        </is>
      </c>
      <c r="B2195" s="1" t="n">
        <v>44988</v>
      </c>
      <c r="C2195" s="1" t="n">
        <v>46086</v>
      </c>
      <c r="D2195" t="inlineStr">
        <is>
          <t>GÄVLEBORGS LÄN</t>
        </is>
      </c>
      <c r="E2195" t="inlineStr">
        <is>
          <t>SANDVIKEN</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51149-2023</t>
        </is>
      </c>
      <c r="B2196" s="1" t="n">
        <v>45212</v>
      </c>
      <c r="C2196" s="1" t="n">
        <v>46086</v>
      </c>
      <c r="D2196" t="inlineStr">
        <is>
          <t>GÄVLEBORGS LÄN</t>
        </is>
      </c>
      <c r="E2196" t="inlineStr">
        <is>
          <t>BOLLNÄS</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61420-2024</t>
        </is>
      </c>
      <c r="B2197" s="1" t="n">
        <v>45646.45043981481</v>
      </c>
      <c r="C2197" s="1" t="n">
        <v>46086</v>
      </c>
      <c r="D2197" t="inlineStr">
        <is>
          <t>GÄVLEBORGS LÄN</t>
        </is>
      </c>
      <c r="E2197" t="inlineStr">
        <is>
          <t>LJUSDAL</t>
        </is>
      </c>
      <c r="F2197" t="inlineStr">
        <is>
          <t>Sveaskog</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61427-2024</t>
        </is>
      </c>
      <c r="B2198" s="1" t="n">
        <v>45646.45481481482</v>
      </c>
      <c r="C2198" s="1" t="n">
        <v>46086</v>
      </c>
      <c r="D2198" t="inlineStr">
        <is>
          <t>GÄVLEBORGS LÄN</t>
        </is>
      </c>
      <c r="E2198" t="inlineStr">
        <is>
          <t>NORDANSTIG</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38110-2024</t>
        </is>
      </c>
      <c r="B2199" s="1" t="n">
        <v>45545</v>
      </c>
      <c r="C2199" s="1" t="n">
        <v>46086</v>
      </c>
      <c r="D2199" t="inlineStr">
        <is>
          <t>GÄVLEBORGS LÄN</t>
        </is>
      </c>
      <c r="E2199" t="inlineStr">
        <is>
          <t>SÖDERHAMN</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38111-2024</t>
        </is>
      </c>
      <c r="B2200" s="1" t="n">
        <v>45545.38399305556</v>
      </c>
      <c r="C2200" s="1" t="n">
        <v>46086</v>
      </c>
      <c r="D2200" t="inlineStr">
        <is>
          <t>GÄVLEBORGS LÄN</t>
        </is>
      </c>
      <c r="E2200" t="inlineStr">
        <is>
          <t>SÖDERHAMN</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43659-2023</t>
        </is>
      </c>
      <c r="B2201" s="1" t="n">
        <v>45187</v>
      </c>
      <c r="C2201" s="1" t="n">
        <v>46086</v>
      </c>
      <c r="D2201" t="inlineStr">
        <is>
          <t>GÄVLEBORGS LÄN</t>
        </is>
      </c>
      <c r="E2201" t="inlineStr">
        <is>
          <t>HUDIKSVALL</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58240-2021</t>
        </is>
      </c>
      <c r="B2202" s="1" t="n">
        <v>44487.88978009259</v>
      </c>
      <c r="C2202" s="1" t="n">
        <v>46086</v>
      </c>
      <c r="D2202" t="inlineStr">
        <is>
          <t>GÄVLEBORGS LÄN</t>
        </is>
      </c>
      <c r="E2202" t="inlineStr">
        <is>
          <t>HOFORS</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1532-2024</t>
        </is>
      </c>
      <c r="B2203" s="1" t="n">
        <v>45306</v>
      </c>
      <c r="C2203" s="1" t="n">
        <v>46086</v>
      </c>
      <c r="D2203" t="inlineStr">
        <is>
          <t>GÄVLEBORGS LÄN</t>
        </is>
      </c>
      <c r="E2203" t="inlineStr">
        <is>
          <t>NORDANSTIG</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61977-2022</t>
        </is>
      </c>
      <c r="B2204" s="1" t="n">
        <v>44918</v>
      </c>
      <c r="C2204" s="1" t="n">
        <v>46086</v>
      </c>
      <c r="D2204" t="inlineStr">
        <is>
          <t>GÄVLEBORGS LÄN</t>
        </is>
      </c>
      <c r="E2204" t="inlineStr">
        <is>
          <t>HUDIKSVALL</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20231-2024</t>
        </is>
      </c>
      <c r="B2205" s="1" t="n">
        <v>45434</v>
      </c>
      <c r="C2205" s="1" t="n">
        <v>46086</v>
      </c>
      <c r="D2205" t="inlineStr">
        <is>
          <t>GÄVLEBORGS LÄN</t>
        </is>
      </c>
      <c r="E2205" t="inlineStr">
        <is>
          <t>OCKELBO</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28460-2022</t>
        </is>
      </c>
      <c r="B2206" s="1" t="n">
        <v>44747</v>
      </c>
      <c r="C2206" s="1" t="n">
        <v>46086</v>
      </c>
      <c r="D2206" t="inlineStr">
        <is>
          <t>GÄVLEBORGS LÄN</t>
        </is>
      </c>
      <c r="E2206" t="inlineStr">
        <is>
          <t>LJUSDAL</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18096-2021</t>
        </is>
      </c>
      <c r="B2207" s="1" t="n">
        <v>44302.4797800926</v>
      </c>
      <c r="C2207" s="1" t="n">
        <v>46086</v>
      </c>
      <c r="D2207" t="inlineStr">
        <is>
          <t>GÄVLEBORGS LÄN</t>
        </is>
      </c>
      <c r="E2207" t="inlineStr">
        <is>
          <t>LJUSDAL</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30818-2024</t>
        </is>
      </c>
      <c r="B2208" s="1" t="n">
        <v>45497.46219907407</v>
      </c>
      <c r="C2208" s="1" t="n">
        <v>46086</v>
      </c>
      <c r="D2208" t="inlineStr">
        <is>
          <t>GÄVLEBORGS LÄN</t>
        </is>
      </c>
      <c r="E2208" t="inlineStr">
        <is>
          <t>LJUSDAL</t>
        </is>
      </c>
      <c r="F2208" t="inlineStr">
        <is>
          <t>Bergvik skog väst AB</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9859-2025</t>
        </is>
      </c>
      <c r="B2209" s="1" t="n">
        <v>45716.62736111111</v>
      </c>
      <c r="C2209" s="1" t="n">
        <v>46086</v>
      </c>
      <c r="D2209" t="inlineStr">
        <is>
          <t>GÄVLEBORGS LÄN</t>
        </is>
      </c>
      <c r="E2209" t="inlineStr">
        <is>
          <t>OCKELBO</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9286-2022</t>
        </is>
      </c>
      <c r="B2210" s="1" t="n">
        <v>44616.45451388889</v>
      </c>
      <c r="C2210" s="1" t="n">
        <v>46086</v>
      </c>
      <c r="D2210" t="inlineStr">
        <is>
          <t>GÄVLEBORGS LÄN</t>
        </is>
      </c>
      <c r="E2210" t="inlineStr">
        <is>
          <t>OVANÅKER</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27967-2022</t>
        </is>
      </c>
      <c r="B2211" s="1" t="n">
        <v>44744</v>
      </c>
      <c r="C2211" s="1" t="n">
        <v>46086</v>
      </c>
      <c r="D2211" t="inlineStr">
        <is>
          <t>GÄVLEBORGS LÄN</t>
        </is>
      </c>
      <c r="E2211" t="inlineStr">
        <is>
          <t>SANDVIKEN</t>
        </is>
      </c>
      <c r="G2211" t="n">
        <v>6.9</v>
      </c>
      <c r="H2211" t="n">
        <v>0</v>
      </c>
      <c r="I2211" t="n">
        <v>0</v>
      </c>
      <c r="J2211" t="n">
        <v>0</v>
      </c>
      <c r="K2211" t="n">
        <v>0</v>
      </c>
      <c r="L2211" t="n">
        <v>0</v>
      </c>
      <c r="M2211" t="n">
        <v>0</v>
      </c>
      <c r="N2211" t="n">
        <v>0</v>
      </c>
      <c r="O2211" t="n">
        <v>0</v>
      </c>
      <c r="P2211" t="n">
        <v>0</v>
      </c>
      <c r="Q2211" t="n">
        <v>0</v>
      </c>
      <c r="R2211" s="2" t="inlineStr"/>
    </row>
    <row r="2212" ht="15" customHeight="1">
      <c r="A2212" t="inlineStr">
        <is>
          <t>A 2911-2024</t>
        </is>
      </c>
      <c r="B2212" s="1" t="n">
        <v>45315</v>
      </c>
      <c r="C2212" s="1" t="n">
        <v>46086</v>
      </c>
      <c r="D2212" t="inlineStr">
        <is>
          <t>GÄVLEBORGS LÄN</t>
        </is>
      </c>
      <c r="E2212" t="inlineStr">
        <is>
          <t>OVANÅKER</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35181-2023</t>
        </is>
      </c>
      <c r="B2213" s="1" t="n">
        <v>45145.59108796297</v>
      </c>
      <c r="C2213" s="1" t="n">
        <v>46086</v>
      </c>
      <c r="D2213" t="inlineStr">
        <is>
          <t>GÄVLEBORGS LÄN</t>
        </is>
      </c>
      <c r="E2213" t="inlineStr">
        <is>
          <t>BOLLNÄS</t>
        </is>
      </c>
      <c r="F2213" t="inlineStr">
        <is>
          <t>Holmen skog AB</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44092-2024</t>
        </is>
      </c>
      <c r="B2214" s="1" t="n">
        <v>45572.62274305556</v>
      </c>
      <c r="C2214" s="1" t="n">
        <v>46086</v>
      </c>
      <c r="D2214" t="inlineStr">
        <is>
          <t>GÄVLEBORGS LÄN</t>
        </is>
      </c>
      <c r="E2214" t="inlineStr">
        <is>
          <t>LJUSDAL</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3404-2025</t>
        </is>
      </c>
      <c r="B2215" s="1" t="n">
        <v>45680.37916666667</v>
      </c>
      <c r="C2215" s="1" t="n">
        <v>46086</v>
      </c>
      <c r="D2215" t="inlineStr">
        <is>
          <t>GÄVLEBORGS LÄN</t>
        </is>
      </c>
      <c r="E2215" t="inlineStr">
        <is>
          <t>NORDANSTIG</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19424-2022</t>
        </is>
      </c>
      <c r="B2216" s="1" t="n">
        <v>44693</v>
      </c>
      <c r="C2216" s="1" t="n">
        <v>46086</v>
      </c>
      <c r="D2216" t="inlineStr">
        <is>
          <t>GÄVLEBORGS LÄN</t>
        </is>
      </c>
      <c r="E2216" t="inlineStr">
        <is>
          <t>GÄVLE</t>
        </is>
      </c>
      <c r="F2216" t="inlineStr">
        <is>
          <t>Bergvik skog väst AB</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16327-2023</t>
        </is>
      </c>
      <c r="B2217" s="1" t="n">
        <v>45028</v>
      </c>
      <c r="C2217" s="1" t="n">
        <v>46086</v>
      </c>
      <c r="D2217" t="inlineStr">
        <is>
          <t>GÄVLEBORGS LÄN</t>
        </is>
      </c>
      <c r="E2217" t="inlineStr">
        <is>
          <t>HUDIKSVALL</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53036-2024</t>
        </is>
      </c>
      <c r="B2218" s="1" t="n">
        <v>45611.43383101852</v>
      </c>
      <c r="C2218" s="1" t="n">
        <v>46086</v>
      </c>
      <c r="D2218" t="inlineStr">
        <is>
          <t>GÄVLEBORGS LÄN</t>
        </is>
      </c>
      <c r="E2218" t="inlineStr">
        <is>
          <t>BOLLNÄS</t>
        </is>
      </c>
      <c r="G2218" t="n">
        <v>6.1</v>
      </c>
      <c r="H2218" t="n">
        <v>0</v>
      </c>
      <c r="I2218" t="n">
        <v>0</v>
      </c>
      <c r="J2218" t="n">
        <v>0</v>
      </c>
      <c r="K2218" t="n">
        <v>0</v>
      </c>
      <c r="L2218" t="n">
        <v>0</v>
      </c>
      <c r="M2218" t="n">
        <v>0</v>
      </c>
      <c r="N2218" t="n">
        <v>0</v>
      </c>
      <c r="O2218" t="n">
        <v>0</v>
      </c>
      <c r="P2218" t="n">
        <v>0</v>
      </c>
      <c r="Q2218" t="n">
        <v>0</v>
      </c>
      <c r="R2218" s="2" t="inlineStr"/>
    </row>
    <row r="2219" ht="15" customHeight="1">
      <c r="A2219" t="inlineStr">
        <is>
          <t>A 40459-2024</t>
        </is>
      </c>
      <c r="B2219" s="1" t="n">
        <v>45555.50454861111</v>
      </c>
      <c r="C2219" s="1" t="n">
        <v>46086</v>
      </c>
      <c r="D2219" t="inlineStr">
        <is>
          <t>GÄVLEBORGS LÄN</t>
        </is>
      </c>
      <c r="E2219" t="inlineStr">
        <is>
          <t>BOLLNÄS</t>
        </is>
      </c>
      <c r="F2219" t="inlineStr">
        <is>
          <t>Bergvik skog väst AB</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40477-2024</t>
        </is>
      </c>
      <c r="B2220" s="1" t="n">
        <v>45555.54740740741</v>
      </c>
      <c r="C2220" s="1" t="n">
        <v>46086</v>
      </c>
      <c r="D2220" t="inlineStr">
        <is>
          <t>GÄVLEBORGS LÄN</t>
        </is>
      </c>
      <c r="E2220" t="inlineStr">
        <is>
          <t>NORDANSTIG</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40481-2024</t>
        </is>
      </c>
      <c r="B2221" s="1" t="n">
        <v>45555.55221064815</v>
      </c>
      <c r="C2221" s="1" t="n">
        <v>46086</v>
      </c>
      <c r="D2221" t="inlineStr">
        <is>
          <t>GÄVLEBORGS LÄN</t>
        </is>
      </c>
      <c r="E2221" t="inlineStr">
        <is>
          <t>BOLLNÄS</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9482-2025</t>
        </is>
      </c>
      <c r="B2222" s="1" t="n">
        <v>45715.48484953704</v>
      </c>
      <c r="C2222" s="1" t="n">
        <v>46086</v>
      </c>
      <c r="D2222" t="inlineStr">
        <is>
          <t>GÄVLEBORGS LÄN</t>
        </is>
      </c>
      <c r="E2222" t="inlineStr">
        <is>
          <t>HUDIKSVALL</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43730-2023</t>
        </is>
      </c>
      <c r="B2223" s="1" t="n">
        <v>45187</v>
      </c>
      <c r="C2223" s="1" t="n">
        <v>46086</v>
      </c>
      <c r="D2223" t="inlineStr">
        <is>
          <t>GÄVLEBORGS LÄN</t>
        </is>
      </c>
      <c r="E2223" t="inlineStr">
        <is>
          <t>HOFORS</t>
        </is>
      </c>
      <c r="F2223" t="inlineStr">
        <is>
          <t>Sveaskog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44020-2023</t>
        </is>
      </c>
      <c r="B2224" s="1" t="n">
        <v>45188</v>
      </c>
      <c r="C2224" s="1" t="n">
        <v>46086</v>
      </c>
      <c r="D2224" t="inlineStr">
        <is>
          <t>GÄVLEBORGS LÄN</t>
        </is>
      </c>
      <c r="E2224" t="inlineStr">
        <is>
          <t>LJUSDAL</t>
        </is>
      </c>
      <c r="F2224" t="inlineStr">
        <is>
          <t>Sveaskog</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28771-2023</t>
        </is>
      </c>
      <c r="B2225" s="1" t="n">
        <v>45104</v>
      </c>
      <c r="C2225" s="1" t="n">
        <v>46086</v>
      </c>
      <c r="D2225" t="inlineStr">
        <is>
          <t>GÄVLEBORGS LÄN</t>
        </is>
      </c>
      <c r="E2225" t="inlineStr">
        <is>
          <t>BOLLNÄS</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12129-2022</t>
        </is>
      </c>
      <c r="B2226" s="1" t="n">
        <v>44636.60628472222</v>
      </c>
      <c r="C2226" s="1" t="n">
        <v>46086</v>
      </c>
      <c r="D2226" t="inlineStr">
        <is>
          <t>GÄVLEBORGS LÄN</t>
        </is>
      </c>
      <c r="E2226" t="inlineStr">
        <is>
          <t>OVANÅKER</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32579-2024</t>
        </is>
      </c>
      <c r="B2227" s="1" t="n">
        <v>45513</v>
      </c>
      <c r="C2227" s="1" t="n">
        <v>46086</v>
      </c>
      <c r="D2227" t="inlineStr">
        <is>
          <t>GÄVLEBORGS LÄN</t>
        </is>
      </c>
      <c r="E2227" t="inlineStr">
        <is>
          <t>LJUSDAL</t>
        </is>
      </c>
      <c r="F2227" t="inlineStr">
        <is>
          <t>Sveaskog</t>
        </is>
      </c>
      <c r="G2227" t="n">
        <v>33.7</v>
      </c>
      <c r="H2227" t="n">
        <v>0</v>
      </c>
      <c r="I2227" t="n">
        <v>0</v>
      </c>
      <c r="J2227" t="n">
        <v>0</v>
      </c>
      <c r="K2227" t="n">
        <v>0</v>
      </c>
      <c r="L2227" t="n">
        <v>0</v>
      </c>
      <c r="M2227" t="n">
        <v>0</v>
      </c>
      <c r="N2227" t="n">
        <v>0</v>
      </c>
      <c r="O2227" t="n">
        <v>0</v>
      </c>
      <c r="P2227" t="n">
        <v>0</v>
      </c>
      <c r="Q2227" t="n">
        <v>0</v>
      </c>
      <c r="R2227" s="2" t="inlineStr"/>
    </row>
    <row r="2228" ht="15" customHeight="1">
      <c r="A2228" t="inlineStr">
        <is>
          <t>A 38755-2024</t>
        </is>
      </c>
      <c r="B2228" s="1" t="n">
        <v>45547</v>
      </c>
      <c r="C2228" s="1" t="n">
        <v>46086</v>
      </c>
      <c r="D2228" t="inlineStr">
        <is>
          <t>GÄVLEBORGS LÄN</t>
        </is>
      </c>
      <c r="E2228" t="inlineStr">
        <is>
          <t>HUDIKSVALL</t>
        </is>
      </c>
      <c r="F2228" t="inlineStr">
        <is>
          <t>Holmen skog AB</t>
        </is>
      </c>
      <c r="G2228" t="n">
        <v>6.4</v>
      </c>
      <c r="H2228" t="n">
        <v>0</v>
      </c>
      <c r="I2228" t="n">
        <v>0</v>
      </c>
      <c r="J2228" t="n">
        <v>0</v>
      </c>
      <c r="K2228" t="n">
        <v>0</v>
      </c>
      <c r="L2228" t="n">
        <v>0</v>
      </c>
      <c r="M2228" t="n">
        <v>0</v>
      </c>
      <c r="N2228" t="n">
        <v>0</v>
      </c>
      <c r="O2228" t="n">
        <v>0</v>
      </c>
      <c r="P2228" t="n">
        <v>0</v>
      </c>
      <c r="Q2228" t="n">
        <v>0</v>
      </c>
      <c r="R2228" s="2" t="inlineStr"/>
    </row>
    <row r="2229" ht="15" customHeight="1">
      <c r="A2229" t="inlineStr">
        <is>
          <t>A 16683-2024</t>
        </is>
      </c>
      <c r="B2229" s="1" t="n">
        <v>45408</v>
      </c>
      <c r="C2229" s="1" t="n">
        <v>46086</v>
      </c>
      <c r="D2229" t="inlineStr">
        <is>
          <t>GÄVLEBORGS LÄN</t>
        </is>
      </c>
      <c r="E2229" t="inlineStr">
        <is>
          <t>SANDVIKEN</t>
        </is>
      </c>
      <c r="F2229" t="inlineStr">
        <is>
          <t>Bergvik skog väst AB</t>
        </is>
      </c>
      <c r="G2229" t="n">
        <v>14.2</v>
      </c>
      <c r="H2229" t="n">
        <v>0</v>
      </c>
      <c r="I2229" t="n">
        <v>0</v>
      </c>
      <c r="J2229" t="n">
        <v>0</v>
      </c>
      <c r="K2229" t="n">
        <v>0</v>
      </c>
      <c r="L2229" t="n">
        <v>0</v>
      </c>
      <c r="M2229" t="n">
        <v>0</v>
      </c>
      <c r="N2229" t="n">
        <v>0</v>
      </c>
      <c r="O2229" t="n">
        <v>0</v>
      </c>
      <c r="P2229" t="n">
        <v>0</v>
      </c>
      <c r="Q2229" t="n">
        <v>0</v>
      </c>
      <c r="R2229" s="2" t="inlineStr"/>
    </row>
    <row r="2230" ht="15" customHeight="1">
      <c r="A2230" t="inlineStr">
        <is>
          <t>A 55330-2021</t>
        </is>
      </c>
      <c r="B2230" s="1" t="n">
        <v>44475</v>
      </c>
      <c r="C2230" s="1" t="n">
        <v>46086</v>
      </c>
      <c r="D2230" t="inlineStr">
        <is>
          <t>GÄVLEBORGS LÄN</t>
        </is>
      </c>
      <c r="E2230" t="inlineStr">
        <is>
          <t>HUDIKSVALL</t>
        </is>
      </c>
      <c r="G2230" t="n">
        <v>6</v>
      </c>
      <c r="H2230" t="n">
        <v>0</v>
      </c>
      <c r="I2230" t="n">
        <v>0</v>
      </c>
      <c r="J2230" t="n">
        <v>0</v>
      </c>
      <c r="K2230" t="n">
        <v>0</v>
      </c>
      <c r="L2230" t="n">
        <v>0</v>
      </c>
      <c r="M2230" t="n">
        <v>0</v>
      </c>
      <c r="N2230" t="n">
        <v>0</v>
      </c>
      <c r="O2230" t="n">
        <v>0</v>
      </c>
      <c r="P2230" t="n">
        <v>0</v>
      </c>
      <c r="Q2230" t="n">
        <v>0</v>
      </c>
      <c r="R2230" s="2" t="inlineStr"/>
    </row>
    <row r="2231" ht="15" customHeight="1">
      <c r="A2231" t="inlineStr">
        <is>
          <t>A 16137-2022</t>
        </is>
      </c>
      <c r="B2231" s="1" t="n">
        <v>44665</v>
      </c>
      <c r="C2231" s="1" t="n">
        <v>46086</v>
      </c>
      <c r="D2231" t="inlineStr">
        <is>
          <t>GÄVLEBORGS LÄN</t>
        </is>
      </c>
      <c r="E2231" t="inlineStr">
        <is>
          <t>SÖDERHAMN</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51138-2024</t>
        </is>
      </c>
      <c r="B2232" s="1" t="n">
        <v>45603.53780092593</v>
      </c>
      <c r="C2232" s="1" t="n">
        <v>46086</v>
      </c>
      <c r="D2232" t="inlineStr">
        <is>
          <t>GÄVLEBORGS LÄN</t>
        </is>
      </c>
      <c r="E2232" t="inlineStr">
        <is>
          <t>GÄVLE</t>
        </is>
      </c>
      <c r="F2232" t="inlineStr">
        <is>
          <t>Bergvik skog öst AB</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55371-2021</t>
        </is>
      </c>
      <c r="B2233" s="1" t="n">
        <v>44475.49870370371</v>
      </c>
      <c r="C2233" s="1" t="n">
        <v>46086</v>
      </c>
      <c r="D2233" t="inlineStr">
        <is>
          <t>GÄVLEBORGS LÄN</t>
        </is>
      </c>
      <c r="E2233" t="inlineStr">
        <is>
          <t>OVANÅKER</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17236-2021</t>
        </is>
      </c>
      <c r="B2234" s="1" t="n">
        <v>44298.51025462963</v>
      </c>
      <c r="C2234" s="1" t="n">
        <v>46086</v>
      </c>
      <c r="D2234" t="inlineStr">
        <is>
          <t>GÄVLEBORGS LÄN</t>
        </is>
      </c>
      <c r="E2234" t="inlineStr">
        <is>
          <t>BOLLNÄS</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55983-2024</t>
        </is>
      </c>
      <c r="B2235" s="1" t="n">
        <v>45623.66719907407</v>
      </c>
      <c r="C2235" s="1" t="n">
        <v>46086</v>
      </c>
      <c r="D2235" t="inlineStr">
        <is>
          <t>GÄVLEBORGS LÄN</t>
        </is>
      </c>
      <c r="E2235" t="inlineStr">
        <is>
          <t>LJUSDAL</t>
        </is>
      </c>
      <c r="F2235" t="inlineStr">
        <is>
          <t>Holmen skog AB</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2861-2023</t>
        </is>
      </c>
      <c r="B2236" s="1" t="n">
        <v>44945.41037037037</v>
      </c>
      <c r="C2236" s="1" t="n">
        <v>46086</v>
      </c>
      <c r="D2236" t="inlineStr">
        <is>
          <t>GÄVLEBORGS LÄN</t>
        </is>
      </c>
      <c r="E2236" t="inlineStr">
        <is>
          <t>NORDANSTIG</t>
        </is>
      </c>
      <c r="G2236" t="n">
        <v>5.2</v>
      </c>
      <c r="H2236" t="n">
        <v>0</v>
      </c>
      <c r="I2236" t="n">
        <v>0</v>
      </c>
      <c r="J2236" t="n">
        <v>0</v>
      </c>
      <c r="K2236" t="n">
        <v>0</v>
      </c>
      <c r="L2236" t="n">
        <v>0</v>
      </c>
      <c r="M2236" t="n">
        <v>0</v>
      </c>
      <c r="N2236" t="n">
        <v>0</v>
      </c>
      <c r="O2236" t="n">
        <v>0</v>
      </c>
      <c r="P2236" t="n">
        <v>0</v>
      </c>
      <c r="Q2236" t="n">
        <v>0</v>
      </c>
      <c r="R2236" s="2" t="inlineStr"/>
    </row>
    <row r="2237" ht="15" customHeight="1">
      <c r="A2237" t="inlineStr">
        <is>
          <t>A 17966-2025</t>
        </is>
      </c>
      <c r="B2237" s="1" t="n">
        <v>45761.34462962963</v>
      </c>
      <c r="C2237" s="1" t="n">
        <v>46086</v>
      </c>
      <c r="D2237" t="inlineStr">
        <is>
          <t>GÄVLEBORGS LÄN</t>
        </is>
      </c>
      <c r="E2237" t="inlineStr">
        <is>
          <t>BOLLNÄS</t>
        </is>
      </c>
      <c r="F2237" t="inlineStr">
        <is>
          <t>Bergvik skog väst AB</t>
        </is>
      </c>
      <c r="G2237" t="n">
        <v>9.5</v>
      </c>
      <c r="H2237" t="n">
        <v>0</v>
      </c>
      <c r="I2237" t="n">
        <v>0</v>
      </c>
      <c r="J2237" t="n">
        <v>0</v>
      </c>
      <c r="K2237" t="n">
        <v>0</v>
      </c>
      <c r="L2237" t="n">
        <v>0</v>
      </c>
      <c r="M2237" t="n">
        <v>0</v>
      </c>
      <c r="N2237" t="n">
        <v>0</v>
      </c>
      <c r="O2237" t="n">
        <v>0</v>
      </c>
      <c r="P2237" t="n">
        <v>0</v>
      </c>
      <c r="Q2237" t="n">
        <v>0</v>
      </c>
      <c r="R2237" s="2" t="inlineStr"/>
    </row>
    <row r="2238" ht="15" customHeight="1">
      <c r="A2238" t="inlineStr">
        <is>
          <t>A 10689-2025</t>
        </is>
      </c>
      <c r="B2238" s="1" t="n">
        <v>45722.29954861111</v>
      </c>
      <c r="C2238" s="1" t="n">
        <v>46086</v>
      </c>
      <c r="D2238" t="inlineStr">
        <is>
          <t>GÄVLEBORGS LÄN</t>
        </is>
      </c>
      <c r="E2238" t="inlineStr">
        <is>
          <t>OVANÅKER</t>
        </is>
      </c>
      <c r="F2238" t="inlineStr">
        <is>
          <t>Bergvik skog öst AB</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59000-2023</t>
        </is>
      </c>
      <c r="B2239" s="1" t="n">
        <v>45252.63642361111</v>
      </c>
      <c r="C2239" s="1" t="n">
        <v>46086</v>
      </c>
      <c r="D2239" t="inlineStr">
        <is>
          <t>GÄVLEBORGS LÄN</t>
        </is>
      </c>
      <c r="E2239" t="inlineStr">
        <is>
          <t>SÖDERHAMN</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16736-2025</t>
        </is>
      </c>
      <c r="B2240" s="1" t="n">
        <v>45754.54481481481</v>
      </c>
      <c r="C2240" s="1" t="n">
        <v>46086</v>
      </c>
      <c r="D2240" t="inlineStr">
        <is>
          <t>GÄVLEBORGS LÄN</t>
        </is>
      </c>
      <c r="E2240" t="inlineStr">
        <is>
          <t>HUDIKSVALL</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16909-2025</t>
        </is>
      </c>
      <c r="B2241" s="1" t="n">
        <v>45755.35984953704</v>
      </c>
      <c r="C2241" s="1" t="n">
        <v>46086</v>
      </c>
      <c r="D2241" t="inlineStr">
        <is>
          <t>GÄVLEBORGS LÄN</t>
        </is>
      </c>
      <c r="E2241" t="inlineStr">
        <is>
          <t>BOLLNÄS</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54807-2024</t>
        </is>
      </c>
      <c r="B2242" s="1" t="n">
        <v>45618.51423611111</v>
      </c>
      <c r="C2242" s="1" t="n">
        <v>46086</v>
      </c>
      <c r="D2242" t="inlineStr">
        <is>
          <t>GÄVLEBORGS LÄN</t>
        </is>
      </c>
      <c r="E2242" t="inlineStr">
        <is>
          <t>OCKELBO</t>
        </is>
      </c>
      <c r="G2242" t="n">
        <v>8</v>
      </c>
      <c r="H2242" t="n">
        <v>0</v>
      </c>
      <c r="I2242" t="n">
        <v>0</v>
      </c>
      <c r="J2242" t="n">
        <v>0</v>
      </c>
      <c r="K2242" t="n">
        <v>0</v>
      </c>
      <c r="L2242" t="n">
        <v>0</v>
      </c>
      <c r="M2242" t="n">
        <v>0</v>
      </c>
      <c r="N2242" t="n">
        <v>0</v>
      </c>
      <c r="O2242" t="n">
        <v>0</v>
      </c>
      <c r="P2242" t="n">
        <v>0</v>
      </c>
      <c r="Q2242" t="n">
        <v>0</v>
      </c>
      <c r="R2242" s="2" t="inlineStr"/>
    </row>
    <row r="2243" ht="15" customHeight="1">
      <c r="A2243" t="inlineStr">
        <is>
          <t>A 13471-2024</t>
        </is>
      </c>
      <c r="B2243" s="1" t="n">
        <v>45387.57859953704</v>
      </c>
      <c r="C2243" s="1" t="n">
        <v>46086</v>
      </c>
      <c r="D2243" t="inlineStr">
        <is>
          <t>GÄVLEBORGS LÄN</t>
        </is>
      </c>
      <c r="E2243" t="inlineStr">
        <is>
          <t>HOFORS</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14143-2025</t>
        </is>
      </c>
      <c r="B2244" s="1" t="n">
        <v>45740.48563657407</v>
      </c>
      <c r="C2244" s="1" t="n">
        <v>46086</v>
      </c>
      <c r="D2244" t="inlineStr">
        <is>
          <t>GÄVLEBORGS LÄN</t>
        </is>
      </c>
      <c r="E2244" t="inlineStr">
        <is>
          <t>SANDVIKEN</t>
        </is>
      </c>
      <c r="F2244" t="inlineStr">
        <is>
          <t>Bergvik skog öst AB</t>
        </is>
      </c>
      <c r="G2244" t="n">
        <v>4.4</v>
      </c>
      <c r="H2244" t="n">
        <v>0</v>
      </c>
      <c r="I2244" t="n">
        <v>0</v>
      </c>
      <c r="J2244" t="n">
        <v>0</v>
      </c>
      <c r="K2244" t="n">
        <v>0</v>
      </c>
      <c r="L2244" t="n">
        <v>0</v>
      </c>
      <c r="M2244" t="n">
        <v>0</v>
      </c>
      <c r="N2244" t="n">
        <v>0</v>
      </c>
      <c r="O2244" t="n">
        <v>0</v>
      </c>
      <c r="P2244" t="n">
        <v>0</v>
      </c>
      <c r="Q2244" t="n">
        <v>0</v>
      </c>
      <c r="R2244" s="2" t="inlineStr"/>
    </row>
    <row r="2245" ht="15" customHeight="1">
      <c r="A2245" t="inlineStr">
        <is>
          <t>A 14150-2025</t>
        </is>
      </c>
      <c r="B2245" s="1" t="n">
        <v>45740.49162037037</v>
      </c>
      <c r="C2245" s="1" t="n">
        <v>46086</v>
      </c>
      <c r="D2245" t="inlineStr">
        <is>
          <t>GÄVLEBORGS LÄN</t>
        </is>
      </c>
      <c r="E2245" t="inlineStr">
        <is>
          <t>GÄVLE</t>
        </is>
      </c>
      <c r="F2245" t="inlineStr">
        <is>
          <t>Bergvik skog öst AB</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14156-2025</t>
        </is>
      </c>
      <c r="B2246" s="1" t="n">
        <v>45740.49421296296</v>
      </c>
      <c r="C2246" s="1" t="n">
        <v>46086</v>
      </c>
      <c r="D2246" t="inlineStr">
        <is>
          <t>GÄVLEBORGS LÄN</t>
        </is>
      </c>
      <c r="E2246" t="inlineStr">
        <is>
          <t>GÄVLE</t>
        </is>
      </c>
      <c r="F2246" t="inlineStr">
        <is>
          <t>Bergvik skog öst AB</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57689-2022</t>
        </is>
      </c>
      <c r="B2247" s="1" t="n">
        <v>44897</v>
      </c>
      <c r="C2247" s="1" t="n">
        <v>46086</v>
      </c>
      <c r="D2247" t="inlineStr">
        <is>
          <t>GÄVLEBORGS LÄN</t>
        </is>
      </c>
      <c r="E2247" t="inlineStr">
        <is>
          <t>BOLLNÄS</t>
        </is>
      </c>
      <c r="G2247" t="n">
        <v>6.7</v>
      </c>
      <c r="H2247" t="n">
        <v>0</v>
      </c>
      <c r="I2247" t="n">
        <v>0</v>
      </c>
      <c r="J2247" t="n">
        <v>0</v>
      </c>
      <c r="K2247" t="n">
        <v>0</v>
      </c>
      <c r="L2247" t="n">
        <v>0</v>
      </c>
      <c r="M2247" t="n">
        <v>0</v>
      </c>
      <c r="N2247" t="n">
        <v>0</v>
      </c>
      <c r="O2247" t="n">
        <v>0</v>
      </c>
      <c r="P2247" t="n">
        <v>0</v>
      </c>
      <c r="Q2247" t="n">
        <v>0</v>
      </c>
      <c r="R2247" s="2" t="inlineStr"/>
    </row>
    <row r="2248" ht="15" customHeight="1">
      <c r="A2248" t="inlineStr">
        <is>
          <t>A 53796-2023</t>
        </is>
      </c>
      <c r="B2248" s="1" t="n">
        <v>45231.35012731481</v>
      </c>
      <c r="C2248" s="1" t="n">
        <v>46086</v>
      </c>
      <c r="D2248" t="inlineStr">
        <is>
          <t>GÄVLEBORGS LÄN</t>
        </is>
      </c>
      <c r="E2248" t="inlineStr">
        <is>
          <t>HUDIKSVALL</t>
        </is>
      </c>
      <c r="G2248" t="n">
        <v>17.6</v>
      </c>
      <c r="H2248" t="n">
        <v>0</v>
      </c>
      <c r="I2248" t="n">
        <v>0</v>
      </c>
      <c r="J2248" t="n">
        <v>0</v>
      </c>
      <c r="K2248" t="n">
        <v>0</v>
      </c>
      <c r="L2248" t="n">
        <v>0</v>
      </c>
      <c r="M2248" t="n">
        <v>0</v>
      </c>
      <c r="N2248" t="n">
        <v>0</v>
      </c>
      <c r="O2248" t="n">
        <v>0</v>
      </c>
      <c r="P2248" t="n">
        <v>0</v>
      </c>
      <c r="Q2248" t="n">
        <v>0</v>
      </c>
      <c r="R2248" s="2" t="inlineStr"/>
    </row>
    <row r="2249" ht="15" customHeight="1">
      <c r="A2249" t="inlineStr">
        <is>
          <t>A 53821-2023</t>
        </is>
      </c>
      <c r="B2249" s="1" t="n">
        <v>45231.40760416666</v>
      </c>
      <c r="C2249" s="1" t="n">
        <v>46086</v>
      </c>
      <c r="D2249" t="inlineStr">
        <is>
          <t>GÄVLEBORGS LÄN</t>
        </is>
      </c>
      <c r="E2249" t="inlineStr">
        <is>
          <t>OVANÅKER</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10150-2023</t>
        </is>
      </c>
      <c r="B2250" s="1" t="n">
        <v>44986</v>
      </c>
      <c r="C2250" s="1" t="n">
        <v>46086</v>
      </c>
      <c r="D2250" t="inlineStr">
        <is>
          <t>GÄVLEBORGS LÄN</t>
        </is>
      </c>
      <c r="E2250" t="inlineStr">
        <is>
          <t>OCKELBO</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19909-2023</t>
        </is>
      </c>
      <c r="B2251" s="1" t="n">
        <v>45054.4237037037</v>
      </c>
      <c r="C2251" s="1" t="n">
        <v>46086</v>
      </c>
      <c r="D2251" t="inlineStr">
        <is>
          <t>GÄVLEBORGS LÄN</t>
        </is>
      </c>
      <c r="E2251" t="inlineStr">
        <is>
          <t>OCKELBO</t>
        </is>
      </c>
      <c r="F2251" t="inlineStr">
        <is>
          <t>Bergvik skog väst AB</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19919-2023</t>
        </is>
      </c>
      <c r="B2252" s="1" t="n">
        <v>45054.44943287037</v>
      </c>
      <c r="C2252" s="1" t="n">
        <v>46086</v>
      </c>
      <c r="D2252" t="inlineStr">
        <is>
          <t>GÄVLEBORGS LÄN</t>
        </is>
      </c>
      <c r="E2252" t="inlineStr">
        <is>
          <t>OCKELBO</t>
        </is>
      </c>
      <c r="F2252" t="inlineStr">
        <is>
          <t>Bergvik skog väst AB</t>
        </is>
      </c>
      <c r="G2252" t="n">
        <v>8</v>
      </c>
      <c r="H2252" t="n">
        <v>0</v>
      </c>
      <c r="I2252" t="n">
        <v>0</v>
      </c>
      <c r="J2252" t="n">
        <v>0</v>
      </c>
      <c r="K2252" t="n">
        <v>0</v>
      </c>
      <c r="L2252" t="n">
        <v>0</v>
      </c>
      <c r="M2252" t="n">
        <v>0</v>
      </c>
      <c r="N2252" t="n">
        <v>0</v>
      </c>
      <c r="O2252" t="n">
        <v>0</v>
      </c>
      <c r="P2252" t="n">
        <v>0</v>
      </c>
      <c r="Q2252" t="n">
        <v>0</v>
      </c>
      <c r="R2252" s="2" t="inlineStr"/>
    </row>
    <row r="2253" ht="15" customHeight="1">
      <c r="A2253" t="inlineStr">
        <is>
          <t>A 24742-2024</t>
        </is>
      </c>
      <c r="B2253" s="1" t="n">
        <v>45460.66289351852</v>
      </c>
      <c r="C2253" s="1" t="n">
        <v>46086</v>
      </c>
      <c r="D2253" t="inlineStr">
        <is>
          <t>GÄVLEBORGS LÄN</t>
        </is>
      </c>
      <c r="E2253" t="inlineStr">
        <is>
          <t>BOLLNÄS</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35073-2023</t>
        </is>
      </c>
      <c r="B2254" s="1" t="n">
        <v>45145.42378472222</v>
      </c>
      <c r="C2254" s="1" t="n">
        <v>46086</v>
      </c>
      <c r="D2254" t="inlineStr">
        <is>
          <t>GÄVLEBORGS LÄN</t>
        </is>
      </c>
      <c r="E2254" t="inlineStr">
        <is>
          <t>BOLLNÄS</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50871-2022</t>
        </is>
      </c>
      <c r="B2255" s="1" t="n">
        <v>44867</v>
      </c>
      <c r="C2255" s="1" t="n">
        <v>46086</v>
      </c>
      <c r="D2255" t="inlineStr">
        <is>
          <t>GÄVLEBORGS LÄN</t>
        </is>
      </c>
      <c r="E2255" t="inlineStr">
        <is>
          <t>GÄVLE</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11286-2022</t>
        </is>
      </c>
      <c r="B2256" s="1" t="n">
        <v>44629.92833333334</v>
      </c>
      <c r="C2256" s="1" t="n">
        <v>46086</v>
      </c>
      <c r="D2256" t="inlineStr">
        <is>
          <t>GÄVLEBORGS LÄN</t>
        </is>
      </c>
      <c r="E2256" t="inlineStr">
        <is>
          <t>LJUSDAL</t>
        </is>
      </c>
      <c r="G2256" t="n">
        <v>11.5</v>
      </c>
      <c r="H2256" t="n">
        <v>0</v>
      </c>
      <c r="I2256" t="n">
        <v>0</v>
      </c>
      <c r="J2256" t="n">
        <v>0</v>
      </c>
      <c r="K2256" t="n">
        <v>0</v>
      </c>
      <c r="L2256" t="n">
        <v>0</v>
      </c>
      <c r="M2256" t="n">
        <v>0</v>
      </c>
      <c r="N2256" t="n">
        <v>0</v>
      </c>
      <c r="O2256" t="n">
        <v>0</v>
      </c>
      <c r="P2256" t="n">
        <v>0</v>
      </c>
      <c r="Q2256" t="n">
        <v>0</v>
      </c>
      <c r="R2256" s="2" t="inlineStr"/>
    </row>
    <row r="2257" ht="15" customHeight="1">
      <c r="A2257" t="inlineStr">
        <is>
          <t>A 49703-2023</t>
        </is>
      </c>
      <c r="B2257" s="1" t="n">
        <v>45212</v>
      </c>
      <c r="C2257" s="1" t="n">
        <v>46086</v>
      </c>
      <c r="D2257" t="inlineStr">
        <is>
          <t>GÄVLEBORGS LÄN</t>
        </is>
      </c>
      <c r="E2257" t="inlineStr">
        <is>
          <t>SÖDERHAMN</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32149-2024</t>
        </is>
      </c>
      <c r="B2258" s="1" t="n">
        <v>45511</v>
      </c>
      <c r="C2258" s="1" t="n">
        <v>46086</v>
      </c>
      <c r="D2258" t="inlineStr">
        <is>
          <t>GÄVLEBORGS LÄN</t>
        </is>
      </c>
      <c r="E2258" t="inlineStr">
        <is>
          <t>NORDANSTIG</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2370-2023</t>
        </is>
      </c>
      <c r="B2259" s="1" t="n">
        <v>44942</v>
      </c>
      <c r="C2259" s="1" t="n">
        <v>46086</v>
      </c>
      <c r="D2259" t="inlineStr">
        <is>
          <t>GÄVLEBORGS LÄN</t>
        </is>
      </c>
      <c r="E2259" t="inlineStr">
        <is>
          <t>LJUSDAL</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20025-2025</t>
        </is>
      </c>
      <c r="B2260" s="1" t="n">
        <v>45772.34452546296</v>
      </c>
      <c r="C2260" s="1" t="n">
        <v>46086</v>
      </c>
      <c r="D2260" t="inlineStr">
        <is>
          <t>GÄVLEBORGS LÄN</t>
        </is>
      </c>
      <c r="E2260" t="inlineStr">
        <is>
          <t>LJUSDAL</t>
        </is>
      </c>
      <c r="F2260" t="inlineStr">
        <is>
          <t>SCA</t>
        </is>
      </c>
      <c r="G2260" t="n">
        <v>11.5</v>
      </c>
      <c r="H2260" t="n">
        <v>0</v>
      </c>
      <c r="I2260" t="n">
        <v>0</v>
      </c>
      <c r="J2260" t="n">
        <v>0</v>
      </c>
      <c r="K2260" t="n">
        <v>0</v>
      </c>
      <c r="L2260" t="n">
        <v>0</v>
      </c>
      <c r="M2260" t="n">
        <v>0</v>
      </c>
      <c r="N2260" t="n">
        <v>0</v>
      </c>
      <c r="O2260" t="n">
        <v>0</v>
      </c>
      <c r="P2260" t="n">
        <v>0</v>
      </c>
      <c r="Q2260" t="n">
        <v>0</v>
      </c>
      <c r="R2260" s="2" t="inlineStr"/>
    </row>
    <row r="2261" ht="15" customHeight="1">
      <c r="A2261" t="inlineStr">
        <is>
          <t>A 16968-2023</t>
        </is>
      </c>
      <c r="B2261" s="1" t="n">
        <v>45033</v>
      </c>
      <c r="C2261" s="1" t="n">
        <v>46086</v>
      </c>
      <c r="D2261" t="inlineStr">
        <is>
          <t>GÄVLEBORGS LÄN</t>
        </is>
      </c>
      <c r="E2261" t="inlineStr">
        <is>
          <t>OVANÅKER</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20200-2023</t>
        </is>
      </c>
      <c r="B2262" s="1" t="n">
        <v>45055</v>
      </c>
      <c r="C2262" s="1" t="n">
        <v>46086</v>
      </c>
      <c r="D2262" t="inlineStr">
        <is>
          <t>GÄVLEBORGS LÄN</t>
        </is>
      </c>
      <c r="E2262" t="inlineStr">
        <is>
          <t>HUDIKSVALL</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9935-2022</t>
        </is>
      </c>
      <c r="B2263" s="1" t="n">
        <v>44620.92258101852</v>
      </c>
      <c r="C2263" s="1" t="n">
        <v>46086</v>
      </c>
      <c r="D2263" t="inlineStr">
        <is>
          <t>GÄVLEBORGS LÄN</t>
        </is>
      </c>
      <c r="E2263" t="inlineStr">
        <is>
          <t>LJUSDAL</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19327-2025</t>
        </is>
      </c>
      <c r="B2264" s="1" t="n">
        <v>45769.58416666667</v>
      </c>
      <c r="C2264" s="1" t="n">
        <v>46086</v>
      </c>
      <c r="D2264" t="inlineStr">
        <is>
          <t>GÄVLEBORGS LÄN</t>
        </is>
      </c>
      <c r="E2264" t="inlineStr">
        <is>
          <t>GÄVLE</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47524-2024</t>
        </is>
      </c>
      <c r="B2265" s="1" t="n">
        <v>45587.63166666667</v>
      </c>
      <c r="C2265" s="1" t="n">
        <v>46086</v>
      </c>
      <c r="D2265" t="inlineStr">
        <is>
          <t>GÄVLEBORGS LÄN</t>
        </is>
      </c>
      <c r="E2265" t="inlineStr">
        <is>
          <t>HOFORS</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24994-2024</t>
        </is>
      </c>
      <c r="B2266" s="1" t="n">
        <v>45461</v>
      </c>
      <c r="C2266" s="1" t="n">
        <v>46086</v>
      </c>
      <c r="D2266" t="inlineStr">
        <is>
          <t>GÄVLEBORGS LÄN</t>
        </is>
      </c>
      <c r="E2266" t="inlineStr">
        <is>
          <t>BOLLNÄS</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56209-2023</t>
        </is>
      </c>
      <c r="B2267" s="1" t="n">
        <v>45240</v>
      </c>
      <c r="C2267" s="1" t="n">
        <v>46086</v>
      </c>
      <c r="D2267" t="inlineStr">
        <is>
          <t>GÄVLEBORGS LÄN</t>
        </is>
      </c>
      <c r="E2267" t="inlineStr">
        <is>
          <t>BOLLNÄS</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55445-2024</t>
        </is>
      </c>
      <c r="B2268" s="1" t="n">
        <v>45622.41517361111</v>
      </c>
      <c r="C2268" s="1" t="n">
        <v>46086</v>
      </c>
      <c r="D2268" t="inlineStr">
        <is>
          <t>GÄVLEBORGS LÄN</t>
        </is>
      </c>
      <c r="E2268" t="inlineStr">
        <is>
          <t>HUDIKSVALL</t>
        </is>
      </c>
      <c r="G2268" t="n">
        <v>7.2</v>
      </c>
      <c r="H2268" t="n">
        <v>0</v>
      </c>
      <c r="I2268" t="n">
        <v>0</v>
      </c>
      <c r="J2268" t="n">
        <v>0</v>
      </c>
      <c r="K2268" t="n">
        <v>0</v>
      </c>
      <c r="L2268" t="n">
        <v>0</v>
      </c>
      <c r="M2268" t="n">
        <v>0</v>
      </c>
      <c r="N2268" t="n">
        <v>0</v>
      </c>
      <c r="O2268" t="n">
        <v>0</v>
      </c>
      <c r="P2268" t="n">
        <v>0</v>
      </c>
      <c r="Q2268" t="n">
        <v>0</v>
      </c>
      <c r="R2268" s="2" t="inlineStr"/>
    </row>
    <row r="2269" ht="15" customHeight="1">
      <c r="A2269" t="inlineStr">
        <is>
          <t>A 56615-2024</t>
        </is>
      </c>
      <c r="B2269" s="1" t="n">
        <v>45625.65038194445</v>
      </c>
      <c r="C2269" s="1" t="n">
        <v>46086</v>
      </c>
      <c r="D2269" t="inlineStr">
        <is>
          <t>GÄVLEBORGS LÄN</t>
        </is>
      </c>
      <c r="E2269" t="inlineStr">
        <is>
          <t>OCKELBO</t>
        </is>
      </c>
      <c r="F2269" t="inlineStr">
        <is>
          <t>Bergvik skog öst AB</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58370-2024</t>
        </is>
      </c>
      <c r="B2270" s="1" t="n">
        <v>45632</v>
      </c>
      <c r="C2270" s="1" t="n">
        <v>46086</v>
      </c>
      <c r="D2270" t="inlineStr">
        <is>
          <t>GÄVLEBORGS LÄN</t>
        </is>
      </c>
      <c r="E2270" t="inlineStr">
        <is>
          <t>GÄVLE</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33617-2023</t>
        </is>
      </c>
      <c r="B2271" s="1" t="n">
        <v>45132.37506944445</v>
      </c>
      <c r="C2271" s="1" t="n">
        <v>46086</v>
      </c>
      <c r="D2271" t="inlineStr">
        <is>
          <t>GÄVLEBORGS LÄN</t>
        </is>
      </c>
      <c r="E2271" t="inlineStr">
        <is>
          <t>OCKELBO</t>
        </is>
      </c>
      <c r="F2271" t="inlineStr">
        <is>
          <t>Bergvik skog väst AB</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11668-2024</t>
        </is>
      </c>
      <c r="B2272" s="1" t="n">
        <v>45373.56177083333</v>
      </c>
      <c r="C2272" s="1" t="n">
        <v>46086</v>
      </c>
      <c r="D2272" t="inlineStr">
        <is>
          <t>GÄVLEBORGS LÄN</t>
        </is>
      </c>
      <c r="E2272" t="inlineStr">
        <is>
          <t>HUDIKSVALL</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35683-2023</t>
        </is>
      </c>
      <c r="B2273" s="1" t="n">
        <v>45147</v>
      </c>
      <c r="C2273" s="1" t="n">
        <v>46086</v>
      </c>
      <c r="D2273" t="inlineStr">
        <is>
          <t>GÄVLEBORGS LÄN</t>
        </is>
      </c>
      <c r="E2273" t="inlineStr">
        <is>
          <t>LJUSDAL</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27027-2025</t>
        </is>
      </c>
      <c r="B2274" s="1" t="n">
        <v>45811.58193287037</v>
      </c>
      <c r="C2274" s="1" t="n">
        <v>46086</v>
      </c>
      <c r="D2274" t="inlineStr">
        <is>
          <t>GÄVLEBORGS LÄN</t>
        </is>
      </c>
      <c r="E2274" t="inlineStr">
        <is>
          <t>LJUSDAL</t>
        </is>
      </c>
      <c r="F2274" t="inlineStr">
        <is>
          <t>Holmen skog AB</t>
        </is>
      </c>
      <c r="G2274" t="n">
        <v>27.2</v>
      </c>
      <c r="H2274" t="n">
        <v>0</v>
      </c>
      <c r="I2274" t="n">
        <v>0</v>
      </c>
      <c r="J2274" t="n">
        <v>0</v>
      </c>
      <c r="K2274" t="n">
        <v>0</v>
      </c>
      <c r="L2274" t="n">
        <v>0</v>
      </c>
      <c r="M2274" t="n">
        <v>0</v>
      </c>
      <c r="N2274" t="n">
        <v>0</v>
      </c>
      <c r="O2274" t="n">
        <v>0</v>
      </c>
      <c r="P2274" t="n">
        <v>0</v>
      </c>
      <c r="Q2274" t="n">
        <v>0</v>
      </c>
      <c r="R2274" s="2" t="inlineStr"/>
    </row>
    <row r="2275" ht="15" customHeight="1">
      <c r="A2275" t="inlineStr">
        <is>
          <t>A 26753-2025</t>
        </is>
      </c>
      <c r="B2275" s="1" t="n">
        <v>45810.55490740741</v>
      </c>
      <c r="C2275" s="1" t="n">
        <v>46086</v>
      </c>
      <c r="D2275" t="inlineStr">
        <is>
          <t>GÄVLEBORGS LÄN</t>
        </is>
      </c>
      <c r="E2275" t="inlineStr">
        <is>
          <t>HOFORS</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27086-2025</t>
        </is>
      </c>
      <c r="B2276" s="1" t="n">
        <v>45811.66273148148</v>
      </c>
      <c r="C2276" s="1" t="n">
        <v>46086</v>
      </c>
      <c r="D2276" t="inlineStr">
        <is>
          <t>GÄVLEBORGS LÄN</t>
        </is>
      </c>
      <c r="E2276" t="inlineStr">
        <is>
          <t>LJUSDAL</t>
        </is>
      </c>
      <c r="F2276" t="inlineStr">
        <is>
          <t>Holmen skog AB</t>
        </is>
      </c>
      <c r="G2276" t="n">
        <v>8.9</v>
      </c>
      <c r="H2276" t="n">
        <v>0</v>
      </c>
      <c r="I2276" t="n">
        <v>0</v>
      </c>
      <c r="J2276" t="n">
        <v>0</v>
      </c>
      <c r="K2276" t="n">
        <v>0</v>
      </c>
      <c r="L2276" t="n">
        <v>0</v>
      </c>
      <c r="M2276" t="n">
        <v>0</v>
      </c>
      <c r="N2276" t="n">
        <v>0</v>
      </c>
      <c r="O2276" t="n">
        <v>0</v>
      </c>
      <c r="P2276" t="n">
        <v>0</v>
      </c>
      <c r="Q2276" t="n">
        <v>0</v>
      </c>
      <c r="R2276" s="2" t="inlineStr"/>
    </row>
    <row r="2277" ht="15" customHeight="1">
      <c r="A2277" t="inlineStr">
        <is>
          <t>A 11385-2025</t>
        </is>
      </c>
      <c r="B2277" s="1" t="n">
        <v>45726.56340277778</v>
      </c>
      <c r="C2277" s="1" t="n">
        <v>46086</v>
      </c>
      <c r="D2277" t="inlineStr">
        <is>
          <t>GÄVLEBORGS LÄN</t>
        </is>
      </c>
      <c r="E2277" t="inlineStr">
        <is>
          <t>OCKELBO</t>
        </is>
      </c>
      <c r="G2277" t="n">
        <v>4.9</v>
      </c>
      <c r="H2277" t="n">
        <v>0</v>
      </c>
      <c r="I2277" t="n">
        <v>0</v>
      </c>
      <c r="J2277" t="n">
        <v>0</v>
      </c>
      <c r="K2277" t="n">
        <v>0</v>
      </c>
      <c r="L2277" t="n">
        <v>0</v>
      </c>
      <c r="M2277" t="n">
        <v>0</v>
      </c>
      <c r="N2277" t="n">
        <v>0</v>
      </c>
      <c r="O2277" t="n">
        <v>0</v>
      </c>
      <c r="P2277" t="n">
        <v>0</v>
      </c>
      <c r="Q2277" t="n">
        <v>0</v>
      </c>
      <c r="R2277" s="2" t="inlineStr"/>
    </row>
    <row r="2278" ht="15" customHeight="1">
      <c r="A2278" t="inlineStr">
        <is>
          <t>A 24040-2025</t>
        </is>
      </c>
      <c r="B2278" s="1" t="n">
        <v>45796.48783564815</v>
      </c>
      <c r="C2278" s="1" t="n">
        <v>46086</v>
      </c>
      <c r="D2278" t="inlineStr">
        <is>
          <t>GÄVLEBORGS LÄN</t>
        </is>
      </c>
      <c r="E2278" t="inlineStr">
        <is>
          <t>HUDIKSVALL</t>
        </is>
      </c>
      <c r="F2278" t="inlineStr">
        <is>
          <t>Holmen skog AB</t>
        </is>
      </c>
      <c r="G2278" t="n">
        <v>16.3</v>
      </c>
      <c r="H2278" t="n">
        <v>0</v>
      </c>
      <c r="I2278" t="n">
        <v>0</v>
      </c>
      <c r="J2278" t="n">
        <v>0</v>
      </c>
      <c r="K2278" t="n">
        <v>0</v>
      </c>
      <c r="L2278" t="n">
        <v>0</v>
      </c>
      <c r="M2278" t="n">
        <v>0</v>
      </c>
      <c r="N2278" t="n">
        <v>0</v>
      </c>
      <c r="O2278" t="n">
        <v>0</v>
      </c>
      <c r="P2278" t="n">
        <v>0</v>
      </c>
      <c r="Q2278" t="n">
        <v>0</v>
      </c>
      <c r="R2278" s="2" t="inlineStr"/>
    </row>
    <row r="2279" ht="15" customHeight="1">
      <c r="A2279" t="inlineStr">
        <is>
          <t>A 59823-2024</t>
        </is>
      </c>
      <c r="B2279" s="1" t="n">
        <v>45639.63806712963</v>
      </c>
      <c r="C2279" s="1" t="n">
        <v>46086</v>
      </c>
      <c r="D2279" t="inlineStr">
        <is>
          <t>GÄVLEBORGS LÄN</t>
        </is>
      </c>
      <c r="E2279" t="inlineStr">
        <is>
          <t>HUDIKSVALL</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10074-2022</t>
        </is>
      </c>
      <c r="B2280" s="1" t="n">
        <v>44621</v>
      </c>
      <c r="C2280" s="1" t="n">
        <v>46086</v>
      </c>
      <c r="D2280" t="inlineStr">
        <is>
          <t>GÄVLEBORGS LÄN</t>
        </is>
      </c>
      <c r="E2280" t="inlineStr">
        <is>
          <t>LJUSDAL</t>
        </is>
      </c>
      <c r="F2280" t="inlineStr">
        <is>
          <t>Kommuner</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38428-2023</t>
        </is>
      </c>
      <c r="B2281" s="1" t="n">
        <v>45162</v>
      </c>
      <c r="C2281" s="1" t="n">
        <v>46086</v>
      </c>
      <c r="D2281" t="inlineStr">
        <is>
          <t>GÄVLEBORGS LÄN</t>
        </is>
      </c>
      <c r="E2281" t="inlineStr">
        <is>
          <t>SANDVIKEN</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38431-2023</t>
        </is>
      </c>
      <c r="B2282" s="1" t="n">
        <v>45162</v>
      </c>
      <c r="C2282" s="1" t="n">
        <v>46086</v>
      </c>
      <c r="D2282" t="inlineStr">
        <is>
          <t>GÄVLEBORGS LÄN</t>
        </is>
      </c>
      <c r="E2282" t="inlineStr">
        <is>
          <t>SANDVIKEN</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38449-2023</t>
        </is>
      </c>
      <c r="B2283" s="1" t="n">
        <v>45162</v>
      </c>
      <c r="C2283" s="1" t="n">
        <v>46086</v>
      </c>
      <c r="D2283" t="inlineStr">
        <is>
          <t>GÄVLEBORGS LÄN</t>
        </is>
      </c>
      <c r="E2283" t="inlineStr">
        <is>
          <t>SANDVIKEN</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38558-2023</t>
        </is>
      </c>
      <c r="B2284" s="1" t="n">
        <v>45162.60410879629</v>
      </c>
      <c r="C2284" s="1" t="n">
        <v>46086</v>
      </c>
      <c r="D2284" t="inlineStr">
        <is>
          <t>GÄVLEBORGS LÄN</t>
        </is>
      </c>
      <c r="E2284" t="inlineStr">
        <is>
          <t>GÄVLE</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62903-2023</t>
        </is>
      </c>
      <c r="B2285" s="1" t="n">
        <v>45272</v>
      </c>
      <c r="C2285" s="1" t="n">
        <v>46086</v>
      </c>
      <c r="D2285" t="inlineStr">
        <is>
          <t>GÄVLEBORGS LÄN</t>
        </is>
      </c>
      <c r="E2285" t="inlineStr">
        <is>
          <t>SÖDERHAMN</t>
        </is>
      </c>
      <c r="G2285" t="n">
        <v>7.4</v>
      </c>
      <c r="H2285" t="n">
        <v>0</v>
      </c>
      <c r="I2285" t="n">
        <v>0</v>
      </c>
      <c r="J2285" t="n">
        <v>0</v>
      </c>
      <c r="K2285" t="n">
        <v>0</v>
      </c>
      <c r="L2285" t="n">
        <v>0</v>
      </c>
      <c r="M2285" t="n">
        <v>0</v>
      </c>
      <c r="N2285" t="n">
        <v>0</v>
      </c>
      <c r="O2285" t="n">
        <v>0</v>
      </c>
      <c r="P2285" t="n">
        <v>0</v>
      </c>
      <c r="Q2285" t="n">
        <v>0</v>
      </c>
      <c r="R2285" s="2" t="inlineStr"/>
    </row>
    <row r="2286" ht="15" customHeight="1">
      <c r="A2286" t="inlineStr">
        <is>
          <t>A 9988-2025</t>
        </is>
      </c>
      <c r="B2286" s="1" t="n">
        <v>45719.42697916667</v>
      </c>
      <c r="C2286" s="1" t="n">
        <v>46086</v>
      </c>
      <c r="D2286" t="inlineStr">
        <is>
          <t>GÄVLEBORGS LÄN</t>
        </is>
      </c>
      <c r="E2286" t="inlineStr">
        <is>
          <t>GÄVLE</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10001-2025</t>
        </is>
      </c>
      <c r="B2287" s="1" t="n">
        <v>45719.44918981481</v>
      </c>
      <c r="C2287" s="1" t="n">
        <v>46086</v>
      </c>
      <c r="D2287" t="inlineStr">
        <is>
          <t>GÄVLEBORGS LÄN</t>
        </is>
      </c>
      <c r="E2287" t="inlineStr">
        <is>
          <t>GÄVLE</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61408-2023</t>
        </is>
      </c>
      <c r="B2288" s="1" t="n">
        <v>45264.66268518518</v>
      </c>
      <c r="C2288" s="1" t="n">
        <v>46086</v>
      </c>
      <c r="D2288" t="inlineStr">
        <is>
          <t>GÄVLEBORGS LÄN</t>
        </is>
      </c>
      <c r="E2288" t="inlineStr">
        <is>
          <t>SÖDERHAMN</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61820-2024</t>
        </is>
      </c>
      <c r="B2289" s="1" t="n">
        <v>45649</v>
      </c>
      <c r="C2289" s="1" t="n">
        <v>46086</v>
      </c>
      <c r="D2289" t="inlineStr">
        <is>
          <t>GÄVLEBORGS LÄN</t>
        </is>
      </c>
      <c r="E2289" t="inlineStr">
        <is>
          <t>SANDVIKEN</t>
        </is>
      </c>
      <c r="G2289" t="n">
        <v>11.1</v>
      </c>
      <c r="H2289" t="n">
        <v>0</v>
      </c>
      <c r="I2289" t="n">
        <v>0</v>
      </c>
      <c r="J2289" t="n">
        <v>0</v>
      </c>
      <c r="K2289" t="n">
        <v>0</v>
      </c>
      <c r="L2289" t="n">
        <v>0</v>
      </c>
      <c r="M2289" t="n">
        <v>0</v>
      </c>
      <c r="N2289" t="n">
        <v>0</v>
      </c>
      <c r="O2289" t="n">
        <v>0</v>
      </c>
      <c r="P2289" t="n">
        <v>0</v>
      </c>
      <c r="Q2289" t="n">
        <v>0</v>
      </c>
      <c r="R2289" s="2" t="inlineStr"/>
    </row>
    <row r="2290" ht="15" customHeight="1">
      <c r="A2290" t="inlineStr">
        <is>
          <t>A 26627-2025</t>
        </is>
      </c>
      <c r="B2290" s="1" t="n">
        <v>45810.34349537037</v>
      </c>
      <c r="C2290" s="1" t="n">
        <v>46086</v>
      </c>
      <c r="D2290" t="inlineStr">
        <is>
          <t>GÄVLEBORGS LÄN</t>
        </is>
      </c>
      <c r="E2290" t="inlineStr">
        <is>
          <t>OVANÅKER</t>
        </is>
      </c>
      <c r="F2290" t="inlineStr">
        <is>
          <t>Kyrkan</t>
        </is>
      </c>
      <c r="G2290" t="n">
        <v>5.9</v>
      </c>
      <c r="H2290" t="n">
        <v>0</v>
      </c>
      <c r="I2290" t="n">
        <v>0</v>
      </c>
      <c r="J2290" t="n">
        <v>0</v>
      </c>
      <c r="K2290" t="n">
        <v>0</v>
      </c>
      <c r="L2290" t="n">
        <v>0</v>
      </c>
      <c r="M2290" t="n">
        <v>0</v>
      </c>
      <c r="N2290" t="n">
        <v>0</v>
      </c>
      <c r="O2290" t="n">
        <v>0</v>
      </c>
      <c r="P2290" t="n">
        <v>0</v>
      </c>
      <c r="Q2290" t="n">
        <v>0</v>
      </c>
      <c r="R2290" s="2" t="inlineStr"/>
    </row>
    <row r="2291" ht="15" customHeight="1">
      <c r="A2291" t="inlineStr">
        <is>
          <t>A 29812-2024</t>
        </is>
      </c>
      <c r="B2291" s="1" t="n">
        <v>45485</v>
      </c>
      <c r="C2291" s="1" t="n">
        <v>46086</v>
      </c>
      <c r="D2291" t="inlineStr">
        <is>
          <t>GÄVLEBORGS LÄN</t>
        </is>
      </c>
      <c r="E2291" t="inlineStr">
        <is>
          <t>LJUSDAL</t>
        </is>
      </c>
      <c r="F2291" t="inlineStr">
        <is>
          <t>Allmännings- och besparingsskogar</t>
        </is>
      </c>
      <c r="G2291" t="n">
        <v>10.3</v>
      </c>
      <c r="H2291" t="n">
        <v>0</v>
      </c>
      <c r="I2291" t="n">
        <v>0</v>
      </c>
      <c r="J2291" t="n">
        <v>0</v>
      </c>
      <c r="K2291" t="n">
        <v>0</v>
      </c>
      <c r="L2291" t="n">
        <v>0</v>
      </c>
      <c r="M2291" t="n">
        <v>0</v>
      </c>
      <c r="N2291" t="n">
        <v>0</v>
      </c>
      <c r="O2291" t="n">
        <v>0</v>
      </c>
      <c r="P2291" t="n">
        <v>0</v>
      </c>
      <c r="Q2291" t="n">
        <v>0</v>
      </c>
      <c r="R2291" s="2" t="inlineStr"/>
    </row>
    <row r="2292" ht="15" customHeight="1">
      <c r="A2292" t="inlineStr">
        <is>
          <t>A 33297-2024</t>
        </is>
      </c>
      <c r="B2292" s="1" t="n">
        <v>45518.93506944444</v>
      </c>
      <c r="C2292" s="1" t="n">
        <v>46086</v>
      </c>
      <c r="D2292" t="inlineStr">
        <is>
          <t>GÄVLEBORGS LÄN</t>
        </is>
      </c>
      <c r="E2292" t="inlineStr">
        <is>
          <t>LJUSDAL</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52120-2022</t>
        </is>
      </c>
      <c r="B2293" s="1" t="n">
        <v>44873.42377314815</v>
      </c>
      <c r="C2293" s="1" t="n">
        <v>46086</v>
      </c>
      <c r="D2293" t="inlineStr">
        <is>
          <t>GÄVLEBORGS LÄN</t>
        </is>
      </c>
      <c r="E2293" t="inlineStr">
        <is>
          <t>NORDANSTIG</t>
        </is>
      </c>
      <c r="G2293" t="n">
        <v>6.9</v>
      </c>
      <c r="H2293" t="n">
        <v>0</v>
      </c>
      <c r="I2293" t="n">
        <v>0</v>
      </c>
      <c r="J2293" t="n">
        <v>0</v>
      </c>
      <c r="K2293" t="n">
        <v>0</v>
      </c>
      <c r="L2293" t="n">
        <v>0</v>
      </c>
      <c r="M2293" t="n">
        <v>0</v>
      </c>
      <c r="N2293" t="n">
        <v>0</v>
      </c>
      <c r="O2293" t="n">
        <v>0</v>
      </c>
      <c r="P2293" t="n">
        <v>0</v>
      </c>
      <c r="Q2293" t="n">
        <v>0</v>
      </c>
      <c r="R2293" s="2" t="inlineStr"/>
    </row>
    <row r="2294" ht="15" customHeight="1">
      <c r="A2294" t="inlineStr">
        <is>
          <t>A 43384-2024</t>
        </is>
      </c>
      <c r="B2294" s="1" t="n">
        <v>45568.5949537037</v>
      </c>
      <c r="C2294" s="1" t="n">
        <v>46086</v>
      </c>
      <c r="D2294" t="inlineStr">
        <is>
          <t>GÄVLEBORGS LÄN</t>
        </is>
      </c>
      <c r="E2294" t="inlineStr">
        <is>
          <t>BOLLNÄS</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61827-2022</t>
        </is>
      </c>
      <c r="B2295" s="1" t="n">
        <v>44917</v>
      </c>
      <c r="C2295" s="1" t="n">
        <v>46086</v>
      </c>
      <c r="D2295" t="inlineStr">
        <is>
          <t>GÄVLEBORGS LÄN</t>
        </is>
      </c>
      <c r="E2295" t="inlineStr">
        <is>
          <t>OVANÅKER</t>
        </is>
      </c>
      <c r="G2295" t="n">
        <v>15.9</v>
      </c>
      <c r="H2295" t="n">
        <v>0</v>
      </c>
      <c r="I2295" t="n">
        <v>0</v>
      </c>
      <c r="J2295" t="n">
        <v>0</v>
      </c>
      <c r="K2295" t="n">
        <v>0</v>
      </c>
      <c r="L2295" t="n">
        <v>0</v>
      </c>
      <c r="M2295" t="n">
        <v>0</v>
      </c>
      <c r="N2295" t="n">
        <v>0</v>
      </c>
      <c r="O2295" t="n">
        <v>0</v>
      </c>
      <c r="P2295" t="n">
        <v>0</v>
      </c>
      <c r="Q2295" t="n">
        <v>0</v>
      </c>
      <c r="R2295" s="2" t="inlineStr"/>
    </row>
    <row r="2296" ht="15" customHeight="1">
      <c r="A2296" t="inlineStr">
        <is>
          <t>A 43521-2024</t>
        </is>
      </c>
      <c r="B2296" s="1" t="n">
        <v>45569.33457175926</v>
      </c>
      <c r="C2296" s="1" t="n">
        <v>46086</v>
      </c>
      <c r="D2296" t="inlineStr">
        <is>
          <t>GÄVLEBORGS LÄN</t>
        </is>
      </c>
      <c r="E2296" t="inlineStr">
        <is>
          <t>OVANÅKER</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14051-2025</t>
        </is>
      </c>
      <c r="B2297" s="1" t="n">
        <v>45740.38570601852</v>
      </c>
      <c r="C2297" s="1" t="n">
        <v>46086</v>
      </c>
      <c r="D2297" t="inlineStr">
        <is>
          <t>GÄVLEBORGS LÄN</t>
        </is>
      </c>
      <c r="E2297" t="inlineStr">
        <is>
          <t>NORDANSTIG</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12549-2025</t>
        </is>
      </c>
      <c r="B2298" s="1" t="n">
        <v>45731.3146412037</v>
      </c>
      <c r="C2298" s="1" t="n">
        <v>46086</v>
      </c>
      <c r="D2298" t="inlineStr">
        <is>
          <t>GÄVLEBORGS LÄN</t>
        </is>
      </c>
      <c r="E2298" t="inlineStr">
        <is>
          <t>OVANÅKER</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61419-2024</t>
        </is>
      </c>
      <c r="B2299" s="1" t="n">
        <v>45646.4496875</v>
      </c>
      <c r="C2299" s="1" t="n">
        <v>46086</v>
      </c>
      <c r="D2299" t="inlineStr">
        <is>
          <t>GÄVLEBORGS LÄN</t>
        </is>
      </c>
      <c r="E2299" t="inlineStr">
        <is>
          <t>NORDANSTIG</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61430-2024</t>
        </is>
      </c>
      <c r="B2300" s="1" t="n">
        <v>45646.45672453703</v>
      </c>
      <c r="C2300" s="1" t="n">
        <v>46086</v>
      </c>
      <c r="D2300" t="inlineStr">
        <is>
          <t>GÄVLEBORGS LÄN</t>
        </is>
      </c>
      <c r="E2300" t="inlineStr">
        <is>
          <t>NORDANSTIG</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43668-2024</t>
        </is>
      </c>
      <c r="B2301" s="1" t="n">
        <v>45569.56300925926</v>
      </c>
      <c r="C2301" s="1" t="n">
        <v>46086</v>
      </c>
      <c r="D2301" t="inlineStr">
        <is>
          <t>GÄVLEBORGS LÄN</t>
        </is>
      </c>
      <c r="E2301" t="inlineStr">
        <is>
          <t>LJUSDAL</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27024-2025</t>
        </is>
      </c>
      <c r="B2302" s="1" t="n">
        <v>45811.57541666667</v>
      </c>
      <c r="C2302" s="1" t="n">
        <v>46086</v>
      </c>
      <c r="D2302" t="inlineStr">
        <is>
          <t>GÄVLEBORGS LÄN</t>
        </is>
      </c>
      <c r="E2302" t="inlineStr">
        <is>
          <t>SÖDERHAMN</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60934-2024</t>
        </is>
      </c>
      <c r="B2303" s="1" t="n">
        <v>45645.36635416667</v>
      </c>
      <c r="C2303" s="1" t="n">
        <v>46086</v>
      </c>
      <c r="D2303" t="inlineStr">
        <is>
          <t>GÄVLEBORGS LÄN</t>
        </is>
      </c>
      <c r="E2303" t="inlineStr">
        <is>
          <t>NORDANSTIG</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60944-2024</t>
        </is>
      </c>
      <c r="B2304" s="1" t="n">
        <v>45645.37596064815</v>
      </c>
      <c r="C2304" s="1" t="n">
        <v>46086</v>
      </c>
      <c r="D2304" t="inlineStr">
        <is>
          <t>GÄVLEBORGS LÄN</t>
        </is>
      </c>
      <c r="E2304" t="inlineStr">
        <is>
          <t>NORDANSTIG</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14866-2024</t>
        </is>
      </c>
      <c r="B2305" s="1" t="n">
        <v>45397</v>
      </c>
      <c r="C2305" s="1" t="n">
        <v>46086</v>
      </c>
      <c r="D2305" t="inlineStr">
        <is>
          <t>GÄVLEBORGS LÄN</t>
        </is>
      </c>
      <c r="E2305" t="inlineStr">
        <is>
          <t>NORDANSTIG</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21194-2024</t>
        </is>
      </c>
      <c r="B2306" s="1" t="n">
        <v>45440</v>
      </c>
      <c r="C2306" s="1" t="n">
        <v>46086</v>
      </c>
      <c r="D2306" t="inlineStr">
        <is>
          <t>GÄVLEBORGS LÄN</t>
        </is>
      </c>
      <c r="E2306" t="inlineStr">
        <is>
          <t>LJUSDAL</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25029-2025</t>
        </is>
      </c>
      <c r="B2307" s="1" t="n">
        <v>45799.65251157407</v>
      </c>
      <c r="C2307" s="1" t="n">
        <v>46086</v>
      </c>
      <c r="D2307" t="inlineStr">
        <is>
          <t>GÄVLEBORGS LÄN</t>
        </is>
      </c>
      <c r="E2307" t="inlineStr">
        <is>
          <t>SÖDERHAMN</t>
        </is>
      </c>
      <c r="F2307" t="inlineStr">
        <is>
          <t>Bergvik skog väst AB</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53137-2024</t>
        </is>
      </c>
      <c r="B2308" s="1" t="n">
        <v>45611.59655092593</v>
      </c>
      <c r="C2308" s="1" t="n">
        <v>46086</v>
      </c>
      <c r="D2308" t="inlineStr">
        <is>
          <t>GÄVLEBORGS LÄN</t>
        </is>
      </c>
      <c r="E2308" t="inlineStr">
        <is>
          <t>OCKELBO</t>
        </is>
      </c>
      <c r="F2308" t="inlineStr">
        <is>
          <t>Bergvik skog väst AB</t>
        </is>
      </c>
      <c r="G2308" t="n">
        <v>5.5</v>
      </c>
      <c r="H2308" t="n">
        <v>0</v>
      </c>
      <c r="I2308" t="n">
        <v>0</v>
      </c>
      <c r="J2308" t="n">
        <v>0</v>
      </c>
      <c r="K2308" t="n">
        <v>0</v>
      </c>
      <c r="L2308" t="n">
        <v>0</v>
      </c>
      <c r="M2308" t="n">
        <v>0</v>
      </c>
      <c r="N2308" t="n">
        <v>0</v>
      </c>
      <c r="O2308" t="n">
        <v>0</v>
      </c>
      <c r="P2308" t="n">
        <v>0</v>
      </c>
      <c r="Q2308" t="n">
        <v>0</v>
      </c>
      <c r="R2308" s="2" t="inlineStr"/>
    </row>
    <row r="2309" ht="15" customHeight="1">
      <c r="A2309" t="inlineStr">
        <is>
          <t>A 57784-2024</t>
        </is>
      </c>
      <c r="B2309" s="1" t="n">
        <v>45631</v>
      </c>
      <c r="C2309" s="1" t="n">
        <v>46086</v>
      </c>
      <c r="D2309" t="inlineStr">
        <is>
          <t>GÄVLEBORGS LÄN</t>
        </is>
      </c>
      <c r="E2309" t="inlineStr">
        <is>
          <t>LJUSDAL</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60359-2024</t>
        </is>
      </c>
      <c r="B2310" s="1" t="n">
        <v>45643.44834490741</v>
      </c>
      <c r="C2310" s="1" t="n">
        <v>46086</v>
      </c>
      <c r="D2310" t="inlineStr">
        <is>
          <t>GÄVLEBORGS LÄN</t>
        </is>
      </c>
      <c r="E2310" t="inlineStr">
        <is>
          <t>HUDIKSVALL</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26819-2025</t>
        </is>
      </c>
      <c r="B2311" s="1" t="n">
        <v>45810.63636574074</v>
      </c>
      <c r="C2311" s="1" t="n">
        <v>46086</v>
      </c>
      <c r="D2311" t="inlineStr">
        <is>
          <t>GÄVLEBORGS LÄN</t>
        </is>
      </c>
      <c r="E2311" t="inlineStr">
        <is>
          <t>LJUSDAL</t>
        </is>
      </c>
      <c r="F2311" t="inlineStr">
        <is>
          <t>SCA</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1526-2024</t>
        </is>
      </c>
      <c r="B2312" s="1" t="n">
        <v>45306</v>
      </c>
      <c r="C2312" s="1" t="n">
        <v>46086</v>
      </c>
      <c r="D2312" t="inlineStr">
        <is>
          <t>GÄVLEBORGS LÄN</t>
        </is>
      </c>
      <c r="E2312" t="inlineStr">
        <is>
          <t>NORDANSTIG</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48597-2023</t>
        </is>
      </c>
      <c r="B2313" s="1" t="n">
        <v>45208</v>
      </c>
      <c r="C2313" s="1" t="n">
        <v>46086</v>
      </c>
      <c r="D2313" t="inlineStr">
        <is>
          <t>GÄVLEBORGS LÄN</t>
        </is>
      </c>
      <c r="E2313" t="inlineStr">
        <is>
          <t>SANDVIKEN</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42088-2024</t>
        </is>
      </c>
      <c r="B2314" s="1" t="n">
        <v>45562.34226851852</v>
      </c>
      <c r="C2314" s="1" t="n">
        <v>46086</v>
      </c>
      <c r="D2314" t="inlineStr">
        <is>
          <t>GÄVLEBORGS LÄN</t>
        </is>
      </c>
      <c r="E2314" t="inlineStr">
        <is>
          <t>SANDVIKEN</t>
        </is>
      </c>
      <c r="G2314" t="n">
        <v>6</v>
      </c>
      <c r="H2314" t="n">
        <v>0</v>
      </c>
      <c r="I2314" t="n">
        <v>0</v>
      </c>
      <c r="J2314" t="n">
        <v>0</v>
      </c>
      <c r="K2314" t="n">
        <v>0</v>
      </c>
      <c r="L2314" t="n">
        <v>0</v>
      </c>
      <c r="M2314" t="n">
        <v>0</v>
      </c>
      <c r="N2314" t="n">
        <v>0</v>
      </c>
      <c r="O2314" t="n">
        <v>0</v>
      </c>
      <c r="P2314" t="n">
        <v>0</v>
      </c>
      <c r="Q2314" t="n">
        <v>0</v>
      </c>
      <c r="R2314" s="2" t="inlineStr"/>
    </row>
    <row r="2315" ht="15" customHeight="1">
      <c r="A2315" t="inlineStr">
        <is>
          <t>A 7369-2023</t>
        </is>
      </c>
      <c r="B2315" s="1" t="n">
        <v>44966</v>
      </c>
      <c r="C2315" s="1" t="n">
        <v>46086</v>
      </c>
      <c r="D2315" t="inlineStr">
        <is>
          <t>GÄVLEBORGS LÄN</t>
        </is>
      </c>
      <c r="E2315" t="inlineStr">
        <is>
          <t>HUDIKSVALL</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26723-2025</t>
        </is>
      </c>
      <c r="B2316" s="1" t="n">
        <v>45810.49068287037</v>
      </c>
      <c r="C2316" s="1" t="n">
        <v>46086</v>
      </c>
      <c r="D2316" t="inlineStr">
        <is>
          <t>GÄVLEBORGS LÄN</t>
        </is>
      </c>
      <c r="E2316" t="inlineStr">
        <is>
          <t>BOLLNÄS</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10848-2026</t>
        </is>
      </c>
      <c r="B2317" s="1" t="n">
        <v>46078.64805555555</v>
      </c>
      <c r="C2317" s="1" t="n">
        <v>46086</v>
      </c>
      <c r="D2317" t="inlineStr">
        <is>
          <t>GÄVLEBORGS LÄN</t>
        </is>
      </c>
      <c r="E2317" t="inlineStr">
        <is>
          <t>BOLLNÄS</t>
        </is>
      </c>
      <c r="F2317" t="inlineStr">
        <is>
          <t>Bergvik skog väst AB</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38907-2025</t>
        </is>
      </c>
      <c r="B2318" s="1" t="n">
        <v>45887.60866898148</v>
      </c>
      <c r="C2318" s="1" t="n">
        <v>46086</v>
      </c>
      <c r="D2318" t="inlineStr">
        <is>
          <t>GÄVLEBORGS LÄN</t>
        </is>
      </c>
      <c r="E2318" t="inlineStr">
        <is>
          <t>BOLLNÄS</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38762-2025</t>
        </is>
      </c>
      <c r="B2319" s="1" t="n">
        <v>45887</v>
      </c>
      <c r="C2319" s="1" t="n">
        <v>46086</v>
      </c>
      <c r="D2319" t="inlineStr">
        <is>
          <t>GÄVLEBORGS LÄN</t>
        </is>
      </c>
      <c r="E2319" t="inlineStr">
        <is>
          <t>BOLLNÄS</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14284-2025</t>
        </is>
      </c>
      <c r="B2320" s="1" t="n">
        <v>45740.65900462963</v>
      </c>
      <c r="C2320" s="1" t="n">
        <v>46086</v>
      </c>
      <c r="D2320" t="inlineStr">
        <is>
          <t>GÄVLEBORGS LÄN</t>
        </is>
      </c>
      <c r="E2320" t="inlineStr">
        <is>
          <t>GÄVLE</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38769-2025</t>
        </is>
      </c>
      <c r="B2321" s="1" t="n">
        <v>45887.41712962963</v>
      </c>
      <c r="C2321" s="1" t="n">
        <v>46086</v>
      </c>
      <c r="D2321" t="inlineStr">
        <is>
          <t>GÄVLEBORGS LÄN</t>
        </is>
      </c>
      <c r="E2321" t="inlineStr">
        <is>
          <t>BOLLNÄS</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38770-2025</t>
        </is>
      </c>
      <c r="B2322" s="1" t="n">
        <v>45887.41885416667</v>
      </c>
      <c r="C2322" s="1" t="n">
        <v>46086</v>
      </c>
      <c r="D2322" t="inlineStr">
        <is>
          <t>GÄVLEBORGS LÄN</t>
        </is>
      </c>
      <c r="E2322" t="inlineStr">
        <is>
          <t>BOLLNÄS</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38629-2025</t>
        </is>
      </c>
      <c r="B2323" s="1" t="n">
        <v>45884.55987268518</v>
      </c>
      <c r="C2323" s="1" t="n">
        <v>46086</v>
      </c>
      <c r="D2323" t="inlineStr">
        <is>
          <t>GÄVLEBORGS LÄN</t>
        </is>
      </c>
      <c r="E2323" t="inlineStr">
        <is>
          <t>BOLLNÄS</t>
        </is>
      </c>
      <c r="F2323" t="inlineStr">
        <is>
          <t>Sveaskog</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38642-2025</t>
        </is>
      </c>
      <c r="B2324" s="1" t="n">
        <v>45884.57646990741</v>
      </c>
      <c r="C2324" s="1" t="n">
        <v>46086</v>
      </c>
      <c r="D2324" t="inlineStr">
        <is>
          <t>GÄVLEBORGS LÄN</t>
        </is>
      </c>
      <c r="E2324" t="inlineStr">
        <is>
          <t>LJUSDAL</t>
        </is>
      </c>
      <c r="F2324" t="inlineStr">
        <is>
          <t>Allmännings- och besparingsskogar</t>
        </is>
      </c>
      <c r="G2324" t="n">
        <v>9.5</v>
      </c>
      <c r="H2324" t="n">
        <v>0</v>
      </c>
      <c r="I2324" t="n">
        <v>0</v>
      </c>
      <c r="J2324" t="n">
        <v>0</v>
      </c>
      <c r="K2324" t="n">
        <v>0</v>
      </c>
      <c r="L2324" t="n">
        <v>0</v>
      </c>
      <c r="M2324" t="n">
        <v>0</v>
      </c>
      <c r="N2324" t="n">
        <v>0</v>
      </c>
      <c r="O2324" t="n">
        <v>0</v>
      </c>
      <c r="P2324" t="n">
        <v>0</v>
      </c>
      <c r="Q2324" t="n">
        <v>0</v>
      </c>
      <c r="R2324" s="2" t="inlineStr"/>
    </row>
    <row r="2325" ht="15" customHeight="1">
      <c r="A2325" t="inlineStr">
        <is>
          <t>A 10877-2026</t>
        </is>
      </c>
      <c r="B2325" s="1" t="n">
        <v>46078.71739583334</v>
      </c>
      <c r="C2325" s="1" t="n">
        <v>46086</v>
      </c>
      <c r="D2325" t="inlineStr">
        <is>
          <t>GÄVLEBORGS LÄN</t>
        </is>
      </c>
      <c r="E2325" t="inlineStr">
        <is>
          <t>SÖDERHAMN</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10904-2026</t>
        </is>
      </c>
      <c r="B2326" s="1" t="n">
        <v>46079.27765046297</v>
      </c>
      <c r="C2326" s="1" t="n">
        <v>46086</v>
      </c>
      <c r="D2326" t="inlineStr">
        <is>
          <t>GÄVLEBORGS LÄN</t>
        </is>
      </c>
      <c r="E2326" t="inlineStr">
        <is>
          <t>BOLLNÄS</t>
        </is>
      </c>
      <c r="F2326" t="inlineStr">
        <is>
          <t>Bergvik skog väst AB</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10933-2026</t>
        </is>
      </c>
      <c r="B2327" s="1" t="n">
        <v>46079.3625462963</v>
      </c>
      <c r="C2327" s="1" t="n">
        <v>46086</v>
      </c>
      <c r="D2327" t="inlineStr">
        <is>
          <t>GÄVLEBORGS LÄN</t>
        </is>
      </c>
      <c r="E2327" t="inlineStr">
        <is>
          <t>BOLLNÄS</t>
        </is>
      </c>
      <c r="F2327" t="inlineStr">
        <is>
          <t>Bergvik skog väst AB</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2049-2026</t>
        </is>
      </c>
      <c r="B2328" s="1" t="n">
        <v>46035.84591435185</v>
      </c>
      <c r="C2328" s="1" t="n">
        <v>46086</v>
      </c>
      <c r="D2328" t="inlineStr">
        <is>
          <t>GÄVLEBORGS LÄN</t>
        </is>
      </c>
      <c r="E2328" t="inlineStr">
        <is>
          <t>BOLLNÄS</t>
        </is>
      </c>
      <c r="G2328" t="n">
        <v>46.8</v>
      </c>
      <c r="H2328" t="n">
        <v>0</v>
      </c>
      <c r="I2328" t="n">
        <v>0</v>
      </c>
      <c r="J2328" t="n">
        <v>0</v>
      </c>
      <c r="K2328" t="n">
        <v>0</v>
      </c>
      <c r="L2328" t="n">
        <v>0</v>
      </c>
      <c r="M2328" t="n">
        <v>0</v>
      </c>
      <c r="N2328" t="n">
        <v>0</v>
      </c>
      <c r="O2328" t="n">
        <v>0</v>
      </c>
      <c r="P2328" t="n">
        <v>0</v>
      </c>
      <c r="Q2328" t="n">
        <v>0</v>
      </c>
      <c r="R2328" s="2" t="inlineStr"/>
    </row>
    <row r="2329" ht="15" customHeight="1">
      <c r="A2329" t="inlineStr">
        <is>
          <t>A 24838-2024</t>
        </is>
      </c>
      <c r="B2329" s="1" t="n">
        <v>45461.40820601852</v>
      </c>
      <c r="C2329" s="1" t="n">
        <v>46086</v>
      </c>
      <c r="D2329" t="inlineStr">
        <is>
          <t>GÄVLEBORGS LÄN</t>
        </is>
      </c>
      <c r="E2329" t="inlineStr">
        <is>
          <t>LJUSDAL</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18013-2023</t>
        </is>
      </c>
      <c r="B2330" s="1" t="n">
        <v>45040.57412037037</v>
      </c>
      <c r="C2330" s="1" t="n">
        <v>46086</v>
      </c>
      <c r="D2330" t="inlineStr">
        <is>
          <t>GÄVLEBORGS LÄN</t>
        </is>
      </c>
      <c r="E2330" t="inlineStr">
        <is>
          <t>BOLLNÄS</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59253-2023</t>
        </is>
      </c>
      <c r="B2331" s="1" t="n">
        <v>45253</v>
      </c>
      <c r="C2331" s="1" t="n">
        <v>46086</v>
      </c>
      <c r="D2331" t="inlineStr">
        <is>
          <t>GÄVLEBORGS LÄN</t>
        </is>
      </c>
      <c r="E2331" t="inlineStr">
        <is>
          <t>OVANÅKER</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50326-2023</t>
        </is>
      </c>
      <c r="B2332" s="1" t="n">
        <v>45216.55601851852</v>
      </c>
      <c r="C2332" s="1" t="n">
        <v>46086</v>
      </c>
      <c r="D2332" t="inlineStr">
        <is>
          <t>GÄVLEBORGS LÄN</t>
        </is>
      </c>
      <c r="E2332" t="inlineStr">
        <is>
          <t>NORDANSTIG</t>
        </is>
      </c>
      <c r="F2332" t="inlineStr">
        <is>
          <t>Holmen skog AB</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35590-2023</t>
        </is>
      </c>
      <c r="B2333" s="1" t="n">
        <v>45147</v>
      </c>
      <c r="C2333" s="1" t="n">
        <v>46086</v>
      </c>
      <c r="D2333" t="inlineStr">
        <is>
          <t>GÄVLEBORGS LÄN</t>
        </is>
      </c>
      <c r="E2333" t="inlineStr">
        <is>
          <t>HUDIKSVALL</t>
        </is>
      </c>
      <c r="F2333" t="inlineStr">
        <is>
          <t>Holmen skog AB</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38732-2025</t>
        </is>
      </c>
      <c r="B2334" s="1" t="n">
        <v>45887.35770833334</v>
      </c>
      <c r="C2334" s="1" t="n">
        <v>46086</v>
      </c>
      <c r="D2334" t="inlineStr">
        <is>
          <t>GÄVLEBORGS LÄN</t>
        </is>
      </c>
      <c r="E2334" t="inlineStr">
        <is>
          <t>OCKELBO</t>
        </is>
      </c>
      <c r="F2334" t="inlineStr">
        <is>
          <t>Bergvik skog väst AB</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27078-2025</t>
        </is>
      </c>
      <c r="B2335" s="1" t="n">
        <v>45811.65109953703</v>
      </c>
      <c r="C2335" s="1" t="n">
        <v>46086</v>
      </c>
      <c r="D2335" t="inlineStr">
        <is>
          <t>GÄVLEBORGS LÄN</t>
        </is>
      </c>
      <c r="E2335" t="inlineStr">
        <is>
          <t>HUDIKSVALL</t>
        </is>
      </c>
      <c r="G2335" t="n">
        <v>5.9</v>
      </c>
      <c r="H2335" t="n">
        <v>0</v>
      </c>
      <c r="I2335" t="n">
        <v>0</v>
      </c>
      <c r="J2335" t="n">
        <v>0</v>
      </c>
      <c r="K2335" t="n">
        <v>0</v>
      </c>
      <c r="L2335" t="n">
        <v>0</v>
      </c>
      <c r="M2335" t="n">
        <v>0</v>
      </c>
      <c r="N2335" t="n">
        <v>0</v>
      </c>
      <c r="O2335" t="n">
        <v>0</v>
      </c>
      <c r="P2335" t="n">
        <v>0</v>
      </c>
      <c r="Q2335" t="n">
        <v>0</v>
      </c>
      <c r="R2335" s="2" t="inlineStr"/>
    </row>
    <row r="2336" ht="15" customHeight="1">
      <c r="A2336" t="inlineStr">
        <is>
          <t>A 57510-2023</t>
        </is>
      </c>
      <c r="B2336" s="1" t="n">
        <v>45246</v>
      </c>
      <c r="C2336" s="1" t="n">
        <v>46086</v>
      </c>
      <c r="D2336" t="inlineStr">
        <is>
          <t>GÄVLEBORGS LÄN</t>
        </is>
      </c>
      <c r="E2336" t="inlineStr">
        <is>
          <t>BOLLNÄS</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27909-2025</t>
        </is>
      </c>
      <c r="B2337" s="1" t="n">
        <v>45817.47628472222</v>
      </c>
      <c r="C2337" s="1" t="n">
        <v>46086</v>
      </c>
      <c r="D2337" t="inlineStr">
        <is>
          <t>GÄVLEBORGS LÄN</t>
        </is>
      </c>
      <c r="E2337" t="inlineStr">
        <is>
          <t>HUDIKSVALL</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26894-2025</t>
        </is>
      </c>
      <c r="B2338" s="1" t="n">
        <v>45811.33554398148</v>
      </c>
      <c r="C2338" s="1" t="n">
        <v>46086</v>
      </c>
      <c r="D2338" t="inlineStr">
        <is>
          <t>GÄVLEBORGS LÄN</t>
        </is>
      </c>
      <c r="E2338" t="inlineStr">
        <is>
          <t>HUDIKSVALL</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38747-2025</t>
        </is>
      </c>
      <c r="B2339" s="1" t="n">
        <v>45887.38575231482</v>
      </c>
      <c r="C2339" s="1" t="n">
        <v>46086</v>
      </c>
      <c r="D2339" t="inlineStr">
        <is>
          <t>GÄVLEBORGS LÄN</t>
        </is>
      </c>
      <c r="E2339" t="inlineStr">
        <is>
          <t>BOLLNÄS</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2058-2026</t>
        </is>
      </c>
      <c r="B2340" s="1" t="n">
        <v>46035.87325231481</v>
      </c>
      <c r="C2340" s="1" t="n">
        <v>46086</v>
      </c>
      <c r="D2340" t="inlineStr">
        <is>
          <t>GÄVLEBORGS LÄN</t>
        </is>
      </c>
      <c r="E2340" t="inlineStr">
        <is>
          <t>BOLLNÄS</t>
        </is>
      </c>
      <c r="G2340" t="n">
        <v>9.6</v>
      </c>
      <c r="H2340" t="n">
        <v>0</v>
      </c>
      <c r="I2340" t="n">
        <v>0</v>
      </c>
      <c r="J2340" t="n">
        <v>0</v>
      </c>
      <c r="K2340" t="n">
        <v>0</v>
      </c>
      <c r="L2340" t="n">
        <v>0</v>
      </c>
      <c r="M2340" t="n">
        <v>0</v>
      </c>
      <c r="N2340" t="n">
        <v>0</v>
      </c>
      <c r="O2340" t="n">
        <v>0</v>
      </c>
      <c r="P2340" t="n">
        <v>0</v>
      </c>
      <c r="Q2340" t="n">
        <v>0</v>
      </c>
      <c r="R2340" s="2" t="inlineStr"/>
    </row>
    <row r="2341" ht="15" customHeight="1">
      <c r="A2341" t="inlineStr">
        <is>
          <t>A 2066-2026</t>
        </is>
      </c>
      <c r="B2341" s="1" t="n">
        <v>46036.2512037037</v>
      </c>
      <c r="C2341" s="1" t="n">
        <v>46086</v>
      </c>
      <c r="D2341" t="inlineStr">
        <is>
          <t>GÄVLEBORGS LÄN</t>
        </is>
      </c>
      <c r="E2341" t="inlineStr">
        <is>
          <t>OVANÅKER</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2669-2026</t>
        </is>
      </c>
      <c r="B2342" s="1" t="n">
        <v>46037</v>
      </c>
      <c r="C2342" s="1" t="n">
        <v>46086</v>
      </c>
      <c r="D2342" t="inlineStr">
        <is>
          <t>GÄVLEBORGS LÄN</t>
        </is>
      </c>
      <c r="E2342" t="inlineStr">
        <is>
          <t>OVANÅKER</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2677-2026</t>
        </is>
      </c>
      <c r="B2343" s="1" t="n">
        <v>46037</v>
      </c>
      <c r="C2343" s="1" t="n">
        <v>46086</v>
      </c>
      <c r="D2343" t="inlineStr">
        <is>
          <t>GÄVLEBORGS LÄN</t>
        </is>
      </c>
      <c r="E2343" t="inlineStr">
        <is>
          <t>NORDANSTIG</t>
        </is>
      </c>
      <c r="F2343" t="inlineStr">
        <is>
          <t>Holmen skog AB</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43423-2022</t>
        </is>
      </c>
      <c r="B2344" s="1" t="n">
        <v>44834.94996527778</v>
      </c>
      <c r="C2344" s="1" t="n">
        <v>46086</v>
      </c>
      <c r="D2344" t="inlineStr">
        <is>
          <t>GÄVLEBORGS LÄN</t>
        </is>
      </c>
      <c r="E2344" t="inlineStr">
        <is>
          <t>LJUSDAL</t>
        </is>
      </c>
      <c r="F2344" t="inlineStr">
        <is>
          <t>SCA</t>
        </is>
      </c>
      <c r="G2344" t="n">
        <v>6.2</v>
      </c>
      <c r="H2344" t="n">
        <v>0</v>
      </c>
      <c r="I2344" t="n">
        <v>0</v>
      </c>
      <c r="J2344" t="n">
        <v>0</v>
      </c>
      <c r="K2344" t="n">
        <v>0</v>
      </c>
      <c r="L2344" t="n">
        <v>0</v>
      </c>
      <c r="M2344" t="n">
        <v>0</v>
      </c>
      <c r="N2344" t="n">
        <v>0</v>
      </c>
      <c r="O2344" t="n">
        <v>0</v>
      </c>
      <c r="P2344" t="n">
        <v>0</v>
      </c>
      <c r="Q2344" t="n">
        <v>0</v>
      </c>
      <c r="R2344" s="2" t="inlineStr"/>
    </row>
    <row r="2345" ht="15" customHeight="1">
      <c r="A2345" t="inlineStr">
        <is>
          <t>A 44058-2022</t>
        </is>
      </c>
      <c r="B2345" s="1" t="n">
        <v>44839</v>
      </c>
      <c r="C2345" s="1" t="n">
        <v>46086</v>
      </c>
      <c r="D2345" t="inlineStr">
        <is>
          <t>GÄVLEBORGS LÄN</t>
        </is>
      </c>
      <c r="E2345" t="inlineStr">
        <is>
          <t>HUDIKSVALL</t>
        </is>
      </c>
      <c r="F2345" t="inlineStr">
        <is>
          <t>Holmen skog AB</t>
        </is>
      </c>
      <c r="G2345" t="n">
        <v>4.7</v>
      </c>
      <c r="H2345" t="n">
        <v>0</v>
      </c>
      <c r="I2345" t="n">
        <v>0</v>
      </c>
      <c r="J2345" t="n">
        <v>0</v>
      </c>
      <c r="K2345" t="n">
        <v>0</v>
      </c>
      <c r="L2345" t="n">
        <v>0</v>
      </c>
      <c r="M2345" t="n">
        <v>0</v>
      </c>
      <c r="N2345" t="n">
        <v>0</v>
      </c>
      <c r="O2345" t="n">
        <v>0</v>
      </c>
      <c r="P2345" t="n">
        <v>0</v>
      </c>
      <c r="Q2345" t="n">
        <v>0</v>
      </c>
      <c r="R2345" s="2" t="inlineStr"/>
    </row>
    <row r="2346" ht="15" customHeight="1">
      <c r="A2346" t="inlineStr">
        <is>
          <t>A 2689-2026</t>
        </is>
      </c>
      <c r="B2346" s="1" t="n">
        <v>46037</v>
      </c>
      <c r="C2346" s="1" t="n">
        <v>46086</v>
      </c>
      <c r="D2346" t="inlineStr">
        <is>
          <t>GÄVLEBORGS LÄN</t>
        </is>
      </c>
      <c r="E2346" t="inlineStr">
        <is>
          <t>NORDANSTIG</t>
        </is>
      </c>
      <c r="F2346" t="inlineStr">
        <is>
          <t>Holmen skog AB</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25557-2025</t>
        </is>
      </c>
      <c r="B2347" s="1" t="n">
        <v>45803.45233796296</v>
      </c>
      <c r="C2347" s="1" t="n">
        <v>46086</v>
      </c>
      <c r="D2347" t="inlineStr">
        <is>
          <t>GÄVLEBORGS LÄN</t>
        </is>
      </c>
      <c r="E2347" t="inlineStr">
        <is>
          <t>OVANÅKER</t>
        </is>
      </c>
      <c r="G2347" t="n">
        <v>4.8</v>
      </c>
      <c r="H2347" t="n">
        <v>0</v>
      </c>
      <c r="I2347" t="n">
        <v>0</v>
      </c>
      <c r="J2347" t="n">
        <v>0</v>
      </c>
      <c r="K2347" t="n">
        <v>0</v>
      </c>
      <c r="L2347" t="n">
        <v>0</v>
      </c>
      <c r="M2347" t="n">
        <v>0</v>
      </c>
      <c r="N2347" t="n">
        <v>0</v>
      </c>
      <c r="O2347" t="n">
        <v>0</v>
      </c>
      <c r="P2347" t="n">
        <v>0</v>
      </c>
      <c r="Q2347" t="n">
        <v>0</v>
      </c>
      <c r="R2347" s="2" t="inlineStr"/>
    </row>
    <row r="2348" ht="15" customHeight="1">
      <c r="A2348" t="inlineStr">
        <is>
          <t>A 26816-2025</t>
        </is>
      </c>
      <c r="B2348" s="1" t="n">
        <v>45810.63582175926</v>
      </c>
      <c r="C2348" s="1" t="n">
        <v>46086</v>
      </c>
      <c r="D2348" t="inlineStr">
        <is>
          <t>GÄVLEBORGS LÄN</t>
        </is>
      </c>
      <c r="E2348" t="inlineStr">
        <is>
          <t>LJUSDAL</t>
        </is>
      </c>
      <c r="F2348" t="inlineStr">
        <is>
          <t>SCA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26821-2025</t>
        </is>
      </c>
      <c r="B2349" s="1" t="n">
        <v>45810.64354166666</v>
      </c>
      <c r="C2349" s="1" t="n">
        <v>46086</v>
      </c>
      <c r="D2349" t="inlineStr">
        <is>
          <t>GÄVLEBORGS LÄN</t>
        </is>
      </c>
      <c r="E2349" t="inlineStr">
        <is>
          <t>OCKELBO</t>
        </is>
      </c>
      <c r="F2349" t="inlineStr">
        <is>
          <t>Bergvik skog väst AB</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26827-2025</t>
        </is>
      </c>
      <c r="B2350" s="1" t="n">
        <v>45810.65016203704</v>
      </c>
      <c r="C2350" s="1" t="n">
        <v>46086</v>
      </c>
      <c r="D2350" t="inlineStr">
        <is>
          <t>GÄVLEBORGS LÄN</t>
        </is>
      </c>
      <c r="E2350" t="inlineStr">
        <is>
          <t>HUDIKSVALL</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54799-2022</t>
        </is>
      </c>
      <c r="B2351" s="1" t="n">
        <v>44883</v>
      </c>
      <c r="C2351" s="1" t="n">
        <v>46086</v>
      </c>
      <c r="D2351" t="inlineStr">
        <is>
          <t>GÄVLEBORGS LÄN</t>
        </is>
      </c>
      <c r="E2351" t="inlineStr">
        <is>
          <t>SÖDERHAMN</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38641-2025</t>
        </is>
      </c>
      <c r="B2352" s="1" t="n">
        <v>45884.57607638889</v>
      </c>
      <c r="C2352" s="1" t="n">
        <v>46086</v>
      </c>
      <c r="D2352" t="inlineStr">
        <is>
          <t>GÄVLEBORGS LÄN</t>
        </is>
      </c>
      <c r="E2352" t="inlineStr">
        <is>
          <t>LJUSDAL</t>
        </is>
      </c>
      <c r="G2352" t="n">
        <v>9.1</v>
      </c>
      <c r="H2352" t="n">
        <v>0</v>
      </c>
      <c r="I2352" t="n">
        <v>0</v>
      </c>
      <c r="J2352" t="n">
        <v>0</v>
      </c>
      <c r="K2352" t="n">
        <v>0</v>
      </c>
      <c r="L2352" t="n">
        <v>0</v>
      </c>
      <c r="M2352" t="n">
        <v>0</v>
      </c>
      <c r="N2352" t="n">
        <v>0</v>
      </c>
      <c r="O2352" t="n">
        <v>0</v>
      </c>
      <c r="P2352" t="n">
        <v>0</v>
      </c>
      <c r="Q2352" t="n">
        <v>0</v>
      </c>
      <c r="R2352" s="2" t="inlineStr"/>
    </row>
    <row r="2353" ht="15" customHeight="1">
      <c r="A2353" t="inlineStr">
        <is>
          <t>A 26805-2025</t>
        </is>
      </c>
      <c r="B2353" s="1" t="n">
        <v>45810.61028935185</v>
      </c>
      <c r="C2353" s="1" t="n">
        <v>46086</v>
      </c>
      <c r="D2353" t="inlineStr">
        <is>
          <t>GÄVLEBORGS LÄN</t>
        </is>
      </c>
      <c r="E2353" t="inlineStr">
        <is>
          <t>SÖDERHAMN</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56355-2024</t>
        </is>
      </c>
      <c r="B2354" s="1" t="n">
        <v>45624.9339699074</v>
      </c>
      <c r="C2354" s="1" t="n">
        <v>46086</v>
      </c>
      <c r="D2354" t="inlineStr">
        <is>
          <t>GÄVLEBORGS LÄN</t>
        </is>
      </c>
      <c r="E2354" t="inlineStr">
        <is>
          <t>LJUSDAL</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8027-2024</t>
        </is>
      </c>
      <c r="B2355" s="1" t="n">
        <v>45350</v>
      </c>
      <c r="C2355" s="1" t="n">
        <v>46086</v>
      </c>
      <c r="D2355" t="inlineStr">
        <is>
          <t>GÄVLEBORGS LÄN</t>
        </is>
      </c>
      <c r="E2355" t="inlineStr">
        <is>
          <t>HUDIKSVALL</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14757-2024</t>
        </is>
      </c>
      <c r="B2356" s="1" t="n">
        <v>45397</v>
      </c>
      <c r="C2356" s="1" t="n">
        <v>46086</v>
      </c>
      <c r="D2356" t="inlineStr">
        <is>
          <t>GÄVLEBORGS LÄN</t>
        </is>
      </c>
      <c r="E2356" t="inlineStr">
        <is>
          <t>SÖDERHAMN</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38537-2025</t>
        </is>
      </c>
      <c r="B2357" s="1" t="n">
        <v>45884.42145833333</v>
      </c>
      <c r="C2357" s="1" t="n">
        <v>46086</v>
      </c>
      <c r="D2357" t="inlineStr">
        <is>
          <t>GÄVLEBORGS LÄN</t>
        </is>
      </c>
      <c r="E2357" t="inlineStr">
        <is>
          <t>SÖDERHAMN</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11024-2026</t>
        </is>
      </c>
      <c r="B2358" s="1" t="n">
        <v>46079.5597337963</v>
      </c>
      <c r="C2358" s="1" t="n">
        <v>46086</v>
      </c>
      <c r="D2358" t="inlineStr">
        <is>
          <t>GÄVLEBORGS LÄN</t>
        </is>
      </c>
      <c r="E2358" t="inlineStr">
        <is>
          <t>BOLLNÄS</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11025-2026</t>
        </is>
      </c>
      <c r="B2359" s="1" t="n">
        <v>46079.5637037037</v>
      </c>
      <c r="C2359" s="1" t="n">
        <v>46086</v>
      </c>
      <c r="D2359" t="inlineStr">
        <is>
          <t>GÄVLEBORGS LÄN</t>
        </is>
      </c>
      <c r="E2359" t="inlineStr">
        <is>
          <t>SÖDERHAMN</t>
        </is>
      </c>
      <c r="G2359" t="n">
        <v>4.9</v>
      </c>
      <c r="H2359" t="n">
        <v>0</v>
      </c>
      <c r="I2359" t="n">
        <v>0</v>
      </c>
      <c r="J2359" t="n">
        <v>0</v>
      </c>
      <c r="K2359" t="n">
        <v>0</v>
      </c>
      <c r="L2359" t="n">
        <v>0</v>
      </c>
      <c r="M2359" t="n">
        <v>0</v>
      </c>
      <c r="N2359" t="n">
        <v>0</v>
      </c>
      <c r="O2359" t="n">
        <v>0</v>
      </c>
      <c r="P2359" t="n">
        <v>0</v>
      </c>
      <c r="Q2359" t="n">
        <v>0</v>
      </c>
      <c r="R2359" s="2" t="inlineStr"/>
    </row>
    <row r="2360" ht="15" customHeight="1">
      <c r="A2360" t="inlineStr">
        <is>
          <t>A 16858-2024</t>
        </is>
      </c>
      <c r="B2360" s="1" t="n">
        <v>45411.55578703704</v>
      </c>
      <c r="C2360" s="1" t="n">
        <v>46086</v>
      </c>
      <c r="D2360" t="inlineStr">
        <is>
          <t>GÄVLEBORGS LÄN</t>
        </is>
      </c>
      <c r="E2360" t="inlineStr">
        <is>
          <t>HUDIKSVALL</t>
        </is>
      </c>
      <c r="G2360" t="n">
        <v>5.7</v>
      </c>
      <c r="H2360" t="n">
        <v>0</v>
      </c>
      <c r="I2360" t="n">
        <v>0</v>
      </c>
      <c r="J2360" t="n">
        <v>0</v>
      </c>
      <c r="K2360" t="n">
        <v>0</v>
      </c>
      <c r="L2360" t="n">
        <v>0</v>
      </c>
      <c r="M2360" t="n">
        <v>0</v>
      </c>
      <c r="N2360" t="n">
        <v>0</v>
      </c>
      <c r="O2360" t="n">
        <v>0</v>
      </c>
      <c r="P2360" t="n">
        <v>0</v>
      </c>
      <c r="Q2360" t="n">
        <v>0</v>
      </c>
      <c r="R2360" s="2" t="inlineStr"/>
    </row>
    <row r="2361" ht="15" customHeight="1">
      <c r="A2361" t="inlineStr">
        <is>
          <t>A 56858-2024</t>
        </is>
      </c>
      <c r="B2361" s="1" t="n">
        <v>45628.54741898148</v>
      </c>
      <c r="C2361" s="1" t="n">
        <v>46086</v>
      </c>
      <c r="D2361" t="inlineStr">
        <is>
          <t>GÄVLEBORGS LÄN</t>
        </is>
      </c>
      <c r="E2361" t="inlineStr">
        <is>
          <t>HUDIKSVALL</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58093-2024</t>
        </is>
      </c>
      <c r="B2362" s="1" t="n">
        <v>45632.35192129629</v>
      </c>
      <c r="C2362" s="1" t="n">
        <v>46086</v>
      </c>
      <c r="D2362" t="inlineStr">
        <is>
          <t>GÄVLEBORGS LÄN</t>
        </is>
      </c>
      <c r="E2362" t="inlineStr">
        <is>
          <t>SÖDERHAMN</t>
        </is>
      </c>
      <c r="F2362" t="inlineStr">
        <is>
          <t>Bergvik skog väst AB</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11813-2024</t>
        </is>
      </c>
      <c r="B2363" s="1" t="n">
        <v>45376.30138888889</v>
      </c>
      <c r="C2363" s="1" t="n">
        <v>46086</v>
      </c>
      <c r="D2363" t="inlineStr">
        <is>
          <t>GÄVLEBORGS LÄN</t>
        </is>
      </c>
      <c r="E2363" t="inlineStr">
        <is>
          <t>HOFORS</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42864-2024</t>
        </is>
      </c>
      <c r="B2364" s="1" t="n">
        <v>45566</v>
      </c>
      <c r="C2364" s="1" t="n">
        <v>46086</v>
      </c>
      <c r="D2364" t="inlineStr">
        <is>
          <t>GÄVLEBORGS LÄN</t>
        </is>
      </c>
      <c r="E2364" t="inlineStr">
        <is>
          <t>SANDVIKEN</t>
        </is>
      </c>
      <c r="F2364" t="inlineStr">
        <is>
          <t>Sveaskog</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37258-2024</t>
        </is>
      </c>
      <c r="B2365" s="1" t="n">
        <v>45540.36945601852</v>
      </c>
      <c r="C2365" s="1" t="n">
        <v>46086</v>
      </c>
      <c r="D2365" t="inlineStr">
        <is>
          <t>GÄVLEBORGS LÄN</t>
        </is>
      </c>
      <c r="E2365" t="inlineStr">
        <is>
          <t>GÄVLE</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26654-2025</t>
        </is>
      </c>
      <c r="B2366" s="1" t="n">
        <v>45810.38966435185</v>
      </c>
      <c r="C2366" s="1" t="n">
        <v>46086</v>
      </c>
      <c r="D2366" t="inlineStr">
        <is>
          <t>GÄVLEBORGS LÄN</t>
        </is>
      </c>
      <c r="E2366" t="inlineStr">
        <is>
          <t>OVANÅKER</t>
        </is>
      </c>
      <c r="F2366" t="inlineStr">
        <is>
          <t>Kyrkan</t>
        </is>
      </c>
      <c r="G2366" t="n">
        <v>7.1</v>
      </c>
      <c r="H2366" t="n">
        <v>0</v>
      </c>
      <c r="I2366" t="n">
        <v>0</v>
      </c>
      <c r="J2366" t="n">
        <v>0</v>
      </c>
      <c r="K2366" t="n">
        <v>0</v>
      </c>
      <c r="L2366" t="n">
        <v>0</v>
      </c>
      <c r="M2366" t="n">
        <v>0</v>
      </c>
      <c r="N2366" t="n">
        <v>0</v>
      </c>
      <c r="O2366" t="n">
        <v>0</v>
      </c>
      <c r="P2366" t="n">
        <v>0</v>
      </c>
      <c r="Q2366" t="n">
        <v>0</v>
      </c>
      <c r="R2366" s="2" t="inlineStr"/>
    </row>
    <row r="2367" ht="15" customHeight="1">
      <c r="A2367" t="inlineStr">
        <is>
          <t>A 37306-2024</t>
        </is>
      </c>
      <c r="B2367" s="1" t="n">
        <v>45540</v>
      </c>
      <c r="C2367" s="1" t="n">
        <v>46086</v>
      </c>
      <c r="D2367" t="inlineStr">
        <is>
          <t>GÄVLEBORGS LÄN</t>
        </is>
      </c>
      <c r="E2367" t="inlineStr">
        <is>
          <t>OVANÅKER</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18311-2025</t>
        </is>
      </c>
      <c r="B2368" s="1" t="n">
        <v>45762</v>
      </c>
      <c r="C2368" s="1" t="n">
        <v>46086</v>
      </c>
      <c r="D2368" t="inlineStr">
        <is>
          <t>GÄVLEBORGS LÄN</t>
        </is>
      </c>
      <c r="E2368" t="inlineStr">
        <is>
          <t>BOLLNÄS</t>
        </is>
      </c>
      <c r="F2368" t="inlineStr">
        <is>
          <t>Bergvik skog väst AB</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11046-2026</t>
        </is>
      </c>
      <c r="B2369" s="1" t="n">
        <v>46079.58557870371</v>
      </c>
      <c r="C2369" s="1" t="n">
        <v>46086</v>
      </c>
      <c r="D2369" t="inlineStr">
        <is>
          <t>GÄVLEBORGS LÄN</t>
        </is>
      </c>
      <c r="E2369" t="inlineStr">
        <is>
          <t>SÖDERHAMN</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11061-2026</t>
        </is>
      </c>
      <c r="B2370" s="1" t="n">
        <v>46079.60063657408</v>
      </c>
      <c r="C2370" s="1" t="n">
        <v>46086</v>
      </c>
      <c r="D2370" t="inlineStr">
        <is>
          <t>GÄVLEBORGS LÄN</t>
        </is>
      </c>
      <c r="E2370" t="inlineStr">
        <is>
          <t>OVANÅKER</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10787-2026</t>
        </is>
      </c>
      <c r="B2371" s="1" t="n">
        <v>46078</v>
      </c>
      <c r="C2371" s="1" t="n">
        <v>46086</v>
      </c>
      <c r="D2371" t="inlineStr">
        <is>
          <t>GÄVLEBORGS LÄN</t>
        </is>
      </c>
      <c r="E2371" t="inlineStr">
        <is>
          <t>OVANÅKER</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39665-2024</t>
        </is>
      </c>
      <c r="B2372" s="1" t="n">
        <v>45552.51726851852</v>
      </c>
      <c r="C2372" s="1" t="n">
        <v>46086</v>
      </c>
      <c r="D2372" t="inlineStr">
        <is>
          <t>GÄVLEBORGS LÄN</t>
        </is>
      </c>
      <c r="E2372" t="inlineStr">
        <is>
          <t>LJUSDAL</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26636-2025</t>
        </is>
      </c>
      <c r="B2373" s="1" t="n">
        <v>45810.3549537037</v>
      </c>
      <c r="C2373" s="1" t="n">
        <v>46086</v>
      </c>
      <c r="D2373" t="inlineStr">
        <is>
          <t>GÄVLEBORGS LÄN</t>
        </is>
      </c>
      <c r="E2373" t="inlineStr">
        <is>
          <t>NORDANSTIG</t>
        </is>
      </c>
      <c r="F2373" t="inlineStr">
        <is>
          <t>Holmen skog AB</t>
        </is>
      </c>
      <c r="G2373" t="n">
        <v>42.8</v>
      </c>
      <c r="H2373" t="n">
        <v>0</v>
      </c>
      <c r="I2373" t="n">
        <v>0</v>
      </c>
      <c r="J2373" t="n">
        <v>0</v>
      </c>
      <c r="K2373" t="n">
        <v>0</v>
      </c>
      <c r="L2373" t="n">
        <v>0</v>
      </c>
      <c r="M2373" t="n">
        <v>0</v>
      </c>
      <c r="N2373" t="n">
        <v>0</v>
      </c>
      <c r="O2373" t="n">
        <v>0</v>
      </c>
      <c r="P2373" t="n">
        <v>0</v>
      </c>
      <c r="Q2373" t="n">
        <v>0</v>
      </c>
      <c r="R2373" s="2" t="inlineStr"/>
    </row>
    <row r="2374" ht="15" customHeight="1">
      <c r="A2374" t="inlineStr">
        <is>
          <t>A 7883-2026</t>
        </is>
      </c>
      <c r="B2374" s="1" t="n">
        <v>46063</v>
      </c>
      <c r="C2374" s="1" t="n">
        <v>46086</v>
      </c>
      <c r="D2374" t="inlineStr">
        <is>
          <t>GÄVLEBORGS LÄN</t>
        </is>
      </c>
      <c r="E2374" t="inlineStr">
        <is>
          <t>BOLLNÄS</t>
        </is>
      </c>
      <c r="F2374" t="inlineStr">
        <is>
          <t>Bergvik skog väst AB</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7901-2026</t>
        </is>
      </c>
      <c r="B2375" s="1" t="n">
        <v>46063</v>
      </c>
      <c r="C2375" s="1" t="n">
        <v>46086</v>
      </c>
      <c r="D2375" t="inlineStr">
        <is>
          <t>GÄVLEBORGS LÄN</t>
        </is>
      </c>
      <c r="E2375" t="inlineStr">
        <is>
          <t>OVANÅKER</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12674-2023</t>
        </is>
      </c>
      <c r="B2376" s="1" t="n">
        <v>45000</v>
      </c>
      <c r="C2376" s="1" t="n">
        <v>46086</v>
      </c>
      <c r="D2376" t="inlineStr">
        <is>
          <t>GÄVLEBORGS LÄN</t>
        </is>
      </c>
      <c r="E2376" t="inlineStr">
        <is>
          <t>HUDIKSVALL</t>
        </is>
      </c>
      <c r="F2376" t="inlineStr">
        <is>
          <t>Holmen skog AB</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29723-2024</t>
        </is>
      </c>
      <c r="B2377" s="1" t="n">
        <v>45485.36784722222</v>
      </c>
      <c r="C2377" s="1" t="n">
        <v>46086</v>
      </c>
      <c r="D2377" t="inlineStr">
        <is>
          <t>GÄVLEBORGS LÄN</t>
        </is>
      </c>
      <c r="E2377" t="inlineStr">
        <is>
          <t>BOLLNÄS</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11131-2026</t>
        </is>
      </c>
      <c r="B2378" s="1" t="n">
        <v>46079.72134259259</v>
      </c>
      <c r="C2378" s="1" t="n">
        <v>46086</v>
      </c>
      <c r="D2378" t="inlineStr">
        <is>
          <t>GÄVLEBORGS LÄN</t>
        </is>
      </c>
      <c r="E2378" t="inlineStr">
        <is>
          <t>BOLLNÄS</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11133-2026</t>
        </is>
      </c>
      <c r="B2379" s="1" t="n">
        <v>46079.73822916667</v>
      </c>
      <c r="C2379" s="1" t="n">
        <v>46086</v>
      </c>
      <c r="D2379" t="inlineStr">
        <is>
          <t>GÄVLEBORGS LÄN</t>
        </is>
      </c>
      <c r="E2379" t="inlineStr">
        <is>
          <t>BOLLNÄS</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2444-2026</t>
        </is>
      </c>
      <c r="B2380" s="1" t="n">
        <v>46037.32042824074</v>
      </c>
      <c r="C2380" s="1" t="n">
        <v>46086</v>
      </c>
      <c r="D2380" t="inlineStr">
        <is>
          <t>GÄVLEBORGS LÄN</t>
        </is>
      </c>
      <c r="E2380" t="inlineStr">
        <is>
          <t>HUDIKSVALL</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2445-2026</t>
        </is>
      </c>
      <c r="B2381" s="1" t="n">
        <v>46037.32167824074</v>
      </c>
      <c r="C2381" s="1" t="n">
        <v>46086</v>
      </c>
      <c r="D2381" t="inlineStr">
        <is>
          <t>GÄVLEBORGS LÄN</t>
        </is>
      </c>
      <c r="E2381" t="inlineStr">
        <is>
          <t>OVANÅKER</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14647-2025</t>
        </is>
      </c>
      <c r="B2382" s="1" t="n">
        <v>45742.47987268519</v>
      </c>
      <c r="C2382" s="1" t="n">
        <v>46086</v>
      </c>
      <c r="D2382" t="inlineStr">
        <is>
          <t>GÄVLEBORGS LÄN</t>
        </is>
      </c>
      <c r="E2382" t="inlineStr">
        <is>
          <t>GÄVLE</t>
        </is>
      </c>
      <c r="F2382" t="inlineStr">
        <is>
          <t>Bergvik skog öst AB</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14668-2025</t>
        </is>
      </c>
      <c r="B2383" s="1" t="n">
        <v>45742.54047453704</v>
      </c>
      <c r="C2383" s="1" t="n">
        <v>46086</v>
      </c>
      <c r="D2383" t="inlineStr">
        <is>
          <t>GÄVLEBORGS LÄN</t>
        </is>
      </c>
      <c r="E2383" t="inlineStr">
        <is>
          <t>GÄVLE</t>
        </is>
      </c>
      <c r="F2383" t="inlineStr">
        <is>
          <t>Bergvik skog öst AB</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2446-2026</t>
        </is>
      </c>
      <c r="B2384" s="1" t="n">
        <v>46037.32402777778</v>
      </c>
      <c r="C2384" s="1" t="n">
        <v>46086</v>
      </c>
      <c r="D2384" t="inlineStr">
        <is>
          <t>GÄVLEBORGS LÄN</t>
        </is>
      </c>
      <c r="E2384" t="inlineStr">
        <is>
          <t>OVANÅKER</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2550-2026</t>
        </is>
      </c>
      <c r="B2385" s="1" t="n">
        <v>46037.470625</v>
      </c>
      <c r="C2385" s="1" t="n">
        <v>46086</v>
      </c>
      <c r="D2385" t="inlineStr">
        <is>
          <t>GÄVLEBORGS LÄN</t>
        </is>
      </c>
      <c r="E2385" t="inlineStr">
        <is>
          <t>OCKELBO</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38369-2024</t>
        </is>
      </c>
      <c r="B2386" s="1" t="n">
        <v>45545.83730324074</v>
      </c>
      <c r="C2386" s="1" t="n">
        <v>46086</v>
      </c>
      <c r="D2386" t="inlineStr">
        <is>
          <t>GÄVLEBORGS LÄN</t>
        </is>
      </c>
      <c r="E2386" t="inlineStr">
        <is>
          <t>OVANÅKER</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45554-2024</t>
        </is>
      </c>
      <c r="B2387" s="1" t="n">
        <v>45579.3487962963</v>
      </c>
      <c r="C2387" s="1" t="n">
        <v>46086</v>
      </c>
      <c r="D2387" t="inlineStr">
        <is>
          <t>GÄVLEBORGS LÄN</t>
        </is>
      </c>
      <c r="E2387" t="inlineStr">
        <is>
          <t>BOLLNÄS</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7472-2022</t>
        </is>
      </c>
      <c r="B2388" s="1" t="n">
        <v>44607.39039351852</v>
      </c>
      <c r="C2388" s="1" t="n">
        <v>46086</v>
      </c>
      <c r="D2388" t="inlineStr">
        <is>
          <t>GÄVLEBORGS LÄN</t>
        </is>
      </c>
      <c r="E2388" t="inlineStr">
        <is>
          <t>LJUSDAL</t>
        </is>
      </c>
      <c r="F2388" t="inlineStr">
        <is>
          <t>Holmen skog AB</t>
        </is>
      </c>
      <c r="G2388" t="n">
        <v>7.3</v>
      </c>
      <c r="H2388" t="n">
        <v>0</v>
      </c>
      <c r="I2388" t="n">
        <v>0</v>
      </c>
      <c r="J2388" t="n">
        <v>0</v>
      </c>
      <c r="K2388" t="n">
        <v>0</v>
      </c>
      <c r="L2388" t="n">
        <v>0</v>
      </c>
      <c r="M2388" t="n">
        <v>0</v>
      </c>
      <c r="N2388" t="n">
        <v>0</v>
      </c>
      <c r="O2388" t="n">
        <v>0</v>
      </c>
      <c r="P2388" t="n">
        <v>0</v>
      </c>
      <c r="Q2388" t="n">
        <v>0</v>
      </c>
      <c r="R2388" s="2" t="inlineStr"/>
    </row>
    <row r="2389" ht="15" customHeight="1">
      <c r="A2389" t="inlineStr">
        <is>
          <t>A 2560-2026</t>
        </is>
      </c>
      <c r="B2389" s="1" t="n">
        <v>46037</v>
      </c>
      <c r="C2389" s="1" t="n">
        <v>46086</v>
      </c>
      <c r="D2389" t="inlineStr">
        <is>
          <t>GÄVLEBORGS LÄN</t>
        </is>
      </c>
      <c r="E2389" t="inlineStr">
        <is>
          <t>SÖDERHAMN</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2571-2026</t>
        </is>
      </c>
      <c r="B2390" s="1" t="n">
        <v>46037.50278935185</v>
      </c>
      <c r="C2390" s="1" t="n">
        <v>46086</v>
      </c>
      <c r="D2390" t="inlineStr">
        <is>
          <t>GÄVLEBORGS LÄN</t>
        </is>
      </c>
      <c r="E2390" t="inlineStr">
        <is>
          <t>NORDANSTIG</t>
        </is>
      </c>
      <c r="G2390" t="n">
        <v>7.6</v>
      </c>
      <c r="H2390" t="n">
        <v>0</v>
      </c>
      <c r="I2390" t="n">
        <v>0</v>
      </c>
      <c r="J2390" t="n">
        <v>0</v>
      </c>
      <c r="K2390" t="n">
        <v>0</v>
      </c>
      <c r="L2390" t="n">
        <v>0</v>
      </c>
      <c r="M2390" t="n">
        <v>0</v>
      </c>
      <c r="N2390" t="n">
        <v>0</v>
      </c>
      <c r="O2390" t="n">
        <v>0</v>
      </c>
      <c r="P2390" t="n">
        <v>0</v>
      </c>
      <c r="Q2390" t="n">
        <v>0</v>
      </c>
      <c r="R2390" s="2" t="inlineStr"/>
    </row>
    <row r="2391" ht="15" customHeight="1">
      <c r="A2391" t="inlineStr">
        <is>
          <t>A 2575-2026</t>
        </is>
      </c>
      <c r="B2391" s="1" t="n">
        <v>46037.51314814815</v>
      </c>
      <c r="C2391" s="1" t="n">
        <v>46086</v>
      </c>
      <c r="D2391" t="inlineStr">
        <is>
          <t>GÄVLEBORGS LÄN</t>
        </is>
      </c>
      <c r="E2391" t="inlineStr">
        <is>
          <t>NORDANSTIG</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2587-2026</t>
        </is>
      </c>
      <c r="B2392" s="1" t="n">
        <v>46037.5436574074</v>
      </c>
      <c r="C2392" s="1" t="n">
        <v>46086</v>
      </c>
      <c r="D2392" t="inlineStr">
        <is>
          <t>GÄVLEBORGS LÄN</t>
        </is>
      </c>
      <c r="E2392" t="inlineStr">
        <is>
          <t>BOLLNÄS</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2589-2026</t>
        </is>
      </c>
      <c r="B2393" s="1" t="n">
        <v>46037</v>
      </c>
      <c r="C2393" s="1" t="n">
        <v>46086</v>
      </c>
      <c r="D2393" t="inlineStr">
        <is>
          <t>GÄVLEBORGS LÄN</t>
        </is>
      </c>
      <c r="E2393" t="inlineStr">
        <is>
          <t>OVANÅKER</t>
        </is>
      </c>
      <c r="G2393" t="n">
        <v>5.6</v>
      </c>
      <c r="H2393" t="n">
        <v>0</v>
      </c>
      <c r="I2393" t="n">
        <v>0</v>
      </c>
      <c r="J2393" t="n">
        <v>0</v>
      </c>
      <c r="K2393" t="n">
        <v>0</v>
      </c>
      <c r="L2393" t="n">
        <v>0</v>
      </c>
      <c r="M2393" t="n">
        <v>0</v>
      </c>
      <c r="N2393" t="n">
        <v>0</v>
      </c>
      <c r="O2393" t="n">
        <v>0</v>
      </c>
      <c r="P2393" t="n">
        <v>0</v>
      </c>
      <c r="Q2393" t="n">
        <v>0</v>
      </c>
      <c r="R2393" s="2" t="inlineStr"/>
    </row>
    <row r="2394" ht="15" customHeight="1">
      <c r="A2394" t="inlineStr">
        <is>
          <t>A 2622-2026</t>
        </is>
      </c>
      <c r="B2394" s="1" t="n">
        <v>46037.59346064815</v>
      </c>
      <c r="C2394" s="1" t="n">
        <v>46086</v>
      </c>
      <c r="D2394" t="inlineStr">
        <is>
          <t>GÄVLEBORGS LÄN</t>
        </is>
      </c>
      <c r="E2394" t="inlineStr">
        <is>
          <t>SÖDERHAMN</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6445-2026</t>
        </is>
      </c>
      <c r="B2395" s="1" t="n">
        <v>46055</v>
      </c>
      <c r="C2395" s="1" t="n">
        <v>46086</v>
      </c>
      <c r="D2395" t="inlineStr">
        <is>
          <t>GÄVLEBORGS LÄN</t>
        </is>
      </c>
      <c r="E2395" t="inlineStr">
        <is>
          <t>HUDIKSVALL</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42732-2023</t>
        </is>
      </c>
      <c r="B2396" s="1" t="n">
        <v>45181</v>
      </c>
      <c r="C2396" s="1" t="n">
        <v>46086</v>
      </c>
      <c r="D2396" t="inlineStr">
        <is>
          <t>GÄVLEBORGS LÄN</t>
        </is>
      </c>
      <c r="E2396" t="inlineStr">
        <is>
          <t>LJUSDAL</t>
        </is>
      </c>
      <c r="F2396" t="inlineStr">
        <is>
          <t>Kommuner</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5475-2023</t>
        </is>
      </c>
      <c r="B2397" s="1" t="n">
        <v>44960</v>
      </c>
      <c r="C2397" s="1" t="n">
        <v>46086</v>
      </c>
      <c r="D2397" t="inlineStr">
        <is>
          <t>GÄVLEBORGS LÄN</t>
        </is>
      </c>
      <c r="E2397" t="inlineStr">
        <is>
          <t>NORDANSTIG</t>
        </is>
      </c>
      <c r="G2397" t="n">
        <v>7</v>
      </c>
      <c r="H2397" t="n">
        <v>0</v>
      </c>
      <c r="I2397" t="n">
        <v>0</v>
      </c>
      <c r="J2397" t="n">
        <v>0</v>
      </c>
      <c r="K2397" t="n">
        <v>0</v>
      </c>
      <c r="L2397" t="n">
        <v>0</v>
      </c>
      <c r="M2397" t="n">
        <v>0</v>
      </c>
      <c r="N2397" t="n">
        <v>0</v>
      </c>
      <c r="O2397" t="n">
        <v>0</v>
      </c>
      <c r="P2397" t="n">
        <v>0</v>
      </c>
      <c r="Q2397" t="n">
        <v>0</v>
      </c>
      <c r="R2397" s="2" t="inlineStr"/>
    </row>
    <row r="2398" ht="15" customHeight="1">
      <c r="A2398" t="inlineStr">
        <is>
          <t>A 20023-2025</t>
        </is>
      </c>
      <c r="B2398" s="1" t="n">
        <v>45772.34421296296</v>
      </c>
      <c r="C2398" s="1" t="n">
        <v>46086</v>
      </c>
      <c r="D2398" t="inlineStr">
        <is>
          <t>GÄVLEBORGS LÄN</t>
        </is>
      </c>
      <c r="E2398" t="inlineStr">
        <is>
          <t>LJUSDAL</t>
        </is>
      </c>
      <c r="F2398" t="inlineStr">
        <is>
          <t>SCA</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8210-2026</t>
        </is>
      </c>
      <c r="B2399" s="1" t="n">
        <v>46064</v>
      </c>
      <c r="C2399" s="1" t="n">
        <v>46086</v>
      </c>
      <c r="D2399" t="inlineStr">
        <is>
          <t>GÄVLEBORGS LÄN</t>
        </is>
      </c>
      <c r="E2399" t="inlineStr">
        <is>
          <t>SANDVIKEN</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8215-2026</t>
        </is>
      </c>
      <c r="B2400" s="1" t="n">
        <v>46064</v>
      </c>
      <c r="C2400" s="1" t="n">
        <v>46086</v>
      </c>
      <c r="D2400" t="inlineStr">
        <is>
          <t>GÄVLEBORGS LÄN</t>
        </is>
      </c>
      <c r="E2400" t="inlineStr">
        <is>
          <t>OVANÅKER</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8979-2026</t>
        </is>
      </c>
      <c r="B2401" s="1" t="n">
        <v>46069</v>
      </c>
      <c r="C2401" s="1" t="n">
        <v>46086</v>
      </c>
      <c r="D2401" t="inlineStr">
        <is>
          <t>GÄVLEBORGS LÄN</t>
        </is>
      </c>
      <c r="E2401" t="inlineStr">
        <is>
          <t>OCKELBO</t>
        </is>
      </c>
      <c r="F2401" t="inlineStr">
        <is>
          <t>Bergvik skog väst AB</t>
        </is>
      </c>
      <c r="G2401" t="n">
        <v>8.4</v>
      </c>
      <c r="H2401" t="n">
        <v>0</v>
      </c>
      <c r="I2401" t="n">
        <v>0</v>
      </c>
      <c r="J2401" t="n">
        <v>0</v>
      </c>
      <c r="K2401" t="n">
        <v>0</v>
      </c>
      <c r="L2401" t="n">
        <v>0</v>
      </c>
      <c r="M2401" t="n">
        <v>0</v>
      </c>
      <c r="N2401" t="n">
        <v>0</v>
      </c>
      <c r="O2401" t="n">
        <v>0</v>
      </c>
      <c r="P2401" t="n">
        <v>0</v>
      </c>
      <c r="Q2401" t="n">
        <v>0</v>
      </c>
      <c r="R2401" s="2" t="inlineStr"/>
    </row>
    <row r="2402" ht="15" customHeight="1">
      <c r="A2402" t="inlineStr">
        <is>
          <t>A 35646-2024</t>
        </is>
      </c>
      <c r="B2402" s="1" t="n">
        <v>45532</v>
      </c>
      <c r="C2402" s="1" t="n">
        <v>46086</v>
      </c>
      <c r="D2402" t="inlineStr">
        <is>
          <t>GÄVLEBORGS LÄN</t>
        </is>
      </c>
      <c r="E2402" t="inlineStr">
        <is>
          <t>SANDVIKEN</t>
        </is>
      </c>
      <c r="G2402" t="n">
        <v>6.8</v>
      </c>
      <c r="H2402" t="n">
        <v>0</v>
      </c>
      <c r="I2402" t="n">
        <v>0</v>
      </c>
      <c r="J2402" t="n">
        <v>0</v>
      </c>
      <c r="K2402" t="n">
        <v>0</v>
      </c>
      <c r="L2402" t="n">
        <v>0</v>
      </c>
      <c r="M2402" t="n">
        <v>0</v>
      </c>
      <c r="N2402" t="n">
        <v>0</v>
      </c>
      <c r="O2402" t="n">
        <v>0</v>
      </c>
      <c r="P2402" t="n">
        <v>0</v>
      </c>
      <c r="Q2402" t="n">
        <v>0</v>
      </c>
      <c r="R2402" s="2" t="inlineStr"/>
    </row>
    <row r="2403" ht="15" customHeight="1">
      <c r="A2403" t="inlineStr">
        <is>
          <t>A 26787-2025</t>
        </is>
      </c>
      <c r="B2403" s="1" t="n">
        <v>45810</v>
      </c>
      <c r="C2403" s="1" t="n">
        <v>46086</v>
      </c>
      <c r="D2403" t="inlineStr">
        <is>
          <t>GÄVLEBORGS LÄN</t>
        </is>
      </c>
      <c r="E2403" t="inlineStr">
        <is>
          <t>SANDVIKEN</t>
        </is>
      </c>
      <c r="F2403" t="inlineStr">
        <is>
          <t>Sveaskog</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26999-2025</t>
        </is>
      </c>
      <c r="B2404" s="1" t="n">
        <v>45811.54422453704</v>
      </c>
      <c r="C2404" s="1" t="n">
        <v>46086</v>
      </c>
      <c r="D2404" t="inlineStr">
        <is>
          <t>GÄVLEBORGS LÄN</t>
        </is>
      </c>
      <c r="E2404" t="inlineStr">
        <is>
          <t>LJUSDAL</t>
        </is>
      </c>
      <c r="F2404" t="inlineStr">
        <is>
          <t>Bergvik skog väst AB</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2682-2026</t>
        </is>
      </c>
      <c r="B2405" s="1" t="n">
        <v>46037</v>
      </c>
      <c r="C2405" s="1" t="n">
        <v>46086</v>
      </c>
      <c r="D2405" t="inlineStr">
        <is>
          <t>GÄVLEBORGS LÄN</t>
        </is>
      </c>
      <c r="E2405" t="inlineStr">
        <is>
          <t>NORDANSTIG</t>
        </is>
      </c>
      <c r="F2405" t="inlineStr">
        <is>
          <t>Holmen skog AB</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9332-2026</t>
        </is>
      </c>
      <c r="B2406" s="1" t="n">
        <v>46070</v>
      </c>
      <c r="C2406" s="1" t="n">
        <v>46086</v>
      </c>
      <c r="D2406" t="inlineStr">
        <is>
          <t>GÄVLEBORGS LÄN</t>
        </is>
      </c>
      <c r="E2406" t="inlineStr">
        <is>
          <t>HUDIKSVALL</t>
        </is>
      </c>
      <c r="F2406" t="inlineStr">
        <is>
          <t>Naturvårdsverket</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26799-2025</t>
        </is>
      </c>
      <c r="B2407" s="1" t="n">
        <v>45810.60430555556</v>
      </c>
      <c r="C2407" s="1" t="n">
        <v>46086</v>
      </c>
      <c r="D2407" t="inlineStr">
        <is>
          <t>GÄVLEBORGS LÄN</t>
        </is>
      </c>
      <c r="E2407" t="inlineStr">
        <is>
          <t>BOLLNÄS</t>
        </is>
      </c>
      <c r="G2407" t="n">
        <v>10.3</v>
      </c>
      <c r="H2407" t="n">
        <v>0</v>
      </c>
      <c r="I2407" t="n">
        <v>0</v>
      </c>
      <c r="J2407" t="n">
        <v>0</v>
      </c>
      <c r="K2407" t="n">
        <v>0</v>
      </c>
      <c r="L2407" t="n">
        <v>0</v>
      </c>
      <c r="M2407" t="n">
        <v>0</v>
      </c>
      <c r="N2407" t="n">
        <v>0</v>
      </c>
      <c r="O2407" t="n">
        <v>0</v>
      </c>
      <c r="P2407" t="n">
        <v>0</v>
      </c>
      <c r="Q2407" t="n">
        <v>0</v>
      </c>
      <c r="R2407" s="2" t="inlineStr"/>
    </row>
    <row r="2408" ht="15" customHeight="1">
      <c r="A2408" t="inlineStr">
        <is>
          <t>A 44688-2024</t>
        </is>
      </c>
      <c r="B2408" s="1" t="n">
        <v>45574.55434027778</v>
      </c>
      <c r="C2408" s="1" t="n">
        <v>46086</v>
      </c>
      <c r="D2408" t="inlineStr">
        <is>
          <t>GÄVLEBORGS LÄN</t>
        </is>
      </c>
      <c r="E2408" t="inlineStr">
        <is>
          <t>HUDIKSVALL</t>
        </is>
      </c>
      <c r="G2408" t="n">
        <v>66.59999999999999</v>
      </c>
      <c r="H2408" t="n">
        <v>0</v>
      </c>
      <c r="I2408" t="n">
        <v>0</v>
      </c>
      <c r="J2408" t="n">
        <v>0</v>
      </c>
      <c r="K2408" t="n">
        <v>0</v>
      </c>
      <c r="L2408" t="n">
        <v>0</v>
      </c>
      <c r="M2408" t="n">
        <v>0</v>
      </c>
      <c r="N2408" t="n">
        <v>0</v>
      </c>
      <c r="O2408" t="n">
        <v>0</v>
      </c>
      <c r="P2408" t="n">
        <v>0</v>
      </c>
      <c r="Q2408" t="n">
        <v>0</v>
      </c>
      <c r="R2408" s="2" t="inlineStr"/>
    </row>
    <row r="2409" ht="15" customHeight="1">
      <c r="A2409" t="inlineStr">
        <is>
          <t>A 42107-2024</t>
        </is>
      </c>
      <c r="B2409" s="1" t="n">
        <v>45562.36814814815</v>
      </c>
      <c r="C2409" s="1" t="n">
        <v>46086</v>
      </c>
      <c r="D2409" t="inlineStr">
        <is>
          <t>GÄVLEBORGS LÄN</t>
        </is>
      </c>
      <c r="E2409" t="inlineStr">
        <is>
          <t>SANDVIKEN</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10950-2026</t>
        </is>
      </c>
      <c r="B2410" s="1" t="n">
        <v>46079.395</v>
      </c>
      <c r="C2410" s="1" t="n">
        <v>46086</v>
      </c>
      <c r="D2410" t="inlineStr">
        <is>
          <t>GÄVLEBORGS LÄN</t>
        </is>
      </c>
      <c r="E2410" t="inlineStr">
        <is>
          <t>OVANÅKER</t>
        </is>
      </c>
      <c r="G2410" t="n">
        <v>6.1</v>
      </c>
      <c r="H2410" t="n">
        <v>0</v>
      </c>
      <c r="I2410" t="n">
        <v>0</v>
      </c>
      <c r="J2410" t="n">
        <v>0</v>
      </c>
      <c r="K2410" t="n">
        <v>0</v>
      </c>
      <c r="L2410" t="n">
        <v>0</v>
      </c>
      <c r="M2410" t="n">
        <v>0</v>
      </c>
      <c r="N2410" t="n">
        <v>0</v>
      </c>
      <c r="O2410" t="n">
        <v>0</v>
      </c>
      <c r="P2410" t="n">
        <v>0</v>
      </c>
      <c r="Q2410" t="n">
        <v>0</v>
      </c>
      <c r="R2410" s="2" t="inlineStr"/>
    </row>
    <row r="2411" ht="15" customHeight="1">
      <c r="A2411" t="inlineStr">
        <is>
          <t>A 25768-2022</t>
        </is>
      </c>
      <c r="B2411" s="1" t="n">
        <v>44733.45824074074</v>
      </c>
      <c r="C2411" s="1" t="n">
        <v>46086</v>
      </c>
      <c r="D2411" t="inlineStr">
        <is>
          <t>GÄVLEBORGS LÄN</t>
        </is>
      </c>
      <c r="E2411" t="inlineStr">
        <is>
          <t>GÄVLE</t>
        </is>
      </c>
      <c r="F2411" t="inlineStr">
        <is>
          <t>Bergvik skog öst AB</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11001-2026</t>
        </is>
      </c>
      <c r="B2412" s="1" t="n">
        <v>46079.50302083333</v>
      </c>
      <c r="C2412" s="1" t="n">
        <v>46086</v>
      </c>
      <c r="D2412" t="inlineStr">
        <is>
          <t>GÄVLEBORGS LÄN</t>
        </is>
      </c>
      <c r="E2412" t="inlineStr">
        <is>
          <t>OCKELBO</t>
        </is>
      </c>
      <c r="F2412" t="inlineStr">
        <is>
          <t>Bergvik skog väst AB</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11019-2026</t>
        </is>
      </c>
      <c r="B2413" s="1" t="n">
        <v>46079.54666666667</v>
      </c>
      <c r="C2413" s="1" t="n">
        <v>46086</v>
      </c>
      <c r="D2413" t="inlineStr">
        <is>
          <t>GÄVLEBORGS LÄN</t>
        </is>
      </c>
      <c r="E2413" t="inlineStr">
        <is>
          <t>BOLLNÄS</t>
        </is>
      </c>
      <c r="F2413" t="inlineStr">
        <is>
          <t>Bergvik skog väst AB</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23928-2024</t>
        </is>
      </c>
      <c r="B2414" s="1" t="n">
        <v>45455.93178240741</v>
      </c>
      <c r="C2414" s="1" t="n">
        <v>46086</v>
      </c>
      <c r="D2414" t="inlineStr">
        <is>
          <t>GÄVLEBORGS LÄN</t>
        </is>
      </c>
      <c r="E2414" t="inlineStr">
        <is>
          <t>LJUSDAL</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11021-2026</t>
        </is>
      </c>
      <c r="B2415" s="1" t="n">
        <v>46079.55030092593</v>
      </c>
      <c r="C2415" s="1" t="n">
        <v>46086</v>
      </c>
      <c r="D2415" t="inlineStr">
        <is>
          <t>GÄVLEBORGS LÄN</t>
        </is>
      </c>
      <c r="E2415" t="inlineStr">
        <is>
          <t>BOLLNÄS</t>
        </is>
      </c>
      <c r="F2415" t="inlineStr">
        <is>
          <t>Bergvik skog väst AB</t>
        </is>
      </c>
      <c r="G2415" t="n">
        <v>6.8</v>
      </c>
      <c r="H2415" t="n">
        <v>0</v>
      </c>
      <c r="I2415" t="n">
        <v>0</v>
      </c>
      <c r="J2415" t="n">
        <v>0</v>
      </c>
      <c r="K2415" t="n">
        <v>0</v>
      </c>
      <c r="L2415" t="n">
        <v>0</v>
      </c>
      <c r="M2415" t="n">
        <v>0</v>
      </c>
      <c r="N2415" t="n">
        <v>0</v>
      </c>
      <c r="O2415" t="n">
        <v>0</v>
      </c>
      <c r="P2415" t="n">
        <v>0</v>
      </c>
      <c r="Q2415" t="n">
        <v>0</v>
      </c>
      <c r="R2415" s="2" t="inlineStr"/>
    </row>
    <row r="2416" ht="15" customHeight="1">
      <c r="A2416" t="inlineStr">
        <is>
          <t>A 10923-2026</t>
        </is>
      </c>
      <c r="B2416" s="1" t="n">
        <v>46079.34003472222</v>
      </c>
      <c r="C2416" s="1" t="n">
        <v>46086</v>
      </c>
      <c r="D2416" t="inlineStr">
        <is>
          <t>GÄVLEBORGS LÄN</t>
        </is>
      </c>
      <c r="E2416" t="inlineStr">
        <is>
          <t>BOLLNÄS</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10690-2026</t>
        </is>
      </c>
      <c r="B2417" s="1" t="n">
        <v>46078.42818287037</v>
      </c>
      <c r="C2417" s="1" t="n">
        <v>46086</v>
      </c>
      <c r="D2417" t="inlineStr">
        <is>
          <t>GÄVLEBORGS LÄN</t>
        </is>
      </c>
      <c r="E2417" t="inlineStr">
        <is>
          <t>SÖDERHAMN</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26788-2025</t>
        </is>
      </c>
      <c r="B2418" s="1" t="n">
        <v>45810.58700231482</v>
      </c>
      <c r="C2418" s="1" t="n">
        <v>46086</v>
      </c>
      <c r="D2418" t="inlineStr">
        <is>
          <t>GÄVLEBORGS LÄN</t>
        </is>
      </c>
      <c r="E2418" t="inlineStr">
        <is>
          <t>HUDIKSVALL</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60520-2023</t>
        </is>
      </c>
      <c r="B2419" s="1" t="n">
        <v>45259.65444444444</v>
      </c>
      <c r="C2419" s="1" t="n">
        <v>46086</v>
      </c>
      <c r="D2419" t="inlineStr">
        <is>
          <t>GÄVLEBORGS LÄN</t>
        </is>
      </c>
      <c r="E2419" t="inlineStr">
        <is>
          <t>NORDANSTIG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2149-2024</t>
        </is>
      </c>
      <c r="B2420" s="1" t="n">
        <v>45309.57211805556</v>
      </c>
      <c r="C2420" s="1" t="n">
        <v>46086</v>
      </c>
      <c r="D2420" t="inlineStr">
        <is>
          <t>GÄVLEBORGS LÄN</t>
        </is>
      </c>
      <c r="E2420" t="inlineStr">
        <is>
          <t>NORDANSTIG</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24551-2024</t>
        </is>
      </c>
      <c r="B2421" s="1" t="n">
        <v>45460.40803240741</v>
      </c>
      <c r="C2421" s="1" t="n">
        <v>46086</v>
      </c>
      <c r="D2421" t="inlineStr">
        <is>
          <t>GÄVLEBORGS LÄN</t>
        </is>
      </c>
      <c r="E2421" t="inlineStr">
        <is>
          <t>BOLLNÄS</t>
        </is>
      </c>
      <c r="G2421" t="n">
        <v>6.8</v>
      </c>
      <c r="H2421" t="n">
        <v>0</v>
      </c>
      <c r="I2421" t="n">
        <v>0</v>
      </c>
      <c r="J2421" t="n">
        <v>0</v>
      </c>
      <c r="K2421" t="n">
        <v>0</v>
      </c>
      <c r="L2421" t="n">
        <v>0</v>
      </c>
      <c r="M2421" t="n">
        <v>0</v>
      </c>
      <c r="N2421" t="n">
        <v>0</v>
      </c>
      <c r="O2421" t="n">
        <v>0</v>
      </c>
      <c r="P2421" t="n">
        <v>0</v>
      </c>
      <c r="Q2421" t="n">
        <v>0</v>
      </c>
      <c r="R2421" s="2" t="inlineStr"/>
    </row>
    <row r="2422" ht="15" customHeight="1">
      <c r="A2422" t="inlineStr">
        <is>
          <t>A 732-2026</t>
        </is>
      </c>
      <c r="B2422" s="1" t="n">
        <v>46029</v>
      </c>
      <c r="C2422" s="1" t="n">
        <v>46086</v>
      </c>
      <c r="D2422" t="inlineStr">
        <is>
          <t>GÄVLEBORGS LÄN</t>
        </is>
      </c>
      <c r="E2422" t="inlineStr">
        <is>
          <t>BOLLNÄS</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10844-2026</t>
        </is>
      </c>
      <c r="B2423" s="1" t="n">
        <v>46078.64641203704</v>
      </c>
      <c r="C2423" s="1" t="n">
        <v>46086</v>
      </c>
      <c r="D2423" t="inlineStr">
        <is>
          <t>GÄVLEBORGS LÄN</t>
        </is>
      </c>
      <c r="E2423" t="inlineStr">
        <is>
          <t>BOLLNÄS</t>
        </is>
      </c>
      <c r="F2423" t="inlineStr">
        <is>
          <t>Bergvik skog väst AB</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10851-2026</t>
        </is>
      </c>
      <c r="B2424" s="1" t="n">
        <v>46078.65555555555</v>
      </c>
      <c r="C2424" s="1" t="n">
        <v>46086</v>
      </c>
      <c r="D2424" t="inlineStr">
        <is>
          <t>GÄVLEBORGS LÄN</t>
        </is>
      </c>
      <c r="E2424" t="inlineStr">
        <is>
          <t>OVANÅKER</t>
        </is>
      </c>
      <c r="F2424" t="inlineStr">
        <is>
          <t>Bergvik skog öst AB</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40400-2022</t>
        </is>
      </c>
      <c r="B2425" s="1" t="n">
        <v>44823</v>
      </c>
      <c r="C2425" s="1" t="n">
        <v>46086</v>
      </c>
      <c r="D2425" t="inlineStr">
        <is>
          <t>GÄVLEBORGS LÄN</t>
        </is>
      </c>
      <c r="E2425" t="inlineStr">
        <is>
          <t>OVANÅKER</t>
        </is>
      </c>
      <c r="F2425" t="inlineStr">
        <is>
          <t>Bergvik skog väst AB</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10857-2026</t>
        </is>
      </c>
      <c r="B2426" s="1" t="n">
        <v>46078.66210648148</v>
      </c>
      <c r="C2426" s="1" t="n">
        <v>46086</v>
      </c>
      <c r="D2426" t="inlineStr">
        <is>
          <t>GÄVLEBORGS LÄN</t>
        </is>
      </c>
      <c r="E2426" t="inlineStr">
        <is>
          <t>BOLLNÄS</t>
        </is>
      </c>
      <c r="G2426" t="n">
        <v>6.4</v>
      </c>
      <c r="H2426" t="n">
        <v>0</v>
      </c>
      <c r="I2426" t="n">
        <v>0</v>
      </c>
      <c r="J2426" t="n">
        <v>0</v>
      </c>
      <c r="K2426" t="n">
        <v>0</v>
      </c>
      <c r="L2426" t="n">
        <v>0</v>
      </c>
      <c r="M2426" t="n">
        <v>0</v>
      </c>
      <c r="N2426" t="n">
        <v>0</v>
      </c>
      <c r="O2426" t="n">
        <v>0</v>
      </c>
      <c r="P2426" t="n">
        <v>0</v>
      </c>
      <c r="Q2426" t="n">
        <v>0</v>
      </c>
      <c r="R2426" s="2" t="inlineStr"/>
    </row>
    <row r="2427" ht="15" customHeight="1">
      <c r="A2427" t="inlineStr">
        <is>
          <t>A 16781-2024</t>
        </is>
      </c>
      <c r="B2427" s="1" t="n">
        <v>45411.4180324074</v>
      </c>
      <c r="C2427" s="1" t="n">
        <v>46086</v>
      </c>
      <c r="D2427" t="inlineStr">
        <is>
          <t>GÄVLEBORGS LÄN</t>
        </is>
      </c>
      <c r="E2427" t="inlineStr">
        <is>
          <t>HUDIKSVALL</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2075-2026</t>
        </is>
      </c>
      <c r="B2428" s="1" t="n">
        <v>46036.34694444444</v>
      </c>
      <c r="C2428" s="1" t="n">
        <v>46086</v>
      </c>
      <c r="D2428" t="inlineStr">
        <is>
          <t>GÄVLEBORGS LÄN</t>
        </is>
      </c>
      <c r="E2428" t="inlineStr">
        <is>
          <t>OVANÅKER</t>
        </is>
      </c>
      <c r="F2428" t="inlineStr">
        <is>
          <t>Bergvik skog väst AB</t>
        </is>
      </c>
      <c r="G2428" t="n">
        <v>41.4</v>
      </c>
      <c r="H2428" t="n">
        <v>0</v>
      </c>
      <c r="I2428" t="n">
        <v>0</v>
      </c>
      <c r="J2428" t="n">
        <v>0</v>
      </c>
      <c r="K2428" t="n">
        <v>0</v>
      </c>
      <c r="L2428" t="n">
        <v>0</v>
      </c>
      <c r="M2428" t="n">
        <v>0</v>
      </c>
      <c r="N2428" t="n">
        <v>0</v>
      </c>
      <c r="O2428" t="n">
        <v>0</v>
      </c>
      <c r="P2428" t="n">
        <v>0</v>
      </c>
      <c r="Q2428" t="n">
        <v>0</v>
      </c>
      <c r="R2428" s="2" t="inlineStr"/>
    </row>
    <row r="2429" ht="15" customHeight="1">
      <c r="A2429" t="inlineStr">
        <is>
          <t>A 26634-2025</t>
        </is>
      </c>
      <c r="B2429" s="1" t="n">
        <v>45810.35309027778</v>
      </c>
      <c r="C2429" s="1" t="n">
        <v>46086</v>
      </c>
      <c r="D2429" t="inlineStr">
        <is>
          <t>GÄVLEBORGS LÄN</t>
        </is>
      </c>
      <c r="E2429" t="inlineStr">
        <is>
          <t>BOLLNÄS</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38673-2025</t>
        </is>
      </c>
      <c r="B2430" s="1" t="n">
        <v>45884.63460648148</v>
      </c>
      <c r="C2430" s="1" t="n">
        <v>46086</v>
      </c>
      <c r="D2430" t="inlineStr">
        <is>
          <t>GÄVLEBORGS LÄN</t>
        </is>
      </c>
      <c r="E2430" t="inlineStr">
        <is>
          <t>SANDVIKEN</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2095-2026</t>
        </is>
      </c>
      <c r="B2431" s="1" t="n">
        <v>46036</v>
      </c>
      <c r="C2431" s="1" t="n">
        <v>46086</v>
      </c>
      <c r="D2431" t="inlineStr">
        <is>
          <t>GÄVLEBORGS LÄN</t>
        </is>
      </c>
      <c r="E2431" t="inlineStr">
        <is>
          <t>OVANÅKER</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12393-2025</t>
        </is>
      </c>
      <c r="B2432" s="1" t="n">
        <v>45730.40202546296</v>
      </c>
      <c r="C2432" s="1" t="n">
        <v>46086</v>
      </c>
      <c r="D2432" t="inlineStr">
        <is>
          <t>GÄVLEBORGS LÄN</t>
        </is>
      </c>
      <c r="E2432" t="inlineStr">
        <is>
          <t>HUDIKSVALL</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12421-2025</t>
        </is>
      </c>
      <c r="B2433" s="1" t="n">
        <v>45730.45319444445</v>
      </c>
      <c r="C2433" s="1" t="n">
        <v>46086</v>
      </c>
      <c r="D2433" t="inlineStr">
        <is>
          <t>GÄVLEBORGS LÄN</t>
        </is>
      </c>
      <c r="E2433" t="inlineStr">
        <is>
          <t>SANDVIKEN</t>
        </is>
      </c>
      <c r="F2433" t="inlineStr">
        <is>
          <t>Bergvik skog öst AB</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27345-2025</t>
        </is>
      </c>
      <c r="B2434" s="1" t="n">
        <v>45812.62276620371</v>
      </c>
      <c r="C2434" s="1" t="n">
        <v>46086</v>
      </c>
      <c r="D2434" t="inlineStr">
        <is>
          <t>GÄVLEBORGS LÄN</t>
        </is>
      </c>
      <c r="E2434" t="inlineStr">
        <is>
          <t>BOLLNÄS</t>
        </is>
      </c>
      <c r="G2434" t="n">
        <v>9.199999999999999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27361-2025</t>
        </is>
      </c>
      <c r="B2435" s="1" t="n">
        <v>45812.64255787037</v>
      </c>
      <c r="C2435" s="1" t="n">
        <v>46086</v>
      </c>
      <c r="D2435" t="inlineStr">
        <is>
          <t>GÄVLEBORGS LÄN</t>
        </is>
      </c>
      <c r="E2435" t="inlineStr">
        <is>
          <t>BOLLNÄS</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27409-2025</t>
        </is>
      </c>
      <c r="B2436" s="1" t="n">
        <v>45812.74663194444</v>
      </c>
      <c r="C2436" s="1" t="n">
        <v>46086</v>
      </c>
      <c r="D2436" t="inlineStr">
        <is>
          <t>GÄVLEBORGS LÄN</t>
        </is>
      </c>
      <c r="E2436" t="inlineStr">
        <is>
          <t>LJUSDAL</t>
        </is>
      </c>
      <c r="F2436" t="inlineStr">
        <is>
          <t>Sveaskog</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18466-2025</t>
        </is>
      </c>
      <c r="B2437" s="1" t="n">
        <v>45762.70567129629</v>
      </c>
      <c r="C2437" s="1" t="n">
        <v>46086</v>
      </c>
      <c r="D2437" t="inlineStr">
        <is>
          <t>GÄVLEBORGS LÄN</t>
        </is>
      </c>
      <c r="E2437" t="inlineStr">
        <is>
          <t>SÖDERHAMN</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21936-2024</t>
        </is>
      </c>
      <c r="B2438" s="1" t="n">
        <v>45443.47413194444</v>
      </c>
      <c r="C2438" s="1" t="n">
        <v>46086</v>
      </c>
      <c r="D2438" t="inlineStr">
        <is>
          <t>GÄVLEBORGS LÄN</t>
        </is>
      </c>
      <c r="E2438" t="inlineStr">
        <is>
          <t>OCKELBO</t>
        </is>
      </c>
      <c r="F2438" t="inlineStr">
        <is>
          <t>Bergvik skog väst AB</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27176-2025</t>
        </is>
      </c>
      <c r="B2439" s="1" t="n">
        <v>45812.35118055555</v>
      </c>
      <c r="C2439" s="1" t="n">
        <v>46086</v>
      </c>
      <c r="D2439" t="inlineStr">
        <is>
          <t>GÄVLEBORGS LÄN</t>
        </is>
      </c>
      <c r="E2439" t="inlineStr">
        <is>
          <t>HUDIKSVALL</t>
        </is>
      </c>
      <c r="F2439" t="inlineStr">
        <is>
          <t>Holmen skog AB</t>
        </is>
      </c>
      <c r="G2439" t="n">
        <v>6.9</v>
      </c>
      <c r="H2439" t="n">
        <v>0</v>
      </c>
      <c r="I2439" t="n">
        <v>0</v>
      </c>
      <c r="J2439" t="n">
        <v>0</v>
      </c>
      <c r="K2439" t="n">
        <v>0</v>
      </c>
      <c r="L2439" t="n">
        <v>0</v>
      </c>
      <c r="M2439" t="n">
        <v>0</v>
      </c>
      <c r="N2439" t="n">
        <v>0</v>
      </c>
      <c r="O2439" t="n">
        <v>0</v>
      </c>
      <c r="P2439" t="n">
        <v>0</v>
      </c>
      <c r="Q2439" t="n">
        <v>0</v>
      </c>
      <c r="R2439" s="2" t="inlineStr"/>
    </row>
    <row r="2440" ht="15" customHeight="1">
      <c r="A2440" t="inlineStr">
        <is>
          <t>A 27206-2025</t>
        </is>
      </c>
      <c r="B2440" s="1" t="n">
        <v>45812.40342592593</v>
      </c>
      <c r="C2440" s="1" t="n">
        <v>46086</v>
      </c>
      <c r="D2440" t="inlineStr">
        <is>
          <t>GÄVLEBORGS LÄN</t>
        </is>
      </c>
      <c r="E2440" t="inlineStr">
        <is>
          <t>HUDIKSVALL</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47472-2023</t>
        </is>
      </c>
      <c r="B2441" s="1" t="n">
        <v>45202.92271990741</v>
      </c>
      <c r="C2441" s="1" t="n">
        <v>46086</v>
      </c>
      <c r="D2441" t="inlineStr">
        <is>
          <t>GÄVLEBORGS LÄN</t>
        </is>
      </c>
      <c r="E2441" t="inlineStr">
        <is>
          <t>HUDIKSVALL</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2891-2026</t>
        </is>
      </c>
      <c r="B2442" s="1" t="n">
        <v>46037</v>
      </c>
      <c r="C2442" s="1" t="n">
        <v>46086</v>
      </c>
      <c r="D2442" t="inlineStr">
        <is>
          <t>GÄVLEBORGS LÄN</t>
        </is>
      </c>
      <c r="E2442" t="inlineStr">
        <is>
          <t>OVANÅKER</t>
        </is>
      </c>
      <c r="G2442" t="n">
        <v>9.1</v>
      </c>
      <c r="H2442" t="n">
        <v>0</v>
      </c>
      <c r="I2442" t="n">
        <v>0</v>
      </c>
      <c r="J2442" t="n">
        <v>0</v>
      </c>
      <c r="K2442" t="n">
        <v>0</v>
      </c>
      <c r="L2442" t="n">
        <v>0</v>
      </c>
      <c r="M2442" t="n">
        <v>0</v>
      </c>
      <c r="N2442" t="n">
        <v>0</v>
      </c>
      <c r="O2442" t="n">
        <v>0</v>
      </c>
      <c r="P2442" t="n">
        <v>0</v>
      </c>
      <c r="Q2442" t="n">
        <v>0</v>
      </c>
      <c r="R2442" s="2" t="inlineStr"/>
    </row>
    <row r="2443" ht="15" customHeight="1">
      <c r="A2443" t="inlineStr">
        <is>
          <t>A 2908-2026</t>
        </is>
      </c>
      <c r="B2443" s="1" t="n">
        <v>46037</v>
      </c>
      <c r="C2443" s="1" t="n">
        <v>46086</v>
      </c>
      <c r="D2443" t="inlineStr">
        <is>
          <t>GÄVLEBORGS LÄN</t>
        </is>
      </c>
      <c r="E2443" t="inlineStr">
        <is>
          <t>HUDIKSVALL</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2933-2026</t>
        </is>
      </c>
      <c r="B2444" s="1" t="n">
        <v>46036</v>
      </c>
      <c r="C2444" s="1" t="n">
        <v>46086</v>
      </c>
      <c r="D2444" t="inlineStr">
        <is>
          <t>GÄVLEBORGS LÄN</t>
        </is>
      </c>
      <c r="E2444" t="inlineStr">
        <is>
          <t>OVANÅKER</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2569-2026</t>
        </is>
      </c>
      <c r="B2445" s="1" t="n">
        <v>46037.49280092592</v>
      </c>
      <c r="C2445" s="1" t="n">
        <v>46086</v>
      </c>
      <c r="D2445" t="inlineStr">
        <is>
          <t>GÄVLEBORGS LÄN</t>
        </is>
      </c>
      <c r="E2445" t="inlineStr">
        <is>
          <t>OCKELBO</t>
        </is>
      </c>
      <c r="G2445" t="n">
        <v>6.2</v>
      </c>
      <c r="H2445" t="n">
        <v>0</v>
      </c>
      <c r="I2445" t="n">
        <v>0</v>
      </c>
      <c r="J2445" t="n">
        <v>0</v>
      </c>
      <c r="K2445" t="n">
        <v>0</v>
      </c>
      <c r="L2445" t="n">
        <v>0</v>
      </c>
      <c r="M2445" t="n">
        <v>0</v>
      </c>
      <c r="N2445" t="n">
        <v>0</v>
      </c>
      <c r="O2445" t="n">
        <v>0</v>
      </c>
      <c r="P2445" t="n">
        <v>0</v>
      </c>
      <c r="Q2445" t="n">
        <v>0</v>
      </c>
      <c r="R2445" s="2" t="inlineStr"/>
    </row>
    <row r="2446" ht="15" customHeight="1">
      <c r="A2446" t="inlineStr">
        <is>
          <t>A 26027-2024</t>
        </is>
      </c>
      <c r="B2446" s="1" t="n">
        <v>45467.96223379629</v>
      </c>
      <c r="C2446" s="1" t="n">
        <v>46086</v>
      </c>
      <c r="D2446" t="inlineStr">
        <is>
          <t>GÄVLEBORGS LÄN</t>
        </is>
      </c>
      <c r="E2446" t="inlineStr">
        <is>
          <t>OVANÅKER</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38846-2025</t>
        </is>
      </c>
      <c r="B2447" s="1" t="n">
        <v>45887.54204861111</v>
      </c>
      <c r="C2447" s="1" t="n">
        <v>46086</v>
      </c>
      <c r="D2447" t="inlineStr">
        <is>
          <t>GÄVLEBORGS LÄN</t>
        </is>
      </c>
      <c r="E2447" t="inlineStr">
        <is>
          <t>SANDVIKEN</t>
        </is>
      </c>
      <c r="F2447" t="inlineStr">
        <is>
          <t>Sveaskog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27200-2025</t>
        </is>
      </c>
      <c r="B2448" s="1" t="n">
        <v>45812.3918287037</v>
      </c>
      <c r="C2448" s="1" t="n">
        <v>46086</v>
      </c>
      <c r="D2448" t="inlineStr">
        <is>
          <t>GÄVLEBORGS LÄN</t>
        </is>
      </c>
      <c r="E2448" t="inlineStr">
        <is>
          <t>LJUSDAL</t>
        </is>
      </c>
      <c r="G2448" t="n">
        <v>7.7</v>
      </c>
      <c r="H2448" t="n">
        <v>0</v>
      </c>
      <c r="I2448" t="n">
        <v>0</v>
      </c>
      <c r="J2448" t="n">
        <v>0</v>
      </c>
      <c r="K2448" t="n">
        <v>0</v>
      </c>
      <c r="L2448" t="n">
        <v>0</v>
      </c>
      <c r="M2448" t="n">
        <v>0</v>
      </c>
      <c r="N2448" t="n">
        <v>0</v>
      </c>
      <c r="O2448" t="n">
        <v>0</v>
      </c>
      <c r="P2448" t="n">
        <v>0</v>
      </c>
      <c r="Q2448" t="n">
        <v>0</v>
      </c>
      <c r="R2448" s="2" t="inlineStr"/>
    </row>
    <row r="2449" ht="15" customHeight="1">
      <c r="A2449" t="inlineStr">
        <is>
          <t>A 27253-2025</t>
        </is>
      </c>
      <c r="B2449" s="1" t="n">
        <v>45812.47171296296</v>
      </c>
      <c r="C2449" s="1" t="n">
        <v>46086</v>
      </c>
      <c r="D2449" t="inlineStr">
        <is>
          <t>GÄVLEBORGS LÄN</t>
        </is>
      </c>
      <c r="E2449" t="inlineStr">
        <is>
          <t>HUDIKSVALL</t>
        </is>
      </c>
      <c r="F2449" t="inlineStr">
        <is>
          <t>Holmen skog AB</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61300-2024</t>
        </is>
      </c>
      <c r="B2450" s="1" t="n">
        <v>45645.90335648148</v>
      </c>
      <c r="C2450" s="1" t="n">
        <v>46086</v>
      </c>
      <c r="D2450" t="inlineStr">
        <is>
          <t>GÄVLEBORGS LÄN</t>
        </is>
      </c>
      <c r="E2450" t="inlineStr">
        <is>
          <t>GÄVLE</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27631-2025</t>
        </is>
      </c>
      <c r="B2451" s="1" t="n">
        <v>45813.56162037037</v>
      </c>
      <c r="C2451" s="1" t="n">
        <v>46086</v>
      </c>
      <c r="D2451" t="inlineStr">
        <is>
          <t>GÄVLEBORGS LÄN</t>
        </is>
      </c>
      <c r="E2451" t="inlineStr">
        <is>
          <t>OVANÅKER</t>
        </is>
      </c>
      <c r="F2451" t="inlineStr">
        <is>
          <t>Bergvik skog väst AB</t>
        </is>
      </c>
      <c r="G2451" t="n">
        <v>5</v>
      </c>
      <c r="H2451" t="n">
        <v>0</v>
      </c>
      <c r="I2451" t="n">
        <v>0</v>
      </c>
      <c r="J2451" t="n">
        <v>0</v>
      </c>
      <c r="K2451" t="n">
        <v>0</v>
      </c>
      <c r="L2451" t="n">
        <v>0</v>
      </c>
      <c r="M2451" t="n">
        <v>0</v>
      </c>
      <c r="N2451" t="n">
        <v>0</v>
      </c>
      <c r="O2451" t="n">
        <v>0</v>
      </c>
      <c r="P2451" t="n">
        <v>0</v>
      </c>
      <c r="Q2451" t="n">
        <v>0</v>
      </c>
      <c r="R2451" s="2" t="inlineStr"/>
    </row>
    <row r="2452" ht="15" customHeight="1">
      <c r="A2452" t="inlineStr">
        <is>
          <t>A 6221-2025</t>
        </is>
      </c>
      <c r="B2452" s="1" t="n">
        <v>45698.54001157408</v>
      </c>
      <c r="C2452" s="1" t="n">
        <v>46086</v>
      </c>
      <c r="D2452" t="inlineStr">
        <is>
          <t>GÄVLEBORGS LÄN</t>
        </is>
      </c>
      <c r="E2452" t="inlineStr">
        <is>
          <t>BOLLNÄS</t>
        </is>
      </c>
      <c r="G2452" t="n">
        <v>5.4</v>
      </c>
      <c r="H2452" t="n">
        <v>0</v>
      </c>
      <c r="I2452" t="n">
        <v>0</v>
      </c>
      <c r="J2452" t="n">
        <v>0</v>
      </c>
      <c r="K2452" t="n">
        <v>0</v>
      </c>
      <c r="L2452" t="n">
        <v>0</v>
      </c>
      <c r="M2452" t="n">
        <v>0</v>
      </c>
      <c r="N2452" t="n">
        <v>0</v>
      </c>
      <c r="O2452" t="n">
        <v>0</v>
      </c>
      <c r="P2452" t="n">
        <v>0</v>
      </c>
      <c r="Q2452" t="n">
        <v>0</v>
      </c>
      <c r="R2452" s="2" t="inlineStr"/>
    </row>
    <row r="2453" ht="15" customHeight="1">
      <c r="A2453" t="inlineStr">
        <is>
          <t>A 11932-2025</t>
        </is>
      </c>
      <c r="B2453" s="1" t="n">
        <v>45728.52451388889</v>
      </c>
      <c r="C2453" s="1" t="n">
        <v>46086</v>
      </c>
      <c r="D2453" t="inlineStr">
        <is>
          <t>GÄVLEBORGS LÄN</t>
        </is>
      </c>
      <c r="E2453" t="inlineStr">
        <is>
          <t>OVANÅKER</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11953-2025</t>
        </is>
      </c>
      <c r="B2454" s="1" t="n">
        <v>45728.56366898148</v>
      </c>
      <c r="C2454" s="1" t="n">
        <v>46086</v>
      </c>
      <c r="D2454" t="inlineStr">
        <is>
          <t>GÄVLEBORGS LÄN</t>
        </is>
      </c>
      <c r="E2454" t="inlineStr">
        <is>
          <t>HOFORS</t>
        </is>
      </c>
      <c r="F2454" t="inlineStr">
        <is>
          <t>Sveaskog</t>
        </is>
      </c>
      <c r="G2454" t="n">
        <v>34.8</v>
      </c>
      <c r="H2454" t="n">
        <v>0</v>
      </c>
      <c r="I2454" t="n">
        <v>0</v>
      </c>
      <c r="J2454" t="n">
        <v>0</v>
      </c>
      <c r="K2454" t="n">
        <v>0</v>
      </c>
      <c r="L2454" t="n">
        <v>0</v>
      </c>
      <c r="M2454" t="n">
        <v>0</v>
      </c>
      <c r="N2454" t="n">
        <v>0</v>
      </c>
      <c r="O2454" t="n">
        <v>0</v>
      </c>
      <c r="P2454" t="n">
        <v>0</v>
      </c>
      <c r="Q2454" t="n">
        <v>0</v>
      </c>
      <c r="R2454" s="2" t="inlineStr"/>
    </row>
    <row r="2455" ht="15" customHeight="1">
      <c r="A2455" t="inlineStr">
        <is>
          <t>A 2634-2026</t>
        </is>
      </c>
      <c r="B2455" s="1" t="n">
        <v>46037</v>
      </c>
      <c r="C2455" s="1" t="n">
        <v>46086</v>
      </c>
      <c r="D2455" t="inlineStr">
        <is>
          <t>GÄVLEBORGS LÄN</t>
        </is>
      </c>
      <c r="E2455" t="inlineStr">
        <is>
          <t>OVANÅKER</t>
        </is>
      </c>
      <c r="G2455" t="n">
        <v>10.2</v>
      </c>
      <c r="H2455" t="n">
        <v>0</v>
      </c>
      <c r="I2455" t="n">
        <v>0</v>
      </c>
      <c r="J2455" t="n">
        <v>0</v>
      </c>
      <c r="K2455" t="n">
        <v>0</v>
      </c>
      <c r="L2455" t="n">
        <v>0</v>
      </c>
      <c r="M2455" t="n">
        <v>0</v>
      </c>
      <c r="N2455" t="n">
        <v>0</v>
      </c>
      <c r="O2455" t="n">
        <v>0</v>
      </c>
      <c r="P2455" t="n">
        <v>0</v>
      </c>
      <c r="Q2455" t="n">
        <v>0</v>
      </c>
      <c r="R2455" s="2" t="inlineStr"/>
    </row>
    <row r="2456" ht="15" customHeight="1">
      <c r="A2456" t="inlineStr">
        <is>
          <t>A 2641-2026</t>
        </is>
      </c>
      <c r="B2456" s="1" t="n">
        <v>46037.6203587963</v>
      </c>
      <c r="C2456" s="1" t="n">
        <v>46086</v>
      </c>
      <c r="D2456" t="inlineStr">
        <is>
          <t>GÄVLEBORGS LÄN</t>
        </is>
      </c>
      <c r="E2456" t="inlineStr">
        <is>
          <t>SANDVIKEN</t>
        </is>
      </c>
      <c r="G2456" t="n">
        <v>8.699999999999999</v>
      </c>
      <c r="H2456" t="n">
        <v>0</v>
      </c>
      <c r="I2456" t="n">
        <v>0</v>
      </c>
      <c r="J2456" t="n">
        <v>0</v>
      </c>
      <c r="K2456" t="n">
        <v>0</v>
      </c>
      <c r="L2456" t="n">
        <v>0</v>
      </c>
      <c r="M2456" t="n">
        <v>0</v>
      </c>
      <c r="N2456" t="n">
        <v>0</v>
      </c>
      <c r="O2456" t="n">
        <v>0</v>
      </c>
      <c r="P2456" t="n">
        <v>0</v>
      </c>
      <c r="Q2456" t="n">
        <v>0</v>
      </c>
      <c r="R2456" s="2" t="inlineStr"/>
    </row>
    <row r="2457" ht="15" customHeight="1">
      <c r="A2457" t="inlineStr">
        <is>
          <t>A 2643-2026</t>
        </is>
      </c>
      <c r="B2457" s="1" t="n">
        <v>46037.62107638889</v>
      </c>
      <c r="C2457" s="1" t="n">
        <v>46086</v>
      </c>
      <c r="D2457" t="inlineStr">
        <is>
          <t>GÄVLEBORGS LÄN</t>
        </is>
      </c>
      <c r="E2457" t="inlineStr">
        <is>
          <t>BOLLNÄS</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8214-2026</t>
        </is>
      </c>
      <c r="B2458" s="1" t="n">
        <v>46064</v>
      </c>
      <c r="C2458" s="1" t="n">
        <v>46086</v>
      </c>
      <c r="D2458" t="inlineStr">
        <is>
          <t>GÄVLEBORGS LÄN</t>
        </is>
      </c>
      <c r="E2458" t="inlineStr">
        <is>
          <t>HUDIKSVALL</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10139-2026</t>
        </is>
      </c>
      <c r="B2459" s="1" t="n">
        <v>46076</v>
      </c>
      <c r="C2459" s="1" t="n">
        <v>46086</v>
      </c>
      <c r="D2459" t="inlineStr">
        <is>
          <t>GÄVLEBORGS LÄN</t>
        </is>
      </c>
      <c r="E2459" t="inlineStr">
        <is>
          <t>SÖDERHAMN</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18761-2024</t>
        </is>
      </c>
      <c r="B2460" s="1" t="n">
        <v>45426.54793981482</v>
      </c>
      <c r="C2460" s="1" t="n">
        <v>46086</v>
      </c>
      <c r="D2460" t="inlineStr">
        <is>
          <t>GÄVLEBORGS LÄN</t>
        </is>
      </c>
      <c r="E2460" t="inlineStr">
        <is>
          <t>NORDANSTIG</t>
        </is>
      </c>
      <c r="F2460" t="inlineStr">
        <is>
          <t>Holmen skog AB</t>
        </is>
      </c>
      <c r="G2460" t="n">
        <v>7.5</v>
      </c>
      <c r="H2460" t="n">
        <v>0</v>
      </c>
      <c r="I2460" t="n">
        <v>0</v>
      </c>
      <c r="J2460" t="n">
        <v>0</v>
      </c>
      <c r="K2460" t="n">
        <v>0</v>
      </c>
      <c r="L2460" t="n">
        <v>0</v>
      </c>
      <c r="M2460" t="n">
        <v>0</v>
      </c>
      <c r="N2460" t="n">
        <v>0</v>
      </c>
      <c r="O2460" t="n">
        <v>0</v>
      </c>
      <c r="P2460" t="n">
        <v>0</v>
      </c>
      <c r="Q2460" t="n">
        <v>0</v>
      </c>
      <c r="R2460" s="2" t="inlineStr"/>
    </row>
    <row r="2461" ht="15" customHeight="1">
      <c r="A2461" t="inlineStr">
        <is>
          <t>A 27666-2025</t>
        </is>
      </c>
      <c r="B2461" s="1" t="n">
        <v>45813.61989583333</v>
      </c>
      <c r="C2461" s="1" t="n">
        <v>46086</v>
      </c>
      <c r="D2461" t="inlineStr">
        <is>
          <t>GÄVLEBORGS LÄN</t>
        </is>
      </c>
      <c r="E2461" t="inlineStr">
        <is>
          <t>GÄVLE</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27241-2025</t>
        </is>
      </c>
      <c r="B2462" s="1" t="n">
        <v>45812.45516203704</v>
      </c>
      <c r="C2462" s="1" t="n">
        <v>46086</v>
      </c>
      <c r="D2462" t="inlineStr">
        <is>
          <t>GÄVLEBORGS LÄN</t>
        </is>
      </c>
      <c r="E2462" t="inlineStr">
        <is>
          <t>LJUSDAL</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38565-2025</t>
        </is>
      </c>
      <c r="B2463" s="1" t="n">
        <v>45884.45385416667</v>
      </c>
      <c r="C2463" s="1" t="n">
        <v>46086</v>
      </c>
      <c r="D2463" t="inlineStr">
        <is>
          <t>GÄVLEBORGS LÄN</t>
        </is>
      </c>
      <c r="E2463" t="inlineStr">
        <is>
          <t>GÄVLE</t>
        </is>
      </c>
      <c r="F2463" t="inlineStr">
        <is>
          <t>Bergvik skog öst AB</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38573-2025</t>
        </is>
      </c>
      <c r="B2464" s="1" t="n">
        <v>45884.46380787037</v>
      </c>
      <c r="C2464" s="1" t="n">
        <v>46086</v>
      </c>
      <c r="D2464" t="inlineStr">
        <is>
          <t>GÄVLEBORGS LÄN</t>
        </is>
      </c>
      <c r="E2464" t="inlineStr">
        <is>
          <t>LJUSDAL</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27224-2025</t>
        </is>
      </c>
      <c r="B2465" s="1" t="n">
        <v>45812.42760416667</v>
      </c>
      <c r="C2465" s="1" t="n">
        <v>46086</v>
      </c>
      <c r="D2465" t="inlineStr">
        <is>
          <t>GÄVLEBORGS LÄN</t>
        </is>
      </c>
      <c r="E2465" t="inlineStr">
        <is>
          <t>NORDANSTIG</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49624-2022</t>
        </is>
      </c>
      <c r="B2466" s="1" t="n">
        <v>44862</v>
      </c>
      <c r="C2466" s="1" t="n">
        <v>46086</v>
      </c>
      <c r="D2466" t="inlineStr">
        <is>
          <t>GÄVLEBORGS LÄN</t>
        </is>
      </c>
      <c r="E2466" t="inlineStr">
        <is>
          <t>BOLLNÄS</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34725-2022</t>
        </is>
      </c>
      <c r="B2467" s="1" t="n">
        <v>44795.59475694445</v>
      </c>
      <c r="C2467" s="1" t="n">
        <v>46086</v>
      </c>
      <c r="D2467" t="inlineStr">
        <is>
          <t>GÄVLEBORGS LÄN</t>
        </is>
      </c>
      <c r="E2467" t="inlineStr">
        <is>
          <t>SÖDERHAMN</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45703-2023</t>
        </is>
      </c>
      <c r="B2468" s="1" t="n">
        <v>45195</v>
      </c>
      <c r="C2468" s="1" t="n">
        <v>46086</v>
      </c>
      <c r="D2468" t="inlineStr">
        <is>
          <t>GÄVLEBORGS LÄN</t>
        </is>
      </c>
      <c r="E2468" t="inlineStr">
        <is>
          <t>LJUSDAL</t>
        </is>
      </c>
      <c r="F2468" t="inlineStr">
        <is>
          <t>Holmen skog AB</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38902-2025</t>
        </is>
      </c>
      <c r="B2469" s="1" t="n">
        <v>45887.60680555556</v>
      </c>
      <c r="C2469" s="1" t="n">
        <v>46086</v>
      </c>
      <c r="D2469" t="inlineStr">
        <is>
          <t>GÄVLEBORGS LÄN</t>
        </is>
      </c>
      <c r="E2469" t="inlineStr">
        <is>
          <t>BOLLNÄS</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27143-2025</t>
        </is>
      </c>
      <c r="B2470" s="1" t="n">
        <v>45812.28103009259</v>
      </c>
      <c r="C2470" s="1" t="n">
        <v>46086</v>
      </c>
      <c r="D2470" t="inlineStr">
        <is>
          <t>GÄVLEBORGS LÄN</t>
        </is>
      </c>
      <c r="E2470" t="inlineStr">
        <is>
          <t>BOLLNÄS</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10638-2026</t>
        </is>
      </c>
      <c r="B2471" s="1" t="n">
        <v>46078.31721064815</v>
      </c>
      <c r="C2471" s="1" t="n">
        <v>46086</v>
      </c>
      <c r="D2471" t="inlineStr">
        <is>
          <t>GÄVLEBORGS LÄN</t>
        </is>
      </c>
      <c r="E2471" t="inlineStr">
        <is>
          <t>GÄVLE</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56813-2022</t>
        </is>
      </c>
      <c r="B2472" s="1" t="n">
        <v>44894.44023148148</v>
      </c>
      <c r="C2472" s="1" t="n">
        <v>46086</v>
      </c>
      <c r="D2472" t="inlineStr">
        <is>
          <t>GÄVLEBORGS LÄN</t>
        </is>
      </c>
      <c r="E2472" t="inlineStr">
        <is>
          <t>HUDIKSVALL</t>
        </is>
      </c>
      <c r="F2472" t="inlineStr">
        <is>
          <t>Kommuner</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27514-2025</t>
        </is>
      </c>
      <c r="B2473" s="1" t="n">
        <v>45813.42991898148</v>
      </c>
      <c r="C2473" s="1" t="n">
        <v>46086</v>
      </c>
      <c r="D2473" t="inlineStr">
        <is>
          <t>GÄVLEBORGS LÄN</t>
        </is>
      </c>
      <c r="E2473" t="inlineStr">
        <is>
          <t>HUDIKSVALL</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27536-2025</t>
        </is>
      </c>
      <c r="B2474" s="1" t="n">
        <v>45813.45946759259</v>
      </c>
      <c r="C2474" s="1" t="n">
        <v>46086</v>
      </c>
      <c r="D2474" t="inlineStr">
        <is>
          <t>GÄVLEBORGS LÄN</t>
        </is>
      </c>
      <c r="E2474" t="inlineStr">
        <is>
          <t>OVANÅKER</t>
        </is>
      </c>
      <c r="F2474" t="inlineStr">
        <is>
          <t>Bergvik skog väst AB</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41729-2023</t>
        </is>
      </c>
      <c r="B2475" s="1" t="n">
        <v>45176</v>
      </c>
      <c r="C2475" s="1" t="n">
        <v>46086</v>
      </c>
      <c r="D2475" t="inlineStr">
        <is>
          <t>GÄVLEBORGS LÄN</t>
        </is>
      </c>
      <c r="E2475" t="inlineStr">
        <is>
          <t>NORDANSTIG</t>
        </is>
      </c>
      <c r="F2475" t="inlineStr">
        <is>
          <t>Holmen skog AB</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61418-2024</t>
        </is>
      </c>
      <c r="B2476" s="1" t="n">
        <v>45646.44805555556</v>
      </c>
      <c r="C2476" s="1" t="n">
        <v>46086</v>
      </c>
      <c r="D2476" t="inlineStr">
        <is>
          <t>GÄVLEBORGS LÄN</t>
        </is>
      </c>
      <c r="E2476" t="inlineStr">
        <is>
          <t>NORDANSTIG</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41740-2023</t>
        </is>
      </c>
      <c r="B2477" s="1" t="n">
        <v>45176.41961805556</v>
      </c>
      <c r="C2477" s="1" t="n">
        <v>46086</v>
      </c>
      <c r="D2477" t="inlineStr">
        <is>
          <t>GÄVLEBORGS LÄN</t>
        </is>
      </c>
      <c r="E2477" t="inlineStr">
        <is>
          <t>BOLLNÄS</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10724-2026</t>
        </is>
      </c>
      <c r="B2478" s="1" t="n">
        <v>46078.47144675926</v>
      </c>
      <c r="C2478" s="1" t="n">
        <v>46086</v>
      </c>
      <c r="D2478" t="inlineStr">
        <is>
          <t>GÄVLEBORGS LÄN</t>
        </is>
      </c>
      <c r="E2478" t="inlineStr">
        <is>
          <t>BOLLNÄS</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10730-2026</t>
        </is>
      </c>
      <c r="B2479" s="1" t="n">
        <v>46078.47885416666</v>
      </c>
      <c r="C2479" s="1" t="n">
        <v>46086</v>
      </c>
      <c r="D2479" t="inlineStr">
        <is>
          <t>GÄVLEBORGS LÄN</t>
        </is>
      </c>
      <c r="E2479" t="inlineStr">
        <is>
          <t>OVANÅKER</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63958-2025</t>
        </is>
      </c>
      <c r="B2480" s="1" t="n">
        <v>46020</v>
      </c>
      <c r="C2480" s="1" t="n">
        <v>46086</v>
      </c>
      <c r="D2480" t="inlineStr">
        <is>
          <t>GÄVLEBORGS LÄN</t>
        </is>
      </c>
      <c r="E2480" t="inlineStr">
        <is>
          <t>BOLLNÄS</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8580-2026</t>
        </is>
      </c>
      <c r="B2481" s="1" t="n">
        <v>46065</v>
      </c>
      <c r="C2481" s="1" t="n">
        <v>46086</v>
      </c>
      <c r="D2481" t="inlineStr">
        <is>
          <t>GÄVLEBORGS LÄN</t>
        </is>
      </c>
      <c r="E2481" t="inlineStr">
        <is>
          <t>BOLLNÄS</t>
        </is>
      </c>
      <c r="F2481" t="inlineStr">
        <is>
          <t>Bergvik skog väst AB</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10025-2026</t>
        </is>
      </c>
      <c r="B2482" s="1" t="n">
        <v>46073</v>
      </c>
      <c r="C2482" s="1" t="n">
        <v>46086</v>
      </c>
      <c r="D2482" t="inlineStr">
        <is>
          <t>GÄVLEBORGS LÄN</t>
        </is>
      </c>
      <c r="E2482" t="inlineStr">
        <is>
          <t>SANDVIKEN</t>
        </is>
      </c>
      <c r="F2482" t="inlineStr">
        <is>
          <t>Kommuner</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37345-2024</t>
        </is>
      </c>
      <c r="B2483" s="1" t="n">
        <v>45540.53148148148</v>
      </c>
      <c r="C2483" s="1" t="n">
        <v>46086</v>
      </c>
      <c r="D2483" t="inlineStr">
        <is>
          <t>GÄVLEBORGS LÄN</t>
        </is>
      </c>
      <c r="E2483" t="inlineStr">
        <is>
          <t>BOLLNÄS</t>
        </is>
      </c>
      <c r="F2483" t="inlineStr">
        <is>
          <t>Bergvik skog väst AB</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24927-2025</t>
        </is>
      </c>
      <c r="B2484" s="1" t="n">
        <v>45799.55334490741</v>
      </c>
      <c r="C2484" s="1" t="n">
        <v>46086</v>
      </c>
      <c r="D2484" t="inlineStr">
        <is>
          <t>GÄVLEBORGS LÄN</t>
        </is>
      </c>
      <c r="E2484" t="inlineStr">
        <is>
          <t>OCKELBO</t>
        </is>
      </c>
      <c r="F2484" t="inlineStr">
        <is>
          <t>Bergvik skog väst AB</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61774-2024</t>
        </is>
      </c>
      <c r="B2485" s="1" t="n">
        <v>45649.46215277778</v>
      </c>
      <c r="C2485" s="1" t="n">
        <v>46086</v>
      </c>
      <c r="D2485" t="inlineStr">
        <is>
          <t>GÄVLEBORGS LÄN</t>
        </is>
      </c>
      <c r="E2485" t="inlineStr">
        <is>
          <t>SANDVIKEN</t>
        </is>
      </c>
      <c r="G2485" t="n">
        <v>5.6</v>
      </c>
      <c r="H2485" t="n">
        <v>0</v>
      </c>
      <c r="I2485" t="n">
        <v>0</v>
      </c>
      <c r="J2485" t="n">
        <v>0</v>
      </c>
      <c r="K2485" t="n">
        <v>0</v>
      </c>
      <c r="L2485" t="n">
        <v>0</v>
      </c>
      <c r="M2485" t="n">
        <v>0</v>
      </c>
      <c r="N2485" t="n">
        <v>0</v>
      </c>
      <c r="O2485" t="n">
        <v>0</v>
      </c>
      <c r="P2485" t="n">
        <v>0</v>
      </c>
      <c r="Q2485" t="n">
        <v>0</v>
      </c>
      <c r="R2485" s="2" t="inlineStr"/>
    </row>
    <row r="2486" ht="15" customHeight="1">
      <c r="A2486" t="inlineStr">
        <is>
          <t>A 27376-2025</t>
        </is>
      </c>
      <c r="B2486" s="1" t="n">
        <v>45812.65765046296</v>
      </c>
      <c r="C2486" s="1" t="n">
        <v>46086</v>
      </c>
      <c r="D2486" t="inlineStr">
        <is>
          <t>GÄVLEBORGS LÄN</t>
        </is>
      </c>
      <c r="E2486" t="inlineStr">
        <is>
          <t>LJUSDAL</t>
        </is>
      </c>
      <c r="G2486" t="n">
        <v>6.1</v>
      </c>
      <c r="H2486" t="n">
        <v>0</v>
      </c>
      <c r="I2486" t="n">
        <v>0</v>
      </c>
      <c r="J2486" t="n">
        <v>0</v>
      </c>
      <c r="K2486" t="n">
        <v>0</v>
      </c>
      <c r="L2486" t="n">
        <v>0</v>
      </c>
      <c r="M2486" t="n">
        <v>0</v>
      </c>
      <c r="N2486" t="n">
        <v>0</v>
      </c>
      <c r="O2486" t="n">
        <v>0</v>
      </c>
      <c r="P2486" t="n">
        <v>0</v>
      </c>
      <c r="Q2486" t="n">
        <v>0</v>
      </c>
      <c r="R2486" s="2" t="inlineStr"/>
    </row>
    <row r="2487" ht="15" customHeight="1">
      <c r="A2487" t="inlineStr">
        <is>
          <t>A 27431-2025</t>
        </is>
      </c>
      <c r="B2487" s="1" t="n">
        <v>45813</v>
      </c>
      <c r="C2487" s="1" t="n">
        <v>46086</v>
      </c>
      <c r="D2487" t="inlineStr">
        <is>
          <t>GÄVLEBORGS LÄN</t>
        </is>
      </c>
      <c r="E2487" t="inlineStr">
        <is>
          <t>HOFORS</t>
        </is>
      </c>
      <c r="F2487" t="inlineStr">
        <is>
          <t>Sveaskog</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64727-2023</t>
        </is>
      </c>
      <c r="B2488" s="1" t="n">
        <v>45281.76929398148</v>
      </c>
      <c r="C2488" s="1" t="n">
        <v>46086</v>
      </c>
      <c r="D2488" t="inlineStr">
        <is>
          <t>GÄVLEBORGS LÄN</t>
        </is>
      </c>
      <c r="E2488" t="inlineStr">
        <is>
          <t>HUDIKSVALL</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27436-2025</t>
        </is>
      </c>
      <c r="B2489" s="1" t="n">
        <v>45813</v>
      </c>
      <c r="C2489" s="1" t="n">
        <v>46086</v>
      </c>
      <c r="D2489" t="inlineStr">
        <is>
          <t>GÄVLEBORGS LÄN</t>
        </is>
      </c>
      <c r="E2489" t="inlineStr">
        <is>
          <t>HOFORS</t>
        </is>
      </c>
      <c r="F2489" t="inlineStr">
        <is>
          <t>Sveaskog</t>
        </is>
      </c>
      <c r="G2489" t="n">
        <v>5.5</v>
      </c>
      <c r="H2489" t="n">
        <v>0</v>
      </c>
      <c r="I2489" t="n">
        <v>0</v>
      </c>
      <c r="J2489" t="n">
        <v>0</v>
      </c>
      <c r="K2489" t="n">
        <v>0</v>
      </c>
      <c r="L2489" t="n">
        <v>0</v>
      </c>
      <c r="M2489" t="n">
        <v>0</v>
      </c>
      <c r="N2489" t="n">
        <v>0</v>
      </c>
      <c r="O2489" t="n">
        <v>0</v>
      </c>
      <c r="P2489" t="n">
        <v>0</v>
      </c>
      <c r="Q2489" t="n">
        <v>0</v>
      </c>
      <c r="R2489" s="2" t="inlineStr"/>
    </row>
    <row r="2490" ht="15" customHeight="1">
      <c r="A2490" t="inlineStr">
        <is>
          <t>A 27443-2025</t>
        </is>
      </c>
      <c r="B2490" s="1" t="n">
        <v>45813.3215625</v>
      </c>
      <c r="C2490" s="1" t="n">
        <v>46086</v>
      </c>
      <c r="D2490" t="inlineStr">
        <is>
          <t>GÄVLEBORGS LÄN</t>
        </is>
      </c>
      <c r="E2490" t="inlineStr">
        <is>
          <t>LJUSDAL</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2137-2026</t>
        </is>
      </c>
      <c r="B2491" s="1" t="n">
        <v>46036</v>
      </c>
      <c r="C2491" s="1" t="n">
        <v>46086</v>
      </c>
      <c r="D2491" t="inlineStr">
        <is>
          <t>GÄVLEBORGS LÄN</t>
        </is>
      </c>
      <c r="E2491" t="inlineStr">
        <is>
          <t>OVANÅKER</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2140-2026</t>
        </is>
      </c>
      <c r="B2492" s="1" t="n">
        <v>46036</v>
      </c>
      <c r="C2492" s="1" t="n">
        <v>46086</v>
      </c>
      <c r="D2492" t="inlineStr">
        <is>
          <t>GÄVLEBORGS LÄN</t>
        </is>
      </c>
      <c r="E2492" t="inlineStr">
        <is>
          <t>BOLLNÄS</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2145-2026</t>
        </is>
      </c>
      <c r="B2493" s="1" t="n">
        <v>46036</v>
      </c>
      <c r="C2493" s="1" t="n">
        <v>46086</v>
      </c>
      <c r="D2493" t="inlineStr">
        <is>
          <t>GÄVLEBORGS LÄN</t>
        </is>
      </c>
      <c r="E2493" t="inlineStr">
        <is>
          <t>BOLLNÄS</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2187-2026</t>
        </is>
      </c>
      <c r="B2494" s="1" t="n">
        <v>46036.46466435185</v>
      </c>
      <c r="C2494" s="1" t="n">
        <v>46086</v>
      </c>
      <c r="D2494" t="inlineStr">
        <is>
          <t>GÄVLEBORGS LÄN</t>
        </is>
      </c>
      <c r="E2494" t="inlineStr">
        <is>
          <t>OCKELBO</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2384-2026</t>
        </is>
      </c>
      <c r="B2495" s="1" t="n">
        <v>46036.66680555556</v>
      </c>
      <c r="C2495" s="1" t="n">
        <v>46086</v>
      </c>
      <c r="D2495" t="inlineStr">
        <is>
          <t>GÄVLEBORGS LÄN</t>
        </is>
      </c>
      <c r="E2495" t="inlineStr">
        <is>
          <t>BOLLNÄS</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2403-2026</t>
        </is>
      </c>
      <c r="B2496" s="1" t="n">
        <v>46036</v>
      </c>
      <c r="C2496" s="1" t="n">
        <v>46086</v>
      </c>
      <c r="D2496" t="inlineStr">
        <is>
          <t>GÄVLEBORGS LÄN</t>
        </is>
      </c>
      <c r="E2496" t="inlineStr">
        <is>
          <t>BOLLNÄS</t>
        </is>
      </c>
      <c r="G2496" t="n">
        <v>8.6</v>
      </c>
      <c r="H2496" t="n">
        <v>0</v>
      </c>
      <c r="I2496" t="n">
        <v>0</v>
      </c>
      <c r="J2496" t="n">
        <v>0</v>
      </c>
      <c r="K2496" t="n">
        <v>0</v>
      </c>
      <c r="L2496" t="n">
        <v>0</v>
      </c>
      <c r="M2496" t="n">
        <v>0</v>
      </c>
      <c r="N2496" t="n">
        <v>0</v>
      </c>
      <c r="O2496" t="n">
        <v>0</v>
      </c>
      <c r="P2496" t="n">
        <v>0</v>
      </c>
      <c r="Q2496" t="n">
        <v>0</v>
      </c>
      <c r="R2496" s="2" t="inlineStr"/>
    </row>
    <row r="2497" ht="15" customHeight="1">
      <c r="A2497" t="inlineStr">
        <is>
          <t>A 27611-2025</t>
        </is>
      </c>
      <c r="B2497" s="1" t="n">
        <v>45813.53916666667</v>
      </c>
      <c r="C2497" s="1" t="n">
        <v>46086</v>
      </c>
      <c r="D2497" t="inlineStr">
        <is>
          <t>GÄVLEBORGS LÄN</t>
        </is>
      </c>
      <c r="E2497" t="inlineStr">
        <is>
          <t>GÄVLE</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24329-2024</t>
        </is>
      </c>
      <c r="B2498" s="1" t="n">
        <v>45457.53825231481</v>
      </c>
      <c r="C2498" s="1" t="n">
        <v>46086</v>
      </c>
      <c r="D2498" t="inlineStr">
        <is>
          <t>GÄVLEBORGS LÄN</t>
        </is>
      </c>
      <c r="E2498" t="inlineStr">
        <is>
          <t>HUDIKSVALL</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2441-2026</t>
        </is>
      </c>
      <c r="B2499" s="1" t="n">
        <v>46037</v>
      </c>
      <c r="C2499" s="1" t="n">
        <v>46086</v>
      </c>
      <c r="D2499" t="inlineStr">
        <is>
          <t>GÄVLEBORGS LÄN</t>
        </is>
      </c>
      <c r="E2499" t="inlineStr">
        <is>
          <t>OVANÅKER</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2442-2026</t>
        </is>
      </c>
      <c r="B2500" s="1" t="n">
        <v>46037.2772337963</v>
      </c>
      <c r="C2500" s="1" t="n">
        <v>46086</v>
      </c>
      <c r="D2500" t="inlineStr">
        <is>
          <t>GÄVLEBORGS LÄN</t>
        </is>
      </c>
      <c r="E2500" t="inlineStr">
        <is>
          <t>BOLLNÄS</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8581-2026</t>
        </is>
      </c>
      <c r="B2501" s="1" t="n">
        <v>46065</v>
      </c>
      <c r="C2501" s="1" t="n">
        <v>46086</v>
      </c>
      <c r="D2501" t="inlineStr">
        <is>
          <t>GÄVLEBORGS LÄN</t>
        </is>
      </c>
      <c r="E2501" t="inlineStr">
        <is>
          <t>OCKELBO</t>
        </is>
      </c>
      <c r="F2501" t="inlineStr">
        <is>
          <t>Bergvik skog väst AB</t>
        </is>
      </c>
      <c r="G2501" t="n">
        <v>11.6</v>
      </c>
      <c r="H2501" t="n">
        <v>0</v>
      </c>
      <c r="I2501" t="n">
        <v>0</v>
      </c>
      <c r="J2501" t="n">
        <v>0</v>
      </c>
      <c r="K2501" t="n">
        <v>0</v>
      </c>
      <c r="L2501" t="n">
        <v>0</v>
      </c>
      <c r="M2501" t="n">
        <v>0</v>
      </c>
      <c r="N2501" t="n">
        <v>0</v>
      </c>
      <c r="O2501" t="n">
        <v>0</v>
      </c>
      <c r="P2501" t="n">
        <v>0</v>
      </c>
      <c r="Q2501" t="n">
        <v>0</v>
      </c>
      <c r="R2501" s="2" t="inlineStr"/>
    </row>
    <row r="2502" ht="15" customHeight="1">
      <c r="A2502" t="inlineStr">
        <is>
          <t>A 27373-2025</t>
        </is>
      </c>
      <c r="B2502" s="1" t="n">
        <v>45812.65377314815</v>
      </c>
      <c r="C2502" s="1" t="n">
        <v>46086</v>
      </c>
      <c r="D2502" t="inlineStr">
        <is>
          <t>GÄVLEBORGS LÄN</t>
        </is>
      </c>
      <c r="E2502" t="inlineStr">
        <is>
          <t>LJUSDAL</t>
        </is>
      </c>
      <c r="G2502" t="n">
        <v>8.9</v>
      </c>
      <c r="H2502" t="n">
        <v>0</v>
      </c>
      <c r="I2502" t="n">
        <v>0</v>
      </c>
      <c r="J2502" t="n">
        <v>0</v>
      </c>
      <c r="K2502" t="n">
        <v>0</v>
      </c>
      <c r="L2502" t="n">
        <v>0</v>
      </c>
      <c r="M2502" t="n">
        <v>0</v>
      </c>
      <c r="N2502" t="n">
        <v>0</v>
      </c>
      <c r="O2502" t="n">
        <v>0</v>
      </c>
      <c r="P2502" t="n">
        <v>0</v>
      </c>
      <c r="Q2502" t="n">
        <v>0</v>
      </c>
      <c r="R2502" s="2" t="inlineStr"/>
    </row>
    <row r="2503" ht="15" customHeight="1">
      <c r="A2503" t="inlineStr">
        <is>
          <t>A 27285-2025</t>
        </is>
      </c>
      <c r="B2503" s="1" t="n">
        <v>45812.55133101852</v>
      </c>
      <c r="C2503" s="1" t="n">
        <v>46086</v>
      </c>
      <c r="D2503" t="inlineStr">
        <is>
          <t>GÄVLEBORGS LÄN</t>
        </is>
      </c>
      <c r="E2503" t="inlineStr">
        <is>
          <t>SÖDERHAMN</t>
        </is>
      </c>
      <c r="F2503" t="inlineStr">
        <is>
          <t>Bergvik skog väst AB</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61880-2024</t>
        </is>
      </c>
      <c r="B2504" s="1" t="n">
        <v>45652.44746527778</v>
      </c>
      <c r="C2504" s="1" t="n">
        <v>46086</v>
      </c>
      <c r="D2504" t="inlineStr">
        <is>
          <t>GÄVLEBORGS LÄN</t>
        </is>
      </c>
      <c r="E2504" t="inlineStr">
        <is>
          <t>GÄVLE</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23809-2024</t>
        </is>
      </c>
      <c r="B2505" s="1" t="n">
        <v>45455.44559027778</v>
      </c>
      <c r="C2505" s="1" t="n">
        <v>46086</v>
      </c>
      <c r="D2505" t="inlineStr">
        <is>
          <t>GÄVLEBORGS LÄN</t>
        </is>
      </c>
      <c r="E2505" t="inlineStr">
        <is>
          <t>BOLLNÄS</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27408-2025</t>
        </is>
      </c>
      <c r="B2506" s="1" t="n">
        <v>45812.74564814815</v>
      </c>
      <c r="C2506" s="1" t="n">
        <v>46086</v>
      </c>
      <c r="D2506" t="inlineStr">
        <is>
          <t>GÄVLEBORGS LÄN</t>
        </is>
      </c>
      <c r="E2506" t="inlineStr">
        <is>
          <t>LJUSDAL</t>
        </is>
      </c>
      <c r="F2506" t="inlineStr">
        <is>
          <t>Sveaskog</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27410-2025</t>
        </is>
      </c>
      <c r="B2507" s="1" t="n">
        <v>45812.74857638889</v>
      </c>
      <c r="C2507" s="1" t="n">
        <v>46086</v>
      </c>
      <c r="D2507" t="inlineStr">
        <is>
          <t>GÄVLEBORGS LÄN</t>
        </is>
      </c>
      <c r="E2507" t="inlineStr">
        <is>
          <t>LJUSDAL</t>
        </is>
      </c>
      <c r="F2507" t="inlineStr">
        <is>
          <t>Sveaskog</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8603-2026</t>
        </is>
      </c>
      <c r="B2508" s="1" t="n">
        <v>46065</v>
      </c>
      <c r="C2508" s="1" t="n">
        <v>46086</v>
      </c>
      <c r="D2508" t="inlineStr">
        <is>
          <t>GÄVLEBORGS LÄN</t>
        </is>
      </c>
      <c r="E2508" t="inlineStr">
        <is>
          <t>SANDVIKEN</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9225-2026</t>
        </is>
      </c>
      <c r="B2509" s="1" t="n">
        <v>46070.45266203704</v>
      </c>
      <c r="C2509" s="1" t="n">
        <v>46086</v>
      </c>
      <c r="D2509" t="inlineStr">
        <is>
          <t>GÄVLEBORGS LÄN</t>
        </is>
      </c>
      <c r="E2509" t="inlineStr">
        <is>
          <t>LJUSDAL</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62936-2025</t>
        </is>
      </c>
      <c r="B2510" s="1" t="n">
        <v>46009.4183449074</v>
      </c>
      <c r="C2510" s="1" t="n">
        <v>46086</v>
      </c>
      <c r="D2510" t="inlineStr">
        <is>
          <t>GÄVLEBORGS LÄN</t>
        </is>
      </c>
      <c r="E2510" t="inlineStr">
        <is>
          <t>HUDIKSVALL</t>
        </is>
      </c>
      <c r="F2510" t="inlineStr">
        <is>
          <t>Övriga Aktiebolag</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27438-2025</t>
        </is>
      </c>
      <c r="B2511" s="1" t="n">
        <v>45813.3143287037</v>
      </c>
      <c r="C2511" s="1" t="n">
        <v>46086</v>
      </c>
      <c r="D2511" t="inlineStr">
        <is>
          <t>GÄVLEBORGS LÄN</t>
        </is>
      </c>
      <c r="E2511" t="inlineStr">
        <is>
          <t>HOFORS</t>
        </is>
      </c>
      <c r="F2511" t="inlineStr">
        <is>
          <t>Sveaskog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27447-2025</t>
        </is>
      </c>
      <c r="B2512" s="1" t="n">
        <v>45813.32945601852</v>
      </c>
      <c r="C2512" s="1" t="n">
        <v>46086</v>
      </c>
      <c r="D2512" t="inlineStr">
        <is>
          <t>GÄVLEBORGS LÄN</t>
        </is>
      </c>
      <c r="E2512" t="inlineStr">
        <is>
          <t>NORDANSTIG</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38731-2025</t>
        </is>
      </c>
      <c r="B2513" s="1" t="n">
        <v>45887.35001157408</v>
      </c>
      <c r="C2513" s="1" t="n">
        <v>46086</v>
      </c>
      <c r="D2513" t="inlineStr">
        <is>
          <t>GÄVLEBORGS LÄN</t>
        </is>
      </c>
      <c r="E2513" t="inlineStr">
        <is>
          <t>OCKELBO</t>
        </is>
      </c>
      <c r="F2513" t="inlineStr">
        <is>
          <t>Bergvik skog väst AB</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24370-2025</t>
        </is>
      </c>
      <c r="B2514" s="1" t="n">
        <v>45797.60760416667</v>
      </c>
      <c r="C2514" s="1" t="n">
        <v>46086</v>
      </c>
      <c r="D2514" t="inlineStr">
        <is>
          <t>GÄVLEBORGS LÄN</t>
        </is>
      </c>
      <c r="E2514" t="inlineStr">
        <is>
          <t>HUDIKSVALL</t>
        </is>
      </c>
      <c r="F2514" t="inlineStr">
        <is>
          <t>Holmen skog AB</t>
        </is>
      </c>
      <c r="G2514" t="n">
        <v>6.9</v>
      </c>
      <c r="H2514" t="n">
        <v>0</v>
      </c>
      <c r="I2514" t="n">
        <v>0</v>
      </c>
      <c r="J2514" t="n">
        <v>0</v>
      </c>
      <c r="K2514" t="n">
        <v>0</v>
      </c>
      <c r="L2514" t="n">
        <v>0</v>
      </c>
      <c r="M2514" t="n">
        <v>0</v>
      </c>
      <c r="N2514" t="n">
        <v>0</v>
      </c>
      <c r="O2514" t="n">
        <v>0</v>
      </c>
      <c r="P2514" t="n">
        <v>0</v>
      </c>
      <c r="Q2514" t="n">
        <v>0</v>
      </c>
      <c r="R2514" s="2" t="inlineStr"/>
    </row>
    <row r="2515" ht="15" customHeight="1">
      <c r="A2515" t="inlineStr">
        <is>
          <t>A 38746-2025</t>
        </is>
      </c>
      <c r="B2515" s="1" t="n">
        <v>45887.37974537037</v>
      </c>
      <c r="C2515" s="1" t="n">
        <v>46086</v>
      </c>
      <c r="D2515" t="inlineStr">
        <is>
          <t>GÄVLEBORGS LÄN</t>
        </is>
      </c>
      <c r="E2515" t="inlineStr">
        <is>
          <t>HOFORS</t>
        </is>
      </c>
      <c r="F2515" t="inlineStr">
        <is>
          <t>Sveaskog</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27521-2025</t>
        </is>
      </c>
      <c r="B2516" s="1" t="n">
        <v>45813.44327546296</v>
      </c>
      <c r="C2516" s="1" t="n">
        <v>46086</v>
      </c>
      <c r="D2516" t="inlineStr">
        <is>
          <t>GÄVLEBORGS LÄN</t>
        </is>
      </c>
      <c r="E2516" t="inlineStr">
        <is>
          <t>OVANÅKER</t>
        </is>
      </c>
      <c r="F2516" t="inlineStr">
        <is>
          <t>Bergvik skog väst AB</t>
        </is>
      </c>
      <c r="G2516" t="n">
        <v>11.2</v>
      </c>
      <c r="H2516" t="n">
        <v>0</v>
      </c>
      <c r="I2516" t="n">
        <v>0</v>
      </c>
      <c r="J2516" t="n">
        <v>0</v>
      </c>
      <c r="K2516" t="n">
        <v>0</v>
      </c>
      <c r="L2516" t="n">
        <v>0</v>
      </c>
      <c r="M2516" t="n">
        <v>0</v>
      </c>
      <c r="N2516" t="n">
        <v>0</v>
      </c>
      <c r="O2516" t="n">
        <v>0</v>
      </c>
      <c r="P2516" t="n">
        <v>0</v>
      </c>
      <c r="Q2516" t="n">
        <v>0</v>
      </c>
      <c r="R2516" s="2" t="inlineStr"/>
    </row>
    <row r="2517" ht="15" customHeight="1">
      <c r="A2517" t="inlineStr">
        <is>
          <t>A 47995-2024</t>
        </is>
      </c>
      <c r="B2517" s="1" t="n">
        <v>45589.4359375</v>
      </c>
      <c r="C2517" s="1" t="n">
        <v>46086</v>
      </c>
      <c r="D2517" t="inlineStr">
        <is>
          <t>GÄVLEBORGS LÄN</t>
        </is>
      </c>
      <c r="E2517" t="inlineStr">
        <is>
          <t>HUDIKSVALL</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27203-2025</t>
        </is>
      </c>
      <c r="B2518" s="1" t="n">
        <v>45812.39972222222</v>
      </c>
      <c r="C2518" s="1" t="n">
        <v>46086</v>
      </c>
      <c r="D2518" t="inlineStr">
        <is>
          <t>GÄVLEBORGS LÄN</t>
        </is>
      </c>
      <c r="E2518" t="inlineStr">
        <is>
          <t>NORDANSTIG</t>
        </is>
      </c>
      <c r="F2518" t="inlineStr">
        <is>
          <t>Holmen skog AB</t>
        </is>
      </c>
      <c r="G2518" t="n">
        <v>4</v>
      </c>
      <c r="H2518" t="n">
        <v>0</v>
      </c>
      <c r="I2518" t="n">
        <v>0</v>
      </c>
      <c r="J2518" t="n">
        <v>0</v>
      </c>
      <c r="K2518" t="n">
        <v>0</v>
      </c>
      <c r="L2518" t="n">
        <v>0</v>
      </c>
      <c r="M2518" t="n">
        <v>0</v>
      </c>
      <c r="N2518" t="n">
        <v>0</v>
      </c>
      <c r="O2518" t="n">
        <v>0</v>
      </c>
      <c r="P2518" t="n">
        <v>0</v>
      </c>
      <c r="Q2518" t="n">
        <v>0</v>
      </c>
      <c r="R2518" s="2" t="inlineStr"/>
    </row>
    <row r="2519" ht="15" customHeight="1">
      <c r="A2519" t="inlineStr">
        <is>
          <t>A 48649-2024</t>
        </is>
      </c>
      <c r="B2519" s="1" t="n">
        <v>45593.47898148148</v>
      </c>
      <c r="C2519" s="1" t="n">
        <v>46086</v>
      </c>
      <c r="D2519" t="inlineStr">
        <is>
          <t>GÄVLEBORGS LÄN</t>
        </is>
      </c>
      <c r="E2519" t="inlineStr">
        <is>
          <t>HUDIKSVALL</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27623-2025</t>
        </is>
      </c>
      <c r="B2520" s="1" t="n">
        <v>45813.55280092593</v>
      </c>
      <c r="C2520" s="1" t="n">
        <v>46086</v>
      </c>
      <c r="D2520" t="inlineStr">
        <is>
          <t>GÄVLEBORGS LÄN</t>
        </is>
      </c>
      <c r="E2520" t="inlineStr">
        <is>
          <t>OVANÅKER</t>
        </is>
      </c>
      <c r="F2520" t="inlineStr">
        <is>
          <t>Bergvik skog väst AB</t>
        </is>
      </c>
      <c r="G2520" t="n">
        <v>34.7</v>
      </c>
      <c r="H2520" t="n">
        <v>0</v>
      </c>
      <c r="I2520" t="n">
        <v>0</v>
      </c>
      <c r="J2520" t="n">
        <v>0</v>
      </c>
      <c r="K2520" t="n">
        <v>0</v>
      </c>
      <c r="L2520" t="n">
        <v>0</v>
      </c>
      <c r="M2520" t="n">
        <v>0</v>
      </c>
      <c r="N2520" t="n">
        <v>0</v>
      </c>
      <c r="O2520" t="n">
        <v>0</v>
      </c>
      <c r="P2520" t="n">
        <v>0</v>
      </c>
      <c r="Q2520" t="n">
        <v>0</v>
      </c>
      <c r="R2520" s="2" t="inlineStr"/>
    </row>
    <row r="2521" ht="15" customHeight="1">
      <c r="A2521" t="inlineStr">
        <is>
          <t>A 27787-2024</t>
        </is>
      </c>
      <c r="B2521" s="1" t="n">
        <v>45475.54822916666</v>
      </c>
      <c r="C2521" s="1" t="n">
        <v>46086</v>
      </c>
      <c r="D2521" t="inlineStr">
        <is>
          <t>GÄVLEBORGS LÄN</t>
        </is>
      </c>
      <c r="E2521" t="inlineStr">
        <is>
          <t>GÄVLE</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27788-2024</t>
        </is>
      </c>
      <c r="B2522" s="1" t="n">
        <v>45475.54844907407</v>
      </c>
      <c r="C2522" s="1" t="n">
        <v>46086</v>
      </c>
      <c r="D2522" t="inlineStr">
        <is>
          <t>GÄVLEBORGS LÄN</t>
        </is>
      </c>
      <c r="E2522" t="inlineStr">
        <is>
          <t>BOLLNÄS</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9865-2026</t>
        </is>
      </c>
      <c r="B2523" s="1" t="n">
        <v>46073</v>
      </c>
      <c r="C2523" s="1" t="n">
        <v>46086</v>
      </c>
      <c r="D2523" t="inlineStr">
        <is>
          <t>GÄVLEBORGS LÄN</t>
        </is>
      </c>
      <c r="E2523" t="inlineStr">
        <is>
          <t>BOLLNÄS</t>
        </is>
      </c>
      <c r="F2523" t="inlineStr">
        <is>
          <t>Bergvik skog väst AB</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9872-2026</t>
        </is>
      </c>
      <c r="B2524" s="1" t="n">
        <v>46073</v>
      </c>
      <c r="C2524" s="1" t="n">
        <v>46086</v>
      </c>
      <c r="D2524" t="inlineStr">
        <is>
          <t>GÄVLEBORGS LÄN</t>
        </is>
      </c>
      <c r="E2524" t="inlineStr">
        <is>
          <t>OVANÅKER</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10004-2026</t>
        </is>
      </c>
      <c r="B2525" s="1" t="n">
        <v>46073</v>
      </c>
      <c r="C2525" s="1" t="n">
        <v>46086</v>
      </c>
      <c r="D2525" t="inlineStr">
        <is>
          <t>GÄVLEBORGS LÄN</t>
        </is>
      </c>
      <c r="E2525" t="inlineStr">
        <is>
          <t>OVANÅKER</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2290-2026</t>
        </is>
      </c>
      <c r="B2526" s="1" t="n">
        <v>46036</v>
      </c>
      <c r="C2526" s="1" t="n">
        <v>46086</v>
      </c>
      <c r="D2526" t="inlineStr">
        <is>
          <t>GÄVLEBORGS LÄN</t>
        </is>
      </c>
      <c r="E2526" t="inlineStr">
        <is>
          <t>SANDVIKEN</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2291-2026</t>
        </is>
      </c>
      <c r="B2527" s="1" t="n">
        <v>46036.58548611111</v>
      </c>
      <c r="C2527" s="1" t="n">
        <v>46086</v>
      </c>
      <c r="D2527" t="inlineStr">
        <is>
          <t>GÄVLEBORGS LÄN</t>
        </is>
      </c>
      <c r="E2527" t="inlineStr">
        <is>
          <t>BOLLNÄS</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2334-2026</t>
        </is>
      </c>
      <c r="B2528" s="1" t="n">
        <v>46036</v>
      </c>
      <c r="C2528" s="1" t="n">
        <v>46086</v>
      </c>
      <c r="D2528" t="inlineStr">
        <is>
          <t>GÄVLEBORGS LÄN</t>
        </is>
      </c>
      <c r="E2528" t="inlineStr">
        <is>
          <t>OVANÅKER</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38741-2025</t>
        </is>
      </c>
      <c r="B2529" s="1" t="n">
        <v>45887.37405092592</v>
      </c>
      <c r="C2529" s="1" t="n">
        <v>46086</v>
      </c>
      <c r="D2529" t="inlineStr">
        <is>
          <t>GÄVLEBORGS LÄN</t>
        </is>
      </c>
      <c r="E2529" t="inlineStr">
        <is>
          <t>HOFORS</t>
        </is>
      </c>
      <c r="F2529" t="inlineStr">
        <is>
          <t>Sveaskog</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58598-2024</t>
        </is>
      </c>
      <c r="B2530" s="1" t="n">
        <v>45635.54087962963</v>
      </c>
      <c r="C2530" s="1" t="n">
        <v>46086</v>
      </c>
      <c r="D2530" t="inlineStr">
        <is>
          <t>GÄVLEBORGS LÄN</t>
        </is>
      </c>
      <c r="E2530" t="inlineStr">
        <is>
          <t>LJUSDAL</t>
        </is>
      </c>
      <c r="F2530" t="inlineStr">
        <is>
          <t>Allmännings- och besparingsskogar</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38555-2025</t>
        </is>
      </c>
      <c r="B2531" s="1" t="n">
        <v>45884.44230324074</v>
      </c>
      <c r="C2531" s="1" t="n">
        <v>46086</v>
      </c>
      <c r="D2531" t="inlineStr">
        <is>
          <t>GÄVLEBORGS LÄN</t>
        </is>
      </c>
      <c r="E2531" t="inlineStr">
        <is>
          <t>GÄVLE</t>
        </is>
      </c>
      <c r="F2531" t="inlineStr">
        <is>
          <t>Bergvik skog öst AB</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38559-2025</t>
        </is>
      </c>
      <c r="B2532" s="1" t="n">
        <v>45884.44716435186</v>
      </c>
      <c r="C2532" s="1" t="n">
        <v>46086</v>
      </c>
      <c r="D2532" t="inlineStr">
        <is>
          <t>GÄVLEBORGS LÄN</t>
        </is>
      </c>
      <c r="E2532" t="inlineStr">
        <is>
          <t>LJUSDAL</t>
        </is>
      </c>
      <c r="F2532" t="inlineStr">
        <is>
          <t>Sveaskog</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2372-2026</t>
        </is>
      </c>
      <c r="B2533" s="1" t="n">
        <v>46036.64865740741</v>
      </c>
      <c r="C2533" s="1" t="n">
        <v>46086</v>
      </c>
      <c r="D2533" t="inlineStr">
        <is>
          <t>GÄVLEBORGS LÄN</t>
        </is>
      </c>
      <c r="E2533" t="inlineStr">
        <is>
          <t>OVANÅKER</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2405-2026</t>
        </is>
      </c>
      <c r="B2534" s="1" t="n">
        <v>46036.71341435185</v>
      </c>
      <c r="C2534" s="1" t="n">
        <v>46086</v>
      </c>
      <c r="D2534" t="inlineStr">
        <is>
          <t>GÄVLEBORGS LÄN</t>
        </is>
      </c>
      <c r="E2534" t="inlineStr">
        <is>
          <t>BOLLNÄS</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4069-2024</t>
        </is>
      </c>
      <c r="B2535" s="1" t="n">
        <v>45323.56510416666</v>
      </c>
      <c r="C2535" s="1" t="n">
        <v>46086</v>
      </c>
      <c r="D2535" t="inlineStr">
        <is>
          <t>GÄVLEBORGS LÄN</t>
        </is>
      </c>
      <c r="E2535" t="inlineStr">
        <is>
          <t>OCKELBO</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27432-2025</t>
        </is>
      </c>
      <c r="B2536" s="1" t="n">
        <v>45813</v>
      </c>
      <c r="C2536" s="1" t="n">
        <v>46086</v>
      </c>
      <c r="D2536" t="inlineStr">
        <is>
          <t>GÄVLEBORGS LÄN</t>
        </is>
      </c>
      <c r="E2536" t="inlineStr">
        <is>
          <t>HOFORS</t>
        </is>
      </c>
      <c r="F2536" t="inlineStr">
        <is>
          <t>Sveaskog</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27441-2025</t>
        </is>
      </c>
      <c r="B2537" s="1" t="n">
        <v>45813.31630787037</v>
      </c>
      <c r="C2537" s="1" t="n">
        <v>46086</v>
      </c>
      <c r="D2537" t="inlineStr">
        <is>
          <t>GÄVLEBORGS LÄN</t>
        </is>
      </c>
      <c r="E2537" t="inlineStr">
        <is>
          <t>HOFORS</t>
        </is>
      </c>
      <c r="F2537" t="inlineStr">
        <is>
          <t>Sveaskog</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13047-2023</t>
        </is>
      </c>
      <c r="B2538" s="1" t="n">
        <v>45002</v>
      </c>
      <c r="C2538" s="1" t="n">
        <v>46086</v>
      </c>
      <c r="D2538" t="inlineStr">
        <is>
          <t>GÄVLEBORGS LÄN</t>
        </is>
      </c>
      <c r="E2538" t="inlineStr">
        <is>
          <t>OVANÅKER</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18479-2024</t>
        </is>
      </c>
      <c r="B2539" s="1" t="n">
        <v>45425.5177662037</v>
      </c>
      <c r="C2539" s="1" t="n">
        <v>46086</v>
      </c>
      <c r="D2539" t="inlineStr">
        <is>
          <t>GÄVLEBORGS LÄN</t>
        </is>
      </c>
      <c r="E2539" t="inlineStr">
        <is>
          <t>NORDANSTIG</t>
        </is>
      </c>
      <c r="G2539" t="n">
        <v>7.6</v>
      </c>
      <c r="H2539" t="n">
        <v>0</v>
      </c>
      <c r="I2539" t="n">
        <v>0</v>
      </c>
      <c r="J2539" t="n">
        <v>0</v>
      </c>
      <c r="K2539" t="n">
        <v>0</v>
      </c>
      <c r="L2539" t="n">
        <v>0</v>
      </c>
      <c r="M2539" t="n">
        <v>0</v>
      </c>
      <c r="N2539" t="n">
        <v>0</v>
      </c>
      <c r="O2539" t="n">
        <v>0</v>
      </c>
      <c r="P2539" t="n">
        <v>0</v>
      </c>
      <c r="Q2539" t="n">
        <v>0</v>
      </c>
      <c r="R2539" s="2" t="inlineStr"/>
    </row>
    <row r="2540" ht="15" customHeight="1">
      <c r="A2540" t="inlineStr">
        <is>
          <t>A 27599-2025</t>
        </is>
      </c>
      <c r="B2540" s="1" t="n">
        <v>45813.52609953703</v>
      </c>
      <c r="C2540" s="1" t="n">
        <v>46086</v>
      </c>
      <c r="D2540" t="inlineStr">
        <is>
          <t>GÄVLEBORGS LÄN</t>
        </is>
      </c>
      <c r="E2540" t="inlineStr">
        <is>
          <t>LJUSDAL</t>
        </is>
      </c>
      <c r="G2540" t="n">
        <v>4</v>
      </c>
      <c r="H2540" t="n">
        <v>0</v>
      </c>
      <c r="I2540" t="n">
        <v>0</v>
      </c>
      <c r="J2540" t="n">
        <v>0</v>
      </c>
      <c r="K2540" t="n">
        <v>0</v>
      </c>
      <c r="L2540" t="n">
        <v>0</v>
      </c>
      <c r="M2540" t="n">
        <v>0</v>
      </c>
      <c r="N2540" t="n">
        <v>0</v>
      </c>
      <c r="O2540" t="n">
        <v>0</v>
      </c>
      <c r="P2540" t="n">
        <v>0</v>
      </c>
      <c r="Q2540" t="n">
        <v>0</v>
      </c>
      <c r="R2540" s="2" t="inlineStr"/>
    </row>
    <row r="2541" ht="15" customHeight="1">
      <c r="A2541" t="inlineStr">
        <is>
          <t>A 27618-2025</t>
        </is>
      </c>
      <c r="B2541" s="1" t="n">
        <v>45813.54710648148</v>
      </c>
      <c r="C2541" s="1" t="n">
        <v>46086</v>
      </c>
      <c r="D2541" t="inlineStr">
        <is>
          <t>GÄVLEBORGS LÄN</t>
        </is>
      </c>
      <c r="E2541" t="inlineStr">
        <is>
          <t>HUDIKSVALL</t>
        </is>
      </c>
      <c r="F2541" t="inlineStr">
        <is>
          <t>Holmen skog AB</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18492-2024</t>
        </is>
      </c>
      <c r="B2542" s="1" t="n">
        <v>45425</v>
      </c>
      <c r="C2542" s="1" t="n">
        <v>46086</v>
      </c>
      <c r="D2542" t="inlineStr">
        <is>
          <t>GÄVLEBORGS LÄN</t>
        </is>
      </c>
      <c r="E2542" t="inlineStr">
        <is>
          <t>SÖDERHAMN</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18493-2024</t>
        </is>
      </c>
      <c r="B2543" s="1" t="n">
        <v>45425.56045138889</v>
      </c>
      <c r="C2543" s="1" t="n">
        <v>46086</v>
      </c>
      <c r="D2543" t="inlineStr">
        <is>
          <t>GÄVLEBORGS LÄN</t>
        </is>
      </c>
      <c r="E2543" t="inlineStr">
        <is>
          <t>HUDIKSVALL</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45181-2024</t>
        </is>
      </c>
      <c r="B2544" s="1" t="n">
        <v>45575.66368055555</v>
      </c>
      <c r="C2544" s="1" t="n">
        <v>46086</v>
      </c>
      <c r="D2544" t="inlineStr">
        <is>
          <t>GÄVLEBORGS LÄN</t>
        </is>
      </c>
      <c r="E2544" t="inlineStr">
        <is>
          <t>HUDIKSVALL</t>
        </is>
      </c>
      <c r="F2544" t="inlineStr">
        <is>
          <t>Holmen skog AB</t>
        </is>
      </c>
      <c r="G2544" t="n">
        <v>8.300000000000001</v>
      </c>
      <c r="H2544" t="n">
        <v>0</v>
      </c>
      <c r="I2544" t="n">
        <v>0</v>
      </c>
      <c r="J2544" t="n">
        <v>0</v>
      </c>
      <c r="K2544" t="n">
        <v>0</v>
      </c>
      <c r="L2544" t="n">
        <v>0</v>
      </c>
      <c r="M2544" t="n">
        <v>0</v>
      </c>
      <c r="N2544" t="n">
        <v>0</v>
      </c>
      <c r="O2544" t="n">
        <v>0</v>
      </c>
      <c r="P2544" t="n">
        <v>0</v>
      </c>
      <c r="Q2544" t="n">
        <v>0</v>
      </c>
      <c r="R2544" s="2" t="inlineStr"/>
    </row>
    <row r="2545" ht="15" customHeight="1">
      <c r="A2545" t="inlineStr">
        <is>
          <t>A 3237-2026</t>
        </is>
      </c>
      <c r="B2545" s="1" t="n">
        <v>46037</v>
      </c>
      <c r="C2545" s="1" t="n">
        <v>46086</v>
      </c>
      <c r="D2545" t="inlineStr">
        <is>
          <t>GÄVLEBORGS LÄN</t>
        </is>
      </c>
      <c r="E2545" t="inlineStr">
        <is>
          <t>HUDIKSVALL</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7673-2026</t>
        </is>
      </c>
      <c r="B2546" s="1" t="n">
        <v>46062</v>
      </c>
      <c r="C2546" s="1" t="n">
        <v>46086</v>
      </c>
      <c r="D2546" t="inlineStr">
        <is>
          <t>GÄVLEBORGS LÄN</t>
        </is>
      </c>
      <c r="E2546" t="inlineStr">
        <is>
          <t>GÄVLE</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7702-2026</t>
        </is>
      </c>
      <c r="B2547" s="1" t="n">
        <v>46062</v>
      </c>
      <c r="C2547" s="1" t="n">
        <v>46086</v>
      </c>
      <c r="D2547" t="inlineStr">
        <is>
          <t>GÄVLEBORGS LÄN</t>
        </is>
      </c>
      <c r="E2547" t="inlineStr">
        <is>
          <t>HUDIKSVALL</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2059-2026</t>
        </is>
      </c>
      <c r="B2548" s="1" t="n">
        <v>46035.87555555555</v>
      </c>
      <c r="C2548" s="1" t="n">
        <v>46086</v>
      </c>
      <c r="D2548" t="inlineStr">
        <is>
          <t>GÄVLEBORGS LÄN</t>
        </is>
      </c>
      <c r="E2548" t="inlineStr">
        <is>
          <t>BOLLNÄS</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2060-2026</t>
        </is>
      </c>
      <c r="B2549" s="1" t="n">
        <v>46035.88042824074</v>
      </c>
      <c r="C2549" s="1" t="n">
        <v>46086</v>
      </c>
      <c r="D2549" t="inlineStr">
        <is>
          <t>GÄVLEBORGS LÄN</t>
        </is>
      </c>
      <c r="E2549" t="inlineStr">
        <is>
          <t>BOLLNÄS</t>
        </is>
      </c>
      <c r="G2549" t="n">
        <v>10.4</v>
      </c>
      <c r="H2549" t="n">
        <v>0</v>
      </c>
      <c r="I2549" t="n">
        <v>0</v>
      </c>
      <c r="J2549" t="n">
        <v>0</v>
      </c>
      <c r="K2549" t="n">
        <v>0</v>
      </c>
      <c r="L2549" t="n">
        <v>0</v>
      </c>
      <c r="M2549" t="n">
        <v>0</v>
      </c>
      <c r="N2549" t="n">
        <v>0</v>
      </c>
      <c r="O2549" t="n">
        <v>0</v>
      </c>
      <c r="P2549" t="n">
        <v>0</v>
      </c>
      <c r="Q2549" t="n">
        <v>0</v>
      </c>
      <c r="R2549" s="2" t="inlineStr"/>
    </row>
    <row r="2550" ht="15" customHeight="1">
      <c r="A2550" t="inlineStr">
        <is>
          <t>A 40641-2024</t>
        </is>
      </c>
      <c r="B2550" s="1" t="n">
        <v>45558.30701388889</v>
      </c>
      <c r="C2550" s="1" t="n">
        <v>46086</v>
      </c>
      <c r="D2550" t="inlineStr">
        <is>
          <t>GÄVLEBORGS LÄN</t>
        </is>
      </c>
      <c r="E2550" t="inlineStr">
        <is>
          <t>NORDANSTIG</t>
        </is>
      </c>
      <c r="F2550" t="inlineStr">
        <is>
          <t>Holmen skog AB</t>
        </is>
      </c>
      <c r="G2550" t="n">
        <v>15.7</v>
      </c>
      <c r="H2550" t="n">
        <v>0</v>
      </c>
      <c r="I2550" t="n">
        <v>0</v>
      </c>
      <c r="J2550" t="n">
        <v>0</v>
      </c>
      <c r="K2550" t="n">
        <v>0</v>
      </c>
      <c r="L2550" t="n">
        <v>0</v>
      </c>
      <c r="M2550" t="n">
        <v>0</v>
      </c>
      <c r="N2550" t="n">
        <v>0</v>
      </c>
      <c r="O2550" t="n">
        <v>0</v>
      </c>
      <c r="P2550" t="n">
        <v>0</v>
      </c>
      <c r="Q2550" t="n">
        <v>0</v>
      </c>
      <c r="R2550" s="2" t="inlineStr"/>
    </row>
    <row r="2551" ht="15" customHeight="1">
      <c r="A2551" t="inlineStr">
        <is>
          <t>A 27628-2025</t>
        </is>
      </c>
      <c r="B2551" s="1" t="n">
        <v>45813.5585300926</v>
      </c>
      <c r="C2551" s="1" t="n">
        <v>46086</v>
      </c>
      <c r="D2551" t="inlineStr">
        <is>
          <t>GÄVLEBORGS LÄN</t>
        </is>
      </c>
      <c r="E2551" t="inlineStr">
        <is>
          <t>OVANÅKER</t>
        </is>
      </c>
      <c r="F2551" t="inlineStr">
        <is>
          <t>Bergvik skog väst AB</t>
        </is>
      </c>
      <c r="G2551" t="n">
        <v>5.8</v>
      </c>
      <c r="H2551" t="n">
        <v>0</v>
      </c>
      <c r="I2551" t="n">
        <v>0</v>
      </c>
      <c r="J2551" t="n">
        <v>0</v>
      </c>
      <c r="K2551" t="n">
        <v>0</v>
      </c>
      <c r="L2551" t="n">
        <v>0</v>
      </c>
      <c r="M2551" t="n">
        <v>0</v>
      </c>
      <c r="N2551" t="n">
        <v>0</v>
      </c>
      <c r="O2551" t="n">
        <v>0</v>
      </c>
      <c r="P2551" t="n">
        <v>0</v>
      </c>
      <c r="Q2551" t="n">
        <v>0</v>
      </c>
      <c r="R2551" s="2" t="inlineStr"/>
    </row>
    <row r="2552" ht="15" customHeight="1">
      <c r="A2552" t="inlineStr">
        <is>
          <t>A 27633-2025</t>
        </is>
      </c>
      <c r="B2552" s="1" t="n">
        <v>45813.56456018519</v>
      </c>
      <c r="C2552" s="1" t="n">
        <v>46086</v>
      </c>
      <c r="D2552" t="inlineStr">
        <is>
          <t>GÄVLEBORGS LÄN</t>
        </is>
      </c>
      <c r="E2552" t="inlineStr">
        <is>
          <t>GÄVLE</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18505-2024</t>
        </is>
      </c>
      <c r="B2553" s="1" t="n">
        <v>45425</v>
      </c>
      <c r="C2553" s="1" t="n">
        <v>46086</v>
      </c>
      <c r="D2553" t="inlineStr">
        <is>
          <t>GÄVLEBORGS LÄN</t>
        </is>
      </c>
      <c r="E2553" t="inlineStr">
        <is>
          <t>SÖDERHAMN</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21682-2024</t>
        </is>
      </c>
      <c r="B2554" s="1" t="n">
        <v>45442.43586805555</v>
      </c>
      <c r="C2554" s="1" t="n">
        <v>46086</v>
      </c>
      <c r="D2554" t="inlineStr">
        <is>
          <t>GÄVLEBORGS LÄN</t>
        </is>
      </c>
      <c r="E2554" t="inlineStr">
        <is>
          <t>BOLLNÄS</t>
        </is>
      </c>
      <c r="F2554" t="inlineStr">
        <is>
          <t>Bergvik skog väst AB</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33588-2024</t>
        </is>
      </c>
      <c r="B2555" s="1" t="n">
        <v>45520.3509375</v>
      </c>
      <c r="C2555" s="1" t="n">
        <v>46086</v>
      </c>
      <c r="D2555" t="inlineStr">
        <is>
          <t>GÄVLEBORGS LÄN</t>
        </is>
      </c>
      <c r="E2555" t="inlineStr">
        <is>
          <t>HUDIKSVALL</t>
        </is>
      </c>
      <c r="F2555" t="inlineStr">
        <is>
          <t>Holmen skog AB</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27668-2025</t>
        </is>
      </c>
      <c r="B2556" s="1" t="n">
        <v>45813.6222337963</v>
      </c>
      <c r="C2556" s="1" t="n">
        <v>46086</v>
      </c>
      <c r="D2556" t="inlineStr">
        <is>
          <t>GÄVLEBORGS LÄN</t>
        </is>
      </c>
      <c r="E2556" t="inlineStr">
        <is>
          <t>OVANÅKER</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56898-2023</t>
        </is>
      </c>
      <c r="B2557" s="1" t="n">
        <v>45244.5674537037</v>
      </c>
      <c r="C2557" s="1" t="n">
        <v>46086</v>
      </c>
      <c r="D2557" t="inlineStr">
        <is>
          <t>GÄVLEBORGS LÄN</t>
        </is>
      </c>
      <c r="E2557" t="inlineStr">
        <is>
          <t>HUDIKSVALL</t>
        </is>
      </c>
      <c r="F2557" t="inlineStr">
        <is>
          <t>Holmen skog AB</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2092-2026</t>
        </is>
      </c>
      <c r="B2558" s="1" t="n">
        <v>46036</v>
      </c>
      <c r="C2558" s="1" t="n">
        <v>46086</v>
      </c>
      <c r="D2558" t="inlineStr">
        <is>
          <t>GÄVLEBORGS LÄN</t>
        </is>
      </c>
      <c r="E2558" t="inlineStr">
        <is>
          <t>OVANÅKER</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2143-2026</t>
        </is>
      </c>
      <c r="B2559" s="1" t="n">
        <v>46036.40519675926</v>
      </c>
      <c r="C2559" s="1" t="n">
        <v>46086</v>
      </c>
      <c r="D2559" t="inlineStr">
        <is>
          <t>GÄVLEBORGS LÄN</t>
        </is>
      </c>
      <c r="E2559" t="inlineStr">
        <is>
          <t>BOLLNÄS</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11077-2026</t>
        </is>
      </c>
      <c r="B2560" s="1" t="n">
        <v>46079.61737268518</v>
      </c>
      <c r="C2560" s="1" t="n">
        <v>46086</v>
      </c>
      <c r="D2560" t="inlineStr">
        <is>
          <t>GÄVLEBORGS LÄN</t>
        </is>
      </c>
      <c r="E2560" t="inlineStr">
        <is>
          <t>OCKELBO</t>
        </is>
      </c>
      <c r="G2560" t="n">
        <v>6.9</v>
      </c>
      <c r="H2560" t="n">
        <v>0</v>
      </c>
      <c r="I2560" t="n">
        <v>0</v>
      </c>
      <c r="J2560" t="n">
        <v>0</v>
      </c>
      <c r="K2560" t="n">
        <v>0</v>
      </c>
      <c r="L2560" t="n">
        <v>0</v>
      </c>
      <c r="M2560" t="n">
        <v>0</v>
      </c>
      <c r="N2560" t="n">
        <v>0</v>
      </c>
      <c r="O2560" t="n">
        <v>0</v>
      </c>
      <c r="P2560" t="n">
        <v>0</v>
      </c>
      <c r="Q2560" t="n">
        <v>0</v>
      </c>
      <c r="R2560" s="2" t="inlineStr"/>
    </row>
    <row r="2561" ht="15" customHeight="1">
      <c r="A2561" t="inlineStr">
        <is>
          <t>A 11089-2026</t>
        </is>
      </c>
      <c r="B2561" s="1" t="n">
        <v>46079.62960648148</v>
      </c>
      <c r="C2561" s="1" t="n">
        <v>46086</v>
      </c>
      <c r="D2561" t="inlineStr">
        <is>
          <t>GÄVLEBORGS LÄN</t>
        </is>
      </c>
      <c r="E2561" t="inlineStr">
        <is>
          <t>SANDVIKEN</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34064-2025</t>
        </is>
      </c>
      <c r="B2562" s="1" t="n">
        <v>45845.42802083334</v>
      </c>
      <c r="C2562" s="1" t="n">
        <v>46086</v>
      </c>
      <c r="D2562" t="inlineStr">
        <is>
          <t>GÄVLEBORGS LÄN</t>
        </is>
      </c>
      <c r="E2562" t="inlineStr">
        <is>
          <t>OVANÅKER</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58180-2024</t>
        </is>
      </c>
      <c r="B2563" s="1" t="n">
        <v>45632.46930555555</v>
      </c>
      <c r="C2563" s="1" t="n">
        <v>46086</v>
      </c>
      <c r="D2563" t="inlineStr">
        <is>
          <t>GÄVLEBORGS LÄN</t>
        </is>
      </c>
      <c r="E2563" t="inlineStr">
        <is>
          <t>SÖDERHAMN</t>
        </is>
      </c>
      <c r="F2563" t="inlineStr">
        <is>
          <t>Bergvik skog väst AB</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58204-2024</t>
        </is>
      </c>
      <c r="B2564" s="1" t="n">
        <v>45632.48819444444</v>
      </c>
      <c r="C2564" s="1" t="n">
        <v>46086</v>
      </c>
      <c r="D2564" t="inlineStr">
        <is>
          <t>GÄVLEBORGS LÄN</t>
        </is>
      </c>
      <c r="E2564" t="inlineStr">
        <is>
          <t>GÄVLE</t>
        </is>
      </c>
      <c r="G2564" t="n">
        <v>3.9</v>
      </c>
      <c r="H2564" t="n">
        <v>0</v>
      </c>
      <c r="I2564" t="n">
        <v>0</v>
      </c>
      <c r="J2564" t="n">
        <v>0</v>
      </c>
      <c r="K2564" t="n">
        <v>0</v>
      </c>
      <c r="L2564" t="n">
        <v>0</v>
      </c>
      <c r="M2564" t="n">
        <v>0</v>
      </c>
      <c r="N2564" t="n">
        <v>0</v>
      </c>
      <c r="O2564" t="n">
        <v>0</v>
      </c>
      <c r="P2564" t="n">
        <v>0</v>
      </c>
      <c r="Q2564" t="n">
        <v>0</v>
      </c>
      <c r="R2564" s="2" t="inlineStr"/>
    </row>
    <row r="2565" ht="15" customHeight="1">
      <c r="A2565" t="inlineStr">
        <is>
          <t>A 11101-2026</t>
        </is>
      </c>
      <c r="B2565" s="1" t="n">
        <v>46079.65098379629</v>
      </c>
      <c r="C2565" s="1" t="n">
        <v>46086</v>
      </c>
      <c r="D2565" t="inlineStr">
        <is>
          <t>GÄVLEBORGS LÄN</t>
        </is>
      </c>
      <c r="E2565" t="inlineStr">
        <is>
          <t>BOLLNÄS</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11123-2026</t>
        </is>
      </c>
      <c r="B2566" s="1" t="n">
        <v>46079.68883101852</v>
      </c>
      <c r="C2566" s="1" t="n">
        <v>46086</v>
      </c>
      <c r="D2566" t="inlineStr">
        <is>
          <t>GÄVLEBORGS LÄN</t>
        </is>
      </c>
      <c r="E2566" t="inlineStr">
        <is>
          <t>BOLLNÄS</t>
        </is>
      </c>
      <c r="G2566" t="n">
        <v>5.4</v>
      </c>
      <c r="H2566" t="n">
        <v>0</v>
      </c>
      <c r="I2566" t="n">
        <v>0</v>
      </c>
      <c r="J2566" t="n">
        <v>0</v>
      </c>
      <c r="K2566" t="n">
        <v>0</v>
      </c>
      <c r="L2566" t="n">
        <v>0</v>
      </c>
      <c r="M2566" t="n">
        <v>0</v>
      </c>
      <c r="N2566" t="n">
        <v>0</v>
      </c>
      <c r="O2566" t="n">
        <v>0</v>
      </c>
      <c r="P2566" t="n">
        <v>0</v>
      </c>
      <c r="Q2566" t="n">
        <v>0</v>
      </c>
      <c r="R2566" s="2" t="inlineStr"/>
    </row>
    <row r="2567" ht="15" customHeight="1">
      <c r="A2567" t="inlineStr">
        <is>
          <t>A 27305-2025</t>
        </is>
      </c>
      <c r="B2567" s="1" t="n">
        <v>45812.57285879629</v>
      </c>
      <c r="C2567" s="1" t="n">
        <v>46086</v>
      </c>
      <c r="D2567" t="inlineStr">
        <is>
          <t>GÄVLEBORGS LÄN</t>
        </is>
      </c>
      <c r="E2567" t="inlineStr">
        <is>
          <t>LJUSDAL</t>
        </is>
      </c>
      <c r="F2567" t="inlineStr">
        <is>
          <t>Allmännings- och besparingsskogar</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40498-2022</t>
        </is>
      </c>
      <c r="B2568" s="1" t="n">
        <v>44823.600625</v>
      </c>
      <c r="C2568" s="1" t="n">
        <v>46086</v>
      </c>
      <c r="D2568" t="inlineStr">
        <is>
          <t>GÄVLEBORGS LÄN</t>
        </is>
      </c>
      <c r="E2568" t="inlineStr">
        <is>
          <t>GÄVLE</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33052-2024</t>
        </is>
      </c>
      <c r="B2569" s="1" t="n">
        <v>45517.63001157407</v>
      </c>
      <c r="C2569" s="1" t="n">
        <v>46086</v>
      </c>
      <c r="D2569" t="inlineStr">
        <is>
          <t>GÄVLEBORGS LÄN</t>
        </is>
      </c>
      <c r="E2569" t="inlineStr">
        <is>
          <t>LJUSDAL</t>
        </is>
      </c>
      <c r="F2569" t="inlineStr">
        <is>
          <t>Allmännings- och besparingsskogar</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41890-2023</t>
        </is>
      </c>
      <c r="B2570" s="1" t="n">
        <v>45176.71189814815</v>
      </c>
      <c r="C2570" s="1" t="n">
        <v>46086</v>
      </c>
      <c r="D2570" t="inlineStr">
        <is>
          <t>GÄVLEBORGS LÄN</t>
        </is>
      </c>
      <c r="E2570" t="inlineStr">
        <is>
          <t>SANDVIKEN</t>
        </is>
      </c>
      <c r="F2570" t="inlineStr">
        <is>
          <t>Sveaskog</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7649-2026</t>
        </is>
      </c>
      <c r="B2571" s="1" t="n">
        <v>46062</v>
      </c>
      <c r="C2571" s="1" t="n">
        <v>46086</v>
      </c>
      <c r="D2571" t="inlineStr">
        <is>
          <t>GÄVLEBORGS LÄN</t>
        </is>
      </c>
      <c r="E2571" t="inlineStr">
        <is>
          <t>OVANÅKER</t>
        </is>
      </c>
      <c r="G2571" t="n">
        <v>14.9</v>
      </c>
      <c r="H2571" t="n">
        <v>0</v>
      </c>
      <c r="I2571" t="n">
        <v>0</v>
      </c>
      <c r="J2571" t="n">
        <v>0</v>
      </c>
      <c r="K2571" t="n">
        <v>0</v>
      </c>
      <c r="L2571" t="n">
        <v>0</v>
      </c>
      <c r="M2571" t="n">
        <v>0</v>
      </c>
      <c r="N2571" t="n">
        <v>0</v>
      </c>
      <c r="O2571" t="n">
        <v>0</v>
      </c>
      <c r="P2571" t="n">
        <v>0</v>
      </c>
      <c r="Q2571" t="n">
        <v>0</v>
      </c>
      <c r="R2571" s="2" t="inlineStr"/>
    </row>
    <row r="2572" ht="15" customHeight="1">
      <c r="A2572" t="inlineStr">
        <is>
          <t>A 8398-2026</t>
        </is>
      </c>
      <c r="B2572" s="1" t="n">
        <v>46065</v>
      </c>
      <c r="C2572" s="1" t="n">
        <v>46086</v>
      </c>
      <c r="D2572" t="inlineStr">
        <is>
          <t>GÄVLEBORGS LÄN</t>
        </is>
      </c>
      <c r="E2572" t="inlineStr">
        <is>
          <t>OVANÅKER</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8532-2026</t>
        </is>
      </c>
      <c r="B2573" s="1" t="n">
        <v>46065</v>
      </c>
      <c r="C2573" s="1" t="n">
        <v>46086</v>
      </c>
      <c r="D2573" t="inlineStr">
        <is>
          <t>GÄVLEBORGS LÄN</t>
        </is>
      </c>
      <c r="E2573" t="inlineStr">
        <is>
          <t>OCKELBO</t>
        </is>
      </c>
      <c r="F2573" t="inlineStr">
        <is>
          <t>Bergvik skog väst AB</t>
        </is>
      </c>
      <c r="G2573" t="n">
        <v>10.8</v>
      </c>
      <c r="H2573" t="n">
        <v>0</v>
      </c>
      <c r="I2573" t="n">
        <v>0</v>
      </c>
      <c r="J2573" t="n">
        <v>0</v>
      </c>
      <c r="K2573" t="n">
        <v>0</v>
      </c>
      <c r="L2573" t="n">
        <v>0</v>
      </c>
      <c r="M2573" t="n">
        <v>0</v>
      </c>
      <c r="N2573" t="n">
        <v>0</v>
      </c>
      <c r="O2573" t="n">
        <v>0</v>
      </c>
      <c r="P2573" t="n">
        <v>0</v>
      </c>
      <c r="Q2573" t="n">
        <v>0</v>
      </c>
      <c r="R2573" s="2" t="inlineStr"/>
    </row>
    <row r="2574" ht="15" customHeight="1">
      <c r="A2574" t="inlineStr">
        <is>
          <t>A 8793-2026</t>
        </is>
      </c>
      <c r="B2574" s="1" t="n">
        <v>46066</v>
      </c>
      <c r="C2574" s="1" t="n">
        <v>46086</v>
      </c>
      <c r="D2574" t="inlineStr">
        <is>
          <t>GÄVLEBORGS LÄN</t>
        </is>
      </c>
      <c r="E2574" t="inlineStr">
        <is>
          <t>BOLLNÄS</t>
        </is>
      </c>
      <c r="F2574" t="inlineStr">
        <is>
          <t>Sveaskog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27289-2025</t>
        </is>
      </c>
      <c r="B2575" s="1" t="n">
        <v>45812.55351851852</v>
      </c>
      <c r="C2575" s="1" t="n">
        <v>46086</v>
      </c>
      <c r="D2575" t="inlineStr">
        <is>
          <t>GÄVLEBORGS LÄN</t>
        </is>
      </c>
      <c r="E2575" t="inlineStr">
        <is>
          <t>HUDIKSVALL</t>
        </is>
      </c>
      <c r="F2575" t="inlineStr">
        <is>
          <t>Holmen skog AB</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27299-2025</t>
        </is>
      </c>
      <c r="B2576" s="1" t="n">
        <v>45812.57129629629</v>
      </c>
      <c r="C2576" s="1" t="n">
        <v>46086</v>
      </c>
      <c r="D2576" t="inlineStr">
        <is>
          <t>GÄVLEBORGS LÄN</t>
        </is>
      </c>
      <c r="E2576" t="inlineStr">
        <is>
          <t>HUDIKSVALL</t>
        </is>
      </c>
      <c r="F2576" t="inlineStr">
        <is>
          <t>Holmen skog AB</t>
        </is>
      </c>
      <c r="G2576" t="n">
        <v>6</v>
      </c>
      <c r="H2576" t="n">
        <v>0</v>
      </c>
      <c r="I2576" t="n">
        <v>0</v>
      </c>
      <c r="J2576" t="n">
        <v>0</v>
      </c>
      <c r="K2576" t="n">
        <v>0</v>
      </c>
      <c r="L2576" t="n">
        <v>0</v>
      </c>
      <c r="M2576" t="n">
        <v>0</v>
      </c>
      <c r="N2576" t="n">
        <v>0</v>
      </c>
      <c r="O2576" t="n">
        <v>0</v>
      </c>
      <c r="P2576" t="n">
        <v>0</v>
      </c>
      <c r="Q2576" t="n">
        <v>0</v>
      </c>
      <c r="R2576" s="2" t="inlineStr"/>
    </row>
    <row r="2577" ht="15" customHeight="1">
      <c r="A2577" t="inlineStr">
        <is>
          <t>A 11118-2026</t>
        </is>
      </c>
      <c r="B2577" s="1" t="n">
        <v>46079.67105324074</v>
      </c>
      <c r="C2577" s="1" t="n">
        <v>46086</v>
      </c>
      <c r="D2577" t="inlineStr">
        <is>
          <t>GÄVLEBORGS LÄN</t>
        </is>
      </c>
      <c r="E2577" t="inlineStr">
        <is>
          <t>BOLLNÄS</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11120-2026</t>
        </is>
      </c>
      <c r="B2578" s="1" t="n">
        <v>46079.6802662037</v>
      </c>
      <c r="C2578" s="1" t="n">
        <v>46086</v>
      </c>
      <c r="D2578" t="inlineStr">
        <is>
          <t>GÄVLEBORGS LÄN</t>
        </is>
      </c>
      <c r="E2578" t="inlineStr">
        <is>
          <t>BOLLNÄS</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11122-2026</t>
        </is>
      </c>
      <c r="B2579" s="1" t="n">
        <v>46079.68494212963</v>
      </c>
      <c r="C2579" s="1" t="n">
        <v>46086</v>
      </c>
      <c r="D2579" t="inlineStr">
        <is>
          <t>GÄVLEBORGS LÄN</t>
        </is>
      </c>
      <c r="E2579" t="inlineStr">
        <is>
          <t>OVANÅKER</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549-2026</t>
        </is>
      </c>
      <c r="B2580" s="1" t="n">
        <v>46029</v>
      </c>
      <c r="C2580" s="1" t="n">
        <v>46086</v>
      </c>
      <c r="D2580" t="inlineStr">
        <is>
          <t>GÄVLEBORGS LÄN</t>
        </is>
      </c>
      <c r="E2580" t="inlineStr">
        <is>
          <t>BOLLNÄS</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25265-2025</t>
        </is>
      </c>
      <c r="B2581" s="1" t="n">
        <v>45800.53510416667</v>
      </c>
      <c r="C2581" s="1" t="n">
        <v>46086</v>
      </c>
      <c r="D2581" t="inlineStr">
        <is>
          <t>GÄVLEBORGS LÄN</t>
        </is>
      </c>
      <c r="E2581" t="inlineStr">
        <is>
          <t>SANDVIKEN</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31002-2024</t>
        </is>
      </c>
      <c r="B2582" s="1" t="n">
        <v>45499.62605324074</v>
      </c>
      <c r="C2582" s="1" t="n">
        <v>46086</v>
      </c>
      <c r="D2582" t="inlineStr">
        <is>
          <t>GÄVLEBORGS LÄN</t>
        </is>
      </c>
      <c r="E2582" t="inlineStr">
        <is>
          <t>NORDANSTIG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2652-2026</t>
        </is>
      </c>
      <c r="B2583" s="1" t="n">
        <v>46037</v>
      </c>
      <c r="C2583" s="1" t="n">
        <v>46086</v>
      </c>
      <c r="D2583" t="inlineStr">
        <is>
          <t>GÄVLEBORGS LÄN</t>
        </is>
      </c>
      <c r="E2583" t="inlineStr">
        <is>
          <t>OVANÅKER</t>
        </is>
      </c>
      <c r="G2583" t="n">
        <v>13.3</v>
      </c>
      <c r="H2583" t="n">
        <v>0</v>
      </c>
      <c r="I2583" t="n">
        <v>0</v>
      </c>
      <c r="J2583" t="n">
        <v>0</v>
      </c>
      <c r="K2583" t="n">
        <v>0</v>
      </c>
      <c r="L2583" t="n">
        <v>0</v>
      </c>
      <c r="M2583" t="n">
        <v>0</v>
      </c>
      <c r="N2583" t="n">
        <v>0</v>
      </c>
      <c r="O2583" t="n">
        <v>0</v>
      </c>
      <c r="P2583" t="n">
        <v>0</v>
      </c>
      <c r="Q2583" t="n">
        <v>0</v>
      </c>
      <c r="R2583" s="2" t="inlineStr"/>
    </row>
    <row r="2584" ht="15" customHeight="1">
      <c r="A2584" t="inlineStr">
        <is>
          <t>A 2653-2026</t>
        </is>
      </c>
      <c r="B2584" s="1" t="n">
        <v>46037.62857638889</v>
      </c>
      <c r="C2584" s="1" t="n">
        <v>46086</v>
      </c>
      <c r="D2584" t="inlineStr">
        <is>
          <t>GÄVLEBORGS LÄN</t>
        </is>
      </c>
      <c r="E2584" t="inlineStr">
        <is>
          <t>BOLLNÄS</t>
        </is>
      </c>
      <c r="G2584" t="n">
        <v>6.1</v>
      </c>
      <c r="H2584" t="n">
        <v>0</v>
      </c>
      <c r="I2584" t="n">
        <v>0</v>
      </c>
      <c r="J2584" t="n">
        <v>0</v>
      </c>
      <c r="K2584" t="n">
        <v>0</v>
      </c>
      <c r="L2584" t="n">
        <v>0</v>
      </c>
      <c r="M2584" t="n">
        <v>0</v>
      </c>
      <c r="N2584" t="n">
        <v>0</v>
      </c>
      <c r="O2584" t="n">
        <v>0</v>
      </c>
      <c r="P2584" t="n">
        <v>0</v>
      </c>
      <c r="Q2584" t="n">
        <v>0</v>
      </c>
      <c r="R2584" s="2" t="inlineStr"/>
    </row>
    <row r="2585" ht="15" customHeight="1">
      <c r="A2585" t="inlineStr">
        <is>
          <t>A 2673-2026</t>
        </is>
      </c>
      <c r="B2585" s="1" t="n">
        <v>46037</v>
      </c>
      <c r="C2585" s="1" t="n">
        <v>46086</v>
      </c>
      <c r="D2585" t="inlineStr">
        <is>
          <t>GÄVLEBORGS LÄN</t>
        </is>
      </c>
      <c r="E2585" t="inlineStr">
        <is>
          <t>OVANÅKER</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2171-2026</t>
        </is>
      </c>
      <c r="B2586" s="1" t="n">
        <v>46036.44969907407</v>
      </c>
      <c r="C2586" s="1" t="n">
        <v>46086</v>
      </c>
      <c r="D2586" t="inlineStr">
        <is>
          <t>GÄVLEBORGS LÄN</t>
        </is>
      </c>
      <c r="E2586" t="inlineStr">
        <is>
          <t>OCKELBO</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2174-2026</t>
        </is>
      </c>
      <c r="B2587" s="1" t="n">
        <v>46036</v>
      </c>
      <c r="C2587" s="1" t="n">
        <v>46086</v>
      </c>
      <c r="D2587" t="inlineStr">
        <is>
          <t>GÄVLEBORGS LÄN</t>
        </is>
      </c>
      <c r="E2587" t="inlineStr">
        <is>
          <t>BOLLNÄS</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27155-2025</t>
        </is>
      </c>
      <c r="B2588" s="1" t="n">
        <v>45812.33081018519</v>
      </c>
      <c r="C2588" s="1" t="n">
        <v>46086</v>
      </c>
      <c r="D2588" t="inlineStr">
        <is>
          <t>GÄVLEBORGS LÄN</t>
        </is>
      </c>
      <c r="E2588" t="inlineStr">
        <is>
          <t>OVANÅKER</t>
        </is>
      </c>
      <c r="G2588" t="n">
        <v>6.3</v>
      </c>
      <c r="H2588" t="n">
        <v>0</v>
      </c>
      <c r="I2588" t="n">
        <v>0</v>
      </c>
      <c r="J2588" t="n">
        <v>0</v>
      </c>
      <c r="K2588" t="n">
        <v>0</v>
      </c>
      <c r="L2588" t="n">
        <v>0</v>
      </c>
      <c r="M2588" t="n">
        <v>0</v>
      </c>
      <c r="N2588" t="n">
        <v>0</v>
      </c>
      <c r="O2588" t="n">
        <v>0</v>
      </c>
      <c r="P2588" t="n">
        <v>0</v>
      </c>
      <c r="Q2588" t="n">
        <v>0</v>
      </c>
      <c r="R2588" s="2" t="inlineStr"/>
    </row>
    <row r="2589" ht="15" customHeight="1">
      <c r="A2589" t="inlineStr">
        <is>
          <t>A 27159-2025</t>
        </is>
      </c>
      <c r="B2589" s="1" t="n">
        <v>45812</v>
      </c>
      <c r="C2589" s="1" t="n">
        <v>46086</v>
      </c>
      <c r="D2589" t="inlineStr">
        <is>
          <t>GÄVLEBORGS LÄN</t>
        </is>
      </c>
      <c r="E2589" t="inlineStr">
        <is>
          <t>HUDIKSVALL</t>
        </is>
      </c>
      <c r="F2589" t="inlineStr">
        <is>
          <t>Holmen skog AB</t>
        </is>
      </c>
      <c r="G2589" t="n">
        <v>29.4</v>
      </c>
      <c r="H2589" t="n">
        <v>0</v>
      </c>
      <c r="I2589" t="n">
        <v>0</v>
      </c>
      <c r="J2589" t="n">
        <v>0</v>
      </c>
      <c r="K2589" t="n">
        <v>0</v>
      </c>
      <c r="L2589" t="n">
        <v>0</v>
      </c>
      <c r="M2589" t="n">
        <v>0</v>
      </c>
      <c r="N2589" t="n">
        <v>0</v>
      </c>
      <c r="O2589" t="n">
        <v>0</v>
      </c>
      <c r="P2589" t="n">
        <v>0</v>
      </c>
      <c r="Q2589" t="n">
        <v>0</v>
      </c>
      <c r="R2589" s="2" t="inlineStr"/>
    </row>
    <row r="2590" ht="15" customHeight="1">
      <c r="A2590" t="inlineStr">
        <is>
          <t>A 38486-2025</t>
        </is>
      </c>
      <c r="B2590" s="1" t="n">
        <v>45884.34282407408</v>
      </c>
      <c r="C2590" s="1" t="n">
        <v>46086</v>
      </c>
      <c r="D2590" t="inlineStr">
        <is>
          <t>GÄVLEBORGS LÄN</t>
        </is>
      </c>
      <c r="E2590" t="inlineStr">
        <is>
          <t>HOFORS</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38517-2025</t>
        </is>
      </c>
      <c r="B2591" s="1" t="n">
        <v>45884.39716435185</v>
      </c>
      <c r="C2591" s="1" t="n">
        <v>46086</v>
      </c>
      <c r="D2591" t="inlineStr">
        <is>
          <t>GÄVLEBORGS LÄN</t>
        </is>
      </c>
      <c r="E2591" t="inlineStr">
        <is>
          <t>GÄVLE</t>
        </is>
      </c>
      <c r="F2591" t="inlineStr">
        <is>
          <t>Bergvik skog öst AB</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67380-2021</t>
        </is>
      </c>
      <c r="B2592" s="1" t="n">
        <v>44523</v>
      </c>
      <c r="C2592" s="1" t="n">
        <v>46086</v>
      </c>
      <c r="D2592" t="inlineStr">
        <is>
          <t>GÄVLEBORGS LÄN</t>
        </is>
      </c>
      <c r="E2592" t="inlineStr">
        <is>
          <t>LJUSDAL</t>
        </is>
      </c>
      <c r="G2592" t="n">
        <v>4.6</v>
      </c>
      <c r="H2592" t="n">
        <v>0</v>
      </c>
      <c r="I2592" t="n">
        <v>0</v>
      </c>
      <c r="J2592" t="n">
        <v>0</v>
      </c>
      <c r="K2592" t="n">
        <v>0</v>
      </c>
      <c r="L2592" t="n">
        <v>0</v>
      </c>
      <c r="M2592" t="n">
        <v>0</v>
      </c>
      <c r="N2592" t="n">
        <v>0</v>
      </c>
      <c r="O2592" t="n">
        <v>0</v>
      </c>
      <c r="P2592" t="n">
        <v>0</v>
      </c>
      <c r="Q2592" t="n">
        <v>0</v>
      </c>
      <c r="R2592" s="2" t="inlineStr"/>
    </row>
    <row r="2593" ht="15" customHeight="1">
      <c r="A2593" t="inlineStr">
        <is>
          <t>A 53845-2023</t>
        </is>
      </c>
      <c r="B2593" s="1" t="n">
        <v>45231.44913194444</v>
      </c>
      <c r="C2593" s="1" t="n">
        <v>46086</v>
      </c>
      <c r="D2593" t="inlineStr">
        <is>
          <t>GÄVLEBORGS LÄN</t>
        </is>
      </c>
      <c r="E2593" t="inlineStr">
        <is>
          <t>OVANÅKER</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27186-2025</t>
        </is>
      </c>
      <c r="B2594" s="1" t="n">
        <v>45812.36540509259</v>
      </c>
      <c r="C2594" s="1" t="n">
        <v>46086</v>
      </c>
      <c r="D2594" t="inlineStr">
        <is>
          <t>GÄVLEBORGS LÄN</t>
        </is>
      </c>
      <c r="E2594" t="inlineStr">
        <is>
          <t>LJUSDAL</t>
        </is>
      </c>
      <c r="F2594" t="inlineStr">
        <is>
          <t>Holmen skog AB</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28057-2025</t>
        </is>
      </c>
      <c r="B2595" s="1" t="n">
        <v>45817.66207175926</v>
      </c>
      <c r="C2595" s="1" t="n">
        <v>46086</v>
      </c>
      <c r="D2595" t="inlineStr">
        <is>
          <t>GÄVLEBORGS LÄN</t>
        </is>
      </c>
      <c r="E2595" t="inlineStr">
        <is>
          <t>OVANÅKER</t>
        </is>
      </c>
      <c r="F2595" t="inlineStr">
        <is>
          <t>Bergvik skog väst AB</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10993-2026</t>
        </is>
      </c>
      <c r="B2596" s="1" t="n">
        <v>46079.48792824074</v>
      </c>
      <c r="C2596" s="1" t="n">
        <v>46086</v>
      </c>
      <c r="D2596" t="inlineStr">
        <is>
          <t>GÄVLEBORGS LÄN</t>
        </is>
      </c>
      <c r="E2596" t="inlineStr">
        <is>
          <t>NORDANSTIG</t>
        </is>
      </c>
      <c r="F2596" t="inlineStr">
        <is>
          <t>Holmen skog AB</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27839-2025</t>
        </is>
      </c>
      <c r="B2597" s="1" t="n">
        <v>45817.37427083333</v>
      </c>
      <c r="C2597" s="1" t="n">
        <v>46086</v>
      </c>
      <c r="D2597" t="inlineStr">
        <is>
          <t>GÄVLEBORGS LÄN</t>
        </is>
      </c>
      <c r="E2597" t="inlineStr">
        <is>
          <t>LJUSDAL</t>
        </is>
      </c>
      <c r="F2597" t="inlineStr">
        <is>
          <t>Holmen skog AB</t>
        </is>
      </c>
      <c r="G2597" t="n">
        <v>20.9</v>
      </c>
      <c r="H2597" t="n">
        <v>0</v>
      </c>
      <c r="I2597" t="n">
        <v>0</v>
      </c>
      <c r="J2597" t="n">
        <v>0</v>
      </c>
      <c r="K2597" t="n">
        <v>0</v>
      </c>
      <c r="L2597" t="n">
        <v>0</v>
      </c>
      <c r="M2597" t="n">
        <v>0</v>
      </c>
      <c r="N2597" t="n">
        <v>0</v>
      </c>
      <c r="O2597" t="n">
        <v>0</v>
      </c>
      <c r="P2597" t="n">
        <v>0</v>
      </c>
      <c r="Q2597" t="n">
        <v>0</v>
      </c>
      <c r="R2597" s="2" t="inlineStr"/>
    </row>
    <row r="2598" ht="15" customHeight="1">
      <c r="A2598" t="inlineStr">
        <is>
          <t>A 53298-2023</t>
        </is>
      </c>
      <c r="B2598" s="1" t="n">
        <v>45229</v>
      </c>
      <c r="C2598" s="1" t="n">
        <v>46086</v>
      </c>
      <c r="D2598" t="inlineStr">
        <is>
          <t>GÄVLEBORGS LÄN</t>
        </is>
      </c>
      <c r="E2598" t="inlineStr">
        <is>
          <t>BOLLNÄS</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38589-2025</t>
        </is>
      </c>
      <c r="B2599" s="1" t="n">
        <v>45884.47407407407</v>
      </c>
      <c r="C2599" s="1" t="n">
        <v>46086</v>
      </c>
      <c r="D2599" t="inlineStr">
        <is>
          <t>GÄVLEBORGS LÄN</t>
        </is>
      </c>
      <c r="E2599" t="inlineStr">
        <is>
          <t>NORDANSTIG</t>
        </is>
      </c>
      <c r="G2599" t="n">
        <v>10.8</v>
      </c>
      <c r="H2599" t="n">
        <v>0</v>
      </c>
      <c r="I2599" t="n">
        <v>0</v>
      </c>
      <c r="J2599" t="n">
        <v>0</v>
      </c>
      <c r="K2599" t="n">
        <v>0</v>
      </c>
      <c r="L2599" t="n">
        <v>0</v>
      </c>
      <c r="M2599" t="n">
        <v>0</v>
      </c>
      <c r="N2599" t="n">
        <v>0</v>
      </c>
      <c r="O2599" t="n">
        <v>0</v>
      </c>
      <c r="P2599" t="n">
        <v>0</v>
      </c>
      <c r="Q2599" t="n">
        <v>0</v>
      </c>
      <c r="R2599" s="2" t="inlineStr"/>
    </row>
    <row r="2600" ht="15" customHeight="1">
      <c r="A2600" t="inlineStr">
        <is>
          <t>A 48848-2024</t>
        </is>
      </c>
      <c r="B2600" s="1" t="n">
        <v>45593.8021875</v>
      </c>
      <c r="C2600" s="1" t="n">
        <v>46086</v>
      </c>
      <c r="D2600" t="inlineStr">
        <is>
          <t>GÄVLEBORGS LÄN</t>
        </is>
      </c>
      <c r="E2600" t="inlineStr">
        <is>
          <t>LJUSDAL</t>
        </is>
      </c>
      <c r="F2600" t="inlineStr">
        <is>
          <t>Bergvik skog väst AB</t>
        </is>
      </c>
      <c r="G2600" t="n">
        <v>5.4</v>
      </c>
      <c r="H2600" t="n">
        <v>0</v>
      </c>
      <c r="I2600" t="n">
        <v>0</v>
      </c>
      <c r="J2600" t="n">
        <v>0</v>
      </c>
      <c r="K2600" t="n">
        <v>0</v>
      </c>
      <c r="L2600" t="n">
        <v>0</v>
      </c>
      <c r="M2600" t="n">
        <v>0</v>
      </c>
      <c r="N2600" t="n">
        <v>0</v>
      </c>
      <c r="O2600" t="n">
        <v>0</v>
      </c>
      <c r="P2600" t="n">
        <v>0</v>
      </c>
      <c r="Q2600" t="n">
        <v>0</v>
      </c>
      <c r="R2600" s="2" t="inlineStr"/>
    </row>
    <row r="2601" ht="15" customHeight="1">
      <c r="A2601" t="inlineStr">
        <is>
          <t>A 3593-2023</t>
        </is>
      </c>
      <c r="B2601" s="1" t="n">
        <v>44950.56905092593</v>
      </c>
      <c r="C2601" s="1" t="n">
        <v>46086</v>
      </c>
      <c r="D2601" t="inlineStr">
        <is>
          <t>GÄVLEBORGS LÄN</t>
        </is>
      </c>
      <c r="E2601" t="inlineStr">
        <is>
          <t>OCKELBO</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38633-2025</t>
        </is>
      </c>
      <c r="B2602" s="1" t="n">
        <v>45884.5646875</v>
      </c>
      <c r="C2602" s="1" t="n">
        <v>46086</v>
      </c>
      <c r="D2602" t="inlineStr">
        <is>
          <t>GÄVLEBORGS LÄN</t>
        </is>
      </c>
      <c r="E2602" t="inlineStr">
        <is>
          <t>HUDIKSVALL</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10997-2026</t>
        </is>
      </c>
      <c r="B2603" s="1" t="n">
        <v>46079.49827546296</v>
      </c>
      <c r="C2603" s="1" t="n">
        <v>46086</v>
      </c>
      <c r="D2603" t="inlineStr">
        <is>
          <t>GÄVLEBORGS LÄN</t>
        </is>
      </c>
      <c r="E2603" t="inlineStr">
        <is>
          <t>BOLLNÄS</t>
        </is>
      </c>
      <c r="F2603" t="inlineStr">
        <is>
          <t>Bergvik skog väst AB</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10998-2026</t>
        </is>
      </c>
      <c r="B2604" s="1" t="n">
        <v>46079.50006944445</v>
      </c>
      <c r="C2604" s="1" t="n">
        <v>46086</v>
      </c>
      <c r="D2604" t="inlineStr">
        <is>
          <t>GÄVLEBORGS LÄN</t>
        </is>
      </c>
      <c r="E2604" t="inlineStr">
        <is>
          <t>BOLLNÄS</t>
        </is>
      </c>
      <c r="F2604" t="inlineStr">
        <is>
          <t>Bergvik skog väst AB</t>
        </is>
      </c>
      <c r="G2604" t="n">
        <v>2.2</v>
      </c>
      <c r="H2604" t="n">
        <v>0</v>
      </c>
      <c r="I2604" t="n">
        <v>0</v>
      </c>
      <c r="J2604" t="n">
        <v>0</v>
      </c>
      <c r="K2604" t="n">
        <v>0</v>
      </c>
      <c r="L2604" t="n">
        <v>0</v>
      </c>
      <c r="M2604" t="n">
        <v>0</v>
      </c>
      <c r="N2604" t="n">
        <v>0</v>
      </c>
      <c r="O2604" t="n">
        <v>0</v>
      </c>
      <c r="P2604" t="n">
        <v>0</v>
      </c>
      <c r="Q2604" t="n">
        <v>0</v>
      </c>
      <c r="R2604" s="2" t="inlineStr"/>
      <c r="U2604">
        <f>HYPERLINK("https://klasma.github.io/Logging_2183/knärot/A 10998-2026 karta knärot.png", "A 10998-2026")</f>
        <v/>
      </c>
      <c r="V2604">
        <f>HYPERLINK("https://klasma.github.io/Logging_2183/klagomål/A 10998-2026 FSC-klagomål.docx", "A 10998-2026")</f>
        <v/>
      </c>
      <c r="W2604">
        <f>HYPERLINK("https://klasma.github.io/Logging_2183/klagomålsmail/A 10998-2026 FSC-klagomål mail.docx", "A 10998-2026")</f>
        <v/>
      </c>
      <c r="X2604">
        <f>HYPERLINK("https://klasma.github.io/Logging_2183/tillsyn/A 10998-2026 tillsynsbegäran.docx", "A 10998-2026")</f>
        <v/>
      </c>
      <c r="Y2604">
        <f>HYPERLINK("https://klasma.github.io/Logging_2183/tillsynsmail/A 10998-2026 tillsynsbegäran mail.docx", "A 10998-2026")</f>
        <v/>
      </c>
    </row>
    <row r="2605" ht="15" customHeight="1">
      <c r="A2605" t="inlineStr">
        <is>
          <t>A 11012-2026</t>
        </is>
      </c>
      <c r="B2605" s="1" t="n">
        <v>46079.53363425926</v>
      </c>
      <c r="C2605" s="1" t="n">
        <v>46086</v>
      </c>
      <c r="D2605" t="inlineStr">
        <is>
          <t>GÄVLEBORGS LÄN</t>
        </is>
      </c>
      <c r="E2605" t="inlineStr">
        <is>
          <t>BOLLNÄS</t>
        </is>
      </c>
      <c r="G2605" t="n">
        <v>6.1</v>
      </c>
      <c r="H2605" t="n">
        <v>0</v>
      </c>
      <c r="I2605" t="n">
        <v>0</v>
      </c>
      <c r="J2605" t="n">
        <v>0</v>
      </c>
      <c r="K2605" t="n">
        <v>0</v>
      </c>
      <c r="L2605" t="n">
        <v>0</v>
      </c>
      <c r="M2605" t="n">
        <v>0</v>
      </c>
      <c r="N2605" t="n">
        <v>0</v>
      </c>
      <c r="O2605" t="n">
        <v>0</v>
      </c>
      <c r="P2605" t="n">
        <v>0</v>
      </c>
      <c r="Q2605" t="n">
        <v>0</v>
      </c>
      <c r="R2605" s="2" t="inlineStr"/>
    </row>
    <row r="2606" ht="15" customHeight="1">
      <c r="A2606" t="inlineStr">
        <is>
          <t>A 38676-2025</t>
        </is>
      </c>
      <c r="B2606" s="1" t="n">
        <v>45884.63819444444</v>
      </c>
      <c r="C2606" s="1" t="n">
        <v>46086</v>
      </c>
      <c r="D2606" t="inlineStr">
        <is>
          <t>GÄVLEBORGS LÄN</t>
        </is>
      </c>
      <c r="E2606" t="inlineStr">
        <is>
          <t>SANDVIKEN</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38677-2025</t>
        </is>
      </c>
      <c r="B2607" s="1" t="n">
        <v>45884.64185185185</v>
      </c>
      <c r="C2607" s="1" t="n">
        <v>46086</v>
      </c>
      <c r="D2607" t="inlineStr">
        <is>
          <t>GÄVLEBORGS LÄN</t>
        </is>
      </c>
      <c r="E2607" t="inlineStr">
        <is>
          <t>SANDVIKEN</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38744-2025</t>
        </is>
      </c>
      <c r="B2608" s="1" t="n">
        <v>45887.37774305556</v>
      </c>
      <c r="C2608" s="1" t="n">
        <v>46086</v>
      </c>
      <c r="D2608" t="inlineStr">
        <is>
          <t>GÄVLEBORGS LÄN</t>
        </is>
      </c>
      <c r="E2608" t="inlineStr">
        <is>
          <t>HOFORS</t>
        </is>
      </c>
      <c r="F2608" t="inlineStr">
        <is>
          <t>Sveaskog</t>
        </is>
      </c>
      <c r="G2608" t="n">
        <v>8.199999999999999</v>
      </c>
      <c r="H2608" t="n">
        <v>0</v>
      </c>
      <c r="I2608" t="n">
        <v>0</v>
      </c>
      <c r="J2608" t="n">
        <v>0</v>
      </c>
      <c r="K2608" t="n">
        <v>0</v>
      </c>
      <c r="L2608" t="n">
        <v>0</v>
      </c>
      <c r="M2608" t="n">
        <v>0</v>
      </c>
      <c r="N2608" t="n">
        <v>0</v>
      </c>
      <c r="O2608" t="n">
        <v>0</v>
      </c>
      <c r="P2608" t="n">
        <v>0</v>
      </c>
      <c r="Q2608" t="n">
        <v>0</v>
      </c>
      <c r="R2608" s="2" t="inlineStr"/>
    </row>
    <row r="2609" ht="15" customHeight="1">
      <c r="A2609" t="inlineStr">
        <is>
          <t>A 64018-2023</t>
        </is>
      </c>
      <c r="B2609" s="1" t="n">
        <v>45278.9264699074</v>
      </c>
      <c r="C2609" s="1" t="n">
        <v>46086</v>
      </c>
      <c r="D2609" t="inlineStr">
        <is>
          <t>GÄVLEBORGS LÄN</t>
        </is>
      </c>
      <c r="E2609" t="inlineStr">
        <is>
          <t>LJUSDAL</t>
        </is>
      </c>
      <c r="G2609" t="n">
        <v>5.4</v>
      </c>
      <c r="H2609" t="n">
        <v>0</v>
      </c>
      <c r="I2609" t="n">
        <v>0</v>
      </c>
      <c r="J2609" t="n">
        <v>0</v>
      </c>
      <c r="K2609" t="n">
        <v>0</v>
      </c>
      <c r="L2609" t="n">
        <v>0</v>
      </c>
      <c r="M2609" t="n">
        <v>0</v>
      </c>
      <c r="N2609" t="n">
        <v>0</v>
      </c>
      <c r="O2609" t="n">
        <v>0</v>
      </c>
      <c r="P2609" t="n">
        <v>0</v>
      </c>
      <c r="Q2609" t="n">
        <v>0</v>
      </c>
      <c r="R2609" s="2" t="inlineStr"/>
    </row>
    <row r="2610" ht="15" customHeight="1">
      <c r="A2610" t="inlineStr">
        <is>
          <t>A 11047-2026</t>
        </is>
      </c>
      <c r="B2610" s="1" t="n">
        <v>46079.58833333333</v>
      </c>
      <c r="C2610" s="1" t="n">
        <v>46086</v>
      </c>
      <c r="D2610" t="inlineStr">
        <is>
          <t>GÄVLEBORGS LÄN</t>
        </is>
      </c>
      <c r="E2610" t="inlineStr">
        <is>
          <t>BOLLNÄS</t>
        </is>
      </c>
      <c r="F2610" t="inlineStr">
        <is>
          <t>Bergvik skog väst AB</t>
        </is>
      </c>
      <c r="G2610" t="n">
        <v>4.3</v>
      </c>
      <c r="H2610" t="n">
        <v>0</v>
      </c>
      <c r="I2610" t="n">
        <v>0</v>
      </c>
      <c r="J2610" t="n">
        <v>0</v>
      </c>
      <c r="K2610" t="n">
        <v>0</v>
      </c>
      <c r="L2610" t="n">
        <v>0</v>
      </c>
      <c r="M2610" t="n">
        <v>0</v>
      </c>
      <c r="N2610" t="n">
        <v>0</v>
      </c>
      <c r="O2610" t="n">
        <v>0</v>
      </c>
      <c r="P2610" t="n">
        <v>0</v>
      </c>
      <c r="Q2610" t="n">
        <v>0</v>
      </c>
      <c r="R2610" s="2" t="inlineStr"/>
    </row>
    <row r="2611" ht="15" customHeight="1">
      <c r="A2611" t="inlineStr">
        <is>
          <t>A 11062-2026</t>
        </is>
      </c>
      <c r="B2611" s="1" t="n">
        <v>46079.60113425926</v>
      </c>
      <c r="C2611" s="1" t="n">
        <v>46086</v>
      </c>
      <c r="D2611" t="inlineStr">
        <is>
          <t>GÄVLEBORGS LÄN</t>
        </is>
      </c>
      <c r="E2611" t="inlineStr">
        <is>
          <t>BOLLNÄS</t>
        </is>
      </c>
      <c r="F2611" t="inlineStr">
        <is>
          <t>Bergvik skog väst AB</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11078-2026</t>
        </is>
      </c>
      <c r="B2612" s="1" t="n">
        <v>46079.61864583333</v>
      </c>
      <c r="C2612" s="1" t="n">
        <v>46086</v>
      </c>
      <c r="D2612" t="inlineStr">
        <is>
          <t>GÄVLEBORGS LÄN</t>
        </is>
      </c>
      <c r="E2612" t="inlineStr">
        <is>
          <t>OCKELBO</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11132-2026</t>
        </is>
      </c>
      <c r="B2613" s="1" t="n">
        <v>46079.72986111111</v>
      </c>
      <c r="C2613" s="1" t="n">
        <v>46086</v>
      </c>
      <c r="D2613" t="inlineStr">
        <is>
          <t>GÄVLEBORGS LÄN</t>
        </is>
      </c>
      <c r="E2613" t="inlineStr">
        <is>
          <t>HUDIKSVALL</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7774-2026</t>
        </is>
      </c>
      <c r="B2614" s="1" t="n">
        <v>46062</v>
      </c>
      <c r="C2614" s="1" t="n">
        <v>46086</v>
      </c>
      <c r="D2614" t="inlineStr">
        <is>
          <t>GÄVLEBORGS LÄN</t>
        </is>
      </c>
      <c r="E2614" t="inlineStr">
        <is>
          <t>OVANÅKER</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9921-2026</t>
        </is>
      </c>
      <c r="B2615" s="1" t="n">
        <v>46073</v>
      </c>
      <c r="C2615" s="1" t="n">
        <v>46086</v>
      </c>
      <c r="D2615" t="inlineStr">
        <is>
          <t>GÄVLEBORGS LÄN</t>
        </is>
      </c>
      <c r="E2615" t="inlineStr">
        <is>
          <t>SÖDERHAMN</t>
        </is>
      </c>
      <c r="F2615" t="inlineStr">
        <is>
          <t>Bergvik skog väst AB</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10890-2026</t>
        </is>
      </c>
      <c r="B2616" s="1" t="n">
        <v>46078.78046296296</v>
      </c>
      <c r="C2616" s="1" t="n">
        <v>46086</v>
      </c>
      <c r="D2616" t="inlineStr">
        <is>
          <t>GÄVLEBORGS LÄN</t>
        </is>
      </c>
      <c r="E2616" t="inlineStr">
        <is>
          <t>BOLLNÄS</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10897-2026</t>
        </is>
      </c>
      <c r="B2617" s="1" t="n">
        <v>46078.85790509259</v>
      </c>
      <c r="C2617" s="1" t="n">
        <v>46086</v>
      </c>
      <c r="D2617" t="inlineStr">
        <is>
          <t>GÄVLEBORGS LÄN</t>
        </is>
      </c>
      <c r="E2617" t="inlineStr">
        <is>
          <t>BOLLNÄS</t>
        </is>
      </c>
      <c r="G2617" t="n">
        <v>7.9</v>
      </c>
      <c r="H2617" t="n">
        <v>0</v>
      </c>
      <c r="I2617" t="n">
        <v>0</v>
      </c>
      <c r="J2617" t="n">
        <v>0</v>
      </c>
      <c r="K2617" t="n">
        <v>0</v>
      </c>
      <c r="L2617" t="n">
        <v>0</v>
      </c>
      <c r="M2617" t="n">
        <v>0</v>
      </c>
      <c r="N2617" t="n">
        <v>0</v>
      </c>
      <c r="O2617" t="n">
        <v>0</v>
      </c>
      <c r="P2617" t="n">
        <v>0</v>
      </c>
      <c r="Q2617" t="n">
        <v>0</v>
      </c>
      <c r="R2617" s="2" t="inlineStr"/>
    </row>
    <row r="2618" ht="15" customHeight="1">
      <c r="A2618" t="inlineStr">
        <is>
          <t>A 10906-2026</t>
        </is>
      </c>
      <c r="B2618" s="1" t="n">
        <v>46079.29547453704</v>
      </c>
      <c r="C2618" s="1" t="n">
        <v>46086</v>
      </c>
      <c r="D2618" t="inlineStr">
        <is>
          <t>GÄVLEBORGS LÄN</t>
        </is>
      </c>
      <c r="E2618" t="inlineStr">
        <is>
          <t>OVANÅKER</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27886-2025</t>
        </is>
      </c>
      <c r="B2619" s="1" t="n">
        <v>45817.45390046296</v>
      </c>
      <c r="C2619" s="1" t="n">
        <v>46086</v>
      </c>
      <c r="D2619" t="inlineStr">
        <is>
          <t>GÄVLEBORGS LÄN</t>
        </is>
      </c>
      <c r="E2619" t="inlineStr">
        <is>
          <t>HUDIKSVALL</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27905-2025</t>
        </is>
      </c>
      <c r="B2620" s="1" t="n">
        <v>45817.46819444445</v>
      </c>
      <c r="C2620" s="1" t="n">
        <v>46086</v>
      </c>
      <c r="D2620" t="inlineStr">
        <is>
          <t>GÄVLEBORGS LÄN</t>
        </is>
      </c>
      <c r="E2620" t="inlineStr">
        <is>
          <t>LJUSDAL</t>
        </is>
      </c>
      <c r="F2620" t="inlineStr">
        <is>
          <t>Holmen skog AB</t>
        </is>
      </c>
      <c r="G2620" t="n">
        <v>9.699999999999999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2379-2026</t>
        </is>
      </c>
      <c r="B2621" s="1" t="n">
        <v>46036.65923611111</v>
      </c>
      <c r="C2621" s="1" t="n">
        <v>46086</v>
      </c>
      <c r="D2621" t="inlineStr">
        <is>
          <t>GÄVLEBORGS LÄN</t>
        </is>
      </c>
      <c r="E2621" t="inlineStr">
        <is>
          <t>OVANÅKER</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2388-2026</t>
        </is>
      </c>
      <c r="B2622" s="1" t="n">
        <v>46036.67384259259</v>
      </c>
      <c r="C2622" s="1" t="n">
        <v>46086</v>
      </c>
      <c r="D2622" t="inlineStr">
        <is>
          <t>GÄVLEBORGS LÄN</t>
        </is>
      </c>
      <c r="E2622" t="inlineStr">
        <is>
          <t>OCKELBO</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10577-2023</t>
        </is>
      </c>
      <c r="B2623" s="1" t="n">
        <v>44988</v>
      </c>
      <c r="C2623" s="1" t="n">
        <v>46086</v>
      </c>
      <c r="D2623" t="inlineStr">
        <is>
          <t>GÄVLEBORGS LÄN</t>
        </is>
      </c>
      <c r="E2623" t="inlineStr">
        <is>
          <t>GÄVLE</t>
        </is>
      </c>
      <c r="F2623" t="inlineStr">
        <is>
          <t>Kyrkan</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2392-2026</t>
        </is>
      </c>
      <c r="B2624" s="1" t="n">
        <v>46036.67746527777</v>
      </c>
      <c r="C2624" s="1" t="n">
        <v>46086</v>
      </c>
      <c r="D2624" t="inlineStr">
        <is>
          <t>GÄVLEBORGS LÄN</t>
        </is>
      </c>
      <c r="E2624" t="inlineStr">
        <is>
          <t>OCKELBO</t>
        </is>
      </c>
      <c r="G2624" t="n">
        <v>5.9</v>
      </c>
      <c r="H2624" t="n">
        <v>0</v>
      </c>
      <c r="I2624" t="n">
        <v>0</v>
      </c>
      <c r="J2624" t="n">
        <v>0</v>
      </c>
      <c r="K2624" t="n">
        <v>0</v>
      </c>
      <c r="L2624" t="n">
        <v>0</v>
      </c>
      <c r="M2624" t="n">
        <v>0</v>
      </c>
      <c r="N2624" t="n">
        <v>0</v>
      </c>
      <c r="O2624" t="n">
        <v>0</v>
      </c>
      <c r="P2624" t="n">
        <v>0</v>
      </c>
      <c r="Q2624" t="n">
        <v>0</v>
      </c>
      <c r="R2624" s="2" t="inlineStr"/>
    </row>
    <row r="2625" ht="15" customHeight="1">
      <c r="A2625" t="inlineStr">
        <is>
          <t>A 2400-2026</t>
        </is>
      </c>
      <c r="B2625" s="1" t="n">
        <v>46036</v>
      </c>
      <c r="C2625" s="1" t="n">
        <v>46086</v>
      </c>
      <c r="D2625" t="inlineStr">
        <is>
          <t>GÄVLEBORGS LÄN</t>
        </is>
      </c>
      <c r="E2625" t="inlineStr">
        <is>
          <t>OVANÅKER</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2408-2026</t>
        </is>
      </c>
      <c r="B2626" s="1" t="n">
        <v>46036.71938657408</v>
      </c>
      <c r="C2626" s="1" t="n">
        <v>46086</v>
      </c>
      <c r="D2626" t="inlineStr">
        <is>
          <t>GÄVLEBORGS LÄN</t>
        </is>
      </c>
      <c r="E2626" t="inlineStr">
        <is>
          <t>NORDANSTIG</t>
        </is>
      </c>
      <c r="G2626" t="n">
        <v>4.9</v>
      </c>
      <c r="H2626" t="n">
        <v>0</v>
      </c>
      <c r="I2626" t="n">
        <v>0</v>
      </c>
      <c r="J2626" t="n">
        <v>0</v>
      </c>
      <c r="K2626" t="n">
        <v>0</v>
      </c>
      <c r="L2626" t="n">
        <v>0</v>
      </c>
      <c r="M2626" t="n">
        <v>0</v>
      </c>
      <c r="N2626" t="n">
        <v>0</v>
      </c>
      <c r="O2626" t="n">
        <v>0</v>
      </c>
      <c r="P2626" t="n">
        <v>0</v>
      </c>
      <c r="Q2626" t="n">
        <v>0</v>
      </c>
      <c r="R2626" s="2" t="inlineStr"/>
    </row>
    <row r="2627" ht="15" customHeight="1">
      <c r="A2627" t="inlineStr">
        <is>
          <t>A 38650-2025</t>
        </is>
      </c>
      <c r="B2627" s="1" t="n">
        <v>45884.5896875</v>
      </c>
      <c r="C2627" s="1" t="n">
        <v>46086</v>
      </c>
      <c r="D2627" t="inlineStr">
        <is>
          <t>GÄVLEBORGS LÄN</t>
        </is>
      </c>
      <c r="E2627" t="inlineStr">
        <is>
          <t>OCKELBO</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27916-2025</t>
        </is>
      </c>
      <c r="B2628" s="1" t="n">
        <v>45817.48046296297</v>
      </c>
      <c r="C2628" s="1" t="n">
        <v>46086</v>
      </c>
      <c r="D2628" t="inlineStr">
        <is>
          <t>GÄVLEBORGS LÄN</t>
        </is>
      </c>
      <c r="E2628" t="inlineStr">
        <is>
          <t>LJUSDAL</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411-2025</t>
        </is>
      </c>
      <c r="B2629" s="1" t="n">
        <v>45663</v>
      </c>
      <c r="C2629" s="1" t="n">
        <v>46086</v>
      </c>
      <c r="D2629" t="inlineStr">
        <is>
          <t>GÄVLEBORGS LÄN</t>
        </is>
      </c>
      <c r="E2629" t="inlineStr">
        <is>
          <t>NORDANSTIG</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21211-2025</t>
        </is>
      </c>
      <c r="B2630" s="1" t="n">
        <v>45779</v>
      </c>
      <c r="C2630" s="1" t="n">
        <v>46086</v>
      </c>
      <c r="D2630" t="inlineStr">
        <is>
          <t>GÄVLEBORGS LÄN</t>
        </is>
      </c>
      <c r="E2630" t="inlineStr">
        <is>
          <t>BOLLNÄS</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41994-2024</t>
        </is>
      </c>
      <c r="B2631" s="1" t="n">
        <v>45561.64641203704</v>
      </c>
      <c r="C2631" s="1" t="n">
        <v>46086</v>
      </c>
      <c r="D2631" t="inlineStr">
        <is>
          <t>GÄVLEBORGS LÄN</t>
        </is>
      </c>
      <c r="E2631" t="inlineStr">
        <is>
          <t>LJUSDAL</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2067-2026</t>
        </is>
      </c>
      <c r="B2632" s="1" t="n">
        <v>46036</v>
      </c>
      <c r="C2632" s="1" t="n">
        <v>46086</v>
      </c>
      <c r="D2632" t="inlineStr">
        <is>
          <t>GÄVLEBORGS LÄN</t>
        </is>
      </c>
      <c r="E2632" t="inlineStr">
        <is>
          <t>OVANÅKER</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27928-2025</t>
        </is>
      </c>
      <c r="B2633" s="1" t="n">
        <v>45817.49019675926</v>
      </c>
      <c r="C2633" s="1" t="n">
        <v>46086</v>
      </c>
      <c r="D2633" t="inlineStr">
        <is>
          <t>GÄVLEBORGS LÄN</t>
        </is>
      </c>
      <c r="E2633" t="inlineStr">
        <is>
          <t>LJUSDAL</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27841-2025</t>
        </is>
      </c>
      <c r="B2634" s="1" t="n">
        <v>45817.37618055556</v>
      </c>
      <c r="C2634" s="1" t="n">
        <v>46086</v>
      </c>
      <c r="D2634" t="inlineStr">
        <is>
          <t>GÄVLEBORGS LÄN</t>
        </is>
      </c>
      <c r="E2634" t="inlineStr">
        <is>
          <t>NORDANSTIG</t>
        </is>
      </c>
      <c r="F2634" t="inlineStr">
        <is>
          <t>Holmen skog AB</t>
        </is>
      </c>
      <c r="G2634" t="n">
        <v>14.2</v>
      </c>
      <c r="H2634" t="n">
        <v>0</v>
      </c>
      <c r="I2634" t="n">
        <v>0</v>
      </c>
      <c r="J2634" t="n">
        <v>0</v>
      </c>
      <c r="K2634" t="n">
        <v>0</v>
      </c>
      <c r="L2634" t="n">
        <v>0</v>
      </c>
      <c r="M2634" t="n">
        <v>0</v>
      </c>
      <c r="N2634" t="n">
        <v>0</v>
      </c>
      <c r="O2634" t="n">
        <v>0</v>
      </c>
      <c r="P2634" t="n">
        <v>0</v>
      </c>
      <c r="Q2634" t="n">
        <v>0</v>
      </c>
      <c r="R2634" s="2" t="inlineStr"/>
    </row>
    <row r="2635" ht="15" customHeight="1">
      <c r="A2635" t="inlineStr">
        <is>
          <t>A 28009-2025</t>
        </is>
      </c>
      <c r="B2635" s="1" t="n">
        <v>45817.60252314815</v>
      </c>
      <c r="C2635" s="1" t="n">
        <v>46086</v>
      </c>
      <c r="D2635" t="inlineStr">
        <is>
          <t>GÄVLEBORGS LÄN</t>
        </is>
      </c>
      <c r="E2635" t="inlineStr">
        <is>
          <t>GÄVLE</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2094-2026</t>
        </is>
      </c>
      <c r="B2636" s="1" t="n">
        <v>46036.36267361111</v>
      </c>
      <c r="C2636" s="1" t="n">
        <v>46086</v>
      </c>
      <c r="D2636" t="inlineStr">
        <is>
          <t>GÄVLEBORGS LÄN</t>
        </is>
      </c>
      <c r="E2636" t="inlineStr">
        <is>
          <t>SANDVIKEN</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2109-2026</t>
        </is>
      </c>
      <c r="B2637" s="1" t="n">
        <v>46036.37736111111</v>
      </c>
      <c r="C2637" s="1" t="n">
        <v>46086</v>
      </c>
      <c r="D2637" t="inlineStr">
        <is>
          <t>GÄVLEBORGS LÄN</t>
        </is>
      </c>
      <c r="E2637" t="inlineStr">
        <is>
          <t>BOLLNÄS</t>
        </is>
      </c>
      <c r="G2637" t="n">
        <v>7.3</v>
      </c>
      <c r="H2637" t="n">
        <v>0</v>
      </c>
      <c r="I2637" t="n">
        <v>0</v>
      </c>
      <c r="J2637" t="n">
        <v>0</v>
      </c>
      <c r="K2637" t="n">
        <v>0</v>
      </c>
      <c r="L2637" t="n">
        <v>0</v>
      </c>
      <c r="M2637" t="n">
        <v>0</v>
      </c>
      <c r="N2637" t="n">
        <v>0</v>
      </c>
      <c r="O2637" t="n">
        <v>0</v>
      </c>
      <c r="P2637" t="n">
        <v>0</v>
      </c>
      <c r="Q2637" t="n">
        <v>0</v>
      </c>
      <c r="R2637" s="2" t="inlineStr"/>
    </row>
    <row r="2638" ht="15" customHeight="1">
      <c r="A2638" t="inlineStr">
        <is>
          <t>A 2115-2026</t>
        </is>
      </c>
      <c r="B2638" s="1" t="n">
        <v>46036.38001157407</v>
      </c>
      <c r="C2638" s="1" t="n">
        <v>46086</v>
      </c>
      <c r="D2638" t="inlineStr">
        <is>
          <t>GÄVLEBORGS LÄN</t>
        </is>
      </c>
      <c r="E2638" t="inlineStr">
        <is>
          <t>HUDIKSVALL</t>
        </is>
      </c>
      <c r="F2638" t="inlineStr">
        <is>
          <t>Holmen skog AB</t>
        </is>
      </c>
      <c r="G2638" t="n">
        <v>5.6</v>
      </c>
      <c r="H2638" t="n">
        <v>0</v>
      </c>
      <c r="I2638" t="n">
        <v>0</v>
      </c>
      <c r="J2638" t="n">
        <v>0</v>
      </c>
      <c r="K2638" t="n">
        <v>0</v>
      </c>
      <c r="L2638" t="n">
        <v>0</v>
      </c>
      <c r="M2638" t="n">
        <v>0</v>
      </c>
      <c r="N2638" t="n">
        <v>0</v>
      </c>
      <c r="O2638" t="n">
        <v>0</v>
      </c>
      <c r="P2638" t="n">
        <v>0</v>
      </c>
      <c r="Q2638" t="n">
        <v>0</v>
      </c>
      <c r="R2638" s="2" t="inlineStr"/>
    </row>
    <row r="2639" ht="15" customHeight="1">
      <c r="A2639" t="inlineStr">
        <is>
          <t>A 2120-2026</t>
        </is>
      </c>
      <c r="B2639" s="1" t="n">
        <v>46036</v>
      </c>
      <c r="C2639" s="1" t="n">
        <v>46086</v>
      </c>
      <c r="D2639" t="inlineStr">
        <is>
          <t>GÄVLEBORGS LÄN</t>
        </is>
      </c>
      <c r="E2639" t="inlineStr">
        <is>
          <t>OVANÅKER</t>
        </is>
      </c>
      <c r="G2639" t="n">
        <v>6.6</v>
      </c>
      <c r="H2639" t="n">
        <v>0</v>
      </c>
      <c r="I2639" t="n">
        <v>0</v>
      </c>
      <c r="J2639" t="n">
        <v>0</v>
      </c>
      <c r="K2639" t="n">
        <v>0</v>
      </c>
      <c r="L2639" t="n">
        <v>0</v>
      </c>
      <c r="M2639" t="n">
        <v>0</v>
      </c>
      <c r="N2639" t="n">
        <v>0</v>
      </c>
      <c r="O2639" t="n">
        <v>0</v>
      </c>
      <c r="P2639" t="n">
        <v>0</v>
      </c>
      <c r="Q2639" t="n">
        <v>0</v>
      </c>
      <c r="R2639" s="2" t="inlineStr"/>
    </row>
    <row r="2640" ht="15" customHeight="1">
      <c r="A2640" t="inlineStr">
        <is>
          <t>A 10899-2026</t>
        </is>
      </c>
      <c r="B2640" s="1" t="n">
        <v>46078.87804398148</v>
      </c>
      <c r="C2640" s="1" t="n">
        <v>46086</v>
      </c>
      <c r="D2640" t="inlineStr">
        <is>
          <t>GÄVLEBORGS LÄN</t>
        </is>
      </c>
      <c r="E2640" t="inlineStr">
        <is>
          <t>BOLLNÄS</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10901-2026</t>
        </is>
      </c>
      <c r="B2641" s="1" t="n">
        <v>46078.88962962963</v>
      </c>
      <c r="C2641" s="1" t="n">
        <v>46086</v>
      </c>
      <c r="D2641" t="inlineStr">
        <is>
          <t>GÄVLEBORGS LÄN</t>
        </is>
      </c>
      <c r="E2641" t="inlineStr">
        <is>
          <t>OVANÅKER</t>
        </is>
      </c>
      <c r="G2641" t="n">
        <v>4.1</v>
      </c>
      <c r="H2641" t="n">
        <v>0</v>
      </c>
      <c r="I2641" t="n">
        <v>0</v>
      </c>
      <c r="J2641" t="n">
        <v>0</v>
      </c>
      <c r="K2641" t="n">
        <v>0</v>
      </c>
      <c r="L2641" t="n">
        <v>0</v>
      </c>
      <c r="M2641" t="n">
        <v>0</v>
      </c>
      <c r="N2641" t="n">
        <v>0</v>
      </c>
      <c r="O2641" t="n">
        <v>0</v>
      </c>
      <c r="P2641" t="n">
        <v>0</v>
      </c>
      <c r="Q2641" t="n">
        <v>0</v>
      </c>
      <c r="R2641" s="2" t="inlineStr"/>
    </row>
    <row r="2642" ht="15" customHeight="1">
      <c r="A2642" t="inlineStr">
        <is>
          <t>A 27990-2025</t>
        </is>
      </c>
      <c r="B2642" s="1" t="n">
        <v>45817.58722222222</v>
      </c>
      <c r="C2642" s="1" t="n">
        <v>46086</v>
      </c>
      <c r="D2642" t="inlineStr">
        <is>
          <t>GÄVLEBORGS LÄN</t>
        </is>
      </c>
      <c r="E2642" t="inlineStr">
        <is>
          <t>OCKELBO</t>
        </is>
      </c>
      <c r="F2642" t="inlineStr">
        <is>
          <t>Bergvik skog väst AB</t>
        </is>
      </c>
      <c r="G2642" t="n">
        <v>7.8</v>
      </c>
      <c r="H2642" t="n">
        <v>0</v>
      </c>
      <c r="I2642" t="n">
        <v>0</v>
      </c>
      <c r="J2642" t="n">
        <v>0</v>
      </c>
      <c r="K2642" t="n">
        <v>0</v>
      </c>
      <c r="L2642" t="n">
        <v>0</v>
      </c>
      <c r="M2642" t="n">
        <v>0</v>
      </c>
      <c r="N2642" t="n">
        <v>0</v>
      </c>
      <c r="O2642" t="n">
        <v>0</v>
      </c>
      <c r="P2642" t="n">
        <v>0</v>
      </c>
      <c r="Q2642" t="n">
        <v>0</v>
      </c>
      <c r="R2642" s="2" t="inlineStr"/>
    </row>
    <row r="2643" ht="15" customHeight="1">
      <c r="A2643" t="inlineStr">
        <is>
          <t>A 10929-2026</t>
        </is>
      </c>
      <c r="B2643" s="1" t="n">
        <v>46079.3516087963</v>
      </c>
      <c r="C2643" s="1" t="n">
        <v>46086</v>
      </c>
      <c r="D2643" t="inlineStr">
        <is>
          <t>GÄVLEBORGS LÄN</t>
        </is>
      </c>
      <c r="E2643" t="inlineStr">
        <is>
          <t>OVANÅKER</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27804-2025</t>
        </is>
      </c>
      <c r="B2644" s="1" t="n">
        <v>45817.29372685185</v>
      </c>
      <c r="C2644" s="1" t="n">
        <v>46086</v>
      </c>
      <c r="D2644" t="inlineStr">
        <is>
          <t>GÄVLEBORGS LÄN</t>
        </is>
      </c>
      <c r="E2644" t="inlineStr">
        <is>
          <t>NORDANSTIG</t>
        </is>
      </c>
      <c r="F2644" t="inlineStr">
        <is>
          <t>Holmen skog AB</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10652-2026</t>
        </is>
      </c>
      <c r="B2645" s="1" t="n">
        <v>46078.35211805555</v>
      </c>
      <c r="C2645" s="1" t="n">
        <v>46086</v>
      </c>
      <c r="D2645" t="inlineStr">
        <is>
          <t>GÄVLEBORGS LÄN</t>
        </is>
      </c>
      <c r="E2645" t="inlineStr">
        <is>
          <t>BOLLNÄS</t>
        </is>
      </c>
      <c r="G2645" t="n">
        <v>11.6</v>
      </c>
      <c r="H2645" t="n">
        <v>0</v>
      </c>
      <c r="I2645" t="n">
        <v>0</v>
      </c>
      <c r="J2645" t="n">
        <v>0</v>
      </c>
      <c r="K2645" t="n">
        <v>0</v>
      </c>
      <c r="L2645" t="n">
        <v>0</v>
      </c>
      <c r="M2645" t="n">
        <v>0</v>
      </c>
      <c r="N2645" t="n">
        <v>0</v>
      </c>
      <c r="O2645" t="n">
        <v>0</v>
      </c>
      <c r="P2645" t="n">
        <v>0</v>
      </c>
      <c r="Q2645" t="n">
        <v>0</v>
      </c>
      <c r="R2645" s="2" t="inlineStr"/>
    </row>
    <row r="2646" ht="15" customHeight="1">
      <c r="A2646" t="inlineStr">
        <is>
          <t>A 10681-2026</t>
        </is>
      </c>
      <c r="B2646" s="1" t="n">
        <v>46078.41311342592</v>
      </c>
      <c r="C2646" s="1" t="n">
        <v>46086</v>
      </c>
      <c r="D2646" t="inlineStr">
        <is>
          <t>GÄVLEBORGS LÄN</t>
        </is>
      </c>
      <c r="E2646" t="inlineStr">
        <is>
          <t>OCKELBO</t>
        </is>
      </c>
      <c r="F2646" t="inlineStr">
        <is>
          <t>Bergvik skog väst AB</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2238-2026</t>
        </is>
      </c>
      <c r="B2647" s="1" t="n">
        <v>46036.53622685185</v>
      </c>
      <c r="C2647" s="1" t="n">
        <v>46086</v>
      </c>
      <c r="D2647" t="inlineStr">
        <is>
          <t>GÄVLEBORGS LÄN</t>
        </is>
      </c>
      <c r="E2647" t="inlineStr">
        <is>
          <t>SANDVIKEN</t>
        </is>
      </c>
      <c r="G2647" t="n">
        <v>3.9</v>
      </c>
      <c r="H2647" t="n">
        <v>0</v>
      </c>
      <c r="I2647" t="n">
        <v>0</v>
      </c>
      <c r="J2647" t="n">
        <v>0</v>
      </c>
      <c r="K2647" t="n">
        <v>0</v>
      </c>
      <c r="L2647" t="n">
        <v>0</v>
      </c>
      <c r="M2647" t="n">
        <v>0</v>
      </c>
      <c r="N2647" t="n">
        <v>0</v>
      </c>
      <c r="O2647" t="n">
        <v>0</v>
      </c>
      <c r="P2647" t="n">
        <v>0</v>
      </c>
      <c r="Q2647" t="n">
        <v>0</v>
      </c>
      <c r="R2647" s="2" t="inlineStr"/>
    </row>
    <row r="2648" ht="15" customHeight="1">
      <c r="A2648" t="inlineStr">
        <is>
          <t>A 2264-2026</t>
        </is>
      </c>
      <c r="B2648" s="1" t="n">
        <v>46036.56916666667</v>
      </c>
      <c r="C2648" s="1" t="n">
        <v>46086</v>
      </c>
      <c r="D2648" t="inlineStr">
        <is>
          <t>GÄVLEBORGS LÄN</t>
        </is>
      </c>
      <c r="E2648" t="inlineStr">
        <is>
          <t>OVANÅKER</t>
        </is>
      </c>
      <c r="G2648" t="n">
        <v>11.8</v>
      </c>
      <c r="H2648" t="n">
        <v>0</v>
      </c>
      <c r="I2648" t="n">
        <v>0</v>
      </c>
      <c r="J2648" t="n">
        <v>0</v>
      </c>
      <c r="K2648" t="n">
        <v>0</v>
      </c>
      <c r="L2648" t="n">
        <v>0</v>
      </c>
      <c r="M2648" t="n">
        <v>0</v>
      </c>
      <c r="N2648" t="n">
        <v>0</v>
      </c>
      <c r="O2648" t="n">
        <v>0</v>
      </c>
      <c r="P2648" t="n">
        <v>0</v>
      </c>
      <c r="Q2648" t="n">
        <v>0</v>
      </c>
      <c r="R2648" s="2" t="inlineStr"/>
    </row>
    <row r="2649" ht="15" customHeight="1">
      <c r="A2649" t="inlineStr">
        <is>
          <t>A 2304-2026</t>
        </is>
      </c>
      <c r="B2649" s="1" t="n">
        <v>46036.59059027778</v>
      </c>
      <c r="C2649" s="1" t="n">
        <v>46086</v>
      </c>
      <c r="D2649" t="inlineStr">
        <is>
          <t>GÄVLEBORGS LÄN</t>
        </is>
      </c>
      <c r="E2649" t="inlineStr">
        <is>
          <t>OCKELBO</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2319-2026</t>
        </is>
      </c>
      <c r="B2650" s="1" t="n">
        <v>46036.60131944445</v>
      </c>
      <c r="C2650" s="1" t="n">
        <v>46086</v>
      </c>
      <c r="D2650" t="inlineStr">
        <is>
          <t>GÄVLEBORGS LÄN</t>
        </is>
      </c>
      <c r="E2650" t="inlineStr">
        <is>
          <t>OCKELBO</t>
        </is>
      </c>
      <c r="G2650" t="n">
        <v>5.3</v>
      </c>
      <c r="H2650" t="n">
        <v>0</v>
      </c>
      <c r="I2650" t="n">
        <v>0</v>
      </c>
      <c r="J2650" t="n">
        <v>0</v>
      </c>
      <c r="K2650" t="n">
        <v>0</v>
      </c>
      <c r="L2650" t="n">
        <v>0</v>
      </c>
      <c r="M2650" t="n">
        <v>0</v>
      </c>
      <c r="N2650" t="n">
        <v>0</v>
      </c>
      <c r="O2650" t="n">
        <v>0</v>
      </c>
      <c r="P2650" t="n">
        <v>0</v>
      </c>
      <c r="Q2650" t="n">
        <v>0</v>
      </c>
      <c r="R2650" s="2" t="inlineStr"/>
    </row>
    <row r="2651" ht="15" customHeight="1">
      <c r="A2651" t="inlineStr">
        <is>
          <t>A 2330-2026</t>
        </is>
      </c>
      <c r="B2651" s="1" t="n">
        <v>46036.6075</v>
      </c>
      <c r="C2651" s="1" t="n">
        <v>46086</v>
      </c>
      <c r="D2651" t="inlineStr">
        <is>
          <t>GÄVLEBORGS LÄN</t>
        </is>
      </c>
      <c r="E2651" t="inlineStr">
        <is>
          <t>OCKELBO</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2375-2026</t>
        </is>
      </c>
      <c r="B2652" s="1" t="n">
        <v>46036</v>
      </c>
      <c r="C2652" s="1" t="n">
        <v>46086</v>
      </c>
      <c r="D2652" t="inlineStr">
        <is>
          <t>GÄVLEBORGS LÄN</t>
        </is>
      </c>
      <c r="E2652" t="inlineStr">
        <is>
          <t>BOLLNÄS</t>
        </is>
      </c>
      <c r="G2652" t="n">
        <v>7.3</v>
      </c>
      <c r="H2652" t="n">
        <v>0</v>
      </c>
      <c r="I2652" t="n">
        <v>0</v>
      </c>
      <c r="J2652" t="n">
        <v>0</v>
      </c>
      <c r="K2652" t="n">
        <v>0</v>
      </c>
      <c r="L2652" t="n">
        <v>0</v>
      </c>
      <c r="M2652" t="n">
        <v>0</v>
      </c>
      <c r="N2652" t="n">
        <v>0</v>
      </c>
      <c r="O2652" t="n">
        <v>0</v>
      </c>
      <c r="P2652" t="n">
        <v>0</v>
      </c>
      <c r="Q2652" t="n">
        <v>0</v>
      </c>
      <c r="R2652" s="2" t="inlineStr"/>
    </row>
    <row r="2653" ht="15" customHeight="1">
      <c r="A2653" t="inlineStr">
        <is>
          <t>A 2383-2026</t>
        </is>
      </c>
      <c r="B2653" s="1" t="n">
        <v>46036.66578703704</v>
      </c>
      <c r="C2653" s="1" t="n">
        <v>46086</v>
      </c>
      <c r="D2653" t="inlineStr">
        <is>
          <t>GÄVLEBORGS LÄN</t>
        </is>
      </c>
      <c r="E2653" t="inlineStr">
        <is>
          <t>HUDIKSVALL</t>
        </is>
      </c>
      <c r="G2653" t="n">
        <v>7.6</v>
      </c>
      <c r="H2653" t="n">
        <v>0</v>
      </c>
      <c r="I2653" t="n">
        <v>0</v>
      </c>
      <c r="J2653" t="n">
        <v>0</v>
      </c>
      <c r="K2653" t="n">
        <v>0</v>
      </c>
      <c r="L2653" t="n">
        <v>0</v>
      </c>
      <c r="M2653" t="n">
        <v>0</v>
      </c>
      <c r="N2653" t="n">
        <v>0</v>
      </c>
      <c r="O2653" t="n">
        <v>0</v>
      </c>
      <c r="P2653" t="n">
        <v>0</v>
      </c>
      <c r="Q2653" t="n">
        <v>0</v>
      </c>
      <c r="R2653" s="2" t="inlineStr"/>
    </row>
    <row r="2654" ht="15" customHeight="1">
      <c r="A2654" t="inlineStr">
        <is>
          <t>A 27997-2025</t>
        </is>
      </c>
      <c r="B2654" s="1" t="n">
        <v>45817.59430555555</v>
      </c>
      <c r="C2654" s="1" t="n">
        <v>46086</v>
      </c>
      <c r="D2654" t="inlineStr">
        <is>
          <t>GÄVLEBORGS LÄN</t>
        </is>
      </c>
      <c r="E2654" t="inlineStr">
        <is>
          <t>OCKELBO</t>
        </is>
      </c>
      <c r="F2654" t="inlineStr">
        <is>
          <t>Bergvik skog väst AB</t>
        </is>
      </c>
      <c r="G2654" t="n">
        <v>5.4</v>
      </c>
      <c r="H2654" t="n">
        <v>0</v>
      </c>
      <c r="I2654" t="n">
        <v>0</v>
      </c>
      <c r="J2654" t="n">
        <v>0</v>
      </c>
      <c r="K2654" t="n">
        <v>0</v>
      </c>
      <c r="L2654" t="n">
        <v>0</v>
      </c>
      <c r="M2654" t="n">
        <v>0</v>
      </c>
      <c r="N2654" t="n">
        <v>0</v>
      </c>
      <c r="O2654" t="n">
        <v>0</v>
      </c>
      <c r="P2654" t="n">
        <v>0</v>
      </c>
      <c r="Q2654" t="n">
        <v>0</v>
      </c>
      <c r="R2654" s="2" t="inlineStr"/>
    </row>
    <row r="2655" ht="15" customHeight="1">
      <c r="A2655" t="inlineStr">
        <is>
          <t>A 8600-2026</t>
        </is>
      </c>
      <c r="B2655" s="1" t="n">
        <v>46065</v>
      </c>
      <c r="C2655" s="1" t="n">
        <v>46086</v>
      </c>
      <c r="D2655" t="inlineStr">
        <is>
          <t>GÄVLEBORGS LÄN</t>
        </is>
      </c>
      <c r="E2655" t="inlineStr">
        <is>
          <t>SANDVIKEN</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9420-2026</t>
        </is>
      </c>
      <c r="B2656" s="1" t="n">
        <v>46071</v>
      </c>
      <c r="C2656" s="1" t="n">
        <v>46086</v>
      </c>
      <c r="D2656" t="inlineStr">
        <is>
          <t>GÄVLEBORGS LÄN</t>
        </is>
      </c>
      <c r="E2656" t="inlineStr">
        <is>
          <t>BOLLNÄS</t>
        </is>
      </c>
      <c r="F2656" t="inlineStr">
        <is>
          <t>Bergvik skog väst AB</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10772-2026</t>
        </is>
      </c>
      <c r="B2657" s="1" t="n">
        <v>46078.57166666666</v>
      </c>
      <c r="C2657" s="1" t="n">
        <v>46086</v>
      </c>
      <c r="D2657" t="inlineStr">
        <is>
          <t>GÄVLEBORGS LÄN</t>
        </is>
      </c>
      <c r="E2657" t="inlineStr">
        <is>
          <t>BOLLNÄS</t>
        </is>
      </c>
      <c r="F2657" t="inlineStr">
        <is>
          <t>Bergvik skog väst AB</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10811-2026</t>
        </is>
      </c>
      <c r="B2658" s="1" t="n">
        <v>46078.60513888889</v>
      </c>
      <c r="C2658" s="1" t="n">
        <v>46086</v>
      </c>
      <c r="D2658" t="inlineStr">
        <is>
          <t>GÄVLEBORGS LÄN</t>
        </is>
      </c>
      <c r="E2658" t="inlineStr">
        <is>
          <t>BOLLNÄS</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10817-2026</t>
        </is>
      </c>
      <c r="B2659" s="1" t="n">
        <v>46078.61425925926</v>
      </c>
      <c r="C2659" s="1" t="n">
        <v>46086</v>
      </c>
      <c r="D2659" t="inlineStr">
        <is>
          <t>GÄVLEBORGS LÄN</t>
        </is>
      </c>
      <c r="E2659" t="inlineStr">
        <is>
          <t>SÖDERHAMN</t>
        </is>
      </c>
      <c r="G2659" t="n">
        <v>5.1</v>
      </c>
      <c r="H2659" t="n">
        <v>0</v>
      </c>
      <c r="I2659" t="n">
        <v>0</v>
      </c>
      <c r="J2659" t="n">
        <v>0</v>
      </c>
      <c r="K2659" t="n">
        <v>0</v>
      </c>
      <c r="L2659" t="n">
        <v>0</v>
      </c>
      <c r="M2659" t="n">
        <v>0</v>
      </c>
      <c r="N2659" t="n">
        <v>0</v>
      </c>
      <c r="O2659" t="n">
        <v>0</v>
      </c>
      <c r="P2659" t="n">
        <v>0</v>
      </c>
      <c r="Q2659" t="n">
        <v>0</v>
      </c>
      <c r="R2659" s="2" t="inlineStr"/>
    </row>
    <row r="2660" ht="15" customHeight="1">
      <c r="A2660" t="inlineStr">
        <is>
          <t>A 9844-2026</t>
        </is>
      </c>
      <c r="B2660" s="1" t="n">
        <v>46072.72241898148</v>
      </c>
      <c r="C2660" s="1" t="n">
        <v>46086</v>
      </c>
      <c r="D2660" t="inlineStr">
        <is>
          <t>GÄVLEBORGS LÄN</t>
        </is>
      </c>
      <c r="E2660" t="inlineStr">
        <is>
          <t>GÄVLE</t>
        </is>
      </c>
      <c r="F2660" t="inlineStr">
        <is>
          <t>Bergvik skog väst AB</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27723-2024</t>
        </is>
      </c>
      <c r="B2661" s="1" t="n">
        <v>45475.4027662037</v>
      </c>
      <c r="C2661" s="1" t="n">
        <v>46086</v>
      </c>
      <c r="D2661" t="inlineStr">
        <is>
          <t>GÄVLEBORGS LÄN</t>
        </is>
      </c>
      <c r="E2661" t="inlineStr">
        <is>
          <t>LJUSDAL</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10639-2026</t>
        </is>
      </c>
      <c r="B2662" s="1" t="n">
        <v>46078.31909722222</v>
      </c>
      <c r="C2662" s="1" t="n">
        <v>46086</v>
      </c>
      <c r="D2662" t="inlineStr">
        <is>
          <t>GÄVLEBORGS LÄN</t>
        </is>
      </c>
      <c r="E2662" t="inlineStr">
        <is>
          <t>GÄVLE</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10640-2026</t>
        </is>
      </c>
      <c r="B2663" s="1" t="n">
        <v>46078.32142361111</v>
      </c>
      <c r="C2663" s="1" t="n">
        <v>46086</v>
      </c>
      <c r="D2663" t="inlineStr">
        <is>
          <t>GÄVLEBORGS LÄN</t>
        </is>
      </c>
      <c r="E2663" t="inlineStr">
        <is>
          <t>GÄVLE</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10643-2026</t>
        </is>
      </c>
      <c r="B2664" s="1" t="n">
        <v>46078.33216435185</v>
      </c>
      <c r="C2664" s="1" t="n">
        <v>46086</v>
      </c>
      <c r="D2664" t="inlineStr">
        <is>
          <t>GÄVLEBORGS LÄN</t>
        </is>
      </c>
      <c r="E2664" t="inlineStr">
        <is>
          <t>BOLLNÄS</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10674-2026</t>
        </is>
      </c>
      <c r="B2665" s="1" t="n">
        <v>46078.40658564815</v>
      </c>
      <c r="C2665" s="1" t="n">
        <v>46086</v>
      </c>
      <c r="D2665" t="inlineStr">
        <is>
          <t>GÄVLEBORGS LÄN</t>
        </is>
      </c>
      <c r="E2665" t="inlineStr">
        <is>
          <t>BOLLNÄS</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10679-2026</t>
        </is>
      </c>
      <c r="B2666" s="1" t="n">
        <v>46078.40826388889</v>
      </c>
      <c r="C2666" s="1" t="n">
        <v>46086</v>
      </c>
      <c r="D2666" t="inlineStr">
        <is>
          <t>GÄVLEBORGS LÄN</t>
        </is>
      </c>
      <c r="E2666" t="inlineStr">
        <is>
          <t>OCKELBO</t>
        </is>
      </c>
      <c r="F2666" t="inlineStr">
        <is>
          <t>Bergvik skog väst AB</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10682-2026</t>
        </is>
      </c>
      <c r="B2667" s="1" t="n">
        <v>46078.41482638889</v>
      </c>
      <c r="C2667" s="1" t="n">
        <v>46086</v>
      </c>
      <c r="D2667" t="inlineStr">
        <is>
          <t>GÄVLEBORGS LÄN</t>
        </is>
      </c>
      <c r="E2667" t="inlineStr">
        <is>
          <t>OCKELBO</t>
        </is>
      </c>
      <c r="F2667" t="inlineStr">
        <is>
          <t>Bergvik skog väst AB</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28048-2025</t>
        </is>
      </c>
      <c r="B2668" s="1" t="n">
        <v>45817.65453703704</v>
      </c>
      <c r="C2668" s="1" t="n">
        <v>46086</v>
      </c>
      <c r="D2668" t="inlineStr">
        <is>
          <t>GÄVLEBORGS LÄN</t>
        </is>
      </c>
      <c r="E2668" t="inlineStr">
        <is>
          <t>OVANÅKER</t>
        </is>
      </c>
      <c r="F2668" t="inlineStr">
        <is>
          <t>Bergvik skog väst AB</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27732-2024</t>
        </is>
      </c>
      <c r="B2669" s="1" t="n">
        <v>45475.43817129629</v>
      </c>
      <c r="C2669" s="1" t="n">
        <v>46086</v>
      </c>
      <c r="D2669" t="inlineStr">
        <is>
          <t>GÄVLEBORGS LÄN</t>
        </is>
      </c>
      <c r="E2669" t="inlineStr">
        <is>
          <t>BOLLNÄS</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27738-2024</t>
        </is>
      </c>
      <c r="B2670" s="1" t="n">
        <v>45475.45108796296</v>
      </c>
      <c r="C2670" s="1" t="n">
        <v>46086</v>
      </c>
      <c r="D2670" t="inlineStr">
        <is>
          <t>GÄVLEBORGS LÄN</t>
        </is>
      </c>
      <c r="E2670" t="inlineStr">
        <is>
          <t>HOFORS</t>
        </is>
      </c>
      <c r="F2670" t="inlineStr">
        <is>
          <t>Bergvik skog öst AB</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27964-2025</t>
        </is>
      </c>
      <c r="B2671" s="1" t="n">
        <v>45817.55414351852</v>
      </c>
      <c r="C2671" s="1" t="n">
        <v>46086</v>
      </c>
      <c r="D2671" t="inlineStr">
        <is>
          <t>GÄVLEBORGS LÄN</t>
        </is>
      </c>
      <c r="E2671" t="inlineStr">
        <is>
          <t>OVANÅKER</t>
        </is>
      </c>
      <c r="F2671" t="inlineStr">
        <is>
          <t>Bergvik skog väst AB</t>
        </is>
      </c>
      <c r="G2671" t="n">
        <v>14.8</v>
      </c>
      <c r="H2671" t="n">
        <v>0</v>
      </c>
      <c r="I2671" t="n">
        <v>0</v>
      </c>
      <c r="J2671" t="n">
        <v>0</v>
      </c>
      <c r="K2671" t="n">
        <v>0</v>
      </c>
      <c r="L2671" t="n">
        <v>0</v>
      </c>
      <c r="M2671" t="n">
        <v>0</v>
      </c>
      <c r="N2671" t="n">
        <v>0</v>
      </c>
      <c r="O2671" t="n">
        <v>0</v>
      </c>
      <c r="P2671" t="n">
        <v>0</v>
      </c>
      <c r="Q2671" t="n">
        <v>0</v>
      </c>
      <c r="R2671" s="2" t="inlineStr"/>
    </row>
    <row r="2672" ht="15" customHeight="1">
      <c r="A2672" t="inlineStr">
        <is>
          <t>A 28080-2025</t>
        </is>
      </c>
      <c r="B2672" s="1" t="n">
        <v>45817.70028935185</v>
      </c>
      <c r="C2672" s="1" t="n">
        <v>46086</v>
      </c>
      <c r="D2672" t="inlineStr">
        <is>
          <t>GÄVLEBORGS LÄN</t>
        </is>
      </c>
      <c r="E2672" t="inlineStr">
        <is>
          <t>OCKELBO</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11114-2026</t>
        </is>
      </c>
      <c r="B2673" s="1" t="n">
        <v>46079.66746527778</v>
      </c>
      <c r="C2673" s="1" t="n">
        <v>46086</v>
      </c>
      <c r="D2673" t="inlineStr">
        <is>
          <t>GÄVLEBORGS LÄN</t>
        </is>
      </c>
      <c r="E2673" t="inlineStr">
        <is>
          <t>GÄVLE</t>
        </is>
      </c>
      <c r="F2673" t="inlineStr">
        <is>
          <t>Kommuner</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11116-2026</t>
        </is>
      </c>
      <c r="B2674" s="1" t="n">
        <v>46079.67010416667</v>
      </c>
      <c r="C2674" s="1" t="n">
        <v>46086</v>
      </c>
      <c r="D2674" t="inlineStr">
        <is>
          <t>GÄVLEBORGS LÄN</t>
        </is>
      </c>
      <c r="E2674" t="inlineStr">
        <is>
          <t>OCKELBO</t>
        </is>
      </c>
      <c r="F2674" t="inlineStr">
        <is>
          <t>Bergvik skog väst AB</t>
        </is>
      </c>
      <c r="G2674" t="n">
        <v>6.8</v>
      </c>
      <c r="H2674" t="n">
        <v>0</v>
      </c>
      <c r="I2674" t="n">
        <v>0</v>
      </c>
      <c r="J2674" t="n">
        <v>0</v>
      </c>
      <c r="K2674" t="n">
        <v>0</v>
      </c>
      <c r="L2674" t="n">
        <v>0</v>
      </c>
      <c r="M2674" t="n">
        <v>0</v>
      </c>
      <c r="N2674" t="n">
        <v>0</v>
      </c>
      <c r="O2674" t="n">
        <v>0</v>
      </c>
      <c r="P2674" t="n">
        <v>0</v>
      </c>
      <c r="Q2674" t="n">
        <v>0</v>
      </c>
      <c r="R2674" s="2" t="inlineStr"/>
    </row>
    <row r="2675" ht="15" customHeight="1">
      <c r="A2675" t="inlineStr">
        <is>
          <t>A 2513-2026</t>
        </is>
      </c>
      <c r="B2675" s="1" t="n">
        <v>46037.41994212963</v>
      </c>
      <c r="C2675" s="1" t="n">
        <v>46086</v>
      </c>
      <c r="D2675" t="inlineStr">
        <is>
          <t>GÄVLEBORGS LÄN</t>
        </is>
      </c>
      <c r="E2675" t="inlineStr">
        <is>
          <t>BOLLNÄS</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8015-2026</t>
        </is>
      </c>
      <c r="B2676" s="1" t="n">
        <v>46063.5431712963</v>
      </c>
      <c r="C2676" s="1" t="n">
        <v>46086</v>
      </c>
      <c r="D2676" t="inlineStr">
        <is>
          <t>GÄVLEBORGS LÄN</t>
        </is>
      </c>
      <c r="E2676" t="inlineStr">
        <is>
          <t>OVANÅKER</t>
        </is>
      </c>
      <c r="F2676" t="inlineStr">
        <is>
          <t>Sveaskog</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2285-2026</t>
        </is>
      </c>
      <c r="B2677" s="1" t="n">
        <v>46036</v>
      </c>
      <c r="C2677" s="1" t="n">
        <v>46086</v>
      </c>
      <c r="D2677" t="inlineStr">
        <is>
          <t>GÄVLEBORGS LÄN</t>
        </is>
      </c>
      <c r="E2677" t="inlineStr">
        <is>
          <t>OCKELBO</t>
        </is>
      </c>
      <c r="F2677" t="inlineStr">
        <is>
          <t>Bergvik skog väst AB</t>
        </is>
      </c>
      <c r="G2677" t="n">
        <v>10.3</v>
      </c>
      <c r="H2677" t="n">
        <v>0</v>
      </c>
      <c r="I2677" t="n">
        <v>0</v>
      </c>
      <c r="J2677" t="n">
        <v>0</v>
      </c>
      <c r="K2677" t="n">
        <v>0</v>
      </c>
      <c r="L2677" t="n">
        <v>0</v>
      </c>
      <c r="M2677" t="n">
        <v>0</v>
      </c>
      <c r="N2677" t="n">
        <v>0</v>
      </c>
      <c r="O2677" t="n">
        <v>0</v>
      </c>
      <c r="P2677" t="n">
        <v>0</v>
      </c>
      <c r="Q2677" t="n">
        <v>0</v>
      </c>
      <c r="R2677" s="2" t="inlineStr"/>
    </row>
    <row r="2678" ht="15" customHeight="1">
      <c r="A2678" t="inlineStr">
        <is>
          <t>A 2307-2026</t>
        </is>
      </c>
      <c r="B2678" s="1" t="n">
        <v>46036.59155092593</v>
      </c>
      <c r="C2678" s="1" t="n">
        <v>46086</v>
      </c>
      <c r="D2678" t="inlineStr">
        <is>
          <t>GÄVLEBORGS LÄN</t>
        </is>
      </c>
      <c r="E2678" t="inlineStr">
        <is>
          <t>BOLLNÄS</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5622-2025</t>
        </is>
      </c>
      <c r="B2679" s="1" t="n">
        <v>45693.63630787037</v>
      </c>
      <c r="C2679" s="1" t="n">
        <v>46086</v>
      </c>
      <c r="D2679" t="inlineStr">
        <is>
          <t>GÄVLEBORGS LÄN</t>
        </is>
      </c>
      <c r="E2679" t="inlineStr">
        <is>
          <t>HUDIKSVALL</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27791-2025</t>
        </is>
      </c>
      <c r="B2680" s="1" t="n">
        <v>45816</v>
      </c>
      <c r="C2680" s="1" t="n">
        <v>46086</v>
      </c>
      <c r="D2680" t="inlineStr">
        <is>
          <t>GÄVLEBORGS LÄN</t>
        </is>
      </c>
      <c r="E2680" t="inlineStr">
        <is>
          <t>HUDIKSVALL</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27880-2025</t>
        </is>
      </c>
      <c r="B2681" s="1" t="n">
        <v>45817.44366898148</v>
      </c>
      <c r="C2681" s="1" t="n">
        <v>46086</v>
      </c>
      <c r="D2681" t="inlineStr">
        <is>
          <t>GÄVLEBORGS LÄN</t>
        </is>
      </c>
      <c r="E2681" t="inlineStr">
        <is>
          <t>OVANÅKER</t>
        </is>
      </c>
      <c r="F2681" t="inlineStr">
        <is>
          <t>Bergvik skog väst AB</t>
        </is>
      </c>
      <c r="G2681" t="n">
        <v>16.9</v>
      </c>
      <c r="H2681" t="n">
        <v>0</v>
      </c>
      <c r="I2681" t="n">
        <v>0</v>
      </c>
      <c r="J2681" t="n">
        <v>0</v>
      </c>
      <c r="K2681" t="n">
        <v>0</v>
      </c>
      <c r="L2681" t="n">
        <v>0</v>
      </c>
      <c r="M2681" t="n">
        <v>0</v>
      </c>
      <c r="N2681" t="n">
        <v>0</v>
      </c>
      <c r="O2681" t="n">
        <v>0</v>
      </c>
      <c r="P2681" t="n">
        <v>0</v>
      </c>
      <c r="Q2681" t="n">
        <v>0</v>
      </c>
      <c r="R2681" s="2" t="inlineStr"/>
    </row>
    <row r="2682" ht="15" customHeight="1">
      <c r="A2682" t="inlineStr">
        <is>
          <t>A 2325-2026</t>
        </is>
      </c>
      <c r="B2682" s="1" t="n">
        <v>46036.60565972222</v>
      </c>
      <c r="C2682" s="1" t="n">
        <v>46086</v>
      </c>
      <c r="D2682" t="inlineStr">
        <is>
          <t>GÄVLEBORGS LÄN</t>
        </is>
      </c>
      <c r="E2682" t="inlineStr">
        <is>
          <t>OCKELBO</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27903-2025</t>
        </is>
      </c>
      <c r="B2683" s="1" t="n">
        <v>45817.46649305556</v>
      </c>
      <c r="C2683" s="1" t="n">
        <v>46086</v>
      </c>
      <c r="D2683" t="inlineStr">
        <is>
          <t>GÄVLEBORGS LÄN</t>
        </is>
      </c>
      <c r="E2683" t="inlineStr">
        <is>
          <t>OVANÅKER</t>
        </is>
      </c>
      <c r="F2683" t="inlineStr">
        <is>
          <t>Bergvik skog väst AB</t>
        </is>
      </c>
      <c r="G2683" t="n">
        <v>13.1</v>
      </c>
      <c r="H2683" t="n">
        <v>0</v>
      </c>
      <c r="I2683" t="n">
        <v>0</v>
      </c>
      <c r="J2683" t="n">
        <v>0</v>
      </c>
      <c r="K2683" t="n">
        <v>0</v>
      </c>
      <c r="L2683" t="n">
        <v>0</v>
      </c>
      <c r="M2683" t="n">
        <v>0</v>
      </c>
      <c r="N2683" t="n">
        <v>0</v>
      </c>
      <c r="O2683" t="n">
        <v>0</v>
      </c>
      <c r="P2683" t="n">
        <v>0</v>
      </c>
      <c r="Q2683" t="n">
        <v>0</v>
      </c>
      <c r="R2683" s="2" t="inlineStr"/>
    </row>
    <row r="2684" ht="15" customHeight="1">
      <c r="A2684" t="inlineStr">
        <is>
          <t>A 10781-2026</t>
        </is>
      </c>
      <c r="B2684" s="1" t="n">
        <v>46078.57745370371</v>
      </c>
      <c r="C2684" s="1" t="n">
        <v>46086</v>
      </c>
      <c r="D2684" t="inlineStr">
        <is>
          <t>GÄVLEBORGS LÄN</t>
        </is>
      </c>
      <c r="E2684" t="inlineStr">
        <is>
          <t>SÖDERHAMN</t>
        </is>
      </c>
      <c r="G2684" t="n">
        <v>5.1</v>
      </c>
      <c r="H2684" t="n">
        <v>0</v>
      </c>
      <c r="I2684" t="n">
        <v>0</v>
      </c>
      <c r="J2684" t="n">
        <v>0</v>
      </c>
      <c r="K2684" t="n">
        <v>0</v>
      </c>
      <c r="L2684" t="n">
        <v>0</v>
      </c>
      <c r="M2684" t="n">
        <v>0</v>
      </c>
      <c r="N2684" t="n">
        <v>0</v>
      </c>
      <c r="O2684" t="n">
        <v>0</v>
      </c>
      <c r="P2684" t="n">
        <v>0</v>
      </c>
      <c r="Q2684" t="n">
        <v>0</v>
      </c>
      <c r="R2684" s="2" t="inlineStr"/>
    </row>
    <row r="2685" ht="15" customHeight="1">
      <c r="A2685" t="inlineStr">
        <is>
          <t>A 10785-2026</t>
        </is>
      </c>
      <c r="B2685" s="1" t="n">
        <v>46078.58021990741</v>
      </c>
      <c r="C2685" s="1" t="n">
        <v>46086</v>
      </c>
      <c r="D2685" t="inlineStr">
        <is>
          <t>GÄVLEBORGS LÄN</t>
        </is>
      </c>
      <c r="E2685" t="inlineStr">
        <is>
          <t>SÖDERHAMN</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27817-2025</t>
        </is>
      </c>
      <c r="B2686" s="1" t="n">
        <v>45817.33469907408</v>
      </c>
      <c r="C2686" s="1" t="n">
        <v>46086</v>
      </c>
      <c r="D2686" t="inlineStr">
        <is>
          <t>GÄVLEBORGS LÄN</t>
        </is>
      </c>
      <c r="E2686" t="inlineStr">
        <is>
          <t>LJUSDAL</t>
        </is>
      </c>
      <c r="G2686" t="n">
        <v>8.9</v>
      </c>
      <c r="H2686" t="n">
        <v>0</v>
      </c>
      <c r="I2686" t="n">
        <v>0</v>
      </c>
      <c r="J2686" t="n">
        <v>0</v>
      </c>
      <c r="K2686" t="n">
        <v>0</v>
      </c>
      <c r="L2686" t="n">
        <v>0</v>
      </c>
      <c r="M2686" t="n">
        <v>0</v>
      </c>
      <c r="N2686" t="n">
        <v>0</v>
      </c>
      <c r="O2686" t="n">
        <v>0</v>
      </c>
      <c r="P2686" t="n">
        <v>0</v>
      </c>
      <c r="Q2686" t="n">
        <v>0</v>
      </c>
      <c r="R2686" s="2" t="inlineStr"/>
    </row>
    <row r="2687" ht="15" customHeight="1">
      <c r="A2687" t="inlineStr">
        <is>
          <t>A 8235-2026</t>
        </is>
      </c>
      <c r="B2687" s="1" t="n">
        <v>46064</v>
      </c>
      <c r="C2687" s="1" t="n">
        <v>46086</v>
      </c>
      <c r="D2687" t="inlineStr">
        <is>
          <t>GÄVLEBORGS LÄN</t>
        </is>
      </c>
      <c r="E2687" t="inlineStr">
        <is>
          <t>BOLLNÄS</t>
        </is>
      </c>
      <c r="F2687" t="inlineStr">
        <is>
          <t>Bergvik skog väst AB</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8389-2026</t>
        </is>
      </c>
      <c r="B2688" s="1" t="n">
        <v>46064</v>
      </c>
      <c r="C2688" s="1" t="n">
        <v>46086</v>
      </c>
      <c r="D2688" t="inlineStr">
        <is>
          <t>GÄVLEBORGS LÄN</t>
        </is>
      </c>
      <c r="E2688" t="inlineStr">
        <is>
          <t>OVANÅKER</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27894-2025</t>
        </is>
      </c>
      <c r="B2689" s="1" t="n">
        <v>45817.4644212963</v>
      </c>
      <c r="C2689" s="1" t="n">
        <v>46086</v>
      </c>
      <c r="D2689" t="inlineStr">
        <is>
          <t>GÄVLEBORGS LÄN</t>
        </is>
      </c>
      <c r="E2689" t="inlineStr">
        <is>
          <t>NORDANSTIG</t>
        </is>
      </c>
      <c r="F2689" t="inlineStr">
        <is>
          <t>Holmen skog AB</t>
        </is>
      </c>
      <c r="G2689" t="n">
        <v>8.6</v>
      </c>
      <c r="H2689" t="n">
        <v>0</v>
      </c>
      <c r="I2689" t="n">
        <v>0</v>
      </c>
      <c r="J2689" t="n">
        <v>0</v>
      </c>
      <c r="K2689" t="n">
        <v>0</v>
      </c>
      <c r="L2689" t="n">
        <v>0</v>
      </c>
      <c r="M2689" t="n">
        <v>0</v>
      </c>
      <c r="N2689" t="n">
        <v>0</v>
      </c>
      <c r="O2689" t="n">
        <v>0</v>
      </c>
      <c r="P2689" t="n">
        <v>0</v>
      </c>
      <c r="Q2689" t="n">
        <v>0</v>
      </c>
      <c r="R2689" s="2" t="inlineStr"/>
    </row>
    <row r="2690" ht="15" customHeight="1">
      <c r="A2690" t="inlineStr">
        <is>
          <t>A 55477-2022</t>
        </is>
      </c>
      <c r="B2690" s="1" t="n">
        <v>44887</v>
      </c>
      <c r="C2690" s="1" t="n">
        <v>46086</v>
      </c>
      <c r="D2690" t="inlineStr">
        <is>
          <t>GÄVLEBORGS LÄN</t>
        </is>
      </c>
      <c r="E2690" t="inlineStr">
        <is>
          <t>OVANÅKER</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10938-2026</t>
        </is>
      </c>
      <c r="B2691" s="1" t="n">
        <v>46079.36918981482</v>
      </c>
      <c r="C2691" s="1" t="n">
        <v>46086</v>
      </c>
      <c r="D2691" t="inlineStr">
        <is>
          <t>GÄVLEBORGS LÄN</t>
        </is>
      </c>
      <c r="E2691" t="inlineStr">
        <is>
          <t>OVANÅKER</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27993-2025</t>
        </is>
      </c>
      <c r="B2692" s="1" t="n">
        <v>45817.59138888889</v>
      </c>
      <c r="C2692" s="1" t="n">
        <v>46086</v>
      </c>
      <c r="D2692" t="inlineStr">
        <is>
          <t>GÄVLEBORGS LÄN</t>
        </is>
      </c>
      <c r="E2692" t="inlineStr">
        <is>
          <t>HUDIKSVALL</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28006-2025</t>
        </is>
      </c>
      <c r="B2693" s="1" t="n">
        <v>45817.59944444444</v>
      </c>
      <c r="C2693" s="1" t="n">
        <v>46086</v>
      </c>
      <c r="D2693" t="inlineStr">
        <is>
          <t>GÄVLEBORGS LÄN</t>
        </is>
      </c>
      <c r="E2693" t="inlineStr">
        <is>
          <t>OCKELBO</t>
        </is>
      </c>
      <c r="F2693" t="inlineStr">
        <is>
          <t>Bergvik skog väst AB</t>
        </is>
      </c>
      <c r="G2693" t="n">
        <v>8.1</v>
      </c>
      <c r="H2693" t="n">
        <v>0</v>
      </c>
      <c r="I2693" t="n">
        <v>0</v>
      </c>
      <c r="J2693" t="n">
        <v>0</v>
      </c>
      <c r="K2693" t="n">
        <v>0</v>
      </c>
      <c r="L2693" t="n">
        <v>0</v>
      </c>
      <c r="M2693" t="n">
        <v>0</v>
      </c>
      <c r="N2693" t="n">
        <v>0</v>
      </c>
      <c r="O2693" t="n">
        <v>0</v>
      </c>
      <c r="P2693" t="n">
        <v>0</v>
      </c>
      <c r="Q2693" t="n">
        <v>0</v>
      </c>
      <c r="R2693" s="2" t="inlineStr"/>
    </row>
    <row r="2694" ht="15" customHeight="1">
      <c r="A2694" t="inlineStr">
        <is>
          <t>A 10809-2026</t>
        </is>
      </c>
      <c r="B2694" s="1" t="n">
        <v>46078.60459490741</v>
      </c>
      <c r="C2694" s="1" t="n">
        <v>46086</v>
      </c>
      <c r="D2694" t="inlineStr">
        <is>
          <t>GÄVLEBORGS LÄN</t>
        </is>
      </c>
      <c r="E2694" t="inlineStr">
        <is>
          <t>BOLLNÄS</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10810-2026</t>
        </is>
      </c>
      <c r="B2695" s="1" t="n">
        <v>46078.60465277778</v>
      </c>
      <c r="C2695" s="1" t="n">
        <v>46086</v>
      </c>
      <c r="D2695" t="inlineStr">
        <is>
          <t>GÄVLEBORGS LÄN</t>
        </is>
      </c>
      <c r="E2695" t="inlineStr">
        <is>
          <t>BOLLNÄS</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8960-2026</t>
        </is>
      </c>
      <c r="B2696" s="1" t="n">
        <v>46069</v>
      </c>
      <c r="C2696" s="1" t="n">
        <v>46086</v>
      </c>
      <c r="D2696" t="inlineStr">
        <is>
          <t>GÄVLEBORGS LÄN</t>
        </is>
      </c>
      <c r="E2696" t="inlineStr">
        <is>
          <t>OCKELBO</t>
        </is>
      </c>
      <c r="F2696" t="inlineStr">
        <is>
          <t>Bergvik skog väst AB</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8390-2026</t>
        </is>
      </c>
      <c r="B2697" s="1" t="n">
        <v>46064</v>
      </c>
      <c r="C2697" s="1" t="n">
        <v>46086</v>
      </c>
      <c r="D2697" t="inlineStr">
        <is>
          <t>GÄVLEBORGS LÄN</t>
        </is>
      </c>
      <c r="E2697" t="inlineStr">
        <is>
          <t>OVANÅKER</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8400-2026</t>
        </is>
      </c>
      <c r="B2698" s="1" t="n">
        <v>46065</v>
      </c>
      <c r="C2698" s="1" t="n">
        <v>46086</v>
      </c>
      <c r="D2698" t="inlineStr">
        <is>
          <t>GÄVLEBORGS LÄN</t>
        </is>
      </c>
      <c r="E2698" t="inlineStr">
        <is>
          <t>OVANÅKER</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8411-2026</t>
        </is>
      </c>
      <c r="B2699" s="1" t="n">
        <v>46065</v>
      </c>
      <c r="C2699" s="1" t="n">
        <v>46086</v>
      </c>
      <c r="D2699" t="inlineStr">
        <is>
          <t>GÄVLEBORGS LÄN</t>
        </is>
      </c>
      <c r="E2699" t="inlineStr">
        <is>
          <t>OVANÅKER</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27858-2025</t>
        </is>
      </c>
      <c r="B2700" s="1" t="n">
        <v>45817.41371527778</v>
      </c>
      <c r="C2700" s="1" t="n">
        <v>46086</v>
      </c>
      <c r="D2700" t="inlineStr">
        <is>
          <t>GÄVLEBORGS LÄN</t>
        </is>
      </c>
      <c r="E2700" t="inlineStr">
        <is>
          <t>GÄVLE</t>
        </is>
      </c>
      <c r="F2700" t="inlineStr">
        <is>
          <t>Bergvik skog väst AB</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27932-2025</t>
        </is>
      </c>
      <c r="B2701" s="1" t="n">
        <v>45817.49524305556</v>
      </c>
      <c r="C2701" s="1" t="n">
        <v>46086</v>
      </c>
      <c r="D2701" t="inlineStr">
        <is>
          <t>GÄVLEBORGS LÄN</t>
        </is>
      </c>
      <c r="E2701" t="inlineStr">
        <is>
          <t>LJUSDAL</t>
        </is>
      </c>
      <c r="F2701" t="inlineStr">
        <is>
          <t>Holmen skog AB</t>
        </is>
      </c>
      <c r="G2701" t="n">
        <v>18.2</v>
      </c>
      <c r="H2701" t="n">
        <v>0</v>
      </c>
      <c r="I2701" t="n">
        <v>0</v>
      </c>
      <c r="J2701" t="n">
        <v>0</v>
      </c>
      <c r="K2701" t="n">
        <v>0</v>
      </c>
      <c r="L2701" t="n">
        <v>0</v>
      </c>
      <c r="M2701" t="n">
        <v>0</v>
      </c>
      <c r="N2701" t="n">
        <v>0</v>
      </c>
      <c r="O2701" t="n">
        <v>0</v>
      </c>
      <c r="P2701" t="n">
        <v>0</v>
      </c>
      <c r="Q2701" t="n">
        <v>0</v>
      </c>
      <c r="R2701" s="2" t="inlineStr"/>
    </row>
    <row r="2702" ht="15" customHeight="1">
      <c r="A2702" t="inlineStr">
        <is>
          <t>A 27976-2025</t>
        </is>
      </c>
      <c r="B2702" s="1" t="n">
        <v>45817.57092592592</v>
      </c>
      <c r="C2702" s="1" t="n">
        <v>46086</v>
      </c>
      <c r="D2702" t="inlineStr">
        <is>
          <t>GÄVLEBORGS LÄN</t>
        </is>
      </c>
      <c r="E2702" t="inlineStr">
        <is>
          <t>LJUSDAL</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16515-2023</t>
        </is>
      </c>
      <c r="B2703" s="1" t="n">
        <v>45029.65342592593</v>
      </c>
      <c r="C2703" s="1" t="n">
        <v>46086</v>
      </c>
      <c r="D2703" t="inlineStr">
        <is>
          <t>GÄVLEBORGS LÄN</t>
        </is>
      </c>
      <c r="E2703" t="inlineStr">
        <is>
          <t>NORDANSTIG</t>
        </is>
      </c>
      <c r="F2703" t="inlineStr">
        <is>
          <t>Holmen skog AB</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16624-2023</t>
        </is>
      </c>
      <c r="B2704" s="1" t="n">
        <v>45030.43475694444</v>
      </c>
      <c r="C2704" s="1" t="n">
        <v>46086</v>
      </c>
      <c r="D2704" t="inlineStr">
        <is>
          <t>GÄVLEBORGS LÄN</t>
        </is>
      </c>
      <c r="E2704" t="inlineStr">
        <is>
          <t>GÄVLE</t>
        </is>
      </c>
      <c r="F2704" t="inlineStr">
        <is>
          <t>Bergvik skog väst AB</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10725-2026</t>
        </is>
      </c>
      <c r="B2705" s="1" t="n">
        <v>46078.4722800926</v>
      </c>
      <c r="C2705" s="1" t="n">
        <v>46086</v>
      </c>
      <c r="D2705" t="inlineStr">
        <is>
          <t>GÄVLEBORGS LÄN</t>
        </is>
      </c>
      <c r="E2705" t="inlineStr">
        <is>
          <t>BOLLNÄS</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10967-2026</t>
        </is>
      </c>
      <c r="B2706" s="1" t="n">
        <v>46079.43792824074</v>
      </c>
      <c r="C2706" s="1" t="n">
        <v>46086</v>
      </c>
      <c r="D2706" t="inlineStr">
        <is>
          <t>GÄVLEBORGS LÄN</t>
        </is>
      </c>
      <c r="E2706" t="inlineStr">
        <is>
          <t>BOLLNÄS</t>
        </is>
      </c>
      <c r="F2706" t="inlineStr">
        <is>
          <t>Bergvik skog väst AB</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2705-2026</t>
        </is>
      </c>
      <c r="B2707" s="1" t="n">
        <v>46037.69324074074</v>
      </c>
      <c r="C2707" s="1" t="n">
        <v>46086</v>
      </c>
      <c r="D2707" t="inlineStr">
        <is>
          <t>GÄVLEBORGS LÄN</t>
        </is>
      </c>
      <c r="E2707" t="inlineStr">
        <is>
          <t>NORDANSTIG</t>
        </is>
      </c>
      <c r="G2707" t="n">
        <v>9.300000000000001</v>
      </c>
      <c r="H2707" t="n">
        <v>0</v>
      </c>
      <c r="I2707" t="n">
        <v>0</v>
      </c>
      <c r="J2707" t="n">
        <v>0</v>
      </c>
      <c r="K2707" t="n">
        <v>0</v>
      </c>
      <c r="L2707" t="n">
        <v>0</v>
      </c>
      <c r="M2707" t="n">
        <v>0</v>
      </c>
      <c r="N2707" t="n">
        <v>0</v>
      </c>
      <c r="O2707" t="n">
        <v>0</v>
      </c>
      <c r="P2707" t="n">
        <v>0</v>
      </c>
      <c r="Q2707" t="n">
        <v>0</v>
      </c>
      <c r="R2707" s="2" t="inlineStr"/>
    </row>
    <row r="2708" ht="15" customHeight="1">
      <c r="A2708" t="inlineStr">
        <is>
          <t>A 2708-2026</t>
        </is>
      </c>
      <c r="B2708" s="1" t="n">
        <v>46037.71626157407</v>
      </c>
      <c r="C2708" s="1" t="n">
        <v>46086</v>
      </c>
      <c r="D2708" t="inlineStr">
        <is>
          <t>GÄVLEBORGS LÄN</t>
        </is>
      </c>
      <c r="E2708" t="inlineStr">
        <is>
          <t>SANDVIKEN</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15750-2022</t>
        </is>
      </c>
      <c r="B2709" s="1" t="n">
        <v>44663</v>
      </c>
      <c r="C2709" s="1" t="n">
        <v>46086</v>
      </c>
      <c r="D2709" t="inlineStr">
        <is>
          <t>GÄVLEBORGS LÄN</t>
        </is>
      </c>
      <c r="E2709" t="inlineStr">
        <is>
          <t>LJUSDAL</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6425-2026</t>
        </is>
      </c>
      <c r="B2710" s="1" t="n">
        <v>46055</v>
      </c>
      <c r="C2710" s="1" t="n">
        <v>46086</v>
      </c>
      <c r="D2710" t="inlineStr">
        <is>
          <t>GÄVLEBORGS LÄN</t>
        </is>
      </c>
      <c r="E2710" t="inlineStr">
        <is>
          <t>BOLLNÄS</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27970-2025</t>
        </is>
      </c>
      <c r="B2711" s="1" t="n">
        <v>45817.56043981481</v>
      </c>
      <c r="C2711" s="1" t="n">
        <v>46086</v>
      </c>
      <c r="D2711" t="inlineStr">
        <is>
          <t>GÄVLEBORGS LÄN</t>
        </is>
      </c>
      <c r="E2711" t="inlineStr">
        <is>
          <t>LJUSDAL</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10692-2026</t>
        </is>
      </c>
      <c r="B2712" s="1" t="n">
        <v>46078.43278935185</v>
      </c>
      <c r="C2712" s="1" t="n">
        <v>46086</v>
      </c>
      <c r="D2712" t="inlineStr">
        <is>
          <t>GÄVLEBORGS LÄN</t>
        </is>
      </c>
      <c r="E2712" t="inlineStr">
        <is>
          <t>BOLLNÄS</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28047-2025</t>
        </is>
      </c>
      <c r="B2713" s="1" t="n">
        <v>45817</v>
      </c>
      <c r="C2713" s="1" t="n">
        <v>46086</v>
      </c>
      <c r="D2713" t="inlineStr">
        <is>
          <t>GÄVLEBORGS LÄN</t>
        </is>
      </c>
      <c r="E2713" t="inlineStr">
        <is>
          <t>OVANÅKER</t>
        </is>
      </c>
      <c r="F2713" t="inlineStr">
        <is>
          <t>Holmen skog AB</t>
        </is>
      </c>
      <c r="G2713" t="n">
        <v>13.5</v>
      </c>
      <c r="H2713" t="n">
        <v>0</v>
      </c>
      <c r="I2713" t="n">
        <v>0</v>
      </c>
      <c r="J2713" t="n">
        <v>0</v>
      </c>
      <c r="K2713" t="n">
        <v>0</v>
      </c>
      <c r="L2713" t="n">
        <v>0</v>
      </c>
      <c r="M2713" t="n">
        <v>0</v>
      </c>
      <c r="N2713" t="n">
        <v>0</v>
      </c>
      <c r="O2713" t="n">
        <v>0</v>
      </c>
      <c r="P2713" t="n">
        <v>0</v>
      </c>
      <c r="Q2713" t="n">
        <v>0</v>
      </c>
      <c r="R2713" s="2" t="inlineStr"/>
    </row>
    <row r="2714" ht="15" customHeight="1">
      <c r="A2714" t="inlineStr">
        <is>
          <t>A 44487-2024</t>
        </is>
      </c>
      <c r="B2714" s="1" t="n">
        <v>45574.38811342593</v>
      </c>
      <c r="C2714" s="1" t="n">
        <v>46086</v>
      </c>
      <c r="D2714" t="inlineStr">
        <is>
          <t>GÄVLEBORGS LÄN</t>
        </is>
      </c>
      <c r="E2714" t="inlineStr">
        <is>
          <t>BOLLNÄS</t>
        </is>
      </c>
      <c r="F2714" t="inlineStr">
        <is>
          <t>Kyrkan</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12454-2023</t>
        </is>
      </c>
      <c r="B2715" s="1" t="n">
        <v>44999.58185185185</v>
      </c>
      <c r="C2715" s="1" t="n">
        <v>46086</v>
      </c>
      <c r="D2715" t="inlineStr">
        <is>
          <t>GÄVLEBORGS LÄN</t>
        </is>
      </c>
      <c r="E2715" t="inlineStr">
        <is>
          <t>BOLLNÄS</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44859-2024</t>
        </is>
      </c>
      <c r="B2716" s="1" t="n">
        <v>45575.29123842593</v>
      </c>
      <c r="C2716" s="1" t="n">
        <v>46086</v>
      </c>
      <c r="D2716" t="inlineStr">
        <is>
          <t>GÄVLEBORGS LÄN</t>
        </is>
      </c>
      <c r="E2716" t="inlineStr">
        <is>
          <t>OVANÅKER</t>
        </is>
      </c>
      <c r="G2716" t="n">
        <v>0.2</v>
      </c>
      <c r="H2716" t="n">
        <v>0</v>
      </c>
      <c r="I2716" t="n">
        <v>0</v>
      </c>
      <c r="J2716" t="n">
        <v>0</v>
      </c>
      <c r="K2716" t="n">
        <v>0</v>
      </c>
      <c r="L2716" t="n">
        <v>0</v>
      </c>
      <c r="M2716" t="n">
        <v>0</v>
      </c>
      <c r="N2716" t="n">
        <v>0</v>
      </c>
      <c r="O2716" t="n">
        <v>0</v>
      </c>
      <c r="P2716" t="n">
        <v>0</v>
      </c>
      <c r="Q2716" t="n">
        <v>0</v>
      </c>
      <c r="R2716" s="2" t="inlineStr"/>
    </row>
    <row r="2717" ht="15" customHeight="1">
      <c r="A2717" t="inlineStr">
        <is>
          <t>A 1332-2025</t>
        </is>
      </c>
      <c r="B2717" s="1" t="n">
        <v>45667.57828703704</v>
      </c>
      <c r="C2717" s="1" t="n">
        <v>46086</v>
      </c>
      <c r="D2717" t="inlineStr">
        <is>
          <t>GÄVLEBORGS LÄN</t>
        </is>
      </c>
      <c r="E2717" t="inlineStr">
        <is>
          <t>LJUSDAL</t>
        </is>
      </c>
      <c r="F2717" t="inlineStr">
        <is>
          <t>Holmen skog AB</t>
        </is>
      </c>
      <c r="G2717" t="n">
        <v>4.4</v>
      </c>
      <c r="H2717" t="n">
        <v>0</v>
      </c>
      <c r="I2717" t="n">
        <v>0</v>
      </c>
      <c r="J2717" t="n">
        <v>0</v>
      </c>
      <c r="K2717" t="n">
        <v>0</v>
      </c>
      <c r="L2717" t="n">
        <v>0</v>
      </c>
      <c r="M2717" t="n">
        <v>0</v>
      </c>
      <c r="N2717" t="n">
        <v>0</v>
      </c>
      <c r="O2717" t="n">
        <v>0</v>
      </c>
      <c r="P2717" t="n">
        <v>0</v>
      </c>
      <c r="Q2717" t="n">
        <v>0</v>
      </c>
      <c r="R2717" s="2" t="inlineStr"/>
    </row>
    <row r="2718" ht="15" customHeight="1">
      <c r="A2718" t="inlineStr">
        <is>
          <t>A 26813-2025</t>
        </is>
      </c>
      <c r="B2718" s="1" t="n">
        <v>45810.62530092592</v>
      </c>
      <c r="C2718" s="1" t="n">
        <v>46086</v>
      </c>
      <c r="D2718" t="inlineStr">
        <is>
          <t>GÄVLEBORGS LÄN</t>
        </is>
      </c>
      <c r="E2718" t="inlineStr">
        <is>
          <t>HUDIKSVALL</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27881-2025</t>
        </is>
      </c>
      <c r="B2719" s="1" t="n">
        <v>45817</v>
      </c>
      <c r="C2719" s="1" t="n">
        <v>46086</v>
      </c>
      <c r="D2719" t="inlineStr">
        <is>
          <t>GÄVLEBORGS LÄN</t>
        </is>
      </c>
      <c r="E2719" t="inlineStr">
        <is>
          <t>HUDIKSVALL</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2701-2026</t>
        </is>
      </c>
      <c r="B2720" s="1" t="n">
        <v>46037</v>
      </c>
      <c r="C2720" s="1" t="n">
        <v>46086</v>
      </c>
      <c r="D2720" t="inlineStr">
        <is>
          <t>GÄVLEBORGS LÄN</t>
        </is>
      </c>
      <c r="E2720" t="inlineStr">
        <is>
          <t>HUDIKSVALL</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2710-2026</t>
        </is>
      </c>
      <c r="B2721" s="1" t="n">
        <v>46037</v>
      </c>
      <c r="C2721" s="1" t="n">
        <v>46086</v>
      </c>
      <c r="D2721" t="inlineStr">
        <is>
          <t>GÄVLEBORGS LÄN</t>
        </is>
      </c>
      <c r="E2721" t="inlineStr">
        <is>
          <t>NORDANSTIG</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27834-2025</t>
        </is>
      </c>
      <c r="B2722" s="1" t="n">
        <v>45817.36806712963</v>
      </c>
      <c r="C2722" s="1" t="n">
        <v>46086</v>
      </c>
      <c r="D2722" t="inlineStr">
        <is>
          <t>GÄVLEBORGS LÄN</t>
        </is>
      </c>
      <c r="E2722" t="inlineStr">
        <is>
          <t>OVANÅKER</t>
        </is>
      </c>
      <c r="F2722" t="inlineStr">
        <is>
          <t>Bergvik skog väst AB</t>
        </is>
      </c>
      <c r="G2722" t="n">
        <v>6.7</v>
      </c>
      <c r="H2722" t="n">
        <v>0</v>
      </c>
      <c r="I2722" t="n">
        <v>0</v>
      </c>
      <c r="J2722" t="n">
        <v>0</v>
      </c>
      <c r="K2722" t="n">
        <v>0</v>
      </c>
      <c r="L2722" t="n">
        <v>0</v>
      </c>
      <c r="M2722" t="n">
        <v>0</v>
      </c>
      <c r="N2722" t="n">
        <v>0</v>
      </c>
      <c r="O2722" t="n">
        <v>0</v>
      </c>
      <c r="P2722" t="n">
        <v>0</v>
      </c>
      <c r="Q2722" t="n">
        <v>0</v>
      </c>
      <c r="R2722" s="2" t="inlineStr"/>
    </row>
    <row r="2723" ht="15" customHeight="1">
      <c r="A2723" t="inlineStr">
        <is>
          <t>A 71442-2021</t>
        </is>
      </c>
      <c r="B2723" s="1" t="n">
        <v>44540.45574074074</v>
      </c>
      <c r="C2723" s="1" t="n">
        <v>46086</v>
      </c>
      <c r="D2723" t="inlineStr">
        <is>
          <t>GÄVLEBORGS LÄN</t>
        </is>
      </c>
      <c r="E2723" t="inlineStr">
        <is>
          <t>NORDANSTIG</t>
        </is>
      </c>
      <c r="F2723" t="inlineStr">
        <is>
          <t>Holmen skog AB</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28468-2025</t>
        </is>
      </c>
      <c r="B2724" s="1" t="n">
        <v>45819.42824074074</v>
      </c>
      <c r="C2724" s="1" t="n">
        <v>46086</v>
      </c>
      <c r="D2724" t="inlineStr">
        <is>
          <t>GÄVLEBORGS LÄN</t>
        </is>
      </c>
      <c r="E2724" t="inlineStr">
        <is>
          <t>SANDVIKEN</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28475-2025</t>
        </is>
      </c>
      <c r="B2725" s="1" t="n">
        <v>45819.44251157407</v>
      </c>
      <c r="C2725" s="1" t="n">
        <v>46086</v>
      </c>
      <c r="D2725" t="inlineStr">
        <is>
          <t>GÄVLEBORGS LÄN</t>
        </is>
      </c>
      <c r="E2725" t="inlineStr">
        <is>
          <t>HUDIKSVALL</t>
        </is>
      </c>
      <c r="F2725" t="inlineStr">
        <is>
          <t>Holmen skog AB</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28477-2025</t>
        </is>
      </c>
      <c r="B2726" s="1" t="n">
        <v>45819.44628472222</v>
      </c>
      <c r="C2726" s="1" t="n">
        <v>46086</v>
      </c>
      <c r="D2726" t="inlineStr">
        <is>
          <t>GÄVLEBORGS LÄN</t>
        </is>
      </c>
      <c r="E2726" t="inlineStr">
        <is>
          <t>BOLLNÄS</t>
        </is>
      </c>
      <c r="F2726" t="inlineStr">
        <is>
          <t>Bergvik skog väst AB</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40073-2024</t>
        </is>
      </c>
      <c r="B2727" s="1" t="n">
        <v>45554</v>
      </c>
      <c r="C2727" s="1" t="n">
        <v>46086</v>
      </c>
      <c r="D2727" t="inlineStr">
        <is>
          <t>GÄVLEBORGS LÄN</t>
        </is>
      </c>
      <c r="E2727" t="inlineStr">
        <is>
          <t>HUDIKSVALL</t>
        </is>
      </c>
      <c r="F2727" t="inlineStr">
        <is>
          <t>Naturvårdsverket</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40078-2024</t>
        </is>
      </c>
      <c r="B2728" s="1" t="n">
        <v>45554.34570601852</v>
      </c>
      <c r="C2728" s="1" t="n">
        <v>46086</v>
      </c>
      <c r="D2728" t="inlineStr">
        <is>
          <t>GÄVLEBORGS LÄN</t>
        </is>
      </c>
      <c r="E2728" t="inlineStr">
        <is>
          <t>NORDANSTIG</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28172-2025</t>
        </is>
      </c>
      <c r="B2729" s="1" t="n">
        <v>45818.38121527778</v>
      </c>
      <c r="C2729" s="1" t="n">
        <v>46086</v>
      </c>
      <c r="D2729" t="inlineStr">
        <is>
          <t>GÄVLEBORGS LÄN</t>
        </is>
      </c>
      <c r="E2729" t="inlineStr">
        <is>
          <t>GÄVLE</t>
        </is>
      </c>
      <c r="G2729" t="n">
        <v>9.5</v>
      </c>
      <c r="H2729" t="n">
        <v>0</v>
      </c>
      <c r="I2729" t="n">
        <v>0</v>
      </c>
      <c r="J2729" t="n">
        <v>0</v>
      </c>
      <c r="K2729" t="n">
        <v>0</v>
      </c>
      <c r="L2729" t="n">
        <v>0</v>
      </c>
      <c r="M2729" t="n">
        <v>0</v>
      </c>
      <c r="N2729" t="n">
        <v>0</v>
      </c>
      <c r="O2729" t="n">
        <v>0</v>
      </c>
      <c r="P2729" t="n">
        <v>0</v>
      </c>
      <c r="Q2729" t="n">
        <v>0</v>
      </c>
      <c r="R2729" s="2" t="inlineStr"/>
    </row>
    <row r="2730" ht="15" customHeight="1">
      <c r="A2730" t="inlineStr">
        <is>
          <t>A 8702-2026</t>
        </is>
      </c>
      <c r="B2730" s="1" t="n">
        <v>46066</v>
      </c>
      <c r="C2730" s="1" t="n">
        <v>46086</v>
      </c>
      <c r="D2730" t="inlineStr">
        <is>
          <t>GÄVLEBORGS LÄN</t>
        </is>
      </c>
      <c r="E2730" t="inlineStr">
        <is>
          <t>BOLLNÄS</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9428-2026</t>
        </is>
      </c>
      <c r="B2731" s="1" t="n">
        <v>46071</v>
      </c>
      <c r="C2731" s="1" t="n">
        <v>46086</v>
      </c>
      <c r="D2731" t="inlineStr">
        <is>
          <t>GÄVLEBORGS LÄN</t>
        </is>
      </c>
      <c r="E2731" t="inlineStr">
        <is>
          <t>BOLLNÄS</t>
        </is>
      </c>
      <c r="F2731" t="inlineStr">
        <is>
          <t>Bergvik skog väst AB</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5086-2026</t>
        </is>
      </c>
      <c r="B2732" s="1" t="n">
        <v>46049</v>
      </c>
      <c r="C2732" s="1" t="n">
        <v>46086</v>
      </c>
      <c r="D2732" t="inlineStr">
        <is>
          <t>GÄVLEBORGS LÄN</t>
        </is>
      </c>
      <c r="E2732" t="inlineStr">
        <is>
          <t>BOLLNÄS</t>
        </is>
      </c>
      <c r="F2732" t="inlineStr">
        <is>
          <t>Bergvik skog väst AB</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5087-2026</t>
        </is>
      </c>
      <c r="B2733" s="1" t="n">
        <v>46049</v>
      </c>
      <c r="C2733" s="1" t="n">
        <v>46086</v>
      </c>
      <c r="D2733" t="inlineStr">
        <is>
          <t>GÄVLEBORGS LÄN</t>
        </is>
      </c>
      <c r="E2733" t="inlineStr">
        <is>
          <t>OVANÅKER</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19768-2025</t>
        </is>
      </c>
      <c r="B2734" s="1" t="n">
        <v>45771.40961805556</v>
      </c>
      <c r="C2734" s="1" t="n">
        <v>46086</v>
      </c>
      <c r="D2734" t="inlineStr">
        <is>
          <t>GÄVLEBORGS LÄN</t>
        </is>
      </c>
      <c r="E2734" t="inlineStr">
        <is>
          <t>HUDIKSVALL</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19789-2025</t>
        </is>
      </c>
      <c r="B2735" s="1" t="n">
        <v>45771.44474537037</v>
      </c>
      <c r="C2735" s="1" t="n">
        <v>46086</v>
      </c>
      <c r="D2735" t="inlineStr">
        <is>
          <t>GÄVLEBORGS LÄN</t>
        </is>
      </c>
      <c r="E2735" t="inlineStr">
        <is>
          <t>SÖDERHAMN</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10760-2026</t>
        </is>
      </c>
      <c r="B2736" s="1" t="n">
        <v>46078.55938657407</v>
      </c>
      <c r="C2736" s="1" t="n">
        <v>46086</v>
      </c>
      <c r="D2736" t="inlineStr">
        <is>
          <t>GÄVLEBORGS LÄN</t>
        </is>
      </c>
      <c r="E2736" t="inlineStr">
        <is>
          <t>OVANÅKER</t>
        </is>
      </c>
      <c r="G2736" t="n">
        <v>10.7</v>
      </c>
      <c r="H2736" t="n">
        <v>0</v>
      </c>
      <c r="I2736" t="n">
        <v>0</v>
      </c>
      <c r="J2736" t="n">
        <v>0</v>
      </c>
      <c r="K2736" t="n">
        <v>0</v>
      </c>
      <c r="L2736" t="n">
        <v>0</v>
      </c>
      <c r="M2736" t="n">
        <v>0</v>
      </c>
      <c r="N2736" t="n">
        <v>0</v>
      </c>
      <c r="O2736" t="n">
        <v>0</v>
      </c>
      <c r="P2736" t="n">
        <v>0</v>
      </c>
      <c r="Q2736" t="n">
        <v>0</v>
      </c>
      <c r="R2736" s="2" t="inlineStr"/>
    </row>
    <row r="2737" ht="15" customHeight="1">
      <c r="A2737" t="inlineStr">
        <is>
          <t>A 10834-2026</t>
        </is>
      </c>
      <c r="B2737" s="1" t="n">
        <v>46078.63019675926</v>
      </c>
      <c r="C2737" s="1" t="n">
        <v>46086</v>
      </c>
      <c r="D2737" t="inlineStr">
        <is>
          <t>GÄVLEBORGS LÄN</t>
        </is>
      </c>
      <c r="E2737" t="inlineStr">
        <is>
          <t>BOLLNÄS</t>
        </is>
      </c>
      <c r="G2737" t="n">
        <v>4.7</v>
      </c>
      <c r="H2737" t="n">
        <v>0</v>
      </c>
      <c r="I2737" t="n">
        <v>0</v>
      </c>
      <c r="J2737" t="n">
        <v>0</v>
      </c>
      <c r="K2737" t="n">
        <v>0</v>
      </c>
      <c r="L2737" t="n">
        <v>0</v>
      </c>
      <c r="M2737" t="n">
        <v>0</v>
      </c>
      <c r="N2737" t="n">
        <v>0</v>
      </c>
      <c r="O2737" t="n">
        <v>0</v>
      </c>
      <c r="P2737" t="n">
        <v>0</v>
      </c>
      <c r="Q2737" t="n">
        <v>0</v>
      </c>
      <c r="R2737" s="2" t="inlineStr"/>
    </row>
    <row r="2738" ht="15" customHeight="1">
      <c r="A2738" t="inlineStr">
        <is>
          <t>A 10839-2026</t>
        </is>
      </c>
      <c r="B2738" s="1" t="n">
        <v>46078.63657407407</v>
      </c>
      <c r="C2738" s="1" t="n">
        <v>46086</v>
      </c>
      <c r="D2738" t="inlineStr">
        <is>
          <t>GÄVLEBORGS LÄN</t>
        </is>
      </c>
      <c r="E2738" t="inlineStr">
        <is>
          <t>HUDIKSVALL</t>
        </is>
      </c>
      <c r="F2738" t="inlineStr">
        <is>
          <t>Holmen skog AB</t>
        </is>
      </c>
      <c r="G2738" t="n">
        <v>5.4</v>
      </c>
      <c r="H2738" t="n">
        <v>0</v>
      </c>
      <c r="I2738" t="n">
        <v>0</v>
      </c>
      <c r="J2738" t="n">
        <v>0</v>
      </c>
      <c r="K2738" t="n">
        <v>0</v>
      </c>
      <c r="L2738" t="n">
        <v>0</v>
      </c>
      <c r="M2738" t="n">
        <v>0</v>
      </c>
      <c r="N2738" t="n">
        <v>0</v>
      </c>
      <c r="O2738" t="n">
        <v>0</v>
      </c>
      <c r="P2738" t="n">
        <v>0</v>
      </c>
      <c r="Q2738" t="n">
        <v>0</v>
      </c>
      <c r="R2738" s="2" t="inlineStr"/>
    </row>
    <row r="2739" ht="15" customHeight="1">
      <c r="A2739" t="inlineStr">
        <is>
          <t>A 10847-2026</t>
        </is>
      </c>
      <c r="B2739" s="1" t="n">
        <v>46078.6478125</v>
      </c>
      <c r="C2739" s="1" t="n">
        <v>46086</v>
      </c>
      <c r="D2739" t="inlineStr">
        <is>
          <t>GÄVLEBORGS LÄN</t>
        </is>
      </c>
      <c r="E2739" t="inlineStr">
        <is>
          <t>OCKELBO</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2227-2026</t>
        </is>
      </c>
      <c r="B2740" s="1" t="n">
        <v>46036.5197800926</v>
      </c>
      <c r="C2740" s="1" t="n">
        <v>46086</v>
      </c>
      <c r="D2740" t="inlineStr">
        <is>
          <t>GÄVLEBORGS LÄN</t>
        </is>
      </c>
      <c r="E2740" t="inlineStr">
        <is>
          <t>SÖDERHAMN</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8251-2026</t>
        </is>
      </c>
      <c r="B2741" s="1" t="n">
        <v>46064</v>
      </c>
      <c r="C2741" s="1" t="n">
        <v>46086</v>
      </c>
      <c r="D2741" t="inlineStr">
        <is>
          <t>GÄVLEBORGS LÄN</t>
        </is>
      </c>
      <c r="E2741" t="inlineStr">
        <is>
          <t>HUDIKSVALL</t>
        </is>
      </c>
      <c r="F2741" t="inlineStr">
        <is>
          <t>Sveaskog</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8289-2026</t>
        </is>
      </c>
      <c r="B2742" s="1" t="n">
        <v>46064</v>
      </c>
      <c r="C2742" s="1" t="n">
        <v>46086</v>
      </c>
      <c r="D2742" t="inlineStr">
        <is>
          <t>GÄVLEBORGS LÄN</t>
        </is>
      </c>
      <c r="E2742" t="inlineStr">
        <is>
          <t>OVANÅKER</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10135-2026</t>
        </is>
      </c>
      <c r="B2743" s="1" t="n">
        <v>46076</v>
      </c>
      <c r="C2743" s="1" t="n">
        <v>46086</v>
      </c>
      <c r="D2743" t="inlineStr">
        <is>
          <t>GÄVLEBORGS LÄN</t>
        </is>
      </c>
      <c r="E2743" t="inlineStr">
        <is>
          <t>SÖDERHAMN</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28003-2025</t>
        </is>
      </c>
      <c r="B2744" s="1" t="n">
        <v>45817.59530092592</v>
      </c>
      <c r="C2744" s="1" t="n">
        <v>46086</v>
      </c>
      <c r="D2744" t="inlineStr">
        <is>
          <t>GÄVLEBORGS LÄN</t>
        </is>
      </c>
      <c r="E2744" t="inlineStr">
        <is>
          <t>SÖDERHAMN</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47974-2024</t>
        </is>
      </c>
      <c r="B2745" s="1" t="n">
        <v>45589.3999537037</v>
      </c>
      <c r="C2745" s="1" t="n">
        <v>46086</v>
      </c>
      <c r="D2745" t="inlineStr">
        <is>
          <t>GÄVLEBORGS LÄN</t>
        </is>
      </c>
      <c r="E2745" t="inlineStr">
        <is>
          <t>SANDVIKEN</t>
        </is>
      </c>
      <c r="F2745" t="inlineStr">
        <is>
          <t>Bergvik skog väst AB</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28532-2025</t>
        </is>
      </c>
      <c r="B2746" s="1" t="n">
        <v>45819.50333333333</v>
      </c>
      <c r="C2746" s="1" t="n">
        <v>46086</v>
      </c>
      <c r="D2746" t="inlineStr">
        <is>
          <t>GÄVLEBORGS LÄN</t>
        </is>
      </c>
      <c r="E2746" t="inlineStr">
        <is>
          <t>OVANÅKER</t>
        </is>
      </c>
      <c r="F2746" t="inlineStr">
        <is>
          <t>Bergvik skog väst AB</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57679-2022</t>
        </is>
      </c>
      <c r="B2747" s="1" t="n">
        <v>44897.46665509259</v>
      </c>
      <c r="C2747" s="1" t="n">
        <v>46086</v>
      </c>
      <c r="D2747" t="inlineStr">
        <is>
          <t>GÄVLEBORGS LÄN</t>
        </is>
      </c>
      <c r="E2747" t="inlineStr">
        <is>
          <t>HUDIKSVALL</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6095-2024</t>
        </is>
      </c>
      <c r="B2748" s="1" t="n">
        <v>45337</v>
      </c>
      <c r="C2748" s="1" t="n">
        <v>46086</v>
      </c>
      <c r="D2748" t="inlineStr">
        <is>
          <t>GÄVLEBORGS LÄN</t>
        </is>
      </c>
      <c r="E2748" t="inlineStr">
        <is>
          <t>HUDIKSVALL</t>
        </is>
      </c>
      <c r="F2748" t="inlineStr">
        <is>
          <t>Holmen skog AB</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28596-2025</t>
        </is>
      </c>
      <c r="B2749" s="1" t="n">
        <v>45819.59603009259</v>
      </c>
      <c r="C2749" s="1" t="n">
        <v>46086</v>
      </c>
      <c r="D2749" t="inlineStr">
        <is>
          <t>GÄVLEBORGS LÄN</t>
        </is>
      </c>
      <c r="E2749" t="inlineStr">
        <is>
          <t>GÄVLE</t>
        </is>
      </c>
      <c r="F2749" t="inlineStr">
        <is>
          <t>Bergvik skog väst AB</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28600-2025</t>
        </is>
      </c>
      <c r="B2750" s="1" t="n">
        <v>45819.59787037037</v>
      </c>
      <c r="C2750" s="1" t="n">
        <v>46086</v>
      </c>
      <c r="D2750" t="inlineStr">
        <is>
          <t>GÄVLEBORGS LÄN</t>
        </is>
      </c>
      <c r="E2750" t="inlineStr">
        <is>
          <t>OVANÅKER</t>
        </is>
      </c>
      <c r="F2750" t="inlineStr">
        <is>
          <t>Bergvik skog väst AB</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10958-2026</t>
        </is>
      </c>
      <c r="B2751" s="1" t="n">
        <v>46079.40888888889</v>
      </c>
      <c r="C2751" s="1" t="n">
        <v>46086</v>
      </c>
      <c r="D2751" t="inlineStr">
        <is>
          <t>GÄVLEBORGS LÄN</t>
        </is>
      </c>
      <c r="E2751" t="inlineStr">
        <is>
          <t>OVANÅKER</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2106-2026</t>
        </is>
      </c>
      <c r="B2752" s="1" t="n">
        <v>46036.37615740741</v>
      </c>
      <c r="C2752" s="1" t="n">
        <v>46086</v>
      </c>
      <c r="D2752" t="inlineStr">
        <is>
          <t>GÄVLEBORGS LÄN</t>
        </is>
      </c>
      <c r="E2752" t="inlineStr">
        <is>
          <t>OCKELBO</t>
        </is>
      </c>
      <c r="G2752" t="n">
        <v>5.9</v>
      </c>
      <c r="H2752" t="n">
        <v>0</v>
      </c>
      <c r="I2752" t="n">
        <v>0</v>
      </c>
      <c r="J2752" t="n">
        <v>0</v>
      </c>
      <c r="K2752" t="n">
        <v>0</v>
      </c>
      <c r="L2752" t="n">
        <v>0</v>
      </c>
      <c r="M2752" t="n">
        <v>0</v>
      </c>
      <c r="N2752" t="n">
        <v>0</v>
      </c>
      <c r="O2752" t="n">
        <v>0</v>
      </c>
      <c r="P2752" t="n">
        <v>0</v>
      </c>
      <c r="Q2752" t="n">
        <v>0</v>
      </c>
      <c r="R2752" s="2" t="inlineStr"/>
    </row>
    <row r="2753" ht="15" customHeight="1">
      <c r="A2753" t="inlineStr">
        <is>
          <t>A 28163-2025</t>
        </is>
      </c>
      <c r="B2753" s="1" t="n">
        <v>45818.37123842593</v>
      </c>
      <c r="C2753" s="1" t="n">
        <v>46086</v>
      </c>
      <c r="D2753" t="inlineStr">
        <is>
          <t>GÄVLEBORGS LÄN</t>
        </is>
      </c>
      <c r="E2753" t="inlineStr">
        <is>
          <t>HUDIKSVALL</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2126-2026</t>
        </is>
      </c>
      <c r="B2754" s="1" t="n">
        <v>46036.38805555556</v>
      </c>
      <c r="C2754" s="1" t="n">
        <v>46086</v>
      </c>
      <c r="D2754" t="inlineStr">
        <is>
          <t>GÄVLEBORGS LÄN</t>
        </is>
      </c>
      <c r="E2754" t="inlineStr">
        <is>
          <t>SANDVIKEN</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24088-2021</t>
        </is>
      </c>
      <c r="B2755" s="1" t="n">
        <v>44336</v>
      </c>
      <c r="C2755" s="1" t="n">
        <v>46086</v>
      </c>
      <c r="D2755" t="inlineStr">
        <is>
          <t>GÄVLEBORGS LÄN</t>
        </is>
      </c>
      <c r="E2755" t="inlineStr">
        <is>
          <t>SANDVIKEN</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28429-2025</t>
        </is>
      </c>
      <c r="B2756" s="1" t="n">
        <v>45819.37796296296</v>
      </c>
      <c r="C2756" s="1" t="n">
        <v>46086</v>
      </c>
      <c r="D2756" t="inlineStr">
        <is>
          <t>GÄVLEBORGS LÄN</t>
        </is>
      </c>
      <c r="E2756" t="inlineStr">
        <is>
          <t>BOLLNÄS</t>
        </is>
      </c>
      <c r="F2756" t="inlineStr">
        <is>
          <t>Bergvik skog väst AB</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37680-2022</t>
        </is>
      </c>
      <c r="B2757" s="1" t="n">
        <v>44810</v>
      </c>
      <c r="C2757" s="1" t="n">
        <v>46086</v>
      </c>
      <c r="D2757" t="inlineStr">
        <is>
          <t>GÄVLEBORGS LÄN</t>
        </is>
      </c>
      <c r="E2757" t="inlineStr">
        <is>
          <t>HOFORS</t>
        </is>
      </c>
      <c r="G2757" t="n">
        <v>6.6</v>
      </c>
      <c r="H2757" t="n">
        <v>0</v>
      </c>
      <c r="I2757" t="n">
        <v>0</v>
      </c>
      <c r="J2757" t="n">
        <v>0</v>
      </c>
      <c r="K2757" t="n">
        <v>0</v>
      </c>
      <c r="L2757" t="n">
        <v>0</v>
      </c>
      <c r="M2757" t="n">
        <v>0</v>
      </c>
      <c r="N2757" t="n">
        <v>0</v>
      </c>
      <c r="O2757" t="n">
        <v>0</v>
      </c>
      <c r="P2757" t="n">
        <v>0</v>
      </c>
      <c r="Q2757" t="n">
        <v>0</v>
      </c>
      <c r="R2757" s="2" t="inlineStr"/>
    </row>
    <row r="2758" ht="15" customHeight="1">
      <c r="A2758" t="inlineStr">
        <is>
          <t>A 28481-2025</t>
        </is>
      </c>
      <c r="B2758" s="1" t="n">
        <v>45819.4528125</v>
      </c>
      <c r="C2758" s="1" t="n">
        <v>46086</v>
      </c>
      <c r="D2758" t="inlineStr">
        <is>
          <t>GÄVLEBORGS LÄN</t>
        </is>
      </c>
      <c r="E2758" t="inlineStr">
        <is>
          <t>GÄVLE</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28295-2025</t>
        </is>
      </c>
      <c r="B2759" s="1" t="n">
        <v>45818.59716435185</v>
      </c>
      <c r="C2759" s="1" t="n">
        <v>46086</v>
      </c>
      <c r="D2759" t="inlineStr">
        <is>
          <t>GÄVLEBORGS LÄN</t>
        </is>
      </c>
      <c r="E2759" t="inlineStr">
        <is>
          <t>SANDVIKEN</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38550-2025</t>
        </is>
      </c>
      <c r="B2760" s="1" t="n">
        <v>45884.43910879629</v>
      </c>
      <c r="C2760" s="1" t="n">
        <v>46086</v>
      </c>
      <c r="D2760" t="inlineStr">
        <is>
          <t>GÄVLEBORGS LÄN</t>
        </is>
      </c>
      <c r="E2760" t="inlineStr">
        <is>
          <t>GÄVLE</t>
        </is>
      </c>
      <c r="F2760" t="inlineStr">
        <is>
          <t>Bergvik skog öst AB</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38758-2025</t>
        </is>
      </c>
      <c r="B2761" s="1" t="n">
        <v>45887.39670138889</v>
      </c>
      <c r="C2761" s="1" t="n">
        <v>46086</v>
      </c>
      <c r="D2761" t="inlineStr">
        <is>
          <t>GÄVLEBORGS LÄN</t>
        </is>
      </c>
      <c r="E2761" t="inlineStr">
        <is>
          <t>LJUSDAL</t>
        </is>
      </c>
      <c r="G2761" t="n">
        <v>4.4</v>
      </c>
      <c r="H2761" t="n">
        <v>0</v>
      </c>
      <c r="I2761" t="n">
        <v>0</v>
      </c>
      <c r="J2761" t="n">
        <v>0</v>
      </c>
      <c r="K2761" t="n">
        <v>0</v>
      </c>
      <c r="L2761" t="n">
        <v>0</v>
      </c>
      <c r="M2761" t="n">
        <v>0</v>
      </c>
      <c r="N2761" t="n">
        <v>0</v>
      </c>
      <c r="O2761" t="n">
        <v>0</v>
      </c>
      <c r="P2761" t="n">
        <v>0</v>
      </c>
      <c r="Q2761" t="n">
        <v>0</v>
      </c>
      <c r="R2761" s="2" t="inlineStr"/>
    </row>
    <row r="2762" ht="15" customHeight="1">
      <c r="A2762" t="inlineStr">
        <is>
          <t>A 28333-2025</t>
        </is>
      </c>
      <c r="B2762" s="1" t="n">
        <v>45818.66342592592</v>
      </c>
      <c r="C2762" s="1" t="n">
        <v>46086</v>
      </c>
      <c r="D2762" t="inlineStr">
        <is>
          <t>GÄVLEBORGS LÄN</t>
        </is>
      </c>
      <c r="E2762" t="inlineStr">
        <is>
          <t>BOLLNÄS</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28338-2025</t>
        </is>
      </c>
      <c r="B2763" s="1" t="n">
        <v>45818.66855324074</v>
      </c>
      <c r="C2763" s="1" t="n">
        <v>46086</v>
      </c>
      <c r="D2763" t="inlineStr">
        <is>
          <t>GÄVLEBORGS LÄN</t>
        </is>
      </c>
      <c r="E2763" t="inlineStr">
        <is>
          <t>BOLLNÄS</t>
        </is>
      </c>
      <c r="G2763" t="n">
        <v>4.7</v>
      </c>
      <c r="H2763" t="n">
        <v>0</v>
      </c>
      <c r="I2763" t="n">
        <v>0</v>
      </c>
      <c r="J2763" t="n">
        <v>0</v>
      </c>
      <c r="K2763" t="n">
        <v>0</v>
      </c>
      <c r="L2763" t="n">
        <v>0</v>
      </c>
      <c r="M2763" t="n">
        <v>0</v>
      </c>
      <c r="N2763" t="n">
        <v>0</v>
      </c>
      <c r="O2763" t="n">
        <v>0</v>
      </c>
      <c r="P2763" t="n">
        <v>0</v>
      </c>
      <c r="Q2763" t="n">
        <v>0</v>
      </c>
      <c r="R2763" s="2" t="inlineStr"/>
    </row>
    <row r="2764" ht="15" customHeight="1">
      <c r="A2764" t="inlineStr">
        <is>
          <t>A 28593-2025</t>
        </is>
      </c>
      <c r="B2764" s="1" t="n">
        <v>45819.59232638889</v>
      </c>
      <c r="C2764" s="1" t="n">
        <v>46086</v>
      </c>
      <c r="D2764" t="inlineStr">
        <is>
          <t>GÄVLEBORGS LÄN</t>
        </is>
      </c>
      <c r="E2764" t="inlineStr">
        <is>
          <t>OVANÅKER</t>
        </is>
      </c>
      <c r="F2764" t="inlineStr">
        <is>
          <t>Bergvik skog väst AB</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28648-2025</t>
        </is>
      </c>
      <c r="B2765" s="1" t="n">
        <v>45819.64917824074</v>
      </c>
      <c r="C2765" s="1" t="n">
        <v>46086</v>
      </c>
      <c r="D2765" t="inlineStr">
        <is>
          <t>GÄVLEBORGS LÄN</t>
        </is>
      </c>
      <c r="E2765" t="inlineStr">
        <is>
          <t>LJUSDAL</t>
        </is>
      </c>
      <c r="F2765" t="inlineStr">
        <is>
          <t>Sveaskog</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38516-2025</t>
        </is>
      </c>
      <c r="B2766" s="1" t="n">
        <v>45884.3945949074</v>
      </c>
      <c r="C2766" s="1" t="n">
        <v>46086</v>
      </c>
      <c r="D2766" t="inlineStr">
        <is>
          <t>GÄVLEBORGS LÄN</t>
        </is>
      </c>
      <c r="E2766" t="inlineStr">
        <is>
          <t>GÄVLE</t>
        </is>
      </c>
      <c r="F2766" t="inlineStr">
        <is>
          <t>Bergvik skog öst AB</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10521-2025</t>
        </is>
      </c>
      <c r="B2767" s="1" t="n">
        <v>45721.42797453704</v>
      </c>
      <c r="C2767" s="1" t="n">
        <v>46086</v>
      </c>
      <c r="D2767" t="inlineStr">
        <is>
          <t>GÄVLEBORGS LÄN</t>
        </is>
      </c>
      <c r="E2767" t="inlineStr">
        <is>
          <t>LJUSDAL</t>
        </is>
      </c>
      <c r="F2767" t="inlineStr">
        <is>
          <t>SCA</t>
        </is>
      </c>
      <c r="G2767" t="n">
        <v>14.5</v>
      </c>
      <c r="H2767" t="n">
        <v>0</v>
      </c>
      <c r="I2767" t="n">
        <v>0</v>
      </c>
      <c r="J2767" t="n">
        <v>0</v>
      </c>
      <c r="K2767" t="n">
        <v>0</v>
      </c>
      <c r="L2767" t="n">
        <v>0</v>
      </c>
      <c r="M2767" t="n">
        <v>0</v>
      </c>
      <c r="N2767" t="n">
        <v>0</v>
      </c>
      <c r="O2767" t="n">
        <v>0</v>
      </c>
      <c r="P2767" t="n">
        <v>0</v>
      </c>
      <c r="Q2767" t="n">
        <v>0</v>
      </c>
      <c r="R2767" s="2" t="inlineStr"/>
    </row>
    <row r="2768" ht="15" customHeight="1">
      <c r="A2768" t="inlineStr">
        <is>
          <t>A 10537-2025</t>
        </is>
      </c>
      <c r="B2768" s="1" t="n">
        <v>45721</v>
      </c>
      <c r="C2768" s="1" t="n">
        <v>46086</v>
      </c>
      <c r="D2768" t="inlineStr">
        <is>
          <t>GÄVLEBORGS LÄN</t>
        </is>
      </c>
      <c r="E2768" t="inlineStr">
        <is>
          <t>HUDIKSVALL</t>
        </is>
      </c>
      <c r="F2768" t="inlineStr">
        <is>
          <t>Holmen skog AB</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28520-2025</t>
        </is>
      </c>
      <c r="B2769" s="1" t="n">
        <v>45819.48962962963</v>
      </c>
      <c r="C2769" s="1" t="n">
        <v>46086</v>
      </c>
      <c r="D2769" t="inlineStr">
        <is>
          <t>GÄVLEBORGS LÄN</t>
        </is>
      </c>
      <c r="E2769" t="inlineStr">
        <is>
          <t>BOLLNÄS</t>
        </is>
      </c>
      <c r="F2769" t="inlineStr">
        <is>
          <t>Bergvik skog väst AB</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2250-2026</t>
        </is>
      </c>
      <c r="B2770" s="1" t="n">
        <v>46036.55289351852</v>
      </c>
      <c r="C2770" s="1" t="n">
        <v>46086</v>
      </c>
      <c r="D2770" t="inlineStr">
        <is>
          <t>GÄVLEBORGS LÄN</t>
        </is>
      </c>
      <c r="E2770" t="inlineStr">
        <is>
          <t>SANDVIKEN</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10928-2026</t>
        </is>
      </c>
      <c r="B2771" s="1" t="n">
        <v>46079.34993055555</v>
      </c>
      <c r="C2771" s="1" t="n">
        <v>46086</v>
      </c>
      <c r="D2771" t="inlineStr">
        <is>
          <t>GÄVLEBORGS LÄN</t>
        </is>
      </c>
      <c r="E2771" t="inlineStr">
        <is>
          <t>NORDANSTIG</t>
        </is>
      </c>
      <c r="F2771" t="inlineStr">
        <is>
          <t>Holmen skog AB</t>
        </is>
      </c>
      <c r="G2771" t="n">
        <v>5.2</v>
      </c>
      <c r="H2771" t="n">
        <v>0</v>
      </c>
      <c r="I2771" t="n">
        <v>0</v>
      </c>
      <c r="J2771" t="n">
        <v>0</v>
      </c>
      <c r="K2771" t="n">
        <v>0</v>
      </c>
      <c r="L2771" t="n">
        <v>0</v>
      </c>
      <c r="M2771" t="n">
        <v>0</v>
      </c>
      <c r="N2771" t="n">
        <v>0</v>
      </c>
      <c r="O2771" t="n">
        <v>0</v>
      </c>
      <c r="P2771" t="n">
        <v>0</v>
      </c>
      <c r="Q2771" t="n">
        <v>0</v>
      </c>
      <c r="R2771" s="2" t="inlineStr"/>
    </row>
    <row r="2772" ht="15" customHeight="1">
      <c r="A2772" t="inlineStr">
        <is>
          <t>A 10931-2026</t>
        </is>
      </c>
      <c r="B2772" s="1" t="n">
        <v>46079.35321759259</v>
      </c>
      <c r="C2772" s="1" t="n">
        <v>46086</v>
      </c>
      <c r="D2772" t="inlineStr">
        <is>
          <t>GÄVLEBORGS LÄN</t>
        </is>
      </c>
      <c r="E2772" t="inlineStr">
        <is>
          <t>OVANÅKER</t>
        </is>
      </c>
      <c r="G2772" t="n">
        <v>4.4</v>
      </c>
      <c r="H2772" t="n">
        <v>0</v>
      </c>
      <c r="I2772" t="n">
        <v>0</v>
      </c>
      <c r="J2772" t="n">
        <v>0</v>
      </c>
      <c r="K2772" t="n">
        <v>0</v>
      </c>
      <c r="L2772" t="n">
        <v>0</v>
      </c>
      <c r="M2772" t="n">
        <v>0</v>
      </c>
      <c r="N2772" t="n">
        <v>0</v>
      </c>
      <c r="O2772" t="n">
        <v>0</v>
      </c>
      <c r="P2772" t="n">
        <v>0</v>
      </c>
      <c r="Q2772" t="n">
        <v>0</v>
      </c>
      <c r="R2772" s="2" t="inlineStr"/>
    </row>
    <row r="2773" ht="15" customHeight="1">
      <c r="A2773" t="inlineStr">
        <is>
          <t>A 2448-2026</t>
        </is>
      </c>
      <c r="B2773" s="1" t="n">
        <v>46037.32998842592</v>
      </c>
      <c r="C2773" s="1" t="n">
        <v>46086</v>
      </c>
      <c r="D2773" t="inlineStr">
        <is>
          <t>GÄVLEBORGS LÄN</t>
        </is>
      </c>
      <c r="E2773" t="inlineStr">
        <is>
          <t>HUDIKSVALL</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2458-2026</t>
        </is>
      </c>
      <c r="B2774" s="1" t="n">
        <v>46037.34831018518</v>
      </c>
      <c r="C2774" s="1" t="n">
        <v>46086</v>
      </c>
      <c r="D2774" t="inlineStr">
        <is>
          <t>GÄVLEBORGS LÄN</t>
        </is>
      </c>
      <c r="E2774" t="inlineStr">
        <is>
          <t>BOLLNÄS</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38523-2025</t>
        </is>
      </c>
      <c r="B2775" s="1" t="n">
        <v>45884.40300925926</v>
      </c>
      <c r="C2775" s="1" t="n">
        <v>46086</v>
      </c>
      <c r="D2775" t="inlineStr">
        <is>
          <t>GÄVLEBORGS LÄN</t>
        </is>
      </c>
      <c r="E2775" t="inlineStr">
        <is>
          <t>GÄVLE</t>
        </is>
      </c>
      <c r="F2775" t="inlineStr">
        <is>
          <t>Bergvik skog öst AB</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58611-2023</t>
        </is>
      </c>
      <c r="B2776" s="1" t="n">
        <v>45251.50232638889</v>
      </c>
      <c r="C2776" s="1" t="n">
        <v>46086</v>
      </c>
      <c r="D2776" t="inlineStr">
        <is>
          <t>GÄVLEBORGS LÄN</t>
        </is>
      </c>
      <c r="E2776" t="inlineStr">
        <is>
          <t>SÖDERHAMN</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2623-2026</t>
        </is>
      </c>
      <c r="B2777" s="1" t="n">
        <v>46037.59770833333</v>
      </c>
      <c r="C2777" s="1" t="n">
        <v>46086</v>
      </c>
      <c r="D2777" t="inlineStr">
        <is>
          <t>GÄVLEBORGS LÄN</t>
        </is>
      </c>
      <c r="E2777" t="inlineStr">
        <is>
          <t>BOLLNÄS</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2646-2026</t>
        </is>
      </c>
      <c r="B2778" s="1" t="n">
        <v>46037</v>
      </c>
      <c r="C2778" s="1" t="n">
        <v>46086</v>
      </c>
      <c r="D2778" t="inlineStr">
        <is>
          <t>GÄVLEBORGS LÄN</t>
        </is>
      </c>
      <c r="E2778" t="inlineStr">
        <is>
          <t>OVANÅKER</t>
        </is>
      </c>
      <c r="G2778" t="n">
        <v>8.6</v>
      </c>
      <c r="H2778" t="n">
        <v>0</v>
      </c>
      <c r="I2778" t="n">
        <v>0</v>
      </c>
      <c r="J2778" t="n">
        <v>0</v>
      </c>
      <c r="K2778" t="n">
        <v>0</v>
      </c>
      <c r="L2778" t="n">
        <v>0</v>
      </c>
      <c r="M2778" t="n">
        <v>0</v>
      </c>
      <c r="N2778" t="n">
        <v>0</v>
      </c>
      <c r="O2778" t="n">
        <v>0</v>
      </c>
      <c r="P2778" t="n">
        <v>0</v>
      </c>
      <c r="Q2778" t="n">
        <v>0</v>
      </c>
      <c r="R2778" s="2" t="inlineStr"/>
    </row>
    <row r="2779" ht="15" customHeight="1">
      <c r="A2779" t="inlineStr">
        <is>
          <t>A 2655-2026</t>
        </is>
      </c>
      <c r="B2779" s="1" t="n">
        <v>46037</v>
      </c>
      <c r="C2779" s="1" t="n">
        <v>46086</v>
      </c>
      <c r="D2779" t="inlineStr">
        <is>
          <t>GÄVLEBORGS LÄN</t>
        </is>
      </c>
      <c r="E2779" t="inlineStr">
        <is>
          <t>OVANÅKER</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25570-2024</t>
        </is>
      </c>
      <c r="B2780" s="1" t="n">
        <v>45463.58728009259</v>
      </c>
      <c r="C2780" s="1" t="n">
        <v>46086</v>
      </c>
      <c r="D2780" t="inlineStr">
        <is>
          <t>GÄVLEBORGS LÄN</t>
        </is>
      </c>
      <c r="E2780" t="inlineStr">
        <is>
          <t>LJUSDAL</t>
        </is>
      </c>
      <c r="F2780" t="inlineStr">
        <is>
          <t>Sveaskog</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28585-2025</t>
        </is>
      </c>
      <c r="B2781" s="1" t="n">
        <v>45819.5790625</v>
      </c>
      <c r="C2781" s="1" t="n">
        <v>46086</v>
      </c>
      <c r="D2781" t="inlineStr">
        <is>
          <t>GÄVLEBORGS LÄN</t>
        </is>
      </c>
      <c r="E2781" t="inlineStr">
        <is>
          <t>OVANÅKER</t>
        </is>
      </c>
      <c r="F2781" t="inlineStr">
        <is>
          <t>Bergvik skog väst AB</t>
        </is>
      </c>
      <c r="G2781" t="n">
        <v>4.9</v>
      </c>
      <c r="H2781" t="n">
        <v>0</v>
      </c>
      <c r="I2781" t="n">
        <v>0</v>
      </c>
      <c r="J2781" t="n">
        <v>0</v>
      </c>
      <c r="K2781" t="n">
        <v>0</v>
      </c>
      <c r="L2781" t="n">
        <v>0</v>
      </c>
      <c r="M2781" t="n">
        <v>0</v>
      </c>
      <c r="N2781" t="n">
        <v>0</v>
      </c>
      <c r="O2781" t="n">
        <v>0</v>
      </c>
      <c r="P2781" t="n">
        <v>0</v>
      </c>
      <c r="Q2781" t="n">
        <v>0</v>
      </c>
      <c r="R2781" s="2" t="inlineStr"/>
    </row>
    <row r="2782" ht="15" customHeight="1">
      <c r="A2782" t="inlineStr">
        <is>
          <t>A 2703-2026</t>
        </is>
      </c>
      <c r="B2782" s="1" t="n">
        <v>46037</v>
      </c>
      <c r="C2782" s="1" t="n">
        <v>46086</v>
      </c>
      <c r="D2782" t="inlineStr">
        <is>
          <t>GÄVLEBORGS LÄN</t>
        </is>
      </c>
      <c r="E2782" t="inlineStr">
        <is>
          <t>GÄVLE</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2854-2026</t>
        </is>
      </c>
      <c r="B2783" s="1" t="n">
        <v>46036</v>
      </c>
      <c r="C2783" s="1" t="n">
        <v>46086</v>
      </c>
      <c r="D2783" t="inlineStr">
        <is>
          <t>GÄVLEBORGS LÄN</t>
        </is>
      </c>
      <c r="E2783" t="inlineStr">
        <is>
          <t>OVANÅKER</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7879-2026</t>
        </is>
      </c>
      <c r="B2784" s="1" t="n">
        <v>46063</v>
      </c>
      <c r="C2784" s="1" t="n">
        <v>46086</v>
      </c>
      <c r="D2784" t="inlineStr">
        <is>
          <t>GÄVLEBORGS LÄN</t>
        </is>
      </c>
      <c r="E2784" t="inlineStr">
        <is>
          <t>OCKELBO</t>
        </is>
      </c>
      <c r="F2784" t="inlineStr">
        <is>
          <t>Bergvik skog väst AB</t>
        </is>
      </c>
      <c r="G2784" t="n">
        <v>37.2</v>
      </c>
      <c r="H2784" t="n">
        <v>0</v>
      </c>
      <c r="I2784" t="n">
        <v>0</v>
      </c>
      <c r="J2784" t="n">
        <v>0</v>
      </c>
      <c r="K2784" t="n">
        <v>0</v>
      </c>
      <c r="L2784" t="n">
        <v>0</v>
      </c>
      <c r="M2784" t="n">
        <v>0</v>
      </c>
      <c r="N2784" t="n">
        <v>0</v>
      </c>
      <c r="O2784" t="n">
        <v>0</v>
      </c>
      <c r="P2784" t="n">
        <v>0</v>
      </c>
      <c r="Q2784" t="n">
        <v>0</v>
      </c>
      <c r="R2784" s="2" t="inlineStr"/>
    </row>
    <row r="2785" ht="15" customHeight="1">
      <c r="A2785" t="inlineStr">
        <is>
          <t>A 28669-2025</t>
        </is>
      </c>
      <c r="B2785" s="1" t="n">
        <v>45819.66730324074</v>
      </c>
      <c r="C2785" s="1" t="n">
        <v>46086</v>
      </c>
      <c r="D2785" t="inlineStr">
        <is>
          <t>GÄVLEBORGS LÄN</t>
        </is>
      </c>
      <c r="E2785" t="inlineStr">
        <is>
          <t>OCKELBO</t>
        </is>
      </c>
      <c r="F2785" t="inlineStr">
        <is>
          <t>Bergvik skog väst AB</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10651-2026</t>
        </is>
      </c>
      <c r="B2786" s="1" t="n">
        <v>46078.34746527778</v>
      </c>
      <c r="C2786" s="1" t="n">
        <v>46086</v>
      </c>
      <c r="D2786" t="inlineStr">
        <is>
          <t>GÄVLEBORGS LÄN</t>
        </is>
      </c>
      <c r="E2786" t="inlineStr">
        <is>
          <t>OCKELBO</t>
        </is>
      </c>
      <c r="G2786" t="n">
        <v>5.4</v>
      </c>
      <c r="H2786" t="n">
        <v>0</v>
      </c>
      <c r="I2786" t="n">
        <v>0</v>
      </c>
      <c r="J2786" t="n">
        <v>0</v>
      </c>
      <c r="K2786" t="n">
        <v>0</v>
      </c>
      <c r="L2786" t="n">
        <v>0</v>
      </c>
      <c r="M2786" t="n">
        <v>0</v>
      </c>
      <c r="N2786" t="n">
        <v>0</v>
      </c>
      <c r="O2786" t="n">
        <v>0</v>
      </c>
      <c r="P2786" t="n">
        <v>0</v>
      </c>
      <c r="Q2786" t="n">
        <v>0</v>
      </c>
      <c r="R2786" s="2" t="inlineStr"/>
    </row>
    <row r="2787" ht="15" customHeight="1">
      <c r="A2787" t="inlineStr">
        <is>
          <t>A 28339-2025</t>
        </is>
      </c>
      <c r="B2787" s="1" t="n">
        <v>45818.67405092593</v>
      </c>
      <c r="C2787" s="1" t="n">
        <v>46086</v>
      </c>
      <c r="D2787" t="inlineStr">
        <is>
          <t>GÄVLEBORGS LÄN</t>
        </is>
      </c>
      <c r="E2787" t="inlineStr">
        <is>
          <t>BOLLNÄS</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32056-2023</t>
        </is>
      </c>
      <c r="B2788" s="1" t="n">
        <v>45119.55945601852</v>
      </c>
      <c r="C2788" s="1" t="n">
        <v>46086</v>
      </c>
      <c r="D2788" t="inlineStr">
        <is>
          <t>GÄVLEBORGS LÄN</t>
        </is>
      </c>
      <c r="E2788" t="inlineStr">
        <is>
          <t>BOLLNÄS</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28547-2025</t>
        </is>
      </c>
      <c r="B2789" s="1" t="n">
        <v>45819.52945601852</v>
      </c>
      <c r="C2789" s="1" t="n">
        <v>46086</v>
      </c>
      <c r="D2789" t="inlineStr">
        <is>
          <t>GÄVLEBORGS LÄN</t>
        </is>
      </c>
      <c r="E2789" t="inlineStr">
        <is>
          <t>SANDVIKEN</t>
        </is>
      </c>
      <c r="G2789" t="n">
        <v>6.2</v>
      </c>
      <c r="H2789" t="n">
        <v>0</v>
      </c>
      <c r="I2789" t="n">
        <v>0</v>
      </c>
      <c r="J2789" t="n">
        <v>0</v>
      </c>
      <c r="K2789" t="n">
        <v>0</v>
      </c>
      <c r="L2789" t="n">
        <v>0</v>
      </c>
      <c r="M2789" t="n">
        <v>0</v>
      </c>
      <c r="N2789" t="n">
        <v>0</v>
      </c>
      <c r="O2789" t="n">
        <v>0</v>
      </c>
      <c r="P2789" t="n">
        <v>0</v>
      </c>
      <c r="Q2789" t="n">
        <v>0</v>
      </c>
      <c r="R2789" s="2" t="inlineStr"/>
    </row>
    <row r="2790" ht="15" customHeight="1">
      <c r="A2790" t="inlineStr">
        <is>
          <t>A 17840-2023</t>
        </is>
      </c>
      <c r="B2790" s="1" t="n">
        <v>45037</v>
      </c>
      <c r="C2790" s="1" t="n">
        <v>46086</v>
      </c>
      <c r="D2790" t="inlineStr">
        <is>
          <t>GÄVLEBORGS LÄN</t>
        </is>
      </c>
      <c r="E2790" t="inlineStr">
        <is>
          <t>NORDANSTIG</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28472-2025</t>
        </is>
      </c>
      <c r="B2791" s="1" t="n">
        <v>45819.43876157407</v>
      </c>
      <c r="C2791" s="1" t="n">
        <v>46086</v>
      </c>
      <c r="D2791" t="inlineStr">
        <is>
          <t>GÄVLEBORGS LÄN</t>
        </is>
      </c>
      <c r="E2791" t="inlineStr">
        <is>
          <t>HUDIKSVALL</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10936-2026</t>
        </is>
      </c>
      <c r="B2792" s="1" t="n">
        <v>46079.36732638889</v>
      </c>
      <c r="C2792" s="1" t="n">
        <v>46086</v>
      </c>
      <c r="D2792" t="inlineStr">
        <is>
          <t>GÄVLEBORGS LÄN</t>
        </is>
      </c>
      <c r="E2792" t="inlineStr">
        <is>
          <t>BOLLNÄS</t>
        </is>
      </c>
      <c r="F2792" t="inlineStr">
        <is>
          <t>Bergvik skog väst AB</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10953-2026</t>
        </is>
      </c>
      <c r="B2793" s="1" t="n">
        <v>46079.39796296296</v>
      </c>
      <c r="C2793" s="1" t="n">
        <v>46086</v>
      </c>
      <c r="D2793" t="inlineStr">
        <is>
          <t>GÄVLEBORGS LÄN</t>
        </is>
      </c>
      <c r="E2793" t="inlineStr">
        <is>
          <t>BOLLNÄS</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10964-2026</t>
        </is>
      </c>
      <c r="B2794" s="1" t="n">
        <v>46079.43271990741</v>
      </c>
      <c r="C2794" s="1" t="n">
        <v>46086</v>
      </c>
      <c r="D2794" t="inlineStr">
        <is>
          <t>GÄVLEBORGS LÄN</t>
        </is>
      </c>
      <c r="E2794" t="inlineStr">
        <is>
          <t>BOLLNÄS</t>
        </is>
      </c>
      <c r="F2794" t="inlineStr">
        <is>
          <t>Bergvik skog väst AB</t>
        </is>
      </c>
      <c r="G2794" t="n">
        <v>6.8</v>
      </c>
      <c r="H2794" t="n">
        <v>0</v>
      </c>
      <c r="I2794" t="n">
        <v>0</v>
      </c>
      <c r="J2794" t="n">
        <v>0</v>
      </c>
      <c r="K2794" t="n">
        <v>0</v>
      </c>
      <c r="L2794" t="n">
        <v>0</v>
      </c>
      <c r="M2794" t="n">
        <v>0</v>
      </c>
      <c r="N2794" t="n">
        <v>0</v>
      </c>
      <c r="O2794" t="n">
        <v>0</v>
      </c>
      <c r="P2794" t="n">
        <v>0</v>
      </c>
      <c r="Q2794" t="n">
        <v>0</v>
      </c>
      <c r="R2794" s="2" t="inlineStr"/>
    </row>
    <row r="2795" ht="15" customHeight="1">
      <c r="A2795" t="inlineStr">
        <is>
          <t>A 52921-2024</t>
        </is>
      </c>
      <c r="B2795" s="1" t="n">
        <v>45610.71336805556</v>
      </c>
      <c r="C2795" s="1" t="n">
        <v>46086</v>
      </c>
      <c r="D2795" t="inlineStr">
        <is>
          <t>GÄVLEBORGS LÄN</t>
        </is>
      </c>
      <c r="E2795" t="inlineStr">
        <is>
          <t>LJUSDAL</t>
        </is>
      </c>
      <c r="F2795" t="inlineStr">
        <is>
          <t>Allmännings- och besparingsskogar</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2370-2026</t>
        </is>
      </c>
      <c r="B2796" s="1" t="n">
        <v>46036.64728009259</v>
      </c>
      <c r="C2796" s="1" t="n">
        <v>46086</v>
      </c>
      <c r="D2796" t="inlineStr">
        <is>
          <t>GÄVLEBORGS LÄN</t>
        </is>
      </c>
      <c r="E2796" t="inlineStr">
        <is>
          <t>BOLLNÄS</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7183-2026</t>
        </is>
      </c>
      <c r="B2797" s="1" t="n">
        <v>46058</v>
      </c>
      <c r="C2797" s="1" t="n">
        <v>46086</v>
      </c>
      <c r="D2797" t="inlineStr">
        <is>
          <t>GÄVLEBORGS LÄN</t>
        </is>
      </c>
      <c r="E2797" t="inlineStr">
        <is>
          <t>BOLLNÄS</t>
        </is>
      </c>
      <c r="F2797" t="inlineStr">
        <is>
          <t>Bergvik skog väst AB</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7920-2026</t>
        </is>
      </c>
      <c r="B2798" s="1" t="n">
        <v>46063</v>
      </c>
      <c r="C2798" s="1" t="n">
        <v>46086</v>
      </c>
      <c r="D2798" t="inlineStr">
        <is>
          <t>GÄVLEBORGS LÄN</t>
        </is>
      </c>
      <c r="E2798" t="inlineStr">
        <is>
          <t>BOLLNÄS</t>
        </is>
      </c>
      <c r="F2798" t="inlineStr">
        <is>
          <t>Bergvik skog väst AB</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7973-2026</t>
        </is>
      </c>
      <c r="B2799" s="1" t="n">
        <v>46063</v>
      </c>
      <c r="C2799" s="1" t="n">
        <v>46086</v>
      </c>
      <c r="D2799" t="inlineStr">
        <is>
          <t>GÄVLEBORGS LÄN</t>
        </is>
      </c>
      <c r="E2799" t="inlineStr">
        <is>
          <t>HUDIKSVALL</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8876-2026</t>
        </is>
      </c>
      <c r="B2800" s="1" t="n">
        <v>46067</v>
      </c>
      <c r="C2800" s="1" t="n">
        <v>46086</v>
      </c>
      <c r="D2800" t="inlineStr">
        <is>
          <t>GÄVLEBORGS LÄN</t>
        </is>
      </c>
      <c r="E2800" t="inlineStr">
        <is>
          <t>BOLLNÄS</t>
        </is>
      </c>
      <c r="F2800" t="inlineStr">
        <is>
          <t>Bergvik skog väst AB</t>
        </is>
      </c>
      <c r="G2800" t="n">
        <v>6.4</v>
      </c>
      <c r="H2800" t="n">
        <v>0</v>
      </c>
      <c r="I2800" t="n">
        <v>0</v>
      </c>
      <c r="J2800" t="n">
        <v>0</v>
      </c>
      <c r="K2800" t="n">
        <v>0</v>
      </c>
      <c r="L2800" t="n">
        <v>0</v>
      </c>
      <c r="M2800" t="n">
        <v>0</v>
      </c>
      <c r="N2800" t="n">
        <v>0</v>
      </c>
      <c r="O2800" t="n">
        <v>0</v>
      </c>
      <c r="P2800" t="n">
        <v>0</v>
      </c>
      <c r="Q2800" t="n">
        <v>0</v>
      </c>
      <c r="R2800" s="2" t="inlineStr"/>
    </row>
    <row r="2801" ht="15" customHeight="1">
      <c r="A2801" t="inlineStr">
        <is>
          <t>A 28244-2025</t>
        </is>
      </c>
      <c r="B2801" s="1" t="n">
        <v>45818.51094907407</v>
      </c>
      <c r="C2801" s="1" t="n">
        <v>46086</v>
      </c>
      <c r="D2801" t="inlineStr">
        <is>
          <t>GÄVLEBORGS LÄN</t>
        </is>
      </c>
      <c r="E2801" t="inlineStr">
        <is>
          <t>NORDANSTIG</t>
        </is>
      </c>
      <c r="G2801" t="n">
        <v>5.8</v>
      </c>
      <c r="H2801" t="n">
        <v>0</v>
      </c>
      <c r="I2801" t="n">
        <v>0</v>
      </c>
      <c r="J2801" t="n">
        <v>0</v>
      </c>
      <c r="K2801" t="n">
        <v>0</v>
      </c>
      <c r="L2801" t="n">
        <v>0</v>
      </c>
      <c r="M2801" t="n">
        <v>0</v>
      </c>
      <c r="N2801" t="n">
        <v>0</v>
      </c>
      <c r="O2801" t="n">
        <v>0</v>
      </c>
      <c r="P2801" t="n">
        <v>0</v>
      </c>
      <c r="Q2801" t="n">
        <v>0</v>
      </c>
      <c r="R2801" s="2" t="inlineStr"/>
    </row>
    <row r="2802" ht="15" customHeight="1">
      <c r="A2802" t="inlineStr">
        <is>
          <t>A 41535-2024</t>
        </is>
      </c>
      <c r="B2802" s="1" t="n">
        <v>45560.49378472222</v>
      </c>
      <c r="C2802" s="1" t="n">
        <v>46086</v>
      </c>
      <c r="D2802" t="inlineStr">
        <is>
          <t>GÄVLEBORGS LÄN</t>
        </is>
      </c>
      <c r="E2802" t="inlineStr">
        <is>
          <t>HUDIKSVALL</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10483-2024</t>
        </is>
      </c>
      <c r="B2803" s="1" t="n">
        <v>45366</v>
      </c>
      <c r="C2803" s="1" t="n">
        <v>46086</v>
      </c>
      <c r="D2803" t="inlineStr">
        <is>
          <t>GÄVLEBORGS LÄN</t>
        </is>
      </c>
      <c r="E2803" t="inlineStr">
        <is>
          <t>BOLLNÄS</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28576-2025</t>
        </is>
      </c>
      <c r="B2804" s="1" t="n">
        <v>45819.5671412037</v>
      </c>
      <c r="C2804" s="1" t="n">
        <v>46086</v>
      </c>
      <c r="D2804" t="inlineStr">
        <is>
          <t>GÄVLEBORGS LÄN</t>
        </is>
      </c>
      <c r="E2804" t="inlineStr">
        <is>
          <t>OCKELBO</t>
        </is>
      </c>
      <c r="F2804" t="inlineStr">
        <is>
          <t>Bergvik skog väst AB</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31434-2022</t>
        </is>
      </c>
      <c r="B2805" s="1" t="n">
        <v>44774.92517361111</v>
      </c>
      <c r="C2805" s="1" t="n">
        <v>46086</v>
      </c>
      <c r="D2805" t="inlineStr">
        <is>
          <t>GÄVLEBORGS LÄN</t>
        </is>
      </c>
      <c r="E2805" t="inlineStr">
        <is>
          <t>BOLLNÄS</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49445-2021</t>
        </is>
      </c>
      <c r="B2806" s="1" t="n">
        <v>44454</v>
      </c>
      <c r="C2806" s="1" t="n">
        <v>46086</v>
      </c>
      <c r="D2806" t="inlineStr">
        <is>
          <t>GÄVLEBORGS LÄN</t>
        </is>
      </c>
      <c r="E2806" t="inlineStr">
        <is>
          <t>BOLLNÄS</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28184-2025</t>
        </is>
      </c>
      <c r="B2807" s="1" t="n">
        <v>45818.40274305556</v>
      </c>
      <c r="C2807" s="1" t="n">
        <v>46086</v>
      </c>
      <c r="D2807" t="inlineStr">
        <is>
          <t>GÄVLEBORGS LÄN</t>
        </is>
      </c>
      <c r="E2807" t="inlineStr">
        <is>
          <t>HUDIKSVALL</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28460-2025</t>
        </is>
      </c>
      <c r="B2808" s="1" t="n">
        <v>45819</v>
      </c>
      <c r="C2808" s="1" t="n">
        <v>46086</v>
      </c>
      <c r="D2808" t="inlineStr">
        <is>
          <t>GÄVLEBORGS LÄN</t>
        </is>
      </c>
      <c r="E2808" t="inlineStr">
        <is>
          <t>OVANÅKER</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28462-2025</t>
        </is>
      </c>
      <c r="B2809" s="1" t="n">
        <v>45819.41706018519</v>
      </c>
      <c r="C2809" s="1" t="n">
        <v>46086</v>
      </c>
      <c r="D2809" t="inlineStr">
        <is>
          <t>GÄVLEBORGS LÄN</t>
        </is>
      </c>
      <c r="E2809" t="inlineStr">
        <is>
          <t>BOLLNÄS</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10831-2026</t>
        </is>
      </c>
      <c r="B2810" s="1" t="n">
        <v>46078.62702546296</v>
      </c>
      <c r="C2810" s="1" t="n">
        <v>46086</v>
      </c>
      <c r="D2810" t="inlineStr">
        <is>
          <t>GÄVLEBORGS LÄN</t>
        </is>
      </c>
      <c r="E2810" t="inlineStr">
        <is>
          <t>SÖDERHAMN</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10838-2026</t>
        </is>
      </c>
      <c r="B2811" s="1" t="n">
        <v>46078.63618055556</v>
      </c>
      <c r="C2811" s="1" t="n">
        <v>46086</v>
      </c>
      <c r="D2811" t="inlineStr">
        <is>
          <t>GÄVLEBORGS LÄN</t>
        </is>
      </c>
      <c r="E2811" t="inlineStr">
        <is>
          <t>BOLLNÄS</t>
        </is>
      </c>
      <c r="F2811" t="inlineStr">
        <is>
          <t>Bergvik skog väst AB</t>
        </is>
      </c>
      <c r="G2811" t="n">
        <v>7.8</v>
      </c>
      <c r="H2811" t="n">
        <v>0</v>
      </c>
      <c r="I2811" t="n">
        <v>0</v>
      </c>
      <c r="J2811" t="n">
        <v>0</v>
      </c>
      <c r="K2811" t="n">
        <v>0</v>
      </c>
      <c r="L2811" t="n">
        <v>0</v>
      </c>
      <c r="M2811" t="n">
        <v>0</v>
      </c>
      <c r="N2811" t="n">
        <v>0</v>
      </c>
      <c r="O2811" t="n">
        <v>0</v>
      </c>
      <c r="P2811" t="n">
        <v>0</v>
      </c>
      <c r="Q2811" t="n">
        <v>0</v>
      </c>
      <c r="R2811" s="2" t="inlineStr"/>
    </row>
    <row r="2812" ht="15" customHeight="1">
      <c r="A2812" t="inlineStr">
        <is>
          <t>A 10843-2026</t>
        </is>
      </c>
      <c r="B2812" s="1" t="n">
        <v>46078.64533564815</v>
      </c>
      <c r="C2812" s="1" t="n">
        <v>46086</v>
      </c>
      <c r="D2812" t="inlineStr">
        <is>
          <t>GÄVLEBORGS LÄN</t>
        </is>
      </c>
      <c r="E2812" t="inlineStr">
        <is>
          <t>BOLLNÄS</t>
        </is>
      </c>
      <c r="F2812" t="inlineStr">
        <is>
          <t>Bergvik skog väst AB</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28474-2025</t>
        </is>
      </c>
      <c r="B2813" s="1" t="n">
        <v>45819.44173611111</v>
      </c>
      <c r="C2813" s="1" t="n">
        <v>46086</v>
      </c>
      <c r="D2813" t="inlineStr">
        <is>
          <t>GÄVLEBORGS LÄN</t>
        </is>
      </c>
      <c r="E2813" t="inlineStr">
        <is>
          <t>OVANÅKER</t>
        </is>
      </c>
      <c r="F2813" t="inlineStr">
        <is>
          <t>Bergvik skog väst AB</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28485-2025</t>
        </is>
      </c>
      <c r="B2814" s="1" t="n">
        <v>45819.4637037037</v>
      </c>
      <c r="C2814" s="1" t="n">
        <v>46086</v>
      </c>
      <c r="D2814" t="inlineStr">
        <is>
          <t>GÄVLEBORGS LÄN</t>
        </is>
      </c>
      <c r="E2814" t="inlineStr">
        <is>
          <t>HUDIKSVALL</t>
        </is>
      </c>
      <c r="F2814" t="inlineStr">
        <is>
          <t>Holmen skog AB</t>
        </is>
      </c>
      <c r="G2814" t="n">
        <v>5.8</v>
      </c>
      <c r="H2814" t="n">
        <v>0</v>
      </c>
      <c r="I2814" t="n">
        <v>0</v>
      </c>
      <c r="J2814" t="n">
        <v>0</v>
      </c>
      <c r="K2814" t="n">
        <v>0</v>
      </c>
      <c r="L2814" t="n">
        <v>0</v>
      </c>
      <c r="M2814" t="n">
        <v>0</v>
      </c>
      <c r="N2814" t="n">
        <v>0</v>
      </c>
      <c r="O2814" t="n">
        <v>0</v>
      </c>
      <c r="P2814" t="n">
        <v>0</v>
      </c>
      <c r="Q2814" t="n">
        <v>0</v>
      </c>
      <c r="R2814" s="2" t="inlineStr"/>
    </row>
    <row r="2815" ht="15" customHeight="1">
      <c r="A2815" t="inlineStr">
        <is>
          <t>A 28618-2025</t>
        </is>
      </c>
      <c r="B2815" s="1" t="n">
        <v>45819.61023148148</v>
      </c>
      <c r="C2815" s="1" t="n">
        <v>46086</v>
      </c>
      <c r="D2815" t="inlineStr">
        <is>
          <t>GÄVLEBORGS LÄN</t>
        </is>
      </c>
      <c r="E2815" t="inlineStr">
        <is>
          <t>BOLLNÄS</t>
        </is>
      </c>
      <c r="F2815" t="inlineStr">
        <is>
          <t>Bergvik skog väst AB</t>
        </is>
      </c>
      <c r="G2815" t="n">
        <v>11.7</v>
      </c>
      <c r="H2815" t="n">
        <v>0</v>
      </c>
      <c r="I2815" t="n">
        <v>0</v>
      </c>
      <c r="J2815" t="n">
        <v>0</v>
      </c>
      <c r="K2815" t="n">
        <v>0</v>
      </c>
      <c r="L2815" t="n">
        <v>0</v>
      </c>
      <c r="M2815" t="n">
        <v>0</v>
      </c>
      <c r="N2815" t="n">
        <v>0</v>
      </c>
      <c r="O2815" t="n">
        <v>0</v>
      </c>
      <c r="P2815" t="n">
        <v>0</v>
      </c>
      <c r="Q2815" t="n">
        <v>0</v>
      </c>
      <c r="R2815" s="2" t="inlineStr"/>
    </row>
    <row r="2816" ht="15" customHeight="1">
      <c r="A2816" t="inlineStr">
        <is>
          <t>A 14212-2021</t>
        </is>
      </c>
      <c r="B2816" s="1" t="n">
        <v>44278.52945601852</v>
      </c>
      <c r="C2816" s="1" t="n">
        <v>46086</v>
      </c>
      <c r="D2816" t="inlineStr">
        <is>
          <t>GÄVLEBORGS LÄN</t>
        </is>
      </c>
      <c r="E2816" t="inlineStr">
        <is>
          <t>GÄVLE</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28624-2025</t>
        </is>
      </c>
      <c r="B2817" s="1" t="n">
        <v>45819.61737268518</v>
      </c>
      <c r="C2817" s="1" t="n">
        <v>46086</v>
      </c>
      <c r="D2817" t="inlineStr">
        <is>
          <t>GÄVLEBORGS LÄN</t>
        </is>
      </c>
      <c r="E2817" t="inlineStr">
        <is>
          <t>GÄVLE</t>
        </is>
      </c>
      <c r="F2817" t="inlineStr">
        <is>
          <t>Bergvik skog väst AB</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28638-2025</t>
        </is>
      </c>
      <c r="B2818" s="1" t="n">
        <v>45819.63609953703</v>
      </c>
      <c r="C2818" s="1" t="n">
        <v>46086</v>
      </c>
      <c r="D2818" t="inlineStr">
        <is>
          <t>GÄVLEBORGS LÄN</t>
        </is>
      </c>
      <c r="E2818" t="inlineStr">
        <is>
          <t>LJUSDAL</t>
        </is>
      </c>
      <c r="F2818" t="inlineStr">
        <is>
          <t>SCA</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642-2026</t>
        </is>
      </c>
      <c r="B2819" s="1" t="n">
        <v>46029</v>
      </c>
      <c r="C2819" s="1" t="n">
        <v>46086</v>
      </c>
      <c r="D2819" t="inlineStr">
        <is>
          <t>GÄVLEBORGS LÄN</t>
        </is>
      </c>
      <c r="E2819" t="inlineStr">
        <is>
          <t>LJUSDAL</t>
        </is>
      </c>
      <c r="F2819" t="inlineStr">
        <is>
          <t>Holmen skog AB</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684-2026</t>
        </is>
      </c>
      <c r="B2820" s="1" t="n">
        <v>46029</v>
      </c>
      <c r="C2820" s="1" t="n">
        <v>46086</v>
      </c>
      <c r="D2820" t="inlineStr">
        <is>
          <t>GÄVLEBORGS LÄN</t>
        </is>
      </c>
      <c r="E2820" t="inlineStr">
        <is>
          <t>OVANÅKER</t>
        </is>
      </c>
      <c r="G2820" t="n">
        <v>6.6</v>
      </c>
      <c r="H2820" t="n">
        <v>0</v>
      </c>
      <c r="I2820" t="n">
        <v>0</v>
      </c>
      <c r="J2820" t="n">
        <v>0</v>
      </c>
      <c r="K2820" t="n">
        <v>0</v>
      </c>
      <c r="L2820" t="n">
        <v>0</v>
      </c>
      <c r="M2820" t="n">
        <v>0</v>
      </c>
      <c r="N2820" t="n">
        <v>0</v>
      </c>
      <c r="O2820" t="n">
        <v>0</v>
      </c>
      <c r="P2820" t="n">
        <v>0</v>
      </c>
      <c r="Q2820" t="n">
        <v>0</v>
      </c>
      <c r="R2820" s="2" t="inlineStr"/>
    </row>
    <row r="2821" ht="15" customHeight="1">
      <c r="A2821" t="inlineStr">
        <is>
          <t>A 2215-2023</t>
        </is>
      </c>
      <c r="B2821" s="1" t="n">
        <v>44942.41722222222</v>
      </c>
      <c r="C2821" s="1" t="n">
        <v>46086</v>
      </c>
      <c r="D2821" t="inlineStr">
        <is>
          <t>GÄVLEBORGS LÄN</t>
        </is>
      </c>
      <c r="E2821" t="inlineStr">
        <is>
          <t>HUDIKSVALL</t>
        </is>
      </c>
      <c r="F2821" t="inlineStr">
        <is>
          <t>Holmen skog AB</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35000-2024</t>
        </is>
      </c>
      <c r="B2822" s="1" t="n">
        <v>45527</v>
      </c>
      <c r="C2822" s="1" t="n">
        <v>46086</v>
      </c>
      <c r="D2822" t="inlineStr">
        <is>
          <t>GÄVLEBORGS LÄN</t>
        </is>
      </c>
      <c r="E2822" t="inlineStr">
        <is>
          <t>HUDIKSVALL</t>
        </is>
      </c>
      <c r="F2822" t="inlineStr">
        <is>
          <t>Holmen skog AB</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28622-2025</t>
        </is>
      </c>
      <c r="B2823" s="1" t="n">
        <v>45819.61425925926</v>
      </c>
      <c r="C2823" s="1" t="n">
        <v>46086</v>
      </c>
      <c r="D2823" t="inlineStr">
        <is>
          <t>GÄVLEBORGS LÄN</t>
        </is>
      </c>
      <c r="E2823" t="inlineStr">
        <is>
          <t>OVANÅKER</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35024-2024</t>
        </is>
      </c>
      <c r="B2824" s="1" t="n">
        <v>45527.60289351852</v>
      </c>
      <c r="C2824" s="1" t="n">
        <v>46086</v>
      </c>
      <c r="D2824" t="inlineStr">
        <is>
          <t>GÄVLEBORGS LÄN</t>
        </is>
      </c>
      <c r="E2824" t="inlineStr">
        <is>
          <t>LJUSDAL</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62123-2024</t>
        </is>
      </c>
      <c r="B2825" s="1" t="n">
        <v>45646</v>
      </c>
      <c r="C2825" s="1" t="n">
        <v>46086</v>
      </c>
      <c r="D2825" t="inlineStr">
        <is>
          <t>GÄVLEBORGS LÄN</t>
        </is>
      </c>
      <c r="E2825" t="inlineStr">
        <is>
          <t>BOLLNÄS</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32121-2025</t>
        </is>
      </c>
      <c r="B2826" s="1" t="n">
        <v>45835.49260416667</v>
      </c>
      <c r="C2826" s="1" t="n">
        <v>46086</v>
      </c>
      <c r="D2826" t="inlineStr">
        <is>
          <t>GÄVLEBORGS LÄN</t>
        </is>
      </c>
      <c r="E2826" t="inlineStr">
        <is>
          <t>LJUSDAL</t>
        </is>
      </c>
      <c r="F2826" t="inlineStr">
        <is>
          <t>Sveaskog</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11135-2026</t>
        </is>
      </c>
      <c r="B2827" s="1" t="n">
        <v>46079.75282407407</v>
      </c>
      <c r="C2827" s="1" t="n">
        <v>46086</v>
      </c>
      <c r="D2827" t="inlineStr">
        <is>
          <t>GÄVLEBORGS LÄN</t>
        </is>
      </c>
      <c r="E2827" t="inlineStr">
        <is>
          <t>BOLLNÄS</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7254-2026</t>
        </is>
      </c>
      <c r="B2828" s="1" t="n">
        <v>46058</v>
      </c>
      <c r="C2828" s="1" t="n">
        <v>46086</v>
      </c>
      <c r="D2828" t="inlineStr">
        <is>
          <t>GÄVLEBORGS LÄN</t>
        </is>
      </c>
      <c r="E2828" t="inlineStr">
        <is>
          <t>LJUSDAL</t>
        </is>
      </c>
      <c r="G2828" t="n">
        <v>9.1</v>
      </c>
      <c r="H2828" t="n">
        <v>0</v>
      </c>
      <c r="I2828" t="n">
        <v>0</v>
      </c>
      <c r="J2828" t="n">
        <v>0</v>
      </c>
      <c r="K2828" t="n">
        <v>0</v>
      </c>
      <c r="L2828" t="n">
        <v>0</v>
      </c>
      <c r="M2828" t="n">
        <v>0</v>
      </c>
      <c r="N2828" t="n">
        <v>0</v>
      </c>
      <c r="O2828" t="n">
        <v>0</v>
      </c>
      <c r="P2828" t="n">
        <v>0</v>
      </c>
      <c r="Q2828" t="n">
        <v>0</v>
      </c>
      <c r="R2828" s="2" t="inlineStr"/>
    </row>
    <row r="2829" ht="15" customHeight="1">
      <c r="A2829" t="inlineStr">
        <is>
          <t>A 28375-2025</t>
        </is>
      </c>
      <c r="B2829" s="1" t="n">
        <v>45818</v>
      </c>
      <c r="C2829" s="1" t="n">
        <v>46086</v>
      </c>
      <c r="D2829" t="inlineStr">
        <is>
          <t>GÄVLEBORGS LÄN</t>
        </is>
      </c>
      <c r="E2829" t="inlineStr">
        <is>
          <t>GÄVLE</t>
        </is>
      </c>
      <c r="F2829" t="inlineStr">
        <is>
          <t>Bergvik skog väst AB</t>
        </is>
      </c>
      <c r="G2829" t="n">
        <v>11.6</v>
      </c>
      <c r="H2829" t="n">
        <v>0</v>
      </c>
      <c r="I2829" t="n">
        <v>0</v>
      </c>
      <c r="J2829" t="n">
        <v>0</v>
      </c>
      <c r="K2829" t="n">
        <v>0</v>
      </c>
      <c r="L2829" t="n">
        <v>0</v>
      </c>
      <c r="M2829" t="n">
        <v>0</v>
      </c>
      <c r="N2829" t="n">
        <v>0</v>
      </c>
      <c r="O2829" t="n">
        <v>0</v>
      </c>
      <c r="P2829" t="n">
        <v>0</v>
      </c>
      <c r="Q2829" t="n">
        <v>0</v>
      </c>
      <c r="R2829" s="2" t="inlineStr"/>
    </row>
    <row r="2830" ht="15" customHeight="1">
      <c r="A2830" t="inlineStr">
        <is>
          <t>A 28381-2025</t>
        </is>
      </c>
      <c r="B2830" s="1" t="n">
        <v>45819.30736111111</v>
      </c>
      <c r="C2830" s="1" t="n">
        <v>46086</v>
      </c>
      <c r="D2830" t="inlineStr">
        <is>
          <t>GÄVLEBORGS LÄN</t>
        </is>
      </c>
      <c r="E2830" t="inlineStr">
        <is>
          <t>HUDIKSVALL</t>
        </is>
      </c>
      <c r="F2830" t="inlineStr">
        <is>
          <t>Holmen skog AB</t>
        </is>
      </c>
      <c r="G2830" t="n">
        <v>8.699999999999999</v>
      </c>
      <c r="H2830" t="n">
        <v>0</v>
      </c>
      <c r="I2830" t="n">
        <v>0</v>
      </c>
      <c r="J2830" t="n">
        <v>0</v>
      </c>
      <c r="K2830" t="n">
        <v>0</v>
      </c>
      <c r="L2830" t="n">
        <v>0</v>
      </c>
      <c r="M2830" t="n">
        <v>0</v>
      </c>
      <c r="N2830" t="n">
        <v>0</v>
      </c>
      <c r="O2830" t="n">
        <v>0</v>
      </c>
      <c r="P2830" t="n">
        <v>0</v>
      </c>
      <c r="Q2830" t="n">
        <v>0</v>
      </c>
      <c r="R2830" s="2" t="inlineStr"/>
    </row>
    <row r="2831" ht="15" customHeight="1">
      <c r="A2831" t="inlineStr">
        <is>
          <t>A 37689-2024</t>
        </is>
      </c>
      <c r="B2831" s="1" t="n">
        <v>45541</v>
      </c>
      <c r="C2831" s="1" t="n">
        <v>46086</v>
      </c>
      <c r="D2831" t="inlineStr">
        <is>
          <t>GÄVLEBORGS LÄN</t>
        </is>
      </c>
      <c r="E2831" t="inlineStr">
        <is>
          <t>HUDIKSVALL</t>
        </is>
      </c>
      <c r="F2831" t="inlineStr">
        <is>
          <t>Kommuner</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39165-2025</t>
        </is>
      </c>
      <c r="B2832" s="1" t="n">
        <v>45888.63737268518</v>
      </c>
      <c r="C2832" s="1" t="n">
        <v>46086</v>
      </c>
      <c r="D2832" t="inlineStr">
        <is>
          <t>GÄVLEBORGS LÄN</t>
        </is>
      </c>
      <c r="E2832" t="inlineStr">
        <is>
          <t>BOLLNÄS</t>
        </is>
      </c>
      <c r="G2832" t="n">
        <v>6.5</v>
      </c>
      <c r="H2832" t="n">
        <v>0</v>
      </c>
      <c r="I2832" t="n">
        <v>0</v>
      </c>
      <c r="J2832" t="n">
        <v>0</v>
      </c>
      <c r="K2832" t="n">
        <v>0</v>
      </c>
      <c r="L2832" t="n">
        <v>0</v>
      </c>
      <c r="M2832" t="n">
        <v>0</v>
      </c>
      <c r="N2832" t="n">
        <v>0</v>
      </c>
      <c r="O2832" t="n">
        <v>0</v>
      </c>
      <c r="P2832" t="n">
        <v>0</v>
      </c>
      <c r="Q2832" t="n">
        <v>0</v>
      </c>
      <c r="R2832" s="2" t="inlineStr"/>
    </row>
    <row r="2833" ht="15" customHeight="1">
      <c r="A2833" t="inlineStr">
        <is>
          <t>A 43996-2024</t>
        </is>
      </c>
      <c r="B2833" s="1" t="n">
        <v>45572.53714120371</v>
      </c>
      <c r="C2833" s="1" t="n">
        <v>46086</v>
      </c>
      <c r="D2833" t="inlineStr">
        <is>
          <t>GÄVLEBORGS LÄN</t>
        </is>
      </c>
      <c r="E2833" t="inlineStr">
        <is>
          <t>BOLLNÄS</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28626-2025</t>
        </is>
      </c>
      <c r="B2834" s="1" t="n">
        <v>45819.62038194444</v>
      </c>
      <c r="C2834" s="1" t="n">
        <v>46086</v>
      </c>
      <c r="D2834" t="inlineStr">
        <is>
          <t>GÄVLEBORGS LÄN</t>
        </is>
      </c>
      <c r="E2834" t="inlineStr">
        <is>
          <t>OVANÅKER</t>
        </is>
      </c>
      <c r="F2834" t="inlineStr">
        <is>
          <t>Bergvik skog väst AB</t>
        </is>
      </c>
      <c r="G2834" t="n">
        <v>4.5</v>
      </c>
      <c r="H2834" t="n">
        <v>0</v>
      </c>
      <c r="I2834" t="n">
        <v>0</v>
      </c>
      <c r="J2834" t="n">
        <v>0</v>
      </c>
      <c r="K2834" t="n">
        <v>0</v>
      </c>
      <c r="L2834" t="n">
        <v>0</v>
      </c>
      <c r="M2834" t="n">
        <v>0</v>
      </c>
      <c r="N2834" t="n">
        <v>0</v>
      </c>
      <c r="O2834" t="n">
        <v>0</v>
      </c>
      <c r="P2834" t="n">
        <v>0</v>
      </c>
      <c r="Q2834" t="n">
        <v>0</v>
      </c>
      <c r="R2834" s="2" t="inlineStr"/>
    </row>
    <row r="2835" ht="15" customHeight="1">
      <c r="A2835" t="inlineStr">
        <is>
          <t>A 39153-2025</t>
        </is>
      </c>
      <c r="B2835" s="1" t="n">
        <v>45888.6171875</v>
      </c>
      <c r="C2835" s="1" t="n">
        <v>46086</v>
      </c>
      <c r="D2835" t="inlineStr">
        <is>
          <t>GÄVLEBORGS LÄN</t>
        </is>
      </c>
      <c r="E2835" t="inlineStr">
        <is>
          <t>SANDVIKEN</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28633-2025</t>
        </is>
      </c>
      <c r="B2836" s="1" t="n">
        <v>45819.62692129629</v>
      </c>
      <c r="C2836" s="1" t="n">
        <v>46086</v>
      </c>
      <c r="D2836" t="inlineStr">
        <is>
          <t>GÄVLEBORGS LÄN</t>
        </is>
      </c>
      <c r="E2836" t="inlineStr">
        <is>
          <t>HUDIKSVALL</t>
        </is>
      </c>
      <c r="G2836" t="n">
        <v>4.1</v>
      </c>
      <c r="H2836" t="n">
        <v>0</v>
      </c>
      <c r="I2836" t="n">
        <v>0</v>
      </c>
      <c r="J2836" t="n">
        <v>0</v>
      </c>
      <c r="K2836" t="n">
        <v>0</v>
      </c>
      <c r="L2836" t="n">
        <v>0</v>
      </c>
      <c r="M2836" t="n">
        <v>0</v>
      </c>
      <c r="N2836" t="n">
        <v>0</v>
      </c>
      <c r="O2836" t="n">
        <v>0</v>
      </c>
      <c r="P2836" t="n">
        <v>0</v>
      </c>
      <c r="Q2836" t="n">
        <v>0</v>
      </c>
      <c r="R2836" s="2" t="inlineStr"/>
    </row>
    <row r="2837" ht="15" customHeight="1">
      <c r="A2837" t="inlineStr">
        <is>
          <t>A 28410-2025</t>
        </is>
      </c>
      <c r="B2837" s="1" t="n">
        <v>45819.34619212963</v>
      </c>
      <c r="C2837" s="1" t="n">
        <v>46086</v>
      </c>
      <c r="D2837" t="inlineStr">
        <is>
          <t>GÄVLEBORGS LÄN</t>
        </is>
      </c>
      <c r="E2837" t="inlineStr">
        <is>
          <t>HUDIKSVALL</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28457-2025</t>
        </is>
      </c>
      <c r="B2838" s="1" t="n">
        <v>45819.40884259259</v>
      </c>
      <c r="C2838" s="1" t="n">
        <v>46086</v>
      </c>
      <c r="D2838" t="inlineStr">
        <is>
          <t>GÄVLEBORGS LÄN</t>
        </is>
      </c>
      <c r="E2838" t="inlineStr">
        <is>
          <t>HUDIKSVALL</t>
        </is>
      </c>
      <c r="F2838" t="inlineStr">
        <is>
          <t>Holmen skog AB</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44109-2023</t>
        </is>
      </c>
      <c r="B2839" s="1" t="n">
        <v>45188.43717592592</v>
      </c>
      <c r="C2839" s="1" t="n">
        <v>46086</v>
      </c>
      <c r="D2839" t="inlineStr">
        <is>
          <t>GÄVLEBORGS LÄN</t>
        </is>
      </c>
      <c r="E2839" t="inlineStr">
        <is>
          <t>HUDIKSVALL</t>
        </is>
      </c>
      <c r="F2839" t="inlineStr">
        <is>
          <t>Holmen skog AB</t>
        </is>
      </c>
      <c r="G2839" t="n">
        <v>7.2</v>
      </c>
      <c r="H2839" t="n">
        <v>0</v>
      </c>
      <c r="I2839" t="n">
        <v>0</v>
      </c>
      <c r="J2839" t="n">
        <v>0</v>
      </c>
      <c r="K2839" t="n">
        <v>0</v>
      </c>
      <c r="L2839" t="n">
        <v>0</v>
      </c>
      <c r="M2839" t="n">
        <v>0</v>
      </c>
      <c r="N2839" t="n">
        <v>0</v>
      </c>
      <c r="O2839" t="n">
        <v>0</v>
      </c>
      <c r="P2839" t="n">
        <v>0</v>
      </c>
      <c r="Q2839" t="n">
        <v>0</v>
      </c>
      <c r="R2839" s="2" t="inlineStr"/>
    </row>
    <row r="2840" ht="15" customHeight="1">
      <c r="A2840" t="inlineStr">
        <is>
          <t>A 28548-2025</t>
        </is>
      </c>
      <c r="B2840" s="1" t="n">
        <v>45819.53034722222</v>
      </c>
      <c r="C2840" s="1" t="n">
        <v>46086</v>
      </c>
      <c r="D2840" t="inlineStr">
        <is>
          <t>GÄVLEBORGS LÄN</t>
        </is>
      </c>
      <c r="E2840" t="inlineStr">
        <is>
          <t>SANDVIKEN</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28549-2025</t>
        </is>
      </c>
      <c r="B2841" s="1" t="n">
        <v>45819.53112268518</v>
      </c>
      <c r="C2841" s="1" t="n">
        <v>46086</v>
      </c>
      <c r="D2841" t="inlineStr">
        <is>
          <t>GÄVLEBORGS LÄN</t>
        </is>
      </c>
      <c r="E2841" t="inlineStr">
        <is>
          <t>HUDIKSVALL</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70264-2021</t>
        </is>
      </c>
      <c r="B2842" s="1" t="n">
        <v>44536</v>
      </c>
      <c r="C2842" s="1" t="n">
        <v>46086</v>
      </c>
      <c r="D2842" t="inlineStr">
        <is>
          <t>GÄVLEBORGS LÄN</t>
        </is>
      </c>
      <c r="E2842" t="inlineStr">
        <is>
          <t>HUDIKSVALL</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7750-2026</t>
        </is>
      </c>
      <c r="B2843" s="1" t="n">
        <v>46062.54636574074</v>
      </c>
      <c r="C2843" s="1" t="n">
        <v>46086</v>
      </c>
      <c r="D2843" t="inlineStr">
        <is>
          <t>GÄVLEBORGS LÄN</t>
        </is>
      </c>
      <c r="E2843" t="inlineStr">
        <is>
          <t>OVANÅKER</t>
        </is>
      </c>
      <c r="F2843" t="inlineStr">
        <is>
          <t>Sveaskog</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7872-2026</t>
        </is>
      </c>
      <c r="B2844" s="1" t="n">
        <v>46062</v>
      </c>
      <c r="C2844" s="1" t="n">
        <v>46086</v>
      </c>
      <c r="D2844" t="inlineStr">
        <is>
          <t>GÄVLEBORGS LÄN</t>
        </is>
      </c>
      <c r="E2844" t="inlineStr">
        <is>
          <t>OVANÅKER</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7904-2026</t>
        </is>
      </c>
      <c r="B2845" s="1" t="n">
        <v>46063</v>
      </c>
      <c r="C2845" s="1" t="n">
        <v>46086</v>
      </c>
      <c r="D2845" t="inlineStr">
        <is>
          <t>GÄVLEBORGS LÄN</t>
        </is>
      </c>
      <c r="E2845" t="inlineStr">
        <is>
          <t>OVANÅKER</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28562-2025</t>
        </is>
      </c>
      <c r="B2846" s="1" t="n">
        <v>45819.5525</v>
      </c>
      <c r="C2846" s="1" t="n">
        <v>46086</v>
      </c>
      <c r="D2846" t="inlineStr">
        <is>
          <t>GÄVLEBORGS LÄN</t>
        </is>
      </c>
      <c r="E2846" t="inlineStr">
        <is>
          <t>OVANÅKER</t>
        </is>
      </c>
      <c r="F2846" t="inlineStr">
        <is>
          <t>Bergvik skog väst AB</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28584-2025</t>
        </is>
      </c>
      <c r="B2847" s="1" t="n">
        <v>45819.57846064815</v>
      </c>
      <c r="C2847" s="1" t="n">
        <v>46086</v>
      </c>
      <c r="D2847" t="inlineStr">
        <is>
          <t>GÄVLEBORGS LÄN</t>
        </is>
      </c>
      <c r="E2847" t="inlineStr">
        <is>
          <t>LJUSDAL</t>
        </is>
      </c>
      <c r="F2847" t="inlineStr">
        <is>
          <t>Sveaskog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28599-2025</t>
        </is>
      </c>
      <c r="B2848" s="1" t="n">
        <v>45819.5966550926</v>
      </c>
      <c r="C2848" s="1" t="n">
        <v>46086</v>
      </c>
      <c r="D2848" t="inlineStr">
        <is>
          <t>GÄVLEBORGS LÄN</t>
        </is>
      </c>
      <c r="E2848" t="inlineStr">
        <is>
          <t>HUDIKSVALL</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6903-2025</t>
        </is>
      </c>
      <c r="B2849" s="1" t="n">
        <v>45701</v>
      </c>
      <c r="C2849" s="1" t="n">
        <v>46086</v>
      </c>
      <c r="D2849" t="inlineStr">
        <is>
          <t>GÄVLEBORGS LÄN</t>
        </is>
      </c>
      <c r="E2849" t="inlineStr">
        <is>
          <t>BOLLNÄS</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27440-2025</t>
        </is>
      </c>
      <c r="B2850" s="1" t="n">
        <v>45813.3159375</v>
      </c>
      <c r="C2850" s="1" t="n">
        <v>46086</v>
      </c>
      <c r="D2850" t="inlineStr">
        <is>
          <t>GÄVLEBORGS LÄN</t>
        </is>
      </c>
      <c r="E2850" t="inlineStr">
        <is>
          <t>LJUSDAL</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28411-2025</t>
        </is>
      </c>
      <c r="B2851" s="1" t="n">
        <v>45819.3462037037</v>
      </c>
      <c r="C2851" s="1" t="n">
        <v>46086</v>
      </c>
      <c r="D2851" t="inlineStr">
        <is>
          <t>GÄVLEBORGS LÄN</t>
        </is>
      </c>
      <c r="E2851" t="inlineStr">
        <is>
          <t>HUDIKSVALL</t>
        </is>
      </c>
      <c r="G2851" t="n">
        <v>0.1</v>
      </c>
      <c r="H2851" t="n">
        <v>0</v>
      </c>
      <c r="I2851" t="n">
        <v>0</v>
      </c>
      <c r="J2851" t="n">
        <v>0</v>
      </c>
      <c r="K2851" t="n">
        <v>0</v>
      </c>
      <c r="L2851" t="n">
        <v>0</v>
      </c>
      <c r="M2851" t="n">
        <v>0</v>
      </c>
      <c r="N2851" t="n">
        <v>0</v>
      </c>
      <c r="O2851" t="n">
        <v>0</v>
      </c>
      <c r="P2851" t="n">
        <v>0</v>
      </c>
      <c r="Q2851" t="n">
        <v>0</v>
      </c>
      <c r="R2851" s="2" t="inlineStr"/>
    </row>
    <row r="2852" ht="15" customHeight="1">
      <c r="A2852" t="inlineStr">
        <is>
          <t>A 28387-2025</t>
        </is>
      </c>
      <c r="B2852" s="1" t="n">
        <v>45819.32304398148</v>
      </c>
      <c r="C2852" s="1" t="n">
        <v>46086</v>
      </c>
      <c r="D2852" t="inlineStr">
        <is>
          <t>GÄVLEBORGS LÄN</t>
        </is>
      </c>
      <c r="E2852" t="inlineStr">
        <is>
          <t>OVANÅKER</t>
        </is>
      </c>
      <c r="F2852" t="inlineStr">
        <is>
          <t>Holmen skog AB</t>
        </is>
      </c>
      <c r="G2852" t="n">
        <v>10.6</v>
      </c>
      <c r="H2852" t="n">
        <v>0</v>
      </c>
      <c r="I2852" t="n">
        <v>0</v>
      </c>
      <c r="J2852" t="n">
        <v>0</v>
      </c>
      <c r="K2852" t="n">
        <v>0</v>
      </c>
      <c r="L2852" t="n">
        <v>0</v>
      </c>
      <c r="M2852" t="n">
        <v>0</v>
      </c>
      <c r="N2852" t="n">
        <v>0</v>
      </c>
      <c r="O2852" t="n">
        <v>0</v>
      </c>
      <c r="P2852" t="n">
        <v>0</v>
      </c>
      <c r="Q2852" t="n">
        <v>0</v>
      </c>
      <c r="R2852" s="2" t="inlineStr"/>
    </row>
    <row r="2853" ht="15" customHeight="1">
      <c r="A2853" t="inlineStr">
        <is>
          <t>A 39232-2025</t>
        </is>
      </c>
      <c r="B2853" s="1" t="n">
        <v>45889.31090277778</v>
      </c>
      <c r="C2853" s="1" t="n">
        <v>46086</v>
      </c>
      <c r="D2853" t="inlineStr">
        <is>
          <t>GÄVLEBORGS LÄN</t>
        </is>
      </c>
      <c r="E2853" t="inlineStr">
        <is>
          <t>HUDIKSVALL</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17271-2022</t>
        </is>
      </c>
      <c r="B2854" s="1" t="n">
        <v>44678</v>
      </c>
      <c r="C2854" s="1" t="n">
        <v>46086</v>
      </c>
      <c r="D2854" t="inlineStr">
        <is>
          <t>GÄVLEBORGS LÄN</t>
        </is>
      </c>
      <c r="E2854" t="inlineStr">
        <is>
          <t>NORDANSTIG</t>
        </is>
      </c>
      <c r="F2854" t="inlineStr">
        <is>
          <t>Holmen skog AB</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42253-2024</t>
        </is>
      </c>
      <c r="B2855" s="1" t="n">
        <v>45562.58115740741</v>
      </c>
      <c r="C2855" s="1" t="n">
        <v>46086</v>
      </c>
      <c r="D2855" t="inlineStr">
        <is>
          <t>GÄVLEBORGS LÄN</t>
        </is>
      </c>
      <c r="E2855" t="inlineStr">
        <is>
          <t>NORDANSTIG</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28424-2025</t>
        </is>
      </c>
      <c r="B2856" s="1" t="n">
        <v>45819.36444444444</v>
      </c>
      <c r="C2856" s="1" t="n">
        <v>46086</v>
      </c>
      <c r="D2856" t="inlineStr">
        <is>
          <t>GÄVLEBORGS LÄN</t>
        </is>
      </c>
      <c r="E2856" t="inlineStr">
        <is>
          <t>SANDVIKEN</t>
        </is>
      </c>
      <c r="G2856" t="n">
        <v>6.8</v>
      </c>
      <c r="H2856" t="n">
        <v>0</v>
      </c>
      <c r="I2856" t="n">
        <v>0</v>
      </c>
      <c r="J2856" t="n">
        <v>0</v>
      </c>
      <c r="K2856" t="n">
        <v>0</v>
      </c>
      <c r="L2856" t="n">
        <v>0</v>
      </c>
      <c r="M2856" t="n">
        <v>0</v>
      </c>
      <c r="N2856" t="n">
        <v>0</v>
      </c>
      <c r="O2856" t="n">
        <v>0</v>
      </c>
      <c r="P2856" t="n">
        <v>0</v>
      </c>
      <c r="Q2856" t="n">
        <v>0</v>
      </c>
      <c r="R2856" s="2" t="inlineStr"/>
    </row>
    <row r="2857" ht="15" customHeight="1">
      <c r="A2857" t="inlineStr">
        <is>
          <t>A 28434-2025</t>
        </is>
      </c>
      <c r="B2857" s="1" t="n">
        <v>45819.38166666667</v>
      </c>
      <c r="C2857" s="1" t="n">
        <v>46086</v>
      </c>
      <c r="D2857" t="inlineStr">
        <is>
          <t>GÄVLEBORGS LÄN</t>
        </is>
      </c>
      <c r="E2857" t="inlineStr">
        <is>
          <t>OVANÅKER</t>
        </is>
      </c>
      <c r="F2857" t="inlineStr">
        <is>
          <t>Bergvik skog väst AB</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28446-2025</t>
        </is>
      </c>
      <c r="B2858" s="1" t="n">
        <v>45819.39910879629</v>
      </c>
      <c r="C2858" s="1" t="n">
        <v>46086</v>
      </c>
      <c r="D2858" t="inlineStr">
        <is>
          <t>GÄVLEBORGS LÄN</t>
        </is>
      </c>
      <c r="E2858" t="inlineStr">
        <is>
          <t>BOLLNÄS</t>
        </is>
      </c>
      <c r="G2858" t="n">
        <v>5</v>
      </c>
      <c r="H2858" t="n">
        <v>0</v>
      </c>
      <c r="I2858" t="n">
        <v>0</v>
      </c>
      <c r="J2858" t="n">
        <v>0</v>
      </c>
      <c r="K2858" t="n">
        <v>0</v>
      </c>
      <c r="L2858" t="n">
        <v>0</v>
      </c>
      <c r="M2858" t="n">
        <v>0</v>
      </c>
      <c r="N2858" t="n">
        <v>0</v>
      </c>
      <c r="O2858" t="n">
        <v>0</v>
      </c>
      <c r="P2858" t="n">
        <v>0</v>
      </c>
      <c r="Q2858" t="n">
        <v>0</v>
      </c>
      <c r="R2858" s="2" t="inlineStr"/>
    </row>
    <row r="2859" ht="15" customHeight="1">
      <c r="A2859" t="inlineStr">
        <is>
          <t>A 28455-2025</t>
        </is>
      </c>
      <c r="B2859" s="1" t="n">
        <v>45819.4068287037</v>
      </c>
      <c r="C2859" s="1" t="n">
        <v>46086</v>
      </c>
      <c r="D2859" t="inlineStr">
        <is>
          <t>GÄVLEBORGS LÄN</t>
        </is>
      </c>
      <c r="E2859" t="inlineStr">
        <is>
          <t>BOLLNÄS</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28456-2025</t>
        </is>
      </c>
      <c r="B2860" s="1" t="n">
        <v>45819.40685185185</v>
      </c>
      <c r="C2860" s="1" t="n">
        <v>46086</v>
      </c>
      <c r="D2860" t="inlineStr">
        <is>
          <t>GÄVLEBORGS LÄN</t>
        </is>
      </c>
      <c r="E2860" t="inlineStr">
        <is>
          <t>HUDIKSVALL</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11429-2025</t>
        </is>
      </c>
      <c r="B2861" s="1" t="n">
        <v>45726.60840277778</v>
      </c>
      <c r="C2861" s="1" t="n">
        <v>46086</v>
      </c>
      <c r="D2861" t="inlineStr">
        <is>
          <t>GÄVLEBORGS LÄN</t>
        </is>
      </c>
      <c r="E2861" t="inlineStr">
        <is>
          <t>GÄVLE</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28241-2025</t>
        </is>
      </c>
      <c r="B2862" s="1" t="n">
        <v>45818.50731481481</v>
      </c>
      <c r="C2862" s="1" t="n">
        <v>46086</v>
      </c>
      <c r="D2862" t="inlineStr">
        <is>
          <t>GÄVLEBORGS LÄN</t>
        </is>
      </c>
      <c r="E2862" t="inlineStr">
        <is>
          <t>NORDANSTIG</t>
        </is>
      </c>
      <c r="G2862" t="n">
        <v>9.800000000000001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28245-2025</t>
        </is>
      </c>
      <c r="B2863" s="1" t="n">
        <v>45818.51226851852</v>
      </c>
      <c r="C2863" s="1" t="n">
        <v>46086</v>
      </c>
      <c r="D2863" t="inlineStr">
        <is>
          <t>GÄVLEBORGS LÄN</t>
        </is>
      </c>
      <c r="E2863" t="inlineStr">
        <is>
          <t>NORDANSTIG</t>
        </is>
      </c>
      <c r="G2863" t="n">
        <v>5.6</v>
      </c>
      <c r="H2863" t="n">
        <v>0</v>
      </c>
      <c r="I2863" t="n">
        <v>0</v>
      </c>
      <c r="J2863" t="n">
        <v>0</v>
      </c>
      <c r="K2863" t="n">
        <v>0</v>
      </c>
      <c r="L2863" t="n">
        <v>0</v>
      </c>
      <c r="M2863" t="n">
        <v>0</v>
      </c>
      <c r="N2863" t="n">
        <v>0</v>
      </c>
      <c r="O2863" t="n">
        <v>0</v>
      </c>
      <c r="P2863" t="n">
        <v>0</v>
      </c>
      <c r="Q2863" t="n">
        <v>0</v>
      </c>
      <c r="R2863" s="2" t="inlineStr"/>
    </row>
    <row r="2864" ht="15" customHeight="1">
      <c r="A2864" t="inlineStr">
        <is>
          <t>A 30673-2025</t>
        </is>
      </c>
      <c r="B2864" s="1" t="n">
        <v>45831.51881944444</v>
      </c>
      <c r="C2864" s="1" t="n">
        <v>46086</v>
      </c>
      <c r="D2864" t="inlineStr">
        <is>
          <t>GÄVLEBORGS LÄN</t>
        </is>
      </c>
      <c r="E2864" t="inlineStr">
        <is>
          <t>LJUSDAL</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603-2025</t>
        </is>
      </c>
      <c r="B2865" s="1" t="n">
        <v>45664</v>
      </c>
      <c r="C2865" s="1" t="n">
        <v>46086</v>
      </c>
      <c r="D2865" t="inlineStr">
        <is>
          <t>GÄVLEBORGS LÄN</t>
        </is>
      </c>
      <c r="E2865" t="inlineStr">
        <is>
          <t>HUDIKSVALL</t>
        </is>
      </c>
      <c r="F2865" t="inlineStr">
        <is>
          <t>Holmen skog AB</t>
        </is>
      </c>
      <c r="G2865" t="n">
        <v>5.2</v>
      </c>
      <c r="H2865" t="n">
        <v>0</v>
      </c>
      <c r="I2865" t="n">
        <v>0</v>
      </c>
      <c r="J2865" t="n">
        <v>0</v>
      </c>
      <c r="K2865" t="n">
        <v>0</v>
      </c>
      <c r="L2865" t="n">
        <v>0</v>
      </c>
      <c r="M2865" t="n">
        <v>0</v>
      </c>
      <c r="N2865" t="n">
        <v>0</v>
      </c>
      <c r="O2865" t="n">
        <v>0</v>
      </c>
      <c r="P2865" t="n">
        <v>0</v>
      </c>
      <c r="Q2865" t="n">
        <v>0</v>
      </c>
      <c r="R2865" s="2" t="inlineStr"/>
    </row>
    <row r="2866" ht="15" customHeight="1">
      <c r="A2866" t="inlineStr">
        <is>
          <t>A 5059-2023</t>
        </is>
      </c>
      <c r="B2866" s="1" t="n">
        <v>44958</v>
      </c>
      <c r="C2866" s="1" t="n">
        <v>46086</v>
      </c>
      <c r="D2866" t="inlineStr">
        <is>
          <t>GÄVLEBORGS LÄN</t>
        </is>
      </c>
      <c r="E2866" t="inlineStr">
        <is>
          <t>OVANÅKER</t>
        </is>
      </c>
      <c r="G2866" t="n">
        <v>0.2</v>
      </c>
      <c r="H2866" t="n">
        <v>0</v>
      </c>
      <c r="I2866" t="n">
        <v>0</v>
      </c>
      <c r="J2866" t="n">
        <v>0</v>
      </c>
      <c r="K2866" t="n">
        <v>0</v>
      </c>
      <c r="L2866" t="n">
        <v>0</v>
      </c>
      <c r="M2866" t="n">
        <v>0</v>
      </c>
      <c r="N2866" t="n">
        <v>0</v>
      </c>
      <c r="O2866" t="n">
        <v>0</v>
      </c>
      <c r="P2866" t="n">
        <v>0</v>
      </c>
      <c r="Q2866" t="n">
        <v>0</v>
      </c>
      <c r="R2866" s="2" t="inlineStr"/>
    </row>
    <row r="2867" ht="15" customHeight="1">
      <c r="A2867" t="inlineStr">
        <is>
          <t>A 28476-2025</t>
        </is>
      </c>
      <c r="B2867" s="1" t="n">
        <v>45819.44342592593</v>
      </c>
      <c r="C2867" s="1" t="n">
        <v>46086</v>
      </c>
      <c r="D2867" t="inlineStr">
        <is>
          <t>GÄVLEBORGS LÄN</t>
        </is>
      </c>
      <c r="E2867" t="inlineStr">
        <is>
          <t>SANDVIKEN</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13094-2023</t>
        </is>
      </c>
      <c r="B2868" s="1" t="n">
        <v>45002.43677083333</v>
      </c>
      <c r="C2868" s="1" t="n">
        <v>46086</v>
      </c>
      <c r="D2868" t="inlineStr">
        <is>
          <t>GÄVLEBORGS LÄN</t>
        </is>
      </c>
      <c r="E2868" t="inlineStr">
        <is>
          <t>LJUSDAL</t>
        </is>
      </c>
      <c r="F2868" t="inlineStr">
        <is>
          <t>Holmen skog AB</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28496-2025</t>
        </is>
      </c>
      <c r="B2869" s="1" t="n">
        <v>45819.46984953704</v>
      </c>
      <c r="C2869" s="1" t="n">
        <v>46086</v>
      </c>
      <c r="D2869" t="inlineStr">
        <is>
          <t>GÄVLEBORGS LÄN</t>
        </is>
      </c>
      <c r="E2869" t="inlineStr">
        <is>
          <t>OVANÅKER</t>
        </is>
      </c>
      <c r="F2869" t="inlineStr">
        <is>
          <t>Bergvik skog väst AB</t>
        </is>
      </c>
      <c r="G2869" t="n">
        <v>4.7</v>
      </c>
      <c r="H2869" t="n">
        <v>0</v>
      </c>
      <c r="I2869" t="n">
        <v>0</v>
      </c>
      <c r="J2869" t="n">
        <v>0</v>
      </c>
      <c r="K2869" t="n">
        <v>0</v>
      </c>
      <c r="L2869" t="n">
        <v>0</v>
      </c>
      <c r="M2869" t="n">
        <v>0</v>
      </c>
      <c r="N2869" t="n">
        <v>0</v>
      </c>
      <c r="O2869" t="n">
        <v>0</v>
      </c>
      <c r="P2869" t="n">
        <v>0</v>
      </c>
      <c r="Q2869" t="n">
        <v>0</v>
      </c>
      <c r="R2869" s="2" t="inlineStr"/>
    </row>
    <row r="2870" ht="15" customHeight="1">
      <c r="A2870" t="inlineStr">
        <is>
          <t>A 13123-2023</t>
        </is>
      </c>
      <c r="B2870" s="1" t="n">
        <v>45002.49291666667</v>
      </c>
      <c r="C2870" s="1" t="n">
        <v>46086</v>
      </c>
      <c r="D2870" t="inlineStr">
        <is>
          <t>GÄVLEBORGS LÄN</t>
        </is>
      </c>
      <c r="E2870" t="inlineStr">
        <is>
          <t>OVANÅKER</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39283-2025</t>
        </is>
      </c>
      <c r="B2871" s="1" t="n">
        <v>45889.40511574074</v>
      </c>
      <c r="C2871" s="1" t="n">
        <v>46086</v>
      </c>
      <c r="D2871" t="inlineStr">
        <is>
          <t>GÄVLEBORGS LÄN</t>
        </is>
      </c>
      <c r="E2871" t="inlineStr">
        <is>
          <t>SANDVIKEN</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39108-2025</t>
        </is>
      </c>
      <c r="B2872" s="1" t="n">
        <v>45888.53942129629</v>
      </c>
      <c r="C2872" s="1" t="n">
        <v>46086</v>
      </c>
      <c r="D2872" t="inlineStr">
        <is>
          <t>GÄVLEBORGS LÄN</t>
        </is>
      </c>
      <c r="E2872" t="inlineStr">
        <is>
          <t>LJUSDAL</t>
        </is>
      </c>
      <c r="F2872" t="inlineStr">
        <is>
          <t>Allmännings- och besparingsskogar</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44703-2024</t>
        </is>
      </c>
      <c r="B2873" s="1" t="n">
        <v>45574</v>
      </c>
      <c r="C2873" s="1" t="n">
        <v>46086</v>
      </c>
      <c r="D2873" t="inlineStr">
        <is>
          <t>GÄVLEBORGS LÄN</t>
        </is>
      </c>
      <c r="E2873" t="inlineStr">
        <is>
          <t>SÖDERHAMN</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4482-2022</t>
        </is>
      </c>
      <c r="B2874" s="1" t="n">
        <v>44589</v>
      </c>
      <c r="C2874" s="1" t="n">
        <v>46086</v>
      </c>
      <c r="D2874" t="inlineStr">
        <is>
          <t>GÄVLEBORGS LÄN</t>
        </is>
      </c>
      <c r="E2874" t="inlineStr">
        <is>
          <t>GÄVLE</t>
        </is>
      </c>
      <c r="F2874" t="inlineStr">
        <is>
          <t>Bergvik skog öst AB</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24056-2024</t>
        </is>
      </c>
      <c r="B2875" s="1" t="n">
        <v>45456.52451388889</v>
      </c>
      <c r="C2875" s="1" t="n">
        <v>46086</v>
      </c>
      <c r="D2875" t="inlineStr">
        <is>
          <t>GÄVLEBORGS LÄN</t>
        </is>
      </c>
      <c r="E2875" t="inlineStr">
        <is>
          <t>OVANÅKER</t>
        </is>
      </c>
      <c r="F2875" t="inlineStr">
        <is>
          <t>Bergvik skog väst AB</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8-2026</t>
        </is>
      </c>
      <c r="B2876" s="1" t="n">
        <v>46023</v>
      </c>
      <c r="C2876" s="1" t="n">
        <v>46086</v>
      </c>
      <c r="D2876" t="inlineStr">
        <is>
          <t>GÄVLEBORGS LÄN</t>
        </is>
      </c>
      <c r="E2876" t="inlineStr">
        <is>
          <t>BOLLNÄS</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29014-2025</t>
        </is>
      </c>
      <c r="B2877" s="1" t="n">
        <v>45821.40796296296</v>
      </c>
      <c r="C2877" s="1" t="n">
        <v>46086</v>
      </c>
      <c r="D2877" t="inlineStr">
        <is>
          <t>GÄVLEBORGS LÄN</t>
        </is>
      </c>
      <c r="E2877" t="inlineStr">
        <is>
          <t>LJUSDAL</t>
        </is>
      </c>
      <c r="F2877" t="inlineStr">
        <is>
          <t>Bergvik skog väst AB</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24074-2024</t>
        </is>
      </c>
      <c r="B2878" s="1" t="n">
        <v>45456</v>
      </c>
      <c r="C2878" s="1" t="n">
        <v>46086</v>
      </c>
      <c r="D2878" t="inlineStr">
        <is>
          <t>GÄVLEBORGS LÄN</t>
        </is>
      </c>
      <c r="E2878" t="inlineStr">
        <is>
          <t>OVANÅKER</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29493-2025</t>
        </is>
      </c>
      <c r="B2879" s="1" t="n">
        <v>45824.80202546297</v>
      </c>
      <c r="C2879" s="1" t="n">
        <v>46086</v>
      </c>
      <c r="D2879" t="inlineStr">
        <is>
          <t>GÄVLEBORGS LÄN</t>
        </is>
      </c>
      <c r="E2879" t="inlineStr">
        <is>
          <t>LJUSDAL</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28809-2025</t>
        </is>
      </c>
      <c r="B2880" s="1" t="n">
        <v>45820.5178125</v>
      </c>
      <c r="C2880" s="1" t="n">
        <v>46086</v>
      </c>
      <c r="D2880" t="inlineStr">
        <is>
          <t>GÄVLEBORGS LÄN</t>
        </is>
      </c>
      <c r="E2880" t="inlineStr">
        <is>
          <t>HUDIKSVALL</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39012-2025</t>
        </is>
      </c>
      <c r="B2881" s="1" t="n">
        <v>45888.35570601852</v>
      </c>
      <c r="C2881" s="1" t="n">
        <v>46086</v>
      </c>
      <c r="D2881" t="inlineStr">
        <is>
          <t>GÄVLEBORGS LÄN</t>
        </is>
      </c>
      <c r="E2881" t="inlineStr">
        <is>
          <t>LJUSDAL</t>
        </is>
      </c>
      <c r="F2881" t="inlineStr">
        <is>
          <t>Allmännings- och besparingsskogar</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39036-2025</t>
        </is>
      </c>
      <c r="B2882" s="1" t="n">
        <v>45888.42379629629</v>
      </c>
      <c r="C2882" s="1" t="n">
        <v>46086</v>
      </c>
      <c r="D2882" t="inlineStr">
        <is>
          <t>GÄVLEBORGS LÄN</t>
        </is>
      </c>
      <c r="E2882" t="inlineStr">
        <is>
          <t>NORDANSTIG</t>
        </is>
      </c>
      <c r="F2882" t="inlineStr">
        <is>
          <t>Holmen skog AB</t>
        </is>
      </c>
      <c r="G2882" t="n">
        <v>8</v>
      </c>
      <c r="H2882" t="n">
        <v>0</v>
      </c>
      <c r="I2882" t="n">
        <v>0</v>
      </c>
      <c r="J2882" t="n">
        <v>0</v>
      </c>
      <c r="K2882" t="n">
        <v>0</v>
      </c>
      <c r="L2882" t="n">
        <v>0</v>
      </c>
      <c r="M2882" t="n">
        <v>0</v>
      </c>
      <c r="N2882" t="n">
        <v>0</v>
      </c>
      <c r="O2882" t="n">
        <v>0</v>
      </c>
      <c r="P2882" t="n">
        <v>0</v>
      </c>
      <c r="Q2882" t="n">
        <v>0</v>
      </c>
      <c r="R2882" s="2" t="inlineStr"/>
    </row>
    <row r="2883" ht="15" customHeight="1">
      <c r="A2883" t="inlineStr">
        <is>
          <t>A 28903-2025</t>
        </is>
      </c>
      <c r="B2883" s="1" t="n">
        <v>45820.64299768519</v>
      </c>
      <c r="C2883" s="1" t="n">
        <v>46086</v>
      </c>
      <c r="D2883" t="inlineStr">
        <is>
          <t>GÄVLEBORGS LÄN</t>
        </is>
      </c>
      <c r="E2883" t="inlineStr">
        <is>
          <t>LJUSDAL</t>
        </is>
      </c>
      <c r="F2883" t="inlineStr">
        <is>
          <t>Bergvik skog väst AB</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39215-2025</t>
        </is>
      </c>
      <c r="B2884" s="1" t="n">
        <v>45888.79549768518</v>
      </c>
      <c r="C2884" s="1" t="n">
        <v>46086</v>
      </c>
      <c r="D2884" t="inlineStr">
        <is>
          <t>GÄVLEBORGS LÄN</t>
        </is>
      </c>
      <c r="E2884" t="inlineStr">
        <is>
          <t>LJUSDAL</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39244-2025</t>
        </is>
      </c>
      <c r="B2885" s="1" t="n">
        <v>45889.34674768519</v>
      </c>
      <c r="C2885" s="1" t="n">
        <v>46086</v>
      </c>
      <c r="D2885" t="inlineStr">
        <is>
          <t>GÄVLEBORGS LÄN</t>
        </is>
      </c>
      <c r="E2885" t="inlineStr">
        <is>
          <t>HUDIKSVALL</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8654-2025</t>
        </is>
      </c>
      <c r="B2886" s="1" t="n">
        <v>45712</v>
      </c>
      <c r="C2886" s="1" t="n">
        <v>46086</v>
      </c>
      <c r="D2886" t="inlineStr">
        <is>
          <t>GÄVLEBORGS LÄN</t>
        </is>
      </c>
      <c r="E2886" t="inlineStr">
        <is>
          <t>HUDIKSVALL</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19657-2023</t>
        </is>
      </c>
      <c r="B2887" s="1" t="n">
        <v>45051</v>
      </c>
      <c r="C2887" s="1" t="n">
        <v>46086</v>
      </c>
      <c r="D2887" t="inlineStr">
        <is>
          <t>GÄVLEBORGS LÄN</t>
        </is>
      </c>
      <c r="E2887" t="inlineStr">
        <is>
          <t>OVANÅKER</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39124-2025</t>
        </is>
      </c>
      <c r="B2888" s="1" t="n">
        <v>45888.58320601852</v>
      </c>
      <c r="C2888" s="1" t="n">
        <v>46086</v>
      </c>
      <c r="D2888" t="inlineStr">
        <is>
          <t>GÄVLEBORGS LÄN</t>
        </is>
      </c>
      <c r="E2888" t="inlineStr">
        <is>
          <t>OVANÅKER</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28966-2025</t>
        </is>
      </c>
      <c r="B2889" s="1" t="n">
        <v>45821.34212962963</v>
      </c>
      <c r="C2889" s="1" t="n">
        <v>46086</v>
      </c>
      <c r="D2889" t="inlineStr">
        <is>
          <t>GÄVLEBORGS LÄN</t>
        </is>
      </c>
      <c r="E2889" t="inlineStr">
        <is>
          <t>OCKELBO</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39360-2025</t>
        </is>
      </c>
      <c r="B2890" s="1" t="n">
        <v>45889.55805555556</v>
      </c>
      <c r="C2890" s="1" t="n">
        <v>46086</v>
      </c>
      <c r="D2890" t="inlineStr">
        <is>
          <t>GÄVLEBORGS LÄN</t>
        </is>
      </c>
      <c r="E2890" t="inlineStr">
        <is>
          <t>OCKELBO</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59128-2024</t>
        </is>
      </c>
      <c r="B2891" s="1" t="n">
        <v>45637</v>
      </c>
      <c r="C2891" s="1" t="n">
        <v>46086</v>
      </c>
      <c r="D2891" t="inlineStr">
        <is>
          <t>GÄVLEBORGS LÄN</t>
        </is>
      </c>
      <c r="E2891" t="inlineStr">
        <is>
          <t>NORDANSTIG</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59130-2024</t>
        </is>
      </c>
      <c r="B2892" s="1" t="n">
        <v>45637</v>
      </c>
      <c r="C2892" s="1" t="n">
        <v>46086</v>
      </c>
      <c r="D2892" t="inlineStr">
        <is>
          <t>GÄVLEBORGS LÄN</t>
        </is>
      </c>
      <c r="E2892" t="inlineStr">
        <is>
          <t>HOFORS</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29110-2025</t>
        </is>
      </c>
      <c r="B2893" s="1" t="n">
        <v>45821.58282407407</v>
      </c>
      <c r="C2893" s="1" t="n">
        <v>46086</v>
      </c>
      <c r="D2893" t="inlineStr">
        <is>
          <t>GÄVLEBORGS LÄN</t>
        </is>
      </c>
      <c r="E2893" t="inlineStr">
        <is>
          <t>GÄVLE</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39381-2025</t>
        </is>
      </c>
      <c r="B2894" s="1" t="n">
        <v>45889.60896990741</v>
      </c>
      <c r="C2894" s="1" t="n">
        <v>46086</v>
      </c>
      <c r="D2894" t="inlineStr">
        <is>
          <t>GÄVLEBORGS LÄN</t>
        </is>
      </c>
      <c r="E2894" t="inlineStr">
        <is>
          <t>SANDVIKEN</t>
        </is>
      </c>
      <c r="G2894" t="n">
        <v>5.2</v>
      </c>
      <c r="H2894" t="n">
        <v>0</v>
      </c>
      <c r="I2894" t="n">
        <v>0</v>
      </c>
      <c r="J2894" t="n">
        <v>0</v>
      </c>
      <c r="K2894" t="n">
        <v>0</v>
      </c>
      <c r="L2894" t="n">
        <v>0</v>
      </c>
      <c r="M2894" t="n">
        <v>0</v>
      </c>
      <c r="N2894" t="n">
        <v>0</v>
      </c>
      <c r="O2894" t="n">
        <v>0</v>
      </c>
      <c r="P2894" t="n">
        <v>0</v>
      </c>
      <c r="Q2894" t="n">
        <v>0</v>
      </c>
      <c r="R2894" s="2" t="inlineStr"/>
    </row>
    <row r="2895" ht="15" customHeight="1">
      <c r="A2895" t="inlineStr">
        <is>
          <t>A 28963-2025</t>
        </is>
      </c>
      <c r="B2895" s="1" t="n">
        <v>45821.32741898148</v>
      </c>
      <c r="C2895" s="1" t="n">
        <v>46086</v>
      </c>
      <c r="D2895" t="inlineStr">
        <is>
          <t>GÄVLEBORGS LÄN</t>
        </is>
      </c>
      <c r="E2895" t="inlineStr">
        <is>
          <t>OCKELBO</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28776-2025</t>
        </is>
      </c>
      <c r="B2896" s="1" t="n">
        <v>45820.44554398148</v>
      </c>
      <c r="C2896" s="1" t="n">
        <v>46086</v>
      </c>
      <c r="D2896" t="inlineStr">
        <is>
          <t>GÄVLEBORGS LÄN</t>
        </is>
      </c>
      <c r="E2896" t="inlineStr">
        <is>
          <t>OVANÅKER</t>
        </is>
      </c>
      <c r="G2896" t="n">
        <v>4.8</v>
      </c>
      <c r="H2896" t="n">
        <v>0</v>
      </c>
      <c r="I2896" t="n">
        <v>0</v>
      </c>
      <c r="J2896" t="n">
        <v>0</v>
      </c>
      <c r="K2896" t="n">
        <v>0</v>
      </c>
      <c r="L2896" t="n">
        <v>0</v>
      </c>
      <c r="M2896" t="n">
        <v>0</v>
      </c>
      <c r="N2896" t="n">
        <v>0</v>
      </c>
      <c r="O2896" t="n">
        <v>0</v>
      </c>
      <c r="P2896" t="n">
        <v>0</v>
      </c>
      <c r="Q2896" t="n">
        <v>0</v>
      </c>
      <c r="R2896" s="2" t="inlineStr"/>
    </row>
    <row r="2897" ht="15" customHeight="1">
      <c r="A2897" t="inlineStr">
        <is>
          <t>A 17475-2025</t>
        </is>
      </c>
      <c r="B2897" s="1" t="n">
        <v>45757.48234953704</v>
      </c>
      <c r="C2897" s="1" t="n">
        <v>46086</v>
      </c>
      <c r="D2897" t="inlineStr">
        <is>
          <t>GÄVLEBORGS LÄN</t>
        </is>
      </c>
      <c r="E2897" t="inlineStr">
        <is>
          <t>LJUSDAL</t>
        </is>
      </c>
      <c r="G2897" t="n">
        <v>8.199999999999999</v>
      </c>
      <c r="H2897" t="n">
        <v>0</v>
      </c>
      <c r="I2897" t="n">
        <v>0</v>
      </c>
      <c r="J2897" t="n">
        <v>0</v>
      </c>
      <c r="K2897" t="n">
        <v>0</v>
      </c>
      <c r="L2897" t="n">
        <v>0</v>
      </c>
      <c r="M2897" t="n">
        <v>0</v>
      </c>
      <c r="N2897" t="n">
        <v>0</v>
      </c>
      <c r="O2897" t="n">
        <v>0</v>
      </c>
      <c r="P2897" t="n">
        <v>0</v>
      </c>
      <c r="Q2897" t="n">
        <v>0</v>
      </c>
      <c r="R2897" s="2" t="inlineStr"/>
    </row>
    <row r="2898" ht="15" customHeight="1">
      <c r="A2898" t="inlineStr">
        <is>
          <t>A 58783-2022</t>
        </is>
      </c>
      <c r="B2898" s="1" t="n">
        <v>44903</v>
      </c>
      <c r="C2898" s="1" t="n">
        <v>46086</v>
      </c>
      <c r="D2898" t="inlineStr">
        <is>
          <t>GÄVLEBORGS LÄN</t>
        </is>
      </c>
      <c r="E2898" t="inlineStr">
        <is>
          <t>LJUSDAL</t>
        </is>
      </c>
      <c r="F2898" t="inlineStr">
        <is>
          <t>Kyrkan</t>
        </is>
      </c>
      <c r="G2898" t="n">
        <v>5.1</v>
      </c>
      <c r="H2898" t="n">
        <v>0</v>
      </c>
      <c r="I2898" t="n">
        <v>0</v>
      </c>
      <c r="J2898" t="n">
        <v>0</v>
      </c>
      <c r="K2898" t="n">
        <v>0</v>
      </c>
      <c r="L2898" t="n">
        <v>0</v>
      </c>
      <c r="M2898" t="n">
        <v>0</v>
      </c>
      <c r="N2898" t="n">
        <v>0</v>
      </c>
      <c r="O2898" t="n">
        <v>0</v>
      </c>
      <c r="P2898" t="n">
        <v>0</v>
      </c>
      <c r="Q2898" t="n">
        <v>0</v>
      </c>
      <c r="R2898" s="2" t="inlineStr"/>
    </row>
    <row r="2899" ht="15" customHeight="1">
      <c r="A2899" t="inlineStr">
        <is>
          <t>A 28955-2025</t>
        </is>
      </c>
      <c r="B2899" s="1" t="n">
        <v>45821.28813657408</v>
      </c>
      <c r="C2899" s="1" t="n">
        <v>46086</v>
      </c>
      <c r="D2899" t="inlineStr">
        <is>
          <t>GÄVLEBORGS LÄN</t>
        </is>
      </c>
      <c r="E2899" t="inlineStr">
        <is>
          <t>LJUSDAL</t>
        </is>
      </c>
      <c r="F2899" t="inlineStr">
        <is>
          <t>Bergvik skog väst AB</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29033-2025</t>
        </is>
      </c>
      <c r="B2900" s="1" t="n">
        <v>45821.44239583334</v>
      </c>
      <c r="C2900" s="1" t="n">
        <v>46086</v>
      </c>
      <c r="D2900" t="inlineStr">
        <is>
          <t>GÄVLEBORGS LÄN</t>
        </is>
      </c>
      <c r="E2900" t="inlineStr">
        <is>
          <t>OVANÅKER</t>
        </is>
      </c>
      <c r="G2900" t="n">
        <v>21.1</v>
      </c>
      <c r="H2900" t="n">
        <v>0</v>
      </c>
      <c r="I2900" t="n">
        <v>0</v>
      </c>
      <c r="J2900" t="n">
        <v>0</v>
      </c>
      <c r="K2900" t="n">
        <v>0</v>
      </c>
      <c r="L2900" t="n">
        <v>0</v>
      </c>
      <c r="M2900" t="n">
        <v>0</v>
      </c>
      <c r="N2900" t="n">
        <v>0</v>
      </c>
      <c r="O2900" t="n">
        <v>0</v>
      </c>
      <c r="P2900" t="n">
        <v>0</v>
      </c>
      <c r="Q2900" t="n">
        <v>0</v>
      </c>
      <c r="R2900" s="2" t="inlineStr"/>
    </row>
    <row r="2901" ht="15" customHeight="1">
      <c r="A2901" t="inlineStr">
        <is>
          <t>A 29076-2025</t>
        </is>
      </c>
      <c r="B2901" s="1" t="n">
        <v>45821.52070601852</v>
      </c>
      <c r="C2901" s="1" t="n">
        <v>46086</v>
      </c>
      <c r="D2901" t="inlineStr">
        <is>
          <t>GÄVLEBORGS LÄN</t>
        </is>
      </c>
      <c r="E2901" t="inlineStr">
        <is>
          <t>GÄVLE</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30961-2025</t>
        </is>
      </c>
      <c r="B2902" s="1" t="n">
        <v>45832.44423611111</v>
      </c>
      <c r="C2902" s="1" t="n">
        <v>46086</v>
      </c>
      <c r="D2902" t="inlineStr">
        <is>
          <t>GÄVLEBORGS LÄN</t>
        </is>
      </c>
      <c r="E2902" t="inlineStr">
        <is>
          <t>LJUSDAL</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1576-2025</t>
        </is>
      </c>
      <c r="B2903" s="1" t="n">
        <v>45670.55952546297</v>
      </c>
      <c r="C2903" s="1" t="n">
        <v>46086</v>
      </c>
      <c r="D2903" t="inlineStr">
        <is>
          <t>GÄVLEBORGS LÄN</t>
        </is>
      </c>
      <c r="E2903" t="inlineStr">
        <is>
          <t>NORDANSTIG</t>
        </is>
      </c>
      <c r="F2903" t="inlineStr">
        <is>
          <t>Holmen skog AB</t>
        </is>
      </c>
      <c r="G2903" t="n">
        <v>5.6</v>
      </c>
      <c r="H2903" t="n">
        <v>0</v>
      </c>
      <c r="I2903" t="n">
        <v>0</v>
      </c>
      <c r="J2903" t="n">
        <v>0</v>
      </c>
      <c r="K2903" t="n">
        <v>0</v>
      </c>
      <c r="L2903" t="n">
        <v>0</v>
      </c>
      <c r="M2903" t="n">
        <v>0</v>
      </c>
      <c r="N2903" t="n">
        <v>0</v>
      </c>
      <c r="O2903" t="n">
        <v>0</v>
      </c>
      <c r="P2903" t="n">
        <v>0</v>
      </c>
      <c r="Q2903" t="n">
        <v>0</v>
      </c>
      <c r="R2903" s="2" t="inlineStr"/>
    </row>
    <row r="2904" ht="15" customHeight="1">
      <c r="A2904" t="inlineStr">
        <is>
          <t>A 28931-2025</t>
        </is>
      </c>
      <c r="B2904" s="1" t="n">
        <v>45820.67806712963</v>
      </c>
      <c r="C2904" s="1" t="n">
        <v>46086</v>
      </c>
      <c r="D2904" t="inlineStr">
        <is>
          <t>GÄVLEBORGS LÄN</t>
        </is>
      </c>
      <c r="E2904" t="inlineStr">
        <is>
          <t>GÄVLE</t>
        </is>
      </c>
      <c r="G2904" t="n">
        <v>5.9</v>
      </c>
      <c r="H2904" t="n">
        <v>0</v>
      </c>
      <c r="I2904" t="n">
        <v>0</v>
      </c>
      <c r="J2904" t="n">
        <v>0</v>
      </c>
      <c r="K2904" t="n">
        <v>0</v>
      </c>
      <c r="L2904" t="n">
        <v>0</v>
      </c>
      <c r="M2904" t="n">
        <v>0</v>
      </c>
      <c r="N2904" t="n">
        <v>0</v>
      </c>
      <c r="O2904" t="n">
        <v>0</v>
      </c>
      <c r="P2904" t="n">
        <v>0</v>
      </c>
      <c r="Q2904" t="n">
        <v>0</v>
      </c>
      <c r="R2904" s="2" t="inlineStr"/>
    </row>
    <row r="2905" ht="15" customHeight="1">
      <c r="A2905" t="inlineStr">
        <is>
          <t>A 2359-2026</t>
        </is>
      </c>
      <c r="B2905" s="1" t="n">
        <v>46036.639375</v>
      </c>
      <c r="C2905" s="1" t="n">
        <v>46086</v>
      </c>
      <c r="D2905" t="inlineStr">
        <is>
          <t>GÄVLEBORGS LÄN</t>
        </is>
      </c>
      <c r="E2905" t="inlineStr">
        <is>
          <t>NORDANSTIG</t>
        </is>
      </c>
      <c r="F2905" t="inlineStr">
        <is>
          <t>Holmen skog AB</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9031-2026</t>
        </is>
      </c>
      <c r="B2906" s="1" t="n">
        <v>46069</v>
      </c>
      <c r="C2906" s="1" t="n">
        <v>46086</v>
      </c>
      <c r="D2906" t="inlineStr">
        <is>
          <t>GÄVLEBORGS LÄN</t>
        </is>
      </c>
      <c r="E2906" t="inlineStr">
        <is>
          <t>NORDANSTIG</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2498-2026</t>
        </is>
      </c>
      <c r="B2907" s="1" t="n">
        <v>46037</v>
      </c>
      <c r="C2907" s="1" t="n">
        <v>46086</v>
      </c>
      <c r="D2907" t="inlineStr">
        <is>
          <t>GÄVLEBORGS LÄN</t>
        </is>
      </c>
      <c r="E2907" t="inlineStr">
        <is>
          <t>HUDIKSVALL</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54926-2024</t>
        </is>
      </c>
      <c r="B2908" s="1" t="n">
        <v>45618.71902777778</v>
      </c>
      <c r="C2908" s="1" t="n">
        <v>46086</v>
      </c>
      <c r="D2908" t="inlineStr">
        <is>
          <t>GÄVLEBORGS LÄN</t>
        </is>
      </c>
      <c r="E2908" t="inlineStr">
        <is>
          <t>LJUSDAL</t>
        </is>
      </c>
      <c r="F2908" t="inlineStr">
        <is>
          <t>SCA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55477-2024</t>
        </is>
      </c>
      <c r="B2909" s="1" t="n">
        <v>45622</v>
      </c>
      <c r="C2909" s="1" t="n">
        <v>46086</v>
      </c>
      <c r="D2909" t="inlineStr">
        <is>
          <t>GÄVLEBORGS LÄN</t>
        </is>
      </c>
      <c r="E2909" t="inlineStr">
        <is>
          <t>NORDANSTIG</t>
        </is>
      </c>
      <c r="F2909" t="inlineStr">
        <is>
          <t>Holmen skog AB</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55494-2024</t>
        </is>
      </c>
      <c r="B2910" s="1" t="n">
        <v>45622</v>
      </c>
      <c r="C2910" s="1" t="n">
        <v>46086</v>
      </c>
      <c r="D2910" t="inlineStr">
        <is>
          <t>GÄVLEBORGS LÄN</t>
        </is>
      </c>
      <c r="E2910" t="inlineStr">
        <is>
          <t>NORDANSTIG</t>
        </is>
      </c>
      <c r="F2910" t="inlineStr">
        <is>
          <t>Holmen skog AB</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43121-2024</t>
        </is>
      </c>
      <c r="B2911" s="1" t="n">
        <v>45567.57664351852</v>
      </c>
      <c r="C2911" s="1" t="n">
        <v>46086</v>
      </c>
      <c r="D2911" t="inlineStr">
        <is>
          <t>GÄVLEBORGS LÄN</t>
        </is>
      </c>
      <c r="E2911" t="inlineStr">
        <is>
          <t>SANDVIKEN</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29158-2025</t>
        </is>
      </c>
      <c r="B2912" s="1" t="n">
        <v>45821.65914351852</v>
      </c>
      <c r="C2912" s="1" t="n">
        <v>46086</v>
      </c>
      <c r="D2912" t="inlineStr">
        <is>
          <t>GÄVLEBORGS LÄN</t>
        </is>
      </c>
      <c r="E2912" t="inlineStr">
        <is>
          <t>OCKELBO</t>
        </is>
      </c>
      <c r="F2912" t="inlineStr">
        <is>
          <t>Bergvik skog väst AB</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364-2024</t>
        </is>
      </c>
      <c r="B2913" s="1" t="n">
        <v>45295.92856481481</v>
      </c>
      <c r="C2913" s="1" t="n">
        <v>46086</v>
      </c>
      <c r="D2913" t="inlineStr">
        <is>
          <t>GÄVLEBORGS LÄN</t>
        </is>
      </c>
      <c r="E2913" t="inlineStr">
        <is>
          <t>HUDIKSVALL</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38990-2025</t>
        </is>
      </c>
      <c r="B2914" s="1" t="n">
        <v>45888.32341435185</v>
      </c>
      <c r="C2914" s="1" t="n">
        <v>46086</v>
      </c>
      <c r="D2914" t="inlineStr">
        <is>
          <t>GÄVLEBORGS LÄN</t>
        </is>
      </c>
      <c r="E2914" t="inlineStr">
        <is>
          <t>NORDANSTIG</t>
        </is>
      </c>
      <c r="G2914" t="n">
        <v>4.7</v>
      </c>
      <c r="H2914" t="n">
        <v>0</v>
      </c>
      <c r="I2914" t="n">
        <v>0</v>
      </c>
      <c r="J2914" t="n">
        <v>0</v>
      </c>
      <c r="K2914" t="n">
        <v>0</v>
      </c>
      <c r="L2914" t="n">
        <v>0</v>
      </c>
      <c r="M2914" t="n">
        <v>0</v>
      </c>
      <c r="N2914" t="n">
        <v>0</v>
      </c>
      <c r="O2914" t="n">
        <v>0</v>
      </c>
      <c r="P2914" t="n">
        <v>0</v>
      </c>
      <c r="Q2914" t="n">
        <v>0</v>
      </c>
      <c r="R2914" s="2" t="inlineStr"/>
    </row>
    <row r="2915" ht="15" customHeight="1">
      <c r="A2915" t="inlineStr">
        <is>
          <t>A 29036-2025</t>
        </is>
      </c>
      <c r="B2915" s="1" t="n">
        <v>45821.44332175926</v>
      </c>
      <c r="C2915" s="1" t="n">
        <v>46086</v>
      </c>
      <c r="D2915" t="inlineStr">
        <is>
          <t>GÄVLEBORGS LÄN</t>
        </is>
      </c>
      <c r="E2915" t="inlineStr">
        <is>
          <t>SÖDERHAMN</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23545-2025</t>
        </is>
      </c>
      <c r="B2916" s="1" t="n">
        <v>45792</v>
      </c>
      <c r="C2916" s="1" t="n">
        <v>46086</v>
      </c>
      <c r="D2916" t="inlineStr">
        <is>
          <t>GÄVLEBORGS LÄN</t>
        </is>
      </c>
      <c r="E2916" t="inlineStr">
        <is>
          <t>HOFORS</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2526-2026</t>
        </is>
      </c>
      <c r="B2917" s="1" t="n">
        <v>46037.43283564815</v>
      </c>
      <c r="C2917" s="1" t="n">
        <v>46086</v>
      </c>
      <c r="D2917" t="inlineStr">
        <is>
          <t>GÄVLEBORGS LÄN</t>
        </is>
      </c>
      <c r="E2917" t="inlineStr">
        <is>
          <t>BOLLNÄS</t>
        </is>
      </c>
      <c r="G2917" t="n">
        <v>12.6</v>
      </c>
      <c r="H2917" t="n">
        <v>0</v>
      </c>
      <c r="I2917" t="n">
        <v>0</v>
      </c>
      <c r="J2917" t="n">
        <v>0</v>
      </c>
      <c r="K2917" t="n">
        <v>0</v>
      </c>
      <c r="L2917" t="n">
        <v>0</v>
      </c>
      <c r="M2917" t="n">
        <v>0</v>
      </c>
      <c r="N2917" t="n">
        <v>0</v>
      </c>
      <c r="O2917" t="n">
        <v>0</v>
      </c>
      <c r="P2917" t="n">
        <v>0</v>
      </c>
      <c r="Q2917" t="n">
        <v>0</v>
      </c>
      <c r="R2917" s="2" t="inlineStr"/>
    </row>
    <row r="2918" ht="15" customHeight="1">
      <c r="A2918" t="inlineStr">
        <is>
          <t>A 2532-2026</t>
        </is>
      </c>
      <c r="B2918" s="1" t="n">
        <v>46037.44467592592</v>
      </c>
      <c r="C2918" s="1" t="n">
        <v>46086</v>
      </c>
      <c r="D2918" t="inlineStr">
        <is>
          <t>GÄVLEBORGS LÄN</t>
        </is>
      </c>
      <c r="E2918" t="inlineStr">
        <is>
          <t>BOLLNÄS</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2553-2026</t>
        </is>
      </c>
      <c r="B2919" s="1" t="n">
        <v>46037.47199074074</v>
      </c>
      <c r="C2919" s="1" t="n">
        <v>46086</v>
      </c>
      <c r="D2919" t="inlineStr">
        <is>
          <t>GÄVLEBORGS LÄN</t>
        </is>
      </c>
      <c r="E2919" t="inlineStr">
        <is>
          <t>OVANÅKER</t>
        </is>
      </c>
      <c r="F2919" t="inlineStr">
        <is>
          <t>Bergvik skog väst AB</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14030-2025</t>
        </is>
      </c>
      <c r="B2920" s="1" t="n">
        <v>45740</v>
      </c>
      <c r="C2920" s="1" t="n">
        <v>46086</v>
      </c>
      <c r="D2920" t="inlineStr">
        <is>
          <t>GÄVLEBORGS LÄN</t>
        </is>
      </c>
      <c r="E2920" t="inlineStr">
        <is>
          <t>BOLLNÄS</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47528-2024</t>
        </is>
      </c>
      <c r="B2921" s="1" t="n">
        <v>45587.63690972222</v>
      </c>
      <c r="C2921" s="1" t="n">
        <v>46086</v>
      </c>
      <c r="D2921" t="inlineStr">
        <is>
          <t>GÄVLEBORGS LÄN</t>
        </is>
      </c>
      <c r="E2921" t="inlineStr">
        <is>
          <t>BOLLNÄS</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39035-2025</t>
        </is>
      </c>
      <c r="B2922" s="1" t="n">
        <v>45888.42207175926</v>
      </c>
      <c r="C2922" s="1" t="n">
        <v>46086</v>
      </c>
      <c r="D2922" t="inlineStr">
        <is>
          <t>GÄVLEBORGS LÄN</t>
        </is>
      </c>
      <c r="E2922" t="inlineStr">
        <is>
          <t>OCKELBO</t>
        </is>
      </c>
      <c r="F2922" t="inlineStr">
        <is>
          <t>Kyrkan</t>
        </is>
      </c>
      <c r="G2922" t="n">
        <v>12.5</v>
      </c>
      <c r="H2922" t="n">
        <v>0</v>
      </c>
      <c r="I2922" t="n">
        <v>0</v>
      </c>
      <c r="J2922" t="n">
        <v>0</v>
      </c>
      <c r="K2922" t="n">
        <v>0</v>
      </c>
      <c r="L2922" t="n">
        <v>0</v>
      </c>
      <c r="M2922" t="n">
        <v>0</v>
      </c>
      <c r="N2922" t="n">
        <v>0</v>
      </c>
      <c r="O2922" t="n">
        <v>0</v>
      </c>
      <c r="P2922" t="n">
        <v>0</v>
      </c>
      <c r="Q2922" t="n">
        <v>0</v>
      </c>
      <c r="R2922" s="2" t="inlineStr"/>
    </row>
    <row r="2923" ht="15" customHeight="1">
      <c r="A2923" t="inlineStr">
        <is>
          <t>A 29054-2025</t>
        </is>
      </c>
      <c r="B2923" s="1" t="n">
        <v>45821.47021990741</v>
      </c>
      <c r="C2923" s="1" t="n">
        <v>46086</v>
      </c>
      <c r="D2923" t="inlineStr">
        <is>
          <t>GÄVLEBORGS LÄN</t>
        </is>
      </c>
      <c r="E2923" t="inlineStr">
        <is>
          <t>OVANÅKER</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39083-2025</t>
        </is>
      </c>
      <c r="B2924" s="1" t="n">
        <v>45888.48833333333</v>
      </c>
      <c r="C2924" s="1" t="n">
        <v>46086</v>
      </c>
      <c r="D2924" t="inlineStr">
        <is>
          <t>GÄVLEBORGS LÄN</t>
        </is>
      </c>
      <c r="E2924" t="inlineStr">
        <is>
          <t>OVANÅKER</t>
        </is>
      </c>
      <c r="G2924" t="n">
        <v>9.699999999999999</v>
      </c>
      <c r="H2924" t="n">
        <v>0</v>
      </c>
      <c r="I2924" t="n">
        <v>0</v>
      </c>
      <c r="J2924" t="n">
        <v>0</v>
      </c>
      <c r="K2924" t="n">
        <v>0</v>
      </c>
      <c r="L2924" t="n">
        <v>0</v>
      </c>
      <c r="M2924" t="n">
        <v>0</v>
      </c>
      <c r="N2924" t="n">
        <v>0</v>
      </c>
      <c r="O2924" t="n">
        <v>0</v>
      </c>
      <c r="P2924" t="n">
        <v>0</v>
      </c>
      <c r="Q2924" t="n">
        <v>0</v>
      </c>
      <c r="R2924" s="2" t="inlineStr"/>
    </row>
    <row r="2925" ht="15" customHeight="1">
      <c r="A2925" t="inlineStr">
        <is>
          <t>A 40060-2023</t>
        </is>
      </c>
      <c r="B2925" s="1" t="n">
        <v>45168.75980324074</v>
      </c>
      <c r="C2925" s="1" t="n">
        <v>46086</v>
      </c>
      <c r="D2925" t="inlineStr">
        <is>
          <t>GÄVLEBORGS LÄN</t>
        </is>
      </c>
      <c r="E2925" t="inlineStr">
        <is>
          <t>HUDIKSVALL</t>
        </is>
      </c>
      <c r="F2925" t="inlineStr">
        <is>
          <t>Holmen skog AB</t>
        </is>
      </c>
      <c r="G2925" t="n">
        <v>4.3</v>
      </c>
      <c r="H2925" t="n">
        <v>0</v>
      </c>
      <c r="I2925" t="n">
        <v>0</v>
      </c>
      <c r="J2925" t="n">
        <v>0</v>
      </c>
      <c r="K2925" t="n">
        <v>0</v>
      </c>
      <c r="L2925" t="n">
        <v>0</v>
      </c>
      <c r="M2925" t="n">
        <v>0</v>
      </c>
      <c r="N2925" t="n">
        <v>0</v>
      </c>
      <c r="O2925" t="n">
        <v>0</v>
      </c>
      <c r="P2925" t="n">
        <v>0</v>
      </c>
      <c r="Q2925" t="n">
        <v>0</v>
      </c>
      <c r="R2925" s="2" t="inlineStr"/>
    </row>
    <row r="2926" ht="15" customHeight="1">
      <c r="A2926" t="inlineStr">
        <is>
          <t>A 39142-2025</t>
        </is>
      </c>
      <c r="B2926" s="1" t="n">
        <v>45888.59596064815</v>
      </c>
      <c r="C2926" s="1" t="n">
        <v>46086</v>
      </c>
      <c r="D2926" t="inlineStr">
        <is>
          <t>GÄVLEBORGS LÄN</t>
        </is>
      </c>
      <c r="E2926" t="inlineStr">
        <is>
          <t>OCKELBO</t>
        </is>
      </c>
      <c r="F2926" t="inlineStr">
        <is>
          <t>Bergvik skog väst AB</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28740-2025</t>
        </is>
      </c>
      <c r="B2927" s="1" t="n">
        <v>45820.38311342592</v>
      </c>
      <c r="C2927" s="1" t="n">
        <v>46086</v>
      </c>
      <c r="D2927" t="inlineStr">
        <is>
          <t>GÄVLEBORGS LÄN</t>
        </is>
      </c>
      <c r="E2927" t="inlineStr">
        <is>
          <t>OCKELBO</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28367-2024</t>
        </is>
      </c>
      <c r="B2928" s="1" t="n">
        <v>45477.57800925926</v>
      </c>
      <c r="C2928" s="1" t="n">
        <v>46086</v>
      </c>
      <c r="D2928" t="inlineStr">
        <is>
          <t>GÄVLEBORGS LÄN</t>
        </is>
      </c>
      <c r="E2928" t="inlineStr">
        <is>
          <t>HUDIKSVALL</t>
        </is>
      </c>
      <c r="F2928" t="inlineStr">
        <is>
          <t>Holmen skog AB</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28815-2025</t>
        </is>
      </c>
      <c r="B2929" s="1" t="n">
        <v>45820</v>
      </c>
      <c r="C2929" s="1" t="n">
        <v>46086</v>
      </c>
      <c r="D2929" t="inlineStr">
        <is>
          <t>GÄVLEBORGS LÄN</t>
        </is>
      </c>
      <c r="E2929" t="inlineStr">
        <is>
          <t>HUDIKSVALL</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39306-2025</t>
        </is>
      </c>
      <c r="B2930" s="1" t="n">
        <v>45889.45825231481</v>
      </c>
      <c r="C2930" s="1" t="n">
        <v>46086</v>
      </c>
      <c r="D2930" t="inlineStr">
        <is>
          <t>GÄVLEBORGS LÄN</t>
        </is>
      </c>
      <c r="E2930" t="inlineStr">
        <is>
          <t>GÄVLE</t>
        </is>
      </c>
      <c r="F2930" t="inlineStr">
        <is>
          <t>Bergvik skog öst AB</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29315-2025</t>
        </is>
      </c>
      <c r="B2931" s="1" t="n">
        <v>45824.46946759259</v>
      </c>
      <c r="C2931" s="1" t="n">
        <v>46086</v>
      </c>
      <c r="D2931" t="inlineStr">
        <is>
          <t>GÄVLEBORGS LÄN</t>
        </is>
      </c>
      <c r="E2931" t="inlineStr">
        <is>
          <t>HUDIKSVALL</t>
        </is>
      </c>
      <c r="F2931" t="inlineStr">
        <is>
          <t>Holmen skog AB</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39329-2025</t>
        </is>
      </c>
      <c r="B2932" s="1" t="n">
        <v>45889.48412037037</v>
      </c>
      <c r="C2932" s="1" t="n">
        <v>46086</v>
      </c>
      <c r="D2932" t="inlineStr">
        <is>
          <t>GÄVLEBORGS LÄN</t>
        </is>
      </c>
      <c r="E2932" t="inlineStr">
        <is>
          <t>OCKELBO</t>
        </is>
      </c>
      <c r="G2932" t="n">
        <v>13.3</v>
      </c>
      <c r="H2932" t="n">
        <v>0</v>
      </c>
      <c r="I2932" t="n">
        <v>0</v>
      </c>
      <c r="J2932" t="n">
        <v>0</v>
      </c>
      <c r="K2932" t="n">
        <v>0</v>
      </c>
      <c r="L2932" t="n">
        <v>0</v>
      </c>
      <c r="M2932" t="n">
        <v>0</v>
      </c>
      <c r="N2932" t="n">
        <v>0</v>
      </c>
      <c r="O2932" t="n">
        <v>0</v>
      </c>
      <c r="P2932" t="n">
        <v>0</v>
      </c>
      <c r="Q2932" t="n">
        <v>0</v>
      </c>
      <c r="R2932" s="2" t="inlineStr"/>
    </row>
    <row r="2933" ht="15" customHeight="1">
      <c r="A2933" t="inlineStr">
        <is>
          <t>A 39359-2025</t>
        </is>
      </c>
      <c r="B2933" s="1" t="n">
        <v>45889.55767361111</v>
      </c>
      <c r="C2933" s="1" t="n">
        <v>46086</v>
      </c>
      <c r="D2933" t="inlineStr">
        <is>
          <t>GÄVLEBORGS LÄN</t>
        </is>
      </c>
      <c r="E2933" t="inlineStr">
        <is>
          <t>OCKELBO</t>
        </is>
      </c>
      <c r="F2933" t="inlineStr">
        <is>
          <t>Bergvik skog väst AB</t>
        </is>
      </c>
      <c r="G2933" t="n">
        <v>5</v>
      </c>
      <c r="H2933" t="n">
        <v>0</v>
      </c>
      <c r="I2933" t="n">
        <v>0</v>
      </c>
      <c r="J2933" t="n">
        <v>0</v>
      </c>
      <c r="K2933" t="n">
        <v>0</v>
      </c>
      <c r="L2933" t="n">
        <v>0</v>
      </c>
      <c r="M2933" t="n">
        <v>0</v>
      </c>
      <c r="N2933" t="n">
        <v>0</v>
      </c>
      <c r="O2933" t="n">
        <v>0</v>
      </c>
      <c r="P2933" t="n">
        <v>0</v>
      </c>
      <c r="Q2933" t="n">
        <v>0</v>
      </c>
      <c r="R2933" s="2" t="inlineStr"/>
    </row>
    <row r="2934" ht="15" customHeight="1">
      <c r="A2934" t="inlineStr">
        <is>
          <t>A 29254-2025</t>
        </is>
      </c>
      <c r="B2934" s="1" t="n">
        <v>45824.38350694445</v>
      </c>
      <c r="C2934" s="1" t="n">
        <v>46086</v>
      </c>
      <c r="D2934" t="inlineStr">
        <is>
          <t>GÄVLEBORGS LÄN</t>
        </is>
      </c>
      <c r="E2934" t="inlineStr">
        <is>
          <t>LJUSDAL</t>
        </is>
      </c>
      <c r="F2934" t="inlineStr">
        <is>
          <t>Holmen skog AB</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39049-2025</t>
        </is>
      </c>
      <c r="B2935" s="1" t="n">
        <v>45888.44660879629</v>
      </c>
      <c r="C2935" s="1" t="n">
        <v>46086</v>
      </c>
      <c r="D2935" t="inlineStr">
        <is>
          <t>GÄVLEBORGS LÄN</t>
        </is>
      </c>
      <c r="E2935" t="inlineStr">
        <is>
          <t>SANDVIKEN</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29523-2025</t>
        </is>
      </c>
      <c r="B2936" s="1" t="n">
        <v>45825.33288194444</v>
      </c>
      <c r="C2936" s="1" t="n">
        <v>46086</v>
      </c>
      <c r="D2936" t="inlineStr">
        <is>
          <t>GÄVLEBORGS LÄN</t>
        </is>
      </c>
      <c r="E2936" t="inlineStr">
        <is>
          <t>LJUSDAL</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41266-2023</t>
        </is>
      </c>
      <c r="B2937" s="1" t="n">
        <v>45174.54631944445</v>
      </c>
      <c r="C2937" s="1" t="n">
        <v>46086</v>
      </c>
      <c r="D2937" t="inlineStr">
        <is>
          <t>GÄVLEBORGS LÄN</t>
        </is>
      </c>
      <c r="E2937" t="inlineStr">
        <is>
          <t>BOLLNÄS</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29401-2025</t>
        </is>
      </c>
      <c r="B2938" s="1" t="n">
        <v>45824.61436342593</v>
      </c>
      <c r="C2938" s="1" t="n">
        <v>46086</v>
      </c>
      <c r="D2938" t="inlineStr">
        <is>
          <t>GÄVLEBORGS LÄN</t>
        </is>
      </c>
      <c r="E2938" t="inlineStr">
        <is>
          <t>NORDANSTIG</t>
        </is>
      </c>
      <c r="F2938" t="inlineStr">
        <is>
          <t>Holmen skog AB</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39324-2025</t>
        </is>
      </c>
      <c r="B2939" s="1" t="n">
        <v>45889.47886574074</v>
      </c>
      <c r="C2939" s="1" t="n">
        <v>46086</v>
      </c>
      <c r="D2939" t="inlineStr">
        <is>
          <t>GÄVLEBORGS LÄN</t>
        </is>
      </c>
      <c r="E2939" t="inlineStr">
        <is>
          <t>OCKELBO</t>
        </is>
      </c>
      <c r="G2939" t="n">
        <v>8.6</v>
      </c>
      <c r="H2939" t="n">
        <v>0</v>
      </c>
      <c r="I2939" t="n">
        <v>0</v>
      </c>
      <c r="J2939" t="n">
        <v>0</v>
      </c>
      <c r="K2939" t="n">
        <v>0</v>
      </c>
      <c r="L2939" t="n">
        <v>0</v>
      </c>
      <c r="M2939" t="n">
        <v>0</v>
      </c>
      <c r="N2939" t="n">
        <v>0</v>
      </c>
      <c r="O2939" t="n">
        <v>0</v>
      </c>
      <c r="P2939" t="n">
        <v>0</v>
      </c>
      <c r="Q2939" t="n">
        <v>0</v>
      </c>
      <c r="R2939" s="2" t="inlineStr"/>
    </row>
    <row r="2940" ht="15" customHeight="1">
      <c r="A2940" t="inlineStr">
        <is>
          <t>A 60789-2023</t>
        </is>
      </c>
      <c r="B2940" s="1" t="n">
        <v>45260</v>
      </c>
      <c r="C2940" s="1" t="n">
        <v>46086</v>
      </c>
      <c r="D2940" t="inlineStr">
        <is>
          <t>GÄVLEBORGS LÄN</t>
        </is>
      </c>
      <c r="E2940" t="inlineStr">
        <is>
          <t>HUDIKSVALL</t>
        </is>
      </c>
      <c r="G2940" t="n">
        <v>4.8</v>
      </c>
      <c r="H2940" t="n">
        <v>0</v>
      </c>
      <c r="I2940" t="n">
        <v>0</v>
      </c>
      <c r="J2940" t="n">
        <v>0</v>
      </c>
      <c r="K2940" t="n">
        <v>0</v>
      </c>
      <c r="L2940" t="n">
        <v>0</v>
      </c>
      <c r="M2940" t="n">
        <v>0</v>
      </c>
      <c r="N2940" t="n">
        <v>0</v>
      </c>
      <c r="O2940" t="n">
        <v>0</v>
      </c>
      <c r="P2940" t="n">
        <v>0</v>
      </c>
      <c r="Q2940" t="n">
        <v>0</v>
      </c>
      <c r="R2940" s="2" t="inlineStr"/>
    </row>
    <row r="2941" ht="15" customHeight="1">
      <c r="A2941" t="inlineStr">
        <is>
          <t>A 60796-2023</t>
        </is>
      </c>
      <c r="B2941" s="1" t="n">
        <v>45260.65974537037</v>
      </c>
      <c r="C2941" s="1" t="n">
        <v>46086</v>
      </c>
      <c r="D2941" t="inlineStr">
        <is>
          <t>GÄVLEBORGS LÄN</t>
        </is>
      </c>
      <c r="E2941" t="inlineStr">
        <is>
          <t>HUDIKSVALL</t>
        </is>
      </c>
      <c r="F2941" t="inlineStr">
        <is>
          <t>Holmen skog AB</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60798-2023</t>
        </is>
      </c>
      <c r="B2942" s="1" t="n">
        <v>45260</v>
      </c>
      <c r="C2942" s="1" t="n">
        <v>46086</v>
      </c>
      <c r="D2942" t="inlineStr">
        <is>
          <t>GÄVLEBORGS LÄN</t>
        </is>
      </c>
      <c r="E2942" t="inlineStr">
        <is>
          <t>SANDVIKEN</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60801-2023</t>
        </is>
      </c>
      <c r="B2943" s="1" t="n">
        <v>45260</v>
      </c>
      <c r="C2943" s="1" t="n">
        <v>46086</v>
      </c>
      <c r="D2943" t="inlineStr">
        <is>
          <t>GÄVLEBORGS LÄN</t>
        </is>
      </c>
      <c r="E2943" t="inlineStr">
        <is>
          <t>HUDIKSVALL</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39399-2025</t>
        </is>
      </c>
      <c r="B2944" s="1" t="n">
        <v>45889.6340625</v>
      </c>
      <c r="C2944" s="1" t="n">
        <v>46086</v>
      </c>
      <c r="D2944" t="inlineStr">
        <is>
          <t>GÄVLEBORGS LÄN</t>
        </is>
      </c>
      <c r="E2944" t="inlineStr">
        <is>
          <t>SÖDERHAMN</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29415-2025</t>
        </is>
      </c>
      <c r="B2945" s="1" t="n">
        <v>45824.62717592593</v>
      </c>
      <c r="C2945" s="1" t="n">
        <v>46086</v>
      </c>
      <c r="D2945" t="inlineStr">
        <is>
          <t>GÄVLEBORGS LÄN</t>
        </is>
      </c>
      <c r="E2945" t="inlineStr">
        <is>
          <t>LJUSDAL</t>
        </is>
      </c>
      <c r="G2945" t="n">
        <v>15.1</v>
      </c>
      <c r="H2945" t="n">
        <v>0</v>
      </c>
      <c r="I2945" t="n">
        <v>0</v>
      </c>
      <c r="J2945" t="n">
        <v>0</v>
      </c>
      <c r="K2945" t="n">
        <v>0</v>
      </c>
      <c r="L2945" t="n">
        <v>0</v>
      </c>
      <c r="M2945" t="n">
        <v>0</v>
      </c>
      <c r="N2945" t="n">
        <v>0</v>
      </c>
      <c r="O2945" t="n">
        <v>0</v>
      </c>
      <c r="P2945" t="n">
        <v>0</v>
      </c>
      <c r="Q2945" t="n">
        <v>0</v>
      </c>
      <c r="R2945" s="2" t="inlineStr"/>
    </row>
    <row r="2946" ht="15" customHeight="1">
      <c r="A2946" t="inlineStr">
        <is>
          <t>A 39325-2025</t>
        </is>
      </c>
      <c r="B2946" s="1" t="n">
        <v>45889.48163194444</v>
      </c>
      <c r="C2946" s="1" t="n">
        <v>46086</v>
      </c>
      <c r="D2946" t="inlineStr">
        <is>
          <t>GÄVLEBORGS LÄN</t>
        </is>
      </c>
      <c r="E2946" t="inlineStr">
        <is>
          <t>OCKELBO</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38980-2025</t>
        </is>
      </c>
      <c r="B2947" s="1" t="n">
        <v>45888.27564814815</v>
      </c>
      <c r="C2947" s="1" t="n">
        <v>46086</v>
      </c>
      <c r="D2947" t="inlineStr">
        <is>
          <t>GÄVLEBORGS LÄN</t>
        </is>
      </c>
      <c r="E2947" t="inlineStr">
        <is>
          <t>OVANÅKER</t>
        </is>
      </c>
      <c r="G2947" t="n">
        <v>6.6</v>
      </c>
      <c r="H2947" t="n">
        <v>0</v>
      </c>
      <c r="I2947" t="n">
        <v>0</v>
      </c>
      <c r="J2947" t="n">
        <v>0</v>
      </c>
      <c r="K2947" t="n">
        <v>0</v>
      </c>
      <c r="L2947" t="n">
        <v>0</v>
      </c>
      <c r="M2947" t="n">
        <v>0</v>
      </c>
      <c r="N2947" t="n">
        <v>0</v>
      </c>
      <c r="O2947" t="n">
        <v>0</v>
      </c>
      <c r="P2947" t="n">
        <v>0</v>
      </c>
      <c r="Q2947" t="n">
        <v>0</v>
      </c>
      <c r="R2947" s="2" t="inlineStr"/>
    </row>
    <row r="2948" ht="15" customHeight="1">
      <c r="A2948" t="inlineStr">
        <is>
          <t>A 29423-2025</t>
        </is>
      </c>
      <c r="B2948" s="1" t="n">
        <v>45824.64304398148</v>
      </c>
      <c r="C2948" s="1" t="n">
        <v>46086</v>
      </c>
      <c r="D2948" t="inlineStr">
        <is>
          <t>GÄVLEBORGS LÄN</t>
        </is>
      </c>
      <c r="E2948" t="inlineStr">
        <is>
          <t>OVANÅKER</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63414-2023</t>
        </is>
      </c>
      <c r="B2949" s="1" t="n">
        <v>45274.53872685185</v>
      </c>
      <c r="C2949" s="1" t="n">
        <v>46086</v>
      </c>
      <c r="D2949" t="inlineStr">
        <is>
          <t>GÄVLEBORGS LÄN</t>
        </is>
      </c>
      <c r="E2949" t="inlineStr">
        <is>
          <t>HUDIKSVALL</t>
        </is>
      </c>
      <c r="G2949" t="n">
        <v>9.1</v>
      </c>
      <c r="H2949" t="n">
        <v>0</v>
      </c>
      <c r="I2949" t="n">
        <v>0</v>
      </c>
      <c r="J2949" t="n">
        <v>0</v>
      </c>
      <c r="K2949" t="n">
        <v>0</v>
      </c>
      <c r="L2949" t="n">
        <v>0</v>
      </c>
      <c r="M2949" t="n">
        <v>0</v>
      </c>
      <c r="N2949" t="n">
        <v>0</v>
      </c>
      <c r="O2949" t="n">
        <v>0</v>
      </c>
      <c r="P2949" t="n">
        <v>0</v>
      </c>
      <c r="Q2949" t="n">
        <v>0</v>
      </c>
      <c r="R2949" s="2" t="inlineStr"/>
    </row>
    <row r="2950" ht="15" customHeight="1">
      <c r="A2950" t="inlineStr">
        <is>
          <t>A 39051-2025</t>
        </is>
      </c>
      <c r="B2950" s="1" t="n">
        <v>45888.44715277778</v>
      </c>
      <c r="C2950" s="1" t="n">
        <v>46086</v>
      </c>
      <c r="D2950" t="inlineStr">
        <is>
          <t>GÄVLEBORGS LÄN</t>
        </is>
      </c>
      <c r="E2950" t="inlineStr">
        <is>
          <t>LJUSDAL</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39076-2025</t>
        </is>
      </c>
      <c r="B2951" s="1" t="n">
        <v>45888.47826388889</v>
      </c>
      <c r="C2951" s="1" t="n">
        <v>46086</v>
      </c>
      <c r="D2951" t="inlineStr">
        <is>
          <t>GÄVLEBORGS LÄN</t>
        </is>
      </c>
      <c r="E2951" t="inlineStr">
        <is>
          <t>LJUSDAL</t>
        </is>
      </c>
      <c r="F2951" t="inlineStr">
        <is>
          <t>Allmännings- och besparingsskogar</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29491-2025</t>
        </is>
      </c>
      <c r="B2952" s="1" t="n">
        <v>45824.78724537037</v>
      </c>
      <c r="C2952" s="1" t="n">
        <v>46086</v>
      </c>
      <c r="D2952" t="inlineStr">
        <is>
          <t>GÄVLEBORGS LÄN</t>
        </is>
      </c>
      <c r="E2952" t="inlineStr">
        <is>
          <t>LJUSDAL</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29532-2024</t>
        </is>
      </c>
      <c r="B2953" s="1" t="n">
        <v>45484.48097222222</v>
      </c>
      <c r="C2953" s="1" t="n">
        <v>46086</v>
      </c>
      <c r="D2953" t="inlineStr">
        <is>
          <t>GÄVLEBORGS LÄN</t>
        </is>
      </c>
      <c r="E2953" t="inlineStr">
        <is>
          <t>NORDANSTIG</t>
        </is>
      </c>
      <c r="F2953" t="inlineStr">
        <is>
          <t>Holmen skog AB</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39449-2025</t>
        </is>
      </c>
      <c r="B2954" s="1" t="n">
        <v>45889</v>
      </c>
      <c r="C2954" s="1" t="n">
        <v>46086</v>
      </c>
      <c r="D2954" t="inlineStr">
        <is>
          <t>GÄVLEBORGS LÄN</t>
        </is>
      </c>
      <c r="E2954" t="inlineStr">
        <is>
          <t>OVANÅKER</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39878-2025</t>
        </is>
      </c>
      <c r="B2955" s="1" t="n">
        <v>45891.61590277778</v>
      </c>
      <c r="C2955" s="1" t="n">
        <v>46086</v>
      </c>
      <c r="D2955" t="inlineStr">
        <is>
          <t>GÄVLEBORGS LÄN</t>
        </is>
      </c>
      <c r="E2955" t="inlineStr">
        <is>
          <t>GÄVLE</t>
        </is>
      </c>
      <c r="F2955" t="inlineStr">
        <is>
          <t>Bergvik skog väst AB</t>
        </is>
      </c>
      <c r="G2955" t="n">
        <v>8</v>
      </c>
      <c r="H2955" t="n">
        <v>0</v>
      </c>
      <c r="I2955" t="n">
        <v>0</v>
      </c>
      <c r="J2955" t="n">
        <v>0</v>
      </c>
      <c r="K2955" t="n">
        <v>0</v>
      </c>
      <c r="L2955" t="n">
        <v>0</v>
      </c>
      <c r="M2955" t="n">
        <v>0</v>
      </c>
      <c r="N2955" t="n">
        <v>0</v>
      </c>
      <c r="O2955" t="n">
        <v>0</v>
      </c>
      <c r="P2955" t="n">
        <v>0</v>
      </c>
      <c r="Q2955" t="n">
        <v>0</v>
      </c>
      <c r="R2955" s="2" t="inlineStr"/>
    </row>
    <row r="2956" ht="15" customHeight="1">
      <c r="A2956" t="inlineStr">
        <is>
          <t>A 39797-2025</t>
        </is>
      </c>
      <c r="B2956" s="1" t="n">
        <v>45891.49655092593</v>
      </c>
      <c r="C2956" s="1" t="n">
        <v>46086</v>
      </c>
      <c r="D2956" t="inlineStr">
        <is>
          <t>GÄVLEBORGS LÄN</t>
        </is>
      </c>
      <c r="E2956" t="inlineStr">
        <is>
          <t>SÖDERHAMN</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2578-2026</t>
        </is>
      </c>
      <c r="B2957" s="1" t="n">
        <v>46037</v>
      </c>
      <c r="C2957" s="1" t="n">
        <v>46086</v>
      </c>
      <c r="D2957" t="inlineStr">
        <is>
          <t>GÄVLEBORGS LÄN</t>
        </is>
      </c>
      <c r="E2957" t="inlineStr">
        <is>
          <t>BOLLNÄS</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2468-2026</t>
        </is>
      </c>
      <c r="B2958" s="1" t="n">
        <v>46037.36622685185</v>
      </c>
      <c r="C2958" s="1" t="n">
        <v>46086</v>
      </c>
      <c r="D2958" t="inlineStr">
        <is>
          <t>GÄVLEBORGS LÄN</t>
        </is>
      </c>
      <c r="E2958" t="inlineStr">
        <is>
          <t>BOLLNÄS</t>
        </is>
      </c>
      <c r="G2958" t="n">
        <v>4.7</v>
      </c>
      <c r="H2958" t="n">
        <v>0</v>
      </c>
      <c r="I2958" t="n">
        <v>0</v>
      </c>
      <c r="J2958" t="n">
        <v>0</v>
      </c>
      <c r="K2958" t="n">
        <v>0</v>
      </c>
      <c r="L2958" t="n">
        <v>0</v>
      </c>
      <c r="M2958" t="n">
        <v>0</v>
      </c>
      <c r="N2958" t="n">
        <v>0</v>
      </c>
      <c r="O2958" t="n">
        <v>0</v>
      </c>
      <c r="P2958" t="n">
        <v>0</v>
      </c>
      <c r="Q2958" t="n">
        <v>0</v>
      </c>
      <c r="R2958" s="2" t="inlineStr"/>
    </row>
    <row r="2959" ht="15" customHeight="1">
      <c r="A2959" t="inlineStr">
        <is>
          <t>A 35445-2023</t>
        </is>
      </c>
      <c r="B2959" s="1" t="n">
        <v>45146.6455787037</v>
      </c>
      <c r="C2959" s="1" t="n">
        <v>46086</v>
      </c>
      <c r="D2959" t="inlineStr">
        <is>
          <t>GÄVLEBORGS LÄN</t>
        </is>
      </c>
      <c r="E2959" t="inlineStr">
        <is>
          <t>GÄVLE</t>
        </is>
      </c>
      <c r="G2959" t="n">
        <v>6.2</v>
      </c>
      <c r="H2959" t="n">
        <v>0</v>
      </c>
      <c r="I2959" t="n">
        <v>0</v>
      </c>
      <c r="J2959" t="n">
        <v>0</v>
      </c>
      <c r="K2959" t="n">
        <v>0</v>
      </c>
      <c r="L2959" t="n">
        <v>0</v>
      </c>
      <c r="M2959" t="n">
        <v>0</v>
      </c>
      <c r="N2959" t="n">
        <v>0</v>
      </c>
      <c r="O2959" t="n">
        <v>0</v>
      </c>
      <c r="P2959" t="n">
        <v>0</v>
      </c>
      <c r="Q2959" t="n">
        <v>0</v>
      </c>
      <c r="R2959" s="2" t="inlineStr"/>
    </row>
    <row r="2960" ht="15" customHeight="1">
      <c r="A2960" t="inlineStr">
        <is>
          <t>A 29575-2025</t>
        </is>
      </c>
      <c r="B2960" s="1" t="n">
        <v>45825.37327546296</v>
      </c>
      <c r="C2960" s="1" t="n">
        <v>46086</v>
      </c>
      <c r="D2960" t="inlineStr">
        <is>
          <t>GÄVLEBORGS LÄN</t>
        </is>
      </c>
      <c r="E2960" t="inlineStr">
        <is>
          <t>BOLLNÄS</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39840-2025</t>
        </is>
      </c>
      <c r="B2961" s="1" t="n">
        <v>45891.57127314815</v>
      </c>
      <c r="C2961" s="1" t="n">
        <v>46086</v>
      </c>
      <c r="D2961" t="inlineStr">
        <is>
          <t>GÄVLEBORGS LÄN</t>
        </is>
      </c>
      <c r="E2961" t="inlineStr">
        <is>
          <t>LJUSDAL</t>
        </is>
      </c>
      <c r="F2961" t="inlineStr">
        <is>
          <t>Holmen skog AB</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15118-2025</t>
        </is>
      </c>
      <c r="B2962" s="1" t="n">
        <v>45744.30840277778</v>
      </c>
      <c r="C2962" s="1" t="n">
        <v>46086</v>
      </c>
      <c r="D2962" t="inlineStr">
        <is>
          <t>GÄVLEBORGS LÄN</t>
        </is>
      </c>
      <c r="E2962" t="inlineStr">
        <is>
          <t>BOLLNÄS</t>
        </is>
      </c>
      <c r="F2962" t="inlineStr">
        <is>
          <t>Bergvik skog väst AB</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29402-2025</t>
        </is>
      </c>
      <c r="B2963" s="1" t="n">
        <v>45824.61443287037</v>
      </c>
      <c r="C2963" s="1" t="n">
        <v>46086</v>
      </c>
      <c r="D2963" t="inlineStr">
        <is>
          <t>GÄVLEBORGS LÄN</t>
        </is>
      </c>
      <c r="E2963" t="inlineStr">
        <is>
          <t>OVANÅKER</t>
        </is>
      </c>
      <c r="F2963" t="inlineStr">
        <is>
          <t>Holmen skog AB</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7603-2024</t>
        </is>
      </c>
      <c r="B2964" s="1" t="n">
        <v>45348.56818287037</v>
      </c>
      <c r="C2964" s="1" t="n">
        <v>46086</v>
      </c>
      <c r="D2964" t="inlineStr">
        <is>
          <t>GÄVLEBORGS LÄN</t>
        </is>
      </c>
      <c r="E2964" t="inlineStr">
        <is>
          <t>LJUSDAL</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49656-2024</t>
        </is>
      </c>
      <c r="B2965" s="1" t="n">
        <v>45596.6178125</v>
      </c>
      <c r="C2965" s="1" t="n">
        <v>46086</v>
      </c>
      <c r="D2965" t="inlineStr">
        <is>
          <t>GÄVLEBORGS LÄN</t>
        </is>
      </c>
      <c r="E2965" t="inlineStr">
        <is>
          <t>SANDVIKEN</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57632-2021</t>
        </is>
      </c>
      <c r="B2966" s="1" t="n">
        <v>44484.39166666667</v>
      </c>
      <c r="C2966" s="1" t="n">
        <v>46086</v>
      </c>
      <c r="D2966" t="inlineStr">
        <is>
          <t>GÄVLEBORGS LÄN</t>
        </is>
      </c>
      <c r="E2966" t="inlineStr">
        <is>
          <t>HOFORS</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55411-2024</t>
        </is>
      </c>
      <c r="B2967" s="1" t="n">
        <v>45622.36931712963</v>
      </c>
      <c r="C2967" s="1" t="n">
        <v>46086</v>
      </c>
      <c r="D2967" t="inlineStr">
        <is>
          <t>GÄVLEBORGS LÄN</t>
        </is>
      </c>
      <c r="E2967" t="inlineStr">
        <is>
          <t>OVANÅKER</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29275-2025</t>
        </is>
      </c>
      <c r="B2968" s="1" t="n">
        <v>45824.41685185185</v>
      </c>
      <c r="C2968" s="1" t="n">
        <v>46086</v>
      </c>
      <c r="D2968" t="inlineStr">
        <is>
          <t>GÄVLEBORGS LÄN</t>
        </is>
      </c>
      <c r="E2968" t="inlineStr">
        <is>
          <t>NORDANSTIG</t>
        </is>
      </c>
      <c r="F2968" t="inlineStr">
        <is>
          <t>Holmen skog AB</t>
        </is>
      </c>
      <c r="G2968" t="n">
        <v>5.3</v>
      </c>
      <c r="H2968" t="n">
        <v>0</v>
      </c>
      <c r="I2968" t="n">
        <v>0</v>
      </c>
      <c r="J2968" t="n">
        <v>0</v>
      </c>
      <c r="K2968" t="n">
        <v>0</v>
      </c>
      <c r="L2968" t="n">
        <v>0</v>
      </c>
      <c r="M2968" t="n">
        <v>0</v>
      </c>
      <c r="N2968" t="n">
        <v>0</v>
      </c>
      <c r="O2968" t="n">
        <v>0</v>
      </c>
      <c r="P2968" t="n">
        <v>0</v>
      </c>
      <c r="Q2968" t="n">
        <v>0</v>
      </c>
      <c r="R2968" s="2" t="inlineStr"/>
    </row>
    <row r="2969" ht="15" customHeight="1">
      <c r="A2969" t="inlineStr">
        <is>
          <t>A 29276-2025</t>
        </is>
      </c>
      <c r="B2969" s="1" t="n">
        <v>45824.41805555556</v>
      </c>
      <c r="C2969" s="1" t="n">
        <v>46086</v>
      </c>
      <c r="D2969" t="inlineStr">
        <is>
          <t>GÄVLEBORGS LÄN</t>
        </is>
      </c>
      <c r="E2969" t="inlineStr">
        <is>
          <t>HUDIKSVALL</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12476-2021</t>
        </is>
      </c>
      <c r="B2970" s="1" t="n">
        <v>44267</v>
      </c>
      <c r="C2970" s="1" t="n">
        <v>46086</v>
      </c>
      <c r="D2970" t="inlineStr">
        <is>
          <t>GÄVLEBORGS LÄN</t>
        </is>
      </c>
      <c r="E2970" t="inlineStr">
        <is>
          <t>BOLLNÄS</t>
        </is>
      </c>
      <c r="G2970" t="n">
        <v>0.2</v>
      </c>
      <c r="H2970" t="n">
        <v>0</v>
      </c>
      <c r="I2970" t="n">
        <v>0</v>
      </c>
      <c r="J2970" t="n">
        <v>0</v>
      </c>
      <c r="K2970" t="n">
        <v>0</v>
      </c>
      <c r="L2970" t="n">
        <v>0</v>
      </c>
      <c r="M2970" t="n">
        <v>0</v>
      </c>
      <c r="N2970" t="n">
        <v>0</v>
      </c>
      <c r="O2970" t="n">
        <v>0</v>
      </c>
      <c r="P2970" t="n">
        <v>0</v>
      </c>
      <c r="Q2970" t="n">
        <v>0</v>
      </c>
      <c r="R2970" s="2" t="inlineStr"/>
    </row>
    <row r="2971" ht="15" customHeight="1">
      <c r="A2971" t="inlineStr">
        <is>
          <t>A 39723-2025</t>
        </is>
      </c>
      <c r="B2971" s="1" t="n">
        <v>45891.33346064815</v>
      </c>
      <c r="C2971" s="1" t="n">
        <v>46086</v>
      </c>
      <c r="D2971" t="inlineStr">
        <is>
          <t>GÄVLEBORGS LÄN</t>
        </is>
      </c>
      <c r="E2971" t="inlineStr">
        <is>
          <t>OCKELBO</t>
        </is>
      </c>
      <c r="F2971" t="inlineStr">
        <is>
          <t>Bergvik skog väst AB</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29113-2025</t>
        </is>
      </c>
      <c r="B2972" s="1" t="n">
        <v>45821.58765046296</v>
      </c>
      <c r="C2972" s="1" t="n">
        <v>46086</v>
      </c>
      <c r="D2972" t="inlineStr">
        <is>
          <t>GÄVLEBORGS LÄN</t>
        </is>
      </c>
      <c r="E2972" t="inlineStr">
        <is>
          <t>OCKELBO</t>
        </is>
      </c>
      <c r="G2972" t="n">
        <v>8.4</v>
      </c>
      <c r="H2972" t="n">
        <v>0</v>
      </c>
      <c r="I2972" t="n">
        <v>0</v>
      </c>
      <c r="J2972" t="n">
        <v>0</v>
      </c>
      <c r="K2972" t="n">
        <v>0</v>
      </c>
      <c r="L2972" t="n">
        <v>0</v>
      </c>
      <c r="M2972" t="n">
        <v>0</v>
      </c>
      <c r="N2972" t="n">
        <v>0</v>
      </c>
      <c r="O2972" t="n">
        <v>0</v>
      </c>
      <c r="P2972" t="n">
        <v>0</v>
      </c>
      <c r="Q2972" t="n">
        <v>0</v>
      </c>
      <c r="R2972" s="2" t="inlineStr"/>
    </row>
    <row r="2973" ht="15" customHeight="1">
      <c r="A2973" t="inlineStr">
        <is>
          <t>A 39495-2025</t>
        </is>
      </c>
      <c r="B2973" s="1" t="n">
        <v>45890.37769675926</v>
      </c>
      <c r="C2973" s="1" t="n">
        <v>46086</v>
      </c>
      <c r="D2973" t="inlineStr">
        <is>
          <t>GÄVLEBORGS LÄN</t>
        </is>
      </c>
      <c r="E2973" t="inlineStr">
        <is>
          <t>OVANÅKER</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58373-2023</t>
        </is>
      </c>
      <c r="B2974" s="1" t="n">
        <v>45250.65805555556</v>
      </c>
      <c r="C2974" s="1" t="n">
        <v>46086</v>
      </c>
      <c r="D2974" t="inlineStr">
        <is>
          <t>GÄVLEBORGS LÄN</t>
        </is>
      </c>
      <c r="E2974" t="inlineStr">
        <is>
          <t>HOFORS</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29252-2025</t>
        </is>
      </c>
      <c r="B2975" s="1" t="n">
        <v>45824.37804398148</v>
      </c>
      <c r="C2975" s="1" t="n">
        <v>46086</v>
      </c>
      <c r="D2975" t="inlineStr">
        <is>
          <t>GÄVLEBORGS LÄN</t>
        </is>
      </c>
      <c r="E2975" t="inlineStr">
        <is>
          <t>LJUSDAL</t>
        </is>
      </c>
      <c r="F2975" t="inlineStr">
        <is>
          <t>Holmen skog AB</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29456-2025</t>
        </is>
      </c>
      <c r="B2976" s="1" t="n">
        <v>45824.6874537037</v>
      </c>
      <c r="C2976" s="1" t="n">
        <v>46086</v>
      </c>
      <c r="D2976" t="inlineStr">
        <is>
          <t>GÄVLEBORGS LÄN</t>
        </is>
      </c>
      <c r="E2976" t="inlineStr">
        <is>
          <t>SÖDERHAMN</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39774-2025</t>
        </is>
      </c>
      <c r="B2977" s="1" t="n">
        <v>45891.46103009259</v>
      </c>
      <c r="C2977" s="1" t="n">
        <v>46086</v>
      </c>
      <c r="D2977" t="inlineStr">
        <is>
          <t>GÄVLEBORGS LÄN</t>
        </is>
      </c>
      <c r="E2977" t="inlineStr">
        <is>
          <t>SÖDERHAMN</t>
        </is>
      </c>
      <c r="F2977" t="inlineStr">
        <is>
          <t>Bergvik skog väst AB</t>
        </is>
      </c>
      <c r="G2977" t="n">
        <v>6.7</v>
      </c>
      <c r="H2977" t="n">
        <v>0</v>
      </c>
      <c r="I2977" t="n">
        <v>0</v>
      </c>
      <c r="J2977" t="n">
        <v>0</v>
      </c>
      <c r="K2977" t="n">
        <v>0</v>
      </c>
      <c r="L2977" t="n">
        <v>0</v>
      </c>
      <c r="M2977" t="n">
        <v>0</v>
      </c>
      <c r="N2977" t="n">
        <v>0</v>
      </c>
      <c r="O2977" t="n">
        <v>0</v>
      </c>
      <c r="P2977" t="n">
        <v>0</v>
      </c>
      <c r="Q2977" t="n">
        <v>0</v>
      </c>
      <c r="R2977" s="2" t="inlineStr"/>
    </row>
    <row r="2978" ht="15" customHeight="1">
      <c r="A2978" t="inlineStr">
        <is>
          <t>A 41020-2023</t>
        </is>
      </c>
      <c r="B2978" s="1" t="n">
        <v>45173.59236111111</v>
      </c>
      <c r="C2978" s="1" t="n">
        <v>46086</v>
      </c>
      <c r="D2978" t="inlineStr">
        <is>
          <t>GÄVLEBORGS LÄN</t>
        </is>
      </c>
      <c r="E2978" t="inlineStr">
        <is>
          <t>HOFORS</t>
        </is>
      </c>
      <c r="F2978" t="inlineStr">
        <is>
          <t>Sveaskog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29885-2023</t>
        </is>
      </c>
      <c r="B2979" s="1" t="n">
        <v>45107.63166666667</v>
      </c>
      <c r="C2979" s="1" t="n">
        <v>46086</v>
      </c>
      <c r="D2979" t="inlineStr">
        <is>
          <t>GÄVLEBORGS LÄN</t>
        </is>
      </c>
      <c r="E2979" t="inlineStr">
        <is>
          <t>OCKELBO</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29748-2025</t>
        </is>
      </c>
      <c r="B2980" s="1" t="n">
        <v>45825.60623842593</v>
      </c>
      <c r="C2980" s="1" t="n">
        <v>46086</v>
      </c>
      <c r="D2980" t="inlineStr">
        <is>
          <t>GÄVLEBORGS LÄN</t>
        </is>
      </c>
      <c r="E2980" t="inlineStr">
        <is>
          <t>SANDVIKEN</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29766-2025</t>
        </is>
      </c>
      <c r="B2981" s="1" t="n">
        <v>45825.61914351852</v>
      </c>
      <c r="C2981" s="1" t="n">
        <v>46086</v>
      </c>
      <c r="D2981" t="inlineStr">
        <is>
          <t>GÄVLEBORGS LÄN</t>
        </is>
      </c>
      <c r="E2981" t="inlineStr">
        <is>
          <t>BOLLNÄS</t>
        </is>
      </c>
      <c r="F2981" t="inlineStr">
        <is>
          <t>Sveaskog</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26129-2024</t>
        </is>
      </c>
      <c r="B2982" s="1" t="n">
        <v>45468.47239583333</v>
      </c>
      <c r="C2982" s="1" t="n">
        <v>46086</v>
      </c>
      <c r="D2982" t="inlineStr">
        <is>
          <t>GÄVLEBORGS LÄN</t>
        </is>
      </c>
      <c r="E2982" t="inlineStr">
        <is>
          <t>GÄVLE</t>
        </is>
      </c>
      <c r="F2982" t="inlineStr">
        <is>
          <t>Bergvik skog väst AB</t>
        </is>
      </c>
      <c r="G2982" t="n">
        <v>9.9</v>
      </c>
      <c r="H2982" t="n">
        <v>0</v>
      </c>
      <c r="I2982" t="n">
        <v>0</v>
      </c>
      <c r="J2982" t="n">
        <v>0</v>
      </c>
      <c r="K2982" t="n">
        <v>0</v>
      </c>
      <c r="L2982" t="n">
        <v>0</v>
      </c>
      <c r="M2982" t="n">
        <v>0</v>
      </c>
      <c r="N2982" t="n">
        <v>0</v>
      </c>
      <c r="O2982" t="n">
        <v>0</v>
      </c>
      <c r="P2982" t="n">
        <v>0</v>
      </c>
      <c r="Q2982" t="n">
        <v>0</v>
      </c>
      <c r="R2982" s="2" t="inlineStr"/>
    </row>
    <row r="2983" ht="15" customHeight="1">
      <c r="A2983" t="inlineStr">
        <is>
          <t>A 29772-2025</t>
        </is>
      </c>
      <c r="B2983" s="1" t="n">
        <v>45825</v>
      </c>
      <c r="C2983" s="1" t="n">
        <v>46086</v>
      </c>
      <c r="D2983" t="inlineStr">
        <is>
          <t>GÄVLEBORGS LÄN</t>
        </is>
      </c>
      <c r="E2983" t="inlineStr">
        <is>
          <t>HUDIKSVALL</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29777-2025</t>
        </is>
      </c>
      <c r="B2984" s="1" t="n">
        <v>45825.64113425926</v>
      </c>
      <c r="C2984" s="1" t="n">
        <v>46086</v>
      </c>
      <c r="D2984" t="inlineStr">
        <is>
          <t>GÄVLEBORGS LÄN</t>
        </is>
      </c>
      <c r="E2984" t="inlineStr">
        <is>
          <t>BOLLNÄS</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39542-2025</t>
        </is>
      </c>
      <c r="B2985" s="1" t="n">
        <v>45890.45476851852</v>
      </c>
      <c r="C2985" s="1" t="n">
        <v>46086</v>
      </c>
      <c r="D2985" t="inlineStr">
        <is>
          <t>GÄVLEBORGS LÄN</t>
        </is>
      </c>
      <c r="E2985" t="inlineStr">
        <is>
          <t>OVANÅKER</t>
        </is>
      </c>
      <c r="F2985" t="inlineStr">
        <is>
          <t>Sveaskog</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45822-2022</t>
        </is>
      </c>
      <c r="B2986" s="1" t="n">
        <v>44846</v>
      </c>
      <c r="C2986" s="1" t="n">
        <v>46086</v>
      </c>
      <c r="D2986" t="inlineStr">
        <is>
          <t>GÄVLEBORGS LÄN</t>
        </is>
      </c>
      <c r="E2986" t="inlineStr">
        <is>
          <t>SÖDERHAMN</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29261-2025</t>
        </is>
      </c>
      <c r="B2987" s="1" t="n">
        <v>45824</v>
      </c>
      <c r="C2987" s="1" t="n">
        <v>46086</v>
      </c>
      <c r="D2987" t="inlineStr">
        <is>
          <t>GÄVLEBORGS LÄN</t>
        </is>
      </c>
      <c r="E2987" t="inlineStr">
        <is>
          <t>NORDANSTIG</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29274-2025</t>
        </is>
      </c>
      <c r="B2988" s="1" t="n">
        <v>45824.41335648148</v>
      </c>
      <c r="C2988" s="1" t="n">
        <v>46086</v>
      </c>
      <c r="D2988" t="inlineStr">
        <is>
          <t>GÄVLEBORGS LÄN</t>
        </is>
      </c>
      <c r="E2988" t="inlineStr">
        <is>
          <t>OCKELBO</t>
        </is>
      </c>
      <c r="F2988" t="inlineStr">
        <is>
          <t>Bergvik skog väst AB</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50898-2023</t>
        </is>
      </c>
      <c r="B2989" s="1" t="n">
        <v>45218.40636574074</v>
      </c>
      <c r="C2989" s="1" t="n">
        <v>46086</v>
      </c>
      <c r="D2989" t="inlineStr">
        <is>
          <t>GÄVLEBORGS LÄN</t>
        </is>
      </c>
      <c r="E2989" t="inlineStr">
        <is>
          <t>HUDIKSVALL</t>
        </is>
      </c>
      <c r="F2989" t="inlineStr">
        <is>
          <t>Holmen skog AB</t>
        </is>
      </c>
      <c r="G2989" t="n">
        <v>6.5</v>
      </c>
      <c r="H2989" t="n">
        <v>0</v>
      </c>
      <c r="I2989" t="n">
        <v>0</v>
      </c>
      <c r="J2989" t="n">
        <v>0</v>
      </c>
      <c r="K2989" t="n">
        <v>0</v>
      </c>
      <c r="L2989" t="n">
        <v>0</v>
      </c>
      <c r="M2989" t="n">
        <v>0</v>
      </c>
      <c r="N2989" t="n">
        <v>0</v>
      </c>
      <c r="O2989" t="n">
        <v>0</v>
      </c>
      <c r="P2989" t="n">
        <v>0</v>
      </c>
      <c r="Q2989" t="n">
        <v>0</v>
      </c>
      <c r="R2989" s="2" t="inlineStr"/>
    </row>
    <row r="2990" ht="15" customHeight="1">
      <c r="A2990" t="inlineStr">
        <is>
          <t>A 10680-2026</t>
        </is>
      </c>
      <c r="B2990" s="1" t="n">
        <v>46078.41293981481</v>
      </c>
      <c r="C2990" s="1" t="n">
        <v>46086</v>
      </c>
      <c r="D2990" t="inlineStr">
        <is>
          <t>GÄVLEBORGS LÄN</t>
        </is>
      </c>
      <c r="E2990" t="inlineStr">
        <is>
          <t>NORDANSTIG</t>
        </is>
      </c>
      <c r="G2990" t="n">
        <v>12.3</v>
      </c>
      <c r="H2990" t="n">
        <v>0</v>
      </c>
      <c r="I2990" t="n">
        <v>0</v>
      </c>
      <c r="J2990" t="n">
        <v>0</v>
      </c>
      <c r="K2990" t="n">
        <v>0</v>
      </c>
      <c r="L2990" t="n">
        <v>0</v>
      </c>
      <c r="M2990" t="n">
        <v>0</v>
      </c>
      <c r="N2990" t="n">
        <v>0</v>
      </c>
      <c r="O2990" t="n">
        <v>0</v>
      </c>
      <c r="P2990" t="n">
        <v>0</v>
      </c>
      <c r="Q2990" t="n">
        <v>0</v>
      </c>
      <c r="R2990" s="2" t="inlineStr"/>
    </row>
    <row r="2991" ht="15" customHeight="1">
      <c r="A2991" t="inlineStr">
        <is>
          <t>A 10683-2026</t>
        </is>
      </c>
      <c r="B2991" s="1" t="n">
        <v>46078.41643518519</v>
      </c>
      <c r="C2991" s="1" t="n">
        <v>46086</v>
      </c>
      <c r="D2991" t="inlineStr">
        <is>
          <t>GÄVLEBORGS LÄN</t>
        </is>
      </c>
      <c r="E2991" t="inlineStr">
        <is>
          <t>BOLLNÄS</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10687-2026</t>
        </is>
      </c>
      <c r="B2992" s="1" t="n">
        <v>46078.42753472222</v>
      </c>
      <c r="C2992" s="1" t="n">
        <v>46086</v>
      </c>
      <c r="D2992" t="inlineStr">
        <is>
          <t>GÄVLEBORGS LÄN</t>
        </is>
      </c>
      <c r="E2992" t="inlineStr">
        <is>
          <t>BOLLNÄS</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10727-2026</t>
        </is>
      </c>
      <c r="B2993" s="1" t="n">
        <v>46078.47508101852</v>
      </c>
      <c r="C2993" s="1" t="n">
        <v>46086</v>
      </c>
      <c r="D2993" t="inlineStr">
        <is>
          <t>GÄVLEBORGS LÄN</t>
        </is>
      </c>
      <c r="E2993" t="inlineStr">
        <is>
          <t>BOLLNÄS</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10733-2026</t>
        </is>
      </c>
      <c r="B2994" s="1" t="n">
        <v>46078.48178240741</v>
      </c>
      <c r="C2994" s="1" t="n">
        <v>46086</v>
      </c>
      <c r="D2994" t="inlineStr">
        <is>
          <t>GÄVLEBORGS LÄN</t>
        </is>
      </c>
      <c r="E2994" t="inlineStr">
        <is>
          <t>BOLLNÄS</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2225-2026</t>
        </is>
      </c>
      <c r="B2995" s="1" t="n">
        <v>46036.51623842592</v>
      </c>
      <c r="C2995" s="1" t="n">
        <v>46086</v>
      </c>
      <c r="D2995" t="inlineStr">
        <is>
          <t>GÄVLEBORGS LÄN</t>
        </is>
      </c>
      <c r="E2995" t="inlineStr">
        <is>
          <t>SANDVIKEN</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29329-2025</t>
        </is>
      </c>
      <c r="B2996" s="1" t="n">
        <v>45824.48667824074</v>
      </c>
      <c r="C2996" s="1" t="n">
        <v>46086</v>
      </c>
      <c r="D2996" t="inlineStr">
        <is>
          <t>GÄVLEBORGS LÄN</t>
        </is>
      </c>
      <c r="E2996" t="inlineStr">
        <is>
          <t>HUDIKSVALL</t>
        </is>
      </c>
      <c r="F2996" t="inlineStr">
        <is>
          <t>Holmen skog AB</t>
        </is>
      </c>
      <c r="G2996" t="n">
        <v>15.3</v>
      </c>
      <c r="H2996" t="n">
        <v>0</v>
      </c>
      <c r="I2996" t="n">
        <v>0</v>
      </c>
      <c r="J2996" t="n">
        <v>0</v>
      </c>
      <c r="K2996" t="n">
        <v>0</v>
      </c>
      <c r="L2996" t="n">
        <v>0</v>
      </c>
      <c r="M2996" t="n">
        <v>0</v>
      </c>
      <c r="N2996" t="n">
        <v>0</v>
      </c>
      <c r="O2996" t="n">
        <v>0</v>
      </c>
      <c r="P2996" t="n">
        <v>0</v>
      </c>
      <c r="Q2996" t="n">
        <v>0</v>
      </c>
      <c r="R2996" s="2" t="inlineStr"/>
    </row>
    <row r="2997" ht="15" customHeight="1">
      <c r="A2997" t="inlineStr">
        <is>
          <t>A 29358-2025</t>
        </is>
      </c>
      <c r="B2997" s="1" t="n">
        <v>45824.55981481481</v>
      </c>
      <c r="C2997" s="1" t="n">
        <v>46086</v>
      </c>
      <c r="D2997" t="inlineStr">
        <is>
          <t>GÄVLEBORGS LÄN</t>
        </is>
      </c>
      <c r="E2997" t="inlineStr">
        <is>
          <t>LJUSDAL</t>
        </is>
      </c>
      <c r="F2997" t="inlineStr">
        <is>
          <t>Bergvik skog väst AB</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10996-2026</t>
        </is>
      </c>
      <c r="B2998" s="1" t="n">
        <v>46079.49774305556</v>
      </c>
      <c r="C2998" s="1" t="n">
        <v>46086</v>
      </c>
      <c r="D2998" t="inlineStr">
        <is>
          <t>GÄVLEBORGS LÄN</t>
        </is>
      </c>
      <c r="E2998" t="inlineStr">
        <is>
          <t>NORDANSTIG</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35206-2024</t>
        </is>
      </c>
      <c r="B2999" s="1" t="n">
        <v>45530</v>
      </c>
      <c r="C2999" s="1" t="n">
        <v>46086</v>
      </c>
      <c r="D2999" t="inlineStr">
        <is>
          <t>GÄVLEBORGS LÄN</t>
        </is>
      </c>
      <c r="E2999" t="inlineStr">
        <is>
          <t>GÄVLE</t>
        </is>
      </c>
      <c r="F2999" t="inlineStr">
        <is>
          <t>Bergvik skog öst AB</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29780-2025</t>
        </is>
      </c>
      <c r="B3000" s="1" t="n">
        <v>45825.64649305555</v>
      </c>
      <c r="C3000" s="1" t="n">
        <v>46086</v>
      </c>
      <c r="D3000" t="inlineStr">
        <is>
          <t>GÄVLEBORGS LÄN</t>
        </is>
      </c>
      <c r="E3000" t="inlineStr">
        <is>
          <t>BOLLNÄS</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29013-2025</t>
        </is>
      </c>
      <c r="B3001" s="1" t="n">
        <v>45821.40672453704</v>
      </c>
      <c r="C3001" s="1" t="n">
        <v>46086</v>
      </c>
      <c r="D3001" t="inlineStr">
        <is>
          <t>GÄVLEBORGS LÄN</t>
        </is>
      </c>
      <c r="E3001" t="inlineStr">
        <is>
          <t>LJUSDAL</t>
        </is>
      </c>
      <c r="F3001" t="inlineStr">
        <is>
          <t>SCA</t>
        </is>
      </c>
      <c r="G3001" t="n">
        <v>13.5</v>
      </c>
      <c r="H3001" t="n">
        <v>0</v>
      </c>
      <c r="I3001" t="n">
        <v>0</v>
      </c>
      <c r="J3001" t="n">
        <v>0</v>
      </c>
      <c r="K3001" t="n">
        <v>0</v>
      </c>
      <c r="L3001" t="n">
        <v>0</v>
      </c>
      <c r="M3001" t="n">
        <v>0</v>
      </c>
      <c r="N3001" t="n">
        <v>0</v>
      </c>
      <c r="O3001" t="n">
        <v>0</v>
      </c>
      <c r="P3001" t="n">
        <v>0</v>
      </c>
      <c r="Q3001" t="n">
        <v>0</v>
      </c>
      <c r="R3001" s="2" t="inlineStr"/>
    </row>
    <row r="3002" ht="15" customHeight="1">
      <c r="A3002" t="inlineStr">
        <is>
          <t>A 29116-2025</t>
        </is>
      </c>
      <c r="B3002" s="1" t="n">
        <v>45821.59091435185</v>
      </c>
      <c r="C3002" s="1" t="n">
        <v>46086</v>
      </c>
      <c r="D3002" t="inlineStr">
        <is>
          <t>GÄVLEBORGS LÄN</t>
        </is>
      </c>
      <c r="E3002" t="inlineStr">
        <is>
          <t>OCKELBO</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39597-2025</t>
        </is>
      </c>
      <c r="B3003" s="1" t="n">
        <v>45890.54349537037</v>
      </c>
      <c r="C3003" s="1" t="n">
        <v>46086</v>
      </c>
      <c r="D3003" t="inlineStr">
        <is>
          <t>GÄVLEBORGS LÄN</t>
        </is>
      </c>
      <c r="E3003" t="inlineStr">
        <is>
          <t>NORDANSTIG</t>
        </is>
      </c>
      <c r="F3003" t="inlineStr">
        <is>
          <t>Holmen skog AB</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29459-2025</t>
        </is>
      </c>
      <c r="B3004" s="1" t="n">
        <v>45824.69475694445</v>
      </c>
      <c r="C3004" s="1" t="n">
        <v>46086</v>
      </c>
      <c r="D3004" t="inlineStr">
        <is>
          <t>GÄVLEBORGS LÄN</t>
        </is>
      </c>
      <c r="E3004" t="inlineStr">
        <is>
          <t>SÖDERHAMN</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11028-2026</t>
        </is>
      </c>
      <c r="B3005" s="1" t="n">
        <v>46079.56643518519</v>
      </c>
      <c r="C3005" s="1" t="n">
        <v>46086</v>
      </c>
      <c r="D3005" t="inlineStr">
        <is>
          <t>GÄVLEBORGS LÄN</t>
        </is>
      </c>
      <c r="E3005" t="inlineStr">
        <is>
          <t>BOLLNÄS</t>
        </is>
      </c>
      <c r="F3005" t="inlineStr">
        <is>
          <t>Bergvik skog väst AB</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39643-2025</t>
        </is>
      </c>
      <c r="B3006" s="1" t="n">
        <v>45890.61131944445</v>
      </c>
      <c r="C3006" s="1" t="n">
        <v>46086</v>
      </c>
      <c r="D3006" t="inlineStr">
        <is>
          <t>GÄVLEBORGS LÄN</t>
        </is>
      </c>
      <c r="E3006" t="inlineStr">
        <is>
          <t>HUDIKSVALL</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29738-2025</t>
        </is>
      </c>
      <c r="B3007" s="1" t="n">
        <v>45825.58762731482</v>
      </c>
      <c r="C3007" s="1" t="n">
        <v>46086</v>
      </c>
      <c r="D3007" t="inlineStr">
        <is>
          <t>GÄVLEBORGS LÄN</t>
        </is>
      </c>
      <c r="E3007" t="inlineStr">
        <is>
          <t>SANDVIKEN</t>
        </is>
      </c>
      <c r="G3007" t="n">
        <v>4.8</v>
      </c>
      <c r="H3007" t="n">
        <v>0</v>
      </c>
      <c r="I3007" t="n">
        <v>0</v>
      </c>
      <c r="J3007" t="n">
        <v>0</v>
      </c>
      <c r="K3007" t="n">
        <v>0</v>
      </c>
      <c r="L3007" t="n">
        <v>0</v>
      </c>
      <c r="M3007" t="n">
        <v>0</v>
      </c>
      <c r="N3007" t="n">
        <v>0</v>
      </c>
      <c r="O3007" t="n">
        <v>0</v>
      </c>
      <c r="P3007" t="n">
        <v>0</v>
      </c>
      <c r="Q3007" t="n">
        <v>0</v>
      </c>
      <c r="R3007" s="2" t="inlineStr"/>
    </row>
    <row r="3008" ht="15" customHeight="1">
      <c r="A3008" t="inlineStr">
        <is>
          <t>A 19762-2024</t>
        </is>
      </c>
      <c r="B3008" s="1" t="n">
        <v>45432.6987037037</v>
      </c>
      <c r="C3008" s="1" t="n">
        <v>46086</v>
      </c>
      <c r="D3008" t="inlineStr">
        <is>
          <t>GÄVLEBORGS LÄN</t>
        </is>
      </c>
      <c r="E3008" t="inlineStr">
        <is>
          <t>OCKELBO</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11055-2026</t>
        </is>
      </c>
      <c r="B3009" s="1" t="n">
        <v>46079.59478009259</v>
      </c>
      <c r="C3009" s="1" t="n">
        <v>46086</v>
      </c>
      <c r="D3009" t="inlineStr">
        <is>
          <t>GÄVLEBORGS LÄN</t>
        </is>
      </c>
      <c r="E3009" t="inlineStr">
        <is>
          <t>OVANÅKER</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11076-2026</t>
        </is>
      </c>
      <c r="B3010" s="1" t="n">
        <v>46079.61701388889</v>
      </c>
      <c r="C3010" s="1" t="n">
        <v>46086</v>
      </c>
      <c r="D3010" t="inlineStr">
        <is>
          <t>GÄVLEBORGS LÄN</t>
        </is>
      </c>
      <c r="E3010" t="inlineStr">
        <is>
          <t>BOLLNÄS</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11113-2026</t>
        </is>
      </c>
      <c r="B3011" s="1" t="n">
        <v>46079.66104166667</v>
      </c>
      <c r="C3011" s="1" t="n">
        <v>46086</v>
      </c>
      <c r="D3011" t="inlineStr">
        <is>
          <t>GÄVLEBORGS LÄN</t>
        </is>
      </c>
      <c r="E3011" t="inlineStr">
        <is>
          <t>NORDANSTIG</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15195-2025</t>
        </is>
      </c>
      <c r="B3012" s="1" t="n">
        <v>45744.56231481482</v>
      </c>
      <c r="C3012" s="1" t="n">
        <v>46086</v>
      </c>
      <c r="D3012" t="inlineStr">
        <is>
          <t>GÄVLEBORGS LÄN</t>
        </is>
      </c>
      <c r="E3012" t="inlineStr">
        <is>
          <t>OCKELBO</t>
        </is>
      </c>
      <c r="F3012" t="inlineStr">
        <is>
          <t>Bergvik skog väst AB</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39554-2025</t>
        </is>
      </c>
      <c r="B3013" s="1" t="n">
        <v>45890.46740740741</v>
      </c>
      <c r="C3013" s="1" t="n">
        <v>46086</v>
      </c>
      <c r="D3013" t="inlineStr">
        <is>
          <t>GÄVLEBORGS LÄN</t>
        </is>
      </c>
      <c r="E3013" t="inlineStr">
        <is>
          <t>LJUSDAL</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39626-2025</t>
        </is>
      </c>
      <c r="B3014" s="1" t="n">
        <v>45890</v>
      </c>
      <c r="C3014" s="1" t="n">
        <v>46086</v>
      </c>
      <c r="D3014" t="inlineStr">
        <is>
          <t>GÄVLEBORGS LÄN</t>
        </is>
      </c>
      <c r="E3014" t="inlineStr">
        <is>
          <t>OVANÅKER</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29614-2025</t>
        </is>
      </c>
      <c r="B3015" s="1" t="n">
        <v>45825.42587962963</v>
      </c>
      <c r="C3015" s="1" t="n">
        <v>46086</v>
      </c>
      <c r="D3015" t="inlineStr">
        <is>
          <t>GÄVLEBORGS LÄN</t>
        </is>
      </c>
      <c r="E3015" t="inlineStr">
        <is>
          <t>OVANÅKER</t>
        </is>
      </c>
      <c r="F3015" t="inlineStr">
        <is>
          <t>Bergvik skog väst AB</t>
        </is>
      </c>
      <c r="G3015" t="n">
        <v>8.6</v>
      </c>
      <c r="H3015" t="n">
        <v>0</v>
      </c>
      <c r="I3015" t="n">
        <v>0</v>
      </c>
      <c r="J3015" t="n">
        <v>0</v>
      </c>
      <c r="K3015" t="n">
        <v>0</v>
      </c>
      <c r="L3015" t="n">
        <v>0</v>
      </c>
      <c r="M3015" t="n">
        <v>0</v>
      </c>
      <c r="N3015" t="n">
        <v>0</v>
      </c>
      <c r="O3015" t="n">
        <v>0</v>
      </c>
      <c r="P3015" t="n">
        <v>0</v>
      </c>
      <c r="Q3015" t="n">
        <v>0</v>
      </c>
      <c r="R3015" s="2" t="inlineStr"/>
    </row>
    <row r="3016" ht="15" customHeight="1">
      <c r="A3016" t="inlineStr">
        <is>
          <t>A 29635-2025</t>
        </is>
      </c>
      <c r="B3016" s="1" t="n">
        <v>45825.45329861111</v>
      </c>
      <c r="C3016" s="1" t="n">
        <v>46086</v>
      </c>
      <c r="D3016" t="inlineStr">
        <is>
          <t>GÄVLEBORGS LÄN</t>
        </is>
      </c>
      <c r="E3016" t="inlineStr">
        <is>
          <t>OVANÅKER</t>
        </is>
      </c>
      <c r="F3016" t="inlineStr">
        <is>
          <t>Bergvik skog väst AB</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29526-2025</t>
        </is>
      </c>
      <c r="B3017" s="1" t="n">
        <v>45825.34037037037</v>
      </c>
      <c r="C3017" s="1" t="n">
        <v>46086</v>
      </c>
      <c r="D3017" t="inlineStr">
        <is>
          <t>GÄVLEBORGS LÄN</t>
        </is>
      </c>
      <c r="E3017" t="inlineStr">
        <is>
          <t>LJUSDAL</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11128-2026</t>
        </is>
      </c>
      <c r="B3018" s="1" t="n">
        <v>46079.69940972222</v>
      </c>
      <c r="C3018" s="1" t="n">
        <v>46086</v>
      </c>
      <c r="D3018" t="inlineStr">
        <is>
          <t>GÄVLEBORGS LÄN</t>
        </is>
      </c>
      <c r="E3018" t="inlineStr">
        <is>
          <t>BOLLNÄS</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2231-2026</t>
        </is>
      </c>
      <c r="B3019" s="1" t="n">
        <v>46036.52355324074</v>
      </c>
      <c r="C3019" s="1" t="n">
        <v>46086</v>
      </c>
      <c r="D3019" t="inlineStr">
        <is>
          <t>GÄVLEBORGS LÄN</t>
        </is>
      </c>
      <c r="E3019" t="inlineStr">
        <is>
          <t>SÖDERHAMN</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2266-2026</t>
        </is>
      </c>
      <c r="B3020" s="1" t="n">
        <v>46036.57084490741</v>
      </c>
      <c r="C3020" s="1" t="n">
        <v>46086</v>
      </c>
      <c r="D3020" t="inlineStr">
        <is>
          <t>GÄVLEBORGS LÄN</t>
        </is>
      </c>
      <c r="E3020" t="inlineStr">
        <is>
          <t>SÖDERHAMN</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39536-2025</t>
        </is>
      </c>
      <c r="B3021" s="1" t="n">
        <v>45890.44886574074</v>
      </c>
      <c r="C3021" s="1" t="n">
        <v>46086</v>
      </c>
      <c r="D3021" t="inlineStr">
        <is>
          <t>GÄVLEBORGS LÄN</t>
        </is>
      </c>
      <c r="E3021" t="inlineStr">
        <is>
          <t>OVANÅKER</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39537-2025</t>
        </is>
      </c>
      <c r="B3022" s="1" t="n">
        <v>45890.44887731481</v>
      </c>
      <c r="C3022" s="1" t="n">
        <v>46086</v>
      </c>
      <c r="D3022" t="inlineStr">
        <is>
          <t>GÄVLEBORGS LÄN</t>
        </is>
      </c>
      <c r="E3022" t="inlineStr">
        <is>
          <t>LJUSDAL</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2275-2026</t>
        </is>
      </c>
      <c r="B3023" s="1" t="n">
        <v>46036.5737962963</v>
      </c>
      <c r="C3023" s="1" t="n">
        <v>46086</v>
      </c>
      <c r="D3023" t="inlineStr">
        <is>
          <t>GÄVLEBORGS LÄN</t>
        </is>
      </c>
      <c r="E3023" t="inlineStr">
        <is>
          <t>SÖDERHAMN</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2292-2026</t>
        </is>
      </c>
      <c r="B3024" s="1" t="n">
        <v>46036</v>
      </c>
      <c r="C3024" s="1" t="n">
        <v>46086</v>
      </c>
      <c r="D3024" t="inlineStr">
        <is>
          <t>GÄVLEBORGS LÄN</t>
        </is>
      </c>
      <c r="E3024" t="inlineStr">
        <is>
          <t>BOLLNÄS</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39879-2025</t>
        </is>
      </c>
      <c r="B3025" s="1" t="n">
        <v>45891.61613425926</v>
      </c>
      <c r="C3025" s="1" t="n">
        <v>46086</v>
      </c>
      <c r="D3025" t="inlineStr">
        <is>
          <t>GÄVLEBORGS LÄN</t>
        </is>
      </c>
      <c r="E3025" t="inlineStr">
        <is>
          <t>SÖDERHAMN</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39881-2025</t>
        </is>
      </c>
      <c r="B3026" s="1" t="n">
        <v>45891.61936342593</v>
      </c>
      <c r="C3026" s="1" t="n">
        <v>46086</v>
      </c>
      <c r="D3026" t="inlineStr">
        <is>
          <t>GÄVLEBORGS LÄN</t>
        </is>
      </c>
      <c r="E3026" t="inlineStr">
        <is>
          <t>BOLLNÄS</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53867-2024</t>
        </is>
      </c>
      <c r="B3027" s="1" t="n">
        <v>45615.64972222222</v>
      </c>
      <c r="C3027" s="1" t="n">
        <v>46086</v>
      </c>
      <c r="D3027" t="inlineStr">
        <is>
          <t>GÄVLEBORGS LÄN</t>
        </is>
      </c>
      <c r="E3027" t="inlineStr">
        <is>
          <t>SANDVIKEN</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29227-2025</t>
        </is>
      </c>
      <c r="B3028" s="1" t="n">
        <v>45824.33912037037</v>
      </c>
      <c r="C3028" s="1" t="n">
        <v>46086</v>
      </c>
      <c r="D3028" t="inlineStr">
        <is>
          <t>GÄVLEBORGS LÄN</t>
        </is>
      </c>
      <c r="E3028" t="inlineStr">
        <is>
          <t>HUDIKSVALL</t>
        </is>
      </c>
      <c r="G3028" t="n">
        <v>5.7</v>
      </c>
      <c r="H3028" t="n">
        <v>0</v>
      </c>
      <c r="I3028" t="n">
        <v>0</v>
      </c>
      <c r="J3028" t="n">
        <v>0</v>
      </c>
      <c r="K3028" t="n">
        <v>0</v>
      </c>
      <c r="L3028" t="n">
        <v>0</v>
      </c>
      <c r="M3028" t="n">
        <v>0</v>
      </c>
      <c r="N3028" t="n">
        <v>0</v>
      </c>
      <c r="O3028" t="n">
        <v>0</v>
      </c>
      <c r="P3028" t="n">
        <v>0</v>
      </c>
      <c r="Q3028" t="n">
        <v>0</v>
      </c>
      <c r="R3028" s="2" t="inlineStr"/>
    </row>
    <row r="3029" ht="15" customHeight="1">
      <c r="A3029" t="inlineStr">
        <is>
          <t>A 29249-2025</t>
        </is>
      </c>
      <c r="B3029" s="1" t="n">
        <v>45824.37268518518</v>
      </c>
      <c r="C3029" s="1" t="n">
        <v>46086</v>
      </c>
      <c r="D3029" t="inlineStr">
        <is>
          <t>GÄVLEBORGS LÄN</t>
        </is>
      </c>
      <c r="E3029" t="inlineStr">
        <is>
          <t>OVANÅKER</t>
        </is>
      </c>
      <c r="F3029" t="inlineStr">
        <is>
          <t>Holmen skog AB</t>
        </is>
      </c>
      <c r="G3029" t="n">
        <v>20.7</v>
      </c>
      <c r="H3029" t="n">
        <v>0</v>
      </c>
      <c r="I3029" t="n">
        <v>0</v>
      </c>
      <c r="J3029" t="n">
        <v>0</v>
      </c>
      <c r="K3029" t="n">
        <v>0</v>
      </c>
      <c r="L3029" t="n">
        <v>0</v>
      </c>
      <c r="M3029" t="n">
        <v>0</v>
      </c>
      <c r="N3029" t="n">
        <v>0</v>
      </c>
      <c r="O3029" t="n">
        <v>0</v>
      </c>
      <c r="P3029" t="n">
        <v>0</v>
      </c>
      <c r="Q3029" t="n">
        <v>0</v>
      </c>
      <c r="R3029" s="2" t="inlineStr"/>
    </row>
    <row r="3030" ht="15" customHeight="1">
      <c r="A3030" t="inlineStr">
        <is>
          <t>A 29776-2025</t>
        </is>
      </c>
      <c r="B3030" s="1" t="n">
        <v>45825.64038194445</v>
      </c>
      <c r="C3030" s="1" t="n">
        <v>46086</v>
      </c>
      <c r="D3030" t="inlineStr">
        <is>
          <t>GÄVLEBORGS LÄN</t>
        </is>
      </c>
      <c r="E3030" t="inlineStr">
        <is>
          <t>BOLLNÄS</t>
        </is>
      </c>
      <c r="F3030" t="inlineStr">
        <is>
          <t>Sveaskog</t>
        </is>
      </c>
      <c r="G3030" t="n">
        <v>10.7</v>
      </c>
      <c r="H3030" t="n">
        <v>0</v>
      </c>
      <c r="I3030" t="n">
        <v>0</v>
      </c>
      <c r="J3030" t="n">
        <v>0</v>
      </c>
      <c r="K3030" t="n">
        <v>0</v>
      </c>
      <c r="L3030" t="n">
        <v>0</v>
      </c>
      <c r="M3030" t="n">
        <v>0</v>
      </c>
      <c r="N3030" t="n">
        <v>0</v>
      </c>
      <c r="O3030" t="n">
        <v>0</v>
      </c>
      <c r="P3030" t="n">
        <v>0</v>
      </c>
      <c r="Q3030" t="n">
        <v>0</v>
      </c>
      <c r="R3030" s="2" t="inlineStr"/>
    </row>
    <row r="3031" ht="15" customHeight="1">
      <c r="A3031" t="inlineStr">
        <is>
          <t>A 29741-2025</t>
        </is>
      </c>
      <c r="B3031" s="1" t="n">
        <v>45825.59167824074</v>
      </c>
      <c r="C3031" s="1" t="n">
        <v>46086</v>
      </c>
      <c r="D3031" t="inlineStr">
        <is>
          <t>GÄVLEBORGS LÄN</t>
        </is>
      </c>
      <c r="E3031" t="inlineStr">
        <is>
          <t>NORDANSTIG</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25271-2024</t>
        </is>
      </c>
      <c r="B3032" s="1" t="n">
        <v>45462</v>
      </c>
      <c r="C3032" s="1" t="n">
        <v>46086</v>
      </c>
      <c r="D3032" t="inlineStr">
        <is>
          <t>GÄVLEBORGS LÄN</t>
        </is>
      </c>
      <c r="E3032" t="inlineStr">
        <is>
          <t>NORDANSTIG</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29735-2025</t>
        </is>
      </c>
      <c r="B3033" s="1" t="n">
        <v>45825.58403935185</v>
      </c>
      <c r="C3033" s="1" t="n">
        <v>46086</v>
      </c>
      <c r="D3033" t="inlineStr">
        <is>
          <t>GÄVLEBORGS LÄN</t>
        </is>
      </c>
      <c r="E3033" t="inlineStr">
        <is>
          <t>SANDVIKEN</t>
        </is>
      </c>
      <c r="G3033" t="n">
        <v>6.2</v>
      </c>
      <c r="H3033" t="n">
        <v>0</v>
      </c>
      <c r="I3033" t="n">
        <v>0</v>
      </c>
      <c r="J3033" t="n">
        <v>0</v>
      </c>
      <c r="K3033" t="n">
        <v>0</v>
      </c>
      <c r="L3033" t="n">
        <v>0</v>
      </c>
      <c r="M3033" t="n">
        <v>0</v>
      </c>
      <c r="N3033" t="n">
        <v>0</v>
      </c>
      <c r="O3033" t="n">
        <v>0</v>
      </c>
      <c r="P3033" t="n">
        <v>0</v>
      </c>
      <c r="Q3033" t="n">
        <v>0</v>
      </c>
      <c r="R3033" s="2" t="inlineStr"/>
    </row>
    <row r="3034" ht="15" customHeight="1">
      <c r="A3034" t="inlineStr">
        <is>
          <t>A 29357-2025</t>
        </is>
      </c>
      <c r="B3034" s="1" t="n">
        <v>45824.55668981482</v>
      </c>
      <c r="C3034" s="1" t="n">
        <v>46086</v>
      </c>
      <c r="D3034" t="inlineStr">
        <is>
          <t>GÄVLEBORGS LÄN</t>
        </is>
      </c>
      <c r="E3034" t="inlineStr">
        <is>
          <t>HUDIKSVALL</t>
        </is>
      </c>
      <c r="F3034" t="inlineStr">
        <is>
          <t>Holmen skog AB</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33361-2025</t>
        </is>
      </c>
      <c r="B3035" s="1" t="n">
        <v>45841.38190972222</v>
      </c>
      <c r="C3035" s="1" t="n">
        <v>46086</v>
      </c>
      <c r="D3035" t="inlineStr">
        <is>
          <t>GÄVLEBORGS LÄN</t>
        </is>
      </c>
      <c r="E3035" t="inlineStr">
        <is>
          <t>OCKELBO</t>
        </is>
      </c>
      <c r="G3035" t="n">
        <v>5.1</v>
      </c>
      <c r="H3035" t="n">
        <v>0</v>
      </c>
      <c r="I3035" t="n">
        <v>0</v>
      </c>
      <c r="J3035" t="n">
        <v>0</v>
      </c>
      <c r="K3035" t="n">
        <v>0</v>
      </c>
      <c r="L3035" t="n">
        <v>0</v>
      </c>
      <c r="M3035" t="n">
        <v>0</v>
      </c>
      <c r="N3035" t="n">
        <v>0</v>
      </c>
      <c r="O3035" t="n">
        <v>0</v>
      </c>
      <c r="P3035" t="n">
        <v>0</v>
      </c>
      <c r="Q3035" t="n">
        <v>0</v>
      </c>
      <c r="R3035" s="2" t="inlineStr"/>
    </row>
    <row r="3036" ht="15" customHeight="1">
      <c r="A3036" t="inlineStr">
        <is>
          <t>A 29253-2025</t>
        </is>
      </c>
      <c r="B3036" s="1" t="n">
        <v>45824.37842592593</v>
      </c>
      <c r="C3036" s="1" t="n">
        <v>46086</v>
      </c>
      <c r="D3036" t="inlineStr">
        <is>
          <t>GÄVLEBORGS LÄN</t>
        </is>
      </c>
      <c r="E3036" t="inlineStr">
        <is>
          <t>HUDIKSVALL</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29314-2024</t>
        </is>
      </c>
      <c r="B3037" s="1" t="n">
        <v>45483.40184027778</v>
      </c>
      <c r="C3037" s="1" t="n">
        <v>46086</v>
      </c>
      <c r="D3037" t="inlineStr">
        <is>
          <t>GÄVLEBORGS LÄN</t>
        </is>
      </c>
      <c r="E3037" t="inlineStr">
        <is>
          <t>LJUSDAL</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39784-2025</t>
        </is>
      </c>
      <c r="B3038" s="1" t="n">
        <v>45891.47790509259</v>
      </c>
      <c r="C3038" s="1" t="n">
        <v>46086</v>
      </c>
      <c r="D3038" t="inlineStr">
        <is>
          <t>GÄVLEBORGS LÄN</t>
        </is>
      </c>
      <c r="E3038" t="inlineStr">
        <is>
          <t>SÖDERHAMN</t>
        </is>
      </c>
      <c r="F3038" t="inlineStr">
        <is>
          <t>Bergvik skog väst AB</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53718-2024</t>
        </is>
      </c>
      <c r="B3039" s="1" t="n">
        <v>45615.43480324074</v>
      </c>
      <c r="C3039" s="1" t="n">
        <v>46086</v>
      </c>
      <c r="D3039" t="inlineStr">
        <is>
          <t>GÄVLEBORGS LÄN</t>
        </is>
      </c>
      <c r="E3039" t="inlineStr">
        <is>
          <t>SANDVIKEN</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39551-2025</t>
        </is>
      </c>
      <c r="B3040" s="1" t="n">
        <v>45890.4650925926</v>
      </c>
      <c r="C3040" s="1" t="n">
        <v>46086</v>
      </c>
      <c r="D3040" t="inlineStr">
        <is>
          <t>GÄVLEBORGS LÄN</t>
        </is>
      </c>
      <c r="E3040" t="inlineStr">
        <is>
          <t>LJUSDAL</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53721-2024</t>
        </is>
      </c>
      <c r="B3041" s="1" t="n">
        <v>45615.43945601852</v>
      </c>
      <c r="C3041" s="1" t="n">
        <v>46086</v>
      </c>
      <c r="D3041" t="inlineStr">
        <is>
          <t>GÄVLEBORGS LÄN</t>
        </is>
      </c>
      <c r="E3041" t="inlineStr">
        <is>
          <t>HUDIKSVALL</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15097-2022</t>
        </is>
      </c>
      <c r="B3042" s="1" t="n">
        <v>44658.29910879629</v>
      </c>
      <c r="C3042" s="1" t="n">
        <v>46086</v>
      </c>
      <c r="D3042" t="inlineStr">
        <is>
          <t>GÄVLEBORGS LÄN</t>
        </is>
      </c>
      <c r="E3042" t="inlineStr">
        <is>
          <t>HUDIKSVALL</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24256-2025</t>
        </is>
      </c>
      <c r="B3043" s="1" t="n">
        <v>45797.40541666667</v>
      </c>
      <c r="C3043" s="1" t="n">
        <v>46086</v>
      </c>
      <c r="D3043" t="inlineStr">
        <is>
          <t>GÄVLEBORGS LÄN</t>
        </is>
      </c>
      <c r="E3043" t="inlineStr">
        <is>
          <t>LJUSDAL</t>
        </is>
      </c>
      <c r="G3043" t="n">
        <v>14.9</v>
      </c>
      <c r="H3043" t="n">
        <v>0</v>
      </c>
      <c r="I3043" t="n">
        <v>0</v>
      </c>
      <c r="J3043" t="n">
        <v>0</v>
      </c>
      <c r="K3043" t="n">
        <v>0</v>
      </c>
      <c r="L3043" t="n">
        <v>0</v>
      </c>
      <c r="M3043" t="n">
        <v>0</v>
      </c>
      <c r="N3043" t="n">
        <v>0</v>
      </c>
      <c r="O3043" t="n">
        <v>0</v>
      </c>
      <c r="P3043" t="n">
        <v>0</v>
      </c>
      <c r="Q3043" t="n">
        <v>0</v>
      </c>
      <c r="R3043" s="2" t="inlineStr"/>
    </row>
    <row r="3044" ht="15" customHeight="1">
      <c r="A3044" t="inlineStr">
        <is>
          <t>A 39886-2025</t>
        </is>
      </c>
      <c r="B3044" s="1" t="n">
        <v>45891</v>
      </c>
      <c r="C3044" s="1" t="n">
        <v>46086</v>
      </c>
      <c r="D3044" t="inlineStr">
        <is>
          <t>GÄVLEBORGS LÄN</t>
        </is>
      </c>
      <c r="E3044" t="inlineStr">
        <is>
          <t>BOLLNÄS</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36478-2025</t>
        </is>
      </c>
      <c r="B3045" s="1" t="n">
        <v>45869.49104166667</v>
      </c>
      <c r="C3045" s="1" t="n">
        <v>46086</v>
      </c>
      <c r="D3045" t="inlineStr">
        <is>
          <t>GÄVLEBORGS LÄN</t>
        </is>
      </c>
      <c r="E3045" t="inlineStr">
        <is>
          <t>OVANÅKER</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39471-2025</t>
        </is>
      </c>
      <c r="B3046" s="1" t="n">
        <v>45890.33939814815</v>
      </c>
      <c r="C3046" s="1" t="n">
        <v>46086</v>
      </c>
      <c r="D3046" t="inlineStr">
        <is>
          <t>GÄVLEBORGS LÄN</t>
        </is>
      </c>
      <c r="E3046" t="inlineStr">
        <is>
          <t>SÖDERHAMN</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39695-2025</t>
        </is>
      </c>
      <c r="B3047" s="1" t="n">
        <v>45890</v>
      </c>
      <c r="C3047" s="1" t="n">
        <v>46086</v>
      </c>
      <c r="D3047" t="inlineStr">
        <is>
          <t>GÄVLEBORGS LÄN</t>
        </is>
      </c>
      <c r="E3047" t="inlineStr">
        <is>
          <t>LJUSDAL</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29334-2025</t>
        </is>
      </c>
      <c r="B3048" s="1" t="n">
        <v>45824.49040509259</v>
      </c>
      <c r="C3048" s="1" t="n">
        <v>46086</v>
      </c>
      <c r="D3048" t="inlineStr">
        <is>
          <t>GÄVLEBORGS LÄN</t>
        </is>
      </c>
      <c r="E3048" t="inlineStr">
        <is>
          <t>HUDIKSVALL</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39621-2025</t>
        </is>
      </c>
      <c r="B3049" s="1" t="n">
        <v>45890.5737962963</v>
      </c>
      <c r="C3049" s="1" t="n">
        <v>46086</v>
      </c>
      <c r="D3049" t="inlineStr">
        <is>
          <t>GÄVLEBORGS LÄN</t>
        </is>
      </c>
      <c r="E3049" t="inlineStr">
        <is>
          <t>LJUSDAL</t>
        </is>
      </c>
      <c r="F3049" t="inlineStr">
        <is>
          <t>SCA</t>
        </is>
      </c>
      <c r="G3049" t="n">
        <v>8.4</v>
      </c>
      <c r="H3049" t="n">
        <v>0</v>
      </c>
      <c r="I3049" t="n">
        <v>0</v>
      </c>
      <c r="J3049" t="n">
        <v>0</v>
      </c>
      <c r="K3049" t="n">
        <v>0</v>
      </c>
      <c r="L3049" t="n">
        <v>0</v>
      </c>
      <c r="M3049" t="n">
        <v>0</v>
      </c>
      <c r="N3049" t="n">
        <v>0</v>
      </c>
      <c r="O3049" t="n">
        <v>0</v>
      </c>
      <c r="P3049" t="n">
        <v>0</v>
      </c>
      <c r="Q3049" t="n">
        <v>0</v>
      </c>
      <c r="R3049" s="2" t="inlineStr"/>
    </row>
    <row r="3050" ht="15" customHeight="1">
      <c r="A3050" t="inlineStr">
        <is>
          <t>A 39635-2025</t>
        </is>
      </c>
      <c r="B3050" s="1" t="n">
        <v>45890</v>
      </c>
      <c r="C3050" s="1" t="n">
        <v>46086</v>
      </c>
      <c r="D3050" t="inlineStr">
        <is>
          <t>GÄVLEBORGS LÄN</t>
        </is>
      </c>
      <c r="E3050" t="inlineStr">
        <is>
          <t>HUDIKSVALL</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52219-2023</t>
        </is>
      </c>
      <c r="B3051" s="1" t="n">
        <v>45224</v>
      </c>
      <c r="C3051" s="1" t="n">
        <v>46086</v>
      </c>
      <c r="D3051" t="inlineStr">
        <is>
          <t>GÄVLEBORGS LÄN</t>
        </is>
      </c>
      <c r="E3051" t="inlineStr">
        <is>
          <t>HUDIKSVALL</t>
        </is>
      </c>
      <c r="F3051" t="inlineStr">
        <is>
          <t>Holmen skog AB</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19632-2024</t>
        </is>
      </c>
      <c r="B3052" s="1" t="n">
        <v>45432.36549768518</v>
      </c>
      <c r="C3052" s="1" t="n">
        <v>46086</v>
      </c>
      <c r="D3052" t="inlineStr">
        <is>
          <t>GÄVLEBORGS LÄN</t>
        </is>
      </c>
      <c r="E3052" t="inlineStr">
        <is>
          <t>OVANÅKER</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29353-2025</t>
        </is>
      </c>
      <c r="B3053" s="1" t="n">
        <v>45824.54452546296</v>
      </c>
      <c r="C3053" s="1" t="n">
        <v>46086</v>
      </c>
      <c r="D3053" t="inlineStr">
        <is>
          <t>GÄVLEBORGS LÄN</t>
        </is>
      </c>
      <c r="E3053" t="inlineStr">
        <is>
          <t>HUDIKSVALL</t>
        </is>
      </c>
      <c r="F3053" t="inlineStr">
        <is>
          <t>Holmen skog AB</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39877-2025</t>
        </is>
      </c>
      <c r="B3054" s="1" t="n">
        <v>45891.61541666667</v>
      </c>
      <c r="C3054" s="1" t="n">
        <v>46086</v>
      </c>
      <c r="D3054" t="inlineStr">
        <is>
          <t>GÄVLEBORGS LÄN</t>
        </is>
      </c>
      <c r="E3054" t="inlineStr">
        <is>
          <t>SANDVIKEN</t>
        </is>
      </c>
      <c r="F3054" t="inlineStr">
        <is>
          <t>Sveaskog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55154-2024</t>
        </is>
      </c>
      <c r="B3055" s="1" t="n">
        <v>45621.4991087963</v>
      </c>
      <c r="C3055" s="1" t="n">
        <v>46086</v>
      </c>
      <c r="D3055" t="inlineStr">
        <is>
          <t>GÄVLEBORGS LÄN</t>
        </is>
      </c>
      <c r="E3055" t="inlineStr">
        <is>
          <t>OCKELBO</t>
        </is>
      </c>
      <c r="F3055" t="inlineStr">
        <is>
          <t>Bergvik skog väst AB</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39798-2025</t>
        </is>
      </c>
      <c r="B3056" s="1" t="n">
        <v>45891</v>
      </c>
      <c r="C3056" s="1" t="n">
        <v>46086</v>
      </c>
      <c r="D3056" t="inlineStr">
        <is>
          <t>GÄVLEBORGS LÄN</t>
        </is>
      </c>
      <c r="E3056" t="inlineStr">
        <is>
          <t>BOLLNÄS</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29338-2025</t>
        </is>
      </c>
      <c r="B3057" s="1" t="n">
        <v>45824.49907407408</v>
      </c>
      <c r="C3057" s="1" t="n">
        <v>46086</v>
      </c>
      <c r="D3057" t="inlineStr">
        <is>
          <t>GÄVLEBORGS LÄN</t>
        </is>
      </c>
      <c r="E3057" t="inlineStr">
        <is>
          <t>HUDIKSVALL</t>
        </is>
      </c>
      <c r="F3057" t="inlineStr">
        <is>
          <t>Holmen skog AB</t>
        </is>
      </c>
      <c r="G3057" t="n">
        <v>5.2</v>
      </c>
      <c r="H3057" t="n">
        <v>0</v>
      </c>
      <c r="I3057" t="n">
        <v>0</v>
      </c>
      <c r="J3057" t="n">
        <v>0</v>
      </c>
      <c r="K3057" t="n">
        <v>0</v>
      </c>
      <c r="L3057" t="n">
        <v>0</v>
      </c>
      <c r="M3057" t="n">
        <v>0</v>
      </c>
      <c r="N3057" t="n">
        <v>0</v>
      </c>
      <c r="O3057" t="n">
        <v>0</v>
      </c>
      <c r="P3057" t="n">
        <v>0</v>
      </c>
      <c r="Q3057" t="n">
        <v>0</v>
      </c>
      <c r="R3057" s="2" t="inlineStr"/>
    </row>
    <row r="3058" ht="15" customHeight="1">
      <c r="A3058" t="inlineStr">
        <is>
          <t>A 39538-2025</t>
        </is>
      </c>
      <c r="B3058" s="1" t="n">
        <v>45890.45074074074</v>
      </c>
      <c r="C3058" s="1" t="n">
        <v>46086</v>
      </c>
      <c r="D3058" t="inlineStr">
        <is>
          <t>GÄVLEBORGS LÄN</t>
        </is>
      </c>
      <c r="E3058" t="inlineStr">
        <is>
          <t>OVANÅKER</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29388-2025</t>
        </is>
      </c>
      <c r="B3059" s="1" t="n">
        <v>45824.60252314815</v>
      </c>
      <c r="C3059" s="1" t="n">
        <v>46086</v>
      </c>
      <c r="D3059" t="inlineStr">
        <is>
          <t>GÄVLEBORGS LÄN</t>
        </is>
      </c>
      <c r="E3059" t="inlineStr">
        <is>
          <t>SANDVIKEN</t>
        </is>
      </c>
      <c r="G3059" t="n">
        <v>13.9</v>
      </c>
      <c r="H3059" t="n">
        <v>0</v>
      </c>
      <c r="I3059" t="n">
        <v>0</v>
      </c>
      <c r="J3059" t="n">
        <v>0</v>
      </c>
      <c r="K3059" t="n">
        <v>0</v>
      </c>
      <c r="L3059" t="n">
        <v>0</v>
      </c>
      <c r="M3059" t="n">
        <v>0</v>
      </c>
      <c r="N3059" t="n">
        <v>0</v>
      </c>
      <c r="O3059" t="n">
        <v>0</v>
      </c>
      <c r="P3059" t="n">
        <v>0</v>
      </c>
      <c r="Q3059" t="n">
        <v>0</v>
      </c>
      <c r="R3059" s="2" t="inlineStr"/>
    </row>
    <row r="3060" ht="15" customHeight="1">
      <c r="A3060" t="inlineStr">
        <is>
          <t>A 39611-2025</t>
        </is>
      </c>
      <c r="B3060" s="1" t="n">
        <v>45890</v>
      </c>
      <c r="C3060" s="1" t="n">
        <v>46086</v>
      </c>
      <c r="D3060" t="inlineStr">
        <is>
          <t>GÄVLEBORGS LÄN</t>
        </is>
      </c>
      <c r="E3060" t="inlineStr">
        <is>
          <t>OVANÅKER</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25304-2021</t>
        </is>
      </c>
      <c r="B3061" s="1" t="n">
        <v>44342</v>
      </c>
      <c r="C3061" s="1" t="n">
        <v>46086</v>
      </c>
      <c r="D3061" t="inlineStr">
        <is>
          <t>GÄVLEBORGS LÄN</t>
        </is>
      </c>
      <c r="E3061" t="inlineStr">
        <is>
          <t>SANDVIKEN</t>
        </is>
      </c>
      <c r="F3061" t="inlineStr">
        <is>
          <t>Sveaskog</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39708-2025</t>
        </is>
      </c>
      <c r="B3062" s="1" t="n">
        <v>45890.83747685186</v>
      </c>
      <c r="C3062" s="1" t="n">
        <v>46086</v>
      </c>
      <c r="D3062" t="inlineStr">
        <is>
          <t>GÄVLEBORGS LÄN</t>
        </is>
      </c>
      <c r="E3062" t="inlineStr">
        <is>
          <t>LJUSDAL</t>
        </is>
      </c>
      <c r="F3062" t="inlineStr">
        <is>
          <t>Holmen skog AB</t>
        </is>
      </c>
      <c r="G3062" t="n">
        <v>10.4</v>
      </c>
      <c r="H3062" t="n">
        <v>0</v>
      </c>
      <c r="I3062" t="n">
        <v>0</v>
      </c>
      <c r="J3062" t="n">
        <v>0</v>
      </c>
      <c r="K3062" t="n">
        <v>0</v>
      </c>
      <c r="L3062" t="n">
        <v>0</v>
      </c>
      <c r="M3062" t="n">
        <v>0</v>
      </c>
      <c r="N3062" t="n">
        <v>0</v>
      </c>
      <c r="O3062" t="n">
        <v>0</v>
      </c>
      <c r="P3062" t="n">
        <v>0</v>
      </c>
      <c r="Q3062" t="n">
        <v>0</v>
      </c>
      <c r="R3062" s="2" t="inlineStr"/>
    </row>
    <row r="3063" ht="15" customHeight="1">
      <c r="A3063" t="inlineStr">
        <is>
          <t>A 39710-2025</t>
        </is>
      </c>
      <c r="B3063" s="1" t="n">
        <v>45890.85690972222</v>
      </c>
      <c r="C3063" s="1" t="n">
        <v>46086</v>
      </c>
      <c r="D3063" t="inlineStr">
        <is>
          <t>GÄVLEBORGS LÄN</t>
        </is>
      </c>
      <c r="E3063" t="inlineStr">
        <is>
          <t>OVANÅKER</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39715-2025</t>
        </is>
      </c>
      <c r="B3064" s="1" t="n">
        <v>45891.27148148148</v>
      </c>
      <c r="C3064" s="1" t="n">
        <v>46086</v>
      </c>
      <c r="D3064" t="inlineStr">
        <is>
          <t>GÄVLEBORGS LÄN</t>
        </is>
      </c>
      <c r="E3064" t="inlineStr">
        <is>
          <t>OVANÅKER</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39716-2025</t>
        </is>
      </c>
      <c r="B3065" s="1" t="n">
        <v>45891.29358796297</v>
      </c>
      <c r="C3065" s="1" t="n">
        <v>46086</v>
      </c>
      <c r="D3065" t="inlineStr">
        <is>
          <t>GÄVLEBORGS LÄN</t>
        </is>
      </c>
      <c r="E3065" t="inlineStr">
        <is>
          <t>OVANÅKER</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18568-2023</t>
        </is>
      </c>
      <c r="B3066" s="1" t="n">
        <v>45043.32208333333</v>
      </c>
      <c r="C3066" s="1" t="n">
        <v>46086</v>
      </c>
      <c r="D3066" t="inlineStr">
        <is>
          <t>GÄVLEBORGS LÄN</t>
        </is>
      </c>
      <c r="E3066" t="inlineStr">
        <is>
          <t>HUDIKSVALL</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39496-2025</t>
        </is>
      </c>
      <c r="B3067" s="1" t="n">
        <v>45890.37798611111</v>
      </c>
      <c r="C3067" s="1" t="n">
        <v>46086</v>
      </c>
      <c r="D3067" t="inlineStr">
        <is>
          <t>GÄVLEBORGS LÄN</t>
        </is>
      </c>
      <c r="E3067" t="inlineStr">
        <is>
          <t>SÖDERHAMN</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39897-2025</t>
        </is>
      </c>
      <c r="B3068" s="1" t="n">
        <v>45891</v>
      </c>
      <c r="C3068" s="1" t="n">
        <v>46086</v>
      </c>
      <c r="D3068" t="inlineStr">
        <is>
          <t>GÄVLEBORGS LÄN</t>
        </is>
      </c>
      <c r="E3068" t="inlineStr">
        <is>
          <t>BOLLNÄS</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26302-2025</t>
        </is>
      </c>
      <c r="B3069" s="1" t="n">
        <v>45805</v>
      </c>
      <c r="C3069" s="1" t="n">
        <v>46086</v>
      </c>
      <c r="D3069" t="inlineStr">
        <is>
          <t>GÄVLEBORGS LÄN</t>
        </is>
      </c>
      <c r="E3069" t="inlineStr">
        <is>
          <t>HOFORS</t>
        </is>
      </c>
      <c r="G3069" t="n">
        <v>5.3</v>
      </c>
      <c r="H3069" t="n">
        <v>0</v>
      </c>
      <c r="I3069" t="n">
        <v>0</v>
      </c>
      <c r="J3069" t="n">
        <v>0</v>
      </c>
      <c r="K3069" t="n">
        <v>0</v>
      </c>
      <c r="L3069" t="n">
        <v>0</v>
      </c>
      <c r="M3069" t="n">
        <v>0</v>
      </c>
      <c r="N3069" t="n">
        <v>0</v>
      </c>
      <c r="O3069" t="n">
        <v>0</v>
      </c>
      <c r="P3069" t="n">
        <v>0</v>
      </c>
      <c r="Q3069" t="n">
        <v>0</v>
      </c>
      <c r="R3069" s="2" t="inlineStr"/>
    </row>
    <row r="3070" ht="15" customHeight="1">
      <c r="A3070" t="inlineStr">
        <is>
          <t>A 2353-2026</t>
        </is>
      </c>
      <c r="B3070" s="1" t="n">
        <v>46036.63581018519</v>
      </c>
      <c r="C3070" s="1" t="n">
        <v>46086</v>
      </c>
      <c r="D3070" t="inlineStr">
        <is>
          <t>GÄVLEBORGS LÄN</t>
        </is>
      </c>
      <c r="E3070" t="inlineStr">
        <is>
          <t>OCKELBO</t>
        </is>
      </c>
      <c r="G3070" t="n">
        <v>5.4</v>
      </c>
      <c r="H3070" t="n">
        <v>0</v>
      </c>
      <c r="I3070" t="n">
        <v>0</v>
      </c>
      <c r="J3070" t="n">
        <v>0</v>
      </c>
      <c r="K3070" t="n">
        <v>0</v>
      </c>
      <c r="L3070" t="n">
        <v>0</v>
      </c>
      <c r="M3070" t="n">
        <v>0</v>
      </c>
      <c r="N3070" t="n">
        <v>0</v>
      </c>
      <c r="O3070" t="n">
        <v>0</v>
      </c>
      <c r="P3070" t="n">
        <v>0</v>
      </c>
      <c r="Q3070" t="n">
        <v>0</v>
      </c>
      <c r="R3070" s="2" t="inlineStr"/>
    </row>
    <row r="3071" ht="15" customHeight="1">
      <c r="A3071" t="inlineStr">
        <is>
          <t>A 3237-2026</t>
        </is>
      </c>
      <c r="B3071" s="1" t="n">
        <v>46037</v>
      </c>
      <c r="C3071" s="1" t="n">
        <v>46086</v>
      </c>
      <c r="D3071" t="inlineStr">
        <is>
          <t>GÄVLEBORGS LÄN</t>
        </is>
      </c>
      <c r="E3071" t="inlineStr">
        <is>
          <t>HUDIKSVALL</t>
        </is>
      </c>
      <c r="G3071" t="n">
        <v>7.3</v>
      </c>
      <c r="H3071" t="n">
        <v>0</v>
      </c>
      <c r="I3071" t="n">
        <v>0</v>
      </c>
      <c r="J3071" t="n">
        <v>0</v>
      </c>
      <c r="K3071" t="n">
        <v>0</v>
      </c>
      <c r="L3071" t="n">
        <v>0</v>
      </c>
      <c r="M3071" t="n">
        <v>0</v>
      </c>
      <c r="N3071" t="n">
        <v>0</v>
      </c>
      <c r="O3071" t="n">
        <v>0</v>
      </c>
      <c r="P3071" t="n">
        <v>0</v>
      </c>
      <c r="Q3071" t="n">
        <v>0</v>
      </c>
      <c r="R3071" s="2" t="inlineStr"/>
    </row>
    <row r="3072" ht="15" customHeight="1">
      <c r="A3072" t="inlineStr">
        <is>
          <t>A 29832-2025</t>
        </is>
      </c>
      <c r="B3072" s="1" t="n">
        <v>45825.92290509259</v>
      </c>
      <c r="C3072" s="1" t="n">
        <v>46086</v>
      </c>
      <c r="D3072" t="inlineStr">
        <is>
          <t>GÄVLEBORGS LÄN</t>
        </is>
      </c>
      <c r="E3072" t="inlineStr">
        <is>
          <t>SANDVIKEN</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30307-2025</t>
        </is>
      </c>
      <c r="B3073" s="1" t="n">
        <v>45827.48408564815</v>
      </c>
      <c r="C3073" s="1" t="n">
        <v>46086</v>
      </c>
      <c r="D3073" t="inlineStr">
        <is>
          <t>GÄVLEBORGS LÄN</t>
        </is>
      </c>
      <c r="E3073" t="inlineStr">
        <is>
          <t>HUDIKSVALL</t>
        </is>
      </c>
      <c r="G3073" t="n">
        <v>6</v>
      </c>
      <c r="H3073" t="n">
        <v>0</v>
      </c>
      <c r="I3073" t="n">
        <v>0</v>
      </c>
      <c r="J3073" t="n">
        <v>0</v>
      </c>
      <c r="K3073" t="n">
        <v>0</v>
      </c>
      <c r="L3073" t="n">
        <v>0</v>
      </c>
      <c r="M3073" t="n">
        <v>0</v>
      </c>
      <c r="N3073" t="n">
        <v>0</v>
      </c>
      <c r="O3073" t="n">
        <v>0</v>
      </c>
      <c r="P3073" t="n">
        <v>0</v>
      </c>
      <c r="Q3073" t="n">
        <v>0</v>
      </c>
      <c r="R3073" s="2" t="inlineStr"/>
    </row>
    <row r="3074" ht="15" customHeight="1">
      <c r="A3074" t="inlineStr">
        <is>
          <t>A 30309-2025</t>
        </is>
      </c>
      <c r="B3074" s="1" t="n">
        <v>45827.48891203704</v>
      </c>
      <c r="C3074" s="1" t="n">
        <v>46086</v>
      </c>
      <c r="D3074" t="inlineStr">
        <is>
          <t>GÄVLEBORGS LÄN</t>
        </is>
      </c>
      <c r="E3074" t="inlineStr">
        <is>
          <t>HUDIKSVALL</t>
        </is>
      </c>
      <c r="G3074" t="n">
        <v>5.7</v>
      </c>
      <c r="H3074" t="n">
        <v>0</v>
      </c>
      <c r="I3074" t="n">
        <v>0</v>
      </c>
      <c r="J3074" t="n">
        <v>0</v>
      </c>
      <c r="K3074" t="n">
        <v>0</v>
      </c>
      <c r="L3074" t="n">
        <v>0</v>
      </c>
      <c r="M3074" t="n">
        <v>0</v>
      </c>
      <c r="N3074" t="n">
        <v>0</v>
      </c>
      <c r="O3074" t="n">
        <v>0</v>
      </c>
      <c r="P3074" t="n">
        <v>0</v>
      </c>
      <c r="Q3074" t="n">
        <v>0</v>
      </c>
      <c r="R3074" s="2" t="inlineStr"/>
    </row>
    <row r="3075" ht="15" customHeight="1">
      <c r="A3075" t="inlineStr">
        <is>
          <t>A 22627-2023</t>
        </is>
      </c>
      <c r="B3075" s="1" t="n">
        <v>45071.58001157407</v>
      </c>
      <c r="C3075" s="1" t="n">
        <v>46086</v>
      </c>
      <c r="D3075" t="inlineStr">
        <is>
          <t>GÄVLEBORGS LÄN</t>
        </is>
      </c>
      <c r="E3075" t="inlineStr">
        <is>
          <t>LJUSDAL</t>
        </is>
      </c>
      <c r="F3075" t="inlineStr">
        <is>
          <t>Holmen skog AB</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40290-2025</t>
        </is>
      </c>
      <c r="B3076" s="1" t="n">
        <v>45895.38581018519</v>
      </c>
      <c r="C3076" s="1" t="n">
        <v>46086</v>
      </c>
      <c r="D3076" t="inlineStr">
        <is>
          <t>GÄVLEBORGS LÄN</t>
        </is>
      </c>
      <c r="E3076" t="inlineStr">
        <is>
          <t>NORDANSTIG</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2396-2024</t>
        </is>
      </c>
      <c r="B3077" s="1" t="n">
        <v>45310</v>
      </c>
      <c r="C3077" s="1" t="n">
        <v>46086</v>
      </c>
      <c r="D3077" t="inlineStr">
        <is>
          <t>GÄVLEBORGS LÄN</t>
        </is>
      </c>
      <c r="E3077" t="inlineStr">
        <is>
          <t>LJUSDAL</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40396-2025</t>
        </is>
      </c>
      <c r="B3078" s="1" t="n">
        <v>45895.55916666667</v>
      </c>
      <c r="C3078" s="1" t="n">
        <v>46086</v>
      </c>
      <c r="D3078" t="inlineStr">
        <is>
          <t>GÄVLEBORGS LÄN</t>
        </is>
      </c>
      <c r="E3078" t="inlineStr">
        <is>
          <t>SÖDERHAMN</t>
        </is>
      </c>
      <c r="G3078" t="n">
        <v>4</v>
      </c>
      <c r="H3078" t="n">
        <v>0</v>
      </c>
      <c r="I3078" t="n">
        <v>0</v>
      </c>
      <c r="J3078" t="n">
        <v>0</v>
      </c>
      <c r="K3078" t="n">
        <v>0</v>
      </c>
      <c r="L3078" t="n">
        <v>0</v>
      </c>
      <c r="M3078" t="n">
        <v>0</v>
      </c>
      <c r="N3078" t="n">
        <v>0</v>
      </c>
      <c r="O3078" t="n">
        <v>0</v>
      </c>
      <c r="P3078" t="n">
        <v>0</v>
      </c>
      <c r="Q3078" t="n">
        <v>0</v>
      </c>
      <c r="R3078" s="2" t="inlineStr"/>
    </row>
    <row r="3079" ht="15" customHeight="1">
      <c r="A3079" t="inlineStr">
        <is>
          <t>A 40440-2025</t>
        </is>
      </c>
      <c r="B3079" s="1" t="n">
        <v>45895</v>
      </c>
      <c r="C3079" s="1" t="n">
        <v>46086</v>
      </c>
      <c r="D3079" t="inlineStr">
        <is>
          <t>GÄVLEBORGS LÄN</t>
        </is>
      </c>
      <c r="E3079" t="inlineStr">
        <is>
          <t>BOLLNÄS</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19190-2024</t>
        </is>
      </c>
      <c r="B3080" s="1" t="n">
        <v>45428</v>
      </c>
      <c r="C3080" s="1" t="n">
        <v>46086</v>
      </c>
      <c r="D3080" t="inlineStr">
        <is>
          <t>GÄVLEBORGS LÄN</t>
        </is>
      </c>
      <c r="E3080" t="inlineStr">
        <is>
          <t>LJUSDAL</t>
        </is>
      </c>
      <c r="G3080" t="n">
        <v>4.8</v>
      </c>
      <c r="H3080" t="n">
        <v>0</v>
      </c>
      <c r="I3080" t="n">
        <v>0</v>
      </c>
      <c r="J3080" t="n">
        <v>0</v>
      </c>
      <c r="K3080" t="n">
        <v>0</v>
      </c>
      <c r="L3080" t="n">
        <v>0</v>
      </c>
      <c r="M3080" t="n">
        <v>0</v>
      </c>
      <c r="N3080" t="n">
        <v>0</v>
      </c>
      <c r="O3080" t="n">
        <v>0</v>
      </c>
      <c r="P3080" t="n">
        <v>0</v>
      </c>
      <c r="Q3080" t="n">
        <v>0</v>
      </c>
      <c r="R3080" s="2" t="inlineStr"/>
    </row>
    <row r="3081" ht="15" customHeight="1">
      <c r="A3081" t="inlineStr">
        <is>
          <t>A 30149-2025</t>
        </is>
      </c>
      <c r="B3081" s="1" t="n">
        <v>45827.31229166667</v>
      </c>
      <c r="C3081" s="1" t="n">
        <v>46086</v>
      </c>
      <c r="D3081" t="inlineStr">
        <is>
          <t>GÄVLEBORGS LÄN</t>
        </is>
      </c>
      <c r="E3081" t="inlineStr">
        <is>
          <t>OVANÅKER</t>
        </is>
      </c>
      <c r="F3081" t="inlineStr">
        <is>
          <t>Bergvik skog väst AB</t>
        </is>
      </c>
      <c r="G3081" t="n">
        <v>12.1</v>
      </c>
      <c r="H3081" t="n">
        <v>0</v>
      </c>
      <c r="I3081" t="n">
        <v>0</v>
      </c>
      <c r="J3081" t="n">
        <v>0</v>
      </c>
      <c r="K3081" t="n">
        <v>0</v>
      </c>
      <c r="L3081" t="n">
        <v>0</v>
      </c>
      <c r="M3081" t="n">
        <v>0</v>
      </c>
      <c r="N3081" t="n">
        <v>0</v>
      </c>
      <c r="O3081" t="n">
        <v>0</v>
      </c>
      <c r="P3081" t="n">
        <v>0</v>
      </c>
      <c r="Q3081" t="n">
        <v>0</v>
      </c>
      <c r="R3081" s="2" t="inlineStr"/>
    </row>
    <row r="3082" ht="15" customHeight="1">
      <c r="A3082" t="inlineStr">
        <is>
          <t>A 42247-2024</t>
        </is>
      </c>
      <c r="B3082" s="1" t="n">
        <v>45562</v>
      </c>
      <c r="C3082" s="1" t="n">
        <v>46086</v>
      </c>
      <c r="D3082" t="inlineStr">
        <is>
          <t>GÄVLEBORGS LÄN</t>
        </is>
      </c>
      <c r="E3082" t="inlineStr">
        <is>
          <t>GÄVLE</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40336-2024</t>
        </is>
      </c>
      <c r="B3083" s="1" t="n">
        <v>45555.32482638889</v>
      </c>
      <c r="C3083" s="1" t="n">
        <v>46086</v>
      </c>
      <c r="D3083" t="inlineStr">
        <is>
          <t>GÄVLEBORGS LÄN</t>
        </is>
      </c>
      <c r="E3083" t="inlineStr">
        <is>
          <t>BOLLNÄS</t>
        </is>
      </c>
      <c r="F3083" t="inlineStr">
        <is>
          <t>Bergvik skog väst AB</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38936-2024</t>
        </is>
      </c>
      <c r="B3084" s="1" t="n">
        <v>45548</v>
      </c>
      <c r="C3084" s="1" t="n">
        <v>46086</v>
      </c>
      <c r="D3084" t="inlineStr">
        <is>
          <t>GÄVLEBORGS LÄN</t>
        </is>
      </c>
      <c r="E3084" t="inlineStr">
        <is>
          <t>BOLLNÄS</t>
        </is>
      </c>
      <c r="F3084" t="inlineStr">
        <is>
          <t>Sveaskog</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30179-2025</t>
        </is>
      </c>
      <c r="B3085" s="1" t="n">
        <v>45827.34570601852</v>
      </c>
      <c r="C3085" s="1" t="n">
        <v>46086</v>
      </c>
      <c r="D3085" t="inlineStr">
        <is>
          <t>GÄVLEBORGS LÄN</t>
        </is>
      </c>
      <c r="E3085" t="inlineStr">
        <is>
          <t>OCKELBO</t>
        </is>
      </c>
      <c r="F3085" t="inlineStr">
        <is>
          <t>Bergvik skog väst AB</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29833-2025</t>
        </is>
      </c>
      <c r="B3086" s="1" t="n">
        <v>45825.92494212963</v>
      </c>
      <c r="C3086" s="1" t="n">
        <v>46086</v>
      </c>
      <c r="D3086" t="inlineStr">
        <is>
          <t>GÄVLEBORGS LÄN</t>
        </is>
      </c>
      <c r="E3086" t="inlineStr">
        <is>
          <t>SANDVIKEN</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40407-2025</t>
        </is>
      </c>
      <c r="B3087" s="1" t="n">
        <v>45895.57083333333</v>
      </c>
      <c r="C3087" s="1" t="n">
        <v>46086</v>
      </c>
      <c r="D3087" t="inlineStr">
        <is>
          <t>GÄVLEBORGS LÄN</t>
        </is>
      </c>
      <c r="E3087" t="inlineStr">
        <is>
          <t>HOFORS</t>
        </is>
      </c>
      <c r="F3087" t="inlineStr">
        <is>
          <t>Sveaskog</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58329-2024</t>
        </is>
      </c>
      <c r="B3088" s="1" t="n">
        <v>45632.62980324074</v>
      </c>
      <c r="C3088" s="1" t="n">
        <v>46086</v>
      </c>
      <c r="D3088" t="inlineStr">
        <is>
          <t>GÄVLEBORGS LÄN</t>
        </is>
      </c>
      <c r="E3088" t="inlineStr">
        <is>
          <t>BOLLNÄS</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20356-2021</t>
        </is>
      </c>
      <c r="B3089" s="1" t="n">
        <v>44315.429375</v>
      </c>
      <c r="C3089" s="1" t="n">
        <v>46086</v>
      </c>
      <c r="D3089" t="inlineStr">
        <is>
          <t>GÄVLEBORGS LÄN</t>
        </is>
      </c>
      <c r="E3089" t="inlineStr">
        <is>
          <t>OVANÅKER</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29834-2025</t>
        </is>
      </c>
      <c r="B3090" s="1" t="n">
        <v>45825.93572916667</v>
      </c>
      <c r="C3090" s="1" t="n">
        <v>46086</v>
      </c>
      <c r="D3090" t="inlineStr">
        <is>
          <t>GÄVLEBORGS LÄN</t>
        </is>
      </c>
      <c r="E3090" t="inlineStr">
        <is>
          <t>SÖDERHAMN</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29855-2025</t>
        </is>
      </c>
      <c r="B3091" s="1" t="n">
        <v>45826.34469907408</v>
      </c>
      <c r="C3091" s="1" t="n">
        <v>46086</v>
      </c>
      <c r="D3091" t="inlineStr">
        <is>
          <t>GÄVLEBORGS LÄN</t>
        </is>
      </c>
      <c r="E3091" t="inlineStr">
        <is>
          <t>OVANÅKER</t>
        </is>
      </c>
      <c r="F3091" t="inlineStr">
        <is>
          <t>Bergvik skog väst AB</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29887-2025</t>
        </is>
      </c>
      <c r="B3092" s="1" t="n">
        <v>45826.3696412037</v>
      </c>
      <c r="C3092" s="1" t="n">
        <v>46086</v>
      </c>
      <c r="D3092" t="inlineStr">
        <is>
          <t>GÄVLEBORGS LÄN</t>
        </is>
      </c>
      <c r="E3092" t="inlineStr">
        <is>
          <t>OVANÅKER</t>
        </is>
      </c>
      <c r="F3092" t="inlineStr">
        <is>
          <t>Holmen skog AB</t>
        </is>
      </c>
      <c r="G3092" t="n">
        <v>13.7</v>
      </c>
      <c r="H3092" t="n">
        <v>0</v>
      </c>
      <c r="I3092" t="n">
        <v>0</v>
      </c>
      <c r="J3092" t="n">
        <v>0</v>
      </c>
      <c r="K3092" t="n">
        <v>0</v>
      </c>
      <c r="L3092" t="n">
        <v>0</v>
      </c>
      <c r="M3092" t="n">
        <v>0</v>
      </c>
      <c r="N3092" t="n">
        <v>0</v>
      </c>
      <c r="O3092" t="n">
        <v>0</v>
      </c>
      <c r="P3092" t="n">
        <v>0</v>
      </c>
      <c r="Q3092" t="n">
        <v>0</v>
      </c>
      <c r="R3092" s="2" t="inlineStr"/>
    </row>
    <row r="3093" ht="15" customHeight="1">
      <c r="A3093" t="inlineStr">
        <is>
          <t>A 29922-2025</t>
        </is>
      </c>
      <c r="B3093" s="1" t="n">
        <v>45826.4253125</v>
      </c>
      <c r="C3093" s="1" t="n">
        <v>46086</v>
      </c>
      <c r="D3093" t="inlineStr">
        <is>
          <t>GÄVLEBORGS LÄN</t>
        </is>
      </c>
      <c r="E3093" t="inlineStr">
        <is>
          <t>OVANÅKER</t>
        </is>
      </c>
      <c r="F3093" t="inlineStr">
        <is>
          <t>Holmen skog AB</t>
        </is>
      </c>
      <c r="G3093" t="n">
        <v>30</v>
      </c>
      <c r="H3093" t="n">
        <v>0</v>
      </c>
      <c r="I3093" t="n">
        <v>0</v>
      </c>
      <c r="J3093" t="n">
        <v>0</v>
      </c>
      <c r="K3093" t="n">
        <v>0</v>
      </c>
      <c r="L3093" t="n">
        <v>0</v>
      </c>
      <c r="M3093" t="n">
        <v>0</v>
      </c>
      <c r="N3093" t="n">
        <v>0</v>
      </c>
      <c r="O3093" t="n">
        <v>0</v>
      </c>
      <c r="P3093" t="n">
        <v>0</v>
      </c>
      <c r="Q3093" t="n">
        <v>0</v>
      </c>
      <c r="R3093" s="2" t="inlineStr"/>
    </row>
    <row r="3094" ht="15" customHeight="1">
      <c r="A3094" t="inlineStr">
        <is>
          <t>A 40007-2025</t>
        </is>
      </c>
      <c r="B3094" s="1" t="n">
        <v>45894.34238425926</v>
      </c>
      <c r="C3094" s="1" t="n">
        <v>46086</v>
      </c>
      <c r="D3094" t="inlineStr">
        <is>
          <t>GÄVLEBORGS LÄN</t>
        </is>
      </c>
      <c r="E3094" t="inlineStr">
        <is>
          <t>BOLLNÄS</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22261-2024</t>
        </is>
      </c>
      <c r="B3095" s="1" t="n">
        <v>45446.49317129629</v>
      </c>
      <c r="C3095" s="1" t="n">
        <v>46086</v>
      </c>
      <c r="D3095" t="inlineStr">
        <is>
          <t>GÄVLEBORGS LÄN</t>
        </is>
      </c>
      <c r="E3095" t="inlineStr">
        <is>
          <t>HUDIKSVALL</t>
        </is>
      </c>
      <c r="G3095" t="n">
        <v>7.6</v>
      </c>
      <c r="H3095" t="n">
        <v>0</v>
      </c>
      <c r="I3095" t="n">
        <v>0</v>
      </c>
      <c r="J3095" t="n">
        <v>0</v>
      </c>
      <c r="K3095" t="n">
        <v>0</v>
      </c>
      <c r="L3095" t="n">
        <v>0</v>
      </c>
      <c r="M3095" t="n">
        <v>0</v>
      </c>
      <c r="N3095" t="n">
        <v>0</v>
      </c>
      <c r="O3095" t="n">
        <v>0</v>
      </c>
      <c r="P3095" t="n">
        <v>0</v>
      </c>
      <c r="Q3095" t="n">
        <v>0</v>
      </c>
      <c r="R3095" s="2" t="inlineStr"/>
    </row>
    <row r="3096" ht="15" customHeight="1">
      <c r="A3096" t="inlineStr">
        <is>
          <t>A 30280-2025</t>
        </is>
      </c>
      <c r="B3096" s="1" t="n">
        <v>45827.45775462963</v>
      </c>
      <c r="C3096" s="1" t="n">
        <v>46086</v>
      </c>
      <c r="D3096" t="inlineStr">
        <is>
          <t>GÄVLEBORGS LÄN</t>
        </is>
      </c>
      <c r="E3096" t="inlineStr">
        <is>
          <t>OCKELBO</t>
        </is>
      </c>
      <c r="F3096" t="inlineStr">
        <is>
          <t>Kyrkan</t>
        </is>
      </c>
      <c r="G3096" t="n">
        <v>5.2</v>
      </c>
      <c r="H3096" t="n">
        <v>0</v>
      </c>
      <c r="I3096" t="n">
        <v>0</v>
      </c>
      <c r="J3096" t="n">
        <v>0</v>
      </c>
      <c r="K3096" t="n">
        <v>0</v>
      </c>
      <c r="L3096" t="n">
        <v>0</v>
      </c>
      <c r="M3096" t="n">
        <v>0</v>
      </c>
      <c r="N3096" t="n">
        <v>0</v>
      </c>
      <c r="O3096" t="n">
        <v>0</v>
      </c>
      <c r="P3096" t="n">
        <v>0</v>
      </c>
      <c r="Q3096" t="n">
        <v>0</v>
      </c>
      <c r="R3096" s="2" t="inlineStr"/>
    </row>
    <row r="3097" ht="15" customHeight="1">
      <c r="A3097" t="inlineStr">
        <is>
          <t>A 30292-2025</t>
        </is>
      </c>
      <c r="B3097" s="1" t="n">
        <v>45827.47149305556</v>
      </c>
      <c r="C3097" s="1" t="n">
        <v>46086</v>
      </c>
      <c r="D3097" t="inlineStr">
        <is>
          <t>GÄVLEBORGS LÄN</t>
        </is>
      </c>
      <c r="E3097" t="inlineStr">
        <is>
          <t>BOLLNÄS</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30301-2025</t>
        </is>
      </c>
      <c r="B3098" s="1" t="n">
        <v>45827.47753472222</v>
      </c>
      <c r="C3098" s="1" t="n">
        <v>46086</v>
      </c>
      <c r="D3098" t="inlineStr">
        <is>
          <t>GÄVLEBORGS LÄN</t>
        </is>
      </c>
      <c r="E3098" t="inlineStr">
        <is>
          <t>GÄVLE</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30302-2025</t>
        </is>
      </c>
      <c r="B3099" s="1" t="n">
        <v>45827.47875</v>
      </c>
      <c r="C3099" s="1" t="n">
        <v>46086</v>
      </c>
      <c r="D3099" t="inlineStr">
        <is>
          <t>GÄVLEBORGS LÄN</t>
        </is>
      </c>
      <c r="E3099" t="inlineStr">
        <is>
          <t>GÄVLE</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44048-2022</t>
        </is>
      </c>
      <c r="B3100" s="1" t="n">
        <v>44838.94913194444</v>
      </c>
      <c r="C3100" s="1" t="n">
        <v>46086</v>
      </c>
      <c r="D3100" t="inlineStr">
        <is>
          <t>GÄVLEBORGS LÄN</t>
        </is>
      </c>
      <c r="E3100" t="inlineStr">
        <is>
          <t>LJUSDAL</t>
        </is>
      </c>
      <c r="F3100" t="inlineStr">
        <is>
          <t>SCA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52729-2023</t>
        </is>
      </c>
      <c r="B3101" s="1" t="n">
        <v>45225.92707175926</v>
      </c>
      <c r="C3101" s="1" t="n">
        <v>46086</v>
      </c>
      <c r="D3101" t="inlineStr">
        <is>
          <t>GÄVLEBORGS LÄN</t>
        </is>
      </c>
      <c r="E3101" t="inlineStr">
        <is>
          <t>LJUSDAL</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10990-2026</t>
        </is>
      </c>
      <c r="B3102" s="1" t="n">
        <v>46079.4846412037</v>
      </c>
      <c r="C3102" s="1" t="n">
        <v>46086</v>
      </c>
      <c r="D3102" t="inlineStr">
        <is>
          <t>GÄVLEBORGS LÄN</t>
        </is>
      </c>
      <c r="E3102" t="inlineStr">
        <is>
          <t>OVANÅKER</t>
        </is>
      </c>
      <c r="F3102" t="inlineStr">
        <is>
          <t>Bergvik skog öst AB</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19419-2025</t>
        </is>
      </c>
      <c r="B3103" s="1" t="n">
        <v>45769.74543981482</v>
      </c>
      <c r="C3103" s="1" t="n">
        <v>46086</v>
      </c>
      <c r="D3103" t="inlineStr">
        <is>
          <t>GÄVLEBORGS LÄN</t>
        </is>
      </c>
      <c r="E3103" t="inlineStr">
        <is>
          <t>SANDVIKEN</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27482-2024</t>
        </is>
      </c>
      <c r="B3104" s="1" t="n">
        <v>45474.47489583334</v>
      </c>
      <c r="C3104" s="1" t="n">
        <v>46086</v>
      </c>
      <c r="D3104" t="inlineStr">
        <is>
          <t>GÄVLEBORGS LÄN</t>
        </is>
      </c>
      <c r="E3104" t="inlineStr">
        <is>
          <t>BOLLNÄS</t>
        </is>
      </c>
      <c r="G3104" t="n">
        <v>5.2</v>
      </c>
      <c r="H3104" t="n">
        <v>0</v>
      </c>
      <c r="I3104" t="n">
        <v>0</v>
      </c>
      <c r="J3104" t="n">
        <v>0</v>
      </c>
      <c r="K3104" t="n">
        <v>0</v>
      </c>
      <c r="L3104" t="n">
        <v>0</v>
      </c>
      <c r="M3104" t="n">
        <v>0</v>
      </c>
      <c r="N3104" t="n">
        <v>0</v>
      </c>
      <c r="O3104" t="n">
        <v>0</v>
      </c>
      <c r="P3104" t="n">
        <v>0</v>
      </c>
      <c r="Q3104" t="n">
        <v>0</v>
      </c>
      <c r="R3104" s="2" t="inlineStr"/>
    </row>
    <row r="3105" ht="15" customHeight="1">
      <c r="A3105" t="inlineStr">
        <is>
          <t>A 40362-2025</t>
        </is>
      </c>
      <c r="B3105" s="1" t="n">
        <v>45895.49094907408</v>
      </c>
      <c r="C3105" s="1" t="n">
        <v>46086</v>
      </c>
      <c r="D3105" t="inlineStr">
        <is>
          <t>GÄVLEBORGS LÄN</t>
        </is>
      </c>
      <c r="E3105" t="inlineStr">
        <is>
          <t>LJUSDAL</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62096-2024</t>
        </is>
      </c>
      <c r="B3106" s="1" t="n">
        <v>45656.49635416667</v>
      </c>
      <c r="C3106" s="1" t="n">
        <v>46086</v>
      </c>
      <c r="D3106" t="inlineStr">
        <is>
          <t>GÄVLEBORGS LÄN</t>
        </is>
      </c>
      <c r="E3106" t="inlineStr">
        <is>
          <t>OCKELBO</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37638-2022</t>
        </is>
      </c>
      <c r="B3107" s="1" t="n">
        <v>44810</v>
      </c>
      <c r="C3107" s="1" t="n">
        <v>46086</v>
      </c>
      <c r="D3107" t="inlineStr">
        <is>
          <t>GÄVLEBORGS LÄN</t>
        </is>
      </c>
      <c r="E3107" t="inlineStr">
        <is>
          <t>HUDIKSVALL</t>
        </is>
      </c>
      <c r="F3107" t="inlineStr">
        <is>
          <t>Holmen skog AB</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37681-2022</t>
        </is>
      </c>
      <c r="B3108" s="1" t="n">
        <v>44810</v>
      </c>
      <c r="C3108" s="1" t="n">
        <v>46086</v>
      </c>
      <c r="D3108" t="inlineStr">
        <is>
          <t>GÄVLEBORGS LÄN</t>
        </is>
      </c>
      <c r="E3108" t="inlineStr">
        <is>
          <t>HUDIKSVALL</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2465-2026</t>
        </is>
      </c>
      <c r="B3109" s="1" t="n">
        <v>46037.36222222223</v>
      </c>
      <c r="C3109" s="1" t="n">
        <v>46086</v>
      </c>
      <c r="D3109" t="inlineStr">
        <is>
          <t>GÄVLEBORGS LÄN</t>
        </is>
      </c>
      <c r="E3109" t="inlineStr">
        <is>
          <t>BOLLNÄS</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53544-2023</t>
        </is>
      </c>
      <c r="B3110" s="1" t="n">
        <v>45230.46125</v>
      </c>
      <c r="C3110" s="1" t="n">
        <v>46086</v>
      </c>
      <c r="D3110" t="inlineStr">
        <is>
          <t>GÄVLEBORGS LÄN</t>
        </is>
      </c>
      <c r="E3110" t="inlineStr">
        <is>
          <t>LJUSDAL</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29831-2025</t>
        </is>
      </c>
      <c r="B3111" s="1" t="n">
        <v>45825.92075231481</v>
      </c>
      <c r="C3111" s="1" t="n">
        <v>46086</v>
      </c>
      <c r="D3111" t="inlineStr">
        <is>
          <t>GÄVLEBORGS LÄN</t>
        </is>
      </c>
      <c r="E3111" t="inlineStr">
        <is>
          <t>SANDVIKEN</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29900-2025</t>
        </is>
      </c>
      <c r="B3112" s="1" t="n">
        <v>45826.3866087963</v>
      </c>
      <c r="C3112" s="1" t="n">
        <v>46086</v>
      </c>
      <c r="D3112" t="inlineStr">
        <is>
          <t>GÄVLEBORGS LÄN</t>
        </is>
      </c>
      <c r="E3112" t="inlineStr">
        <is>
          <t>HUDIKSVALL</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49713-2022</t>
        </is>
      </c>
      <c r="B3113" s="1" t="n">
        <v>44862</v>
      </c>
      <c r="C3113" s="1" t="n">
        <v>46086</v>
      </c>
      <c r="D3113" t="inlineStr">
        <is>
          <t>GÄVLEBORGS LÄN</t>
        </is>
      </c>
      <c r="E3113" t="inlineStr">
        <is>
          <t>HUDIKSVALL</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40316-2025</t>
        </is>
      </c>
      <c r="B3114" s="1" t="n">
        <v>45895.42797453704</v>
      </c>
      <c r="C3114" s="1" t="n">
        <v>46086</v>
      </c>
      <c r="D3114" t="inlineStr">
        <is>
          <t>GÄVLEBORGS LÄN</t>
        </is>
      </c>
      <c r="E3114" t="inlineStr">
        <is>
          <t>GÄVLE</t>
        </is>
      </c>
      <c r="F3114" t="inlineStr">
        <is>
          <t>Kyrkan</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42239-2023</t>
        </is>
      </c>
      <c r="B3115" s="1" t="n">
        <v>45180</v>
      </c>
      <c r="C3115" s="1" t="n">
        <v>46086</v>
      </c>
      <c r="D3115" t="inlineStr">
        <is>
          <t>GÄVLEBORGS LÄN</t>
        </is>
      </c>
      <c r="E3115" t="inlineStr">
        <is>
          <t>HUDIKSVALL</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4573-2024</t>
        </is>
      </c>
      <c r="B3116" s="1" t="n">
        <v>45327</v>
      </c>
      <c r="C3116" s="1" t="n">
        <v>46086</v>
      </c>
      <c r="D3116" t="inlineStr">
        <is>
          <t>GÄVLEBORGS LÄN</t>
        </is>
      </c>
      <c r="E3116" t="inlineStr">
        <is>
          <t>HUDIKSVALL</t>
        </is>
      </c>
      <c r="F3116" t="inlineStr">
        <is>
          <t>Holmen skog AB</t>
        </is>
      </c>
      <c r="G3116" t="n">
        <v>7.5</v>
      </c>
      <c r="H3116" t="n">
        <v>0</v>
      </c>
      <c r="I3116" t="n">
        <v>0</v>
      </c>
      <c r="J3116" t="n">
        <v>0</v>
      </c>
      <c r="K3116" t="n">
        <v>0</v>
      </c>
      <c r="L3116" t="n">
        <v>0</v>
      </c>
      <c r="M3116" t="n">
        <v>0</v>
      </c>
      <c r="N3116" t="n">
        <v>0</v>
      </c>
      <c r="O3116" t="n">
        <v>0</v>
      </c>
      <c r="P3116" t="n">
        <v>0</v>
      </c>
      <c r="Q3116" t="n">
        <v>0</v>
      </c>
      <c r="R3116" s="2" t="inlineStr"/>
    </row>
    <row r="3117" ht="15" customHeight="1">
      <c r="A3117" t="inlineStr">
        <is>
          <t>A 40291-2025</t>
        </is>
      </c>
      <c r="B3117" s="1" t="n">
        <v>45895.38584490741</v>
      </c>
      <c r="C3117" s="1" t="n">
        <v>46086</v>
      </c>
      <c r="D3117" t="inlineStr">
        <is>
          <t>GÄVLEBORGS LÄN</t>
        </is>
      </c>
      <c r="E3117" t="inlineStr">
        <is>
          <t>NORDANSTIG</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30331-2025</t>
        </is>
      </c>
      <c r="B3118" s="1" t="n">
        <v>45827.50730324074</v>
      </c>
      <c r="C3118" s="1" t="n">
        <v>46086</v>
      </c>
      <c r="D3118" t="inlineStr">
        <is>
          <t>GÄVLEBORGS LÄN</t>
        </is>
      </c>
      <c r="E3118" t="inlineStr">
        <is>
          <t>OCKELBO</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40297-2025</t>
        </is>
      </c>
      <c r="B3119" s="1" t="n">
        <v>45895</v>
      </c>
      <c r="C3119" s="1" t="n">
        <v>46086</v>
      </c>
      <c r="D3119" t="inlineStr">
        <is>
          <t>GÄVLEBORGS LÄN</t>
        </is>
      </c>
      <c r="E3119" t="inlineStr">
        <is>
          <t>GÄVLE</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30202-2025</t>
        </is>
      </c>
      <c r="B3120" s="1" t="n">
        <v>45827</v>
      </c>
      <c r="C3120" s="1" t="n">
        <v>46086</v>
      </c>
      <c r="D3120" t="inlineStr">
        <is>
          <t>GÄVLEBORGS LÄN</t>
        </is>
      </c>
      <c r="E3120" t="inlineStr">
        <is>
          <t>GÄVLE</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30229-2025</t>
        </is>
      </c>
      <c r="B3121" s="1" t="n">
        <v>45827.3822337963</v>
      </c>
      <c r="C3121" s="1" t="n">
        <v>46086</v>
      </c>
      <c r="D3121" t="inlineStr">
        <is>
          <t>GÄVLEBORGS LÄN</t>
        </is>
      </c>
      <c r="E3121" t="inlineStr">
        <is>
          <t>OCKELBO</t>
        </is>
      </c>
      <c r="F3121" t="inlineStr">
        <is>
          <t>Bergvik skog väst AB</t>
        </is>
      </c>
      <c r="G3121" t="n">
        <v>5.3</v>
      </c>
      <c r="H3121" t="n">
        <v>0</v>
      </c>
      <c r="I3121" t="n">
        <v>0</v>
      </c>
      <c r="J3121" t="n">
        <v>0</v>
      </c>
      <c r="K3121" t="n">
        <v>0</v>
      </c>
      <c r="L3121" t="n">
        <v>0</v>
      </c>
      <c r="M3121" t="n">
        <v>0</v>
      </c>
      <c r="N3121" t="n">
        <v>0</v>
      </c>
      <c r="O3121" t="n">
        <v>0</v>
      </c>
      <c r="P3121" t="n">
        <v>0</v>
      </c>
      <c r="Q3121" t="n">
        <v>0</v>
      </c>
      <c r="R3121" s="2" t="inlineStr"/>
    </row>
    <row r="3122" ht="15" customHeight="1">
      <c r="A3122" t="inlineStr">
        <is>
          <t>A 2478-2026</t>
        </is>
      </c>
      <c r="B3122" s="1" t="n">
        <v>46037.38380787037</v>
      </c>
      <c r="C3122" s="1" t="n">
        <v>46086</v>
      </c>
      <c r="D3122" t="inlineStr">
        <is>
          <t>GÄVLEBORGS LÄN</t>
        </is>
      </c>
      <c r="E3122" t="inlineStr">
        <is>
          <t>HUDIKSVALL</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2584-2026</t>
        </is>
      </c>
      <c r="B3123" s="1" t="n">
        <v>46037.54207175926</v>
      </c>
      <c r="C3123" s="1" t="n">
        <v>46086</v>
      </c>
      <c r="D3123" t="inlineStr">
        <is>
          <t>GÄVLEBORGS LÄN</t>
        </is>
      </c>
      <c r="E3123" t="inlineStr">
        <is>
          <t>OCKELBO</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2592-2026</t>
        </is>
      </c>
      <c r="B3124" s="1" t="n">
        <v>46037.54743055555</v>
      </c>
      <c r="C3124" s="1" t="n">
        <v>46086</v>
      </c>
      <c r="D3124" t="inlineStr">
        <is>
          <t>GÄVLEBORGS LÄN</t>
        </is>
      </c>
      <c r="E3124" t="inlineStr">
        <is>
          <t>BOLLNÄS</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30082-2025</t>
        </is>
      </c>
      <c r="B3125" s="1" t="n">
        <v>45826.6516550926</v>
      </c>
      <c r="C3125" s="1" t="n">
        <v>46086</v>
      </c>
      <c r="D3125" t="inlineStr">
        <is>
          <t>GÄVLEBORGS LÄN</t>
        </is>
      </c>
      <c r="E3125" t="inlineStr">
        <is>
          <t>LJUSDAL</t>
        </is>
      </c>
      <c r="F3125" t="inlineStr">
        <is>
          <t>Holmen skog AB</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56280-2024</t>
        </is>
      </c>
      <c r="B3126" s="1" t="n">
        <v>45624.67489583333</v>
      </c>
      <c r="C3126" s="1" t="n">
        <v>46086</v>
      </c>
      <c r="D3126" t="inlineStr">
        <is>
          <t>GÄVLEBORGS LÄN</t>
        </is>
      </c>
      <c r="E3126" t="inlineStr">
        <is>
          <t>NORDANSTIG</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29474-2025</t>
        </is>
      </c>
      <c r="B3127" s="1" t="n">
        <v>45824.70642361111</v>
      </c>
      <c r="C3127" s="1" t="n">
        <v>46086</v>
      </c>
      <c r="D3127" t="inlineStr">
        <is>
          <t>GÄVLEBORGS LÄN</t>
        </is>
      </c>
      <c r="E3127" t="inlineStr">
        <is>
          <t>SÖDERHAMN</t>
        </is>
      </c>
      <c r="G3127" t="n">
        <v>10.4</v>
      </c>
      <c r="H3127" t="n">
        <v>0</v>
      </c>
      <c r="I3127" t="n">
        <v>0</v>
      </c>
      <c r="J3127" t="n">
        <v>0</v>
      </c>
      <c r="K3127" t="n">
        <v>0</v>
      </c>
      <c r="L3127" t="n">
        <v>0</v>
      </c>
      <c r="M3127" t="n">
        <v>0</v>
      </c>
      <c r="N3127" t="n">
        <v>0</v>
      </c>
      <c r="O3127" t="n">
        <v>0</v>
      </c>
      <c r="P3127" t="n">
        <v>0</v>
      </c>
      <c r="Q3127" t="n">
        <v>0</v>
      </c>
      <c r="R3127" s="2" t="inlineStr"/>
    </row>
    <row r="3128" ht="15" customHeight="1">
      <c r="A3128" t="inlineStr">
        <is>
          <t>A 2662-2025</t>
        </is>
      </c>
      <c r="B3128" s="1" t="n">
        <v>45676.87431712963</v>
      </c>
      <c r="C3128" s="1" t="n">
        <v>46086</v>
      </c>
      <c r="D3128" t="inlineStr">
        <is>
          <t>GÄVLEBORGS LÄN</t>
        </is>
      </c>
      <c r="E3128" t="inlineStr">
        <is>
          <t>HUDIKSVALL</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2666-2025</t>
        </is>
      </c>
      <c r="B3129" s="1" t="n">
        <v>45677.27112268518</v>
      </c>
      <c r="C3129" s="1" t="n">
        <v>46086</v>
      </c>
      <c r="D3129" t="inlineStr">
        <is>
          <t>GÄVLEBORGS LÄN</t>
        </is>
      </c>
      <c r="E3129" t="inlineStr">
        <is>
          <t>BOLLNÄS</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40019-2025</t>
        </is>
      </c>
      <c r="B3130" s="1" t="n">
        <v>45894.35270833333</v>
      </c>
      <c r="C3130" s="1" t="n">
        <v>46086</v>
      </c>
      <c r="D3130" t="inlineStr">
        <is>
          <t>GÄVLEBORGS LÄN</t>
        </is>
      </c>
      <c r="E3130" t="inlineStr">
        <is>
          <t>LJUSDAL</t>
        </is>
      </c>
      <c r="F3130" t="inlineStr">
        <is>
          <t>Allmännings- och besparingsskogar</t>
        </is>
      </c>
      <c r="G3130" t="n">
        <v>12.2</v>
      </c>
      <c r="H3130" t="n">
        <v>0</v>
      </c>
      <c r="I3130" t="n">
        <v>0</v>
      </c>
      <c r="J3130" t="n">
        <v>0</v>
      </c>
      <c r="K3130" t="n">
        <v>0</v>
      </c>
      <c r="L3130" t="n">
        <v>0</v>
      </c>
      <c r="M3130" t="n">
        <v>0</v>
      </c>
      <c r="N3130" t="n">
        <v>0</v>
      </c>
      <c r="O3130" t="n">
        <v>0</v>
      </c>
      <c r="P3130" t="n">
        <v>0</v>
      </c>
      <c r="Q3130" t="n">
        <v>0</v>
      </c>
      <c r="R3130" s="2" t="inlineStr"/>
    </row>
    <row r="3131" ht="15" customHeight="1">
      <c r="A3131" t="inlineStr">
        <is>
          <t>A 2754-2025</t>
        </is>
      </c>
      <c r="B3131" s="1" t="n">
        <v>45677.47336805556</v>
      </c>
      <c r="C3131" s="1" t="n">
        <v>46086</v>
      </c>
      <c r="D3131" t="inlineStr">
        <is>
          <t>GÄVLEBORGS LÄN</t>
        </is>
      </c>
      <c r="E3131" t="inlineStr">
        <is>
          <t>HUDIKSVALL</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39943-2025</t>
        </is>
      </c>
      <c r="B3132" s="1" t="n">
        <v>45891.90513888889</v>
      </c>
      <c r="C3132" s="1" t="n">
        <v>46086</v>
      </c>
      <c r="D3132" t="inlineStr">
        <is>
          <t>GÄVLEBORGS LÄN</t>
        </is>
      </c>
      <c r="E3132" t="inlineStr">
        <is>
          <t>GÄVLE</t>
        </is>
      </c>
      <c r="F3132" t="inlineStr">
        <is>
          <t>Kommuner</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40042-2025</t>
        </is>
      </c>
      <c r="B3133" s="1" t="n">
        <v>45894.40082175926</v>
      </c>
      <c r="C3133" s="1" t="n">
        <v>46086</v>
      </c>
      <c r="D3133" t="inlineStr">
        <is>
          <t>GÄVLEBORGS LÄN</t>
        </is>
      </c>
      <c r="E3133" t="inlineStr">
        <is>
          <t>SÖDERHAMN</t>
        </is>
      </c>
      <c r="G3133" t="n">
        <v>5.2</v>
      </c>
      <c r="H3133" t="n">
        <v>0</v>
      </c>
      <c r="I3133" t="n">
        <v>0</v>
      </c>
      <c r="J3133" t="n">
        <v>0</v>
      </c>
      <c r="K3133" t="n">
        <v>0</v>
      </c>
      <c r="L3133" t="n">
        <v>0</v>
      </c>
      <c r="M3133" t="n">
        <v>0</v>
      </c>
      <c r="N3133" t="n">
        <v>0</v>
      </c>
      <c r="O3133" t="n">
        <v>0</v>
      </c>
      <c r="P3133" t="n">
        <v>0</v>
      </c>
      <c r="Q3133" t="n">
        <v>0</v>
      </c>
      <c r="R3133" s="2" t="inlineStr"/>
    </row>
    <row r="3134" ht="15" customHeight="1">
      <c r="A3134" t="inlineStr">
        <is>
          <t>A 10874-2026</t>
        </is>
      </c>
      <c r="B3134" s="1" t="n">
        <v>46078.71017361111</v>
      </c>
      <c r="C3134" s="1" t="n">
        <v>46086</v>
      </c>
      <c r="D3134" t="inlineStr">
        <is>
          <t>GÄVLEBORGS LÄN</t>
        </is>
      </c>
      <c r="E3134" t="inlineStr">
        <is>
          <t>BOLLNÄS</t>
        </is>
      </c>
      <c r="F3134" t="inlineStr">
        <is>
          <t>Bergvik skog väst AB</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10880-2026</t>
        </is>
      </c>
      <c r="B3135" s="1" t="n">
        <v>46078.73033564815</v>
      </c>
      <c r="C3135" s="1" t="n">
        <v>46086</v>
      </c>
      <c r="D3135" t="inlineStr">
        <is>
          <t>GÄVLEBORGS LÄN</t>
        </is>
      </c>
      <c r="E3135" t="inlineStr">
        <is>
          <t>BOLLNÄS</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10895-2026</t>
        </is>
      </c>
      <c r="B3136" s="1" t="n">
        <v>46078.82930555556</v>
      </c>
      <c r="C3136" s="1" t="n">
        <v>46086</v>
      </c>
      <c r="D3136" t="inlineStr">
        <is>
          <t>GÄVLEBORGS LÄN</t>
        </is>
      </c>
      <c r="E3136" t="inlineStr">
        <is>
          <t>BOLLNÄS</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30442-2025</t>
        </is>
      </c>
      <c r="B3137" s="1" t="n">
        <v>45827.64628472222</v>
      </c>
      <c r="C3137" s="1" t="n">
        <v>46086</v>
      </c>
      <c r="D3137" t="inlineStr">
        <is>
          <t>GÄVLEBORGS LÄN</t>
        </is>
      </c>
      <c r="E3137" t="inlineStr">
        <is>
          <t>HUDIKSVALL</t>
        </is>
      </c>
      <c r="F3137" t="inlineStr">
        <is>
          <t>Holmen skog AB</t>
        </is>
      </c>
      <c r="G3137" t="n">
        <v>48.3</v>
      </c>
      <c r="H3137" t="n">
        <v>0</v>
      </c>
      <c r="I3137" t="n">
        <v>0</v>
      </c>
      <c r="J3137" t="n">
        <v>0</v>
      </c>
      <c r="K3137" t="n">
        <v>0</v>
      </c>
      <c r="L3137" t="n">
        <v>0</v>
      </c>
      <c r="M3137" t="n">
        <v>0</v>
      </c>
      <c r="N3137" t="n">
        <v>0</v>
      </c>
      <c r="O3137" t="n">
        <v>0</v>
      </c>
      <c r="P3137" t="n">
        <v>0</v>
      </c>
      <c r="Q3137" t="n">
        <v>0</v>
      </c>
      <c r="R3137" s="2" t="inlineStr"/>
    </row>
    <row r="3138" ht="15" customHeight="1">
      <c r="A3138" t="inlineStr">
        <is>
          <t>A 41608-2024</t>
        </is>
      </c>
      <c r="B3138" s="1" t="n">
        <v>45560</v>
      </c>
      <c r="C3138" s="1" t="n">
        <v>46086</v>
      </c>
      <c r="D3138" t="inlineStr">
        <is>
          <t>GÄVLEBORGS LÄN</t>
        </is>
      </c>
      <c r="E3138" t="inlineStr">
        <is>
          <t>NORDANSTIG</t>
        </is>
      </c>
      <c r="F3138" t="inlineStr">
        <is>
          <t>Holmen skog AB</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14563-2025</t>
        </is>
      </c>
      <c r="B3139" s="1" t="n">
        <v>45741</v>
      </c>
      <c r="C3139" s="1" t="n">
        <v>46086</v>
      </c>
      <c r="D3139" t="inlineStr">
        <is>
          <t>GÄVLEBORGS LÄN</t>
        </is>
      </c>
      <c r="E3139" t="inlineStr">
        <is>
          <t>GÄVLE</t>
        </is>
      </c>
      <c r="G3139" t="n">
        <v>4</v>
      </c>
      <c r="H3139" t="n">
        <v>0</v>
      </c>
      <c r="I3139" t="n">
        <v>0</v>
      </c>
      <c r="J3139" t="n">
        <v>0</v>
      </c>
      <c r="K3139" t="n">
        <v>0</v>
      </c>
      <c r="L3139" t="n">
        <v>0</v>
      </c>
      <c r="M3139" t="n">
        <v>0</v>
      </c>
      <c r="N3139" t="n">
        <v>0</v>
      </c>
      <c r="O3139" t="n">
        <v>0</v>
      </c>
      <c r="P3139" t="n">
        <v>0</v>
      </c>
      <c r="Q3139" t="n">
        <v>0</v>
      </c>
      <c r="R3139" s="2" t="inlineStr"/>
    </row>
    <row r="3140" ht="15" customHeight="1">
      <c r="A3140" t="inlineStr">
        <is>
          <t>A 2255-2026</t>
        </is>
      </c>
      <c r="B3140" s="1" t="n">
        <v>46036.55995370371</v>
      </c>
      <c r="C3140" s="1" t="n">
        <v>46086</v>
      </c>
      <c r="D3140" t="inlineStr">
        <is>
          <t>GÄVLEBORGS LÄN</t>
        </is>
      </c>
      <c r="E3140" t="inlineStr">
        <is>
          <t>OVANÅKER</t>
        </is>
      </c>
      <c r="G3140" t="n">
        <v>6.1</v>
      </c>
      <c r="H3140" t="n">
        <v>0</v>
      </c>
      <c r="I3140" t="n">
        <v>0</v>
      </c>
      <c r="J3140" t="n">
        <v>0</v>
      </c>
      <c r="K3140" t="n">
        <v>0</v>
      </c>
      <c r="L3140" t="n">
        <v>0</v>
      </c>
      <c r="M3140" t="n">
        <v>0</v>
      </c>
      <c r="N3140" t="n">
        <v>0</v>
      </c>
      <c r="O3140" t="n">
        <v>0</v>
      </c>
      <c r="P3140" t="n">
        <v>0</v>
      </c>
      <c r="Q3140" t="n">
        <v>0</v>
      </c>
      <c r="R3140" s="2" t="inlineStr"/>
    </row>
    <row r="3141" ht="15" customHeight="1">
      <c r="A3141" t="inlineStr">
        <is>
          <t>A 40355-2025</t>
        </is>
      </c>
      <c r="B3141" s="1" t="n">
        <v>45895.48716435185</v>
      </c>
      <c r="C3141" s="1" t="n">
        <v>46086</v>
      </c>
      <c r="D3141" t="inlineStr">
        <is>
          <t>GÄVLEBORGS LÄN</t>
        </is>
      </c>
      <c r="E3141" t="inlineStr">
        <is>
          <t>LJUSDAL</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40400-2025</t>
        </is>
      </c>
      <c r="B3142" s="1" t="n">
        <v>45895.56410879629</v>
      </c>
      <c r="C3142" s="1" t="n">
        <v>46086</v>
      </c>
      <c r="D3142" t="inlineStr">
        <is>
          <t>GÄVLEBORGS LÄN</t>
        </is>
      </c>
      <c r="E3142" t="inlineStr">
        <is>
          <t>SÖDERHAMN</t>
        </is>
      </c>
      <c r="G3142" t="n">
        <v>6.3</v>
      </c>
      <c r="H3142" t="n">
        <v>0</v>
      </c>
      <c r="I3142" t="n">
        <v>0</v>
      </c>
      <c r="J3142" t="n">
        <v>0</v>
      </c>
      <c r="K3142" t="n">
        <v>0</v>
      </c>
      <c r="L3142" t="n">
        <v>0</v>
      </c>
      <c r="M3142" t="n">
        <v>0</v>
      </c>
      <c r="N3142" t="n">
        <v>0</v>
      </c>
      <c r="O3142" t="n">
        <v>0</v>
      </c>
      <c r="P3142" t="n">
        <v>0</v>
      </c>
      <c r="Q3142" t="n">
        <v>0</v>
      </c>
      <c r="R3142" s="2" t="inlineStr"/>
    </row>
    <row r="3143" ht="15" customHeight="1">
      <c r="A3143" t="inlineStr">
        <is>
          <t>A 11087-2026</t>
        </is>
      </c>
      <c r="B3143" s="1" t="n">
        <v>46079.62898148148</v>
      </c>
      <c r="C3143" s="1" t="n">
        <v>46086</v>
      </c>
      <c r="D3143" t="inlineStr">
        <is>
          <t>GÄVLEBORGS LÄN</t>
        </is>
      </c>
      <c r="E3143" t="inlineStr">
        <is>
          <t>NORDANSTIG</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11090-2026</t>
        </is>
      </c>
      <c r="B3144" s="1" t="n">
        <v>46079.63704861111</v>
      </c>
      <c r="C3144" s="1" t="n">
        <v>46086</v>
      </c>
      <c r="D3144" t="inlineStr">
        <is>
          <t>GÄVLEBORGS LÄN</t>
        </is>
      </c>
      <c r="E3144" t="inlineStr">
        <is>
          <t>BOLLNÄS</t>
        </is>
      </c>
      <c r="G3144" t="n">
        <v>6.6</v>
      </c>
      <c r="H3144" t="n">
        <v>0</v>
      </c>
      <c r="I3144" t="n">
        <v>0</v>
      </c>
      <c r="J3144" t="n">
        <v>0</v>
      </c>
      <c r="K3144" t="n">
        <v>0</v>
      </c>
      <c r="L3144" t="n">
        <v>0</v>
      </c>
      <c r="M3144" t="n">
        <v>0</v>
      </c>
      <c r="N3144" t="n">
        <v>0</v>
      </c>
      <c r="O3144" t="n">
        <v>0</v>
      </c>
      <c r="P3144" t="n">
        <v>0</v>
      </c>
      <c r="Q3144" t="n">
        <v>0</v>
      </c>
      <c r="R3144" s="2" t="inlineStr"/>
    </row>
    <row r="3145" ht="15" customHeight="1">
      <c r="A3145" t="inlineStr">
        <is>
          <t>A 730-2026</t>
        </is>
      </c>
      <c r="B3145" s="1" t="n">
        <v>46029</v>
      </c>
      <c r="C3145" s="1" t="n">
        <v>46086</v>
      </c>
      <c r="D3145" t="inlineStr">
        <is>
          <t>GÄVLEBORGS LÄN</t>
        </is>
      </c>
      <c r="E3145" t="inlineStr">
        <is>
          <t>OVANÅKER</t>
        </is>
      </c>
      <c r="G3145" t="n">
        <v>6.5</v>
      </c>
      <c r="H3145" t="n">
        <v>0</v>
      </c>
      <c r="I3145" t="n">
        <v>0</v>
      </c>
      <c r="J3145" t="n">
        <v>0</v>
      </c>
      <c r="K3145" t="n">
        <v>0</v>
      </c>
      <c r="L3145" t="n">
        <v>0</v>
      </c>
      <c r="M3145" t="n">
        <v>0</v>
      </c>
      <c r="N3145" t="n">
        <v>0</v>
      </c>
      <c r="O3145" t="n">
        <v>0</v>
      </c>
      <c r="P3145" t="n">
        <v>0</v>
      </c>
      <c r="Q3145" t="n">
        <v>0</v>
      </c>
      <c r="R3145" s="2" t="inlineStr"/>
    </row>
    <row r="3146" ht="15" customHeight="1">
      <c r="A3146" t="inlineStr">
        <is>
          <t>A 30044-2025</t>
        </is>
      </c>
      <c r="B3146" s="1" t="n">
        <v>45826.57925925926</v>
      </c>
      <c r="C3146" s="1" t="n">
        <v>46086</v>
      </c>
      <c r="D3146" t="inlineStr">
        <is>
          <t>GÄVLEBORGS LÄN</t>
        </is>
      </c>
      <c r="E3146" t="inlineStr">
        <is>
          <t>OVANÅKER</t>
        </is>
      </c>
      <c r="F3146" t="inlineStr">
        <is>
          <t>Bergvik skog öst AB</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31786-2025</t>
        </is>
      </c>
      <c r="B3147" s="1" t="n">
        <v>45834.53503472222</v>
      </c>
      <c r="C3147" s="1" t="n">
        <v>46086</v>
      </c>
      <c r="D3147" t="inlineStr">
        <is>
          <t>GÄVLEBORGS LÄN</t>
        </is>
      </c>
      <c r="E3147" t="inlineStr">
        <is>
          <t>HUDIKSVALL</t>
        </is>
      </c>
      <c r="G3147" t="n">
        <v>8.300000000000001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52837-2023</t>
        </is>
      </c>
      <c r="B3148" s="1" t="n">
        <v>45226.41961805556</v>
      </c>
      <c r="C3148" s="1" t="n">
        <v>46086</v>
      </c>
      <c r="D3148" t="inlineStr">
        <is>
          <t>GÄVLEBORGS LÄN</t>
        </is>
      </c>
      <c r="E3148" t="inlineStr">
        <is>
          <t>LJUSDAL</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31302-2025</t>
        </is>
      </c>
      <c r="B3149" s="1" t="n">
        <v>45833.38398148148</v>
      </c>
      <c r="C3149" s="1" t="n">
        <v>46086</v>
      </c>
      <c r="D3149" t="inlineStr">
        <is>
          <t>GÄVLEBORGS LÄN</t>
        </is>
      </c>
      <c r="E3149" t="inlineStr">
        <is>
          <t>OCKELBO</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16771-2025</t>
        </is>
      </c>
      <c r="B3150" s="1" t="n">
        <v>45754.57960648148</v>
      </c>
      <c r="C3150" s="1" t="n">
        <v>46086</v>
      </c>
      <c r="D3150" t="inlineStr">
        <is>
          <t>GÄVLEBORGS LÄN</t>
        </is>
      </c>
      <c r="E3150" t="inlineStr">
        <is>
          <t>OCKELBO</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21878-2024</t>
        </is>
      </c>
      <c r="B3151" s="1" t="n">
        <v>45443.3383912037</v>
      </c>
      <c r="C3151" s="1" t="n">
        <v>46086</v>
      </c>
      <c r="D3151" t="inlineStr">
        <is>
          <t>GÄVLEBORGS LÄN</t>
        </is>
      </c>
      <c r="E3151" t="inlineStr">
        <is>
          <t>OCKELBO</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40333-2025</t>
        </is>
      </c>
      <c r="B3152" s="1" t="n">
        <v>45895.46172453704</v>
      </c>
      <c r="C3152" s="1" t="n">
        <v>46086</v>
      </c>
      <c r="D3152" t="inlineStr">
        <is>
          <t>GÄVLEBORGS LÄN</t>
        </is>
      </c>
      <c r="E3152" t="inlineStr">
        <is>
          <t>BOLLNÄS</t>
        </is>
      </c>
      <c r="G3152" t="n">
        <v>6.3</v>
      </c>
      <c r="H3152" t="n">
        <v>0</v>
      </c>
      <c r="I3152" t="n">
        <v>0</v>
      </c>
      <c r="J3152" t="n">
        <v>0</v>
      </c>
      <c r="K3152" t="n">
        <v>0</v>
      </c>
      <c r="L3152" t="n">
        <v>0</v>
      </c>
      <c r="M3152" t="n">
        <v>0</v>
      </c>
      <c r="N3152" t="n">
        <v>0</v>
      </c>
      <c r="O3152" t="n">
        <v>0</v>
      </c>
      <c r="P3152" t="n">
        <v>0</v>
      </c>
      <c r="Q3152" t="n">
        <v>0</v>
      </c>
      <c r="R3152" s="2" t="inlineStr"/>
    </row>
    <row r="3153" ht="15" customHeight="1">
      <c r="A3153" t="inlineStr">
        <is>
          <t>A 30450-2025</t>
        </is>
      </c>
      <c r="B3153" s="1" t="n">
        <v>45827</v>
      </c>
      <c r="C3153" s="1" t="n">
        <v>46086</v>
      </c>
      <c r="D3153" t="inlineStr">
        <is>
          <t>GÄVLEBORGS LÄN</t>
        </is>
      </c>
      <c r="E3153" t="inlineStr">
        <is>
          <t>HUDIKSVALL</t>
        </is>
      </c>
      <c r="G3153" t="n">
        <v>14.4</v>
      </c>
      <c r="H3153" t="n">
        <v>0</v>
      </c>
      <c r="I3153" t="n">
        <v>0</v>
      </c>
      <c r="J3153" t="n">
        <v>0</v>
      </c>
      <c r="K3153" t="n">
        <v>0</v>
      </c>
      <c r="L3153" t="n">
        <v>0</v>
      </c>
      <c r="M3153" t="n">
        <v>0</v>
      </c>
      <c r="N3153" t="n">
        <v>0</v>
      </c>
      <c r="O3153" t="n">
        <v>0</v>
      </c>
      <c r="P3153" t="n">
        <v>0</v>
      </c>
      <c r="Q3153" t="n">
        <v>0</v>
      </c>
      <c r="R3153" s="2" t="inlineStr"/>
    </row>
    <row r="3154" ht="15" customHeight="1">
      <c r="A3154" t="inlineStr">
        <is>
          <t>A 30458-2025</t>
        </is>
      </c>
      <c r="B3154" s="1" t="n">
        <v>45827</v>
      </c>
      <c r="C3154" s="1" t="n">
        <v>46086</v>
      </c>
      <c r="D3154" t="inlineStr">
        <is>
          <t>GÄVLEBORGS LÄN</t>
        </is>
      </c>
      <c r="E3154" t="inlineStr">
        <is>
          <t>BOLLNÄS</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40335-2025</t>
        </is>
      </c>
      <c r="B3155" s="1" t="n">
        <v>45895.4652199074</v>
      </c>
      <c r="C3155" s="1" t="n">
        <v>46086</v>
      </c>
      <c r="D3155" t="inlineStr">
        <is>
          <t>GÄVLEBORGS LÄN</t>
        </is>
      </c>
      <c r="E3155" t="inlineStr">
        <is>
          <t>BOLLNÄS</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40161-2025</t>
        </is>
      </c>
      <c r="B3156" s="1" t="n">
        <v>45894</v>
      </c>
      <c r="C3156" s="1" t="n">
        <v>46086</v>
      </c>
      <c r="D3156" t="inlineStr">
        <is>
          <t>GÄVLEBORGS LÄN</t>
        </is>
      </c>
      <c r="E3156" t="inlineStr">
        <is>
          <t>BOLLNÄS</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2371-2026</t>
        </is>
      </c>
      <c r="B3157" s="1" t="n">
        <v>46036</v>
      </c>
      <c r="C3157" s="1" t="n">
        <v>46086</v>
      </c>
      <c r="D3157" t="inlineStr">
        <is>
          <t>GÄVLEBORGS LÄN</t>
        </is>
      </c>
      <c r="E3157" t="inlineStr">
        <is>
          <t>OCKELBO</t>
        </is>
      </c>
      <c r="F3157" t="inlineStr">
        <is>
          <t>Bergvik skog väst AB</t>
        </is>
      </c>
      <c r="G3157" t="n">
        <v>32.7</v>
      </c>
      <c r="H3157" t="n">
        <v>0</v>
      </c>
      <c r="I3157" t="n">
        <v>0</v>
      </c>
      <c r="J3157" t="n">
        <v>0</v>
      </c>
      <c r="K3157" t="n">
        <v>0</v>
      </c>
      <c r="L3157" t="n">
        <v>0</v>
      </c>
      <c r="M3157" t="n">
        <v>0</v>
      </c>
      <c r="N3157" t="n">
        <v>0</v>
      </c>
      <c r="O3157" t="n">
        <v>0</v>
      </c>
      <c r="P3157" t="n">
        <v>0</v>
      </c>
      <c r="Q3157" t="n">
        <v>0</v>
      </c>
      <c r="R3157" s="2" t="inlineStr"/>
    </row>
    <row r="3158" ht="15" customHeight="1">
      <c r="A3158" t="inlineStr">
        <is>
          <t>A 9400-2024</t>
        </is>
      </c>
      <c r="B3158" s="1" t="n">
        <v>45359.42087962963</v>
      </c>
      <c r="C3158" s="1" t="n">
        <v>46086</v>
      </c>
      <c r="D3158" t="inlineStr">
        <is>
          <t>GÄVLEBORGS LÄN</t>
        </is>
      </c>
      <c r="E3158" t="inlineStr">
        <is>
          <t>HUDIKSVALL</t>
        </is>
      </c>
      <c r="F3158" t="inlineStr">
        <is>
          <t>Holmen skog AB</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30203-2025</t>
        </is>
      </c>
      <c r="B3159" s="1" t="n">
        <v>45827.35971064815</v>
      </c>
      <c r="C3159" s="1" t="n">
        <v>46086</v>
      </c>
      <c r="D3159" t="inlineStr">
        <is>
          <t>GÄVLEBORGS LÄN</t>
        </is>
      </c>
      <c r="E3159" t="inlineStr">
        <is>
          <t>SANDVIKEN</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40167-2025</t>
        </is>
      </c>
      <c r="B3160" s="1" t="n">
        <v>45894.62585648148</v>
      </c>
      <c r="C3160" s="1" t="n">
        <v>46086</v>
      </c>
      <c r="D3160" t="inlineStr">
        <is>
          <t>GÄVLEBORGS LÄN</t>
        </is>
      </c>
      <c r="E3160" t="inlineStr">
        <is>
          <t>HUDIKSVALL</t>
        </is>
      </c>
      <c r="F3160" t="inlineStr">
        <is>
          <t>Holmen skog AB</t>
        </is>
      </c>
      <c r="G3160" t="n">
        <v>33.3</v>
      </c>
      <c r="H3160" t="n">
        <v>0</v>
      </c>
      <c r="I3160" t="n">
        <v>0</v>
      </c>
      <c r="J3160" t="n">
        <v>0</v>
      </c>
      <c r="K3160" t="n">
        <v>0</v>
      </c>
      <c r="L3160" t="n">
        <v>0</v>
      </c>
      <c r="M3160" t="n">
        <v>0</v>
      </c>
      <c r="N3160" t="n">
        <v>0</v>
      </c>
      <c r="O3160" t="n">
        <v>0</v>
      </c>
      <c r="P3160" t="n">
        <v>0</v>
      </c>
      <c r="Q3160" t="n">
        <v>0</v>
      </c>
      <c r="R3160" s="2" t="inlineStr"/>
    </row>
    <row r="3161" ht="15" customHeight="1">
      <c r="A3161" t="inlineStr">
        <is>
          <t>A 30123-2025</t>
        </is>
      </c>
      <c r="B3161" s="1" t="n">
        <v>45826.7700462963</v>
      </c>
      <c r="C3161" s="1" t="n">
        <v>46086</v>
      </c>
      <c r="D3161" t="inlineStr">
        <is>
          <t>GÄVLEBORGS LÄN</t>
        </is>
      </c>
      <c r="E3161" t="inlineStr">
        <is>
          <t>OVANÅKER</t>
        </is>
      </c>
      <c r="F3161" t="inlineStr">
        <is>
          <t>Bergvik skog väst AB</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4290-2024</t>
        </is>
      </c>
      <c r="B3162" s="1" t="n">
        <v>45324.60200231482</v>
      </c>
      <c r="C3162" s="1" t="n">
        <v>46086</v>
      </c>
      <c r="D3162" t="inlineStr">
        <is>
          <t>GÄVLEBORGS LÄN</t>
        </is>
      </c>
      <c r="E3162" t="inlineStr">
        <is>
          <t>GÄVLE</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40148-2025</t>
        </is>
      </c>
      <c r="B3163" s="1" t="n">
        <v>45894.58084490741</v>
      </c>
      <c r="C3163" s="1" t="n">
        <v>46086</v>
      </c>
      <c r="D3163" t="inlineStr">
        <is>
          <t>GÄVLEBORGS LÄN</t>
        </is>
      </c>
      <c r="E3163" t="inlineStr">
        <is>
          <t>OCKELBO</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2374-2026</t>
        </is>
      </c>
      <c r="B3164" s="1" t="n">
        <v>46036.65295138889</v>
      </c>
      <c r="C3164" s="1" t="n">
        <v>46086</v>
      </c>
      <c r="D3164" t="inlineStr">
        <is>
          <t>GÄVLEBORGS LÄN</t>
        </is>
      </c>
      <c r="E3164" t="inlineStr">
        <is>
          <t>HUDIKSVALL</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6713-2026</t>
        </is>
      </c>
      <c r="B3165" s="1" t="n">
        <v>46056</v>
      </c>
      <c r="C3165" s="1" t="n">
        <v>46086</v>
      </c>
      <c r="D3165" t="inlineStr">
        <is>
          <t>GÄVLEBORGS LÄN</t>
        </is>
      </c>
      <c r="E3165" t="inlineStr">
        <is>
          <t>SÖDERHAMN</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10824-2026</t>
        </is>
      </c>
      <c r="B3166" s="1" t="n">
        <v>46078.62105324074</v>
      </c>
      <c r="C3166" s="1" t="n">
        <v>46086</v>
      </c>
      <c r="D3166" t="inlineStr">
        <is>
          <t>GÄVLEBORGS LÄN</t>
        </is>
      </c>
      <c r="E3166" t="inlineStr">
        <is>
          <t>BOLLNÄS</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29957-2025</t>
        </is>
      </c>
      <c r="B3167" s="1" t="n">
        <v>45826.47090277778</v>
      </c>
      <c r="C3167" s="1" t="n">
        <v>46086</v>
      </c>
      <c r="D3167" t="inlineStr">
        <is>
          <t>GÄVLEBORGS LÄN</t>
        </is>
      </c>
      <c r="E3167" t="inlineStr">
        <is>
          <t>SÖDERHAMN</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22212-2023</t>
        </is>
      </c>
      <c r="B3168" s="1" t="n">
        <v>45069.90076388889</v>
      </c>
      <c r="C3168" s="1" t="n">
        <v>46086</v>
      </c>
      <c r="D3168" t="inlineStr">
        <is>
          <t>GÄVLEBORGS LÄN</t>
        </is>
      </c>
      <c r="E3168" t="inlineStr">
        <is>
          <t>SÖDERHAMN</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40314-2025</t>
        </is>
      </c>
      <c r="B3169" s="1" t="n">
        <v>45895.42366898148</v>
      </c>
      <c r="C3169" s="1" t="n">
        <v>46086</v>
      </c>
      <c r="D3169" t="inlineStr">
        <is>
          <t>GÄVLEBORGS LÄN</t>
        </is>
      </c>
      <c r="E3169" t="inlineStr">
        <is>
          <t>GÄVLE</t>
        </is>
      </c>
      <c r="F3169" t="inlineStr">
        <is>
          <t>Bergvik skog väst AB</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30022-2025</t>
        </is>
      </c>
      <c r="B3170" s="1" t="n">
        <v>45826.5583449074</v>
      </c>
      <c r="C3170" s="1" t="n">
        <v>46086</v>
      </c>
      <c r="D3170" t="inlineStr">
        <is>
          <t>GÄVLEBORGS LÄN</t>
        </is>
      </c>
      <c r="E3170" t="inlineStr">
        <is>
          <t>NORDANSTIG</t>
        </is>
      </c>
      <c r="F3170" t="inlineStr">
        <is>
          <t>Holmen skog AB</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30033-2025</t>
        </is>
      </c>
      <c r="B3171" s="1" t="n">
        <v>45826.56905092593</v>
      </c>
      <c r="C3171" s="1" t="n">
        <v>46086</v>
      </c>
      <c r="D3171" t="inlineStr">
        <is>
          <t>GÄVLEBORGS LÄN</t>
        </is>
      </c>
      <c r="E3171" t="inlineStr">
        <is>
          <t>OVANÅKER</t>
        </is>
      </c>
      <c r="F3171" t="inlineStr">
        <is>
          <t>Holmen skog AB</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3316-2023</t>
        </is>
      </c>
      <c r="B3172" s="1" t="n">
        <v>44949</v>
      </c>
      <c r="C3172" s="1" t="n">
        <v>46086</v>
      </c>
      <c r="D3172" t="inlineStr">
        <is>
          <t>GÄVLEBORGS LÄN</t>
        </is>
      </c>
      <c r="E3172" t="inlineStr">
        <is>
          <t>SANDVIKEN</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9595-2025</t>
        </is>
      </c>
      <c r="B3173" s="1" t="n">
        <v>45715</v>
      </c>
      <c r="C3173" s="1" t="n">
        <v>46086</v>
      </c>
      <c r="D3173" t="inlineStr">
        <is>
          <t>GÄVLEBORGS LÄN</t>
        </is>
      </c>
      <c r="E3173" t="inlineStr">
        <is>
          <t>OCKELBO</t>
        </is>
      </c>
      <c r="F3173" t="inlineStr">
        <is>
          <t>Bergvik skog öst AB</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38609-2022</t>
        </is>
      </c>
      <c r="B3174" s="1" t="n">
        <v>44813</v>
      </c>
      <c r="C3174" s="1" t="n">
        <v>46086</v>
      </c>
      <c r="D3174" t="inlineStr">
        <is>
          <t>GÄVLEBORGS LÄN</t>
        </is>
      </c>
      <c r="E3174" t="inlineStr">
        <is>
          <t>SANDVIKEN</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30382-2025</t>
        </is>
      </c>
      <c r="B3175" s="1" t="n">
        <v>45827.57060185185</v>
      </c>
      <c r="C3175" s="1" t="n">
        <v>46086</v>
      </c>
      <c r="D3175" t="inlineStr">
        <is>
          <t>GÄVLEBORGS LÄN</t>
        </is>
      </c>
      <c r="E3175" t="inlineStr">
        <is>
          <t>OVANÅKER</t>
        </is>
      </c>
      <c r="F3175" t="inlineStr">
        <is>
          <t>Holmen skog AB</t>
        </is>
      </c>
      <c r="G3175" t="n">
        <v>6.4</v>
      </c>
      <c r="H3175" t="n">
        <v>0</v>
      </c>
      <c r="I3175" t="n">
        <v>0</v>
      </c>
      <c r="J3175" t="n">
        <v>0</v>
      </c>
      <c r="K3175" t="n">
        <v>0</v>
      </c>
      <c r="L3175" t="n">
        <v>0</v>
      </c>
      <c r="M3175" t="n">
        <v>0</v>
      </c>
      <c r="N3175" t="n">
        <v>0</v>
      </c>
      <c r="O3175" t="n">
        <v>0</v>
      </c>
      <c r="P3175" t="n">
        <v>0</v>
      </c>
      <c r="Q3175" t="n">
        <v>0</v>
      </c>
      <c r="R3175" s="2" t="inlineStr"/>
    </row>
    <row r="3176" ht="15" customHeight="1">
      <c r="A3176" t="inlineStr">
        <is>
          <t>A 18008-2025</t>
        </is>
      </c>
      <c r="B3176" s="1" t="n">
        <v>45761.42759259259</v>
      </c>
      <c r="C3176" s="1" t="n">
        <v>46086</v>
      </c>
      <c r="D3176" t="inlineStr">
        <is>
          <t>GÄVLEBORGS LÄN</t>
        </is>
      </c>
      <c r="E3176" t="inlineStr">
        <is>
          <t>LJUSDAL</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30456-2025</t>
        </is>
      </c>
      <c r="B3177" s="1" t="n">
        <v>45827</v>
      </c>
      <c r="C3177" s="1" t="n">
        <v>46086</v>
      </c>
      <c r="D3177" t="inlineStr">
        <is>
          <t>GÄVLEBORGS LÄN</t>
        </is>
      </c>
      <c r="E3177" t="inlineStr">
        <is>
          <t>BOLLNÄS</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30463-2025</t>
        </is>
      </c>
      <c r="B3178" s="1" t="n">
        <v>45827</v>
      </c>
      <c r="C3178" s="1" t="n">
        <v>46086</v>
      </c>
      <c r="D3178" t="inlineStr">
        <is>
          <t>GÄVLEBORGS LÄN</t>
        </is>
      </c>
      <c r="E3178" t="inlineStr">
        <is>
          <t>HUDIKSVALL</t>
        </is>
      </c>
      <c r="G3178" t="n">
        <v>9.800000000000001</v>
      </c>
      <c r="H3178" t="n">
        <v>0</v>
      </c>
      <c r="I3178" t="n">
        <v>0</v>
      </c>
      <c r="J3178" t="n">
        <v>0</v>
      </c>
      <c r="K3178" t="n">
        <v>0</v>
      </c>
      <c r="L3178" t="n">
        <v>0</v>
      </c>
      <c r="M3178" t="n">
        <v>0</v>
      </c>
      <c r="N3178" t="n">
        <v>0</v>
      </c>
      <c r="O3178" t="n">
        <v>0</v>
      </c>
      <c r="P3178" t="n">
        <v>0</v>
      </c>
      <c r="Q3178" t="n">
        <v>0</v>
      </c>
      <c r="R3178" s="2" t="inlineStr"/>
    </row>
    <row r="3179" ht="15" customHeight="1">
      <c r="A3179" t="inlineStr">
        <is>
          <t>A 10740-2025</t>
        </is>
      </c>
      <c r="B3179" s="1" t="n">
        <v>45722.41008101852</v>
      </c>
      <c r="C3179" s="1" t="n">
        <v>46086</v>
      </c>
      <c r="D3179" t="inlineStr">
        <is>
          <t>GÄVLEBORGS LÄN</t>
        </is>
      </c>
      <c r="E3179" t="inlineStr">
        <is>
          <t>HOFORS</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13297-2021</t>
        </is>
      </c>
      <c r="B3180" s="1" t="n">
        <v>44272.85908564815</v>
      </c>
      <c r="C3180" s="1" t="n">
        <v>46086</v>
      </c>
      <c r="D3180" t="inlineStr">
        <is>
          <t>GÄVLEBORGS LÄN</t>
        </is>
      </c>
      <c r="E3180" t="inlineStr">
        <is>
          <t>GÄVLE</t>
        </is>
      </c>
      <c r="F3180" t="inlineStr">
        <is>
          <t>Bergvik skog öst AB</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29046-2025</t>
        </is>
      </c>
      <c r="B3181" s="1" t="n">
        <v>45821.45869212963</v>
      </c>
      <c r="C3181" s="1" t="n">
        <v>46086</v>
      </c>
      <c r="D3181" t="inlineStr">
        <is>
          <t>GÄVLEBORGS LÄN</t>
        </is>
      </c>
      <c r="E3181" t="inlineStr">
        <is>
          <t>OVANÅKER</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2461-2026</t>
        </is>
      </c>
      <c r="B3182" s="1" t="n">
        <v>46037.35334490741</v>
      </c>
      <c r="C3182" s="1" t="n">
        <v>46086</v>
      </c>
      <c r="D3182" t="inlineStr">
        <is>
          <t>GÄVLEBORGS LÄN</t>
        </is>
      </c>
      <c r="E3182" t="inlineStr">
        <is>
          <t>BOLLNÄS</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2081-2026</t>
        </is>
      </c>
      <c r="B3183" s="1" t="n">
        <v>46036</v>
      </c>
      <c r="C3183" s="1" t="n">
        <v>46086</v>
      </c>
      <c r="D3183" t="inlineStr">
        <is>
          <t>GÄVLEBORGS LÄN</t>
        </is>
      </c>
      <c r="E3183" t="inlineStr">
        <is>
          <t>OVANÅKER</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2084-2026</t>
        </is>
      </c>
      <c r="B3184" s="1" t="n">
        <v>46036</v>
      </c>
      <c r="C3184" s="1" t="n">
        <v>46086</v>
      </c>
      <c r="D3184" t="inlineStr">
        <is>
          <t>GÄVLEBORGS LÄN</t>
        </is>
      </c>
      <c r="E3184" t="inlineStr">
        <is>
          <t>BOLLNÄS</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10738-2026</t>
        </is>
      </c>
      <c r="B3185" s="1" t="n">
        <v>46078.50369212963</v>
      </c>
      <c r="C3185" s="1" t="n">
        <v>46086</v>
      </c>
      <c r="D3185" t="inlineStr">
        <is>
          <t>GÄVLEBORGS LÄN</t>
        </is>
      </c>
      <c r="E3185" t="inlineStr">
        <is>
          <t>LJUSDAL</t>
        </is>
      </c>
      <c r="F3185" t="inlineStr">
        <is>
          <t>Bergvik skog väst AB</t>
        </is>
      </c>
      <c r="G3185" t="n">
        <v>12.2</v>
      </c>
      <c r="H3185" t="n">
        <v>0</v>
      </c>
      <c r="I3185" t="n">
        <v>0</v>
      </c>
      <c r="J3185" t="n">
        <v>0</v>
      </c>
      <c r="K3185" t="n">
        <v>0</v>
      </c>
      <c r="L3185" t="n">
        <v>0</v>
      </c>
      <c r="M3185" t="n">
        <v>0</v>
      </c>
      <c r="N3185" t="n">
        <v>0</v>
      </c>
      <c r="O3185" t="n">
        <v>0</v>
      </c>
      <c r="P3185" t="n">
        <v>0</v>
      </c>
      <c r="Q3185" t="n">
        <v>0</v>
      </c>
      <c r="R3185" s="2" t="inlineStr"/>
      <c r="U3185">
        <f>HYPERLINK("https://klasma.github.io/Logging_2161/knärot/A 10738-2026 karta knärot.png", "A 10738-2026")</f>
        <v/>
      </c>
      <c r="V3185">
        <f>HYPERLINK("https://klasma.github.io/Logging_2161/klagomål/A 10738-2026 FSC-klagomål.docx", "A 10738-2026")</f>
        <v/>
      </c>
      <c r="W3185">
        <f>HYPERLINK("https://klasma.github.io/Logging_2161/klagomålsmail/A 10738-2026 FSC-klagomål mail.docx", "A 10738-2026")</f>
        <v/>
      </c>
      <c r="X3185">
        <f>HYPERLINK("https://klasma.github.io/Logging_2161/tillsyn/A 10738-2026 tillsynsbegäran.docx", "A 10738-2026")</f>
        <v/>
      </c>
      <c r="Y3185">
        <f>HYPERLINK("https://klasma.github.io/Logging_2161/tillsynsmail/A 10738-2026 tillsynsbegäran mail.docx", "A 10738-2026")</f>
        <v/>
      </c>
    </row>
    <row r="3186" ht="15" customHeight="1">
      <c r="A3186" t="inlineStr">
        <is>
          <t>A 10748-2026</t>
        </is>
      </c>
      <c r="B3186" s="1" t="n">
        <v>46078.52678240741</v>
      </c>
      <c r="C3186" s="1" t="n">
        <v>46086</v>
      </c>
      <c r="D3186" t="inlineStr">
        <is>
          <t>GÄVLEBORGS LÄN</t>
        </is>
      </c>
      <c r="E3186" t="inlineStr">
        <is>
          <t>BOLLNÄS</t>
        </is>
      </c>
      <c r="G3186" t="n">
        <v>5.8</v>
      </c>
      <c r="H3186" t="n">
        <v>0</v>
      </c>
      <c r="I3186" t="n">
        <v>0</v>
      </c>
      <c r="J3186" t="n">
        <v>0</v>
      </c>
      <c r="K3186" t="n">
        <v>0</v>
      </c>
      <c r="L3186" t="n">
        <v>0</v>
      </c>
      <c r="M3186" t="n">
        <v>0</v>
      </c>
      <c r="N3186" t="n">
        <v>0</v>
      </c>
      <c r="O3186" t="n">
        <v>0</v>
      </c>
      <c r="P3186" t="n">
        <v>0</v>
      </c>
      <c r="Q3186" t="n">
        <v>0</v>
      </c>
      <c r="R3186" s="2" t="inlineStr"/>
    </row>
    <row r="3187" ht="15" customHeight="1">
      <c r="A3187" t="inlineStr">
        <is>
          <t>A 2104-2026</t>
        </is>
      </c>
      <c r="B3187" s="1" t="n">
        <v>46036</v>
      </c>
      <c r="C3187" s="1" t="n">
        <v>46086</v>
      </c>
      <c r="D3187" t="inlineStr">
        <is>
          <t>GÄVLEBORGS LÄN</t>
        </is>
      </c>
      <c r="E3187" t="inlineStr">
        <is>
          <t>OVANÅKER</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210-2025</t>
        </is>
      </c>
      <c r="B3188" s="1" t="n">
        <v>45660.33320601852</v>
      </c>
      <c r="C3188" s="1" t="n">
        <v>46086</v>
      </c>
      <c r="D3188" t="inlineStr">
        <is>
          <t>GÄVLEBORGS LÄN</t>
        </is>
      </c>
      <c r="E3188" t="inlineStr">
        <is>
          <t>HUDIKSVALL</t>
        </is>
      </c>
      <c r="F3188" t="inlineStr">
        <is>
          <t>Holmen skog AB</t>
        </is>
      </c>
      <c r="G3188" t="n">
        <v>6.2</v>
      </c>
      <c r="H3188" t="n">
        <v>0</v>
      </c>
      <c r="I3188" t="n">
        <v>0</v>
      </c>
      <c r="J3188" t="n">
        <v>0</v>
      </c>
      <c r="K3188" t="n">
        <v>0</v>
      </c>
      <c r="L3188" t="n">
        <v>0</v>
      </c>
      <c r="M3188" t="n">
        <v>0</v>
      </c>
      <c r="N3188" t="n">
        <v>0</v>
      </c>
      <c r="O3188" t="n">
        <v>0</v>
      </c>
      <c r="P3188" t="n">
        <v>0</v>
      </c>
      <c r="Q3188" t="n">
        <v>0</v>
      </c>
      <c r="R3188" s="2" t="inlineStr"/>
    </row>
    <row r="3189" ht="15" customHeight="1">
      <c r="A3189" t="inlineStr">
        <is>
          <t>A 30155-2025</t>
        </is>
      </c>
      <c r="B3189" s="1" t="n">
        <v>45827.31878472222</v>
      </c>
      <c r="C3189" s="1" t="n">
        <v>46086</v>
      </c>
      <c r="D3189" t="inlineStr">
        <is>
          <t>GÄVLEBORGS LÄN</t>
        </is>
      </c>
      <c r="E3189" t="inlineStr">
        <is>
          <t>HUDIKSVALL</t>
        </is>
      </c>
      <c r="F3189" t="inlineStr">
        <is>
          <t>Sveaskog</t>
        </is>
      </c>
      <c r="G3189" t="n">
        <v>11.7</v>
      </c>
      <c r="H3189" t="n">
        <v>0</v>
      </c>
      <c r="I3189" t="n">
        <v>0</v>
      </c>
      <c r="J3189" t="n">
        <v>0</v>
      </c>
      <c r="K3189" t="n">
        <v>0</v>
      </c>
      <c r="L3189" t="n">
        <v>0</v>
      </c>
      <c r="M3189" t="n">
        <v>0</v>
      </c>
      <c r="N3189" t="n">
        <v>0</v>
      </c>
      <c r="O3189" t="n">
        <v>0</v>
      </c>
      <c r="P3189" t="n">
        <v>0</v>
      </c>
      <c r="Q3189" t="n">
        <v>0</v>
      </c>
      <c r="R3189" s="2" t="inlineStr"/>
    </row>
    <row r="3190" ht="15" customHeight="1">
      <c r="A3190" t="inlineStr">
        <is>
          <t>A 701-2025</t>
        </is>
      </c>
      <c r="B3190" s="1" t="n">
        <v>45665</v>
      </c>
      <c r="C3190" s="1" t="n">
        <v>46086</v>
      </c>
      <c r="D3190" t="inlineStr">
        <is>
          <t>GÄVLEBORGS LÄN</t>
        </is>
      </c>
      <c r="E3190" t="inlineStr">
        <is>
          <t>GÄVLE</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30158-2025</t>
        </is>
      </c>
      <c r="B3191" s="1" t="n">
        <v>45827.32184027778</v>
      </c>
      <c r="C3191" s="1" t="n">
        <v>46086</v>
      </c>
      <c r="D3191" t="inlineStr">
        <is>
          <t>GÄVLEBORGS LÄN</t>
        </is>
      </c>
      <c r="E3191" t="inlineStr">
        <is>
          <t>HUDIKSVALL</t>
        </is>
      </c>
      <c r="F3191" t="inlineStr">
        <is>
          <t>Sveaskog</t>
        </is>
      </c>
      <c r="G3191" t="n">
        <v>7.2</v>
      </c>
      <c r="H3191" t="n">
        <v>0</v>
      </c>
      <c r="I3191" t="n">
        <v>0</v>
      </c>
      <c r="J3191" t="n">
        <v>0</v>
      </c>
      <c r="K3191" t="n">
        <v>0</v>
      </c>
      <c r="L3191" t="n">
        <v>0</v>
      </c>
      <c r="M3191" t="n">
        <v>0</v>
      </c>
      <c r="N3191" t="n">
        <v>0</v>
      </c>
      <c r="O3191" t="n">
        <v>0</v>
      </c>
      <c r="P3191" t="n">
        <v>0</v>
      </c>
      <c r="Q3191" t="n">
        <v>0</v>
      </c>
      <c r="R3191" s="2" t="inlineStr"/>
    </row>
    <row r="3192" ht="15" customHeight="1">
      <c r="A3192" t="inlineStr">
        <is>
          <t>A 30196-2025</t>
        </is>
      </c>
      <c r="B3192" s="1" t="n">
        <v>45827.35413194444</v>
      </c>
      <c r="C3192" s="1" t="n">
        <v>46086</v>
      </c>
      <c r="D3192" t="inlineStr">
        <is>
          <t>GÄVLEBORGS LÄN</t>
        </is>
      </c>
      <c r="E3192" t="inlineStr">
        <is>
          <t>OVANÅKER</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40474-2025</t>
        </is>
      </c>
      <c r="B3193" s="1" t="n">
        <v>45895.68107638889</v>
      </c>
      <c r="C3193" s="1" t="n">
        <v>46086</v>
      </c>
      <c r="D3193" t="inlineStr">
        <is>
          <t>GÄVLEBORGS LÄN</t>
        </is>
      </c>
      <c r="E3193" t="inlineStr">
        <is>
          <t>HUDIKSVALL</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42314-2023</t>
        </is>
      </c>
      <c r="B3194" s="1" t="n">
        <v>45180</v>
      </c>
      <c r="C3194" s="1" t="n">
        <v>46086</v>
      </c>
      <c r="D3194" t="inlineStr">
        <is>
          <t>GÄVLEBORGS LÄN</t>
        </is>
      </c>
      <c r="E3194" t="inlineStr">
        <is>
          <t>BOLLNÄS</t>
        </is>
      </c>
      <c r="G3194" t="n">
        <v>11.9</v>
      </c>
      <c r="H3194" t="n">
        <v>0</v>
      </c>
      <c r="I3194" t="n">
        <v>0</v>
      </c>
      <c r="J3194" t="n">
        <v>0</v>
      </c>
      <c r="K3194" t="n">
        <v>0</v>
      </c>
      <c r="L3194" t="n">
        <v>0</v>
      </c>
      <c r="M3194" t="n">
        <v>0</v>
      </c>
      <c r="N3194" t="n">
        <v>0</v>
      </c>
      <c r="O3194" t="n">
        <v>0</v>
      </c>
      <c r="P3194" t="n">
        <v>0</v>
      </c>
      <c r="Q3194" t="n">
        <v>0</v>
      </c>
      <c r="R3194" s="2" t="inlineStr"/>
    </row>
    <row r="3195" ht="15" customHeight="1">
      <c r="A3195" t="inlineStr">
        <is>
          <t>A 35405-2025</t>
        </is>
      </c>
      <c r="B3195" s="1" t="n">
        <v>45855</v>
      </c>
      <c r="C3195" s="1" t="n">
        <v>46086</v>
      </c>
      <c r="D3195" t="inlineStr">
        <is>
          <t>GÄVLEBORGS LÄN</t>
        </is>
      </c>
      <c r="E3195" t="inlineStr">
        <is>
          <t>NORDANSTIG</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14564-2025</t>
        </is>
      </c>
      <c r="B3196" s="1" t="n">
        <v>45741</v>
      </c>
      <c r="C3196" s="1" t="n">
        <v>46086</v>
      </c>
      <c r="D3196" t="inlineStr">
        <is>
          <t>GÄVLEBORGS LÄN</t>
        </is>
      </c>
      <c r="E3196" t="inlineStr">
        <is>
          <t>GÄVLE</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30234-2025</t>
        </is>
      </c>
      <c r="B3197" s="1" t="n">
        <v>45827.38854166667</v>
      </c>
      <c r="C3197" s="1" t="n">
        <v>46086</v>
      </c>
      <c r="D3197" t="inlineStr">
        <is>
          <t>GÄVLEBORGS LÄN</t>
        </is>
      </c>
      <c r="E3197" t="inlineStr">
        <is>
          <t>HUDIKSVALL</t>
        </is>
      </c>
      <c r="G3197" t="n">
        <v>8.300000000000001</v>
      </c>
      <c r="H3197" t="n">
        <v>0</v>
      </c>
      <c r="I3197" t="n">
        <v>0</v>
      </c>
      <c r="J3197" t="n">
        <v>0</v>
      </c>
      <c r="K3197" t="n">
        <v>0</v>
      </c>
      <c r="L3197" t="n">
        <v>0</v>
      </c>
      <c r="M3197" t="n">
        <v>0</v>
      </c>
      <c r="N3197" t="n">
        <v>0</v>
      </c>
      <c r="O3197" t="n">
        <v>0</v>
      </c>
      <c r="P3197" t="n">
        <v>0</v>
      </c>
      <c r="Q3197" t="n">
        <v>0</v>
      </c>
      <c r="R3197" s="2" t="inlineStr"/>
    </row>
    <row r="3198" ht="15" customHeight="1">
      <c r="A3198" t="inlineStr">
        <is>
          <t>A 2647-2026</t>
        </is>
      </c>
      <c r="B3198" s="1" t="n">
        <v>46037.62453703704</v>
      </c>
      <c r="C3198" s="1" t="n">
        <v>46086</v>
      </c>
      <c r="D3198" t="inlineStr">
        <is>
          <t>GÄVLEBORGS LÄN</t>
        </is>
      </c>
      <c r="E3198" t="inlineStr">
        <is>
          <t>BOLLNÄS</t>
        </is>
      </c>
      <c r="G3198" t="n">
        <v>11.1</v>
      </c>
      <c r="H3198" t="n">
        <v>0</v>
      </c>
      <c r="I3198" t="n">
        <v>0</v>
      </c>
      <c r="J3198" t="n">
        <v>0</v>
      </c>
      <c r="K3198" t="n">
        <v>0</v>
      </c>
      <c r="L3198" t="n">
        <v>0</v>
      </c>
      <c r="M3198" t="n">
        <v>0</v>
      </c>
      <c r="N3198" t="n">
        <v>0</v>
      </c>
      <c r="O3198" t="n">
        <v>0</v>
      </c>
      <c r="P3198" t="n">
        <v>0</v>
      </c>
      <c r="Q3198" t="n">
        <v>0</v>
      </c>
      <c r="R3198" s="2" t="inlineStr"/>
    </row>
    <row r="3199" ht="15" customHeight="1">
      <c r="A3199" t="inlineStr">
        <is>
          <t>A 2665-2026</t>
        </is>
      </c>
      <c r="B3199" s="1" t="n">
        <v>46037.64099537037</v>
      </c>
      <c r="C3199" s="1" t="n">
        <v>46086</v>
      </c>
      <c r="D3199" t="inlineStr">
        <is>
          <t>GÄVLEBORGS LÄN</t>
        </is>
      </c>
      <c r="E3199" t="inlineStr">
        <is>
          <t>OVANÅKER</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30448-2025</t>
        </is>
      </c>
      <c r="B3200" s="1" t="n">
        <v>45827.65844907407</v>
      </c>
      <c r="C3200" s="1" t="n">
        <v>46086</v>
      </c>
      <c r="D3200" t="inlineStr">
        <is>
          <t>GÄVLEBORGS LÄN</t>
        </is>
      </c>
      <c r="E3200" t="inlineStr">
        <is>
          <t>NORDANSTIG</t>
        </is>
      </c>
      <c r="F3200" t="inlineStr">
        <is>
          <t>Holmen skog AB</t>
        </is>
      </c>
      <c r="G3200" t="n">
        <v>7.7</v>
      </c>
      <c r="H3200" t="n">
        <v>0</v>
      </c>
      <c r="I3200" t="n">
        <v>0</v>
      </c>
      <c r="J3200" t="n">
        <v>0</v>
      </c>
      <c r="K3200" t="n">
        <v>0</v>
      </c>
      <c r="L3200" t="n">
        <v>0</v>
      </c>
      <c r="M3200" t="n">
        <v>0</v>
      </c>
      <c r="N3200" t="n">
        <v>0</v>
      </c>
      <c r="O3200" t="n">
        <v>0</v>
      </c>
      <c r="P3200" t="n">
        <v>0</v>
      </c>
      <c r="Q3200" t="n">
        <v>0</v>
      </c>
      <c r="R3200" s="2" t="inlineStr"/>
    </row>
    <row r="3201" ht="15" customHeight="1">
      <c r="A3201" t="inlineStr">
        <is>
          <t>A 29892-2025</t>
        </is>
      </c>
      <c r="B3201" s="1" t="n">
        <v>45826.37696759259</v>
      </c>
      <c r="C3201" s="1" t="n">
        <v>46086</v>
      </c>
      <c r="D3201" t="inlineStr">
        <is>
          <t>GÄVLEBORGS LÄN</t>
        </is>
      </c>
      <c r="E3201" t="inlineStr">
        <is>
          <t>OVANÅKER</t>
        </is>
      </c>
      <c r="F3201" t="inlineStr">
        <is>
          <t>Holmen skog AB</t>
        </is>
      </c>
      <c r="G3201" t="n">
        <v>10.5</v>
      </c>
      <c r="H3201" t="n">
        <v>0</v>
      </c>
      <c r="I3201" t="n">
        <v>0</v>
      </c>
      <c r="J3201" t="n">
        <v>0</v>
      </c>
      <c r="K3201" t="n">
        <v>0</v>
      </c>
      <c r="L3201" t="n">
        <v>0</v>
      </c>
      <c r="M3201" t="n">
        <v>0</v>
      </c>
      <c r="N3201" t="n">
        <v>0</v>
      </c>
      <c r="O3201" t="n">
        <v>0</v>
      </c>
      <c r="P3201" t="n">
        <v>0</v>
      </c>
      <c r="Q3201" t="n">
        <v>0</v>
      </c>
      <c r="R3201" s="2" t="inlineStr"/>
    </row>
    <row r="3202" ht="15" customHeight="1">
      <c r="A3202" t="inlineStr">
        <is>
          <t>A 30400-2025</t>
        </is>
      </c>
      <c r="B3202" s="1" t="n">
        <v>45827.58907407407</v>
      </c>
      <c r="C3202" s="1" t="n">
        <v>46086</v>
      </c>
      <c r="D3202" t="inlineStr">
        <is>
          <t>GÄVLEBORGS LÄN</t>
        </is>
      </c>
      <c r="E3202" t="inlineStr">
        <is>
          <t>NORDANSTIG</t>
        </is>
      </c>
      <c r="F3202" t="inlineStr">
        <is>
          <t>Holmen skog AB</t>
        </is>
      </c>
      <c r="G3202" t="n">
        <v>8</v>
      </c>
      <c r="H3202" t="n">
        <v>0</v>
      </c>
      <c r="I3202" t="n">
        <v>0</v>
      </c>
      <c r="J3202" t="n">
        <v>0</v>
      </c>
      <c r="K3202" t="n">
        <v>0</v>
      </c>
      <c r="L3202" t="n">
        <v>0</v>
      </c>
      <c r="M3202" t="n">
        <v>0</v>
      </c>
      <c r="N3202" t="n">
        <v>0</v>
      </c>
      <c r="O3202" t="n">
        <v>0</v>
      </c>
      <c r="P3202" t="n">
        <v>0</v>
      </c>
      <c r="Q3202" t="n">
        <v>0</v>
      </c>
      <c r="R3202" s="2" t="inlineStr"/>
    </row>
    <row r="3203" ht="15" customHeight="1">
      <c r="A3203" t="inlineStr">
        <is>
          <t>A 40159-2025</t>
        </is>
      </c>
      <c r="B3203" s="1" t="n">
        <v>45894</v>
      </c>
      <c r="C3203" s="1" t="n">
        <v>46086</v>
      </c>
      <c r="D3203" t="inlineStr">
        <is>
          <t>GÄVLEBORGS LÄN</t>
        </is>
      </c>
      <c r="E3203" t="inlineStr">
        <is>
          <t>BOLLNÄS</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40162-2025</t>
        </is>
      </c>
      <c r="B3204" s="1" t="n">
        <v>45894.61478009259</v>
      </c>
      <c r="C3204" s="1" t="n">
        <v>46086</v>
      </c>
      <c r="D3204" t="inlineStr">
        <is>
          <t>GÄVLEBORGS LÄN</t>
        </is>
      </c>
      <c r="E3204" t="inlineStr">
        <is>
          <t>SÖDERHAMN</t>
        </is>
      </c>
      <c r="G3204" t="n">
        <v>1</v>
      </c>
      <c r="H3204" t="n">
        <v>0</v>
      </c>
      <c r="I3204" t="n">
        <v>0</v>
      </c>
      <c r="J3204" t="n">
        <v>0</v>
      </c>
      <c r="K3204" t="n">
        <v>0</v>
      </c>
      <c r="L3204" t="n">
        <v>0</v>
      </c>
      <c r="M3204" t="n">
        <v>0</v>
      </c>
      <c r="N3204" t="n">
        <v>0</v>
      </c>
      <c r="O3204" t="n">
        <v>0</v>
      </c>
      <c r="P3204" t="n">
        <v>0</v>
      </c>
      <c r="Q3204" t="n">
        <v>0</v>
      </c>
      <c r="R3204" s="2" t="inlineStr"/>
      <c r="U3204">
        <f>HYPERLINK("https://klasma.github.io/Logging_2182/knärot/A 40162-2025 karta knärot.png", "A 40162-2025")</f>
        <v/>
      </c>
      <c r="V3204">
        <f>HYPERLINK("https://klasma.github.io/Logging_2182/klagomål/A 40162-2025 FSC-klagomål.docx", "A 40162-2025")</f>
        <v/>
      </c>
      <c r="W3204">
        <f>HYPERLINK("https://klasma.github.io/Logging_2182/klagomålsmail/A 40162-2025 FSC-klagomål mail.docx", "A 40162-2025")</f>
        <v/>
      </c>
      <c r="X3204">
        <f>HYPERLINK("https://klasma.github.io/Logging_2182/tillsyn/A 40162-2025 tillsynsbegäran.docx", "A 40162-2025")</f>
        <v/>
      </c>
      <c r="Y3204">
        <f>HYPERLINK("https://klasma.github.io/Logging_2182/tillsynsmail/A 40162-2025 tillsynsbegäran mail.docx", "A 40162-2025")</f>
        <v/>
      </c>
    </row>
    <row r="3205" ht="15" customHeight="1">
      <c r="A3205" t="inlineStr">
        <is>
          <t>A 32250-2025</t>
        </is>
      </c>
      <c r="B3205" s="1" t="n">
        <v>45835.62608796296</v>
      </c>
      <c r="C3205" s="1" t="n">
        <v>46086</v>
      </c>
      <c r="D3205" t="inlineStr">
        <is>
          <t>GÄVLEBORGS LÄN</t>
        </is>
      </c>
      <c r="E3205" t="inlineStr">
        <is>
          <t>HUDIKSVALL</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44338-2023</t>
        </is>
      </c>
      <c r="B3206" s="1" t="n">
        <v>45188</v>
      </c>
      <c r="C3206" s="1" t="n">
        <v>46086</v>
      </c>
      <c r="D3206" t="inlineStr">
        <is>
          <t>GÄVLEBORGS LÄN</t>
        </is>
      </c>
      <c r="E3206" t="inlineStr">
        <is>
          <t>SÖDERHAMN</t>
        </is>
      </c>
      <c r="F3206" t="inlineStr">
        <is>
          <t>Kommuner</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44341-2023</t>
        </is>
      </c>
      <c r="B3207" s="1" t="n">
        <v>45188</v>
      </c>
      <c r="C3207" s="1" t="n">
        <v>46086</v>
      </c>
      <c r="D3207" t="inlineStr">
        <is>
          <t>GÄVLEBORGS LÄN</t>
        </is>
      </c>
      <c r="E3207" t="inlineStr">
        <is>
          <t>SÖDERHAMN</t>
        </is>
      </c>
      <c r="F3207" t="inlineStr">
        <is>
          <t>Kommuner</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30013-2025</t>
        </is>
      </c>
      <c r="B3208" s="1" t="n">
        <v>45826.54642361111</v>
      </c>
      <c r="C3208" s="1" t="n">
        <v>46086</v>
      </c>
      <c r="D3208" t="inlineStr">
        <is>
          <t>GÄVLEBORGS LÄN</t>
        </is>
      </c>
      <c r="E3208" t="inlineStr">
        <is>
          <t>OVANÅKER</t>
        </is>
      </c>
      <c r="F3208" t="inlineStr">
        <is>
          <t>Holmen skog AB</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29920-2025</t>
        </is>
      </c>
      <c r="B3209" s="1" t="n">
        <v>45826.42377314815</v>
      </c>
      <c r="C3209" s="1" t="n">
        <v>46086</v>
      </c>
      <c r="D3209" t="inlineStr">
        <is>
          <t>GÄVLEBORGS LÄN</t>
        </is>
      </c>
      <c r="E3209" t="inlineStr">
        <is>
          <t>OVANÅKER</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59360-2024</t>
        </is>
      </c>
      <c r="B3210" s="1" t="n">
        <v>45638.32483796297</v>
      </c>
      <c r="C3210" s="1" t="n">
        <v>46086</v>
      </c>
      <c r="D3210" t="inlineStr">
        <is>
          <t>GÄVLEBORGS LÄN</t>
        </is>
      </c>
      <c r="E3210" t="inlineStr">
        <is>
          <t>BOLLNÄS</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51970-2024</t>
        </is>
      </c>
      <c r="B3211" s="1" t="n">
        <v>45607</v>
      </c>
      <c r="C3211" s="1" t="n">
        <v>46086</v>
      </c>
      <c r="D3211" t="inlineStr">
        <is>
          <t>GÄVLEBORGS LÄN</t>
        </is>
      </c>
      <c r="E3211" t="inlineStr">
        <is>
          <t>BOLLNÄS</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30300-2025</t>
        </is>
      </c>
      <c r="B3212" s="1" t="n">
        <v>45827.47604166667</v>
      </c>
      <c r="C3212" s="1" t="n">
        <v>46086</v>
      </c>
      <c r="D3212" t="inlineStr">
        <is>
          <t>GÄVLEBORGS LÄN</t>
        </is>
      </c>
      <c r="E3212" t="inlineStr">
        <is>
          <t>GÄVLE</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30304-2025</t>
        </is>
      </c>
      <c r="B3213" s="1" t="n">
        <v>45827.480625</v>
      </c>
      <c r="C3213" s="1" t="n">
        <v>46086</v>
      </c>
      <c r="D3213" t="inlineStr">
        <is>
          <t>GÄVLEBORGS LÄN</t>
        </is>
      </c>
      <c r="E3213" t="inlineStr">
        <is>
          <t>GÄVLE</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2268-2025</t>
        </is>
      </c>
      <c r="B3214" s="1" t="n">
        <v>45673.53710648148</v>
      </c>
      <c r="C3214" s="1" t="n">
        <v>46086</v>
      </c>
      <c r="D3214" t="inlineStr">
        <is>
          <t>GÄVLEBORGS LÄN</t>
        </is>
      </c>
      <c r="E3214" t="inlineStr">
        <is>
          <t>SÖDERHAMN</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47292-2023</t>
        </is>
      </c>
      <c r="B3215" s="1" t="n">
        <v>45202.47064814815</v>
      </c>
      <c r="C3215" s="1" t="n">
        <v>46086</v>
      </c>
      <c r="D3215" t="inlineStr">
        <is>
          <t>GÄVLEBORGS LÄN</t>
        </is>
      </c>
      <c r="E3215" t="inlineStr">
        <is>
          <t>LJUSDAL</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30029-2025</t>
        </is>
      </c>
      <c r="B3216" s="1" t="n">
        <v>45826.56724537037</v>
      </c>
      <c r="C3216" s="1" t="n">
        <v>46086</v>
      </c>
      <c r="D3216" t="inlineStr">
        <is>
          <t>GÄVLEBORGS LÄN</t>
        </is>
      </c>
      <c r="E3216" t="inlineStr">
        <is>
          <t>OVANÅKER</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30152-2025</t>
        </is>
      </c>
      <c r="B3217" s="1" t="n">
        <v>45827.3172337963</v>
      </c>
      <c r="C3217" s="1" t="n">
        <v>46086</v>
      </c>
      <c r="D3217" t="inlineStr">
        <is>
          <t>GÄVLEBORGS LÄN</t>
        </is>
      </c>
      <c r="E3217" t="inlineStr">
        <is>
          <t>OCKELBO</t>
        </is>
      </c>
      <c r="F3217" t="inlineStr">
        <is>
          <t>Bergvik skog väst AB</t>
        </is>
      </c>
      <c r="G3217" t="n">
        <v>6.5</v>
      </c>
      <c r="H3217" t="n">
        <v>0</v>
      </c>
      <c r="I3217" t="n">
        <v>0</v>
      </c>
      <c r="J3217" t="n">
        <v>0</v>
      </c>
      <c r="K3217" t="n">
        <v>0</v>
      </c>
      <c r="L3217" t="n">
        <v>0</v>
      </c>
      <c r="M3217" t="n">
        <v>0</v>
      </c>
      <c r="N3217" t="n">
        <v>0</v>
      </c>
      <c r="O3217" t="n">
        <v>0</v>
      </c>
      <c r="P3217" t="n">
        <v>0</v>
      </c>
      <c r="Q3217" t="n">
        <v>0</v>
      </c>
      <c r="R3217" s="2" t="inlineStr"/>
    </row>
    <row r="3218" ht="15" customHeight="1">
      <c r="A3218" t="inlineStr">
        <is>
          <t>A 30291-2025</t>
        </is>
      </c>
      <c r="B3218" s="1" t="n">
        <v>45827.47054398148</v>
      </c>
      <c r="C3218" s="1" t="n">
        <v>46086</v>
      </c>
      <c r="D3218" t="inlineStr">
        <is>
          <t>GÄVLEBORGS LÄN</t>
        </is>
      </c>
      <c r="E3218" t="inlineStr">
        <is>
          <t>NORDANSTIG</t>
        </is>
      </c>
      <c r="F3218" t="inlineStr">
        <is>
          <t>Holmen skog AB</t>
        </is>
      </c>
      <c r="G3218" t="n">
        <v>11.2</v>
      </c>
      <c r="H3218" t="n">
        <v>0</v>
      </c>
      <c r="I3218" t="n">
        <v>0</v>
      </c>
      <c r="J3218" t="n">
        <v>0</v>
      </c>
      <c r="K3218" t="n">
        <v>0</v>
      </c>
      <c r="L3218" t="n">
        <v>0</v>
      </c>
      <c r="M3218" t="n">
        <v>0</v>
      </c>
      <c r="N3218" t="n">
        <v>0</v>
      </c>
      <c r="O3218" t="n">
        <v>0</v>
      </c>
      <c r="P3218" t="n">
        <v>0</v>
      </c>
      <c r="Q3218" t="n">
        <v>0</v>
      </c>
      <c r="R3218" s="2" t="inlineStr"/>
    </row>
    <row r="3219" ht="15" customHeight="1">
      <c r="A3219" t="inlineStr">
        <is>
          <t>A 2670-2026</t>
        </is>
      </c>
      <c r="B3219" s="1" t="n">
        <v>46037.64554398148</v>
      </c>
      <c r="C3219" s="1" t="n">
        <v>46086</v>
      </c>
      <c r="D3219" t="inlineStr">
        <is>
          <t>GÄVLEBORGS LÄN</t>
        </is>
      </c>
      <c r="E3219" t="inlineStr">
        <is>
          <t>OVANÅKER</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2718-2026</t>
        </is>
      </c>
      <c r="B3220" s="1" t="n">
        <v>46037.73811342593</v>
      </c>
      <c r="C3220" s="1" t="n">
        <v>46086</v>
      </c>
      <c r="D3220" t="inlineStr">
        <is>
          <t>GÄVLEBORGS LÄN</t>
        </is>
      </c>
      <c r="E3220" t="inlineStr">
        <is>
          <t>SANDVIKEN</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5813-2026</t>
        </is>
      </c>
      <c r="B3221" s="1" t="n">
        <v>46051</v>
      </c>
      <c r="C3221" s="1" t="n">
        <v>46086</v>
      </c>
      <c r="D3221" t="inlineStr">
        <is>
          <t>GÄVLEBORGS LÄN</t>
        </is>
      </c>
      <c r="E3221" t="inlineStr">
        <is>
          <t>BOLLNÄS</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7318-2026</t>
        </is>
      </c>
      <c r="B3222" s="1" t="n">
        <v>46058</v>
      </c>
      <c r="C3222" s="1" t="n">
        <v>46086</v>
      </c>
      <c r="D3222" t="inlineStr">
        <is>
          <t>GÄVLEBORGS LÄN</t>
        </is>
      </c>
      <c r="E3222" t="inlineStr">
        <is>
          <t>OVANÅKER</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8050-2026</t>
        </is>
      </c>
      <c r="B3223" s="1" t="n">
        <v>46063</v>
      </c>
      <c r="C3223" s="1" t="n">
        <v>46086</v>
      </c>
      <c r="D3223" t="inlineStr">
        <is>
          <t>GÄVLEBORGS LÄN</t>
        </is>
      </c>
      <c r="E3223" t="inlineStr">
        <is>
          <t>BOLLNÄS</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8052-2026</t>
        </is>
      </c>
      <c r="B3224" s="1" t="n">
        <v>46063</v>
      </c>
      <c r="C3224" s="1" t="n">
        <v>46086</v>
      </c>
      <c r="D3224" t="inlineStr">
        <is>
          <t>GÄVLEBORGS LÄN</t>
        </is>
      </c>
      <c r="E3224" t="inlineStr">
        <is>
          <t>BOLLNÄS</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40790-2025</t>
        </is>
      </c>
      <c r="B3225" s="1" t="n">
        <v>45897.44836805556</v>
      </c>
      <c r="C3225" s="1" t="n">
        <v>46086</v>
      </c>
      <c r="D3225" t="inlineStr">
        <is>
          <t>GÄVLEBORGS LÄN</t>
        </is>
      </c>
      <c r="E3225" t="inlineStr">
        <is>
          <t>LJUSDAL</t>
        </is>
      </c>
      <c r="F3225" t="inlineStr">
        <is>
          <t>SCA</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40946-2025</t>
        </is>
      </c>
      <c r="B3226" s="1" t="n">
        <v>45897.65844907407</v>
      </c>
      <c r="C3226" s="1" t="n">
        <v>46086</v>
      </c>
      <c r="D3226" t="inlineStr">
        <is>
          <t>GÄVLEBORGS LÄN</t>
        </is>
      </c>
      <c r="E3226" t="inlineStr">
        <is>
          <t>OVANÅKER</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49527-2025</t>
        </is>
      </c>
      <c r="B3227" s="1" t="n">
        <v>45939.40607638889</v>
      </c>
      <c r="C3227" s="1" t="n">
        <v>46086</v>
      </c>
      <c r="D3227" t="inlineStr">
        <is>
          <t>GÄVLEBORGS LÄN</t>
        </is>
      </c>
      <c r="E3227" t="inlineStr">
        <is>
          <t>LJUSDAL</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29878-2025</t>
        </is>
      </c>
      <c r="B3228" s="1" t="n">
        <v>45826.3631712963</v>
      </c>
      <c r="C3228" s="1" t="n">
        <v>46086</v>
      </c>
      <c r="D3228" t="inlineStr">
        <is>
          <t>GÄVLEBORGS LÄN</t>
        </is>
      </c>
      <c r="E3228" t="inlineStr">
        <is>
          <t>NORDANSTIG</t>
        </is>
      </c>
      <c r="F3228" t="inlineStr">
        <is>
          <t>Holmen skog AB</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40549-2025</t>
        </is>
      </c>
      <c r="B3229" s="1" t="n">
        <v>45896.4344212963</v>
      </c>
      <c r="C3229" s="1" t="n">
        <v>46086</v>
      </c>
      <c r="D3229" t="inlineStr">
        <is>
          <t>GÄVLEBORGS LÄN</t>
        </is>
      </c>
      <c r="E3229" t="inlineStr">
        <is>
          <t>GÄVLE</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52772-2023</t>
        </is>
      </c>
      <c r="B3230" s="1" t="n">
        <v>45226.33118055556</v>
      </c>
      <c r="C3230" s="1" t="n">
        <v>46086</v>
      </c>
      <c r="D3230" t="inlineStr">
        <is>
          <t>GÄVLEBORGS LÄN</t>
        </is>
      </c>
      <c r="E3230" t="inlineStr">
        <is>
          <t>SANDVIKEN</t>
        </is>
      </c>
      <c r="F3230" t="inlineStr">
        <is>
          <t>Bergvik skog öst AB</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40575-2025</t>
        </is>
      </c>
      <c r="B3231" s="1" t="n">
        <v>45896.50347222222</v>
      </c>
      <c r="C3231" s="1" t="n">
        <v>46086</v>
      </c>
      <c r="D3231" t="inlineStr">
        <is>
          <t>GÄVLEBORGS LÄN</t>
        </is>
      </c>
      <c r="E3231" t="inlineStr">
        <is>
          <t>SÖDERHAMN</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30058-2025</t>
        </is>
      </c>
      <c r="B3232" s="1" t="n">
        <v>45826.60596064815</v>
      </c>
      <c r="C3232" s="1" t="n">
        <v>46086</v>
      </c>
      <c r="D3232" t="inlineStr">
        <is>
          <t>GÄVLEBORGS LÄN</t>
        </is>
      </c>
      <c r="E3232" t="inlineStr">
        <is>
          <t>SÖDERHAMN</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40689-2025</t>
        </is>
      </c>
      <c r="B3233" s="1" t="n">
        <v>45896.92719907407</v>
      </c>
      <c r="C3233" s="1" t="n">
        <v>46086</v>
      </c>
      <c r="D3233" t="inlineStr">
        <is>
          <t>GÄVLEBORGS LÄN</t>
        </is>
      </c>
      <c r="E3233" t="inlineStr">
        <is>
          <t>LJUSDAL</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30455-2025</t>
        </is>
      </c>
      <c r="B3234" s="1" t="n">
        <v>45827</v>
      </c>
      <c r="C3234" s="1" t="n">
        <v>46086</v>
      </c>
      <c r="D3234" t="inlineStr">
        <is>
          <t>GÄVLEBORGS LÄN</t>
        </is>
      </c>
      <c r="E3234" t="inlineStr">
        <is>
          <t>BOLLNÄS</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1969-2025</t>
        </is>
      </c>
      <c r="B3235" s="1" t="n">
        <v>45672.38815972222</v>
      </c>
      <c r="C3235" s="1" t="n">
        <v>46086</v>
      </c>
      <c r="D3235" t="inlineStr">
        <is>
          <t>GÄVLEBORGS LÄN</t>
        </is>
      </c>
      <c r="E3235" t="inlineStr">
        <is>
          <t>GÄVLE</t>
        </is>
      </c>
      <c r="F3235" t="inlineStr">
        <is>
          <t>Kyrkan</t>
        </is>
      </c>
      <c r="G3235" t="n">
        <v>6.7</v>
      </c>
      <c r="H3235" t="n">
        <v>0</v>
      </c>
      <c r="I3235" t="n">
        <v>0</v>
      </c>
      <c r="J3235" t="n">
        <v>0</v>
      </c>
      <c r="K3235" t="n">
        <v>0</v>
      </c>
      <c r="L3235" t="n">
        <v>0</v>
      </c>
      <c r="M3235" t="n">
        <v>0</v>
      </c>
      <c r="N3235" t="n">
        <v>0</v>
      </c>
      <c r="O3235" t="n">
        <v>0</v>
      </c>
      <c r="P3235" t="n">
        <v>0</v>
      </c>
      <c r="Q3235" t="n">
        <v>0</v>
      </c>
      <c r="R3235" s="2" t="inlineStr"/>
    </row>
    <row r="3236" ht="15" customHeight="1">
      <c r="A3236" t="inlineStr">
        <is>
          <t>A 40489-2025</t>
        </is>
      </c>
      <c r="B3236" s="1" t="n">
        <v>45895.89425925926</v>
      </c>
      <c r="C3236" s="1" t="n">
        <v>46086</v>
      </c>
      <c r="D3236" t="inlineStr">
        <is>
          <t>GÄVLEBORGS LÄN</t>
        </is>
      </c>
      <c r="E3236" t="inlineStr">
        <is>
          <t>OVANÅKER</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40927-2025</t>
        </is>
      </c>
      <c r="B3237" s="1" t="n">
        <v>45897.643125</v>
      </c>
      <c r="C3237" s="1" t="n">
        <v>46086</v>
      </c>
      <c r="D3237" t="inlineStr">
        <is>
          <t>GÄVLEBORGS LÄN</t>
        </is>
      </c>
      <c r="E3237" t="inlineStr">
        <is>
          <t>BOLLNÄS</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40812-2025</t>
        </is>
      </c>
      <c r="B3238" s="1" t="n">
        <v>45897.47065972222</v>
      </c>
      <c r="C3238" s="1" t="n">
        <v>46086</v>
      </c>
      <c r="D3238" t="inlineStr">
        <is>
          <t>GÄVLEBORGS LÄN</t>
        </is>
      </c>
      <c r="E3238" t="inlineStr">
        <is>
          <t>NORDANSTIG</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40824-2025</t>
        </is>
      </c>
      <c r="B3239" s="1" t="n">
        <v>45897.49759259259</v>
      </c>
      <c r="C3239" s="1" t="n">
        <v>46086</v>
      </c>
      <c r="D3239" t="inlineStr">
        <is>
          <t>GÄVLEBORGS LÄN</t>
        </is>
      </c>
      <c r="E3239" t="inlineStr">
        <is>
          <t>NORDANSTIG</t>
        </is>
      </c>
      <c r="F3239" t="inlineStr">
        <is>
          <t>Holmen skog AB</t>
        </is>
      </c>
      <c r="G3239" t="n">
        <v>10.6</v>
      </c>
      <c r="H3239" t="n">
        <v>0</v>
      </c>
      <c r="I3239" t="n">
        <v>0</v>
      </c>
      <c r="J3239" t="n">
        <v>0</v>
      </c>
      <c r="K3239" t="n">
        <v>0</v>
      </c>
      <c r="L3239" t="n">
        <v>0</v>
      </c>
      <c r="M3239" t="n">
        <v>0</v>
      </c>
      <c r="N3239" t="n">
        <v>0</v>
      </c>
      <c r="O3239" t="n">
        <v>0</v>
      </c>
      <c r="P3239" t="n">
        <v>0</v>
      </c>
      <c r="Q3239" t="n">
        <v>0</v>
      </c>
      <c r="R3239" s="2" t="inlineStr"/>
    </row>
    <row r="3240" ht="15" customHeight="1">
      <c r="A3240" t="inlineStr">
        <is>
          <t>A 40747-2025</t>
        </is>
      </c>
      <c r="B3240" s="1" t="n">
        <v>45897.37946759259</v>
      </c>
      <c r="C3240" s="1" t="n">
        <v>46086</v>
      </c>
      <c r="D3240" t="inlineStr">
        <is>
          <t>GÄVLEBORGS LÄN</t>
        </is>
      </c>
      <c r="E3240" t="inlineStr">
        <is>
          <t>LJUSDAL</t>
        </is>
      </c>
      <c r="F3240" t="inlineStr">
        <is>
          <t>Kommuner</t>
        </is>
      </c>
      <c r="G3240" t="n">
        <v>4.1</v>
      </c>
      <c r="H3240" t="n">
        <v>0</v>
      </c>
      <c r="I3240" t="n">
        <v>0</v>
      </c>
      <c r="J3240" t="n">
        <v>0</v>
      </c>
      <c r="K3240" t="n">
        <v>0</v>
      </c>
      <c r="L3240" t="n">
        <v>0</v>
      </c>
      <c r="M3240" t="n">
        <v>0</v>
      </c>
      <c r="N3240" t="n">
        <v>0</v>
      </c>
      <c r="O3240" t="n">
        <v>0</v>
      </c>
      <c r="P3240" t="n">
        <v>0</v>
      </c>
      <c r="Q3240" t="n">
        <v>0</v>
      </c>
      <c r="R3240" s="2" t="inlineStr"/>
    </row>
    <row r="3241" ht="15" customHeight="1">
      <c r="A3241" t="inlineStr">
        <is>
          <t>A 30156-2025</t>
        </is>
      </c>
      <c r="B3241" s="1" t="n">
        <v>45827.31972222222</v>
      </c>
      <c r="C3241" s="1" t="n">
        <v>46086</v>
      </c>
      <c r="D3241" t="inlineStr">
        <is>
          <t>GÄVLEBORGS LÄN</t>
        </is>
      </c>
      <c r="E3241" t="inlineStr">
        <is>
          <t>OVANÅKER</t>
        </is>
      </c>
      <c r="F3241" t="inlineStr">
        <is>
          <t>Holmen skog AB</t>
        </is>
      </c>
      <c r="G3241" t="n">
        <v>29.1</v>
      </c>
      <c r="H3241" t="n">
        <v>0</v>
      </c>
      <c r="I3241" t="n">
        <v>0</v>
      </c>
      <c r="J3241" t="n">
        <v>0</v>
      </c>
      <c r="K3241" t="n">
        <v>0</v>
      </c>
      <c r="L3241" t="n">
        <v>0</v>
      </c>
      <c r="M3241" t="n">
        <v>0</v>
      </c>
      <c r="N3241" t="n">
        <v>0</v>
      </c>
      <c r="O3241" t="n">
        <v>0</v>
      </c>
      <c r="P3241" t="n">
        <v>0</v>
      </c>
      <c r="Q3241" t="n">
        <v>0</v>
      </c>
      <c r="R3241" s="2" t="inlineStr"/>
    </row>
    <row r="3242" ht="15" customHeight="1">
      <c r="A3242" t="inlineStr">
        <is>
          <t>A 40780-2025</t>
        </is>
      </c>
      <c r="B3242" s="1" t="n">
        <v>45897.43541666667</v>
      </c>
      <c r="C3242" s="1" t="n">
        <v>46086</v>
      </c>
      <c r="D3242" t="inlineStr">
        <is>
          <t>GÄVLEBORGS LÄN</t>
        </is>
      </c>
      <c r="E3242" t="inlineStr">
        <is>
          <t>BOLLNÄS</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40576-2025</t>
        </is>
      </c>
      <c r="B3243" s="1" t="n">
        <v>45896.50693287037</v>
      </c>
      <c r="C3243" s="1" t="n">
        <v>46086</v>
      </c>
      <c r="D3243" t="inlineStr">
        <is>
          <t>GÄVLEBORGS LÄN</t>
        </is>
      </c>
      <c r="E3243" t="inlineStr">
        <is>
          <t>OCKELBO</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40588-2025</t>
        </is>
      </c>
      <c r="B3244" s="1" t="n">
        <v>45896.5346412037</v>
      </c>
      <c r="C3244" s="1" t="n">
        <v>46086</v>
      </c>
      <c r="D3244" t="inlineStr">
        <is>
          <t>GÄVLEBORGS LÄN</t>
        </is>
      </c>
      <c r="E3244" t="inlineStr">
        <is>
          <t>SANDVIKEN</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40629-2025</t>
        </is>
      </c>
      <c r="B3245" s="1" t="n">
        <v>45896.59113425926</v>
      </c>
      <c r="C3245" s="1" t="n">
        <v>46086</v>
      </c>
      <c r="D3245" t="inlineStr">
        <is>
          <t>GÄVLEBORGS LÄN</t>
        </is>
      </c>
      <c r="E3245" t="inlineStr">
        <is>
          <t>NORDANSTIG</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29835-2025</t>
        </is>
      </c>
      <c r="B3246" s="1" t="n">
        <v>45825.94304398148</v>
      </c>
      <c r="C3246" s="1" t="n">
        <v>46086</v>
      </c>
      <c r="D3246" t="inlineStr">
        <is>
          <t>GÄVLEBORGS LÄN</t>
        </is>
      </c>
      <c r="E3246" t="inlineStr">
        <is>
          <t>SÖDERHAMN</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2178-2026</t>
        </is>
      </c>
      <c r="B3247" s="1" t="n">
        <v>46036.45693287037</v>
      </c>
      <c r="C3247" s="1" t="n">
        <v>46086</v>
      </c>
      <c r="D3247" t="inlineStr">
        <is>
          <t>GÄVLEBORGS LÄN</t>
        </is>
      </c>
      <c r="E3247" t="inlineStr">
        <is>
          <t>OCKELBO</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2189-2026</t>
        </is>
      </c>
      <c r="B3248" s="1" t="n">
        <v>46036.46646990741</v>
      </c>
      <c r="C3248" s="1" t="n">
        <v>46086</v>
      </c>
      <c r="D3248" t="inlineStr">
        <is>
          <t>GÄVLEBORGS LÄN</t>
        </is>
      </c>
      <c r="E3248" t="inlineStr">
        <is>
          <t>SANDVIKEN</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29851-2025</t>
        </is>
      </c>
      <c r="B3249" s="1" t="n">
        <v>45826.33542824074</v>
      </c>
      <c r="C3249" s="1" t="n">
        <v>46086</v>
      </c>
      <c r="D3249" t="inlineStr">
        <is>
          <t>GÄVLEBORGS LÄN</t>
        </is>
      </c>
      <c r="E3249" t="inlineStr">
        <is>
          <t>OCKELBO</t>
        </is>
      </c>
      <c r="G3249" t="n">
        <v>6.6</v>
      </c>
      <c r="H3249" t="n">
        <v>0</v>
      </c>
      <c r="I3249" t="n">
        <v>0</v>
      </c>
      <c r="J3249" t="n">
        <v>0</v>
      </c>
      <c r="K3249" t="n">
        <v>0</v>
      </c>
      <c r="L3249" t="n">
        <v>0</v>
      </c>
      <c r="M3249" t="n">
        <v>0</v>
      </c>
      <c r="N3249" t="n">
        <v>0</v>
      </c>
      <c r="O3249" t="n">
        <v>0</v>
      </c>
      <c r="P3249" t="n">
        <v>0</v>
      </c>
      <c r="Q3249" t="n">
        <v>0</v>
      </c>
      <c r="R3249" s="2" t="inlineStr"/>
    </row>
    <row r="3250" ht="15" customHeight="1">
      <c r="A3250" t="inlineStr">
        <is>
          <t>A 61389-2024</t>
        </is>
      </c>
      <c r="B3250" s="1" t="n">
        <v>45646.41528935185</v>
      </c>
      <c r="C3250" s="1" t="n">
        <v>46086</v>
      </c>
      <c r="D3250" t="inlineStr">
        <is>
          <t>GÄVLEBORGS LÄN</t>
        </is>
      </c>
      <c r="E3250" t="inlineStr">
        <is>
          <t>OCKELBO</t>
        </is>
      </c>
      <c r="F3250" t="inlineStr">
        <is>
          <t>Bergvik skog öst AB</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26611-2023</t>
        </is>
      </c>
      <c r="B3251" s="1" t="n">
        <v>45092.69458333333</v>
      </c>
      <c r="C3251" s="1" t="n">
        <v>46086</v>
      </c>
      <c r="D3251" t="inlineStr">
        <is>
          <t>GÄVLEBORGS LÄN</t>
        </is>
      </c>
      <c r="E3251" t="inlineStr">
        <is>
          <t>LJUSDAL</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29790-2023</t>
        </is>
      </c>
      <c r="B3252" s="1" t="n">
        <v>45107.52090277777</v>
      </c>
      <c r="C3252" s="1" t="n">
        <v>46086</v>
      </c>
      <c r="D3252" t="inlineStr">
        <is>
          <t>GÄVLEBORGS LÄN</t>
        </is>
      </c>
      <c r="E3252" t="inlineStr">
        <is>
          <t>LJUSDAL</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27512-2023</t>
        </is>
      </c>
      <c r="B3253" s="1" t="n">
        <v>45097</v>
      </c>
      <c r="C3253" s="1" t="n">
        <v>46086</v>
      </c>
      <c r="D3253" t="inlineStr">
        <is>
          <t>GÄVLEBORGS LÄN</t>
        </is>
      </c>
      <c r="E3253" t="inlineStr">
        <is>
          <t>LJUSDAL</t>
        </is>
      </c>
      <c r="F3253" t="inlineStr">
        <is>
          <t>Holmen skog AB</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27558-2023</t>
        </is>
      </c>
      <c r="B3254" s="1" t="n">
        <v>45097</v>
      </c>
      <c r="C3254" s="1" t="n">
        <v>46086</v>
      </c>
      <c r="D3254" t="inlineStr">
        <is>
          <t>GÄVLEBORGS LÄN</t>
        </is>
      </c>
      <c r="E3254" t="inlineStr">
        <is>
          <t>BOLLNÄS</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40777-2025</t>
        </is>
      </c>
      <c r="B3255" s="1" t="n">
        <v>45897.43212962963</v>
      </c>
      <c r="C3255" s="1" t="n">
        <v>46086</v>
      </c>
      <c r="D3255" t="inlineStr">
        <is>
          <t>GÄVLEBORGS LÄN</t>
        </is>
      </c>
      <c r="E3255" t="inlineStr">
        <is>
          <t>BOLLNÄS</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25939-2021</t>
        </is>
      </c>
      <c r="B3256" s="1" t="n">
        <v>44344.47533564815</v>
      </c>
      <c r="C3256" s="1" t="n">
        <v>46086</v>
      </c>
      <c r="D3256" t="inlineStr">
        <is>
          <t>GÄVLEBORGS LÄN</t>
        </is>
      </c>
      <c r="E3256" t="inlineStr">
        <is>
          <t>OVANÅKER</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74460-2021</t>
        </is>
      </c>
      <c r="B3257" s="1" t="n">
        <v>44560.51326388889</v>
      </c>
      <c r="C3257" s="1" t="n">
        <v>46086</v>
      </c>
      <c r="D3257" t="inlineStr">
        <is>
          <t>GÄVLEBORGS LÄN</t>
        </is>
      </c>
      <c r="E3257" t="inlineStr">
        <is>
          <t>NORDANSTIG</t>
        </is>
      </c>
      <c r="F3257" t="inlineStr">
        <is>
          <t>Holmen skog AB</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2272-2026</t>
        </is>
      </c>
      <c r="B3258" s="1" t="n">
        <v>46036.5737037037</v>
      </c>
      <c r="C3258" s="1" t="n">
        <v>46086</v>
      </c>
      <c r="D3258" t="inlineStr">
        <is>
          <t>GÄVLEBORGS LÄN</t>
        </is>
      </c>
      <c r="E3258" t="inlineStr">
        <is>
          <t>NORDANSTIG</t>
        </is>
      </c>
      <c r="G3258" t="n">
        <v>8.4</v>
      </c>
      <c r="H3258" t="n">
        <v>0</v>
      </c>
      <c r="I3258" t="n">
        <v>0</v>
      </c>
      <c r="J3258" t="n">
        <v>0</v>
      </c>
      <c r="K3258" t="n">
        <v>0</v>
      </c>
      <c r="L3258" t="n">
        <v>0</v>
      </c>
      <c r="M3258" t="n">
        <v>0</v>
      </c>
      <c r="N3258" t="n">
        <v>0</v>
      </c>
      <c r="O3258" t="n">
        <v>0</v>
      </c>
      <c r="P3258" t="n">
        <v>0</v>
      </c>
      <c r="Q3258" t="n">
        <v>0</v>
      </c>
      <c r="R3258" s="2" t="inlineStr"/>
    </row>
    <row r="3259" ht="15" customHeight="1">
      <c r="A3259" t="inlineStr">
        <is>
          <t>A 2276-2026</t>
        </is>
      </c>
      <c r="B3259" s="1" t="n">
        <v>46036.57439814815</v>
      </c>
      <c r="C3259" s="1" t="n">
        <v>46086</v>
      </c>
      <c r="D3259" t="inlineStr">
        <is>
          <t>GÄVLEBORGS LÄN</t>
        </is>
      </c>
      <c r="E3259" t="inlineStr">
        <is>
          <t>BOLLNÄS</t>
        </is>
      </c>
      <c r="G3259" t="n">
        <v>6.2</v>
      </c>
      <c r="H3259" t="n">
        <v>0</v>
      </c>
      <c r="I3259" t="n">
        <v>0</v>
      </c>
      <c r="J3259" t="n">
        <v>0</v>
      </c>
      <c r="K3259" t="n">
        <v>0</v>
      </c>
      <c r="L3259" t="n">
        <v>0</v>
      </c>
      <c r="M3259" t="n">
        <v>0</v>
      </c>
      <c r="N3259" t="n">
        <v>0</v>
      </c>
      <c r="O3259" t="n">
        <v>0</v>
      </c>
      <c r="P3259" t="n">
        <v>0</v>
      </c>
      <c r="Q3259" t="n">
        <v>0</v>
      </c>
      <c r="R3259" s="2" t="inlineStr"/>
    </row>
    <row r="3260" ht="15" customHeight="1">
      <c r="A3260" t="inlineStr">
        <is>
          <t>A 38132-2025</t>
        </is>
      </c>
      <c r="B3260" s="1" t="n">
        <v>45882</v>
      </c>
      <c r="C3260" s="1" t="n">
        <v>46086</v>
      </c>
      <c r="D3260" t="inlineStr">
        <is>
          <t>GÄVLEBORGS LÄN</t>
        </is>
      </c>
      <c r="E3260" t="inlineStr">
        <is>
          <t>GÄVLE</t>
        </is>
      </c>
      <c r="F3260" t="inlineStr">
        <is>
          <t>Bergvik skog väst AB</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30276-2025</t>
        </is>
      </c>
      <c r="B3261" s="1" t="n">
        <v>45827.45482638889</v>
      </c>
      <c r="C3261" s="1" t="n">
        <v>46086</v>
      </c>
      <c r="D3261" t="inlineStr">
        <is>
          <t>GÄVLEBORGS LÄN</t>
        </is>
      </c>
      <c r="E3261" t="inlineStr">
        <is>
          <t>OVANÅKER</t>
        </is>
      </c>
      <c r="G3261" t="n">
        <v>6</v>
      </c>
      <c r="H3261" t="n">
        <v>0</v>
      </c>
      <c r="I3261" t="n">
        <v>0</v>
      </c>
      <c r="J3261" t="n">
        <v>0</v>
      </c>
      <c r="K3261" t="n">
        <v>0</v>
      </c>
      <c r="L3261" t="n">
        <v>0</v>
      </c>
      <c r="M3261" t="n">
        <v>0</v>
      </c>
      <c r="N3261" t="n">
        <v>0</v>
      </c>
      <c r="O3261" t="n">
        <v>0</v>
      </c>
      <c r="P3261" t="n">
        <v>0</v>
      </c>
      <c r="Q3261" t="n">
        <v>0</v>
      </c>
      <c r="R3261" s="2" t="inlineStr"/>
    </row>
    <row r="3262" ht="15" customHeight="1">
      <c r="A3262" t="inlineStr">
        <is>
          <t>A 40838-2025</t>
        </is>
      </c>
      <c r="B3262" s="1" t="n">
        <v>45897.51347222222</v>
      </c>
      <c r="C3262" s="1" t="n">
        <v>46086</v>
      </c>
      <c r="D3262" t="inlineStr">
        <is>
          <t>GÄVLEBORGS LÄN</t>
        </is>
      </c>
      <c r="E3262" t="inlineStr">
        <is>
          <t>HUDIKSVALL</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30445-2025</t>
        </is>
      </c>
      <c r="B3263" s="1" t="n">
        <v>45827.64987268519</v>
      </c>
      <c r="C3263" s="1" t="n">
        <v>46086</v>
      </c>
      <c r="D3263" t="inlineStr">
        <is>
          <t>GÄVLEBORGS LÄN</t>
        </is>
      </c>
      <c r="E3263" t="inlineStr">
        <is>
          <t>NORDANSTIG</t>
        </is>
      </c>
      <c r="F3263" t="inlineStr">
        <is>
          <t>Holmen skog AB</t>
        </is>
      </c>
      <c r="G3263" t="n">
        <v>7.8</v>
      </c>
      <c r="H3263" t="n">
        <v>0</v>
      </c>
      <c r="I3263" t="n">
        <v>0</v>
      </c>
      <c r="J3263" t="n">
        <v>0</v>
      </c>
      <c r="K3263" t="n">
        <v>0</v>
      </c>
      <c r="L3263" t="n">
        <v>0</v>
      </c>
      <c r="M3263" t="n">
        <v>0</v>
      </c>
      <c r="N3263" t="n">
        <v>0</v>
      </c>
      <c r="O3263" t="n">
        <v>0</v>
      </c>
      <c r="P3263" t="n">
        <v>0</v>
      </c>
      <c r="Q3263" t="n">
        <v>0</v>
      </c>
      <c r="R3263" s="2" t="inlineStr"/>
    </row>
    <row r="3264" ht="15" customHeight="1">
      <c r="A3264" t="inlineStr">
        <is>
          <t>A 30454-2025</t>
        </is>
      </c>
      <c r="B3264" s="1" t="n">
        <v>45827</v>
      </c>
      <c r="C3264" s="1" t="n">
        <v>46086</v>
      </c>
      <c r="D3264" t="inlineStr">
        <is>
          <t>GÄVLEBORGS LÄN</t>
        </is>
      </c>
      <c r="E3264" t="inlineStr">
        <is>
          <t>BOLLNÄS</t>
        </is>
      </c>
      <c r="G3264" t="n">
        <v>3.9</v>
      </c>
      <c r="H3264" t="n">
        <v>0</v>
      </c>
      <c r="I3264" t="n">
        <v>0</v>
      </c>
      <c r="J3264" t="n">
        <v>0</v>
      </c>
      <c r="K3264" t="n">
        <v>0</v>
      </c>
      <c r="L3264" t="n">
        <v>0</v>
      </c>
      <c r="M3264" t="n">
        <v>0</v>
      </c>
      <c r="N3264" t="n">
        <v>0</v>
      </c>
      <c r="O3264" t="n">
        <v>0</v>
      </c>
      <c r="P3264" t="n">
        <v>0</v>
      </c>
      <c r="Q3264" t="n">
        <v>0</v>
      </c>
      <c r="R3264" s="2" t="inlineStr"/>
    </row>
    <row r="3265" ht="15" customHeight="1">
      <c r="A3265" t="inlineStr">
        <is>
          <t>A 29931-2025</t>
        </is>
      </c>
      <c r="B3265" s="1" t="n">
        <v>45826.43832175926</v>
      </c>
      <c r="C3265" s="1" t="n">
        <v>46086</v>
      </c>
      <c r="D3265" t="inlineStr">
        <is>
          <t>GÄVLEBORGS LÄN</t>
        </is>
      </c>
      <c r="E3265" t="inlineStr">
        <is>
          <t>OVANÅKER</t>
        </is>
      </c>
      <c r="F3265" t="inlineStr">
        <is>
          <t>Bergvik skog öst AB</t>
        </is>
      </c>
      <c r="G3265" t="n">
        <v>10</v>
      </c>
      <c r="H3265" t="n">
        <v>0</v>
      </c>
      <c r="I3265" t="n">
        <v>0</v>
      </c>
      <c r="J3265" t="n">
        <v>0</v>
      </c>
      <c r="K3265" t="n">
        <v>0</v>
      </c>
      <c r="L3265" t="n">
        <v>0</v>
      </c>
      <c r="M3265" t="n">
        <v>0</v>
      </c>
      <c r="N3265" t="n">
        <v>0</v>
      </c>
      <c r="O3265" t="n">
        <v>0</v>
      </c>
      <c r="P3265" t="n">
        <v>0</v>
      </c>
      <c r="Q3265" t="n">
        <v>0</v>
      </c>
      <c r="R3265" s="2" t="inlineStr"/>
    </row>
    <row r="3266" ht="15" customHeight="1">
      <c r="A3266" t="inlineStr">
        <is>
          <t>A 2347-2026</t>
        </is>
      </c>
      <c r="B3266" s="1" t="n">
        <v>46036.62802083333</v>
      </c>
      <c r="C3266" s="1" t="n">
        <v>46086</v>
      </c>
      <c r="D3266" t="inlineStr">
        <is>
          <t>GÄVLEBORGS LÄN</t>
        </is>
      </c>
      <c r="E3266" t="inlineStr">
        <is>
          <t>NORDANSTIG</t>
        </is>
      </c>
      <c r="F3266" t="inlineStr">
        <is>
          <t>Holmen skog AB</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37796-2025</t>
        </is>
      </c>
      <c r="B3267" s="1" t="n">
        <v>45881</v>
      </c>
      <c r="C3267" s="1" t="n">
        <v>46086</v>
      </c>
      <c r="D3267" t="inlineStr">
        <is>
          <t>GÄVLEBORGS LÄN</t>
        </is>
      </c>
      <c r="E3267" t="inlineStr">
        <is>
          <t>HUDIKSVALL</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36070-2025</t>
        </is>
      </c>
      <c r="B3268" s="1" t="n">
        <v>45866</v>
      </c>
      <c r="C3268" s="1" t="n">
        <v>46086</v>
      </c>
      <c r="D3268" t="inlineStr">
        <is>
          <t>GÄVLEBORGS LÄN</t>
        </is>
      </c>
      <c r="E3268" t="inlineStr">
        <is>
          <t>LJUSDAL</t>
        </is>
      </c>
      <c r="G3268" t="n">
        <v>6.7</v>
      </c>
      <c r="H3268" t="n">
        <v>0</v>
      </c>
      <c r="I3268" t="n">
        <v>0</v>
      </c>
      <c r="J3268" t="n">
        <v>0</v>
      </c>
      <c r="K3268" t="n">
        <v>0</v>
      </c>
      <c r="L3268" t="n">
        <v>0</v>
      </c>
      <c r="M3268" t="n">
        <v>0</v>
      </c>
      <c r="N3268" t="n">
        <v>0</v>
      </c>
      <c r="O3268" t="n">
        <v>0</v>
      </c>
      <c r="P3268" t="n">
        <v>0</v>
      </c>
      <c r="Q3268" t="n">
        <v>0</v>
      </c>
      <c r="R3268" s="2" t="inlineStr"/>
    </row>
    <row r="3269" ht="15" customHeight="1">
      <c r="A3269" t="inlineStr">
        <is>
          <t>A 40632-2025</t>
        </is>
      </c>
      <c r="B3269" s="1" t="n">
        <v>45896.6021875</v>
      </c>
      <c r="C3269" s="1" t="n">
        <v>46086</v>
      </c>
      <c r="D3269" t="inlineStr">
        <is>
          <t>GÄVLEBORGS LÄN</t>
        </is>
      </c>
      <c r="E3269" t="inlineStr">
        <is>
          <t>BOLLNÄS</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60885-2023</t>
        </is>
      </c>
      <c r="B3270" s="1" t="n">
        <v>45261</v>
      </c>
      <c r="C3270" s="1" t="n">
        <v>46086</v>
      </c>
      <c r="D3270" t="inlineStr">
        <is>
          <t>GÄVLEBORGS LÄN</t>
        </is>
      </c>
      <c r="E3270" t="inlineStr">
        <is>
          <t>GÄVLE</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60899-2023</t>
        </is>
      </c>
      <c r="B3271" s="1" t="n">
        <v>45261.34966435185</v>
      </c>
      <c r="C3271" s="1" t="n">
        <v>46086</v>
      </c>
      <c r="D3271" t="inlineStr">
        <is>
          <t>GÄVLEBORGS LÄN</t>
        </is>
      </c>
      <c r="E3271" t="inlineStr">
        <is>
          <t>HUDIKSVALL</t>
        </is>
      </c>
      <c r="F3271" t="inlineStr">
        <is>
          <t>Holmen skog AB</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60901-2023</t>
        </is>
      </c>
      <c r="B3272" s="1" t="n">
        <v>45261.35739583334</v>
      </c>
      <c r="C3272" s="1" t="n">
        <v>46086</v>
      </c>
      <c r="D3272" t="inlineStr">
        <is>
          <t>GÄVLEBORGS LÄN</t>
        </is>
      </c>
      <c r="E3272" t="inlineStr">
        <is>
          <t>HUDIKSVALL</t>
        </is>
      </c>
      <c r="F3272" t="inlineStr">
        <is>
          <t>Holmen skog AB</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40218-2023</t>
        </is>
      </c>
      <c r="B3273" s="1" t="n">
        <v>45169.45846064815</v>
      </c>
      <c r="C3273" s="1" t="n">
        <v>46086</v>
      </c>
      <c r="D3273" t="inlineStr">
        <is>
          <t>GÄVLEBORGS LÄN</t>
        </is>
      </c>
      <c r="E3273" t="inlineStr">
        <is>
          <t>OCKELBO</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30634-2025</t>
        </is>
      </c>
      <c r="B3274" s="1" t="n">
        <v>45831.48170138889</v>
      </c>
      <c r="C3274" s="1" t="n">
        <v>46086</v>
      </c>
      <c r="D3274" t="inlineStr">
        <is>
          <t>GÄVLEBORGS LÄN</t>
        </is>
      </c>
      <c r="E3274" t="inlineStr">
        <is>
          <t>HUDIKSVALL</t>
        </is>
      </c>
      <c r="F3274" t="inlineStr">
        <is>
          <t>Holmen skog AB</t>
        </is>
      </c>
      <c r="G3274" t="n">
        <v>5.7</v>
      </c>
      <c r="H3274" t="n">
        <v>0</v>
      </c>
      <c r="I3274" t="n">
        <v>0</v>
      </c>
      <c r="J3274" t="n">
        <v>0</v>
      </c>
      <c r="K3274" t="n">
        <v>0</v>
      </c>
      <c r="L3274" t="n">
        <v>0</v>
      </c>
      <c r="M3274" t="n">
        <v>0</v>
      </c>
      <c r="N3274" t="n">
        <v>0</v>
      </c>
      <c r="O3274" t="n">
        <v>0</v>
      </c>
      <c r="P3274" t="n">
        <v>0</v>
      </c>
      <c r="Q3274" t="n">
        <v>0</v>
      </c>
      <c r="R3274" s="2" t="inlineStr"/>
    </row>
    <row r="3275" ht="15" customHeight="1">
      <c r="A3275" t="inlineStr">
        <is>
          <t>A 30653-2025</t>
        </is>
      </c>
      <c r="B3275" s="1" t="n">
        <v>45831.50354166667</v>
      </c>
      <c r="C3275" s="1" t="n">
        <v>46086</v>
      </c>
      <c r="D3275" t="inlineStr">
        <is>
          <t>GÄVLEBORGS LÄN</t>
        </is>
      </c>
      <c r="E3275" t="inlineStr">
        <is>
          <t>BOLLNÄS</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56586-2023</t>
        </is>
      </c>
      <c r="B3276" s="1" t="n">
        <v>45243.63503472223</v>
      </c>
      <c r="C3276" s="1" t="n">
        <v>46086</v>
      </c>
      <c r="D3276" t="inlineStr">
        <is>
          <t>GÄVLEBORGS LÄN</t>
        </is>
      </c>
      <c r="E3276" t="inlineStr">
        <is>
          <t>NORDANSTIG</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40866-2025</t>
        </is>
      </c>
      <c r="B3277" s="1" t="n">
        <v>45897.5697337963</v>
      </c>
      <c r="C3277" s="1" t="n">
        <v>46086</v>
      </c>
      <c r="D3277" t="inlineStr">
        <is>
          <t>GÄVLEBORGS LÄN</t>
        </is>
      </c>
      <c r="E3277" t="inlineStr">
        <is>
          <t>LJUSDAL</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40536-2025</t>
        </is>
      </c>
      <c r="B3278" s="1" t="n">
        <v>45896.40668981482</v>
      </c>
      <c r="C3278" s="1" t="n">
        <v>46086</v>
      </c>
      <c r="D3278" t="inlineStr">
        <is>
          <t>GÄVLEBORGS LÄN</t>
        </is>
      </c>
      <c r="E3278" t="inlineStr">
        <is>
          <t>SÖDERHAMN</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30650-2025</t>
        </is>
      </c>
      <c r="B3279" s="1" t="n">
        <v>45831.50133101852</v>
      </c>
      <c r="C3279" s="1" t="n">
        <v>46086</v>
      </c>
      <c r="D3279" t="inlineStr">
        <is>
          <t>GÄVLEBORGS LÄN</t>
        </is>
      </c>
      <c r="E3279" t="inlineStr">
        <is>
          <t>BOLLNÄS</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40561-2025</t>
        </is>
      </c>
      <c r="B3280" s="1" t="n">
        <v>45896.45621527778</v>
      </c>
      <c r="C3280" s="1" t="n">
        <v>46086</v>
      </c>
      <c r="D3280" t="inlineStr">
        <is>
          <t>GÄVLEBORGS LÄN</t>
        </is>
      </c>
      <c r="E3280" t="inlineStr">
        <is>
          <t>HUDIKSVALL</t>
        </is>
      </c>
      <c r="F3280" t="inlineStr">
        <is>
          <t>Kommuner</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30480-2025</t>
        </is>
      </c>
      <c r="B3281" s="1" t="n">
        <v>45828.60586805556</v>
      </c>
      <c r="C3281" s="1" t="n">
        <v>46086</v>
      </c>
      <c r="D3281" t="inlineStr">
        <is>
          <t>GÄVLEBORGS LÄN</t>
        </is>
      </c>
      <c r="E3281" t="inlineStr">
        <is>
          <t>HUDIKSVALL</t>
        </is>
      </c>
      <c r="F3281" t="inlineStr">
        <is>
          <t>Holmen skog AB</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30661-2025</t>
        </is>
      </c>
      <c r="B3282" s="1" t="n">
        <v>45831.5102662037</v>
      </c>
      <c r="C3282" s="1" t="n">
        <v>46086</v>
      </c>
      <c r="D3282" t="inlineStr">
        <is>
          <t>GÄVLEBORGS LÄN</t>
        </is>
      </c>
      <c r="E3282" t="inlineStr">
        <is>
          <t>LJUSDAL</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31517-2025</t>
        </is>
      </c>
      <c r="B3283" s="1" t="n">
        <v>45833</v>
      </c>
      <c r="C3283" s="1" t="n">
        <v>46086</v>
      </c>
      <c r="D3283" t="inlineStr">
        <is>
          <t>GÄVLEBORGS LÄN</t>
        </is>
      </c>
      <c r="E3283" t="inlineStr">
        <is>
          <t>GÄVLE</t>
        </is>
      </c>
      <c r="F3283" t="inlineStr">
        <is>
          <t>Bergvik skog väst AB</t>
        </is>
      </c>
      <c r="G3283" t="n">
        <v>4.9</v>
      </c>
      <c r="H3283" t="n">
        <v>0</v>
      </c>
      <c r="I3283" t="n">
        <v>0</v>
      </c>
      <c r="J3283" t="n">
        <v>0</v>
      </c>
      <c r="K3283" t="n">
        <v>0</v>
      </c>
      <c r="L3283" t="n">
        <v>0</v>
      </c>
      <c r="M3283" t="n">
        <v>0</v>
      </c>
      <c r="N3283" t="n">
        <v>0</v>
      </c>
      <c r="O3283" t="n">
        <v>0</v>
      </c>
      <c r="P3283" t="n">
        <v>0</v>
      </c>
      <c r="Q3283" t="n">
        <v>0</v>
      </c>
      <c r="R3283" s="2" t="inlineStr"/>
    </row>
    <row r="3284" ht="15" customHeight="1">
      <c r="A3284" t="inlineStr">
        <is>
          <t>A 35822-2025</t>
        </is>
      </c>
      <c r="B3284" s="1" t="n">
        <v>45861.47325231481</v>
      </c>
      <c r="C3284" s="1" t="n">
        <v>46086</v>
      </c>
      <c r="D3284" t="inlineStr">
        <is>
          <t>GÄVLEBORGS LÄN</t>
        </is>
      </c>
      <c r="E3284" t="inlineStr">
        <is>
          <t>NORDANSTIG</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36071-2025</t>
        </is>
      </c>
      <c r="B3285" s="1" t="n">
        <v>45866</v>
      </c>
      <c r="C3285" s="1" t="n">
        <v>46086</v>
      </c>
      <c r="D3285" t="inlineStr">
        <is>
          <t>GÄVLEBORGS LÄN</t>
        </is>
      </c>
      <c r="E3285" t="inlineStr">
        <is>
          <t>LJUSDAL</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36108-2025</t>
        </is>
      </c>
      <c r="B3286" s="1" t="n">
        <v>45866</v>
      </c>
      <c r="C3286" s="1" t="n">
        <v>46086</v>
      </c>
      <c r="D3286" t="inlineStr">
        <is>
          <t>GÄVLEBORGS LÄN</t>
        </is>
      </c>
      <c r="E3286" t="inlineStr">
        <is>
          <t>GÄVLE</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30757-2025</t>
        </is>
      </c>
      <c r="B3287" s="1" t="n">
        <v>45831.59650462963</v>
      </c>
      <c r="C3287" s="1" t="n">
        <v>46086</v>
      </c>
      <c r="D3287" t="inlineStr">
        <is>
          <t>GÄVLEBORGS LÄN</t>
        </is>
      </c>
      <c r="E3287" t="inlineStr">
        <is>
          <t>HUDIKSVALL</t>
        </is>
      </c>
      <c r="F3287" t="inlineStr">
        <is>
          <t>Holmen skog AB</t>
        </is>
      </c>
      <c r="G3287" t="n">
        <v>6.6</v>
      </c>
      <c r="H3287" t="n">
        <v>0</v>
      </c>
      <c r="I3287" t="n">
        <v>0</v>
      </c>
      <c r="J3287" t="n">
        <v>0</v>
      </c>
      <c r="K3287" t="n">
        <v>0</v>
      </c>
      <c r="L3287" t="n">
        <v>0</v>
      </c>
      <c r="M3287" t="n">
        <v>0</v>
      </c>
      <c r="N3287" t="n">
        <v>0</v>
      </c>
      <c r="O3287" t="n">
        <v>0</v>
      </c>
      <c r="P3287" t="n">
        <v>0</v>
      </c>
      <c r="Q3287" t="n">
        <v>0</v>
      </c>
      <c r="R3287" s="2" t="inlineStr"/>
    </row>
    <row r="3288" ht="15" customHeight="1">
      <c r="A3288" t="inlineStr">
        <is>
          <t>A 40491-2025</t>
        </is>
      </c>
      <c r="B3288" s="1" t="n">
        <v>45895.92241898148</v>
      </c>
      <c r="C3288" s="1" t="n">
        <v>46086</v>
      </c>
      <c r="D3288" t="inlineStr">
        <is>
          <t>GÄVLEBORGS LÄN</t>
        </is>
      </c>
      <c r="E3288" t="inlineStr">
        <is>
          <t>OVANÅKER</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40503-2025</t>
        </is>
      </c>
      <c r="B3289" s="1" t="n">
        <v>45896.33780092592</v>
      </c>
      <c r="C3289" s="1" t="n">
        <v>46086</v>
      </c>
      <c r="D3289" t="inlineStr">
        <is>
          <t>GÄVLEBORGS LÄN</t>
        </is>
      </c>
      <c r="E3289" t="inlineStr">
        <is>
          <t>LJUSDAL</t>
        </is>
      </c>
      <c r="G3289" t="n">
        <v>13.6</v>
      </c>
      <c r="H3289" t="n">
        <v>0</v>
      </c>
      <c r="I3289" t="n">
        <v>0</v>
      </c>
      <c r="J3289" t="n">
        <v>0</v>
      </c>
      <c r="K3289" t="n">
        <v>0</v>
      </c>
      <c r="L3289" t="n">
        <v>0</v>
      </c>
      <c r="M3289" t="n">
        <v>0</v>
      </c>
      <c r="N3289" t="n">
        <v>0</v>
      </c>
      <c r="O3289" t="n">
        <v>0</v>
      </c>
      <c r="P3289" t="n">
        <v>0</v>
      </c>
      <c r="Q3289" t="n">
        <v>0</v>
      </c>
      <c r="R3289" s="2" t="inlineStr"/>
    </row>
    <row r="3290" ht="15" customHeight="1">
      <c r="A3290" t="inlineStr">
        <is>
          <t>A 40510-2025</t>
        </is>
      </c>
      <c r="B3290" s="1" t="n">
        <v>45896.34497685185</v>
      </c>
      <c r="C3290" s="1" t="n">
        <v>46086</v>
      </c>
      <c r="D3290" t="inlineStr">
        <is>
          <t>GÄVLEBORGS LÄN</t>
        </is>
      </c>
      <c r="E3290" t="inlineStr">
        <is>
          <t>LJUSDAL</t>
        </is>
      </c>
      <c r="F3290" t="inlineStr">
        <is>
          <t>SCA</t>
        </is>
      </c>
      <c r="G3290" t="n">
        <v>5.6</v>
      </c>
      <c r="H3290" t="n">
        <v>0</v>
      </c>
      <c r="I3290" t="n">
        <v>0</v>
      </c>
      <c r="J3290" t="n">
        <v>0</v>
      </c>
      <c r="K3290" t="n">
        <v>0</v>
      </c>
      <c r="L3290" t="n">
        <v>0</v>
      </c>
      <c r="M3290" t="n">
        <v>0</v>
      </c>
      <c r="N3290" t="n">
        <v>0</v>
      </c>
      <c r="O3290" t="n">
        <v>0</v>
      </c>
      <c r="P3290" t="n">
        <v>0</v>
      </c>
      <c r="Q3290" t="n">
        <v>0</v>
      </c>
      <c r="R3290" s="2" t="inlineStr"/>
    </row>
    <row r="3291" ht="15" customHeight="1">
      <c r="A3291" t="inlineStr">
        <is>
          <t>A 40512-2025</t>
        </is>
      </c>
      <c r="B3291" s="1" t="n">
        <v>45896.3477662037</v>
      </c>
      <c r="C3291" s="1" t="n">
        <v>46086</v>
      </c>
      <c r="D3291" t="inlineStr">
        <is>
          <t>GÄVLEBORGS LÄN</t>
        </is>
      </c>
      <c r="E3291" t="inlineStr">
        <is>
          <t>LJUSDAL</t>
        </is>
      </c>
      <c r="G3291" t="n">
        <v>26.4</v>
      </c>
      <c r="H3291" t="n">
        <v>0</v>
      </c>
      <c r="I3291" t="n">
        <v>0</v>
      </c>
      <c r="J3291" t="n">
        <v>0</v>
      </c>
      <c r="K3291" t="n">
        <v>0</v>
      </c>
      <c r="L3291" t="n">
        <v>0</v>
      </c>
      <c r="M3291" t="n">
        <v>0</v>
      </c>
      <c r="N3291" t="n">
        <v>0</v>
      </c>
      <c r="O3291" t="n">
        <v>0</v>
      </c>
      <c r="P3291" t="n">
        <v>0</v>
      </c>
      <c r="Q3291" t="n">
        <v>0</v>
      </c>
      <c r="R3291" s="2" t="inlineStr"/>
    </row>
    <row r="3292" ht="15" customHeight="1">
      <c r="A3292" t="inlineStr">
        <is>
          <t>A 40525-2025</t>
        </is>
      </c>
      <c r="B3292" s="1" t="n">
        <v>45896.37104166667</v>
      </c>
      <c r="C3292" s="1" t="n">
        <v>46086</v>
      </c>
      <c r="D3292" t="inlineStr">
        <is>
          <t>GÄVLEBORGS LÄN</t>
        </is>
      </c>
      <c r="E3292" t="inlineStr">
        <is>
          <t>OCKELBO</t>
        </is>
      </c>
      <c r="G3292" t="n">
        <v>5</v>
      </c>
      <c r="H3292" t="n">
        <v>0</v>
      </c>
      <c r="I3292" t="n">
        <v>0</v>
      </c>
      <c r="J3292" t="n">
        <v>0</v>
      </c>
      <c r="K3292" t="n">
        <v>0</v>
      </c>
      <c r="L3292" t="n">
        <v>0</v>
      </c>
      <c r="M3292" t="n">
        <v>0</v>
      </c>
      <c r="N3292" t="n">
        <v>0</v>
      </c>
      <c r="O3292" t="n">
        <v>0</v>
      </c>
      <c r="P3292" t="n">
        <v>0</v>
      </c>
      <c r="Q3292" t="n">
        <v>0</v>
      </c>
      <c r="R3292" s="2" t="inlineStr"/>
    </row>
    <row r="3293" ht="15" customHeight="1">
      <c r="A3293" t="inlineStr">
        <is>
          <t>A 30749-2025</t>
        </is>
      </c>
      <c r="B3293" s="1" t="n">
        <v>45831.58878472223</v>
      </c>
      <c r="C3293" s="1" t="n">
        <v>46086</v>
      </c>
      <c r="D3293" t="inlineStr">
        <is>
          <t>GÄVLEBORGS LÄN</t>
        </is>
      </c>
      <c r="E3293" t="inlineStr">
        <is>
          <t>BOLLNÄS</t>
        </is>
      </c>
      <c r="F3293" t="inlineStr">
        <is>
          <t>Bergvik skog väst AB</t>
        </is>
      </c>
      <c r="G3293" t="n">
        <v>10.1</v>
      </c>
      <c r="H3293" t="n">
        <v>0</v>
      </c>
      <c r="I3293" t="n">
        <v>0</v>
      </c>
      <c r="J3293" t="n">
        <v>0</v>
      </c>
      <c r="K3293" t="n">
        <v>0</v>
      </c>
      <c r="L3293" t="n">
        <v>0</v>
      </c>
      <c r="M3293" t="n">
        <v>0</v>
      </c>
      <c r="N3293" t="n">
        <v>0</v>
      </c>
      <c r="O3293" t="n">
        <v>0</v>
      </c>
      <c r="P3293" t="n">
        <v>0</v>
      </c>
      <c r="Q3293" t="n">
        <v>0</v>
      </c>
      <c r="R3293" s="2" t="inlineStr"/>
    </row>
    <row r="3294" ht="15" customHeight="1">
      <c r="A3294" t="inlineStr">
        <is>
          <t>A 44356-2023</t>
        </is>
      </c>
      <c r="B3294" s="1" t="n">
        <v>45188.81979166667</v>
      </c>
      <c r="C3294" s="1" t="n">
        <v>46086</v>
      </c>
      <c r="D3294" t="inlineStr">
        <is>
          <t>GÄVLEBORGS LÄN</t>
        </is>
      </c>
      <c r="E3294" t="inlineStr">
        <is>
          <t>HOFORS</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30826-2025</t>
        </is>
      </c>
      <c r="B3295" s="1" t="n">
        <v>45831.67693287037</v>
      </c>
      <c r="C3295" s="1" t="n">
        <v>46086</v>
      </c>
      <c r="D3295" t="inlineStr">
        <is>
          <t>GÄVLEBORGS LÄN</t>
        </is>
      </c>
      <c r="E3295" t="inlineStr">
        <is>
          <t>OVANÅKER</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30665-2025</t>
        </is>
      </c>
      <c r="B3296" s="1" t="n">
        <v>45831.51395833334</v>
      </c>
      <c r="C3296" s="1" t="n">
        <v>46086</v>
      </c>
      <c r="D3296" t="inlineStr">
        <is>
          <t>GÄVLEBORGS LÄN</t>
        </is>
      </c>
      <c r="E3296" t="inlineStr">
        <is>
          <t>LJUSDAL</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40622-2025</t>
        </is>
      </c>
      <c r="B3297" s="1" t="n">
        <v>45896.58621527778</v>
      </c>
      <c r="C3297" s="1" t="n">
        <v>46086</v>
      </c>
      <c r="D3297" t="inlineStr">
        <is>
          <t>GÄVLEBORGS LÄN</t>
        </is>
      </c>
      <c r="E3297" t="inlineStr">
        <is>
          <t>NORDANSTIG</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40647-2025</t>
        </is>
      </c>
      <c r="B3298" s="1" t="n">
        <v>45896.62219907407</v>
      </c>
      <c r="C3298" s="1" t="n">
        <v>46086</v>
      </c>
      <c r="D3298" t="inlineStr">
        <is>
          <t>GÄVLEBORGS LÄN</t>
        </is>
      </c>
      <c r="E3298" t="inlineStr">
        <is>
          <t>NORDANSTIG</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55948-2024</t>
        </is>
      </c>
      <c r="B3299" s="1" t="n">
        <v>45623</v>
      </c>
      <c r="C3299" s="1" t="n">
        <v>46086</v>
      </c>
      <c r="D3299" t="inlineStr">
        <is>
          <t>GÄVLEBORGS LÄN</t>
        </is>
      </c>
      <c r="E3299" t="inlineStr">
        <is>
          <t>NORDANSTIG</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5850-2023</t>
        </is>
      </c>
      <c r="B3300" s="1" t="n">
        <v>44963.58248842593</v>
      </c>
      <c r="C3300" s="1" t="n">
        <v>46086</v>
      </c>
      <c r="D3300" t="inlineStr">
        <is>
          <t>GÄVLEBORGS LÄN</t>
        </is>
      </c>
      <c r="E3300" t="inlineStr">
        <is>
          <t>LJUSDAL</t>
        </is>
      </c>
      <c r="F3300" t="inlineStr">
        <is>
          <t>Allmännings- och besparingsskogar</t>
        </is>
      </c>
      <c r="G3300" t="n">
        <v>20.5</v>
      </c>
      <c r="H3300" t="n">
        <v>0</v>
      </c>
      <c r="I3300" t="n">
        <v>0</v>
      </c>
      <c r="J3300" t="n">
        <v>0</v>
      </c>
      <c r="K3300" t="n">
        <v>0</v>
      </c>
      <c r="L3300" t="n">
        <v>0</v>
      </c>
      <c r="M3300" t="n">
        <v>0</v>
      </c>
      <c r="N3300" t="n">
        <v>0</v>
      </c>
      <c r="O3300" t="n">
        <v>0</v>
      </c>
      <c r="P3300" t="n">
        <v>0</v>
      </c>
      <c r="Q3300" t="n">
        <v>0</v>
      </c>
      <c r="R3300" s="2" t="inlineStr"/>
    </row>
    <row r="3301" ht="15" customHeight="1">
      <c r="A3301" t="inlineStr">
        <is>
          <t>A 40658-2025</t>
        </is>
      </c>
      <c r="B3301" s="1" t="n">
        <v>45896.64530092593</v>
      </c>
      <c r="C3301" s="1" t="n">
        <v>46086</v>
      </c>
      <c r="D3301" t="inlineStr">
        <is>
          <t>GÄVLEBORGS LÄN</t>
        </is>
      </c>
      <c r="E3301" t="inlineStr">
        <is>
          <t>NORDANSTIG</t>
        </is>
      </c>
      <c r="G3301" t="n">
        <v>11.2</v>
      </c>
      <c r="H3301" t="n">
        <v>0</v>
      </c>
      <c r="I3301" t="n">
        <v>0</v>
      </c>
      <c r="J3301" t="n">
        <v>0</v>
      </c>
      <c r="K3301" t="n">
        <v>0</v>
      </c>
      <c r="L3301" t="n">
        <v>0</v>
      </c>
      <c r="M3301" t="n">
        <v>0</v>
      </c>
      <c r="N3301" t="n">
        <v>0</v>
      </c>
      <c r="O3301" t="n">
        <v>0</v>
      </c>
      <c r="P3301" t="n">
        <v>0</v>
      </c>
      <c r="Q3301" t="n">
        <v>0</v>
      </c>
      <c r="R3301" s="2" t="inlineStr"/>
    </row>
    <row r="3302" ht="15" customHeight="1">
      <c r="A3302" t="inlineStr">
        <is>
          <t>A 40882-2025</t>
        </is>
      </c>
      <c r="B3302" s="1" t="n">
        <v>45897.5972337963</v>
      </c>
      <c r="C3302" s="1" t="n">
        <v>46086</v>
      </c>
      <c r="D3302" t="inlineStr">
        <is>
          <t>GÄVLEBORGS LÄN</t>
        </is>
      </c>
      <c r="E3302" t="inlineStr">
        <is>
          <t>GÄVLE</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40941-2025</t>
        </is>
      </c>
      <c r="B3303" s="1" t="n">
        <v>45897.65469907408</v>
      </c>
      <c r="C3303" s="1" t="n">
        <v>46086</v>
      </c>
      <c r="D3303" t="inlineStr">
        <is>
          <t>GÄVLEBORGS LÄN</t>
        </is>
      </c>
      <c r="E3303" t="inlineStr">
        <is>
          <t>OVANÅKER</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40948-2025</t>
        </is>
      </c>
      <c r="B3304" s="1" t="n">
        <v>45897.66027777778</v>
      </c>
      <c r="C3304" s="1" t="n">
        <v>46086</v>
      </c>
      <c r="D3304" t="inlineStr">
        <is>
          <t>GÄVLEBORGS LÄN</t>
        </is>
      </c>
      <c r="E3304" t="inlineStr">
        <is>
          <t>OVANÅKER</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36214-2025</t>
        </is>
      </c>
      <c r="B3305" s="1" t="n">
        <v>45867</v>
      </c>
      <c r="C3305" s="1" t="n">
        <v>46086</v>
      </c>
      <c r="D3305" t="inlineStr">
        <is>
          <t>GÄVLEBORGS LÄN</t>
        </is>
      </c>
      <c r="E3305" t="inlineStr">
        <is>
          <t>LJUSDAL</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40804-2025</t>
        </is>
      </c>
      <c r="B3306" s="1" t="n">
        <v>45897.46543981481</v>
      </c>
      <c r="C3306" s="1" t="n">
        <v>46086</v>
      </c>
      <c r="D3306" t="inlineStr">
        <is>
          <t>GÄVLEBORGS LÄN</t>
        </is>
      </c>
      <c r="E3306" t="inlineStr">
        <is>
          <t>NORDANSTIG</t>
        </is>
      </c>
      <c r="G3306" t="n">
        <v>7.1</v>
      </c>
      <c r="H3306" t="n">
        <v>0</v>
      </c>
      <c r="I3306" t="n">
        <v>0</v>
      </c>
      <c r="J3306" t="n">
        <v>0</v>
      </c>
      <c r="K3306" t="n">
        <v>0</v>
      </c>
      <c r="L3306" t="n">
        <v>0</v>
      </c>
      <c r="M3306" t="n">
        <v>0</v>
      </c>
      <c r="N3306" t="n">
        <v>0</v>
      </c>
      <c r="O3306" t="n">
        <v>0</v>
      </c>
      <c r="P3306" t="n">
        <v>0</v>
      </c>
      <c r="Q3306" t="n">
        <v>0</v>
      </c>
      <c r="R3306" s="2" t="inlineStr"/>
    </row>
    <row r="3307" ht="15" customHeight="1">
      <c r="A3307" t="inlineStr">
        <is>
          <t>A 30479-2025</t>
        </is>
      </c>
      <c r="B3307" s="1" t="n">
        <v>45828.53508101852</v>
      </c>
      <c r="C3307" s="1" t="n">
        <v>46086</v>
      </c>
      <c r="D3307" t="inlineStr">
        <is>
          <t>GÄVLEBORGS LÄN</t>
        </is>
      </c>
      <c r="E3307" t="inlineStr">
        <is>
          <t>HUDIKSVALL</t>
        </is>
      </c>
      <c r="F3307" t="inlineStr">
        <is>
          <t>Holmen skog AB</t>
        </is>
      </c>
      <c r="G3307" t="n">
        <v>13.5</v>
      </c>
      <c r="H3307" t="n">
        <v>0</v>
      </c>
      <c r="I3307" t="n">
        <v>0</v>
      </c>
      <c r="J3307" t="n">
        <v>0</v>
      </c>
      <c r="K3307" t="n">
        <v>0</v>
      </c>
      <c r="L3307" t="n">
        <v>0</v>
      </c>
      <c r="M3307" t="n">
        <v>0</v>
      </c>
      <c r="N3307" t="n">
        <v>0</v>
      </c>
      <c r="O3307" t="n">
        <v>0</v>
      </c>
      <c r="P3307" t="n">
        <v>0</v>
      </c>
      <c r="Q3307" t="n">
        <v>0</v>
      </c>
      <c r="R3307" s="2" t="inlineStr"/>
    </row>
    <row r="3308" ht="15" customHeight="1">
      <c r="A3308" t="inlineStr">
        <is>
          <t>A 2348-2026</t>
        </is>
      </c>
      <c r="B3308" s="1" t="n">
        <v>46036.63224537037</v>
      </c>
      <c r="C3308" s="1" t="n">
        <v>46086</v>
      </c>
      <c r="D3308" t="inlineStr">
        <is>
          <t>GÄVLEBORGS LÄN</t>
        </is>
      </c>
      <c r="E3308" t="inlineStr">
        <is>
          <t>BOLLNÄS</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2362-2026</t>
        </is>
      </c>
      <c r="B3309" s="1" t="n">
        <v>46036.64121527778</v>
      </c>
      <c r="C3309" s="1" t="n">
        <v>46086</v>
      </c>
      <c r="D3309" t="inlineStr">
        <is>
          <t>GÄVLEBORGS LÄN</t>
        </is>
      </c>
      <c r="E3309" t="inlineStr">
        <is>
          <t>BOLLNÄS</t>
        </is>
      </c>
      <c r="G3309" t="n">
        <v>6.7</v>
      </c>
      <c r="H3309" t="n">
        <v>0</v>
      </c>
      <c r="I3309" t="n">
        <v>0</v>
      </c>
      <c r="J3309" t="n">
        <v>0</v>
      </c>
      <c r="K3309" t="n">
        <v>0</v>
      </c>
      <c r="L3309" t="n">
        <v>0</v>
      </c>
      <c r="M3309" t="n">
        <v>0</v>
      </c>
      <c r="N3309" t="n">
        <v>0</v>
      </c>
      <c r="O3309" t="n">
        <v>0</v>
      </c>
      <c r="P3309" t="n">
        <v>0</v>
      </c>
      <c r="Q3309" t="n">
        <v>0</v>
      </c>
      <c r="R3309" s="2" t="inlineStr"/>
    </row>
    <row r="3310" ht="15" customHeight="1">
      <c r="A3310" t="inlineStr">
        <is>
          <t>A 2365-2026</t>
        </is>
      </c>
      <c r="B3310" s="1" t="n">
        <v>46036.64317129629</v>
      </c>
      <c r="C3310" s="1" t="n">
        <v>46086</v>
      </c>
      <c r="D3310" t="inlineStr">
        <is>
          <t>GÄVLEBORGS LÄN</t>
        </is>
      </c>
      <c r="E3310" t="inlineStr">
        <is>
          <t>BOLLNÄS</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2377-2026</t>
        </is>
      </c>
      <c r="B3311" s="1" t="n">
        <v>46036.65681712963</v>
      </c>
      <c r="C3311" s="1" t="n">
        <v>46086</v>
      </c>
      <c r="D3311" t="inlineStr">
        <is>
          <t>GÄVLEBORGS LÄN</t>
        </is>
      </c>
      <c r="E3311" t="inlineStr">
        <is>
          <t>BOLLNÄS</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2398-2026</t>
        </is>
      </c>
      <c r="B3312" s="1" t="n">
        <v>46036</v>
      </c>
      <c r="C3312" s="1" t="n">
        <v>46086</v>
      </c>
      <c r="D3312" t="inlineStr">
        <is>
          <t>GÄVLEBORGS LÄN</t>
        </is>
      </c>
      <c r="E3312" t="inlineStr">
        <is>
          <t>SÖDERHAMN</t>
        </is>
      </c>
      <c r="G3312" t="n">
        <v>5.5</v>
      </c>
      <c r="H3312" t="n">
        <v>0</v>
      </c>
      <c r="I3312" t="n">
        <v>0</v>
      </c>
      <c r="J3312" t="n">
        <v>0</v>
      </c>
      <c r="K3312" t="n">
        <v>0</v>
      </c>
      <c r="L3312" t="n">
        <v>0</v>
      </c>
      <c r="M3312" t="n">
        <v>0</v>
      </c>
      <c r="N3312" t="n">
        <v>0</v>
      </c>
      <c r="O3312" t="n">
        <v>0</v>
      </c>
      <c r="P3312" t="n">
        <v>0</v>
      </c>
      <c r="Q3312" t="n">
        <v>0</v>
      </c>
      <c r="R3312" s="2" t="inlineStr"/>
    </row>
    <row r="3313" ht="15" customHeight="1">
      <c r="A3313" t="inlineStr">
        <is>
          <t>A 2404-2026</t>
        </is>
      </c>
      <c r="B3313" s="1" t="n">
        <v>46036.69736111111</v>
      </c>
      <c r="C3313" s="1" t="n">
        <v>46086</v>
      </c>
      <c r="D3313" t="inlineStr">
        <is>
          <t>GÄVLEBORGS LÄN</t>
        </is>
      </c>
      <c r="E3313" t="inlineStr">
        <is>
          <t>BOLLNÄS</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10795-2026</t>
        </is>
      </c>
      <c r="B3314" s="1" t="n">
        <v>46078.59284722222</v>
      </c>
      <c r="C3314" s="1" t="n">
        <v>46086</v>
      </c>
      <c r="D3314" t="inlineStr">
        <is>
          <t>GÄVLEBORGS LÄN</t>
        </is>
      </c>
      <c r="E3314" t="inlineStr">
        <is>
          <t>BOLLNÄS</t>
        </is>
      </c>
      <c r="F3314" t="inlineStr">
        <is>
          <t>Bergvik skog väst AB</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30481-2025</t>
        </is>
      </c>
      <c r="B3315" s="1" t="n">
        <v>45828.61712962963</v>
      </c>
      <c r="C3315" s="1" t="n">
        <v>46086</v>
      </c>
      <c r="D3315" t="inlineStr">
        <is>
          <t>GÄVLEBORGS LÄN</t>
        </is>
      </c>
      <c r="E3315" t="inlineStr">
        <is>
          <t>HUDIKSVALL</t>
        </is>
      </c>
      <c r="F3315" t="inlineStr">
        <is>
          <t>Holmen skog AB</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40726-2025</t>
        </is>
      </c>
      <c r="B3316" s="1" t="n">
        <v>45897.3466550926</v>
      </c>
      <c r="C3316" s="1" t="n">
        <v>46086</v>
      </c>
      <c r="D3316" t="inlineStr">
        <is>
          <t>GÄVLEBORGS LÄN</t>
        </is>
      </c>
      <c r="E3316" t="inlineStr">
        <is>
          <t>GÄVLE</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17672-2025</t>
        </is>
      </c>
      <c r="B3317" s="1" t="n">
        <v>45758.36832175926</v>
      </c>
      <c r="C3317" s="1" t="n">
        <v>46086</v>
      </c>
      <c r="D3317" t="inlineStr">
        <is>
          <t>GÄVLEBORGS LÄN</t>
        </is>
      </c>
      <c r="E3317" t="inlineStr">
        <is>
          <t>OVANÅKER</t>
        </is>
      </c>
      <c r="F3317" t="inlineStr">
        <is>
          <t>Sveaskog</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40488-2025</t>
        </is>
      </c>
      <c r="B3318" s="1" t="n">
        <v>45895.88559027778</v>
      </c>
      <c r="C3318" s="1" t="n">
        <v>46086</v>
      </c>
      <c r="D3318" t="inlineStr">
        <is>
          <t>GÄVLEBORGS LÄN</t>
        </is>
      </c>
      <c r="E3318" t="inlineStr">
        <is>
          <t>OVANÅKER</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26323-2021</t>
        </is>
      </c>
      <c r="B3319" s="1" t="n">
        <v>44347</v>
      </c>
      <c r="C3319" s="1" t="n">
        <v>46086</v>
      </c>
      <c r="D3319" t="inlineStr">
        <is>
          <t>GÄVLEBORGS LÄN</t>
        </is>
      </c>
      <c r="E3319" t="inlineStr">
        <is>
          <t>GÄVLE</t>
        </is>
      </c>
      <c r="F3319" t="inlineStr">
        <is>
          <t>Bergvik skog väst AB</t>
        </is>
      </c>
      <c r="G3319" t="n">
        <v>7</v>
      </c>
      <c r="H3319" t="n">
        <v>0</v>
      </c>
      <c r="I3319" t="n">
        <v>0</v>
      </c>
      <c r="J3319" t="n">
        <v>0</v>
      </c>
      <c r="K3319" t="n">
        <v>0</v>
      </c>
      <c r="L3319" t="n">
        <v>0</v>
      </c>
      <c r="M3319" t="n">
        <v>0</v>
      </c>
      <c r="N3319" t="n">
        <v>0</v>
      </c>
      <c r="O3319" t="n">
        <v>0</v>
      </c>
      <c r="P3319" t="n">
        <v>0</v>
      </c>
      <c r="Q3319" t="n">
        <v>0</v>
      </c>
      <c r="R3319" s="2" t="inlineStr"/>
    </row>
    <row r="3320" ht="15" customHeight="1">
      <c r="A3320" t="inlineStr">
        <is>
          <t>A 15525-2025</t>
        </is>
      </c>
      <c r="B3320" s="1" t="n">
        <v>45747</v>
      </c>
      <c r="C3320" s="1" t="n">
        <v>46086</v>
      </c>
      <c r="D3320" t="inlineStr">
        <is>
          <t>GÄVLEBORGS LÄN</t>
        </is>
      </c>
      <c r="E3320" t="inlineStr">
        <is>
          <t>BOLLNÄS</t>
        </is>
      </c>
      <c r="F3320" t="inlineStr">
        <is>
          <t>Kyrkan</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30482-2025</t>
        </is>
      </c>
      <c r="B3321" s="1" t="n">
        <v>45828.64520833334</v>
      </c>
      <c r="C3321" s="1" t="n">
        <v>46086</v>
      </c>
      <c r="D3321" t="inlineStr">
        <is>
          <t>GÄVLEBORGS LÄN</t>
        </is>
      </c>
      <c r="E3321" t="inlineStr">
        <is>
          <t>HUDIKSVALL</t>
        </is>
      </c>
      <c r="F3321" t="inlineStr">
        <is>
          <t>Holmen skog AB</t>
        </is>
      </c>
      <c r="G3321" t="n">
        <v>4.5</v>
      </c>
      <c r="H3321" t="n">
        <v>0</v>
      </c>
      <c r="I3321" t="n">
        <v>0</v>
      </c>
      <c r="J3321" t="n">
        <v>0</v>
      </c>
      <c r="K3321" t="n">
        <v>0</v>
      </c>
      <c r="L3321" t="n">
        <v>0</v>
      </c>
      <c r="M3321" t="n">
        <v>0</v>
      </c>
      <c r="N3321" t="n">
        <v>0</v>
      </c>
      <c r="O3321" t="n">
        <v>0</v>
      </c>
      <c r="P3321" t="n">
        <v>0</v>
      </c>
      <c r="Q3321" t="n">
        <v>0</v>
      </c>
      <c r="R3321" s="2" t="inlineStr"/>
    </row>
    <row r="3322" ht="15" customHeight="1">
      <c r="A3322" t="inlineStr">
        <is>
          <t>A 7237-2025</t>
        </is>
      </c>
      <c r="B3322" s="1" t="n">
        <v>45702.5280787037</v>
      </c>
      <c r="C3322" s="1" t="n">
        <v>46086</v>
      </c>
      <c r="D3322" t="inlineStr">
        <is>
          <t>GÄVLEBORGS LÄN</t>
        </is>
      </c>
      <c r="E3322" t="inlineStr">
        <is>
          <t>HUDIKSVALL</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50389-2024</t>
        </is>
      </c>
      <c r="B3323" s="1" t="n">
        <v>45601.33396990741</v>
      </c>
      <c r="C3323" s="1" t="n">
        <v>46086</v>
      </c>
      <c r="D3323" t="inlineStr">
        <is>
          <t>GÄVLEBORGS LÄN</t>
        </is>
      </c>
      <c r="E3323" t="inlineStr">
        <is>
          <t>OVANÅKER</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41202-2025</t>
        </is>
      </c>
      <c r="B3324" s="1" t="n">
        <v>45898.5747337963</v>
      </c>
      <c r="C3324" s="1" t="n">
        <v>46086</v>
      </c>
      <c r="D3324" t="inlineStr">
        <is>
          <t>GÄVLEBORGS LÄN</t>
        </is>
      </c>
      <c r="E3324" t="inlineStr">
        <is>
          <t>NORDANSTIG</t>
        </is>
      </c>
      <c r="F3324" t="inlineStr">
        <is>
          <t>Holmen skog AB</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24134-2024</t>
        </is>
      </c>
      <c r="B3325" s="1" t="n">
        <v>45456.63509259259</v>
      </c>
      <c r="C3325" s="1" t="n">
        <v>46086</v>
      </c>
      <c r="D3325" t="inlineStr">
        <is>
          <t>GÄVLEBORGS LÄN</t>
        </is>
      </c>
      <c r="E3325" t="inlineStr">
        <is>
          <t>OVANÅKER</t>
        </is>
      </c>
      <c r="F3325" t="inlineStr">
        <is>
          <t>Bergvik skog väst AB</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30496-2025</t>
        </is>
      </c>
      <c r="B3326" s="1" t="n">
        <v>45830.71666666667</v>
      </c>
      <c r="C3326" s="1" t="n">
        <v>46086</v>
      </c>
      <c r="D3326" t="inlineStr">
        <is>
          <t>GÄVLEBORGS LÄN</t>
        </is>
      </c>
      <c r="E3326" t="inlineStr">
        <is>
          <t>LJUSDAL</t>
        </is>
      </c>
      <c r="G3326" t="n">
        <v>7.8</v>
      </c>
      <c r="H3326" t="n">
        <v>0</v>
      </c>
      <c r="I3326" t="n">
        <v>0</v>
      </c>
      <c r="J3326" t="n">
        <v>0</v>
      </c>
      <c r="K3326" t="n">
        <v>0</v>
      </c>
      <c r="L3326" t="n">
        <v>0</v>
      </c>
      <c r="M3326" t="n">
        <v>0</v>
      </c>
      <c r="N3326" t="n">
        <v>0</v>
      </c>
      <c r="O3326" t="n">
        <v>0</v>
      </c>
      <c r="P3326" t="n">
        <v>0</v>
      </c>
      <c r="Q3326" t="n">
        <v>0</v>
      </c>
      <c r="R3326" s="2" t="inlineStr"/>
    </row>
    <row r="3327" ht="15" customHeight="1">
      <c r="A3327" t="inlineStr">
        <is>
          <t>A 10798-2026</t>
        </is>
      </c>
      <c r="B3327" s="1" t="n">
        <v>46078.59535879629</v>
      </c>
      <c r="C3327" s="1" t="n">
        <v>46086</v>
      </c>
      <c r="D3327" t="inlineStr">
        <is>
          <t>GÄVLEBORGS LÄN</t>
        </is>
      </c>
      <c r="E3327" t="inlineStr">
        <is>
          <t>BOLLNÄS</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10805-2026</t>
        </is>
      </c>
      <c r="B3328" s="1" t="n">
        <v>46078.60267361111</v>
      </c>
      <c r="C3328" s="1" t="n">
        <v>46086</v>
      </c>
      <c r="D3328" t="inlineStr">
        <is>
          <t>GÄVLEBORGS LÄN</t>
        </is>
      </c>
      <c r="E3328" t="inlineStr">
        <is>
          <t>BOLLNÄS</t>
        </is>
      </c>
      <c r="G3328" t="n">
        <v>9.6</v>
      </c>
      <c r="H3328" t="n">
        <v>0</v>
      </c>
      <c r="I3328" t="n">
        <v>0</v>
      </c>
      <c r="J3328" t="n">
        <v>0</v>
      </c>
      <c r="K3328" t="n">
        <v>0</v>
      </c>
      <c r="L3328" t="n">
        <v>0</v>
      </c>
      <c r="M3328" t="n">
        <v>0</v>
      </c>
      <c r="N3328" t="n">
        <v>0</v>
      </c>
      <c r="O3328" t="n">
        <v>0</v>
      </c>
      <c r="P3328" t="n">
        <v>0</v>
      </c>
      <c r="Q3328" t="n">
        <v>0</v>
      </c>
      <c r="R3328" s="2" t="inlineStr"/>
    </row>
    <row r="3329" ht="15" customHeight="1">
      <c r="A3329" t="inlineStr">
        <is>
          <t>A 10808-2026</t>
        </is>
      </c>
      <c r="B3329" s="1" t="n">
        <v>46078.60398148148</v>
      </c>
      <c r="C3329" s="1" t="n">
        <v>46086</v>
      </c>
      <c r="D3329" t="inlineStr">
        <is>
          <t>GÄVLEBORGS LÄN</t>
        </is>
      </c>
      <c r="E3329" t="inlineStr">
        <is>
          <t>SANDVIKEN</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24137-2024</t>
        </is>
      </c>
      <c r="B3330" s="1" t="n">
        <v>45456.63956018518</v>
      </c>
      <c r="C3330" s="1" t="n">
        <v>46086</v>
      </c>
      <c r="D3330" t="inlineStr">
        <is>
          <t>GÄVLEBORGS LÄN</t>
        </is>
      </c>
      <c r="E3330" t="inlineStr">
        <is>
          <t>OVANÅKER</t>
        </is>
      </c>
      <c r="F3330" t="inlineStr">
        <is>
          <t>Bergvik skog väst AB</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30577-2025</t>
        </is>
      </c>
      <c r="B3331" s="1" t="n">
        <v>45831.41457175926</v>
      </c>
      <c r="C3331" s="1" t="n">
        <v>46086</v>
      </c>
      <c r="D3331" t="inlineStr">
        <is>
          <t>GÄVLEBORGS LÄN</t>
        </is>
      </c>
      <c r="E3331" t="inlineStr">
        <is>
          <t>LJUSDAL</t>
        </is>
      </c>
      <c r="F3331" t="inlineStr">
        <is>
          <t>Sveaskog</t>
        </is>
      </c>
      <c r="G3331" t="n">
        <v>4.5</v>
      </c>
      <c r="H3331" t="n">
        <v>0</v>
      </c>
      <c r="I3331" t="n">
        <v>0</v>
      </c>
      <c r="J3331" t="n">
        <v>0</v>
      </c>
      <c r="K3331" t="n">
        <v>0</v>
      </c>
      <c r="L3331" t="n">
        <v>0</v>
      </c>
      <c r="M3331" t="n">
        <v>0</v>
      </c>
      <c r="N3331" t="n">
        <v>0</v>
      </c>
      <c r="O3331" t="n">
        <v>0</v>
      </c>
      <c r="P3331" t="n">
        <v>0</v>
      </c>
      <c r="Q3331" t="n">
        <v>0</v>
      </c>
      <c r="R3331" s="2" t="inlineStr"/>
    </row>
    <row r="3332" ht="15" customHeight="1">
      <c r="A3332" t="inlineStr">
        <is>
          <t>A 30589-2025</t>
        </is>
      </c>
      <c r="B3332" s="1" t="n">
        <v>45831.43140046296</v>
      </c>
      <c r="C3332" s="1" t="n">
        <v>46086</v>
      </c>
      <c r="D3332" t="inlineStr">
        <is>
          <t>GÄVLEBORGS LÄN</t>
        </is>
      </c>
      <c r="E3332" t="inlineStr">
        <is>
          <t>LJUSDAL</t>
        </is>
      </c>
      <c r="F3332" t="inlineStr">
        <is>
          <t>Holmen skog AB</t>
        </is>
      </c>
      <c r="G3332" t="n">
        <v>32.3</v>
      </c>
      <c r="H3332" t="n">
        <v>0</v>
      </c>
      <c r="I3332" t="n">
        <v>0</v>
      </c>
      <c r="J3332" t="n">
        <v>0</v>
      </c>
      <c r="K3332" t="n">
        <v>0</v>
      </c>
      <c r="L3332" t="n">
        <v>0</v>
      </c>
      <c r="M3332" t="n">
        <v>0</v>
      </c>
      <c r="N3332" t="n">
        <v>0</v>
      </c>
      <c r="O3332" t="n">
        <v>0</v>
      </c>
      <c r="P3332" t="n">
        <v>0</v>
      </c>
      <c r="Q3332" t="n">
        <v>0</v>
      </c>
      <c r="R3332" s="2" t="inlineStr"/>
    </row>
    <row r="3333" ht="15" customHeight="1">
      <c r="A3333" t="inlineStr">
        <is>
          <t>A 10375-2023</t>
        </is>
      </c>
      <c r="B3333" s="1" t="n">
        <v>44987</v>
      </c>
      <c r="C3333" s="1" t="n">
        <v>46086</v>
      </c>
      <c r="D3333" t="inlineStr">
        <is>
          <t>GÄVLEBORGS LÄN</t>
        </is>
      </c>
      <c r="E3333" t="inlineStr">
        <is>
          <t>HUDIKSVALL</t>
        </is>
      </c>
      <c r="G3333" t="n">
        <v>6</v>
      </c>
      <c r="H3333" t="n">
        <v>0</v>
      </c>
      <c r="I3333" t="n">
        <v>0</v>
      </c>
      <c r="J3333" t="n">
        <v>0</v>
      </c>
      <c r="K3333" t="n">
        <v>0</v>
      </c>
      <c r="L3333" t="n">
        <v>0</v>
      </c>
      <c r="M3333" t="n">
        <v>0</v>
      </c>
      <c r="N3333" t="n">
        <v>0</v>
      </c>
      <c r="O3333" t="n">
        <v>0</v>
      </c>
      <c r="P3333" t="n">
        <v>0</v>
      </c>
      <c r="Q3333" t="n">
        <v>0</v>
      </c>
      <c r="R3333" s="2" t="inlineStr"/>
    </row>
    <row r="3334" ht="15" customHeight="1">
      <c r="A3334" t="inlineStr">
        <is>
          <t>A 23355-2024</t>
        </is>
      </c>
      <c r="B3334" s="1" t="n">
        <v>45453</v>
      </c>
      <c r="C3334" s="1" t="n">
        <v>46086</v>
      </c>
      <c r="D3334" t="inlineStr">
        <is>
          <t>GÄVLEBORGS LÄN</t>
        </is>
      </c>
      <c r="E3334" t="inlineStr">
        <is>
          <t>HOFORS</t>
        </is>
      </c>
      <c r="F3334" t="inlineStr">
        <is>
          <t>Sveaskog</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10873-2026</t>
        </is>
      </c>
      <c r="B3335" s="1" t="n">
        <v>46078.69971064815</v>
      </c>
      <c r="C3335" s="1" t="n">
        <v>46086</v>
      </c>
      <c r="D3335" t="inlineStr">
        <is>
          <t>GÄVLEBORGS LÄN</t>
        </is>
      </c>
      <c r="E3335" t="inlineStr">
        <is>
          <t>SANDVIKEN</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10879-2026</t>
        </is>
      </c>
      <c r="B3336" s="1" t="n">
        <v>46078.72452546296</v>
      </c>
      <c r="C3336" s="1" t="n">
        <v>46086</v>
      </c>
      <c r="D3336" t="inlineStr">
        <is>
          <t>GÄVLEBORGS LÄN</t>
        </is>
      </c>
      <c r="E3336" t="inlineStr">
        <is>
          <t>BOLLNÄS</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10881-2026</t>
        </is>
      </c>
      <c r="B3337" s="1" t="n">
        <v>46078.74398148148</v>
      </c>
      <c r="C3337" s="1" t="n">
        <v>46086</v>
      </c>
      <c r="D3337" t="inlineStr">
        <is>
          <t>GÄVLEBORGS LÄN</t>
        </is>
      </c>
      <c r="E3337" t="inlineStr">
        <is>
          <t>BOLLNÄS</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10882-2026</t>
        </is>
      </c>
      <c r="B3338" s="1" t="n">
        <v>46078.75336805556</v>
      </c>
      <c r="C3338" s="1" t="n">
        <v>46086</v>
      </c>
      <c r="D3338" t="inlineStr">
        <is>
          <t>GÄVLEBORGS LÄN</t>
        </is>
      </c>
      <c r="E3338" t="inlineStr">
        <is>
          <t>BOLLNÄS</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10888-2026</t>
        </is>
      </c>
      <c r="B3339" s="1" t="n">
        <v>46078.76486111111</v>
      </c>
      <c r="C3339" s="1" t="n">
        <v>46086</v>
      </c>
      <c r="D3339" t="inlineStr">
        <is>
          <t>GÄVLEBORGS LÄN</t>
        </is>
      </c>
      <c r="E3339" t="inlineStr">
        <is>
          <t>BOLLNÄS</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10889-2026</t>
        </is>
      </c>
      <c r="B3340" s="1" t="n">
        <v>46078.77356481482</v>
      </c>
      <c r="C3340" s="1" t="n">
        <v>46086</v>
      </c>
      <c r="D3340" t="inlineStr">
        <is>
          <t>GÄVLEBORGS LÄN</t>
        </is>
      </c>
      <c r="E3340" t="inlineStr">
        <is>
          <t>BOLLNÄS</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10896-2026</t>
        </is>
      </c>
      <c r="B3341" s="1" t="n">
        <v>46078.83668981482</v>
      </c>
      <c r="C3341" s="1" t="n">
        <v>46086</v>
      </c>
      <c r="D3341" t="inlineStr">
        <is>
          <t>GÄVLEBORGS LÄN</t>
        </is>
      </c>
      <c r="E3341" t="inlineStr">
        <is>
          <t>BOLLNÄS</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50268-2024</t>
        </is>
      </c>
      <c r="B3342" s="1" t="n">
        <v>45600.58967592593</v>
      </c>
      <c r="C3342" s="1" t="n">
        <v>46086</v>
      </c>
      <c r="D3342" t="inlineStr">
        <is>
          <t>GÄVLEBORGS LÄN</t>
        </is>
      </c>
      <c r="E3342" t="inlineStr">
        <is>
          <t>SÖDERHAMN</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41057-2025</t>
        </is>
      </c>
      <c r="B3343" s="1" t="n">
        <v>45898</v>
      </c>
      <c r="C3343" s="1" t="n">
        <v>46086</v>
      </c>
      <c r="D3343" t="inlineStr">
        <is>
          <t>GÄVLEBORGS LÄN</t>
        </is>
      </c>
      <c r="E3343" t="inlineStr">
        <is>
          <t>BOLLNÄS</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41088-2025</t>
        </is>
      </c>
      <c r="B3344" s="1" t="n">
        <v>45898.43726851852</v>
      </c>
      <c r="C3344" s="1" t="n">
        <v>46086</v>
      </c>
      <c r="D3344" t="inlineStr">
        <is>
          <t>GÄVLEBORGS LÄN</t>
        </is>
      </c>
      <c r="E3344" t="inlineStr">
        <is>
          <t>BOLLNÄS</t>
        </is>
      </c>
      <c r="G3344" t="n">
        <v>3.9</v>
      </c>
      <c r="H3344" t="n">
        <v>0</v>
      </c>
      <c r="I3344" t="n">
        <v>0</v>
      </c>
      <c r="J3344" t="n">
        <v>0</v>
      </c>
      <c r="K3344" t="n">
        <v>0</v>
      </c>
      <c r="L3344" t="n">
        <v>0</v>
      </c>
      <c r="M3344" t="n">
        <v>0</v>
      </c>
      <c r="N3344" t="n">
        <v>0</v>
      </c>
      <c r="O3344" t="n">
        <v>0</v>
      </c>
      <c r="P3344" t="n">
        <v>0</v>
      </c>
      <c r="Q3344" t="n">
        <v>0</v>
      </c>
      <c r="R3344" s="2" t="inlineStr"/>
    </row>
    <row r="3345" ht="15" customHeight="1">
      <c r="A3345" t="inlineStr">
        <is>
          <t>A 41282-2025</t>
        </is>
      </c>
      <c r="B3345" s="1" t="n">
        <v>45898.63521990741</v>
      </c>
      <c r="C3345" s="1" t="n">
        <v>46086</v>
      </c>
      <c r="D3345" t="inlineStr">
        <is>
          <t>GÄVLEBORGS LÄN</t>
        </is>
      </c>
      <c r="E3345" t="inlineStr">
        <is>
          <t>GÄVLE</t>
        </is>
      </c>
      <c r="F3345" t="inlineStr">
        <is>
          <t>Bergvik skog väst AB</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10898-2026</t>
        </is>
      </c>
      <c r="B3346" s="1" t="n">
        <v>46078.86609953704</v>
      </c>
      <c r="C3346" s="1" t="n">
        <v>46086</v>
      </c>
      <c r="D3346" t="inlineStr">
        <is>
          <t>GÄVLEBORGS LÄN</t>
        </is>
      </c>
      <c r="E3346" t="inlineStr">
        <is>
          <t>BOLLNÄS</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10900-2026</t>
        </is>
      </c>
      <c r="B3347" s="1" t="n">
        <v>46078.88635416667</v>
      </c>
      <c r="C3347" s="1" t="n">
        <v>46086</v>
      </c>
      <c r="D3347" t="inlineStr">
        <is>
          <t>GÄVLEBORGS LÄN</t>
        </is>
      </c>
      <c r="E3347" t="inlineStr">
        <is>
          <t>BOLLNÄS</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41349-2025</t>
        </is>
      </c>
      <c r="B3348" s="1" t="n">
        <v>45899.61452546297</v>
      </c>
      <c r="C3348" s="1" t="n">
        <v>46086</v>
      </c>
      <c r="D3348" t="inlineStr">
        <is>
          <t>GÄVLEBORGS LÄN</t>
        </is>
      </c>
      <c r="E3348" t="inlineStr">
        <is>
          <t>SANDVIKEN</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40979-2025</t>
        </is>
      </c>
      <c r="B3349" s="1" t="n">
        <v>45898.2896875</v>
      </c>
      <c r="C3349" s="1" t="n">
        <v>46086</v>
      </c>
      <c r="D3349" t="inlineStr">
        <is>
          <t>GÄVLEBORGS LÄN</t>
        </is>
      </c>
      <c r="E3349" t="inlineStr">
        <is>
          <t>OVANÅKER</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41213-2025</t>
        </is>
      </c>
      <c r="B3350" s="1" t="n">
        <v>45898.58056712963</v>
      </c>
      <c r="C3350" s="1" t="n">
        <v>46086</v>
      </c>
      <c r="D3350" t="inlineStr">
        <is>
          <t>GÄVLEBORGS LÄN</t>
        </is>
      </c>
      <c r="E3350" t="inlineStr">
        <is>
          <t>GÄVLE</t>
        </is>
      </c>
      <c r="F3350" t="inlineStr">
        <is>
          <t>Bergvik skog väst AB</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41239-2025</t>
        </is>
      </c>
      <c r="B3351" s="1" t="n">
        <v>45898.59612268519</v>
      </c>
      <c r="C3351" s="1" t="n">
        <v>46086</v>
      </c>
      <c r="D3351" t="inlineStr">
        <is>
          <t>GÄVLEBORGS LÄN</t>
        </is>
      </c>
      <c r="E3351" t="inlineStr">
        <is>
          <t>HUDIKSVALL</t>
        </is>
      </c>
      <c r="F3351" t="inlineStr">
        <is>
          <t>Holmen skog AB</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41240-2025</t>
        </is>
      </c>
      <c r="B3352" s="1" t="n">
        <v>45898.59614583333</v>
      </c>
      <c r="C3352" s="1" t="n">
        <v>46086</v>
      </c>
      <c r="D3352" t="inlineStr">
        <is>
          <t>GÄVLEBORGS LÄN</t>
        </is>
      </c>
      <c r="E3352" t="inlineStr">
        <is>
          <t>GÄVLE</t>
        </is>
      </c>
      <c r="F3352" t="inlineStr">
        <is>
          <t>Bergvik skog väst AB</t>
        </is>
      </c>
      <c r="G3352" t="n">
        <v>5.9</v>
      </c>
      <c r="H3352" t="n">
        <v>0</v>
      </c>
      <c r="I3352" t="n">
        <v>0</v>
      </c>
      <c r="J3352" t="n">
        <v>0</v>
      </c>
      <c r="K3352" t="n">
        <v>0</v>
      </c>
      <c r="L3352" t="n">
        <v>0</v>
      </c>
      <c r="M3352" t="n">
        <v>0</v>
      </c>
      <c r="N3352" t="n">
        <v>0</v>
      </c>
      <c r="O3352" t="n">
        <v>0</v>
      </c>
      <c r="P3352" t="n">
        <v>0</v>
      </c>
      <c r="Q3352" t="n">
        <v>0</v>
      </c>
      <c r="R3352" s="2" t="inlineStr"/>
    </row>
    <row r="3353" ht="15" customHeight="1">
      <c r="A3353" t="inlineStr">
        <is>
          <t>A 34058-2022</t>
        </is>
      </c>
      <c r="B3353" s="1" t="n">
        <v>44791.37611111111</v>
      </c>
      <c r="C3353" s="1" t="n">
        <v>46086</v>
      </c>
      <c r="D3353" t="inlineStr">
        <is>
          <t>GÄVLEBORGS LÄN</t>
        </is>
      </c>
      <c r="E3353" t="inlineStr">
        <is>
          <t>LJUSDAL</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28446-2024</t>
        </is>
      </c>
      <c r="B3354" s="1" t="n">
        <v>45477.67075231481</v>
      </c>
      <c r="C3354" s="1" t="n">
        <v>46086</v>
      </c>
      <c r="D3354" t="inlineStr">
        <is>
          <t>GÄVLEBORGS LÄN</t>
        </is>
      </c>
      <c r="E3354" t="inlineStr">
        <is>
          <t>OVANÅKER</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46111-2023</t>
        </is>
      </c>
      <c r="B3355" s="1" t="n">
        <v>45196.54778935185</v>
      </c>
      <c r="C3355" s="1" t="n">
        <v>46086</v>
      </c>
      <c r="D3355" t="inlineStr">
        <is>
          <t>GÄVLEBORGS LÄN</t>
        </is>
      </c>
      <c r="E3355" t="inlineStr">
        <is>
          <t>NORDANSTIG</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41482-2025</t>
        </is>
      </c>
      <c r="B3356" s="1" t="n">
        <v>45901.47646990741</v>
      </c>
      <c r="C3356" s="1" t="n">
        <v>46086</v>
      </c>
      <c r="D3356" t="inlineStr">
        <is>
          <t>GÄVLEBORGS LÄN</t>
        </is>
      </c>
      <c r="E3356" t="inlineStr">
        <is>
          <t>NORDANSTIG</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21772-2023</t>
        </is>
      </c>
      <c r="B3357" s="1" t="n">
        <v>45065.9262962963</v>
      </c>
      <c r="C3357" s="1" t="n">
        <v>46086</v>
      </c>
      <c r="D3357" t="inlineStr">
        <is>
          <t>GÄVLEBORGS LÄN</t>
        </is>
      </c>
      <c r="E3357" t="inlineStr">
        <is>
          <t>HUDIKSVALL</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41569-2025</t>
        </is>
      </c>
      <c r="B3358" s="1" t="n">
        <v>45901.60810185185</v>
      </c>
      <c r="C3358" s="1" t="n">
        <v>46086</v>
      </c>
      <c r="D3358" t="inlineStr">
        <is>
          <t>GÄVLEBORGS LÄN</t>
        </is>
      </c>
      <c r="E3358" t="inlineStr">
        <is>
          <t>HOFORS</t>
        </is>
      </c>
      <c r="F3358" t="inlineStr">
        <is>
          <t>Sveaskog</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41348-2025</t>
        </is>
      </c>
      <c r="B3359" s="1" t="n">
        <v>45899.56299768519</v>
      </c>
      <c r="C3359" s="1" t="n">
        <v>46086</v>
      </c>
      <c r="D3359" t="inlineStr">
        <is>
          <t>GÄVLEBORGS LÄN</t>
        </is>
      </c>
      <c r="E3359" t="inlineStr">
        <is>
          <t>SANDVIKEN</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30677-2025</t>
        </is>
      </c>
      <c r="B3360" s="1" t="n">
        <v>45831.52335648148</v>
      </c>
      <c r="C3360" s="1" t="n">
        <v>46086</v>
      </c>
      <c r="D3360" t="inlineStr">
        <is>
          <t>GÄVLEBORGS LÄN</t>
        </is>
      </c>
      <c r="E3360" t="inlineStr">
        <is>
          <t>LJUSDAL</t>
        </is>
      </c>
      <c r="G3360" t="n">
        <v>5.4</v>
      </c>
      <c r="H3360" t="n">
        <v>0</v>
      </c>
      <c r="I3360" t="n">
        <v>0</v>
      </c>
      <c r="J3360" t="n">
        <v>0</v>
      </c>
      <c r="K3360" t="n">
        <v>0</v>
      </c>
      <c r="L3360" t="n">
        <v>0</v>
      </c>
      <c r="M3360" t="n">
        <v>0</v>
      </c>
      <c r="N3360" t="n">
        <v>0</v>
      </c>
      <c r="O3360" t="n">
        <v>0</v>
      </c>
      <c r="P3360" t="n">
        <v>0</v>
      </c>
      <c r="Q3360" t="n">
        <v>0</v>
      </c>
      <c r="R3360" s="2" t="inlineStr"/>
    </row>
    <row r="3361" ht="15" customHeight="1">
      <c r="A3361" t="inlineStr">
        <is>
          <t>A 28645-2024</t>
        </is>
      </c>
      <c r="B3361" s="1" t="n">
        <v>45478.46400462963</v>
      </c>
      <c r="C3361" s="1" t="n">
        <v>46086</v>
      </c>
      <c r="D3361" t="inlineStr">
        <is>
          <t>GÄVLEBORGS LÄN</t>
        </is>
      </c>
      <c r="E3361" t="inlineStr">
        <is>
          <t>BOLLNÄS</t>
        </is>
      </c>
      <c r="F3361" t="inlineStr">
        <is>
          <t>Bergvik skog väst AB</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30681-2025</t>
        </is>
      </c>
      <c r="B3362" s="1" t="n">
        <v>45831.52996527778</v>
      </c>
      <c r="C3362" s="1" t="n">
        <v>46086</v>
      </c>
      <c r="D3362" t="inlineStr">
        <is>
          <t>GÄVLEBORGS LÄN</t>
        </is>
      </c>
      <c r="E3362" t="inlineStr">
        <is>
          <t>LJUSDAL</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30686-2025</t>
        </is>
      </c>
      <c r="B3363" s="1" t="n">
        <v>45831.53361111111</v>
      </c>
      <c r="C3363" s="1" t="n">
        <v>46086</v>
      </c>
      <c r="D3363" t="inlineStr">
        <is>
          <t>GÄVLEBORGS LÄN</t>
        </is>
      </c>
      <c r="E3363" t="inlineStr">
        <is>
          <t>LJUSDAL</t>
        </is>
      </c>
      <c r="F3363" t="inlineStr">
        <is>
          <t>Bergvik skog väst AB</t>
        </is>
      </c>
      <c r="G3363" t="n">
        <v>9.9</v>
      </c>
      <c r="H3363" t="n">
        <v>0</v>
      </c>
      <c r="I3363" t="n">
        <v>0</v>
      </c>
      <c r="J3363" t="n">
        <v>0</v>
      </c>
      <c r="K3363" t="n">
        <v>0</v>
      </c>
      <c r="L3363" t="n">
        <v>0</v>
      </c>
      <c r="M3363" t="n">
        <v>0</v>
      </c>
      <c r="N3363" t="n">
        <v>0</v>
      </c>
      <c r="O3363" t="n">
        <v>0</v>
      </c>
      <c r="P3363" t="n">
        <v>0</v>
      </c>
      <c r="Q3363" t="n">
        <v>0</v>
      </c>
      <c r="R3363" s="2" t="inlineStr"/>
    </row>
    <row r="3364" ht="15" customHeight="1">
      <c r="A3364" t="inlineStr">
        <is>
          <t>A 27969-2024</t>
        </is>
      </c>
      <c r="B3364" s="1" t="n">
        <v>45476.38328703704</v>
      </c>
      <c r="C3364" s="1" t="n">
        <v>46086</v>
      </c>
      <c r="D3364" t="inlineStr">
        <is>
          <t>GÄVLEBORGS LÄN</t>
        </is>
      </c>
      <c r="E3364" t="inlineStr">
        <is>
          <t>SANDVIKEN</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10849-2026</t>
        </is>
      </c>
      <c r="B3365" s="1" t="n">
        <v>46078.65019675926</v>
      </c>
      <c r="C3365" s="1" t="n">
        <v>46086</v>
      </c>
      <c r="D3365" t="inlineStr">
        <is>
          <t>GÄVLEBORGS LÄN</t>
        </is>
      </c>
      <c r="E3365" t="inlineStr">
        <is>
          <t>OVANÅKER</t>
        </is>
      </c>
      <c r="F3365" t="inlineStr">
        <is>
          <t>Bergvik skog öst AB</t>
        </is>
      </c>
      <c r="G3365" t="n">
        <v>7.6</v>
      </c>
      <c r="H3365" t="n">
        <v>0</v>
      </c>
      <c r="I3365" t="n">
        <v>0</v>
      </c>
      <c r="J3365" t="n">
        <v>0</v>
      </c>
      <c r="K3365" t="n">
        <v>0</v>
      </c>
      <c r="L3365" t="n">
        <v>0</v>
      </c>
      <c r="M3365" t="n">
        <v>0</v>
      </c>
      <c r="N3365" t="n">
        <v>0</v>
      </c>
      <c r="O3365" t="n">
        <v>0</v>
      </c>
      <c r="P3365" t="n">
        <v>0</v>
      </c>
      <c r="Q3365" t="n">
        <v>0</v>
      </c>
      <c r="R3365" s="2" t="inlineStr"/>
    </row>
    <row r="3366" ht="15" customHeight="1">
      <c r="A3366" t="inlineStr">
        <is>
          <t>A 4195-2023</t>
        </is>
      </c>
      <c r="B3366" s="1" t="n">
        <v>44953.43362268519</v>
      </c>
      <c r="C3366" s="1" t="n">
        <v>46086</v>
      </c>
      <c r="D3366" t="inlineStr">
        <is>
          <t>GÄVLEBORGS LÄN</t>
        </is>
      </c>
      <c r="E3366" t="inlineStr">
        <is>
          <t>LJUSDAL</t>
        </is>
      </c>
      <c r="F3366" t="inlineStr">
        <is>
          <t>Holmen skog AB</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17887-2024</t>
        </is>
      </c>
      <c r="B3367" s="1" t="n">
        <v>45419.4737962963</v>
      </c>
      <c r="C3367" s="1" t="n">
        <v>46086</v>
      </c>
      <c r="D3367" t="inlineStr">
        <is>
          <t>GÄVLEBORGS LÄN</t>
        </is>
      </c>
      <c r="E3367" t="inlineStr">
        <is>
          <t>NORDANSTIG</t>
        </is>
      </c>
      <c r="F3367" t="inlineStr">
        <is>
          <t>Holmen skog AB</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41214-2025</t>
        </is>
      </c>
      <c r="B3368" s="1" t="n">
        <v>45898.58079861111</v>
      </c>
      <c r="C3368" s="1" t="n">
        <v>46086</v>
      </c>
      <c r="D3368" t="inlineStr">
        <is>
          <t>GÄVLEBORGS LÄN</t>
        </is>
      </c>
      <c r="E3368" t="inlineStr">
        <is>
          <t>LJUSDAL</t>
        </is>
      </c>
      <c r="F3368" t="inlineStr">
        <is>
          <t>Sveaskog</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41217-2025</t>
        </is>
      </c>
      <c r="B3369" s="1" t="n">
        <v>45898.583125</v>
      </c>
      <c r="C3369" s="1" t="n">
        <v>46086</v>
      </c>
      <c r="D3369" t="inlineStr">
        <is>
          <t>GÄVLEBORGS LÄN</t>
        </is>
      </c>
      <c r="E3369" t="inlineStr">
        <is>
          <t>HUDIKSVALL</t>
        </is>
      </c>
      <c r="F3369" t="inlineStr">
        <is>
          <t>Holmen skog AB</t>
        </is>
      </c>
      <c r="G3369" t="n">
        <v>6.3</v>
      </c>
      <c r="H3369" t="n">
        <v>0</v>
      </c>
      <c r="I3369" t="n">
        <v>0</v>
      </c>
      <c r="J3369" t="n">
        <v>0</v>
      </c>
      <c r="K3369" t="n">
        <v>0</v>
      </c>
      <c r="L3369" t="n">
        <v>0</v>
      </c>
      <c r="M3369" t="n">
        <v>0</v>
      </c>
      <c r="N3369" t="n">
        <v>0</v>
      </c>
      <c r="O3369" t="n">
        <v>0</v>
      </c>
      <c r="P3369" t="n">
        <v>0</v>
      </c>
      <c r="Q3369" t="n">
        <v>0</v>
      </c>
      <c r="R3369" s="2" t="inlineStr"/>
    </row>
    <row r="3370" ht="15" customHeight="1">
      <c r="A3370" t="inlineStr">
        <is>
          <t>A 50306-2024</t>
        </is>
      </c>
      <c r="B3370" s="1" t="n">
        <v>45600.64725694444</v>
      </c>
      <c r="C3370" s="1" t="n">
        <v>46086</v>
      </c>
      <c r="D3370" t="inlineStr">
        <is>
          <t>GÄVLEBORGS LÄN</t>
        </is>
      </c>
      <c r="E3370" t="inlineStr">
        <is>
          <t>HUDIKSVALL</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41084-2025</t>
        </is>
      </c>
      <c r="B3371" s="1" t="n">
        <v>45898.43175925926</v>
      </c>
      <c r="C3371" s="1" t="n">
        <v>46086</v>
      </c>
      <c r="D3371" t="inlineStr">
        <is>
          <t>GÄVLEBORGS LÄN</t>
        </is>
      </c>
      <c r="E3371" t="inlineStr">
        <is>
          <t>LJUSDAL</t>
        </is>
      </c>
      <c r="F3371" t="inlineStr">
        <is>
          <t>Sveaskog</t>
        </is>
      </c>
      <c r="G3371" t="n">
        <v>5.9</v>
      </c>
      <c r="H3371" t="n">
        <v>0</v>
      </c>
      <c r="I3371" t="n">
        <v>0</v>
      </c>
      <c r="J3371" t="n">
        <v>0</v>
      </c>
      <c r="K3371" t="n">
        <v>0</v>
      </c>
      <c r="L3371" t="n">
        <v>0</v>
      </c>
      <c r="M3371" t="n">
        <v>0</v>
      </c>
      <c r="N3371" t="n">
        <v>0</v>
      </c>
      <c r="O3371" t="n">
        <v>0</v>
      </c>
      <c r="P3371" t="n">
        <v>0</v>
      </c>
      <c r="Q3371" t="n">
        <v>0</v>
      </c>
      <c r="R3371" s="2" t="inlineStr"/>
    </row>
    <row r="3372" ht="15" customHeight="1">
      <c r="A3372" t="inlineStr">
        <is>
          <t>A 41086-2025</t>
        </is>
      </c>
      <c r="B3372" s="1" t="n">
        <v>45898.4344212963</v>
      </c>
      <c r="C3372" s="1" t="n">
        <v>46086</v>
      </c>
      <c r="D3372" t="inlineStr">
        <is>
          <t>GÄVLEBORGS LÄN</t>
        </is>
      </c>
      <c r="E3372" t="inlineStr">
        <is>
          <t>LJUSDAL</t>
        </is>
      </c>
      <c r="F3372" t="inlineStr">
        <is>
          <t>Sveaskog</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32249-2025</t>
        </is>
      </c>
      <c r="B3373" s="1" t="n">
        <v>45835.62361111111</v>
      </c>
      <c r="C3373" s="1" t="n">
        <v>46086</v>
      </c>
      <c r="D3373" t="inlineStr">
        <is>
          <t>GÄVLEBORGS LÄN</t>
        </is>
      </c>
      <c r="E3373" t="inlineStr">
        <is>
          <t>OCKELBO</t>
        </is>
      </c>
      <c r="F3373" t="inlineStr">
        <is>
          <t>Bergvik skog väst AB</t>
        </is>
      </c>
      <c r="G3373" t="n">
        <v>8.699999999999999</v>
      </c>
      <c r="H3373" t="n">
        <v>0</v>
      </c>
      <c r="I3373" t="n">
        <v>0</v>
      </c>
      <c r="J3373" t="n">
        <v>0</v>
      </c>
      <c r="K3373" t="n">
        <v>0</v>
      </c>
      <c r="L3373" t="n">
        <v>0</v>
      </c>
      <c r="M3373" t="n">
        <v>0</v>
      </c>
      <c r="N3373" t="n">
        <v>0</v>
      </c>
      <c r="O3373" t="n">
        <v>0</v>
      </c>
      <c r="P3373" t="n">
        <v>0</v>
      </c>
      <c r="Q3373" t="n">
        <v>0</v>
      </c>
      <c r="R3373" s="2" t="inlineStr"/>
    </row>
    <row r="3374" ht="15" customHeight="1">
      <c r="A3374" t="inlineStr">
        <is>
          <t>A 31598-2025</t>
        </is>
      </c>
      <c r="B3374" s="1" t="n">
        <v>45833.7103125</v>
      </c>
      <c r="C3374" s="1" t="n">
        <v>46086</v>
      </c>
      <c r="D3374" t="inlineStr">
        <is>
          <t>GÄVLEBORGS LÄN</t>
        </is>
      </c>
      <c r="E3374" t="inlineStr">
        <is>
          <t>GÄVLE</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10875-2026</t>
        </is>
      </c>
      <c r="B3375" s="1" t="n">
        <v>46078.71185185185</v>
      </c>
      <c r="C3375" s="1" t="n">
        <v>46086</v>
      </c>
      <c r="D3375" t="inlineStr">
        <is>
          <t>GÄVLEBORGS LÄN</t>
        </is>
      </c>
      <c r="E3375" t="inlineStr">
        <is>
          <t>BOLLNÄS</t>
        </is>
      </c>
      <c r="F3375" t="inlineStr">
        <is>
          <t>Bergvik skog väst AB</t>
        </is>
      </c>
      <c r="G3375" t="n">
        <v>5.9</v>
      </c>
      <c r="H3375" t="n">
        <v>0</v>
      </c>
      <c r="I3375" t="n">
        <v>0</v>
      </c>
      <c r="J3375" t="n">
        <v>0</v>
      </c>
      <c r="K3375" t="n">
        <v>0</v>
      </c>
      <c r="L3375" t="n">
        <v>0</v>
      </c>
      <c r="M3375" t="n">
        <v>0</v>
      </c>
      <c r="N3375" t="n">
        <v>0</v>
      </c>
      <c r="O3375" t="n">
        <v>0</v>
      </c>
      <c r="P3375" t="n">
        <v>0</v>
      </c>
      <c r="Q3375" t="n">
        <v>0</v>
      </c>
      <c r="R3375" s="2" t="inlineStr"/>
    </row>
    <row r="3376" ht="15" customHeight="1">
      <c r="A3376" t="inlineStr">
        <is>
          <t>A 10876-2026</t>
        </is>
      </c>
      <c r="B3376" s="1" t="n">
        <v>46078.71497685185</v>
      </c>
      <c r="C3376" s="1" t="n">
        <v>46086</v>
      </c>
      <c r="D3376" t="inlineStr">
        <is>
          <t>GÄVLEBORGS LÄN</t>
        </is>
      </c>
      <c r="E3376" t="inlineStr">
        <is>
          <t>SÖDERHAMN</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10905-2026</t>
        </is>
      </c>
      <c r="B3377" s="1" t="n">
        <v>46079.29298611111</v>
      </c>
      <c r="C3377" s="1" t="n">
        <v>46086</v>
      </c>
      <c r="D3377" t="inlineStr">
        <is>
          <t>GÄVLEBORGS LÄN</t>
        </is>
      </c>
      <c r="E3377" t="inlineStr">
        <is>
          <t>OVANÅKER</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10910-2026</t>
        </is>
      </c>
      <c r="B3378" s="1" t="n">
        <v>46079.30981481481</v>
      </c>
      <c r="C3378" s="1" t="n">
        <v>46086</v>
      </c>
      <c r="D3378" t="inlineStr">
        <is>
          <t>GÄVLEBORGS LÄN</t>
        </is>
      </c>
      <c r="E3378" t="inlineStr">
        <is>
          <t>NORDANSTIG</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7662-2026</t>
        </is>
      </c>
      <c r="B3379" s="1" t="n">
        <v>46062</v>
      </c>
      <c r="C3379" s="1" t="n">
        <v>46086</v>
      </c>
      <c r="D3379" t="inlineStr">
        <is>
          <t>GÄVLEBORGS LÄN</t>
        </is>
      </c>
      <c r="E3379" t="inlineStr">
        <is>
          <t>OVANÅKER</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8420-2026</t>
        </is>
      </c>
      <c r="B3380" s="1" t="n">
        <v>46065</v>
      </c>
      <c r="C3380" s="1" t="n">
        <v>46086</v>
      </c>
      <c r="D3380" t="inlineStr">
        <is>
          <t>GÄVLEBORGS LÄN</t>
        </is>
      </c>
      <c r="E3380" t="inlineStr">
        <is>
          <t>OCKELBO</t>
        </is>
      </c>
      <c r="F3380" t="inlineStr">
        <is>
          <t>Bergvik skog väst AB</t>
        </is>
      </c>
      <c r="G3380" t="n">
        <v>12.2</v>
      </c>
      <c r="H3380" t="n">
        <v>0</v>
      </c>
      <c r="I3380" t="n">
        <v>0</v>
      </c>
      <c r="J3380" t="n">
        <v>0</v>
      </c>
      <c r="K3380" t="n">
        <v>0</v>
      </c>
      <c r="L3380" t="n">
        <v>0</v>
      </c>
      <c r="M3380" t="n">
        <v>0</v>
      </c>
      <c r="N3380" t="n">
        <v>0</v>
      </c>
      <c r="O3380" t="n">
        <v>0</v>
      </c>
      <c r="P3380" t="n">
        <v>0</v>
      </c>
      <c r="Q3380" t="n">
        <v>0</v>
      </c>
      <c r="R3380" s="2" t="inlineStr"/>
    </row>
    <row r="3381" ht="15" customHeight="1">
      <c r="A3381" t="inlineStr">
        <is>
          <t>A 9589-2026</t>
        </is>
      </c>
      <c r="B3381" s="1" t="n">
        <v>46071</v>
      </c>
      <c r="C3381" s="1" t="n">
        <v>46086</v>
      </c>
      <c r="D3381" t="inlineStr">
        <is>
          <t>GÄVLEBORGS LÄN</t>
        </is>
      </c>
      <c r="E3381" t="inlineStr">
        <is>
          <t>HUDIKSVALL</t>
        </is>
      </c>
      <c r="F3381" t="inlineStr">
        <is>
          <t>Holmen skog AB</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9711-2026</t>
        </is>
      </c>
      <c r="B3382" s="1" t="n">
        <v>46072</v>
      </c>
      <c r="C3382" s="1" t="n">
        <v>46086</v>
      </c>
      <c r="D3382" t="inlineStr">
        <is>
          <t>GÄVLEBORGS LÄN</t>
        </is>
      </c>
      <c r="E3382" t="inlineStr">
        <is>
          <t>OVANÅKER</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10551-2026</t>
        </is>
      </c>
      <c r="B3383" s="1" t="n">
        <v>46077</v>
      </c>
      <c r="C3383" s="1" t="n">
        <v>46086</v>
      </c>
      <c r="D3383" t="inlineStr">
        <is>
          <t>GÄVLEBORGS LÄN</t>
        </is>
      </c>
      <c r="E3383" t="inlineStr">
        <is>
          <t>NORDANSTIG</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11086-2026</t>
        </is>
      </c>
      <c r="B3384" s="1" t="n">
        <v>46079.62740740741</v>
      </c>
      <c r="C3384" s="1" t="n">
        <v>46086</v>
      </c>
      <c r="D3384" t="inlineStr">
        <is>
          <t>GÄVLEBORGS LÄN</t>
        </is>
      </c>
      <c r="E3384" t="inlineStr">
        <is>
          <t>BOLLNÄS</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41225-2025</t>
        </is>
      </c>
      <c r="B3385" s="1" t="n">
        <v>45898.58877314815</v>
      </c>
      <c r="C3385" s="1" t="n">
        <v>46086</v>
      </c>
      <c r="D3385" t="inlineStr">
        <is>
          <t>GÄVLEBORGS LÄN</t>
        </is>
      </c>
      <c r="E3385" t="inlineStr">
        <is>
          <t>SÖDERHAMN</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41241-2025</t>
        </is>
      </c>
      <c r="B3386" s="1" t="n">
        <v>45898.59780092593</v>
      </c>
      <c r="C3386" s="1" t="n">
        <v>46086</v>
      </c>
      <c r="D3386" t="inlineStr">
        <is>
          <t>GÄVLEBORGS LÄN</t>
        </is>
      </c>
      <c r="E3386" t="inlineStr">
        <is>
          <t>GÄVLE</t>
        </is>
      </c>
      <c r="F3386" t="inlineStr">
        <is>
          <t>Bergvik skog öst AB</t>
        </is>
      </c>
      <c r="G3386" t="n">
        <v>20.9</v>
      </c>
      <c r="H3386" t="n">
        <v>0</v>
      </c>
      <c r="I3386" t="n">
        <v>0</v>
      </c>
      <c r="J3386" t="n">
        <v>0</v>
      </c>
      <c r="K3386" t="n">
        <v>0</v>
      </c>
      <c r="L3386" t="n">
        <v>0</v>
      </c>
      <c r="M3386" t="n">
        <v>0</v>
      </c>
      <c r="N3386" t="n">
        <v>0</v>
      </c>
      <c r="O3386" t="n">
        <v>0</v>
      </c>
      <c r="P3386" t="n">
        <v>0</v>
      </c>
      <c r="Q3386" t="n">
        <v>0</v>
      </c>
      <c r="R3386" s="2" t="inlineStr"/>
    </row>
    <row r="3387" ht="15" customHeight="1">
      <c r="A3387" t="inlineStr">
        <is>
          <t>A 835-2023</t>
        </is>
      </c>
      <c r="B3387" s="1" t="n">
        <v>44931</v>
      </c>
      <c r="C3387" s="1" t="n">
        <v>46086</v>
      </c>
      <c r="D3387" t="inlineStr">
        <is>
          <t>GÄVLEBORGS LÄN</t>
        </is>
      </c>
      <c r="E3387" t="inlineStr">
        <is>
          <t>LJUSDAL</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29686-2023</t>
        </is>
      </c>
      <c r="B3388" s="1" t="n">
        <v>45107.38175925926</v>
      </c>
      <c r="C3388" s="1" t="n">
        <v>46086</v>
      </c>
      <c r="D3388" t="inlineStr">
        <is>
          <t>GÄVLEBORGS LÄN</t>
        </is>
      </c>
      <c r="E3388" t="inlineStr">
        <is>
          <t>LJUSDAL</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29712-2023</t>
        </is>
      </c>
      <c r="B3389" s="1" t="n">
        <v>45107</v>
      </c>
      <c r="C3389" s="1" t="n">
        <v>46086</v>
      </c>
      <c r="D3389" t="inlineStr">
        <is>
          <t>GÄVLEBORGS LÄN</t>
        </is>
      </c>
      <c r="E3389" t="inlineStr">
        <is>
          <t>BOLLNÄS</t>
        </is>
      </c>
      <c r="F3389" t="inlineStr">
        <is>
          <t>Sveaskog</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13744-2023</t>
        </is>
      </c>
      <c r="B3390" s="1" t="n">
        <v>45007</v>
      </c>
      <c r="C3390" s="1" t="n">
        <v>46086</v>
      </c>
      <c r="D3390" t="inlineStr">
        <is>
          <t>GÄVLEBORGS LÄN</t>
        </is>
      </c>
      <c r="E3390" t="inlineStr">
        <is>
          <t>HOFORS</t>
        </is>
      </c>
      <c r="F3390" t="inlineStr">
        <is>
          <t>Övriga statliga verk och myndigheter</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28897-2024</t>
        </is>
      </c>
      <c r="B3391" s="1" t="n">
        <v>45480.41858796297</v>
      </c>
      <c r="C3391" s="1" t="n">
        <v>46086</v>
      </c>
      <c r="D3391" t="inlineStr">
        <is>
          <t>GÄVLEBORGS LÄN</t>
        </is>
      </c>
      <c r="E3391" t="inlineStr">
        <is>
          <t>SANDVIKEN</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31140-2025</t>
        </is>
      </c>
      <c r="B3392" s="1" t="n">
        <v>45832.63648148148</v>
      </c>
      <c r="C3392" s="1" t="n">
        <v>46086</v>
      </c>
      <c r="D3392" t="inlineStr">
        <is>
          <t>GÄVLEBORGS LÄN</t>
        </is>
      </c>
      <c r="E3392" t="inlineStr">
        <is>
          <t>LJUSDAL</t>
        </is>
      </c>
      <c r="F3392" t="inlineStr">
        <is>
          <t>SCA</t>
        </is>
      </c>
      <c r="G3392" t="n">
        <v>3.9</v>
      </c>
      <c r="H3392" t="n">
        <v>0</v>
      </c>
      <c r="I3392" t="n">
        <v>0</v>
      </c>
      <c r="J3392" t="n">
        <v>0</v>
      </c>
      <c r="K3392" t="n">
        <v>0</v>
      </c>
      <c r="L3392" t="n">
        <v>0</v>
      </c>
      <c r="M3392" t="n">
        <v>0</v>
      </c>
      <c r="N3392" t="n">
        <v>0</v>
      </c>
      <c r="O3392" t="n">
        <v>0</v>
      </c>
      <c r="P3392" t="n">
        <v>0</v>
      </c>
      <c r="Q3392" t="n">
        <v>0</v>
      </c>
      <c r="R3392" s="2" t="inlineStr"/>
    </row>
    <row r="3393" ht="15" customHeight="1">
      <c r="A3393" t="inlineStr">
        <is>
          <t>A 30939-2025</t>
        </is>
      </c>
      <c r="B3393" s="1" t="n">
        <v>45832.40680555555</v>
      </c>
      <c r="C3393" s="1" t="n">
        <v>46086</v>
      </c>
      <c r="D3393" t="inlineStr">
        <is>
          <t>GÄVLEBORGS LÄN</t>
        </is>
      </c>
      <c r="E3393" t="inlineStr">
        <is>
          <t>HUDIKSVALL</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10346-2026</t>
        </is>
      </c>
      <c r="B3394" s="1" t="n">
        <v>46076</v>
      </c>
      <c r="C3394" s="1" t="n">
        <v>46086</v>
      </c>
      <c r="D3394" t="inlineStr">
        <is>
          <t>GÄVLEBORGS LÄN</t>
        </is>
      </c>
      <c r="E3394" t="inlineStr">
        <is>
          <t>SANDVIKEN</t>
        </is>
      </c>
      <c r="F3394" t="inlineStr">
        <is>
          <t>Kommuner</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30953-2025</t>
        </is>
      </c>
      <c r="B3395" s="1" t="n">
        <v>45832.43494212963</v>
      </c>
      <c r="C3395" s="1" t="n">
        <v>46086</v>
      </c>
      <c r="D3395" t="inlineStr">
        <is>
          <t>GÄVLEBORGS LÄN</t>
        </is>
      </c>
      <c r="E3395" t="inlineStr">
        <is>
          <t>OVANÅKER</t>
        </is>
      </c>
      <c r="G3395" t="n">
        <v>15.3</v>
      </c>
      <c r="H3395" t="n">
        <v>0</v>
      </c>
      <c r="I3395" t="n">
        <v>0</v>
      </c>
      <c r="J3395" t="n">
        <v>0</v>
      </c>
      <c r="K3395" t="n">
        <v>0</v>
      </c>
      <c r="L3395" t="n">
        <v>0</v>
      </c>
      <c r="M3395" t="n">
        <v>0</v>
      </c>
      <c r="N3395" t="n">
        <v>0</v>
      </c>
      <c r="O3395" t="n">
        <v>0</v>
      </c>
      <c r="P3395" t="n">
        <v>0</v>
      </c>
      <c r="Q3395" t="n">
        <v>0</v>
      </c>
      <c r="R3395" s="2" t="inlineStr"/>
    </row>
    <row r="3396" ht="15" customHeight="1">
      <c r="A3396" t="inlineStr">
        <is>
          <t>A 54897-2024</t>
        </is>
      </c>
      <c r="B3396" s="1" t="n">
        <v>45618</v>
      </c>
      <c r="C3396" s="1" t="n">
        <v>46086</v>
      </c>
      <c r="D3396" t="inlineStr">
        <is>
          <t>GÄVLEBORGS LÄN</t>
        </is>
      </c>
      <c r="E3396" t="inlineStr">
        <is>
          <t>LJUSDAL</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30870-2025</t>
        </is>
      </c>
      <c r="B3397" s="1" t="n">
        <v>45832.33273148148</v>
      </c>
      <c r="C3397" s="1" t="n">
        <v>46086</v>
      </c>
      <c r="D3397" t="inlineStr">
        <is>
          <t>GÄVLEBORGS LÄN</t>
        </is>
      </c>
      <c r="E3397" t="inlineStr">
        <is>
          <t>NORDANSTIG</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10619-2026</t>
        </is>
      </c>
      <c r="B3398" s="1" t="n">
        <v>46077.87825231482</v>
      </c>
      <c r="C3398" s="1" t="n">
        <v>46086</v>
      </c>
      <c r="D3398" t="inlineStr">
        <is>
          <t>GÄVLEBORGS LÄN</t>
        </is>
      </c>
      <c r="E3398" t="inlineStr">
        <is>
          <t>BOLLNÄS</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10624-2026</t>
        </is>
      </c>
      <c r="B3399" s="1" t="n">
        <v>46078.28386574074</v>
      </c>
      <c r="C3399" s="1" t="n">
        <v>46086</v>
      </c>
      <c r="D3399" t="inlineStr">
        <is>
          <t>GÄVLEBORGS LÄN</t>
        </is>
      </c>
      <c r="E3399" t="inlineStr">
        <is>
          <t>BOLLNÄS</t>
        </is>
      </c>
      <c r="F3399" t="inlineStr">
        <is>
          <t>Bergvik skog väst AB</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10627-2026</t>
        </is>
      </c>
      <c r="B3400" s="1" t="n">
        <v>46078.28824074074</v>
      </c>
      <c r="C3400" s="1" t="n">
        <v>46086</v>
      </c>
      <c r="D3400" t="inlineStr">
        <is>
          <t>GÄVLEBORGS LÄN</t>
        </is>
      </c>
      <c r="E3400" t="inlineStr">
        <is>
          <t>BOLLNÄS</t>
        </is>
      </c>
      <c r="F3400" t="inlineStr">
        <is>
          <t>Bergvik skog väst AB</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41111-2025</t>
        </is>
      </c>
      <c r="B3401" s="1" t="n">
        <v>45898</v>
      </c>
      <c r="C3401" s="1" t="n">
        <v>46086</v>
      </c>
      <c r="D3401" t="inlineStr">
        <is>
          <t>GÄVLEBORGS LÄN</t>
        </is>
      </c>
      <c r="E3401" t="inlineStr">
        <is>
          <t>SANDVIKEN</t>
        </is>
      </c>
      <c r="F3401" t="inlineStr">
        <is>
          <t>Bergvik skog väst AB</t>
        </is>
      </c>
      <c r="G3401" t="n">
        <v>8.1</v>
      </c>
      <c r="H3401" t="n">
        <v>0</v>
      </c>
      <c r="I3401" t="n">
        <v>0</v>
      </c>
      <c r="J3401" t="n">
        <v>0</v>
      </c>
      <c r="K3401" t="n">
        <v>0</v>
      </c>
      <c r="L3401" t="n">
        <v>0</v>
      </c>
      <c r="M3401" t="n">
        <v>0</v>
      </c>
      <c r="N3401" t="n">
        <v>0</v>
      </c>
      <c r="O3401" t="n">
        <v>0</v>
      </c>
      <c r="P3401" t="n">
        <v>0</v>
      </c>
      <c r="Q3401" t="n">
        <v>0</v>
      </c>
      <c r="R3401" s="2" t="inlineStr"/>
    </row>
    <row r="3402" ht="15" customHeight="1">
      <c r="A3402" t="inlineStr">
        <is>
          <t>A 41192-2025</t>
        </is>
      </c>
      <c r="B3402" s="1" t="n">
        <v>45898.56827546296</v>
      </c>
      <c r="C3402" s="1" t="n">
        <v>46086</v>
      </c>
      <c r="D3402" t="inlineStr">
        <is>
          <t>GÄVLEBORGS LÄN</t>
        </is>
      </c>
      <c r="E3402" t="inlineStr">
        <is>
          <t>HUDIKSVALL</t>
        </is>
      </c>
      <c r="F3402" t="inlineStr">
        <is>
          <t>Holmen skog AB</t>
        </is>
      </c>
      <c r="G3402" t="n">
        <v>4.7</v>
      </c>
      <c r="H3402" t="n">
        <v>0</v>
      </c>
      <c r="I3402" t="n">
        <v>0</v>
      </c>
      <c r="J3402" t="n">
        <v>0</v>
      </c>
      <c r="K3402" t="n">
        <v>0</v>
      </c>
      <c r="L3402" t="n">
        <v>0</v>
      </c>
      <c r="M3402" t="n">
        <v>0</v>
      </c>
      <c r="N3402" t="n">
        <v>0</v>
      </c>
      <c r="O3402" t="n">
        <v>0</v>
      </c>
      <c r="P3402" t="n">
        <v>0</v>
      </c>
      <c r="Q3402" t="n">
        <v>0</v>
      </c>
      <c r="R3402" s="2" t="inlineStr"/>
    </row>
    <row r="3403" ht="15" customHeight="1">
      <c r="A3403" t="inlineStr">
        <is>
          <t>A 10655-2026</t>
        </is>
      </c>
      <c r="B3403" s="1" t="n">
        <v>46078</v>
      </c>
      <c r="C3403" s="1" t="n">
        <v>46086</v>
      </c>
      <c r="D3403" t="inlineStr">
        <is>
          <t>GÄVLEBORGS LÄN</t>
        </is>
      </c>
      <c r="E3403" t="inlineStr">
        <is>
          <t>NORDANSTIG</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10656-2026</t>
        </is>
      </c>
      <c r="B3404" s="1" t="n">
        <v>46078.36299768519</v>
      </c>
      <c r="C3404" s="1" t="n">
        <v>46086</v>
      </c>
      <c r="D3404" t="inlineStr">
        <is>
          <t>GÄVLEBORGS LÄN</t>
        </is>
      </c>
      <c r="E3404" t="inlineStr">
        <is>
          <t>OVANÅKER</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13489-2025</t>
        </is>
      </c>
      <c r="B3405" s="1" t="n">
        <v>45736</v>
      </c>
      <c r="C3405" s="1" t="n">
        <v>46086</v>
      </c>
      <c r="D3405" t="inlineStr">
        <is>
          <t>GÄVLEBORGS LÄN</t>
        </is>
      </c>
      <c r="E3405" t="inlineStr">
        <is>
          <t>NORDANSTIG</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48953-2021</t>
        </is>
      </c>
      <c r="B3406" s="1" t="n">
        <v>44453.37505787037</v>
      </c>
      <c r="C3406" s="1" t="n">
        <v>46086</v>
      </c>
      <c r="D3406" t="inlineStr">
        <is>
          <t>GÄVLEBORGS LÄN</t>
        </is>
      </c>
      <c r="E3406" t="inlineStr">
        <is>
          <t>LJUSDAL</t>
        </is>
      </c>
      <c r="G3406" t="n">
        <v>0.1</v>
      </c>
      <c r="H3406" t="n">
        <v>0</v>
      </c>
      <c r="I3406" t="n">
        <v>0</v>
      </c>
      <c r="J3406" t="n">
        <v>0</v>
      </c>
      <c r="K3406" t="n">
        <v>0</v>
      </c>
      <c r="L3406" t="n">
        <v>0</v>
      </c>
      <c r="M3406" t="n">
        <v>0</v>
      </c>
      <c r="N3406" t="n">
        <v>0</v>
      </c>
      <c r="O3406" t="n">
        <v>0</v>
      </c>
      <c r="P3406" t="n">
        <v>0</v>
      </c>
      <c r="Q3406" t="n">
        <v>0</v>
      </c>
      <c r="R3406" s="2" t="inlineStr"/>
    </row>
    <row r="3407" ht="15" customHeight="1">
      <c r="A3407" t="inlineStr">
        <is>
          <t>A 2201-2026</t>
        </is>
      </c>
      <c r="B3407" s="1" t="n">
        <v>46036.47611111111</v>
      </c>
      <c r="C3407" s="1" t="n">
        <v>46086</v>
      </c>
      <c r="D3407" t="inlineStr">
        <is>
          <t>GÄVLEBORGS LÄN</t>
        </is>
      </c>
      <c r="E3407" t="inlineStr">
        <is>
          <t>OCKELBO</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2211-2026</t>
        </is>
      </c>
      <c r="B3408" s="1" t="n">
        <v>46036.49285879629</v>
      </c>
      <c r="C3408" s="1" t="n">
        <v>46086</v>
      </c>
      <c r="D3408" t="inlineStr">
        <is>
          <t>GÄVLEBORGS LÄN</t>
        </is>
      </c>
      <c r="E3408" t="inlineStr">
        <is>
          <t>OCKELBO</t>
        </is>
      </c>
      <c r="G3408" t="n">
        <v>13.2</v>
      </c>
      <c r="H3408" t="n">
        <v>0</v>
      </c>
      <c r="I3408" t="n">
        <v>0</v>
      </c>
      <c r="J3408" t="n">
        <v>0</v>
      </c>
      <c r="K3408" t="n">
        <v>0</v>
      </c>
      <c r="L3408" t="n">
        <v>0</v>
      </c>
      <c r="M3408" t="n">
        <v>0</v>
      </c>
      <c r="N3408" t="n">
        <v>0</v>
      </c>
      <c r="O3408" t="n">
        <v>0</v>
      </c>
      <c r="P3408" t="n">
        <v>0</v>
      </c>
      <c r="Q3408" t="n">
        <v>0</v>
      </c>
      <c r="R3408" s="2" t="inlineStr"/>
    </row>
    <row r="3409" ht="15" customHeight="1">
      <c r="A3409" t="inlineStr">
        <is>
          <t>A 2222-2026</t>
        </is>
      </c>
      <c r="B3409" s="1" t="n">
        <v>46036.50368055556</v>
      </c>
      <c r="C3409" s="1" t="n">
        <v>46086</v>
      </c>
      <c r="D3409" t="inlineStr">
        <is>
          <t>GÄVLEBORGS LÄN</t>
        </is>
      </c>
      <c r="E3409" t="inlineStr">
        <is>
          <t>HUDIKSVALL</t>
        </is>
      </c>
      <c r="G3409" t="n">
        <v>12.3</v>
      </c>
      <c r="H3409" t="n">
        <v>0</v>
      </c>
      <c r="I3409" t="n">
        <v>0</v>
      </c>
      <c r="J3409" t="n">
        <v>0</v>
      </c>
      <c r="K3409" t="n">
        <v>0</v>
      </c>
      <c r="L3409" t="n">
        <v>0</v>
      </c>
      <c r="M3409" t="n">
        <v>0</v>
      </c>
      <c r="N3409" t="n">
        <v>0</v>
      </c>
      <c r="O3409" t="n">
        <v>0</v>
      </c>
      <c r="P3409" t="n">
        <v>0</v>
      </c>
      <c r="Q3409" t="n">
        <v>0</v>
      </c>
      <c r="R3409" s="2" t="inlineStr"/>
    </row>
    <row r="3410" ht="15" customHeight="1">
      <c r="A3410" t="inlineStr">
        <is>
          <t>A 28594-2025</t>
        </is>
      </c>
      <c r="B3410" s="1" t="n">
        <v>45819.59415509259</v>
      </c>
      <c r="C3410" s="1" t="n">
        <v>46086</v>
      </c>
      <c r="D3410" t="inlineStr">
        <is>
          <t>GÄVLEBORGS LÄN</t>
        </is>
      </c>
      <c r="E3410" t="inlineStr">
        <is>
          <t>LJUSDAL</t>
        </is>
      </c>
      <c r="F3410" t="inlineStr">
        <is>
          <t>SCA</t>
        </is>
      </c>
      <c r="G3410" t="n">
        <v>9.199999999999999</v>
      </c>
      <c r="H3410" t="n">
        <v>0</v>
      </c>
      <c r="I3410" t="n">
        <v>0</v>
      </c>
      <c r="J3410" t="n">
        <v>0</v>
      </c>
      <c r="K3410" t="n">
        <v>0</v>
      </c>
      <c r="L3410" t="n">
        <v>0</v>
      </c>
      <c r="M3410" t="n">
        <v>0</v>
      </c>
      <c r="N3410" t="n">
        <v>0</v>
      </c>
      <c r="O3410" t="n">
        <v>0</v>
      </c>
      <c r="P3410" t="n">
        <v>0</v>
      </c>
      <c r="Q3410" t="n">
        <v>0</v>
      </c>
      <c r="R3410" s="2" t="inlineStr"/>
    </row>
    <row r="3411" ht="15" customHeight="1">
      <c r="A3411" t="inlineStr">
        <is>
          <t>A 11022-2026</t>
        </is>
      </c>
      <c r="B3411" s="1" t="n">
        <v>46079.55365740741</v>
      </c>
      <c r="C3411" s="1" t="n">
        <v>46086</v>
      </c>
      <c r="D3411" t="inlineStr">
        <is>
          <t>GÄVLEBORGS LÄN</t>
        </is>
      </c>
      <c r="E3411" t="inlineStr">
        <is>
          <t>OCKELBO</t>
        </is>
      </c>
      <c r="F3411" t="inlineStr">
        <is>
          <t>Bergvik skog väst AB</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30937-2025</t>
        </is>
      </c>
      <c r="B3412" s="1" t="n">
        <v>45832.40670138889</v>
      </c>
      <c r="C3412" s="1" t="n">
        <v>46086</v>
      </c>
      <c r="D3412" t="inlineStr">
        <is>
          <t>GÄVLEBORGS LÄN</t>
        </is>
      </c>
      <c r="E3412" t="inlineStr">
        <is>
          <t>LJUSDAL</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58562-2023</t>
        </is>
      </c>
      <c r="B3413" s="1" t="n">
        <v>45251.43935185186</v>
      </c>
      <c r="C3413" s="1" t="n">
        <v>46086</v>
      </c>
      <c r="D3413" t="inlineStr">
        <is>
          <t>GÄVLEBORGS LÄN</t>
        </is>
      </c>
      <c r="E3413" t="inlineStr">
        <is>
          <t>SANDVIKEN</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35184-2022</t>
        </is>
      </c>
      <c r="B3414" s="1" t="n">
        <v>44797.63581018519</v>
      </c>
      <c r="C3414" s="1" t="n">
        <v>46086</v>
      </c>
      <c r="D3414" t="inlineStr">
        <is>
          <t>GÄVLEBORGS LÄN</t>
        </is>
      </c>
      <c r="E3414" t="inlineStr">
        <is>
          <t>SANDVIKEN</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15112-2025</t>
        </is>
      </c>
      <c r="B3415" s="1" t="n">
        <v>45744.35600694444</v>
      </c>
      <c r="C3415" s="1" t="n">
        <v>46086</v>
      </c>
      <c r="D3415" t="inlineStr">
        <is>
          <t>GÄVLEBORGS LÄN</t>
        </is>
      </c>
      <c r="E3415" t="inlineStr">
        <is>
          <t>GÄVLE</t>
        </is>
      </c>
      <c r="F3415" t="inlineStr">
        <is>
          <t>Bergvik skog öst AB</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41185-2025</t>
        </is>
      </c>
      <c r="B3416" s="1" t="n">
        <v>45898.56283564815</v>
      </c>
      <c r="C3416" s="1" t="n">
        <v>46086</v>
      </c>
      <c r="D3416" t="inlineStr">
        <is>
          <t>GÄVLEBORGS LÄN</t>
        </is>
      </c>
      <c r="E3416" t="inlineStr">
        <is>
          <t>SANDVIKEN</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23429-2025</t>
        </is>
      </c>
      <c r="B3417" s="1" t="n">
        <v>45792</v>
      </c>
      <c r="C3417" s="1" t="n">
        <v>46086</v>
      </c>
      <c r="D3417" t="inlineStr">
        <is>
          <t>GÄVLEBORGS LÄN</t>
        </is>
      </c>
      <c r="E3417" t="inlineStr">
        <is>
          <t>LJUSDAL</t>
        </is>
      </c>
      <c r="F3417" t="inlineStr">
        <is>
          <t>SCA</t>
        </is>
      </c>
      <c r="G3417" t="n">
        <v>4.9</v>
      </c>
      <c r="H3417" t="n">
        <v>0</v>
      </c>
      <c r="I3417" t="n">
        <v>0</v>
      </c>
      <c r="J3417" t="n">
        <v>0</v>
      </c>
      <c r="K3417" t="n">
        <v>0</v>
      </c>
      <c r="L3417" t="n">
        <v>0</v>
      </c>
      <c r="M3417" t="n">
        <v>0</v>
      </c>
      <c r="N3417" t="n">
        <v>0</v>
      </c>
      <c r="O3417" t="n">
        <v>0</v>
      </c>
      <c r="P3417" t="n">
        <v>0</v>
      </c>
      <c r="Q3417" t="n">
        <v>0</v>
      </c>
      <c r="R3417" s="2" t="inlineStr"/>
    </row>
    <row r="3418" ht="15" customHeight="1">
      <c r="A3418" t="inlineStr">
        <is>
          <t>A 41205-2025</t>
        </is>
      </c>
      <c r="B3418" s="1" t="n">
        <v>45898.57606481481</v>
      </c>
      <c r="C3418" s="1" t="n">
        <v>46086</v>
      </c>
      <c r="D3418" t="inlineStr">
        <is>
          <t>GÄVLEBORGS LÄN</t>
        </is>
      </c>
      <c r="E3418" t="inlineStr">
        <is>
          <t>LJUSDAL</t>
        </is>
      </c>
      <c r="F3418" t="inlineStr">
        <is>
          <t>Sveaskog</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43400-2023</t>
        </is>
      </c>
      <c r="B3419" s="1" t="n">
        <v>45183.92178240741</v>
      </c>
      <c r="C3419" s="1" t="n">
        <v>46086</v>
      </c>
      <c r="D3419" t="inlineStr">
        <is>
          <t>GÄVLEBORGS LÄN</t>
        </is>
      </c>
      <c r="E3419" t="inlineStr">
        <is>
          <t>NORDANSTIG</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31064-2025</t>
        </is>
      </c>
      <c r="B3420" s="1" t="n">
        <v>45832.57532407407</v>
      </c>
      <c r="C3420" s="1" t="n">
        <v>46086</v>
      </c>
      <c r="D3420" t="inlineStr">
        <is>
          <t>GÄVLEBORGS LÄN</t>
        </is>
      </c>
      <c r="E3420" t="inlineStr">
        <is>
          <t>LJUSDAL</t>
        </is>
      </c>
      <c r="F3420" t="inlineStr">
        <is>
          <t>Allmännings- och besparingsskogar</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41620-2025</t>
        </is>
      </c>
      <c r="B3421" s="1" t="n">
        <v>45901.70319444445</v>
      </c>
      <c r="C3421" s="1" t="n">
        <v>46086</v>
      </c>
      <c r="D3421" t="inlineStr">
        <is>
          <t>GÄVLEBORGS LÄN</t>
        </is>
      </c>
      <c r="E3421" t="inlineStr">
        <is>
          <t>HOFORS</t>
        </is>
      </c>
      <c r="F3421" t="inlineStr">
        <is>
          <t>Sveaskog</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2503-2026</t>
        </is>
      </c>
      <c r="B3422" s="1" t="n">
        <v>46037.40974537037</v>
      </c>
      <c r="C3422" s="1" t="n">
        <v>46086</v>
      </c>
      <c r="D3422" t="inlineStr">
        <is>
          <t>GÄVLEBORGS LÄN</t>
        </is>
      </c>
      <c r="E3422" t="inlineStr">
        <is>
          <t>BOLLNÄS</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2506-2026</t>
        </is>
      </c>
      <c r="B3423" s="1" t="n">
        <v>46037.41307870371</v>
      </c>
      <c r="C3423" s="1" t="n">
        <v>46086</v>
      </c>
      <c r="D3423" t="inlineStr">
        <is>
          <t>GÄVLEBORGS LÄN</t>
        </is>
      </c>
      <c r="E3423" t="inlineStr">
        <is>
          <t>NORDANSTIG</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2508-2026</t>
        </is>
      </c>
      <c r="B3424" s="1" t="n">
        <v>46037.41518518519</v>
      </c>
      <c r="C3424" s="1" t="n">
        <v>46086</v>
      </c>
      <c r="D3424" t="inlineStr">
        <is>
          <t>GÄVLEBORGS LÄN</t>
        </is>
      </c>
      <c r="E3424" t="inlineStr">
        <is>
          <t>HUDIKSVALL</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2517-2026</t>
        </is>
      </c>
      <c r="B3425" s="1" t="n">
        <v>46037.42467592593</v>
      </c>
      <c r="C3425" s="1" t="n">
        <v>46086</v>
      </c>
      <c r="D3425" t="inlineStr">
        <is>
          <t>GÄVLEBORGS LÄN</t>
        </is>
      </c>
      <c r="E3425" t="inlineStr">
        <is>
          <t>BOLLNÄS</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2525-2026</t>
        </is>
      </c>
      <c r="B3426" s="1" t="n">
        <v>46037.43106481482</v>
      </c>
      <c r="C3426" s="1" t="n">
        <v>46086</v>
      </c>
      <c r="D3426" t="inlineStr">
        <is>
          <t>GÄVLEBORGS LÄN</t>
        </is>
      </c>
      <c r="E3426" t="inlineStr">
        <is>
          <t>HUDIKSVALL</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59851-2023</t>
        </is>
      </c>
      <c r="B3427" s="1" t="n">
        <v>45257.57197916666</v>
      </c>
      <c r="C3427" s="1" t="n">
        <v>46086</v>
      </c>
      <c r="D3427" t="inlineStr">
        <is>
          <t>GÄVLEBORGS LÄN</t>
        </is>
      </c>
      <c r="E3427" t="inlineStr">
        <is>
          <t>HUDIKSVALL</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41302-2025</t>
        </is>
      </c>
      <c r="B3428" s="1" t="n">
        <v>45898.69194444444</v>
      </c>
      <c r="C3428" s="1" t="n">
        <v>46086</v>
      </c>
      <c r="D3428" t="inlineStr">
        <is>
          <t>GÄVLEBORGS LÄN</t>
        </is>
      </c>
      <c r="E3428" t="inlineStr">
        <is>
          <t>GÄVLE</t>
        </is>
      </c>
      <c r="F3428" t="inlineStr">
        <is>
          <t>Bergvik skog väst AB</t>
        </is>
      </c>
      <c r="G3428" t="n">
        <v>9.699999999999999</v>
      </c>
      <c r="H3428" t="n">
        <v>0</v>
      </c>
      <c r="I3428" t="n">
        <v>0</v>
      </c>
      <c r="J3428" t="n">
        <v>0</v>
      </c>
      <c r="K3428" t="n">
        <v>0</v>
      </c>
      <c r="L3428" t="n">
        <v>0</v>
      </c>
      <c r="M3428" t="n">
        <v>0</v>
      </c>
      <c r="N3428" t="n">
        <v>0</v>
      </c>
      <c r="O3428" t="n">
        <v>0</v>
      </c>
      <c r="P3428" t="n">
        <v>0</v>
      </c>
      <c r="Q3428" t="n">
        <v>0</v>
      </c>
      <c r="R3428" s="2" t="inlineStr"/>
    </row>
    <row r="3429" ht="15" customHeight="1">
      <c r="A3429" t="inlineStr">
        <is>
          <t>A 36170-2023</t>
        </is>
      </c>
      <c r="B3429" s="1" t="n">
        <v>45149.6374074074</v>
      </c>
      <c r="C3429" s="1" t="n">
        <v>46086</v>
      </c>
      <c r="D3429" t="inlineStr">
        <is>
          <t>GÄVLEBORGS LÄN</t>
        </is>
      </c>
      <c r="E3429" t="inlineStr">
        <is>
          <t>LJUSDAL</t>
        </is>
      </c>
      <c r="F3429" t="inlineStr">
        <is>
          <t>Sveaskog</t>
        </is>
      </c>
      <c r="G3429" t="n">
        <v>9.4</v>
      </c>
      <c r="H3429" t="n">
        <v>0</v>
      </c>
      <c r="I3429" t="n">
        <v>0</v>
      </c>
      <c r="J3429" t="n">
        <v>0</v>
      </c>
      <c r="K3429" t="n">
        <v>0</v>
      </c>
      <c r="L3429" t="n">
        <v>0</v>
      </c>
      <c r="M3429" t="n">
        <v>0</v>
      </c>
      <c r="N3429" t="n">
        <v>0</v>
      </c>
      <c r="O3429" t="n">
        <v>0</v>
      </c>
      <c r="P3429" t="n">
        <v>0</v>
      </c>
      <c r="Q3429" t="n">
        <v>0</v>
      </c>
      <c r="R3429" s="2" t="inlineStr"/>
    </row>
    <row r="3430" ht="15" customHeight="1">
      <c r="A3430" t="inlineStr">
        <is>
          <t>A 31402-2025</t>
        </is>
      </c>
      <c r="B3430" s="1" t="n">
        <v>45833.47171296296</v>
      </c>
      <c r="C3430" s="1" t="n">
        <v>46086</v>
      </c>
      <c r="D3430" t="inlineStr">
        <is>
          <t>GÄVLEBORGS LÄN</t>
        </is>
      </c>
      <c r="E3430" t="inlineStr">
        <is>
          <t>OCKELBO</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59869-2023</t>
        </is>
      </c>
      <c r="B3431" s="1" t="n">
        <v>45257.58369212963</v>
      </c>
      <c r="C3431" s="1" t="n">
        <v>46086</v>
      </c>
      <c r="D3431" t="inlineStr">
        <is>
          <t>GÄVLEBORGS LÄN</t>
        </is>
      </c>
      <c r="E3431" t="inlineStr">
        <is>
          <t>SÖDERHAMN</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41463-2025</t>
        </is>
      </c>
      <c r="B3432" s="1" t="n">
        <v>45901.45023148148</v>
      </c>
      <c r="C3432" s="1" t="n">
        <v>46086</v>
      </c>
      <c r="D3432" t="inlineStr">
        <is>
          <t>GÄVLEBORGS LÄN</t>
        </is>
      </c>
      <c r="E3432" t="inlineStr">
        <is>
          <t>LJUSDAL</t>
        </is>
      </c>
      <c r="F3432" t="inlineStr">
        <is>
          <t>Bergvik skog väst AB</t>
        </is>
      </c>
      <c r="G3432" t="n">
        <v>5.6</v>
      </c>
      <c r="H3432" t="n">
        <v>0</v>
      </c>
      <c r="I3432" t="n">
        <v>0</v>
      </c>
      <c r="J3432" t="n">
        <v>0</v>
      </c>
      <c r="K3432" t="n">
        <v>0</v>
      </c>
      <c r="L3432" t="n">
        <v>0</v>
      </c>
      <c r="M3432" t="n">
        <v>0</v>
      </c>
      <c r="N3432" t="n">
        <v>0</v>
      </c>
      <c r="O3432" t="n">
        <v>0</v>
      </c>
      <c r="P3432" t="n">
        <v>0</v>
      </c>
      <c r="Q3432" t="n">
        <v>0</v>
      </c>
      <c r="R3432" s="2" t="inlineStr"/>
    </row>
    <row r="3433" ht="15" customHeight="1">
      <c r="A3433" t="inlineStr">
        <is>
          <t>A 2545-2026</t>
        </is>
      </c>
      <c r="B3433" s="1" t="n">
        <v>46037.46747685185</v>
      </c>
      <c r="C3433" s="1" t="n">
        <v>46086</v>
      </c>
      <c r="D3433" t="inlineStr">
        <is>
          <t>GÄVLEBORGS LÄN</t>
        </is>
      </c>
      <c r="E3433" t="inlineStr">
        <is>
          <t>OCKELBO</t>
        </is>
      </c>
      <c r="G3433" t="n">
        <v>4.5</v>
      </c>
      <c r="H3433" t="n">
        <v>0</v>
      </c>
      <c r="I3433" t="n">
        <v>0</v>
      </c>
      <c r="J3433" t="n">
        <v>0</v>
      </c>
      <c r="K3433" t="n">
        <v>0</v>
      </c>
      <c r="L3433" t="n">
        <v>0</v>
      </c>
      <c r="M3433" t="n">
        <v>0</v>
      </c>
      <c r="N3433" t="n">
        <v>0</v>
      </c>
      <c r="O3433" t="n">
        <v>0</v>
      </c>
      <c r="P3433" t="n">
        <v>0</v>
      </c>
      <c r="Q3433" t="n">
        <v>0</v>
      </c>
      <c r="R3433" s="2" t="inlineStr"/>
    </row>
    <row r="3434" ht="15" customHeight="1">
      <c r="A3434" t="inlineStr">
        <is>
          <t>A 2546-2026</t>
        </is>
      </c>
      <c r="B3434" s="1" t="n">
        <v>46037.46833333333</v>
      </c>
      <c r="C3434" s="1" t="n">
        <v>46086</v>
      </c>
      <c r="D3434" t="inlineStr">
        <is>
          <t>GÄVLEBORGS LÄN</t>
        </is>
      </c>
      <c r="E3434" t="inlineStr">
        <is>
          <t>HOFORS</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41515-2025</t>
        </is>
      </c>
      <c r="B3435" s="1" t="n">
        <v>45901.54324074074</v>
      </c>
      <c r="C3435" s="1" t="n">
        <v>46086</v>
      </c>
      <c r="D3435" t="inlineStr">
        <is>
          <t>GÄVLEBORGS LÄN</t>
        </is>
      </c>
      <c r="E3435" t="inlineStr">
        <is>
          <t>HUDIKSVALL</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52158-2023</t>
        </is>
      </c>
      <c r="B3436" s="1" t="n">
        <v>45224.31581018519</v>
      </c>
      <c r="C3436" s="1" t="n">
        <v>46086</v>
      </c>
      <c r="D3436" t="inlineStr">
        <is>
          <t>GÄVLEBORGS LÄN</t>
        </is>
      </c>
      <c r="E3436" t="inlineStr">
        <is>
          <t>OVANÅKER</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36657-2025</t>
        </is>
      </c>
      <c r="B3437" s="1" t="n">
        <v>45873</v>
      </c>
      <c r="C3437" s="1" t="n">
        <v>46086</v>
      </c>
      <c r="D3437" t="inlineStr">
        <is>
          <t>GÄVLEBORGS LÄN</t>
        </is>
      </c>
      <c r="E3437" t="inlineStr">
        <is>
          <t>LJUSDAL</t>
        </is>
      </c>
      <c r="F3437" t="inlineStr">
        <is>
          <t>Bergvik skog väst AB</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41013-2025</t>
        </is>
      </c>
      <c r="B3438" s="1" t="n">
        <v>45898.35738425926</v>
      </c>
      <c r="C3438" s="1" t="n">
        <v>46086</v>
      </c>
      <c r="D3438" t="inlineStr">
        <is>
          <t>GÄVLEBORGS LÄN</t>
        </is>
      </c>
      <c r="E3438" t="inlineStr">
        <is>
          <t>OCKELBO</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31126-2025</t>
        </is>
      </c>
      <c r="B3439" s="1" t="n">
        <v>45832.62875</v>
      </c>
      <c r="C3439" s="1" t="n">
        <v>46086</v>
      </c>
      <c r="D3439" t="inlineStr">
        <is>
          <t>GÄVLEBORGS LÄN</t>
        </is>
      </c>
      <c r="E3439" t="inlineStr">
        <is>
          <t>LJUSDAL</t>
        </is>
      </c>
      <c r="F3439" t="inlineStr">
        <is>
          <t>Sveaskog</t>
        </is>
      </c>
      <c r="G3439" t="n">
        <v>5</v>
      </c>
      <c r="H3439" t="n">
        <v>0</v>
      </c>
      <c r="I3439" t="n">
        <v>0</v>
      </c>
      <c r="J3439" t="n">
        <v>0</v>
      </c>
      <c r="K3439" t="n">
        <v>0</v>
      </c>
      <c r="L3439" t="n">
        <v>0</v>
      </c>
      <c r="M3439" t="n">
        <v>0</v>
      </c>
      <c r="N3439" t="n">
        <v>0</v>
      </c>
      <c r="O3439" t="n">
        <v>0</v>
      </c>
      <c r="P3439" t="n">
        <v>0</v>
      </c>
      <c r="Q3439" t="n">
        <v>0</v>
      </c>
      <c r="R3439" s="2" t="inlineStr"/>
    </row>
    <row r="3440" ht="15" customHeight="1">
      <c r="A3440" t="inlineStr">
        <is>
          <t>A 31130-2025</t>
        </is>
      </c>
      <c r="B3440" s="1" t="n">
        <v>45832.63040509259</v>
      </c>
      <c r="C3440" s="1" t="n">
        <v>46086</v>
      </c>
      <c r="D3440" t="inlineStr">
        <is>
          <t>GÄVLEBORGS LÄN</t>
        </is>
      </c>
      <c r="E3440" t="inlineStr">
        <is>
          <t>LJUSDAL</t>
        </is>
      </c>
      <c r="F3440" t="inlineStr">
        <is>
          <t>Sveaskog</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41046-2025</t>
        </is>
      </c>
      <c r="B3441" s="1" t="n">
        <v>45898.39636574074</v>
      </c>
      <c r="C3441" s="1" t="n">
        <v>46086</v>
      </c>
      <c r="D3441" t="inlineStr">
        <is>
          <t>GÄVLEBORGS LÄN</t>
        </is>
      </c>
      <c r="E3441" t="inlineStr">
        <is>
          <t>GÄVLE</t>
        </is>
      </c>
      <c r="F3441" t="inlineStr">
        <is>
          <t>Bergvik skog väst AB</t>
        </is>
      </c>
      <c r="G3441" t="n">
        <v>6.5</v>
      </c>
      <c r="H3441" t="n">
        <v>0</v>
      </c>
      <c r="I3441" t="n">
        <v>0</v>
      </c>
      <c r="J3441" t="n">
        <v>0</v>
      </c>
      <c r="K3441" t="n">
        <v>0</v>
      </c>
      <c r="L3441" t="n">
        <v>0</v>
      </c>
      <c r="M3441" t="n">
        <v>0</v>
      </c>
      <c r="N3441" t="n">
        <v>0</v>
      </c>
      <c r="O3441" t="n">
        <v>0</v>
      </c>
      <c r="P3441" t="n">
        <v>0</v>
      </c>
      <c r="Q3441" t="n">
        <v>0</v>
      </c>
      <c r="R3441" s="2" t="inlineStr"/>
    </row>
    <row r="3442" ht="15" customHeight="1">
      <c r="A3442" t="inlineStr">
        <is>
          <t>A 30841-2025</t>
        </is>
      </c>
      <c r="B3442" s="1" t="n">
        <v>45831.75489583334</v>
      </c>
      <c r="C3442" s="1" t="n">
        <v>46086</v>
      </c>
      <c r="D3442" t="inlineStr">
        <is>
          <t>GÄVLEBORGS LÄN</t>
        </is>
      </c>
      <c r="E3442" t="inlineStr">
        <is>
          <t>HUDIKSVALL</t>
        </is>
      </c>
      <c r="G3442" t="n">
        <v>5.2</v>
      </c>
      <c r="H3442" t="n">
        <v>0</v>
      </c>
      <c r="I3442" t="n">
        <v>0</v>
      </c>
      <c r="J3442" t="n">
        <v>0</v>
      </c>
      <c r="K3442" t="n">
        <v>0</v>
      </c>
      <c r="L3442" t="n">
        <v>0</v>
      </c>
      <c r="M3442" t="n">
        <v>0</v>
      </c>
      <c r="N3442" t="n">
        <v>0</v>
      </c>
      <c r="O3442" t="n">
        <v>0</v>
      </c>
      <c r="P3442" t="n">
        <v>0</v>
      </c>
      <c r="Q3442" t="n">
        <v>0</v>
      </c>
      <c r="R3442" s="2" t="inlineStr"/>
    </row>
    <row r="3443" ht="15" customHeight="1">
      <c r="A3443" t="inlineStr">
        <is>
          <t>A 2585-2026</t>
        </is>
      </c>
      <c r="B3443" s="1" t="n">
        <v>46037</v>
      </c>
      <c r="C3443" s="1" t="n">
        <v>46086</v>
      </c>
      <c r="D3443" t="inlineStr">
        <is>
          <t>GÄVLEBORGS LÄN</t>
        </is>
      </c>
      <c r="E3443" t="inlineStr">
        <is>
          <t>SANDVIKEN</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2593-2026</t>
        </is>
      </c>
      <c r="B3444" s="1" t="n">
        <v>46037.54952546296</v>
      </c>
      <c r="C3444" s="1" t="n">
        <v>46086</v>
      </c>
      <c r="D3444" t="inlineStr">
        <is>
          <t>GÄVLEBORGS LÄN</t>
        </is>
      </c>
      <c r="E3444" t="inlineStr">
        <is>
          <t>OCKELBO</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2598-2026</t>
        </is>
      </c>
      <c r="B3445" s="1" t="n">
        <v>46037</v>
      </c>
      <c r="C3445" s="1" t="n">
        <v>46086</v>
      </c>
      <c r="D3445" t="inlineStr">
        <is>
          <t>GÄVLEBORGS LÄN</t>
        </is>
      </c>
      <c r="E3445" t="inlineStr">
        <is>
          <t>OVANÅKER</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2604-2026</t>
        </is>
      </c>
      <c r="B3446" s="1" t="n">
        <v>46037</v>
      </c>
      <c r="C3446" s="1" t="n">
        <v>46086</v>
      </c>
      <c r="D3446" t="inlineStr">
        <is>
          <t>GÄVLEBORGS LÄN</t>
        </is>
      </c>
      <c r="E3446" t="inlineStr">
        <is>
          <t>OVANÅKER</t>
        </is>
      </c>
      <c r="G3446" t="n">
        <v>10.4</v>
      </c>
      <c r="H3446" t="n">
        <v>0</v>
      </c>
      <c r="I3446" t="n">
        <v>0</v>
      </c>
      <c r="J3446" t="n">
        <v>0</v>
      </c>
      <c r="K3446" t="n">
        <v>0</v>
      </c>
      <c r="L3446" t="n">
        <v>0</v>
      </c>
      <c r="M3446" t="n">
        <v>0</v>
      </c>
      <c r="N3446" t="n">
        <v>0</v>
      </c>
      <c r="O3446" t="n">
        <v>0</v>
      </c>
      <c r="P3446" t="n">
        <v>0</v>
      </c>
      <c r="Q3446" t="n">
        <v>0</v>
      </c>
      <c r="R3446" s="2" t="inlineStr"/>
    </row>
    <row r="3447" ht="15" customHeight="1">
      <c r="A3447" t="inlineStr">
        <is>
          <t>A 2605-2026</t>
        </is>
      </c>
      <c r="B3447" s="1" t="n">
        <v>46037</v>
      </c>
      <c r="C3447" s="1" t="n">
        <v>46086</v>
      </c>
      <c r="D3447" t="inlineStr">
        <is>
          <t>GÄVLEBORGS LÄN</t>
        </is>
      </c>
      <c r="E3447" t="inlineStr">
        <is>
          <t>OVANÅKER</t>
        </is>
      </c>
      <c r="G3447" t="n">
        <v>8.4</v>
      </c>
      <c r="H3447" t="n">
        <v>0</v>
      </c>
      <c r="I3447" t="n">
        <v>0</v>
      </c>
      <c r="J3447" t="n">
        <v>0</v>
      </c>
      <c r="K3447" t="n">
        <v>0</v>
      </c>
      <c r="L3447" t="n">
        <v>0</v>
      </c>
      <c r="M3447" t="n">
        <v>0</v>
      </c>
      <c r="N3447" t="n">
        <v>0</v>
      </c>
      <c r="O3447" t="n">
        <v>0</v>
      </c>
      <c r="P3447" t="n">
        <v>0</v>
      </c>
      <c r="Q3447" t="n">
        <v>0</v>
      </c>
      <c r="R3447" s="2" t="inlineStr"/>
    </row>
    <row r="3448" ht="15" customHeight="1">
      <c r="A3448" t="inlineStr">
        <is>
          <t>A 30915-2025</t>
        </is>
      </c>
      <c r="B3448" s="1" t="n">
        <v>45832.37814814815</v>
      </c>
      <c r="C3448" s="1" t="n">
        <v>46086</v>
      </c>
      <c r="D3448" t="inlineStr">
        <is>
          <t>GÄVLEBORGS LÄN</t>
        </is>
      </c>
      <c r="E3448" t="inlineStr">
        <is>
          <t>GÄVLE</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31298-2025</t>
        </is>
      </c>
      <c r="B3449" s="1" t="n">
        <v>45833.37363425926</v>
      </c>
      <c r="C3449" s="1" t="n">
        <v>46086</v>
      </c>
      <c r="D3449" t="inlineStr">
        <is>
          <t>GÄVLEBORGS LÄN</t>
        </is>
      </c>
      <c r="E3449" t="inlineStr">
        <is>
          <t>OCKELBO</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41504-2025</t>
        </is>
      </c>
      <c r="B3450" s="1" t="n">
        <v>45901.52376157408</v>
      </c>
      <c r="C3450" s="1" t="n">
        <v>46086</v>
      </c>
      <c r="D3450" t="inlineStr">
        <is>
          <t>GÄVLEBORGS LÄN</t>
        </is>
      </c>
      <c r="E3450" t="inlineStr">
        <is>
          <t>BOLLNÄS</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59931-2023</t>
        </is>
      </c>
      <c r="B3451" s="1" t="n">
        <v>45257.66400462963</v>
      </c>
      <c r="C3451" s="1" t="n">
        <v>46086</v>
      </c>
      <c r="D3451" t="inlineStr">
        <is>
          <t>GÄVLEBORGS LÄN</t>
        </is>
      </c>
      <c r="E3451" t="inlineStr">
        <is>
          <t>LJUSDAL</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5446-2026</t>
        </is>
      </c>
      <c r="B3452" s="1" t="n">
        <v>46050</v>
      </c>
      <c r="C3452" s="1" t="n">
        <v>46086</v>
      </c>
      <c r="D3452" t="inlineStr">
        <is>
          <t>GÄVLEBORGS LÄN</t>
        </is>
      </c>
      <c r="E3452" t="inlineStr">
        <is>
          <t>OVANÅKER</t>
        </is>
      </c>
      <c r="G3452" t="n">
        <v>5.3</v>
      </c>
      <c r="H3452" t="n">
        <v>0</v>
      </c>
      <c r="I3452" t="n">
        <v>0</v>
      </c>
      <c r="J3452" t="n">
        <v>0</v>
      </c>
      <c r="K3452" t="n">
        <v>0</v>
      </c>
      <c r="L3452" t="n">
        <v>0</v>
      </c>
      <c r="M3452" t="n">
        <v>0</v>
      </c>
      <c r="N3452" t="n">
        <v>0</v>
      </c>
      <c r="O3452" t="n">
        <v>0</v>
      </c>
      <c r="P3452" t="n">
        <v>0</v>
      </c>
      <c r="Q3452" t="n">
        <v>0</v>
      </c>
      <c r="R3452" s="2" t="inlineStr"/>
    </row>
    <row r="3453" ht="15" customHeight="1">
      <c r="A3453" t="inlineStr">
        <is>
          <t>A 6846-2026</t>
        </is>
      </c>
      <c r="B3453" s="1" t="n">
        <v>46057</v>
      </c>
      <c r="C3453" s="1" t="n">
        <v>46086</v>
      </c>
      <c r="D3453" t="inlineStr">
        <is>
          <t>GÄVLEBORGS LÄN</t>
        </is>
      </c>
      <c r="E3453" t="inlineStr">
        <is>
          <t>HUDIKSVALL</t>
        </is>
      </c>
      <c r="F3453" t="inlineStr">
        <is>
          <t>Naturvårdsverket</t>
        </is>
      </c>
      <c r="G3453" t="n">
        <v>4.7</v>
      </c>
      <c r="H3453" t="n">
        <v>0</v>
      </c>
      <c r="I3453" t="n">
        <v>0</v>
      </c>
      <c r="J3453" t="n">
        <v>0</v>
      </c>
      <c r="K3453" t="n">
        <v>0</v>
      </c>
      <c r="L3453" t="n">
        <v>0</v>
      </c>
      <c r="M3453" t="n">
        <v>0</v>
      </c>
      <c r="N3453" t="n">
        <v>0</v>
      </c>
      <c r="O3453" t="n">
        <v>0</v>
      </c>
      <c r="P3453" t="n">
        <v>0</v>
      </c>
      <c r="Q3453" t="n">
        <v>0</v>
      </c>
      <c r="R3453" s="2" t="inlineStr"/>
    </row>
    <row r="3454" ht="15" customHeight="1">
      <c r="A3454" t="inlineStr">
        <is>
          <t>A 7758-2026</t>
        </is>
      </c>
      <c r="B3454" s="1" t="n">
        <v>46062.55167824074</v>
      </c>
      <c r="C3454" s="1" t="n">
        <v>46086</v>
      </c>
      <c r="D3454" t="inlineStr">
        <is>
          <t>GÄVLEBORGS LÄN</t>
        </is>
      </c>
      <c r="E3454" t="inlineStr">
        <is>
          <t>OVANÅKER</t>
        </is>
      </c>
      <c r="F3454" t="inlineStr">
        <is>
          <t>Sveaskog</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8199-2026</t>
        </is>
      </c>
      <c r="B3455" s="1" t="n">
        <v>46064</v>
      </c>
      <c r="C3455" s="1" t="n">
        <v>46086</v>
      </c>
      <c r="D3455" t="inlineStr">
        <is>
          <t>GÄVLEBORGS LÄN</t>
        </is>
      </c>
      <c r="E3455" t="inlineStr">
        <is>
          <t>BOLLNÄS</t>
        </is>
      </c>
      <c r="F3455" t="inlineStr">
        <is>
          <t>Bergvik skog väst AB</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2360-2026</t>
        </is>
      </c>
      <c r="B3456" s="1" t="n">
        <v>46036</v>
      </c>
      <c r="C3456" s="1" t="n">
        <v>46086</v>
      </c>
      <c r="D3456" t="inlineStr">
        <is>
          <t>GÄVLEBORGS LÄN</t>
        </is>
      </c>
      <c r="E3456" t="inlineStr">
        <is>
          <t>OCKELBO</t>
        </is>
      </c>
      <c r="F3456" t="inlineStr">
        <is>
          <t>Bergvik skog väst AB</t>
        </is>
      </c>
      <c r="G3456" t="n">
        <v>6.3</v>
      </c>
      <c r="H3456" t="n">
        <v>0</v>
      </c>
      <c r="I3456" t="n">
        <v>0</v>
      </c>
      <c r="J3456" t="n">
        <v>0</v>
      </c>
      <c r="K3456" t="n">
        <v>0</v>
      </c>
      <c r="L3456" t="n">
        <v>0</v>
      </c>
      <c r="M3456" t="n">
        <v>0</v>
      </c>
      <c r="N3456" t="n">
        <v>0</v>
      </c>
      <c r="O3456" t="n">
        <v>0</v>
      </c>
      <c r="P3456" t="n">
        <v>0</v>
      </c>
      <c r="Q3456" t="n">
        <v>0</v>
      </c>
      <c r="R3456" s="2" t="inlineStr"/>
    </row>
    <row r="3457" ht="15" customHeight="1">
      <c r="A3457" t="inlineStr">
        <is>
          <t>A 2361-2026</t>
        </is>
      </c>
      <c r="B3457" s="1" t="n">
        <v>46036.63957175926</v>
      </c>
      <c r="C3457" s="1" t="n">
        <v>46086</v>
      </c>
      <c r="D3457" t="inlineStr">
        <is>
          <t>GÄVLEBORGS LÄN</t>
        </is>
      </c>
      <c r="E3457" t="inlineStr">
        <is>
          <t>BOLLNÄS</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18108-2021</t>
        </is>
      </c>
      <c r="B3458" s="1" t="n">
        <v>44302.49407407407</v>
      </c>
      <c r="C3458" s="1" t="n">
        <v>46086</v>
      </c>
      <c r="D3458" t="inlineStr">
        <is>
          <t>GÄVLEBORGS LÄN</t>
        </is>
      </c>
      <c r="E3458" t="inlineStr">
        <is>
          <t>LJUSDAL</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2363-2026</t>
        </is>
      </c>
      <c r="B3459" s="1" t="n">
        <v>46036.64140046296</v>
      </c>
      <c r="C3459" s="1" t="n">
        <v>46086</v>
      </c>
      <c r="D3459" t="inlineStr">
        <is>
          <t>GÄVLEBORGS LÄN</t>
        </is>
      </c>
      <c r="E3459" t="inlineStr">
        <is>
          <t>BOLLNÄS</t>
        </is>
      </c>
      <c r="G3459" t="n">
        <v>7.8</v>
      </c>
      <c r="H3459" t="n">
        <v>0</v>
      </c>
      <c r="I3459" t="n">
        <v>0</v>
      </c>
      <c r="J3459" t="n">
        <v>0</v>
      </c>
      <c r="K3459" t="n">
        <v>0</v>
      </c>
      <c r="L3459" t="n">
        <v>0</v>
      </c>
      <c r="M3459" t="n">
        <v>0</v>
      </c>
      <c r="N3459" t="n">
        <v>0</v>
      </c>
      <c r="O3459" t="n">
        <v>0</v>
      </c>
      <c r="P3459" t="n">
        <v>0</v>
      </c>
      <c r="Q3459" t="n">
        <v>0</v>
      </c>
      <c r="R3459" s="2" t="inlineStr"/>
    </row>
    <row r="3460" ht="15" customHeight="1">
      <c r="A3460" t="inlineStr">
        <is>
          <t>A 2369-2026</t>
        </is>
      </c>
      <c r="B3460" s="1" t="n">
        <v>46036.646875</v>
      </c>
      <c r="C3460" s="1" t="n">
        <v>46086</v>
      </c>
      <c r="D3460" t="inlineStr">
        <is>
          <t>GÄVLEBORGS LÄN</t>
        </is>
      </c>
      <c r="E3460" t="inlineStr">
        <is>
          <t>BOLLNÄS</t>
        </is>
      </c>
      <c r="G3460" t="n">
        <v>4.8</v>
      </c>
      <c r="H3460" t="n">
        <v>0</v>
      </c>
      <c r="I3460" t="n">
        <v>0</v>
      </c>
      <c r="J3460" t="n">
        <v>0</v>
      </c>
      <c r="K3460" t="n">
        <v>0</v>
      </c>
      <c r="L3460" t="n">
        <v>0</v>
      </c>
      <c r="M3460" t="n">
        <v>0</v>
      </c>
      <c r="N3460" t="n">
        <v>0</v>
      </c>
      <c r="O3460" t="n">
        <v>0</v>
      </c>
      <c r="P3460" t="n">
        <v>0</v>
      </c>
      <c r="Q3460" t="n">
        <v>0</v>
      </c>
      <c r="R3460" s="2" t="inlineStr"/>
    </row>
    <row r="3461" ht="15" customHeight="1">
      <c r="A3461" t="inlineStr">
        <is>
          <t>A 8761-2026</t>
        </is>
      </c>
      <c r="B3461" s="1" t="n">
        <v>46066</v>
      </c>
      <c r="C3461" s="1" t="n">
        <v>46086</v>
      </c>
      <c r="D3461" t="inlineStr">
        <is>
          <t>GÄVLEBORGS LÄN</t>
        </is>
      </c>
      <c r="E3461" t="inlineStr">
        <is>
          <t>BOLLNÄS</t>
        </is>
      </c>
      <c r="G3461" t="n">
        <v>6.8</v>
      </c>
      <c r="H3461" t="n">
        <v>0</v>
      </c>
      <c r="I3461" t="n">
        <v>0</v>
      </c>
      <c r="J3461" t="n">
        <v>0</v>
      </c>
      <c r="K3461" t="n">
        <v>0</v>
      </c>
      <c r="L3461" t="n">
        <v>0</v>
      </c>
      <c r="M3461" t="n">
        <v>0</v>
      </c>
      <c r="N3461" t="n">
        <v>0</v>
      </c>
      <c r="O3461" t="n">
        <v>0</v>
      </c>
      <c r="P3461" t="n">
        <v>0</v>
      </c>
      <c r="Q3461" t="n">
        <v>0</v>
      </c>
      <c r="R3461" s="2" t="inlineStr"/>
    </row>
    <row r="3462" ht="15" customHeight="1">
      <c r="A3462" t="inlineStr">
        <is>
          <t>A 9697-2025</t>
        </is>
      </c>
      <c r="B3462" s="1" t="n">
        <v>45716.37329861111</v>
      </c>
      <c r="C3462" s="1" t="n">
        <v>46086</v>
      </c>
      <c r="D3462" t="inlineStr">
        <is>
          <t>GÄVLEBORGS LÄN</t>
        </is>
      </c>
      <c r="E3462" t="inlineStr">
        <is>
          <t>BOLLNÄS</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10811-2025</t>
        </is>
      </c>
      <c r="B3463" s="1" t="n">
        <v>45722.53859953704</v>
      </c>
      <c r="C3463" s="1" t="n">
        <v>46086</v>
      </c>
      <c r="D3463" t="inlineStr">
        <is>
          <t>GÄVLEBORGS LÄN</t>
        </is>
      </c>
      <c r="E3463" t="inlineStr">
        <is>
          <t>GÄVLE</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31460-2025</t>
        </is>
      </c>
      <c r="B3464" s="1" t="n">
        <v>45833.5490162037</v>
      </c>
      <c r="C3464" s="1" t="n">
        <v>46086</v>
      </c>
      <c r="D3464" t="inlineStr">
        <is>
          <t>GÄVLEBORGS LÄN</t>
        </is>
      </c>
      <c r="E3464" t="inlineStr">
        <is>
          <t>SANDVIKEN</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37580-2025</t>
        </is>
      </c>
      <c r="B3465" s="1" t="n">
        <v>45880.38586805556</v>
      </c>
      <c r="C3465" s="1" t="n">
        <v>46086</v>
      </c>
      <c r="D3465" t="inlineStr">
        <is>
          <t>GÄVLEBORGS LÄN</t>
        </is>
      </c>
      <c r="E3465" t="inlineStr">
        <is>
          <t>OCKELBO</t>
        </is>
      </c>
      <c r="G3465" t="n">
        <v>4.4</v>
      </c>
      <c r="H3465" t="n">
        <v>0</v>
      </c>
      <c r="I3465" t="n">
        <v>0</v>
      </c>
      <c r="J3465" t="n">
        <v>0</v>
      </c>
      <c r="K3465" t="n">
        <v>0</v>
      </c>
      <c r="L3465" t="n">
        <v>0</v>
      </c>
      <c r="M3465" t="n">
        <v>0</v>
      </c>
      <c r="N3465" t="n">
        <v>0</v>
      </c>
      <c r="O3465" t="n">
        <v>0</v>
      </c>
      <c r="P3465" t="n">
        <v>0</v>
      </c>
      <c r="Q3465" t="n">
        <v>0</v>
      </c>
      <c r="R3465" s="2" t="inlineStr"/>
    </row>
    <row r="3466" ht="15" customHeight="1">
      <c r="A3466" t="inlineStr">
        <is>
          <t>A 31202-2025</t>
        </is>
      </c>
      <c r="B3466" s="1" t="n">
        <v>45832.69885416667</v>
      </c>
      <c r="C3466" s="1" t="n">
        <v>46086</v>
      </c>
      <c r="D3466" t="inlineStr">
        <is>
          <t>GÄVLEBORGS LÄN</t>
        </is>
      </c>
      <c r="E3466" t="inlineStr">
        <is>
          <t>SANDVIKEN</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11139-2026</t>
        </is>
      </c>
      <c r="B3467" s="1" t="n">
        <v>46079.81462962963</v>
      </c>
      <c r="C3467" s="1" t="n">
        <v>46086</v>
      </c>
      <c r="D3467" t="inlineStr">
        <is>
          <t>GÄVLEBORGS LÄN</t>
        </is>
      </c>
      <c r="E3467" t="inlineStr">
        <is>
          <t>BOLLNÄS</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10641-2026</t>
        </is>
      </c>
      <c r="B3468" s="1" t="n">
        <v>46078.32486111111</v>
      </c>
      <c r="C3468" s="1" t="n">
        <v>46086</v>
      </c>
      <c r="D3468" t="inlineStr">
        <is>
          <t>GÄVLEBORGS LÄN</t>
        </is>
      </c>
      <c r="E3468" t="inlineStr">
        <is>
          <t>GÄVLE</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10642-2026</t>
        </is>
      </c>
      <c r="B3469" s="1" t="n">
        <v>46078.32804398148</v>
      </c>
      <c r="C3469" s="1" t="n">
        <v>46086</v>
      </c>
      <c r="D3469" t="inlineStr">
        <is>
          <t>GÄVLEBORGS LÄN</t>
        </is>
      </c>
      <c r="E3469" t="inlineStr">
        <is>
          <t>NORDANSTIG</t>
        </is>
      </c>
      <c r="F3469" t="inlineStr">
        <is>
          <t>Holmen skog AB</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37780-2024</t>
        </is>
      </c>
      <c r="B3470" s="1" t="n">
        <v>45542.70951388889</v>
      </c>
      <c r="C3470" s="1" t="n">
        <v>46086</v>
      </c>
      <c r="D3470" t="inlineStr">
        <is>
          <t>GÄVLEBORGS LÄN</t>
        </is>
      </c>
      <c r="E3470" t="inlineStr">
        <is>
          <t>BOLLNÄS</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59930-2024</t>
        </is>
      </c>
      <c r="B3471" s="1" t="n">
        <v>45642</v>
      </c>
      <c r="C3471" s="1" t="n">
        <v>46086</v>
      </c>
      <c r="D3471" t="inlineStr">
        <is>
          <t>GÄVLEBORGS LÄN</t>
        </is>
      </c>
      <c r="E3471" t="inlineStr">
        <is>
          <t>NORDANSTIG</t>
        </is>
      </c>
      <c r="G3471" t="n">
        <v>0.1</v>
      </c>
      <c r="H3471" t="n">
        <v>0</v>
      </c>
      <c r="I3471" t="n">
        <v>0</v>
      </c>
      <c r="J3471" t="n">
        <v>0</v>
      </c>
      <c r="K3471" t="n">
        <v>0</v>
      </c>
      <c r="L3471" t="n">
        <v>0</v>
      </c>
      <c r="M3471" t="n">
        <v>0</v>
      </c>
      <c r="N3471" t="n">
        <v>0</v>
      </c>
      <c r="O3471" t="n">
        <v>0</v>
      </c>
      <c r="P3471" t="n">
        <v>0</v>
      </c>
      <c r="Q3471" t="n">
        <v>0</v>
      </c>
      <c r="R3471" s="2" t="inlineStr"/>
    </row>
    <row r="3472" ht="15" customHeight="1">
      <c r="A3472" t="inlineStr">
        <is>
          <t>A 59941-2024</t>
        </is>
      </c>
      <c r="B3472" s="1" t="n">
        <v>45642.33047453704</v>
      </c>
      <c r="C3472" s="1" t="n">
        <v>46086</v>
      </c>
      <c r="D3472" t="inlineStr">
        <is>
          <t>GÄVLEBORGS LÄN</t>
        </is>
      </c>
      <c r="E3472" t="inlineStr">
        <is>
          <t>OCKELBO</t>
        </is>
      </c>
      <c r="F3472" t="inlineStr">
        <is>
          <t>Bergvik skog öst AB</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31040-2025</t>
        </is>
      </c>
      <c r="B3473" s="1" t="n">
        <v>45832.55109953704</v>
      </c>
      <c r="C3473" s="1" t="n">
        <v>46086</v>
      </c>
      <c r="D3473" t="inlineStr">
        <is>
          <t>GÄVLEBORGS LÄN</t>
        </is>
      </c>
      <c r="E3473" t="inlineStr">
        <is>
          <t>LJUSDAL</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55422-2022</t>
        </is>
      </c>
      <c r="B3474" s="1" t="n">
        <v>44887</v>
      </c>
      <c r="C3474" s="1" t="n">
        <v>46086</v>
      </c>
      <c r="D3474" t="inlineStr">
        <is>
          <t>GÄVLEBORGS LÄN</t>
        </is>
      </c>
      <c r="E3474" t="inlineStr">
        <is>
          <t>OCKELBO</t>
        </is>
      </c>
      <c r="G3474" t="n">
        <v>0.1</v>
      </c>
      <c r="H3474" t="n">
        <v>0</v>
      </c>
      <c r="I3474" t="n">
        <v>0</v>
      </c>
      <c r="J3474" t="n">
        <v>0</v>
      </c>
      <c r="K3474" t="n">
        <v>0</v>
      </c>
      <c r="L3474" t="n">
        <v>0</v>
      </c>
      <c r="M3474" t="n">
        <v>0</v>
      </c>
      <c r="N3474" t="n">
        <v>0</v>
      </c>
      <c r="O3474" t="n">
        <v>0</v>
      </c>
      <c r="P3474" t="n">
        <v>0</v>
      </c>
      <c r="Q3474" t="n">
        <v>0</v>
      </c>
      <c r="R3474" s="2" t="inlineStr"/>
    </row>
    <row r="3475" ht="15" customHeight="1">
      <c r="A3475" t="inlineStr">
        <is>
          <t>A 10535-2026</t>
        </is>
      </c>
      <c r="B3475" s="1" t="n">
        <v>46077.59396990741</v>
      </c>
      <c r="C3475" s="1" t="n">
        <v>46086</v>
      </c>
      <c r="D3475" t="inlineStr">
        <is>
          <t>GÄVLEBORGS LÄN</t>
        </is>
      </c>
      <c r="E3475" t="inlineStr">
        <is>
          <t>OCKELBO</t>
        </is>
      </c>
      <c r="F3475" t="inlineStr">
        <is>
          <t>Bergvik skog öst AB</t>
        </is>
      </c>
      <c r="G3475" t="n">
        <v>6.2</v>
      </c>
      <c r="H3475" t="n">
        <v>0</v>
      </c>
      <c r="I3475" t="n">
        <v>0</v>
      </c>
      <c r="J3475" t="n">
        <v>0</v>
      </c>
      <c r="K3475" t="n">
        <v>0</v>
      </c>
      <c r="L3475" t="n">
        <v>0</v>
      </c>
      <c r="M3475" t="n">
        <v>0</v>
      </c>
      <c r="N3475" t="n">
        <v>0</v>
      </c>
      <c r="O3475" t="n">
        <v>0</v>
      </c>
      <c r="P3475" t="n">
        <v>0</v>
      </c>
      <c r="Q3475" t="n">
        <v>0</v>
      </c>
      <c r="R3475" s="2" t="inlineStr"/>
    </row>
    <row r="3476" ht="15" customHeight="1">
      <c r="A3476" t="inlineStr">
        <is>
          <t>A 562-2026</t>
        </is>
      </c>
      <c r="B3476" s="1" t="n">
        <v>46029</v>
      </c>
      <c r="C3476" s="1" t="n">
        <v>46086</v>
      </c>
      <c r="D3476" t="inlineStr">
        <is>
          <t>GÄVLEBORGS LÄN</t>
        </is>
      </c>
      <c r="E3476" t="inlineStr">
        <is>
          <t>BOLLNÄS</t>
        </is>
      </c>
      <c r="G3476" t="n">
        <v>24.3</v>
      </c>
      <c r="H3476" t="n">
        <v>0</v>
      </c>
      <c r="I3476" t="n">
        <v>0</v>
      </c>
      <c r="J3476" t="n">
        <v>0</v>
      </c>
      <c r="K3476" t="n">
        <v>0</v>
      </c>
      <c r="L3476" t="n">
        <v>0</v>
      </c>
      <c r="M3476" t="n">
        <v>0</v>
      </c>
      <c r="N3476" t="n">
        <v>0</v>
      </c>
      <c r="O3476" t="n">
        <v>0</v>
      </c>
      <c r="P3476" t="n">
        <v>0</v>
      </c>
      <c r="Q3476" t="n">
        <v>0</v>
      </c>
      <c r="R3476" s="2" t="inlineStr"/>
    </row>
    <row r="3477" ht="15" customHeight="1">
      <c r="A3477" t="inlineStr">
        <is>
          <t>A 15939-2025</t>
        </is>
      </c>
      <c r="B3477" s="1" t="n">
        <v>45749.48018518519</v>
      </c>
      <c r="C3477" s="1" t="n">
        <v>46086</v>
      </c>
      <c r="D3477" t="inlineStr">
        <is>
          <t>GÄVLEBORGS LÄN</t>
        </is>
      </c>
      <c r="E3477" t="inlineStr">
        <is>
          <t>GÄVLE</t>
        </is>
      </c>
      <c r="F3477" t="inlineStr">
        <is>
          <t>Bergvik skog öst AB</t>
        </is>
      </c>
      <c r="G3477" t="n">
        <v>7</v>
      </c>
      <c r="H3477" t="n">
        <v>0</v>
      </c>
      <c r="I3477" t="n">
        <v>0</v>
      </c>
      <c r="J3477" t="n">
        <v>0</v>
      </c>
      <c r="K3477" t="n">
        <v>0</v>
      </c>
      <c r="L3477" t="n">
        <v>0</v>
      </c>
      <c r="M3477" t="n">
        <v>0</v>
      </c>
      <c r="N3477" t="n">
        <v>0</v>
      </c>
      <c r="O3477" t="n">
        <v>0</v>
      </c>
      <c r="P3477" t="n">
        <v>0</v>
      </c>
      <c r="Q3477" t="n">
        <v>0</v>
      </c>
      <c r="R3477" s="2" t="inlineStr"/>
    </row>
    <row r="3478" ht="15" customHeight="1">
      <c r="A3478" t="inlineStr">
        <is>
          <t>A 41156-2025</t>
        </is>
      </c>
      <c r="B3478" s="1" t="n">
        <v>45898.52877314815</v>
      </c>
      <c r="C3478" s="1" t="n">
        <v>46086</v>
      </c>
      <c r="D3478" t="inlineStr">
        <is>
          <t>GÄVLEBORGS LÄN</t>
        </is>
      </c>
      <c r="E3478" t="inlineStr">
        <is>
          <t>HUDIKSVALL</t>
        </is>
      </c>
      <c r="F3478" t="inlineStr">
        <is>
          <t>Holmen skog AB</t>
        </is>
      </c>
      <c r="G3478" t="n">
        <v>5.3</v>
      </c>
      <c r="H3478" t="n">
        <v>0</v>
      </c>
      <c r="I3478" t="n">
        <v>0</v>
      </c>
      <c r="J3478" t="n">
        <v>0</v>
      </c>
      <c r="K3478" t="n">
        <v>0</v>
      </c>
      <c r="L3478" t="n">
        <v>0</v>
      </c>
      <c r="M3478" t="n">
        <v>0</v>
      </c>
      <c r="N3478" t="n">
        <v>0</v>
      </c>
      <c r="O3478" t="n">
        <v>0</v>
      </c>
      <c r="P3478" t="n">
        <v>0</v>
      </c>
      <c r="Q3478" t="n">
        <v>0</v>
      </c>
      <c r="R3478" s="2" t="inlineStr"/>
    </row>
    <row r="3479" ht="15" customHeight="1">
      <c r="A3479" t="inlineStr">
        <is>
          <t>A 41164-2025</t>
        </is>
      </c>
      <c r="B3479" s="1" t="n">
        <v>45898.53631944444</v>
      </c>
      <c r="C3479" s="1" t="n">
        <v>46086</v>
      </c>
      <c r="D3479" t="inlineStr">
        <is>
          <t>GÄVLEBORGS LÄN</t>
        </is>
      </c>
      <c r="E3479" t="inlineStr">
        <is>
          <t>HUDIKSVALL</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41167-2025</t>
        </is>
      </c>
      <c r="B3480" s="1" t="n">
        <v>45898.54394675926</v>
      </c>
      <c r="C3480" s="1" t="n">
        <v>46086</v>
      </c>
      <c r="D3480" t="inlineStr">
        <is>
          <t>GÄVLEBORGS LÄN</t>
        </is>
      </c>
      <c r="E3480" t="inlineStr">
        <is>
          <t>BOLLNÄS</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30926-2025</t>
        </is>
      </c>
      <c r="B3481" s="1" t="n">
        <v>45832.38623842593</v>
      </c>
      <c r="C3481" s="1" t="n">
        <v>46086</v>
      </c>
      <c r="D3481" t="inlineStr">
        <is>
          <t>GÄVLEBORGS LÄN</t>
        </is>
      </c>
      <c r="E3481" t="inlineStr">
        <is>
          <t>LJUSDAL</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2204-2026</t>
        </is>
      </c>
      <c r="B3482" s="1" t="n">
        <v>46036.48025462963</v>
      </c>
      <c r="C3482" s="1" t="n">
        <v>46086</v>
      </c>
      <c r="D3482" t="inlineStr">
        <is>
          <t>GÄVLEBORGS LÄN</t>
        </is>
      </c>
      <c r="E3482" t="inlineStr">
        <is>
          <t>OCKELBO</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41208-2025</t>
        </is>
      </c>
      <c r="B3483" s="1" t="n">
        <v>45898.57782407408</v>
      </c>
      <c r="C3483" s="1" t="n">
        <v>46086</v>
      </c>
      <c r="D3483" t="inlineStr">
        <is>
          <t>GÄVLEBORGS LÄN</t>
        </is>
      </c>
      <c r="E3483" t="inlineStr">
        <is>
          <t>LJUSDAL</t>
        </is>
      </c>
      <c r="F3483" t="inlineStr">
        <is>
          <t>Sveaskog</t>
        </is>
      </c>
      <c r="G3483" t="n">
        <v>10.3</v>
      </c>
      <c r="H3483" t="n">
        <v>0</v>
      </c>
      <c r="I3483" t="n">
        <v>0</v>
      </c>
      <c r="J3483" t="n">
        <v>0</v>
      </c>
      <c r="K3483" t="n">
        <v>0</v>
      </c>
      <c r="L3483" t="n">
        <v>0</v>
      </c>
      <c r="M3483" t="n">
        <v>0</v>
      </c>
      <c r="N3483" t="n">
        <v>0</v>
      </c>
      <c r="O3483" t="n">
        <v>0</v>
      </c>
      <c r="P3483" t="n">
        <v>0</v>
      </c>
      <c r="Q3483" t="n">
        <v>0</v>
      </c>
      <c r="R3483" s="2" t="inlineStr"/>
    </row>
    <row r="3484" ht="15" customHeight="1">
      <c r="A3484" t="inlineStr">
        <is>
          <t>A 2220-2026</t>
        </is>
      </c>
      <c r="B3484" s="1" t="n">
        <v>46036.50115740741</v>
      </c>
      <c r="C3484" s="1" t="n">
        <v>46086</v>
      </c>
      <c r="D3484" t="inlineStr">
        <is>
          <t>GÄVLEBORGS LÄN</t>
        </is>
      </c>
      <c r="E3484" t="inlineStr">
        <is>
          <t>HOFORS</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10978-2026</t>
        </is>
      </c>
      <c r="B3485" s="1" t="n">
        <v>46079.46497685185</v>
      </c>
      <c r="C3485" s="1" t="n">
        <v>46086</v>
      </c>
      <c r="D3485" t="inlineStr">
        <is>
          <t>GÄVLEBORGS LÄN</t>
        </is>
      </c>
      <c r="E3485" t="inlineStr">
        <is>
          <t>BOLLNÄS</t>
        </is>
      </c>
      <c r="F3485" t="inlineStr">
        <is>
          <t>Bergvik skog väst AB</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32350-2022</t>
        </is>
      </c>
      <c r="B3486" s="1" t="n">
        <v>44781.92569444444</v>
      </c>
      <c r="C3486" s="1" t="n">
        <v>46086</v>
      </c>
      <c r="D3486" t="inlineStr">
        <is>
          <t>GÄVLEBORGS LÄN</t>
        </is>
      </c>
      <c r="E3486" t="inlineStr">
        <is>
          <t>NORDANSTIG</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10989-2026</t>
        </is>
      </c>
      <c r="B3487" s="1" t="n">
        <v>46079.48424768518</v>
      </c>
      <c r="C3487" s="1" t="n">
        <v>46086</v>
      </c>
      <c r="D3487" t="inlineStr">
        <is>
          <t>GÄVLEBORGS LÄN</t>
        </is>
      </c>
      <c r="E3487" t="inlineStr">
        <is>
          <t>OVANÅKER</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9254-2026</t>
        </is>
      </c>
      <c r="B3488" s="1" t="n">
        <v>46070</v>
      </c>
      <c r="C3488" s="1" t="n">
        <v>46086</v>
      </c>
      <c r="D3488" t="inlineStr">
        <is>
          <t>GÄVLEBORGS LÄN</t>
        </is>
      </c>
      <c r="E3488" t="inlineStr">
        <is>
          <t>BOLLNÄS</t>
        </is>
      </c>
      <c r="F3488" t="inlineStr">
        <is>
          <t>Bergvik skog väst AB</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10935-2026</t>
        </is>
      </c>
      <c r="B3489" s="1" t="n">
        <v>46079.36400462963</v>
      </c>
      <c r="C3489" s="1" t="n">
        <v>46086</v>
      </c>
      <c r="D3489" t="inlineStr">
        <is>
          <t>GÄVLEBORGS LÄN</t>
        </is>
      </c>
      <c r="E3489" t="inlineStr">
        <is>
          <t>OVANÅKER</t>
        </is>
      </c>
      <c r="G3489" t="n">
        <v>5.8</v>
      </c>
      <c r="H3489" t="n">
        <v>0</v>
      </c>
      <c r="I3489" t="n">
        <v>0</v>
      </c>
      <c r="J3489" t="n">
        <v>0</v>
      </c>
      <c r="K3489" t="n">
        <v>0</v>
      </c>
      <c r="L3489" t="n">
        <v>0</v>
      </c>
      <c r="M3489" t="n">
        <v>0</v>
      </c>
      <c r="N3489" t="n">
        <v>0</v>
      </c>
      <c r="O3489" t="n">
        <v>0</v>
      </c>
      <c r="P3489" t="n">
        <v>0</v>
      </c>
      <c r="Q3489" t="n">
        <v>0</v>
      </c>
      <c r="R3489" s="2" t="inlineStr"/>
    </row>
    <row r="3490" ht="15" customHeight="1">
      <c r="A3490" t="inlineStr">
        <is>
          <t>A 41408-2025</t>
        </is>
      </c>
      <c r="B3490" s="1" t="n">
        <v>45901.34625</v>
      </c>
      <c r="C3490" s="1" t="n">
        <v>46086</v>
      </c>
      <c r="D3490" t="inlineStr">
        <is>
          <t>GÄVLEBORGS LÄN</t>
        </is>
      </c>
      <c r="E3490" t="inlineStr">
        <is>
          <t>BOLLNÄS</t>
        </is>
      </c>
      <c r="F3490" t="inlineStr">
        <is>
          <t>Kyrkan</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52874-2024</t>
        </is>
      </c>
      <c r="B3491" s="1" t="n">
        <v>45610.63042824074</v>
      </c>
      <c r="C3491" s="1" t="n">
        <v>46086</v>
      </c>
      <c r="D3491" t="inlineStr">
        <is>
          <t>GÄVLEBORGS LÄN</t>
        </is>
      </c>
      <c r="E3491" t="inlineStr">
        <is>
          <t>BOLLNÄS</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52881-2024</t>
        </is>
      </c>
      <c r="B3492" s="1" t="n">
        <v>45610.64039351852</v>
      </c>
      <c r="C3492" s="1" t="n">
        <v>46086</v>
      </c>
      <c r="D3492" t="inlineStr">
        <is>
          <t>GÄVLEBORGS LÄN</t>
        </is>
      </c>
      <c r="E3492" t="inlineStr">
        <is>
          <t>NORDANSTIG</t>
        </is>
      </c>
      <c r="F3492" t="inlineStr">
        <is>
          <t>Holmen skog AB</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21061-2023</t>
        </is>
      </c>
      <c r="B3493" s="1" t="n">
        <v>45061</v>
      </c>
      <c r="C3493" s="1" t="n">
        <v>46086</v>
      </c>
      <c r="D3493" t="inlineStr">
        <is>
          <t>GÄVLEBORGS LÄN</t>
        </is>
      </c>
      <c r="E3493" t="inlineStr">
        <is>
          <t>BOLLNÄS</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20780-2021</t>
        </is>
      </c>
      <c r="B3494" s="1" t="n">
        <v>44316.61788194445</v>
      </c>
      <c r="C3494" s="1" t="n">
        <v>46086</v>
      </c>
      <c r="D3494" t="inlineStr">
        <is>
          <t>GÄVLEBORGS LÄN</t>
        </is>
      </c>
      <c r="E3494" t="inlineStr">
        <is>
          <t>SANDVIKEN</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24941-2025</t>
        </is>
      </c>
      <c r="B3495" s="1" t="n">
        <v>45799.56206018518</v>
      </c>
      <c r="C3495" s="1" t="n">
        <v>46086</v>
      </c>
      <c r="D3495" t="inlineStr">
        <is>
          <t>GÄVLEBORGS LÄN</t>
        </is>
      </c>
      <c r="E3495" t="inlineStr">
        <is>
          <t>OCKELBO</t>
        </is>
      </c>
      <c r="F3495" t="inlineStr">
        <is>
          <t>Bergvik skog väst AB</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14029-2023</t>
        </is>
      </c>
      <c r="B3496" s="1" t="n">
        <v>45008.61673611111</v>
      </c>
      <c r="C3496" s="1" t="n">
        <v>46086</v>
      </c>
      <c r="D3496" t="inlineStr">
        <is>
          <t>GÄVLEBORGS LÄN</t>
        </is>
      </c>
      <c r="E3496" t="inlineStr">
        <is>
          <t>SÖDERHAMN</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7747-2026</t>
        </is>
      </c>
      <c r="B3497" s="1" t="n">
        <v>46062.54464120371</v>
      </c>
      <c r="C3497" s="1" t="n">
        <v>46086</v>
      </c>
      <c r="D3497" t="inlineStr">
        <is>
          <t>GÄVLEBORGS LÄN</t>
        </is>
      </c>
      <c r="E3497" t="inlineStr">
        <is>
          <t>OVANÅKER</t>
        </is>
      </c>
      <c r="F3497" t="inlineStr">
        <is>
          <t>Sveaskog</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8357-2026</t>
        </is>
      </c>
      <c r="B3498" s="1" t="n">
        <v>46064.65300925926</v>
      </c>
      <c r="C3498" s="1" t="n">
        <v>46086</v>
      </c>
      <c r="D3498" t="inlineStr">
        <is>
          <t>GÄVLEBORGS LÄN</t>
        </is>
      </c>
      <c r="E3498" t="inlineStr">
        <is>
          <t>OVANÅKER</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8374-2026</t>
        </is>
      </c>
      <c r="B3499" s="1" t="n">
        <v>46064.7334837963</v>
      </c>
      <c r="C3499" s="1" t="n">
        <v>46086</v>
      </c>
      <c r="D3499" t="inlineStr">
        <is>
          <t>GÄVLEBORGS LÄN</t>
        </is>
      </c>
      <c r="E3499" t="inlineStr">
        <is>
          <t>BOLLNÄS</t>
        </is>
      </c>
      <c r="G3499" t="n">
        <v>4.6</v>
      </c>
      <c r="H3499" t="n">
        <v>0</v>
      </c>
      <c r="I3499" t="n">
        <v>0</v>
      </c>
      <c r="J3499" t="n">
        <v>0</v>
      </c>
      <c r="K3499" t="n">
        <v>0</v>
      </c>
      <c r="L3499" t="n">
        <v>0</v>
      </c>
      <c r="M3499" t="n">
        <v>0</v>
      </c>
      <c r="N3499" t="n">
        <v>0</v>
      </c>
      <c r="O3499" t="n">
        <v>0</v>
      </c>
      <c r="P3499" t="n">
        <v>0</v>
      </c>
      <c r="Q3499" t="n">
        <v>0</v>
      </c>
      <c r="R3499" s="2" t="inlineStr"/>
    </row>
    <row r="3500" ht="15" customHeight="1">
      <c r="A3500" t="inlineStr">
        <is>
          <t>A 31529-2025</t>
        </is>
      </c>
      <c r="B3500" s="1" t="n">
        <v>45833</v>
      </c>
      <c r="C3500" s="1" t="n">
        <v>46086</v>
      </c>
      <c r="D3500" t="inlineStr">
        <is>
          <t>GÄVLEBORGS LÄN</t>
        </is>
      </c>
      <c r="E3500" t="inlineStr">
        <is>
          <t>LJUSDAL</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31012-2025</t>
        </is>
      </c>
      <c r="B3501" s="1" t="n">
        <v>45832.50887731482</v>
      </c>
      <c r="C3501" s="1" t="n">
        <v>46086</v>
      </c>
      <c r="D3501" t="inlineStr">
        <is>
          <t>GÄVLEBORGS LÄN</t>
        </is>
      </c>
      <c r="E3501" t="inlineStr">
        <is>
          <t>HUDIKSVALL</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55002-2023</t>
        </is>
      </c>
      <c r="B3502" s="1" t="n">
        <v>45236</v>
      </c>
      <c r="C3502" s="1" t="n">
        <v>46086</v>
      </c>
      <c r="D3502" t="inlineStr">
        <is>
          <t>GÄVLEBORGS LÄN</t>
        </is>
      </c>
      <c r="E3502" t="inlineStr">
        <is>
          <t>NORDANSTIG</t>
        </is>
      </c>
      <c r="F3502" t="inlineStr">
        <is>
          <t>SCA</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57511-2024</t>
        </is>
      </c>
      <c r="B3503" s="1" t="n">
        <v>45630.39777777778</v>
      </c>
      <c r="C3503" s="1" t="n">
        <v>46086</v>
      </c>
      <c r="D3503" t="inlineStr">
        <is>
          <t>GÄVLEBORGS LÄN</t>
        </is>
      </c>
      <c r="E3503" t="inlineStr">
        <is>
          <t>HUDIKSVALL</t>
        </is>
      </c>
      <c r="F3503" t="inlineStr">
        <is>
          <t>Holmen skog AB</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24860-2025</t>
        </is>
      </c>
      <c r="B3504" s="1" t="n">
        <v>45799</v>
      </c>
      <c r="C3504" s="1" t="n">
        <v>46086</v>
      </c>
      <c r="D3504" t="inlineStr">
        <is>
          <t>GÄVLEBORGS LÄN</t>
        </is>
      </c>
      <c r="E3504" t="inlineStr">
        <is>
          <t>OVANÅKER</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9243-2026</t>
        </is>
      </c>
      <c r="B3505" s="1" t="n">
        <v>46070</v>
      </c>
      <c r="C3505" s="1" t="n">
        <v>46086</v>
      </c>
      <c r="D3505" t="inlineStr">
        <is>
          <t>GÄVLEBORGS LÄN</t>
        </is>
      </c>
      <c r="E3505" t="inlineStr">
        <is>
          <t>BOLLNÄS</t>
        </is>
      </c>
      <c r="F3505" t="inlineStr">
        <is>
          <t>Bergvik skog väst AB</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2129-2026</t>
        </is>
      </c>
      <c r="B3506" s="1" t="n">
        <v>46036.39043981482</v>
      </c>
      <c r="C3506" s="1" t="n">
        <v>46086</v>
      </c>
      <c r="D3506" t="inlineStr">
        <is>
          <t>GÄVLEBORGS LÄN</t>
        </is>
      </c>
      <c r="E3506" t="inlineStr">
        <is>
          <t>SANDVIKEN</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30740-2024</t>
        </is>
      </c>
      <c r="B3507" s="1" t="n">
        <v>45496.64633101852</v>
      </c>
      <c r="C3507" s="1" t="n">
        <v>46086</v>
      </c>
      <c r="D3507" t="inlineStr">
        <is>
          <t>GÄVLEBORGS LÄN</t>
        </is>
      </c>
      <c r="E3507" t="inlineStr">
        <is>
          <t>SÖDERHAMN</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25476-2024</t>
        </is>
      </c>
      <c r="B3508" s="1" t="n">
        <v>45463.44922453703</v>
      </c>
      <c r="C3508" s="1" t="n">
        <v>46086</v>
      </c>
      <c r="D3508" t="inlineStr">
        <is>
          <t>GÄVLEBORGS LÄN</t>
        </is>
      </c>
      <c r="E3508" t="inlineStr">
        <is>
          <t>HOFORS</t>
        </is>
      </c>
      <c r="F3508" t="inlineStr">
        <is>
          <t>Sveaskog</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41351-2025</t>
        </is>
      </c>
      <c r="B3509" s="1" t="n">
        <v>45899.67356481482</v>
      </c>
      <c r="C3509" s="1" t="n">
        <v>46086</v>
      </c>
      <c r="D3509" t="inlineStr">
        <is>
          <t>GÄVLEBORGS LÄN</t>
        </is>
      </c>
      <c r="E3509" t="inlineStr">
        <is>
          <t>SÖDERHAMN</t>
        </is>
      </c>
      <c r="F3509" t="inlineStr">
        <is>
          <t>Bergvik skog väst AB</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30794-2024</t>
        </is>
      </c>
      <c r="B3510" s="1" t="n">
        <v>45497.28417824074</v>
      </c>
      <c r="C3510" s="1" t="n">
        <v>46086</v>
      </c>
      <c r="D3510" t="inlineStr">
        <is>
          <t>GÄVLEBORGS LÄN</t>
        </is>
      </c>
      <c r="E3510" t="inlineStr">
        <is>
          <t>BOLLNÄS</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41072-2025</t>
        </is>
      </c>
      <c r="B3511" s="1" t="n">
        <v>45898.42072916667</v>
      </c>
      <c r="C3511" s="1" t="n">
        <v>46086</v>
      </c>
      <c r="D3511" t="inlineStr">
        <is>
          <t>GÄVLEBORGS LÄN</t>
        </is>
      </c>
      <c r="E3511" t="inlineStr">
        <is>
          <t>BOLLNÄS</t>
        </is>
      </c>
      <c r="G3511" t="n">
        <v>3.5</v>
      </c>
      <c r="H3511" t="n">
        <v>0</v>
      </c>
      <c r="I3511" t="n">
        <v>0</v>
      </c>
      <c r="J3511" t="n">
        <v>0</v>
      </c>
      <c r="K3511" t="n">
        <v>0</v>
      </c>
      <c r="L3511" t="n">
        <v>0</v>
      </c>
      <c r="M3511" t="n">
        <v>0</v>
      </c>
      <c r="N3511" t="n">
        <v>0</v>
      </c>
      <c r="O3511" t="n">
        <v>0</v>
      </c>
      <c r="P3511" t="n">
        <v>0</v>
      </c>
      <c r="Q3511" t="n">
        <v>0</v>
      </c>
      <c r="R3511" s="2" t="inlineStr"/>
    </row>
    <row r="3512" ht="15" customHeight="1">
      <c r="A3512" t="inlineStr">
        <is>
          <t>A 31004-2025</t>
        </is>
      </c>
      <c r="B3512" s="1" t="n">
        <v>45832.49621527778</v>
      </c>
      <c r="C3512" s="1" t="n">
        <v>46086</v>
      </c>
      <c r="D3512" t="inlineStr">
        <is>
          <t>GÄVLEBORGS LÄN</t>
        </is>
      </c>
      <c r="E3512" t="inlineStr">
        <is>
          <t>GÄVLE</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31028-2025</t>
        </is>
      </c>
      <c r="B3513" s="1" t="n">
        <v>45832.53422453703</v>
      </c>
      <c r="C3513" s="1" t="n">
        <v>46086</v>
      </c>
      <c r="D3513" t="inlineStr">
        <is>
          <t>GÄVLEBORGS LÄN</t>
        </is>
      </c>
      <c r="E3513" t="inlineStr">
        <is>
          <t>LJUSDAL</t>
        </is>
      </c>
      <c r="G3513" t="n">
        <v>20.5</v>
      </c>
      <c r="H3513" t="n">
        <v>0</v>
      </c>
      <c r="I3513" t="n">
        <v>0</v>
      </c>
      <c r="J3513" t="n">
        <v>0</v>
      </c>
      <c r="K3513" t="n">
        <v>0</v>
      </c>
      <c r="L3513" t="n">
        <v>0</v>
      </c>
      <c r="M3513" t="n">
        <v>0</v>
      </c>
      <c r="N3513" t="n">
        <v>0</v>
      </c>
      <c r="O3513" t="n">
        <v>0</v>
      </c>
      <c r="P3513" t="n">
        <v>0</v>
      </c>
      <c r="Q3513" t="n">
        <v>0</v>
      </c>
      <c r="R3513" s="2" t="inlineStr"/>
    </row>
    <row r="3514" ht="15" customHeight="1">
      <c r="A3514" t="inlineStr">
        <is>
          <t>A 54171-2023</t>
        </is>
      </c>
      <c r="B3514" s="1" t="n">
        <v>45232.48421296296</v>
      </c>
      <c r="C3514" s="1" t="n">
        <v>46086</v>
      </c>
      <c r="D3514" t="inlineStr">
        <is>
          <t>GÄVLEBORGS LÄN</t>
        </is>
      </c>
      <c r="E3514" t="inlineStr">
        <is>
          <t>HUDIKSVALL</t>
        </is>
      </c>
      <c r="G3514" t="n">
        <v>4.6</v>
      </c>
      <c r="H3514" t="n">
        <v>0</v>
      </c>
      <c r="I3514" t="n">
        <v>0</v>
      </c>
      <c r="J3514" t="n">
        <v>0</v>
      </c>
      <c r="K3514" t="n">
        <v>0</v>
      </c>
      <c r="L3514" t="n">
        <v>0</v>
      </c>
      <c r="M3514" t="n">
        <v>0</v>
      </c>
      <c r="N3514" t="n">
        <v>0</v>
      </c>
      <c r="O3514" t="n">
        <v>0</v>
      </c>
      <c r="P3514" t="n">
        <v>0</v>
      </c>
      <c r="Q3514" t="n">
        <v>0</v>
      </c>
      <c r="R3514" s="2" t="inlineStr"/>
    </row>
    <row r="3515" ht="15" customHeight="1">
      <c r="A3515" t="inlineStr">
        <is>
          <t>A 41120-2025</t>
        </is>
      </c>
      <c r="B3515" s="1" t="n">
        <v>45898.46620370371</v>
      </c>
      <c r="C3515" s="1" t="n">
        <v>46086</v>
      </c>
      <c r="D3515" t="inlineStr">
        <is>
          <t>GÄVLEBORGS LÄN</t>
        </is>
      </c>
      <c r="E3515" t="inlineStr">
        <is>
          <t>OVANÅKER</t>
        </is>
      </c>
      <c r="G3515" t="n">
        <v>4.6</v>
      </c>
      <c r="H3515" t="n">
        <v>0</v>
      </c>
      <c r="I3515" t="n">
        <v>0</v>
      </c>
      <c r="J3515" t="n">
        <v>0</v>
      </c>
      <c r="K3515" t="n">
        <v>0</v>
      </c>
      <c r="L3515" t="n">
        <v>0</v>
      </c>
      <c r="M3515" t="n">
        <v>0</v>
      </c>
      <c r="N3515" t="n">
        <v>0</v>
      </c>
      <c r="O3515" t="n">
        <v>0</v>
      </c>
      <c r="P3515" t="n">
        <v>0</v>
      </c>
      <c r="Q3515" t="n">
        <v>0</v>
      </c>
      <c r="R3515" s="2" t="inlineStr"/>
    </row>
    <row r="3516" ht="15" customHeight="1">
      <c r="A3516" t="inlineStr">
        <is>
          <t>A 2166-2026</t>
        </is>
      </c>
      <c r="B3516" s="1" t="n">
        <v>46036</v>
      </c>
      <c r="C3516" s="1" t="n">
        <v>46086</v>
      </c>
      <c r="D3516" t="inlineStr">
        <is>
          <t>GÄVLEBORGS LÄN</t>
        </is>
      </c>
      <c r="E3516" t="inlineStr">
        <is>
          <t>BOLLNÄS</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2180-2026</t>
        </is>
      </c>
      <c r="B3517" s="1" t="n">
        <v>46036.45912037037</v>
      </c>
      <c r="C3517" s="1" t="n">
        <v>46086</v>
      </c>
      <c r="D3517" t="inlineStr">
        <is>
          <t>GÄVLEBORGS LÄN</t>
        </is>
      </c>
      <c r="E3517" t="inlineStr">
        <is>
          <t>SANDVIKEN</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10986-2026</t>
        </is>
      </c>
      <c r="B3518" s="1" t="n">
        <v>46079.48003472222</v>
      </c>
      <c r="C3518" s="1" t="n">
        <v>46086</v>
      </c>
      <c r="D3518" t="inlineStr">
        <is>
          <t>GÄVLEBORGS LÄN</t>
        </is>
      </c>
      <c r="E3518" t="inlineStr">
        <is>
          <t>OVANÅKER</t>
        </is>
      </c>
      <c r="F3518" t="inlineStr">
        <is>
          <t>Bergvik skog öst AB</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728-2026</t>
        </is>
      </c>
      <c r="B3519" s="1" t="n">
        <v>46029</v>
      </c>
      <c r="C3519" s="1" t="n">
        <v>46086</v>
      </c>
      <c r="D3519" t="inlineStr">
        <is>
          <t>GÄVLEBORGS LÄN</t>
        </is>
      </c>
      <c r="E3519" t="inlineStr">
        <is>
          <t>BOLLNÄS</t>
        </is>
      </c>
      <c r="G3519" t="n">
        <v>12.9</v>
      </c>
      <c r="H3519" t="n">
        <v>0</v>
      </c>
      <c r="I3519" t="n">
        <v>0</v>
      </c>
      <c r="J3519" t="n">
        <v>0</v>
      </c>
      <c r="K3519" t="n">
        <v>0</v>
      </c>
      <c r="L3519" t="n">
        <v>0</v>
      </c>
      <c r="M3519" t="n">
        <v>0</v>
      </c>
      <c r="N3519" t="n">
        <v>0</v>
      </c>
      <c r="O3519" t="n">
        <v>0</v>
      </c>
      <c r="P3519" t="n">
        <v>0</v>
      </c>
      <c r="Q3519" t="n">
        <v>0</v>
      </c>
      <c r="R3519" s="2" t="inlineStr"/>
    </row>
    <row r="3520" ht="15" customHeight="1">
      <c r="A3520" t="inlineStr">
        <is>
          <t>A 781-2026</t>
        </is>
      </c>
      <c r="B3520" s="1" t="n">
        <v>46029</v>
      </c>
      <c r="C3520" s="1" t="n">
        <v>46086</v>
      </c>
      <c r="D3520" t="inlineStr">
        <is>
          <t>GÄVLEBORGS LÄN</t>
        </is>
      </c>
      <c r="E3520" t="inlineStr">
        <is>
          <t>HUDIKSVALL</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10743-2026</t>
        </is>
      </c>
      <c r="B3521" s="1" t="n">
        <v>46078.51252314815</v>
      </c>
      <c r="C3521" s="1" t="n">
        <v>46086</v>
      </c>
      <c r="D3521" t="inlineStr">
        <is>
          <t>GÄVLEBORGS LÄN</t>
        </is>
      </c>
      <c r="E3521" t="inlineStr">
        <is>
          <t>BOLLNÄS</t>
        </is>
      </c>
      <c r="F3521" t="inlineStr">
        <is>
          <t>Bergvik skog väst AB</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22597-2025</t>
        </is>
      </c>
      <c r="B3522" s="1" t="n">
        <v>45789.41380787037</v>
      </c>
      <c r="C3522" s="1" t="n">
        <v>46086</v>
      </c>
      <c r="D3522" t="inlineStr">
        <is>
          <t>GÄVLEBORGS LÄN</t>
        </is>
      </c>
      <c r="E3522" t="inlineStr">
        <is>
          <t>OCKELBO</t>
        </is>
      </c>
      <c r="G3522" t="n">
        <v>8.9</v>
      </c>
      <c r="H3522" t="n">
        <v>0</v>
      </c>
      <c r="I3522" t="n">
        <v>0</v>
      </c>
      <c r="J3522" t="n">
        <v>0</v>
      </c>
      <c r="K3522" t="n">
        <v>0</v>
      </c>
      <c r="L3522" t="n">
        <v>0</v>
      </c>
      <c r="M3522" t="n">
        <v>0</v>
      </c>
      <c r="N3522" t="n">
        <v>0</v>
      </c>
      <c r="O3522" t="n">
        <v>0</v>
      </c>
      <c r="P3522" t="n">
        <v>0</v>
      </c>
      <c r="Q3522" t="n">
        <v>0</v>
      </c>
      <c r="R3522" s="2" t="inlineStr"/>
    </row>
    <row r="3523" ht="15" customHeight="1">
      <c r="A3523" t="inlineStr">
        <is>
          <t>A 10763-2026</t>
        </is>
      </c>
      <c r="B3523" s="1" t="n">
        <v>46078.56292824074</v>
      </c>
      <c r="C3523" s="1" t="n">
        <v>46086</v>
      </c>
      <c r="D3523" t="inlineStr">
        <is>
          <t>GÄVLEBORGS LÄN</t>
        </is>
      </c>
      <c r="E3523" t="inlineStr">
        <is>
          <t>NORDANSTIG</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10766-2026</t>
        </is>
      </c>
      <c r="B3524" s="1" t="n">
        <v>46078.56611111111</v>
      </c>
      <c r="C3524" s="1" t="n">
        <v>46086</v>
      </c>
      <c r="D3524" t="inlineStr">
        <is>
          <t>GÄVLEBORGS LÄN</t>
        </is>
      </c>
      <c r="E3524" t="inlineStr">
        <is>
          <t>BOLLNÄS</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10789-2026</t>
        </is>
      </c>
      <c r="B3525" s="1" t="n">
        <v>46078</v>
      </c>
      <c r="C3525" s="1" t="n">
        <v>46086</v>
      </c>
      <c r="D3525" t="inlineStr">
        <is>
          <t>GÄVLEBORGS LÄN</t>
        </is>
      </c>
      <c r="E3525" t="inlineStr">
        <is>
          <t>OVANÅKER</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10797-2026</t>
        </is>
      </c>
      <c r="B3526" s="1" t="n">
        <v>46078</v>
      </c>
      <c r="C3526" s="1" t="n">
        <v>46086</v>
      </c>
      <c r="D3526" t="inlineStr">
        <is>
          <t>GÄVLEBORGS LÄN</t>
        </is>
      </c>
      <c r="E3526" t="inlineStr">
        <is>
          <t>OVANÅKER</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56446-2023</t>
        </is>
      </c>
      <c r="B3527" s="1" t="n">
        <v>45243.47311342593</v>
      </c>
      <c r="C3527" s="1" t="n">
        <v>46086</v>
      </c>
      <c r="D3527" t="inlineStr">
        <is>
          <t>GÄVLEBORGS LÄN</t>
        </is>
      </c>
      <c r="E3527" t="inlineStr">
        <is>
          <t>GÄVLE</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41083-2025</t>
        </is>
      </c>
      <c r="B3528" s="1" t="n">
        <v>45898.43148148148</v>
      </c>
      <c r="C3528" s="1" t="n">
        <v>46086</v>
      </c>
      <c r="D3528" t="inlineStr">
        <is>
          <t>GÄVLEBORGS LÄN</t>
        </is>
      </c>
      <c r="E3528" t="inlineStr">
        <is>
          <t>GÄVLE</t>
        </is>
      </c>
      <c r="F3528" t="inlineStr">
        <is>
          <t>Bergvik skog väst AB</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10830-2026</t>
        </is>
      </c>
      <c r="B3529" s="1" t="n">
        <v>46078.62643518519</v>
      </c>
      <c r="C3529" s="1" t="n">
        <v>46086</v>
      </c>
      <c r="D3529" t="inlineStr">
        <is>
          <t>GÄVLEBORGS LÄN</t>
        </is>
      </c>
      <c r="E3529" t="inlineStr">
        <is>
          <t>BOLLNÄS</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11037-2026</t>
        </is>
      </c>
      <c r="B3530" s="1" t="n">
        <v>46079.57982638889</v>
      </c>
      <c r="C3530" s="1" t="n">
        <v>46086</v>
      </c>
      <c r="D3530" t="inlineStr">
        <is>
          <t>GÄVLEBORGS LÄN</t>
        </is>
      </c>
      <c r="E3530" t="inlineStr">
        <is>
          <t>OVANÅKER</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11044-2026</t>
        </is>
      </c>
      <c r="B3531" s="1" t="n">
        <v>46079.58315972222</v>
      </c>
      <c r="C3531" s="1" t="n">
        <v>46086</v>
      </c>
      <c r="D3531" t="inlineStr">
        <is>
          <t>GÄVLEBORGS LÄN</t>
        </is>
      </c>
      <c r="E3531" t="inlineStr">
        <is>
          <t>BOLLNÄS</t>
        </is>
      </c>
      <c r="F3531" t="inlineStr">
        <is>
          <t>Bergvik skog väst AB</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41093-2025</t>
        </is>
      </c>
      <c r="B3532" s="1" t="n">
        <v>45898.44236111111</v>
      </c>
      <c r="C3532" s="1" t="n">
        <v>46086</v>
      </c>
      <c r="D3532" t="inlineStr">
        <is>
          <t>GÄVLEBORGS LÄN</t>
        </is>
      </c>
      <c r="E3532" t="inlineStr">
        <is>
          <t>GÄVLE</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44446-2023</t>
        </is>
      </c>
      <c r="B3533" s="1" t="n">
        <v>45189.378125</v>
      </c>
      <c r="C3533" s="1" t="n">
        <v>46086</v>
      </c>
      <c r="D3533" t="inlineStr">
        <is>
          <t>GÄVLEBORGS LÄN</t>
        </is>
      </c>
      <c r="E3533" t="inlineStr">
        <is>
          <t>NORDANSTIG</t>
        </is>
      </c>
      <c r="F3533" t="inlineStr">
        <is>
          <t>Holmen skog AB</t>
        </is>
      </c>
      <c r="G3533" t="n">
        <v>4.9</v>
      </c>
      <c r="H3533" t="n">
        <v>0</v>
      </c>
      <c r="I3533" t="n">
        <v>0</v>
      </c>
      <c r="J3533" t="n">
        <v>0</v>
      </c>
      <c r="K3533" t="n">
        <v>0</v>
      </c>
      <c r="L3533" t="n">
        <v>0</v>
      </c>
      <c r="M3533" t="n">
        <v>0</v>
      </c>
      <c r="N3533" t="n">
        <v>0</v>
      </c>
      <c r="O3533" t="n">
        <v>0</v>
      </c>
      <c r="P3533" t="n">
        <v>0</v>
      </c>
      <c r="Q3533" t="n">
        <v>0</v>
      </c>
      <c r="R3533" s="2" t="inlineStr"/>
    </row>
    <row r="3534" ht="15" customHeight="1">
      <c r="A3534" t="inlineStr">
        <is>
          <t>A 55992-2022</t>
        </is>
      </c>
      <c r="B3534" s="1" t="n">
        <v>44889</v>
      </c>
      <c r="C3534" s="1" t="n">
        <v>46086</v>
      </c>
      <c r="D3534" t="inlineStr">
        <is>
          <t>GÄVLEBORGS LÄN</t>
        </is>
      </c>
      <c r="E3534" t="inlineStr">
        <is>
          <t>OVANÅKER</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45947-2022</t>
        </is>
      </c>
      <c r="B3535" s="1" t="n">
        <v>44846.65460648148</v>
      </c>
      <c r="C3535" s="1" t="n">
        <v>46086</v>
      </c>
      <c r="D3535" t="inlineStr">
        <is>
          <t>GÄVLEBORGS LÄN</t>
        </is>
      </c>
      <c r="E3535" t="inlineStr">
        <is>
          <t>OVANÅKER</t>
        </is>
      </c>
      <c r="G3535" t="n">
        <v>4.4</v>
      </c>
      <c r="H3535" t="n">
        <v>0</v>
      </c>
      <c r="I3535" t="n">
        <v>0</v>
      </c>
      <c r="J3535" t="n">
        <v>0</v>
      </c>
      <c r="K3535" t="n">
        <v>0</v>
      </c>
      <c r="L3535" t="n">
        <v>0</v>
      </c>
      <c r="M3535" t="n">
        <v>0</v>
      </c>
      <c r="N3535" t="n">
        <v>0</v>
      </c>
      <c r="O3535" t="n">
        <v>0</v>
      </c>
      <c r="P3535" t="n">
        <v>0</v>
      </c>
      <c r="Q3535" t="n">
        <v>0</v>
      </c>
      <c r="R3535" s="2" t="inlineStr"/>
    </row>
    <row r="3536" ht="15" customHeight="1">
      <c r="A3536" t="inlineStr">
        <is>
          <t>A 41432-2025</t>
        </is>
      </c>
      <c r="B3536" s="1" t="n">
        <v>45899</v>
      </c>
      <c r="C3536" s="1" t="n">
        <v>46086</v>
      </c>
      <c r="D3536" t="inlineStr">
        <is>
          <t>GÄVLEBORGS LÄN</t>
        </is>
      </c>
      <c r="E3536" t="inlineStr">
        <is>
          <t>BOLLNÄS</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2490-2026</t>
        </is>
      </c>
      <c r="B3537" s="1" t="n">
        <v>46037.39350694444</v>
      </c>
      <c r="C3537" s="1" t="n">
        <v>46086</v>
      </c>
      <c r="D3537" t="inlineStr">
        <is>
          <t>GÄVLEBORGS LÄN</t>
        </is>
      </c>
      <c r="E3537" t="inlineStr">
        <is>
          <t>NORDANSTIG</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2659-2026</t>
        </is>
      </c>
      <c r="B3538" s="1" t="n">
        <v>46037</v>
      </c>
      <c r="C3538" s="1" t="n">
        <v>46086</v>
      </c>
      <c r="D3538" t="inlineStr">
        <is>
          <t>GÄVLEBORGS LÄN</t>
        </is>
      </c>
      <c r="E3538" t="inlineStr">
        <is>
          <t>OVANÅKER</t>
        </is>
      </c>
      <c r="G3538" t="n">
        <v>8.800000000000001</v>
      </c>
      <c r="H3538" t="n">
        <v>0</v>
      </c>
      <c r="I3538" t="n">
        <v>0</v>
      </c>
      <c r="J3538" t="n">
        <v>0</v>
      </c>
      <c r="K3538" t="n">
        <v>0</v>
      </c>
      <c r="L3538" t="n">
        <v>0</v>
      </c>
      <c r="M3538" t="n">
        <v>0</v>
      </c>
      <c r="N3538" t="n">
        <v>0</v>
      </c>
      <c r="O3538" t="n">
        <v>0</v>
      </c>
      <c r="P3538" t="n">
        <v>0</v>
      </c>
      <c r="Q3538" t="n">
        <v>0</v>
      </c>
      <c r="R3538" s="2" t="inlineStr"/>
    </row>
    <row r="3539" ht="15" customHeight="1">
      <c r="A3539" t="inlineStr">
        <is>
          <t>A 59425-2022</t>
        </is>
      </c>
      <c r="B3539" s="1" t="n">
        <v>44907</v>
      </c>
      <c r="C3539" s="1" t="n">
        <v>46086</v>
      </c>
      <c r="D3539" t="inlineStr">
        <is>
          <t>GÄVLEBORGS LÄN</t>
        </is>
      </c>
      <c r="E3539" t="inlineStr">
        <is>
          <t>NORDANSTIG</t>
        </is>
      </c>
      <c r="F3539" t="inlineStr">
        <is>
          <t>Holmen skog AB</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41458-2025</t>
        </is>
      </c>
      <c r="B3540" s="1" t="n">
        <v>45901.44769675926</v>
      </c>
      <c r="C3540" s="1" t="n">
        <v>46086</v>
      </c>
      <c r="D3540" t="inlineStr">
        <is>
          <t>GÄVLEBORGS LÄN</t>
        </is>
      </c>
      <c r="E3540" t="inlineStr">
        <is>
          <t>HUDIKSVALL</t>
        </is>
      </c>
      <c r="G3540" t="n">
        <v>5</v>
      </c>
      <c r="H3540" t="n">
        <v>0</v>
      </c>
      <c r="I3540" t="n">
        <v>0</v>
      </c>
      <c r="J3540" t="n">
        <v>0</v>
      </c>
      <c r="K3540" t="n">
        <v>0</v>
      </c>
      <c r="L3540" t="n">
        <v>0</v>
      </c>
      <c r="M3540" t="n">
        <v>0</v>
      </c>
      <c r="N3540" t="n">
        <v>0</v>
      </c>
      <c r="O3540" t="n">
        <v>0</v>
      </c>
      <c r="P3540" t="n">
        <v>0</v>
      </c>
      <c r="Q3540" t="n">
        <v>0</v>
      </c>
      <c r="R3540" s="2" t="inlineStr"/>
    </row>
    <row r="3541" ht="15" customHeight="1">
      <c r="A3541" t="inlineStr">
        <is>
          <t>A 41081-2025</t>
        </is>
      </c>
      <c r="B3541" s="1" t="n">
        <v>45898.42881944445</v>
      </c>
      <c r="C3541" s="1" t="n">
        <v>46086</v>
      </c>
      <c r="D3541" t="inlineStr">
        <is>
          <t>GÄVLEBORGS LÄN</t>
        </is>
      </c>
      <c r="E3541" t="inlineStr">
        <is>
          <t>BOLLNÄS</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12095-2023</t>
        </is>
      </c>
      <c r="B3542" s="1" t="n">
        <v>44998.3634375</v>
      </c>
      <c r="C3542" s="1" t="n">
        <v>46086</v>
      </c>
      <c r="D3542" t="inlineStr">
        <is>
          <t>GÄVLEBORGS LÄN</t>
        </is>
      </c>
      <c r="E3542" t="inlineStr">
        <is>
          <t>NORDANSTIG</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25173-2024</t>
        </is>
      </c>
      <c r="B3543" s="1" t="n">
        <v>45462.54525462963</v>
      </c>
      <c r="C3543" s="1" t="n">
        <v>46086</v>
      </c>
      <c r="D3543" t="inlineStr">
        <is>
          <t>GÄVLEBORGS LÄN</t>
        </is>
      </c>
      <c r="E3543" t="inlineStr">
        <is>
          <t>HUDIKSVALL</t>
        </is>
      </c>
      <c r="F3543" t="inlineStr">
        <is>
          <t>Holmen skog AB</t>
        </is>
      </c>
      <c r="G3543" t="n">
        <v>7.4</v>
      </c>
      <c r="H3543" t="n">
        <v>0</v>
      </c>
      <c r="I3543" t="n">
        <v>0</v>
      </c>
      <c r="J3543" t="n">
        <v>0</v>
      </c>
      <c r="K3543" t="n">
        <v>0</v>
      </c>
      <c r="L3543" t="n">
        <v>0</v>
      </c>
      <c r="M3543" t="n">
        <v>0</v>
      </c>
      <c r="N3543" t="n">
        <v>0</v>
      </c>
      <c r="O3543" t="n">
        <v>0</v>
      </c>
      <c r="P3543" t="n">
        <v>0</v>
      </c>
      <c r="Q3543" t="n">
        <v>0</v>
      </c>
      <c r="R3543" s="2" t="inlineStr"/>
    </row>
    <row r="3544" ht="15" customHeight="1">
      <c r="A3544" t="inlineStr">
        <is>
          <t>A 31197-2025</t>
        </is>
      </c>
      <c r="B3544" s="1" t="n">
        <v>45832.69053240741</v>
      </c>
      <c r="C3544" s="1" t="n">
        <v>46086</v>
      </c>
      <c r="D3544" t="inlineStr">
        <is>
          <t>GÄVLEBORGS LÄN</t>
        </is>
      </c>
      <c r="E3544" t="inlineStr">
        <is>
          <t>NORDANSTIG</t>
        </is>
      </c>
      <c r="F3544" t="inlineStr">
        <is>
          <t>Holmen skog AB</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30979-2025</t>
        </is>
      </c>
      <c r="B3545" s="1" t="n">
        <v>45832.4678587963</v>
      </c>
      <c r="C3545" s="1" t="n">
        <v>46086</v>
      </c>
      <c r="D3545" t="inlineStr">
        <is>
          <t>GÄVLEBORGS LÄN</t>
        </is>
      </c>
      <c r="E3545" t="inlineStr">
        <is>
          <t>LJUSDAL</t>
        </is>
      </c>
      <c r="F3545" t="inlineStr">
        <is>
          <t>Holmen skog AB</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31072-2025</t>
        </is>
      </c>
      <c r="B3546" s="1" t="n">
        <v>45832.57938657407</v>
      </c>
      <c r="C3546" s="1" t="n">
        <v>46086</v>
      </c>
      <c r="D3546" t="inlineStr">
        <is>
          <t>GÄVLEBORGS LÄN</t>
        </is>
      </c>
      <c r="E3546" t="inlineStr">
        <is>
          <t>LJUSDAL</t>
        </is>
      </c>
      <c r="F3546" t="inlineStr">
        <is>
          <t>Holmen skog AB</t>
        </is>
      </c>
      <c r="G3546" t="n">
        <v>6.8</v>
      </c>
      <c r="H3546" t="n">
        <v>0</v>
      </c>
      <c r="I3546" t="n">
        <v>0</v>
      </c>
      <c r="J3546" t="n">
        <v>0</v>
      </c>
      <c r="K3546" t="n">
        <v>0</v>
      </c>
      <c r="L3546" t="n">
        <v>0</v>
      </c>
      <c r="M3546" t="n">
        <v>0</v>
      </c>
      <c r="N3546" t="n">
        <v>0</v>
      </c>
      <c r="O3546" t="n">
        <v>0</v>
      </c>
      <c r="P3546" t="n">
        <v>0</v>
      </c>
      <c r="Q3546" t="n">
        <v>0</v>
      </c>
      <c r="R3546" s="2" t="inlineStr"/>
    </row>
    <row r="3547" ht="15" customHeight="1">
      <c r="A3547" t="inlineStr">
        <is>
          <t>A 31458-2025</t>
        </is>
      </c>
      <c r="B3547" s="1" t="n">
        <v>45833.54105324074</v>
      </c>
      <c r="C3547" s="1" t="n">
        <v>46086</v>
      </c>
      <c r="D3547" t="inlineStr">
        <is>
          <t>GÄVLEBORGS LÄN</t>
        </is>
      </c>
      <c r="E3547" t="inlineStr">
        <is>
          <t>OVANÅKER</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333-2024</t>
        </is>
      </c>
      <c r="B3548" s="1" t="n">
        <v>45295.59415509259</v>
      </c>
      <c r="C3548" s="1" t="n">
        <v>46086</v>
      </c>
      <c r="D3548" t="inlineStr">
        <is>
          <t>GÄVLEBORGS LÄN</t>
        </is>
      </c>
      <c r="E3548" t="inlineStr">
        <is>
          <t>HUDIKSVALL</t>
        </is>
      </c>
      <c r="F3548" t="inlineStr">
        <is>
          <t>Holmen skog AB</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14657-2025</t>
        </is>
      </c>
      <c r="B3549" s="1" t="n">
        <v>45742.51152777778</v>
      </c>
      <c r="C3549" s="1" t="n">
        <v>46086</v>
      </c>
      <c r="D3549" t="inlineStr">
        <is>
          <t>GÄVLEBORGS LÄN</t>
        </is>
      </c>
      <c r="E3549" t="inlineStr">
        <is>
          <t>OCKELBO</t>
        </is>
      </c>
      <c r="F3549" t="inlineStr">
        <is>
          <t>Bergvik skog väst AB</t>
        </is>
      </c>
      <c r="G3549" t="n">
        <v>7.1</v>
      </c>
      <c r="H3549" t="n">
        <v>0</v>
      </c>
      <c r="I3549" t="n">
        <v>0</v>
      </c>
      <c r="J3549" t="n">
        <v>0</v>
      </c>
      <c r="K3549" t="n">
        <v>0</v>
      </c>
      <c r="L3549" t="n">
        <v>0</v>
      </c>
      <c r="M3549" t="n">
        <v>0</v>
      </c>
      <c r="N3549" t="n">
        <v>0</v>
      </c>
      <c r="O3549" t="n">
        <v>0</v>
      </c>
      <c r="P3549" t="n">
        <v>0</v>
      </c>
      <c r="Q3549" t="n">
        <v>0</v>
      </c>
      <c r="R3549" s="2" t="inlineStr"/>
    </row>
    <row r="3550" ht="15" customHeight="1">
      <c r="A3550" t="inlineStr">
        <is>
          <t>A 34964-2024</t>
        </is>
      </c>
      <c r="B3550" s="1" t="n">
        <v>45527.49265046296</v>
      </c>
      <c r="C3550" s="1" t="n">
        <v>46086</v>
      </c>
      <c r="D3550" t="inlineStr">
        <is>
          <t>GÄVLEBORGS LÄN</t>
        </is>
      </c>
      <c r="E3550" t="inlineStr">
        <is>
          <t>LJUSDAL</t>
        </is>
      </c>
      <c r="F3550" t="inlineStr">
        <is>
          <t>Holmen skog AB</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14036-2023</t>
        </is>
      </c>
      <c r="B3551" s="1" t="n">
        <v>45008.6358912037</v>
      </c>
      <c r="C3551" s="1" t="n">
        <v>46086</v>
      </c>
      <c r="D3551" t="inlineStr">
        <is>
          <t>GÄVLEBORGS LÄN</t>
        </is>
      </c>
      <c r="E3551" t="inlineStr">
        <is>
          <t>LJUSDAL</t>
        </is>
      </c>
      <c r="F3551" t="inlineStr">
        <is>
          <t>Holmen skog AB</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14463-2021</t>
        </is>
      </c>
      <c r="B3552" s="1" t="n">
        <v>44279.54775462963</v>
      </c>
      <c r="C3552" s="1" t="n">
        <v>46086</v>
      </c>
      <c r="D3552" t="inlineStr">
        <is>
          <t>GÄVLEBORGS LÄN</t>
        </is>
      </c>
      <c r="E3552" t="inlineStr">
        <is>
          <t>OCKELBO</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40992-2025</t>
        </is>
      </c>
      <c r="B3553" s="1" t="n">
        <v>45898.32689814815</v>
      </c>
      <c r="C3553" s="1" t="n">
        <v>46086</v>
      </c>
      <c r="D3553" t="inlineStr">
        <is>
          <t>GÄVLEBORGS LÄN</t>
        </is>
      </c>
      <c r="E3553" t="inlineStr">
        <is>
          <t>GÄVLE</t>
        </is>
      </c>
      <c r="F3553" t="inlineStr">
        <is>
          <t>Bergvik skog väst AB</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40993-2025</t>
        </is>
      </c>
      <c r="B3554" s="1" t="n">
        <v>45898.33373842593</v>
      </c>
      <c r="C3554" s="1" t="n">
        <v>46086</v>
      </c>
      <c r="D3554" t="inlineStr">
        <is>
          <t>GÄVLEBORGS LÄN</t>
        </is>
      </c>
      <c r="E3554" t="inlineStr">
        <is>
          <t>GÄVLE</t>
        </is>
      </c>
      <c r="F3554" t="inlineStr">
        <is>
          <t>Bergvik skog väst AB</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538-2026</t>
        </is>
      </c>
      <c r="B3555" s="1" t="n">
        <v>46029</v>
      </c>
      <c r="C3555" s="1" t="n">
        <v>46086</v>
      </c>
      <c r="D3555" t="inlineStr">
        <is>
          <t>GÄVLEBORGS LÄN</t>
        </is>
      </c>
      <c r="E3555" t="inlineStr">
        <is>
          <t>BOLLNÄS</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5098-2026</t>
        </is>
      </c>
      <c r="B3556" s="1" t="n">
        <v>46049</v>
      </c>
      <c r="C3556" s="1" t="n">
        <v>46086</v>
      </c>
      <c r="D3556" t="inlineStr">
        <is>
          <t>GÄVLEBORGS LÄN</t>
        </is>
      </c>
      <c r="E3556" t="inlineStr">
        <is>
          <t>BOLLNÄS</t>
        </is>
      </c>
      <c r="F3556" t="inlineStr">
        <is>
          <t>Bergvik skog väst AB</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2144-2026</t>
        </is>
      </c>
      <c r="B3557" s="1" t="n">
        <v>46036</v>
      </c>
      <c r="C3557" s="1" t="n">
        <v>46086</v>
      </c>
      <c r="D3557" t="inlineStr">
        <is>
          <t>GÄVLEBORGS LÄN</t>
        </is>
      </c>
      <c r="E3557" t="inlineStr">
        <is>
          <t>OVANÅKER</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2152-2026</t>
        </is>
      </c>
      <c r="B3558" s="1" t="n">
        <v>46036.41979166667</v>
      </c>
      <c r="C3558" s="1" t="n">
        <v>46086</v>
      </c>
      <c r="D3558" t="inlineStr">
        <is>
          <t>GÄVLEBORGS LÄN</t>
        </is>
      </c>
      <c r="E3558" t="inlineStr">
        <is>
          <t>OVANÅKER</t>
        </is>
      </c>
      <c r="G3558" t="n">
        <v>4.4</v>
      </c>
      <c r="H3558" t="n">
        <v>0</v>
      </c>
      <c r="I3558" t="n">
        <v>0</v>
      </c>
      <c r="J3558" t="n">
        <v>0</v>
      </c>
      <c r="K3558" t="n">
        <v>0</v>
      </c>
      <c r="L3558" t="n">
        <v>0</v>
      </c>
      <c r="M3558" t="n">
        <v>0</v>
      </c>
      <c r="N3558" t="n">
        <v>0</v>
      </c>
      <c r="O3558" t="n">
        <v>0</v>
      </c>
      <c r="P3558" t="n">
        <v>0</v>
      </c>
      <c r="Q3558" t="n">
        <v>0</v>
      </c>
      <c r="R3558" s="2" t="inlineStr"/>
    </row>
    <row r="3559" ht="15" customHeight="1">
      <c r="A3559" t="inlineStr">
        <is>
          <t>A 19172-2024</t>
        </is>
      </c>
      <c r="B3559" s="1" t="n">
        <v>45428.46696759259</v>
      </c>
      <c r="C3559" s="1" t="n">
        <v>46086</v>
      </c>
      <c r="D3559" t="inlineStr">
        <is>
          <t>GÄVLEBORGS LÄN</t>
        </is>
      </c>
      <c r="E3559" t="inlineStr">
        <is>
          <t>OVANÅKER</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406-2025</t>
        </is>
      </c>
      <c r="B3560" s="1" t="n">
        <v>45663.63243055555</v>
      </c>
      <c r="C3560" s="1" t="n">
        <v>46086</v>
      </c>
      <c r="D3560" t="inlineStr">
        <is>
          <t>GÄVLEBORGS LÄN</t>
        </is>
      </c>
      <c r="E3560" t="inlineStr">
        <is>
          <t>HUDIKSVALL</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1641-2025</t>
        </is>
      </c>
      <c r="B3561" s="1" t="n">
        <v>45670</v>
      </c>
      <c r="C3561" s="1" t="n">
        <v>46086</v>
      </c>
      <c r="D3561" t="inlineStr">
        <is>
          <t>GÄVLEBORGS LÄN</t>
        </is>
      </c>
      <c r="E3561" t="inlineStr">
        <is>
          <t>SÖDERHAMN</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31031-2025</t>
        </is>
      </c>
      <c r="B3562" s="1" t="n">
        <v>45832.53875</v>
      </c>
      <c r="C3562" s="1" t="n">
        <v>46086</v>
      </c>
      <c r="D3562" t="inlineStr">
        <is>
          <t>GÄVLEBORGS LÄN</t>
        </is>
      </c>
      <c r="E3562" t="inlineStr">
        <is>
          <t>NORDANSTIG</t>
        </is>
      </c>
      <c r="F3562" t="inlineStr">
        <is>
          <t>Holmen skog AB</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31035-2025</t>
        </is>
      </c>
      <c r="B3563" s="1" t="n">
        <v>45832.544375</v>
      </c>
      <c r="C3563" s="1" t="n">
        <v>46086</v>
      </c>
      <c r="D3563" t="inlineStr">
        <is>
          <t>GÄVLEBORGS LÄN</t>
        </is>
      </c>
      <c r="E3563" t="inlineStr">
        <is>
          <t>LJUSDAL</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58942-2022</t>
        </is>
      </c>
      <c r="B3564" s="1" t="n">
        <v>44903</v>
      </c>
      <c r="C3564" s="1" t="n">
        <v>46086</v>
      </c>
      <c r="D3564" t="inlineStr">
        <is>
          <t>GÄVLEBORGS LÄN</t>
        </is>
      </c>
      <c r="E3564" t="inlineStr">
        <is>
          <t>HUDIKSVALL</t>
        </is>
      </c>
      <c r="F3564" t="inlineStr">
        <is>
          <t>Holmen skog AB</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7369-2026</t>
        </is>
      </c>
      <c r="B3565" s="1" t="n">
        <v>46059</v>
      </c>
      <c r="C3565" s="1" t="n">
        <v>46086</v>
      </c>
      <c r="D3565" t="inlineStr">
        <is>
          <t>GÄVLEBORGS LÄN</t>
        </is>
      </c>
      <c r="E3565" t="inlineStr">
        <is>
          <t>OVANÅKER</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8049-2026</t>
        </is>
      </c>
      <c r="B3566" s="1" t="n">
        <v>46063</v>
      </c>
      <c r="C3566" s="1" t="n">
        <v>46086</v>
      </c>
      <c r="D3566" t="inlineStr">
        <is>
          <t>GÄVLEBORGS LÄN</t>
        </is>
      </c>
      <c r="E3566" t="inlineStr">
        <is>
          <t>HUDIKSVALL</t>
        </is>
      </c>
      <c r="G3566" t="n">
        <v>4</v>
      </c>
      <c r="H3566" t="n">
        <v>0</v>
      </c>
      <c r="I3566" t="n">
        <v>0</v>
      </c>
      <c r="J3566" t="n">
        <v>0</v>
      </c>
      <c r="K3566" t="n">
        <v>0</v>
      </c>
      <c r="L3566" t="n">
        <v>0</v>
      </c>
      <c r="M3566" t="n">
        <v>0</v>
      </c>
      <c r="N3566" t="n">
        <v>0</v>
      </c>
      <c r="O3566" t="n">
        <v>0</v>
      </c>
      <c r="P3566" t="n">
        <v>0</v>
      </c>
      <c r="Q3566" t="n">
        <v>0</v>
      </c>
      <c r="R3566" s="2" t="inlineStr"/>
      <c r="U3566">
        <f>HYPERLINK("https://klasma.github.io/Logging_2184/knärot/A 8049-2026 karta knärot.png", "A 8049-2026")</f>
        <v/>
      </c>
      <c r="V3566">
        <f>HYPERLINK("https://klasma.github.io/Logging_2184/klagomål/A 8049-2026 FSC-klagomål.docx", "A 8049-2026")</f>
        <v/>
      </c>
      <c r="W3566">
        <f>HYPERLINK("https://klasma.github.io/Logging_2184/klagomålsmail/A 8049-2026 FSC-klagomål mail.docx", "A 8049-2026")</f>
        <v/>
      </c>
      <c r="X3566">
        <f>HYPERLINK("https://klasma.github.io/Logging_2184/tillsyn/A 8049-2026 tillsynsbegäran.docx", "A 8049-2026")</f>
        <v/>
      </c>
      <c r="Y3566">
        <f>HYPERLINK("https://klasma.github.io/Logging_2184/tillsynsmail/A 8049-2026 tillsynsbegäran mail.docx", "A 8049-2026")</f>
        <v/>
      </c>
    </row>
    <row r="3567" ht="15" customHeight="1">
      <c r="A3567" t="inlineStr">
        <is>
          <t>A 8183-2026</t>
        </is>
      </c>
      <c r="B3567" s="1" t="n">
        <v>46064</v>
      </c>
      <c r="C3567" s="1" t="n">
        <v>46086</v>
      </c>
      <c r="D3567" t="inlineStr">
        <is>
          <t>GÄVLEBORGS LÄN</t>
        </is>
      </c>
      <c r="E3567" t="inlineStr">
        <is>
          <t>OVANÅKER</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10041-2026</t>
        </is>
      </c>
      <c r="B3568" s="1" t="n">
        <v>46073.59822916667</v>
      </c>
      <c r="C3568" s="1" t="n">
        <v>46086</v>
      </c>
      <c r="D3568" t="inlineStr">
        <is>
          <t>GÄVLEBORGS LÄN</t>
        </is>
      </c>
      <c r="E3568" t="inlineStr">
        <is>
          <t>OVANÅKER</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31145-2025</t>
        </is>
      </c>
      <c r="B3569" s="1" t="n">
        <v>45832.63834490741</v>
      </c>
      <c r="C3569" s="1" t="n">
        <v>46086</v>
      </c>
      <c r="D3569" t="inlineStr">
        <is>
          <t>GÄVLEBORGS LÄN</t>
        </is>
      </c>
      <c r="E3569" t="inlineStr">
        <is>
          <t>SANDVIKEN</t>
        </is>
      </c>
      <c r="F3569" t="inlineStr">
        <is>
          <t>Bergvik skog öst AB</t>
        </is>
      </c>
      <c r="G3569" t="n">
        <v>5.8</v>
      </c>
      <c r="H3569" t="n">
        <v>0</v>
      </c>
      <c r="I3569" t="n">
        <v>0</v>
      </c>
      <c r="J3569" t="n">
        <v>0</v>
      </c>
      <c r="K3569" t="n">
        <v>0</v>
      </c>
      <c r="L3569" t="n">
        <v>0</v>
      </c>
      <c r="M3569" t="n">
        <v>0</v>
      </c>
      <c r="N3569" t="n">
        <v>0</v>
      </c>
      <c r="O3569" t="n">
        <v>0</v>
      </c>
      <c r="P3569" t="n">
        <v>0</v>
      </c>
      <c r="Q3569" t="n">
        <v>0</v>
      </c>
      <c r="R3569" s="2" t="inlineStr"/>
    </row>
    <row r="3570" ht="15" customHeight="1">
      <c r="A3570" t="inlineStr">
        <is>
          <t>A 15197-2025</t>
        </is>
      </c>
      <c r="B3570" s="1" t="n">
        <v>45744.56331018519</v>
      </c>
      <c r="C3570" s="1" t="n">
        <v>46086</v>
      </c>
      <c r="D3570" t="inlineStr">
        <is>
          <t>GÄVLEBORGS LÄN</t>
        </is>
      </c>
      <c r="E3570" t="inlineStr">
        <is>
          <t>LJUSDAL</t>
        </is>
      </c>
      <c r="F3570" t="inlineStr">
        <is>
          <t>Bergvik skog väst AB</t>
        </is>
      </c>
      <c r="G3570" t="n">
        <v>31.3</v>
      </c>
      <c r="H3570" t="n">
        <v>0</v>
      </c>
      <c r="I3570" t="n">
        <v>0</v>
      </c>
      <c r="J3570" t="n">
        <v>0</v>
      </c>
      <c r="K3570" t="n">
        <v>0</v>
      </c>
      <c r="L3570" t="n">
        <v>0</v>
      </c>
      <c r="M3570" t="n">
        <v>0</v>
      </c>
      <c r="N3570" t="n">
        <v>0</v>
      </c>
      <c r="O3570" t="n">
        <v>0</v>
      </c>
      <c r="P3570" t="n">
        <v>0</v>
      </c>
      <c r="Q3570" t="n">
        <v>0</v>
      </c>
      <c r="R3570" s="2" t="inlineStr"/>
    </row>
    <row r="3571" ht="15" customHeight="1">
      <c r="A3571" t="inlineStr">
        <is>
          <t>A 17548-2025</t>
        </is>
      </c>
      <c r="B3571" s="1" t="n">
        <v>45757.61045138889</v>
      </c>
      <c r="C3571" s="1" t="n">
        <v>46086</v>
      </c>
      <c r="D3571" t="inlineStr">
        <is>
          <t>GÄVLEBORGS LÄN</t>
        </is>
      </c>
      <c r="E3571" t="inlineStr">
        <is>
          <t>OCKELBO</t>
        </is>
      </c>
      <c r="F3571" t="inlineStr">
        <is>
          <t>Bergvik skog väst AB</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10979-2026</t>
        </is>
      </c>
      <c r="B3572" s="1" t="n">
        <v>46079.46731481481</v>
      </c>
      <c r="C3572" s="1" t="n">
        <v>46086</v>
      </c>
      <c r="D3572" t="inlineStr">
        <is>
          <t>GÄVLEBORGS LÄN</t>
        </is>
      </c>
      <c r="E3572" t="inlineStr">
        <is>
          <t>NORDANSTIG</t>
        </is>
      </c>
      <c r="F3572" t="inlineStr">
        <is>
          <t>Holmen skog AB</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10982-2026</t>
        </is>
      </c>
      <c r="B3573" s="1" t="n">
        <v>46079.47445601852</v>
      </c>
      <c r="C3573" s="1" t="n">
        <v>46086</v>
      </c>
      <c r="D3573" t="inlineStr">
        <is>
          <t>GÄVLEBORGS LÄN</t>
        </is>
      </c>
      <c r="E3573" t="inlineStr">
        <is>
          <t>BOLLNÄS</t>
        </is>
      </c>
      <c r="G3573" t="n">
        <v>6.7</v>
      </c>
      <c r="H3573" t="n">
        <v>0</v>
      </c>
      <c r="I3573" t="n">
        <v>0</v>
      </c>
      <c r="J3573" t="n">
        <v>0</v>
      </c>
      <c r="K3573" t="n">
        <v>0</v>
      </c>
      <c r="L3573" t="n">
        <v>0</v>
      </c>
      <c r="M3573" t="n">
        <v>0</v>
      </c>
      <c r="N3573" t="n">
        <v>0</v>
      </c>
      <c r="O3573" t="n">
        <v>0</v>
      </c>
      <c r="P3573" t="n">
        <v>0</v>
      </c>
      <c r="Q3573" t="n">
        <v>0</v>
      </c>
      <c r="R3573" s="2" t="inlineStr"/>
    </row>
    <row r="3574" ht="15" customHeight="1">
      <c r="A3574" t="inlineStr">
        <is>
          <t>A 10984-2026</t>
        </is>
      </c>
      <c r="B3574" s="1" t="n">
        <v>46079.47811342592</v>
      </c>
      <c r="C3574" s="1" t="n">
        <v>46086</v>
      </c>
      <c r="D3574" t="inlineStr">
        <is>
          <t>GÄVLEBORGS LÄN</t>
        </is>
      </c>
      <c r="E3574" t="inlineStr">
        <is>
          <t>NORDANSTIG</t>
        </is>
      </c>
      <c r="G3574" t="n">
        <v>7</v>
      </c>
      <c r="H3574" t="n">
        <v>0</v>
      </c>
      <c r="I3574" t="n">
        <v>0</v>
      </c>
      <c r="J3574" t="n">
        <v>0</v>
      </c>
      <c r="K3574" t="n">
        <v>0</v>
      </c>
      <c r="L3574" t="n">
        <v>0</v>
      </c>
      <c r="M3574" t="n">
        <v>0</v>
      </c>
      <c r="N3574" t="n">
        <v>0</v>
      </c>
      <c r="O3574" t="n">
        <v>0</v>
      </c>
      <c r="P3574" t="n">
        <v>0</v>
      </c>
      <c r="Q3574" t="n">
        <v>0</v>
      </c>
      <c r="R3574" s="2" t="inlineStr"/>
    </row>
    <row r="3575" ht="15" customHeight="1">
      <c r="A3575" t="inlineStr">
        <is>
          <t>A 11016-2026</t>
        </is>
      </c>
      <c r="B3575" s="1" t="n">
        <v>46079.54177083333</v>
      </c>
      <c r="C3575" s="1" t="n">
        <v>46086</v>
      </c>
      <c r="D3575" t="inlineStr">
        <is>
          <t>GÄVLEBORGS LÄN</t>
        </is>
      </c>
      <c r="E3575" t="inlineStr">
        <is>
          <t>BOLLNÄS</t>
        </is>
      </c>
      <c r="F3575" t="inlineStr">
        <is>
          <t>Bergvik skog väst AB</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11026-2026</t>
        </is>
      </c>
      <c r="B3576" s="1" t="n">
        <v>46079.56569444444</v>
      </c>
      <c r="C3576" s="1" t="n">
        <v>46086</v>
      </c>
      <c r="D3576" t="inlineStr">
        <is>
          <t>GÄVLEBORGS LÄN</t>
        </is>
      </c>
      <c r="E3576" t="inlineStr">
        <is>
          <t>OVANÅKER</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11027-2026</t>
        </is>
      </c>
      <c r="B3577" s="1" t="n">
        <v>46079.56581018519</v>
      </c>
      <c r="C3577" s="1" t="n">
        <v>46086</v>
      </c>
      <c r="D3577" t="inlineStr">
        <is>
          <t>GÄVLEBORGS LÄN</t>
        </is>
      </c>
      <c r="E3577" t="inlineStr">
        <is>
          <t>OCKELBO</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11053-2026</t>
        </is>
      </c>
      <c r="B3578" s="1" t="n">
        <v>46079.59435185185</v>
      </c>
      <c r="C3578" s="1" t="n">
        <v>46086</v>
      </c>
      <c r="D3578" t="inlineStr">
        <is>
          <t>GÄVLEBORGS LÄN</t>
        </is>
      </c>
      <c r="E3578" t="inlineStr">
        <is>
          <t>BOLLNÄS</t>
        </is>
      </c>
      <c r="F3578" t="inlineStr">
        <is>
          <t>Bergvik skog väst AB</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30938-2025</t>
        </is>
      </c>
      <c r="B3579" s="1" t="n">
        <v>45832.40675925926</v>
      </c>
      <c r="C3579" s="1" t="n">
        <v>46086</v>
      </c>
      <c r="D3579" t="inlineStr">
        <is>
          <t>GÄVLEBORGS LÄN</t>
        </is>
      </c>
      <c r="E3579" t="inlineStr">
        <is>
          <t>LJUSDAL</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48110-2022</t>
        </is>
      </c>
      <c r="B3580" s="1" t="n">
        <v>44856.96982638889</v>
      </c>
      <c r="C3580" s="1" t="n">
        <v>46086</v>
      </c>
      <c r="D3580" t="inlineStr">
        <is>
          <t>GÄVLEBORGS LÄN</t>
        </is>
      </c>
      <c r="E3580" t="inlineStr">
        <is>
          <t>BOLLNÄS</t>
        </is>
      </c>
      <c r="F3580" t="inlineStr">
        <is>
          <t>Bergvik skog väst AB</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41151-2025</t>
        </is>
      </c>
      <c r="B3581" s="1" t="n">
        <v>45898.5127199074</v>
      </c>
      <c r="C3581" s="1" t="n">
        <v>46086</v>
      </c>
      <c r="D3581" t="inlineStr">
        <is>
          <t>GÄVLEBORGS LÄN</t>
        </is>
      </c>
      <c r="E3581" t="inlineStr">
        <is>
          <t>HUDIKSVALL</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16426-2025</t>
        </is>
      </c>
      <c r="B3582" s="1" t="n">
        <v>45751.47662037037</v>
      </c>
      <c r="C3582" s="1" t="n">
        <v>46086</v>
      </c>
      <c r="D3582" t="inlineStr">
        <is>
          <t>GÄVLEBORGS LÄN</t>
        </is>
      </c>
      <c r="E3582" t="inlineStr">
        <is>
          <t>OVANÅKER</t>
        </is>
      </c>
      <c r="F3582" t="inlineStr">
        <is>
          <t>Bergvik skog öst AB</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20165-2025</t>
        </is>
      </c>
      <c r="B3583" s="1" t="n">
        <v>45772.57445601852</v>
      </c>
      <c r="C3583" s="1" t="n">
        <v>46086</v>
      </c>
      <c r="D3583" t="inlineStr">
        <is>
          <t>GÄVLEBORGS LÄN</t>
        </is>
      </c>
      <c r="E3583" t="inlineStr">
        <is>
          <t>BOLLNÄS</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5076-2026</t>
        </is>
      </c>
      <c r="B3584" s="1" t="n">
        <v>46049</v>
      </c>
      <c r="C3584" s="1" t="n">
        <v>46086</v>
      </c>
      <c r="D3584" t="inlineStr">
        <is>
          <t>GÄVLEBORGS LÄN</t>
        </is>
      </c>
      <c r="E3584" t="inlineStr">
        <is>
          <t>OVANÅKER</t>
        </is>
      </c>
      <c r="G3584" t="n">
        <v>12.7</v>
      </c>
      <c r="H3584" t="n">
        <v>0</v>
      </c>
      <c r="I3584" t="n">
        <v>0</v>
      </c>
      <c r="J3584" t="n">
        <v>0</v>
      </c>
      <c r="K3584" t="n">
        <v>0</v>
      </c>
      <c r="L3584" t="n">
        <v>0</v>
      </c>
      <c r="M3584" t="n">
        <v>0</v>
      </c>
      <c r="N3584" t="n">
        <v>0</v>
      </c>
      <c r="O3584" t="n">
        <v>0</v>
      </c>
      <c r="P3584" t="n">
        <v>0</v>
      </c>
      <c r="Q3584" t="n">
        <v>0</v>
      </c>
      <c r="R3584" s="2" t="inlineStr"/>
    </row>
    <row r="3585" ht="15" customHeight="1">
      <c r="A3585" t="inlineStr">
        <is>
          <t>A 5872-2026</t>
        </is>
      </c>
      <c r="B3585" s="1" t="n">
        <v>46052</v>
      </c>
      <c r="C3585" s="1" t="n">
        <v>46086</v>
      </c>
      <c r="D3585" t="inlineStr">
        <is>
          <t>GÄVLEBORGS LÄN</t>
        </is>
      </c>
      <c r="E3585" t="inlineStr">
        <is>
          <t>HOFORS</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8241-2026</t>
        </is>
      </c>
      <c r="B3586" s="1" t="n">
        <v>46064</v>
      </c>
      <c r="C3586" s="1" t="n">
        <v>46086</v>
      </c>
      <c r="D3586" t="inlineStr">
        <is>
          <t>GÄVLEBORGS LÄN</t>
        </is>
      </c>
      <c r="E3586" t="inlineStr">
        <is>
          <t>BOLLNÄS</t>
        </is>
      </c>
      <c r="F3586" t="inlineStr">
        <is>
          <t>Bergvik skog väst AB</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8248-2026</t>
        </is>
      </c>
      <c r="B3587" s="1" t="n">
        <v>46064</v>
      </c>
      <c r="C3587" s="1" t="n">
        <v>46086</v>
      </c>
      <c r="D3587" t="inlineStr">
        <is>
          <t>GÄVLEBORGS LÄN</t>
        </is>
      </c>
      <c r="E3587" t="inlineStr">
        <is>
          <t>BOLLNÄS</t>
        </is>
      </c>
      <c r="F3587" t="inlineStr">
        <is>
          <t>Bergvik skog väst AB</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8560-2026</t>
        </is>
      </c>
      <c r="B3588" s="1" t="n">
        <v>46065</v>
      </c>
      <c r="C3588" s="1" t="n">
        <v>46086</v>
      </c>
      <c r="D3588" t="inlineStr">
        <is>
          <t>GÄVLEBORGS LÄN</t>
        </is>
      </c>
      <c r="E3588" t="inlineStr">
        <is>
          <t>BOLLNÄS</t>
        </is>
      </c>
      <c r="G3588" t="n">
        <v>8.4</v>
      </c>
      <c r="H3588" t="n">
        <v>0</v>
      </c>
      <c r="I3588" t="n">
        <v>0</v>
      </c>
      <c r="J3588" t="n">
        <v>0</v>
      </c>
      <c r="K3588" t="n">
        <v>0</v>
      </c>
      <c r="L3588" t="n">
        <v>0</v>
      </c>
      <c r="M3588" t="n">
        <v>0</v>
      </c>
      <c r="N3588" t="n">
        <v>0</v>
      </c>
      <c r="O3588" t="n">
        <v>0</v>
      </c>
      <c r="P3588" t="n">
        <v>0</v>
      </c>
      <c r="Q3588" t="n">
        <v>0</v>
      </c>
      <c r="R3588" s="2" t="inlineStr"/>
    </row>
    <row r="3589" ht="15" customHeight="1">
      <c r="A3589" t="inlineStr">
        <is>
          <t>A 10942-2026</t>
        </is>
      </c>
      <c r="B3589" s="1" t="n">
        <v>46079.37427083333</v>
      </c>
      <c r="C3589" s="1" t="n">
        <v>46086</v>
      </c>
      <c r="D3589" t="inlineStr">
        <is>
          <t>GÄVLEBORGS LÄN</t>
        </is>
      </c>
      <c r="E3589" t="inlineStr">
        <is>
          <t>OVANÅKER</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10956-2026</t>
        </is>
      </c>
      <c r="B3590" s="1" t="n">
        <v>46079.40421296296</v>
      </c>
      <c r="C3590" s="1" t="n">
        <v>46086</v>
      </c>
      <c r="D3590" t="inlineStr">
        <is>
          <t>GÄVLEBORGS LÄN</t>
        </is>
      </c>
      <c r="E3590" t="inlineStr">
        <is>
          <t>BOLLNÄS</t>
        </is>
      </c>
      <c r="F3590" t="inlineStr">
        <is>
          <t>Bergvik skog väst AB</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17062-2023</t>
        </is>
      </c>
      <c r="B3591" s="1" t="n">
        <v>45034</v>
      </c>
      <c r="C3591" s="1" t="n">
        <v>46086</v>
      </c>
      <c r="D3591" t="inlineStr">
        <is>
          <t>GÄVLEBORGS LÄN</t>
        </is>
      </c>
      <c r="E3591" t="inlineStr">
        <is>
          <t>GÄVLE</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40986-2025</t>
        </is>
      </c>
      <c r="B3592" s="1" t="n">
        <v>45898.30623842592</v>
      </c>
      <c r="C3592" s="1" t="n">
        <v>46086</v>
      </c>
      <c r="D3592" t="inlineStr">
        <is>
          <t>GÄVLEBORGS LÄN</t>
        </is>
      </c>
      <c r="E3592" t="inlineStr">
        <is>
          <t>OVANÅKER</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31374-2025</t>
        </is>
      </c>
      <c r="B3593" s="1" t="n">
        <v>45833.44599537037</v>
      </c>
      <c r="C3593" s="1" t="n">
        <v>46086</v>
      </c>
      <c r="D3593" t="inlineStr">
        <is>
          <t>GÄVLEBORGS LÄN</t>
        </is>
      </c>
      <c r="E3593" t="inlineStr">
        <is>
          <t>BOLLNÄS</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41047-2025</t>
        </is>
      </c>
      <c r="B3594" s="1" t="n">
        <v>45898.40085648148</v>
      </c>
      <c r="C3594" s="1" t="n">
        <v>46086</v>
      </c>
      <c r="D3594" t="inlineStr">
        <is>
          <t>GÄVLEBORGS LÄN</t>
        </is>
      </c>
      <c r="E3594" t="inlineStr">
        <is>
          <t>GÄVLE</t>
        </is>
      </c>
      <c r="F3594" t="inlineStr">
        <is>
          <t>Bergvik skog väst AB</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10780-2026</t>
        </is>
      </c>
      <c r="B3595" s="1" t="n">
        <v>46078.57665509259</v>
      </c>
      <c r="C3595" s="1" t="n">
        <v>46086</v>
      </c>
      <c r="D3595" t="inlineStr">
        <is>
          <t>GÄVLEBORGS LÄN</t>
        </is>
      </c>
      <c r="E3595" t="inlineStr">
        <is>
          <t>SANDVIKEN</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10782-2026</t>
        </is>
      </c>
      <c r="B3596" s="1" t="n">
        <v>46078.57787037037</v>
      </c>
      <c r="C3596" s="1" t="n">
        <v>46086</v>
      </c>
      <c r="D3596" t="inlineStr">
        <is>
          <t>GÄVLEBORGS LÄN</t>
        </is>
      </c>
      <c r="E3596" t="inlineStr">
        <is>
          <t>OVANÅKER</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10783-2026</t>
        </is>
      </c>
      <c r="B3597" s="1" t="n">
        <v>46078</v>
      </c>
      <c r="C3597" s="1" t="n">
        <v>46086</v>
      </c>
      <c r="D3597" t="inlineStr">
        <is>
          <t>GÄVLEBORGS LÄN</t>
        </is>
      </c>
      <c r="E3597" t="inlineStr">
        <is>
          <t>OVANÅKER</t>
        </is>
      </c>
      <c r="G3597" t="n">
        <v>5</v>
      </c>
      <c r="H3597" t="n">
        <v>0</v>
      </c>
      <c r="I3597" t="n">
        <v>0</v>
      </c>
      <c r="J3597" t="n">
        <v>0</v>
      </c>
      <c r="K3597" t="n">
        <v>0</v>
      </c>
      <c r="L3597" t="n">
        <v>0</v>
      </c>
      <c r="M3597" t="n">
        <v>0</v>
      </c>
      <c r="N3597" t="n">
        <v>0</v>
      </c>
      <c r="O3597" t="n">
        <v>0</v>
      </c>
      <c r="P3597" t="n">
        <v>0</v>
      </c>
      <c r="Q3597" t="n">
        <v>0</v>
      </c>
      <c r="R3597" s="2" t="inlineStr"/>
    </row>
    <row r="3598" ht="15" customHeight="1">
      <c r="A3598" t="inlineStr">
        <is>
          <t>A 30843-2025</t>
        </is>
      </c>
      <c r="B3598" s="1" t="n">
        <v>45831.75673611111</v>
      </c>
      <c r="C3598" s="1" t="n">
        <v>46086</v>
      </c>
      <c r="D3598" t="inlineStr">
        <is>
          <t>GÄVLEBORGS LÄN</t>
        </is>
      </c>
      <c r="E3598" t="inlineStr">
        <is>
          <t>SANDVIKEN</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41865-2025</t>
        </is>
      </c>
      <c r="B3599" s="1" t="n">
        <v>45903.33694444445</v>
      </c>
      <c r="C3599" s="1" t="n">
        <v>46086</v>
      </c>
      <c r="D3599" t="inlineStr">
        <is>
          <t>GÄVLEBORGS LÄN</t>
        </is>
      </c>
      <c r="E3599" t="inlineStr">
        <is>
          <t>LJUSDAL</t>
        </is>
      </c>
      <c r="F3599" t="inlineStr">
        <is>
          <t>Bergvik skog väst AB</t>
        </is>
      </c>
      <c r="G3599" t="n">
        <v>16.6</v>
      </c>
      <c r="H3599" t="n">
        <v>0</v>
      </c>
      <c r="I3599" t="n">
        <v>0</v>
      </c>
      <c r="J3599" t="n">
        <v>0</v>
      </c>
      <c r="K3599" t="n">
        <v>0</v>
      </c>
      <c r="L3599" t="n">
        <v>0</v>
      </c>
      <c r="M3599" t="n">
        <v>0</v>
      </c>
      <c r="N3599" t="n">
        <v>0</v>
      </c>
      <c r="O3599" t="n">
        <v>0</v>
      </c>
      <c r="P3599" t="n">
        <v>0</v>
      </c>
      <c r="Q3599" t="n">
        <v>0</v>
      </c>
      <c r="R3599" s="2" t="inlineStr"/>
    </row>
    <row r="3600" ht="15" customHeight="1">
      <c r="A3600" t="inlineStr">
        <is>
          <t>A 41878-2025</t>
        </is>
      </c>
      <c r="B3600" s="1" t="n">
        <v>45903.34972222222</v>
      </c>
      <c r="C3600" s="1" t="n">
        <v>46086</v>
      </c>
      <c r="D3600" t="inlineStr">
        <is>
          <t>GÄVLEBORGS LÄN</t>
        </is>
      </c>
      <c r="E3600" t="inlineStr">
        <is>
          <t>LJUSDAL</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31500-2025</t>
        </is>
      </c>
      <c r="B3601" s="1" t="n">
        <v>45833.58673611111</v>
      </c>
      <c r="C3601" s="1" t="n">
        <v>46086</v>
      </c>
      <c r="D3601" t="inlineStr">
        <is>
          <t>GÄVLEBORGS LÄN</t>
        </is>
      </c>
      <c r="E3601" t="inlineStr">
        <is>
          <t>LJUSDAL</t>
        </is>
      </c>
      <c r="G3601" t="n">
        <v>5.7</v>
      </c>
      <c r="H3601" t="n">
        <v>0</v>
      </c>
      <c r="I3601" t="n">
        <v>0</v>
      </c>
      <c r="J3601" t="n">
        <v>0</v>
      </c>
      <c r="K3601" t="n">
        <v>0</v>
      </c>
      <c r="L3601" t="n">
        <v>0</v>
      </c>
      <c r="M3601" t="n">
        <v>0</v>
      </c>
      <c r="N3601" t="n">
        <v>0</v>
      </c>
      <c r="O3601" t="n">
        <v>0</v>
      </c>
      <c r="P3601" t="n">
        <v>0</v>
      </c>
      <c r="Q3601" t="n">
        <v>0</v>
      </c>
      <c r="R3601" s="2" t="inlineStr"/>
    </row>
    <row r="3602" ht="15" customHeight="1">
      <c r="A3602" t="inlineStr">
        <is>
          <t>A 31515-2025</t>
        </is>
      </c>
      <c r="B3602" s="1" t="n">
        <v>45833.60422453703</v>
      </c>
      <c r="C3602" s="1" t="n">
        <v>46086</v>
      </c>
      <c r="D3602" t="inlineStr">
        <is>
          <t>GÄVLEBORGS LÄN</t>
        </is>
      </c>
      <c r="E3602" t="inlineStr">
        <is>
          <t>LJUSDAL</t>
        </is>
      </c>
      <c r="G3602" t="n">
        <v>4.6</v>
      </c>
      <c r="H3602" t="n">
        <v>0</v>
      </c>
      <c r="I3602" t="n">
        <v>0</v>
      </c>
      <c r="J3602" t="n">
        <v>0</v>
      </c>
      <c r="K3602" t="n">
        <v>0</v>
      </c>
      <c r="L3602" t="n">
        <v>0</v>
      </c>
      <c r="M3602" t="n">
        <v>0</v>
      </c>
      <c r="N3602" t="n">
        <v>0</v>
      </c>
      <c r="O3602" t="n">
        <v>0</v>
      </c>
      <c r="P3602" t="n">
        <v>0</v>
      </c>
      <c r="Q3602" t="n">
        <v>0</v>
      </c>
      <c r="R3602" s="2" t="inlineStr"/>
    </row>
    <row r="3603" ht="15" customHeight="1">
      <c r="A3603" t="inlineStr">
        <is>
          <t>A 32847-2022</t>
        </is>
      </c>
      <c r="B3603" s="1" t="n">
        <v>44784.46349537037</v>
      </c>
      <c r="C3603" s="1" t="n">
        <v>46086</v>
      </c>
      <c r="D3603" t="inlineStr">
        <is>
          <t>GÄVLEBORGS LÄN</t>
        </is>
      </c>
      <c r="E3603" t="inlineStr">
        <is>
          <t>SANDVIKEN</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23463-2025</t>
        </is>
      </c>
      <c r="B3604" s="1" t="n">
        <v>45792.43024305555</v>
      </c>
      <c r="C3604" s="1" t="n">
        <v>46086</v>
      </c>
      <c r="D3604" t="inlineStr">
        <is>
          <t>GÄVLEBORGS LÄN</t>
        </is>
      </c>
      <c r="E3604" t="inlineStr">
        <is>
          <t>GÄVLE</t>
        </is>
      </c>
      <c r="G3604" t="n">
        <v>7.2</v>
      </c>
      <c r="H3604" t="n">
        <v>0</v>
      </c>
      <c r="I3604" t="n">
        <v>0</v>
      </c>
      <c r="J3604" t="n">
        <v>0</v>
      </c>
      <c r="K3604" t="n">
        <v>0</v>
      </c>
      <c r="L3604" t="n">
        <v>0</v>
      </c>
      <c r="M3604" t="n">
        <v>0</v>
      </c>
      <c r="N3604" t="n">
        <v>0</v>
      </c>
      <c r="O3604" t="n">
        <v>0</v>
      </c>
      <c r="P3604" t="n">
        <v>0</v>
      </c>
      <c r="Q3604" t="n">
        <v>0</v>
      </c>
      <c r="R3604" s="2" t="inlineStr"/>
    </row>
    <row r="3605" ht="15" customHeight="1">
      <c r="A3605" t="inlineStr">
        <is>
          <t>A 31471-2025</t>
        </is>
      </c>
      <c r="B3605" s="1" t="n">
        <v>45833.56436342592</v>
      </c>
      <c r="C3605" s="1" t="n">
        <v>46086</v>
      </c>
      <c r="D3605" t="inlineStr">
        <is>
          <t>GÄVLEBORGS LÄN</t>
        </is>
      </c>
      <c r="E3605" t="inlineStr">
        <is>
          <t>HOFORS</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31477-2025</t>
        </is>
      </c>
      <c r="B3606" s="1" t="n">
        <v>45833.5702662037</v>
      </c>
      <c r="C3606" s="1" t="n">
        <v>46086</v>
      </c>
      <c r="D3606" t="inlineStr">
        <is>
          <t>GÄVLEBORGS LÄN</t>
        </is>
      </c>
      <c r="E3606" t="inlineStr">
        <is>
          <t>HUDIKSVALL</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31595-2025</t>
        </is>
      </c>
      <c r="B3607" s="1" t="n">
        <v>45833.7067824074</v>
      </c>
      <c r="C3607" s="1" t="n">
        <v>46086</v>
      </c>
      <c r="D3607" t="inlineStr">
        <is>
          <t>GÄVLEBORGS LÄN</t>
        </is>
      </c>
      <c r="E3607" t="inlineStr">
        <is>
          <t>GÄVLE</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18459-2025</t>
        </is>
      </c>
      <c r="B3608" s="1" t="n">
        <v>45762</v>
      </c>
      <c r="C3608" s="1" t="n">
        <v>46086</v>
      </c>
      <c r="D3608" t="inlineStr">
        <is>
          <t>GÄVLEBORGS LÄN</t>
        </is>
      </c>
      <c r="E3608" t="inlineStr">
        <is>
          <t>SÖDERHAMN</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31511-2025</t>
        </is>
      </c>
      <c r="B3609" s="1" t="n">
        <v>45833.59689814815</v>
      </c>
      <c r="C3609" s="1" t="n">
        <v>46086</v>
      </c>
      <c r="D3609" t="inlineStr">
        <is>
          <t>GÄVLEBORGS LÄN</t>
        </is>
      </c>
      <c r="E3609" t="inlineStr">
        <is>
          <t>LJUSDAL</t>
        </is>
      </c>
      <c r="G3609" t="n">
        <v>7.7</v>
      </c>
      <c r="H3609" t="n">
        <v>0</v>
      </c>
      <c r="I3609" t="n">
        <v>0</v>
      </c>
      <c r="J3609" t="n">
        <v>0</v>
      </c>
      <c r="K3609" t="n">
        <v>0</v>
      </c>
      <c r="L3609" t="n">
        <v>0</v>
      </c>
      <c r="M3609" t="n">
        <v>0</v>
      </c>
      <c r="N3609" t="n">
        <v>0</v>
      </c>
      <c r="O3609" t="n">
        <v>0</v>
      </c>
      <c r="P3609" t="n">
        <v>0</v>
      </c>
      <c r="Q3609" t="n">
        <v>0</v>
      </c>
      <c r="R3609" s="2" t="inlineStr"/>
    </row>
    <row r="3610" ht="15" customHeight="1">
      <c r="A3610" t="inlineStr">
        <is>
          <t>A 41745-2025</t>
        </is>
      </c>
      <c r="B3610" s="1" t="n">
        <v>45902.48480324074</v>
      </c>
      <c r="C3610" s="1" t="n">
        <v>46086</v>
      </c>
      <c r="D3610" t="inlineStr">
        <is>
          <t>GÄVLEBORGS LÄN</t>
        </is>
      </c>
      <c r="E3610" t="inlineStr">
        <is>
          <t>LJUSDAL</t>
        </is>
      </c>
      <c r="G3610" t="n">
        <v>7.8</v>
      </c>
      <c r="H3610" t="n">
        <v>0</v>
      </c>
      <c r="I3610" t="n">
        <v>0</v>
      </c>
      <c r="J3610" t="n">
        <v>0</v>
      </c>
      <c r="K3610" t="n">
        <v>0</v>
      </c>
      <c r="L3610" t="n">
        <v>0</v>
      </c>
      <c r="M3610" t="n">
        <v>0</v>
      </c>
      <c r="N3610" t="n">
        <v>0</v>
      </c>
      <c r="O3610" t="n">
        <v>0</v>
      </c>
      <c r="P3610" t="n">
        <v>0</v>
      </c>
      <c r="Q3610" t="n">
        <v>0</v>
      </c>
      <c r="R3610" s="2" t="inlineStr"/>
    </row>
    <row r="3611" ht="15" customHeight="1">
      <c r="A3611" t="inlineStr">
        <is>
          <t>A 2199-2026</t>
        </is>
      </c>
      <c r="B3611" s="1" t="n">
        <v>46036</v>
      </c>
      <c r="C3611" s="1" t="n">
        <v>46086</v>
      </c>
      <c r="D3611" t="inlineStr">
        <is>
          <t>GÄVLEBORGS LÄN</t>
        </is>
      </c>
      <c r="E3611" t="inlineStr">
        <is>
          <t>OVANÅKER</t>
        </is>
      </c>
      <c r="G3611" t="n">
        <v>4.2</v>
      </c>
      <c r="H3611" t="n">
        <v>0</v>
      </c>
      <c r="I3611" t="n">
        <v>0</v>
      </c>
      <c r="J3611" t="n">
        <v>0</v>
      </c>
      <c r="K3611" t="n">
        <v>0</v>
      </c>
      <c r="L3611" t="n">
        <v>0</v>
      </c>
      <c r="M3611" t="n">
        <v>0</v>
      </c>
      <c r="N3611" t="n">
        <v>0</v>
      </c>
      <c r="O3611" t="n">
        <v>0</v>
      </c>
      <c r="P3611" t="n">
        <v>0</v>
      </c>
      <c r="Q3611" t="n">
        <v>0</v>
      </c>
      <c r="R3611" s="2" t="inlineStr"/>
    </row>
    <row r="3612" ht="15" customHeight="1">
      <c r="A3612" t="inlineStr">
        <is>
          <t>A 2207-2026</t>
        </is>
      </c>
      <c r="B3612" s="1" t="n">
        <v>46036.48780092593</v>
      </c>
      <c r="C3612" s="1" t="n">
        <v>46086</v>
      </c>
      <c r="D3612" t="inlineStr">
        <is>
          <t>GÄVLEBORGS LÄN</t>
        </is>
      </c>
      <c r="E3612" t="inlineStr">
        <is>
          <t>OCKELBO</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31123-2025</t>
        </is>
      </c>
      <c r="B3613" s="1" t="n">
        <v>45832.62681712963</v>
      </c>
      <c r="C3613" s="1" t="n">
        <v>46086</v>
      </c>
      <c r="D3613" t="inlineStr">
        <is>
          <t>GÄVLEBORGS LÄN</t>
        </is>
      </c>
      <c r="E3613" t="inlineStr">
        <is>
          <t>LJUSDAL</t>
        </is>
      </c>
      <c r="F3613" t="inlineStr">
        <is>
          <t>Sveaskog</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31497-2025</t>
        </is>
      </c>
      <c r="B3614" s="1" t="n">
        <v>45833.58438657408</v>
      </c>
      <c r="C3614" s="1" t="n">
        <v>46086</v>
      </c>
      <c r="D3614" t="inlineStr">
        <is>
          <t>GÄVLEBORGS LÄN</t>
        </is>
      </c>
      <c r="E3614" t="inlineStr">
        <is>
          <t>OCKELBO</t>
        </is>
      </c>
      <c r="F3614" t="inlineStr">
        <is>
          <t>Bergvik skog väst AB</t>
        </is>
      </c>
      <c r="G3614" t="n">
        <v>22.6</v>
      </c>
      <c r="H3614" t="n">
        <v>0</v>
      </c>
      <c r="I3614" t="n">
        <v>0</v>
      </c>
      <c r="J3614" t="n">
        <v>0</v>
      </c>
      <c r="K3614" t="n">
        <v>0</v>
      </c>
      <c r="L3614" t="n">
        <v>0</v>
      </c>
      <c r="M3614" t="n">
        <v>0</v>
      </c>
      <c r="N3614" t="n">
        <v>0</v>
      </c>
      <c r="O3614" t="n">
        <v>0</v>
      </c>
      <c r="P3614" t="n">
        <v>0</v>
      </c>
      <c r="Q3614" t="n">
        <v>0</v>
      </c>
      <c r="R3614" s="2" t="inlineStr"/>
    </row>
    <row r="3615" ht="15" customHeight="1">
      <c r="A3615" t="inlineStr">
        <is>
          <t>A 41947-2025</t>
        </is>
      </c>
      <c r="B3615" s="1" t="n">
        <v>45903.44925925926</v>
      </c>
      <c r="C3615" s="1" t="n">
        <v>46086</v>
      </c>
      <c r="D3615" t="inlineStr">
        <is>
          <t>GÄVLEBORGS LÄN</t>
        </is>
      </c>
      <c r="E3615" t="inlineStr">
        <is>
          <t>LJUSDAL</t>
        </is>
      </c>
      <c r="F3615" t="inlineStr">
        <is>
          <t>Allmännings- och besparingsskogar</t>
        </is>
      </c>
      <c r="G3615" t="n">
        <v>21.2</v>
      </c>
      <c r="H3615" t="n">
        <v>0</v>
      </c>
      <c r="I3615" t="n">
        <v>0</v>
      </c>
      <c r="J3615" t="n">
        <v>0</v>
      </c>
      <c r="K3615" t="n">
        <v>0</v>
      </c>
      <c r="L3615" t="n">
        <v>0</v>
      </c>
      <c r="M3615" t="n">
        <v>0</v>
      </c>
      <c r="N3615" t="n">
        <v>0</v>
      </c>
      <c r="O3615" t="n">
        <v>0</v>
      </c>
      <c r="P3615" t="n">
        <v>0</v>
      </c>
      <c r="Q3615" t="n">
        <v>0</v>
      </c>
      <c r="R3615" s="2" t="inlineStr"/>
    </row>
    <row r="3616" ht="15" customHeight="1">
      <c r="A3616" t="inlineStr">
        <is>
          <t>A 31919-2025</t>
        </is>
      </c>
      <c r="B3616" s="1" t="n">
        <v>45834.79741898148</v>
      </c>
      <c r="C3616" s="1" t="n">
        <v>46086</v>
      </c>
      <c r="D3616" t="inlineStr">
        <is>
          <t>GÄVLEBORGS LÄN</t>
        </is>
      </c>
      <c r="E3616" t="inlineStr">
        <is>
          <t>GÄVLE</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41960-2025</t>
        </is>
      </c>
      <c r="B3617" s="1" t="n">
        <v>45903.46912037037</v>
      </c>
      <c r="C3617" s="1" t="n">
        <v>46086</v>
      </c>
      <c r="D3617" t="inlineStr">
        <is>
          <t>GÄVLEBORGS LÄN</t>
        </is>
      </c>
      <c r="E3617" t="inlineStr">
        <is>
          <t>NORDANSTIG</t>
        </is>
      </c>
      <c r="F3617" t="inlineStr">
        <is>
          <t>SCA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73458-2021</t>
        </is>
      </c>
      <c r="B3618" s="1" t="n">
        <v>44551.58166666667</v>
      </c>
      <c r="C3618" s="1" t="n">
        <v>46086</v>
      </c>
      <c r="D3618" t="inlineStr">
        <is>
          <t>GÄVLEBORGS LÄN</t>
        </is>
      </c>
      <c r="E3618" t="inlineStr">
        <is>
          <t>HUDIKSVALL</t>
        </is>
      </c>
      <c r="F3618" t="inlineStr">
        <is>
          <t>Holmen skog AB</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32265-2025</t>
        </is>
      </c>
      <c r="B3619" s="1" t="n">
        <v>45835.65190972222</v>
      </c>
      <c r="C3619" s="1" t="n">
        <v>46086</v>
      </c>
      <c r="D3619" t="inlineStr">
        <is>
          <t>GÄVLEBORGS LÄN</t>
        </is>
      </c>
      <c r="E3619" t="inlineStr">
        <is>
          <t>HUDIKSVALL</t>
        </is>
      </c>
      <c r="F3619" t="inlineStr">
        <is>
          <t>Holmen skog AB</t>
        </is>
      </c>
      <c r="G3619" t="n">
        <v>4.3</v>
      </c>
      <c r="H3619" t="n">
        <v>0</v>
      </c>
      <c r="I3619" t="n">
        <v>0</v>
      </c>
      <c r="J3619" t="n">
        <v>0</v>
      </c>
      <c r="K3619" t="n">
        <v>0</v>
      </c>
      <c r="L3619" t="n">
        <v>0</v>
      </c>
      <c r="M3619" t="n">
        <v>0</v>
      </c>
      <c r="N3619" t="n">
        <v>0</v>
      </c>
      <c r="O3619" t="n">
        <v>0</v>
      </c>
      <c r="P3619" t="n">
        <v>0</v>
      </c>
      <c r="Q3619" t="n">
        <v>0</v>
      </c>
      <c r="R3619" s="2" t="inlineStr"/>
    </row>
    <row r="3620" ht="15" customHeight="1">
      <c r="A3620" t="inlineStr">
        <is>
          <t>A 22173-2024</t>
        </is>
      </c>
      <c r="B3620" s="1" t="n">
        <v>45446.31018518518</v>
      </c>
      <c r="C3620" s="1" t="n">
        <v>46086</v>
      </c>
      <c r="D3620" t="inlineStr">
        <is>
          <t>GÄVLEBORGS LÄN</t>
        </is>
      </c>
      <c r="E3620" t="inlineStr">
        <is>
          <t>OVANÅKER</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35931-2023</t>
        </is>
      </c>
      <c r="B3621" s="1" t="n">
        <v>45148.66540509259</v>
      </c>
      <c r="C3621" s="1" t="n">
        <v>46086</v>
      </c>
      <c r="D3621" t="inlineStr">
        <is>
          <t>GÄVLEBORGS LÄN</t>
        </is>
      </c>
      <c r="E3621" t="inlineStr">
        <is>
          <t>NORDANSTIG</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30946-2024</t>
        </is>
      </c>
      <c r="B3622" s="1" t="n">
        <v>45499.37065972222</v>
      </c>
      <c r="C3622" s="1" t="n">
        <v>46086</v>
      </c>
      <c r="D3622" t="inlineStr">
        <is>
          <t>GÄVLEBORGS LÄN</t>
        </is>
      </c>
      <c r="E3622" t="inlineStr">
        <is>
          <t>OVANÅKER</t>
        </is>
      </c>
      <c r="F3622" t="inlineStr">
        <is>
          <t>Bergvik skog öst AB</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41773-2025</t>
        </is>
      </c>
      <c r="B3623" s="1" t="n">
        <v>45902.5585300926</v>
      </c>
      <c r="C3623" s="1" t="n">
        <v>46086</v>
      </c>
      <c r="D3623" t="inlineStr">
        <is>
          <t>GÄVLEBORGS LÄN</t>
        </is>
      </c>
      <c r="E3623" t="inlineStr">
        <is>
          <t>NORDANSTIG</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2619-2026</t>
        </is>
      </c>
      <c r="B3624" s="1" t="n">
        <v>46037.59047453704</v>
      </c>
      <c r="C3624" s="1" t="n">
        <v>46086</v>
      </c>
      <c r="D3624" t="inlineStr">
        <is>
          <t>GÄVLEBORGS LÄN</t>
        </is>
      </c>
      <c r="E3624" t="inlineStr">
        <is>
          <t>SÖDERHAMN</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2678-2026</t>
        </is>
      </c>
      <c r="B3625" s="1" t="n">
        <v>46037</v>
      </c>
      <c r="C3625" s="1" t="n">
        <v>46086</v>
      </c>
      <c r="D3625" t="inlineStr">
        <is>
          <t>GÄVLEBORGS LÄN</t>
        </is>
      </c>
      <c r="E3625" t="inlineStr">
        <is>
          <t>OVANÅKER</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8277-2026</t>
        </is>
      </c>
      <c r="B3626" s="1" t="n">
        <v>46064</v>
      </c>
      <c r="C3626" s="1" t="n">
        <v>46086</v>
      </c>
      <c r="D3626" t="inlineStr">
        <is>
          <t>GÄVLEBORGS LÄN</t>
        </is>
      </c>
      <c r="E3626" t="inlineStr">
        <is>
          <t>HUDIKSVALL</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8287-2026</t>
        </is>
      </c>
      <c r="B3627" s="1" t="n">
        <v>46064</v>
      </c>
      <c r="C3627" s="1" t="n">
        <v>46086</v>
      </c>
      <c r="D3627" t="inlineStr">
        <is>
          <t>GÄVLEBORGS LÄN</t>
        </is>
      </c>
      <c r="E3627" t="inlineStr">
        <is>
          <t>OVANÅKER</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8619-2026</t>
        </is>
      </c>
      <c r="B3628" s="1" t="n">
        <v>46066</v>
      </c>
      <c r="C3628" s="1" t="n">
        <v>46086</v>
      </c>
      <c r="D3628" t="inlineStr">
        <is>
          <t>GÄVLEBORGS LÄN</t>
        </is>
      </c>
      <c r="E3628" t="inlineStr">
        <is>
          <t>OVANÅKER</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8745-2026</t>
        </is>
      </c>
      <c r="B3629" s="1" t="n">
        <v>46066</v>
      </c>
      <c r="C3629" s="1" t="n">
        <v>46086</v>
      </c>
      <c r="D3629" t="inlineStr">
        <is>
          <t>GÄVLEBORGS LÄN</t>
        </is>
      </c>
      <c r="E3629" t="inlineStr">
        <is>
          <t>OVANÅKER</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8755-2026</t>
        </is>
      </c>
      <c r="B3630" s="1" t="n">
        <v>46066</v>
      </c>
      <c r="C3630" s="1" t="n">
        <v>46086</v>
      </c>
      <c r="D3630" t="inlineStr">
        <is>
          <t>GÄVLEBORGS LÄN</t>
        </is>
      </c>
      <c r="E3630" t="inlineStr">
        <is>
          <t>LJUSDAL</t>
        </is>
      </c>
      <c r="F3630" t="inlineStr">
        <is>
          <t>Sveaskog</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9393-2026</t>
        </is>
      </c>
      <c r="B3631" s="1" t="n">
        <v>46071</v>
      </c>
      <c r="C3631" s="1" t="n">
        <v>46086</v>
      </c>
      <c r="D3631" t="inlineStr">
        <is>
          <t>GÄVLEBORGS LÄN</t>
        </is>
      </c>
      <c r="E3631" t="inlineStr">
        <is>
          <t>OVANÅKER</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32044-2025</t>
        </is>
      </c>
      <c r="B3632" s="1" t="n">
        <v>45835.43945601852</v>
      </c>
      <c r="C3632" s="1" t="n">
        <v>46086</v>
      </c>
      <c r="D3632" t="inlineStr">
        <is>
          <t>GÄVLEBORGS LÄN</t>
        </is>
      </c>
      <c r="E3632" t="inlineStr">
        <is>
          <t>GÄVLE</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32056-2025</t>
        </is>
      </c>
      <c r="B3633" s="1" t="n">
        <v>45835.44370370371</v>
      </c>
      <c r="C3633" s="1" t="n">
        <v>46086</v>
      </c>
      <c r="D3633" t="inlineStr">
        <is>
          <t>GÄVLEBORGS LÄN</t>
        </is>
      </c>
      <c r="E3633" t="inlineStr">
        <is>
          <t>NORDANSTIG</t>
        </is>
      </c>
      <c r="F3633" t="inlineStr">
        <is>
          <t>Holmen skog AB</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13365-2023</t>
        </is>
      </c>
      <c r="B3634" s="1" t="n">
        <v>45005</v>
      </c>
      <c r="C3634" s="1" t="n">
        <v>46086</v>
      </c>
      <c r="D3634" t="inlineStr">
        <is>
          <t>GÄVLEBORGS LÄN</t>
        </is>
      </c>
      <c r="E3634" t="inlineStr">
        <is>
          <t>OVANÅKER</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41935-2025</t>
        </is>
      </c>
      <c r="B3635" s="1" t="n">
        <v>45903.43677083333</v>
      </c>
      <c r="C3635" s="1" t="n">
        <v>46086</v>
      </c>
      <c r="D3635" t="inlineStr">
        <is>
          <t>GÄVLEBORGS LÄN</t>
        </is>
      </c>
      <c r="E3635" t="inlineStr">
        <is>
          <t>LJUSDAL</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30104-2024</t>
        </is>
      </c>
      <c r="B3636" s="1" t="n">
        <v>45485</v>
      </c>
      <c r="C3636" s="1" t="n">
        <v>46086</v>
      </c>
      <c r="D3636" t="inlineStr">
        <is>
          <t>GÄVLEBORGS LÄN</t>
        </is>
      </c>
      <c r="E3636" t="inlineStr">
        <is>
          <t>GÄVLE</t>
        </is>
      </c>
      <c r="F3636" t="inlineStr">
        <is>
          <t>Bergvik skog väst AB</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10757-2026</t>
        </is>
      </c>
      <c r="B3637" s="1" t="n">
        <v>46078.55563657408</v>
      </c>
      <c r="C3637" s="1" t="n">
        <v>46086</v>
      </c>
      <c r="D3637" t="inlineStr">
        <is>
          <t>GÄVLEBORGS LÄN</t>
        </is>
      </c>
      <c r="E3637" t="inlineStr">
        <is>
          <t>OVANÅKER</t>
        </is>
      </c>
      <c r="G3637" t="n">
        <v>5.9</v>
      </c>
      <c r="H3637" t="n">
        <v>0</v>
      </c>
      <c r="I3637" t="n">
        <v>0</v>
      </c>
      <c r="J3637" t="n">
        <v>0</v>
      </c>
      <c r="K3637" t="n">
        <v>0</v>
      </c>
      <c r="L3637" t="n">
        <v>0</v>
      </c>
      <c r="M3637" t="n">
        <v>0</v>
      </c>
      <c r="N3637" t="n">
        <v>0</v>
      </c>
      <c r="O3637" t="n">
        <v>0</v>
      </c>
      <c r="P3637" t="n">
        <v>0</v>
      </c>
      <c r="Q3637" t="n">
        <v>0</v>
      </c>
      <c r="R3637" s="2" t="inlineStr"/>
    </row>
    <row r="3638" ht="15" customHeight="1">
      <c r="A3638" t="inlineStr">
        <is>
          <t>A 10767-2026</t>
        </is>
      </c>
      <c r="B3638" s="1" t="n">
        <v>46078.56730324074</v>
      </c>
      <c r="C3638" s="1" t="n">
        <v>46086</v>
      </c>
      <c r="D3638" t="inlineStr">
        <is>
          <t>GÄVLEBORGS LÄN</t>
        </is>
      </c>
      <c r="E3638" t="inlineStr">
        <is>
          <t>SÖDERHAMN</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10828-2026</t>
        </is>
      </c>
      <c r="B3639" s="1" t="n">
        <v>46078.62596064815</v>
      </c>
      <c r="C3639" s="1" t="n">
        <v>46086</v>
      </c>
      <c r="D3639" t="inlineStr">
        <is>
          <t>GÄVLEBORGS LÄN</t>
        </is>
      </c>
      <c r="E3639" t="inlineStr">
        <is>
          <t>BOLLNÄS</t>
        </is>
      </c>
      <c r="F3639" t="inlineStr">
        <is>
          <t>Bergvik skog väst AB</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10833-2026</t>
        </is>
      </c>
      <c r="B3640" s="1" t="n">
        <v>46078.62782407407</v>
      </c>
      <c r="C3640" s="1" t="n">
        <v>46086</v>
      </c>
      <c r="D3640" t="inlineStr">
        <is>
          <t>GÄVLEBORGS LÄN</t>
        </is>
      </c>
      <c r="E3640" t="inlineStr">
        <is>
          <t>BOLLNÄS</t>
        </is>
      </c>
      <c r="F3640" t="inlineStr">
        <is>
          <t>Bergvik skog väst AB</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24958-2023</t>
        </is>
      </c>
      <c r="B3641" s="1" t="n">
        <v>45085</v>
      </c>
      <c r="C3641" s="1" t="n">
        <v>46086</v>
      </c>
      <c r="D3641" t="inlineStr">
        <is>
          <t>GÄVLEBORGS LÄN</t>
        </is>
      </c>
      <c r="E3641" t="inlineStr">
        <is>
          <t>BOLLNÄS</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39156-2021</t>
        </is>
      </c>
      <c r="B3642" s="1" t="n">
        <v>44412.7115162037</v>
      </c>
      <c r="C3642" s="1" t="n">
        <v>46086</v>
      </c>
      <c r="D3642" t="inlineStr">
        <is>
          <t>GÄVLEBORGS LÄN</t>
        </is>
      </c>
      <c r="E3642" t="inlineStr">
        <is>
          <t>HUDIKSVALL</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32167-2025</t>
        </is>
      </c>
      <c r="B3643" s="1" t="n">
        <v>45835.54738425926</v>
      </c>
      <c r="C3643" s="1" t="n">
        <v>46086</v>
      </c>
      <c r="D3643" t="inlineStr">
        <is>
          <t>GÄVLEBORGS LÄN</t>
        </is>
      </c>
      <c r="E3643" t="inlineStr">
        <is>
          <t>HUDIKSVALL</t>
        </is>
      </c>
      <c r="F3643" t="inlineStr">
        <is>
          <t>Holmen skog AB</t>
        </is>
      </c>
      <c r="G3643" t="n">
        <v>13.7</v>
      </c>
      <c r="H3643" t="n">
        <v>0</v>
      </c>
      <c r="I3643" t="n">
        <v>0</v>
      </c>
      <c r="J3643" t="n">
        <v>0</v>
      </c>
      <c r="K3643" t="n">
        <v>0</v>
      </c>
      <c r="L3643" t="n">
        <v>0</v>
      </c>
      <c r="M3643" t="n">
        <v>0</v>
      </c>
      <c r="N3643" t="n">
        <v>0</v>
      </c>
      <c r="O3643" t="n">
        <v>0</v>
      </c>
      <c r="P3643" t="n">
        <v>0</v>
      </c>
      <c r="Q3643" t="n">
        <v>0</v>
      </c>
      <c r="R3643" s="2" t="inlineStr"/>
    </row>
    <row r="3644" ht="15" customHeight="1">
      <c r="A3644" t="inlineStr">
        <is>
          <t>A 2504-2026</t>
        </is>
      </c>
      <c r="B3644" s="1" t="n">
        <v>46037.41033564815</v>
      </c>
      <c r="C3644" s="1" t="n">
        <v>46086</v>
      </c>
      <c r="D3644" t="inlineStr">
        <is>
          <t>GÄVLEBORGS LÄN</t>
        </is>
      </c>
      <c r="E3644" t="inlineStr">
        <is>
          <t>BOLLNÄS</t>
        </is>
      </c>
      <c r="G3644" t="n">
        <v>13.8</v>
      </c>
      <c r="H3644" t="n">
        <v>0</v>
      </c>
      <c r="I3644" t="n">
        <v>0</v>
      </c>
      <c r="J3644" t="n">
        <v>0</v>
      </c>
      <c r="K3644" t="n">
        <v>0</v>
      </c>
      <c r="L3644" t="n">
        <v>0</v>
      </c>
      <c r="M3644" t="n">
        <v>0</v>
      </c>
      <c r="N3644" t="n">
        <v>0</v>
      </c>
      <c r="O3644" t="n">
        <v>0</v>
      </c>
      <c r="P3644" t="n">
        <v>0</v>
      </c>
      <c r="Q3644" t="n">
        <v>0</v>
      </c>
      <c r="R3644" s="2" t="inlineStr"/>
    </row>
    <row r="3645" ht="15" customHeight="1">
      <c r="A3645" t="inlineStr">
        <is>
          <t>A 2591-2026</t>
        </is>
      </c>
      <c r="B3645" s="1" t="n">
        <v>46037</v>
      </c>
      <c r="C3645" s="1" t="n">
        <v>46086</v>
      </c>
      <c r="D3645" t="inlineStr">
        <is>
          <t>GÄVLEBORGS LÄN</t>
        </is>
      </c>
      <c r="E3645" t="inlineStr">
        <is>
          <t>OVANÅKER</t>
        </is>
      </c>
      <c r="G3645" t="n">
        <v>6.9</v>
      </c>
      <c r="H3645" t="n">
        <v>0</v>
      </c>
      <c r="I3645" t="n">
        <v>0</v>
      </c>
      <c r="J3645" t="n">
        <v>0</v>
      </c>
      <c r="K3645" t="n">
        <v>0</v>
      </c>
      <c r="L3645" t="n">
        <v>0</v>
      </c>
      <c r="M3645" t="n">
        <v>0</v>
      </c>
      <c r="N3645" t="n">
        <v>0</v>
      </c>
      <c r="O3645" t="n">
        <v>0</v>
      </c>
      <c r="P3645" t="n">
        <v>0</v>
      </c>
      <c r="Q3645" t="n">
        <v>0</v>
      </c>
      <c r="R3645" s="2" t="inlineStr"/>
    </row>
    <row r="3646" ht="15" customHeight="1">
      <c r="A3646" t="inlineStr">
        <is>
          <t>A 41901-2025</t>
        </is>
      </c>
      <c r="B3646" s="1" t="n">
        <v>45903.39806712963</v>
      </c>
      <c r="C3646" s="1" t="n">
        <v>46086</v>
      </c>
      <c r="D3646" t="inlineStr">
        <is>
          <t>GÄVLEBORGS LÄN</t>
        </is>
      </c>
      <c r="E3646" t="inlineStr">
        <is>
          <t>OCKELBO</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2608-2026</t>
        </is>
      </c>
      <c r="B3647" s="1" t="n">
        <v>46037</v>
      </c>
      <c r="C3647" s="1" t="n">
        <v>46086</v>
      </c>
      <c r="D3647" t="inlineStr">
        <is>
          <t>GÄVLEBORGS LÄN</t>
        </is>
      </c>
      <c r="E3647" t="inlineStr">
        <is>
          <t>OVANÅKER</t>
        </is>
      </c>
      <c r="G3647" t="n">
        <v>6.6</v>
      </c>
      <c r="H3647" t="n">
        <v>0</v>
      </c>
      <c r="I3647" t="n">
        <v>0</v>
      </c>
      <c r="J3647" t="n">
        <v>0</v>
      </c>
      <c r="K3647" t="n">
        <v>0</v>
      </c>
      <c r="L3647" t="n">
        <v>0</v>
      </c>
      <c r="M3647" t="n">
        <v>0</v>
      </c>
      <c r="N3647" t="n">
        <v>0</v>
      </c>
      <c r="O3647" t="n">
        <v>0</v>
      </c>
      <c r="P3647" t="n">
        <v>0</v>
      </c>
      <c r="Q3647" t="n">
        <v>0</v>
      </c>
      <c r="R3647" s="2" t="inlineStr"/>
    </row>
    <row r="3648" ht="15" customHeight="1">
      <c r="A3648" t="inlineStr">
        <is>
          <t>A 2621-2026</t>
        </is>
      </c>
      <c r="B3648" s="1" t="n">
        <v>46037.59212962963</v>
      </c>
      <c r="C3648" s="1" t="n">
        <v>46086</v>
      </c>
      <c r="D3648" t="inlineStr">
        <is>
          <t>GÄVLEBORGS LÄN</t>
        </is>
      </c>
      <c r="E3648" t="inlineStr">
        <is>
          <t>SÖDERHAMN</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11018-2026</t>
        </is>
      </c>
      <c r="B3649" s="1" t="n">
        <v>46079.54623842592</v>
      </c>
      <c r="C3649" s="1" t="n">
        <v>46086</v>
      </c>
      <c r="D3649" t="inlineStr">
        <is>
          <t>GÄVLEBORGS LÄN</t>
        </is>
      </c>
      <c r="E3649" t="inlineStr">
        <is>
          <t>HUDIKSVALL</t>
        </is>
      </c>
      <c r="G3649" t="n">
        <v>10.6</v>
      </c>
      <c r="H3649" t="n">
        <v>0</v>
      </c>
      <c r="I3649" t="n">
        <v>0</v>
      </c>
      <c r="J3649" t="n">
        <v>0</v>
      </c>
      <c r="K3649" t="n">
        <v>0</v>
      </c>
      <c r="L3649" t="n">
        <v>0</v>
      </c>
      <c r="M3649" t="n">
        <v>0</v>
      </c>
      <c r="N3649" t="n">
        <v>0</v>
      </c>
      <c r="O3649" t="n">
        <v>0</v>
      </c>
      <c r="P3649" t="n">
        <v>0</v>
      </c>
      <c r="Q3649" t="n">
        <v>0</v>
      </c>
      <c r="R3649" s="2" t="inlineStr"/>
    </row>
    <row r="3650" ht="15" customHeight="1">
      <c r="A3650" t="inlineStr">
        <is>
          <t>A 3132-2026</t>
        </is>
      </c>
      <c r="B3650" s="1" t="n">
        <v>46041</v>
      </c>
      <c r="C3650" s="1" t="n">
        <v>46086</v>
      </c>
      <c r="D3650" t="inlineStr">
        <is>
          <t>GÄVLEBORGS LÄN</t>
        </is>
      </c>
      <c r="E3650" t="inlineStr">
        <is>
          <t>OVANÅKER</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41928-2025</t>
        </is>
      </c>
      <c r="B3651" s="1" t="n">
        <v>45903.42954861111</v>
      </c>
      <c r="C3651" s="1" t="n">
        <v>46086</v>
      </c>
      <c r="D3651" t="inlineStr">
        <is>
          <t>GÄVLEBORGS LÄN</t>
        </is>
      </c>
      <c r="E3651" t="inlineStr">
        <is>
          <t>LJUSDAL</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41929-2025</t>
        </is>
      </c>
      <c r="B3652" s="1" t="n">
        <v>45903.43053240741</v>
      </c>
      <c r="C3652" s="1" t="n">
        <v>46086</v>
      </c>
      <c r="D3652" t="inlineStr">
        <is>
          <t>GÄVLEBORGS LÄN</t>
        </is>
      </c>
      <c r="E3652" t="inlineStr">
        <is>
          <t>OCKELBO</t>
        </is>
      </c>
      <c r="F3652" t="inlineStr">
        <is>
          <t>Bergvik skog väst AB</t>
        </is>
      </c>
      <c r="G3652" t="n">
        <v>10.8</v>
      </c>
      <c r="H3652" t="n">
        <v>0</v>
      </c>
      <c r="I3652" t="n">
        <v>0</v>
      </c>
      <c r="J3652" t="n">
        <v>0</v>
      </c>
      <c r="K3652" t="n">
        <v>0</v>
      </c>
      <c r="L3652" t="n">
        <v>0</v>
      </c>
      <c r="M3652" t="n">
        <v>0</v>
      </c>
      <c r="N3652" t="n">
        <v>0</v>
      </c>
      <c r="O3652" t="n">
        <v>0</v>
      </c>
      <c r="P3652" t="n">
        <v>0</v>
      </c>
      <c r="Q3652" t="n">
        <v>0</v>
      </c>
      <c r="R3652" s="2" t="inlineStr"/>
    </row>
    <row r="3653" ht="15" customHeight="1">
      <c r="A3653" t="inlineStr">
        <is>
          <t>A 3073-2026</t>
        </is>
      </c>
      <c r="B3653" s="1" t="n">
        <v>46040.75053240741</v>
      </c>
      <c r="C3653" s="1" t="n">
        <v>46086</v>
      </c>
      <c r="D3653" t="inlineStr">
        <is>
          <t>GÄVLEBORGS LÄN</t>
        </is>
      </c>
      <c r="E3653" t="inlineStr">
        <is>
          <t>BOLLNÄS</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3092-2026</t>
        </is>
      </c>
      <c r="B3654" s="1" t="n">
        <v>46040.84614583333</v>
      </c>
      <c r="C3654" s="1" t="n">
        <v>46086</v>
      </c>
      <c r="D3654" t="inlineStr">
        <is>
          <t>GÄVLEBORGS LÄN</t>
        </is>
      </c>
      <c r="E3654" t="inlineStr">
        <is>
          <t>BOLLNÄS</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41936-2025</t>
        </is>
      </c>
      <c r="B3655" s="1" t="n">
        <v>45903.44037037037</v>
      </c>
      <c r="C3655" s="1" t="n">
        <v>46086</v>
      </c>
      <c r="D3655" t="inlineStr">
        <is>
          <t>GÄVLEBORGS LÄN</t>
        </is>
      </c>
      <c r="E3655" t="inlineStr">
        <is>
          <t>LJUSDAL</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41897-2025</t>
        </is>
      </c>
      <c r="B3656" s="1" t="n">
        <v>45903.39152777778</v>
      </c>
      <c r="C3656" s="1" t="n">
        <v>46086</v>
      </c>
      <c r="D3656" t="inlineStr">
        <is>
          <t>GÄVLEBORGS LÄN</t>
        </is>
      </c>
      <c r="E3656" t="inlineStr">
        <is>
          <t>OCKELBO</t>
        </is>
      </c>
      <c r="G3656" t="n">
        <v>4.7</v>
      </c>
      <c r="H3656" t="n">
        <v>0</v>
      </c>
      <c r="I3656" t="n">
        <v>0</v>
      </c>
      <c r="J3656" t="n">
        <v>0</v>
      </c>
      <c r="K3656" t="n">
        <v>0</v>
      </c>
      <c r="L3656" t="n">
        <v>0</v>
      </c>
      <c r="M3656" t="n">
        <v>0</v>
      </c>
      <c r="N3656" t="n">
        <v>0</v>
      </c>
      <c r="O3656" t="n">
        <v>0</v>
      </c>
      <c r="P3656" t="n">
        <v>0</v>
      </c>
      <c r="Q3656" t="n">
        <v>0</v>
      </c>
      <c r="R3656" s="2" t="inlineStr"/>
    </row>
    <row r="3657" ht="15" customHeight="1">
      <c r="A3657" t="inlineStr">
        <is>
          <t>A 41899-2025</t>
        </is>
      </c>
      <c r="B3657" s="1" t="n">
        <v>45903.39596064815</v>
      </c>
      <c r="C3657" s="1" t="n">
        <v>46086</v>
      </c>
      <c r="D3657" t="inlineStr">
        <is>
          <t>GÄVLEBORGS LÄN</t>
        </is>
      </c>
      <c r="E3657" t="inlineStr">
        <is>
          <t>OCKELBO</t>
        </is>
      </c>
      <c r="F3657" t="inlineStr">
        <is>
          <t>Bergvik skog väst AB</t>
        </is>
      </c>
      <c r="G3657" t="n">
        <v>5.9</v>
      </c>
      <c r="H3657" t="n">
        <v>0</v>
      </c>
      <c r="I3657" t="n">
        <v>0</v>
      </c>
      <c r="J3657" t="n">
        <v>0</v>
      </c>
      <c r="K3657" t="n">
        <v>0</v>
      </c>
      <c r="L3657" t="n">
        <v>0</v>
      </c>
      <c r="M3657" t="n">
        <v>0</v>
      </c>
      <c r="N3657" t="n">
        <v>0</v>
      </c>
      <c r="O3657" t="n">
        <v>0</v>
      </c>
      <c r="P3657" t="n">
        <v>0</v>
      </c>
      <c r="Q3657" t="n">
        <v>0</v>
      </c>
      <c r="R3657" s="2" t="inlineStr"/>
    </row>
    <row r="3658" ht="15" customHeight="1">
      <c r="A3658" t="inlineStr">
        <is>
          <t>A 41918-2025</t>
        </is>
      </c>
      <c r="B3658" s="1" t="n">
        <v>45903.42224537037</v>
      </c>
      <c r="C3658" s="1" t="n">
        <v>46086</v>
      </c>
      <c r="D3658" t="inlineStr">
        <is>
          <t>GÄVLEBORGS LÄN</t>
        </is>
      </c>
      <c r="E3658" t="inlineStr">
        <is>
          <t>LJUSDAL</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31845-2025</t>
        </is>
      </c>
      <c r="B3659" s="1" t="n">
        <v>45834.60199074074</v>
      </c>
      <c r="C3659" s="1" t="n">
        <v>46086</v>
      </c>
      <c r="D3659" t="inlineStr">
        <is>
          <t>GÄVLEBORGS LÄN</t>
        </is>
      </c>
      <c r="E3659" t="inlineStr">
        <is>
          <t>NORDANSTIG</t>
        </is>
      </c>
      <c r="F3659" t="inlineStr">
        <is>
          <t>Holmen skog AB</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11341-2026</t>
        </is>
      </c>
      <c r="B3660" s="1" t="n">
        <v>46082.65078703704</v>
      </c>
      <c r="C3660" s="1" t="n">
        <v>46086</v>
      </c>
      <c r="D3660" t="inlineStr">
        <is>
          <t>GÄVLEBORGS LÄN</t>
        </is>
      </c>
      <c r="E3660" t="inlineStr">
        <is>
          <t>BOLLNÄS</t>
        </is>
      </c>
      <c r="G3660" t="n">
        <v>8.4</v>
      </c>
      <c r="H3660" t="n">
        <v>0</v>
      </c>
      <c r="I3660" t="n">
        <v>0</v>
      </c>
      <c r="J3660" t="n">
        <v>0</v>
      </c>
      <c r="K3660" t="n">
        <v>0</v>
      </c>
      <c r="L3660" t="n">
        <v>0</v>
      </c>
      <c r="M3660" t="n">
        <v>0</v>
      </c>
      <c r="N3660" t="n">
        <v>0</v>
      </c>
      <c r="O3660" t="n">
        <v>0</v>
      </c>
      <c r="P3660" t="n">
        <v>0</v>
      </c>
      <c r="Q3660" t="n">
        <v>0</v>
      </c>
      <c r="R3660" s="2" t="inlineStr"/>
    </row>
    <row r="3661" ht="15" customHeight="1">
      <c r="A3661" t="inlineStr">
        <is>
          <t>A 11343-2026</t>
        </is>
      </c>
      <c r="B3661" s="1" t="n">
        <v>46082.65971064815</v>
      </c>
      <c r="C3661" s="1" t="n">
        <v>46086</v>
      </c>
      <c r="D3661" t="inlineStr">
        <is>
          <t>GÄVLEBORGS LÄN</t>
        </is>
      </c>
      <c r="E3661" t="inlineStr">
        <is>
          <t>BOLLNÄS</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11344-2026</t>
        </is>
      </c>
      <c r="B3662" s="1" t="n">
        <v>46082.67765046296</v>
      </c>
      <c r="C3662" s="1" t="n">
        <v>46086</v>
      </c>
      <c r="D3662" t="inlineStr">
        <is>
          <t>GÄVLEBORGS LÄN</t>
        </is>
      </c>
      <c r="E3662" t="inlineStr">
        <is>
          <t>BOLLNÄS</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11363-2026</t>
        </is>
      </c>
      <c r="B3663" s="1" t="n">
        <v>46083.35527777778</v>
      </c>
      <c r="C3663" s="1" t="n">
        <v>46086</v>
      </c>
      <c r="D3663" t="inlineStr">
        <is>
          <t>GÄVLEBORGS LÄN</t>
        </is>
      </c>
      <c r="E3663" t="inlineStr">
        <is>
          <t>BOLLNÄS</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3136-2026</t>
        </is>
      </c>
      <c r="B3664" s="1" t="n">
        <v>46041.3971875</v>
      </c>
      <c r="C3664" s="1" t="n">
        <v>46086</v>
      </c>
      <c r="D3664" t="inlineStr">
        <is>
          <t>GÄVLEBORGS LÄN</t>
        </is>
      </c>
      <c r="E3664" t="inlineStr">
        <is>
          <t>LJUSDAL</t>
        </is>
      </c>
      <c r="G3664" t="n">
        <v>5.4</v>
      </c>
      <c r="H3664" t="n">
        <v>0</v>
      </c>
      <c r="I3664" t="n">
        <v>0</v>
      </c>
      <c r="J3664" t="n">
        <v>0</v>
      </c>
      <c r="K3664" t="n">
        <v>0</v>
      </c>
      <c r="L3664" t="n">
        <v>0</v>
      </c>
      <c r="M3664" t="n">
        <v>0</v>
      </c>
      <c r="N3664" t="n">
        <v>0</v>
      </c>
      <c r="O3664" t="n">
        <v>0</v>
      </c>
      <c r="P3664" t="n">
        <v>0</v>
      </c>
      <c r="Q3664" t="n">
        <v>0</v>
      </c>
      <c r="R3664" s="2" t="inlineStr"/>
    </row>
    <row r="3665" ht="15" customHeight="1">
      <c r="A3665" t="inlineStr">
        <is>
          <t>A 42060-2025</t>
        </is>
      </c>
      <c r="B3665" s="1" t="n">
        <v>45903.64918981482</v>
      </c>
      <c r="C3665" s="1" t="n">
        <v>46086</v>
      </c>
      <c r="D3665" t="inlineStr">
        <is>
          <t>GÄVLEBORGS LÄN</t>
        </is>
      </c>
      <c r="E3665" t="inlineStr">
        <is>
          <t>OCKELBO</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17641-2025</t>
        </is>
      </c>
      <c r="B3666" s="1" t="n">
        <v>45758.32194444445</v>
      </c>
      <c r="C3666" s="1" t="n">
        <v>46086</v>
      </c>
      <c r="D3666" t="inlineStr">
        <is>
          <t>GÄVLEBORGS LÄN</t>
        </is>
      </c>
      <c r="E3666" t="inlineStr">
        <is>
          <t>NORDANSTIG</t>
        </is>
      </c>
      <c r="G3666" t="n">
        <v>4.7</v>
      </c>
      <c r="H3666" t="n">
        <v>0</v>
      </c>
      <c r="I3666" t="n">
        <v>0</v>
      </c>
      <c r="J3666" t="n">
        <v>0</v>
      </c>
      <c r="K3666" t="n">
        <v>0</v>
      </c>
      <c r="L3666" t="n">
        <v>0</v>
      </c>
      <c r="M3666" t="n">
        <v>0</v>
      </c>
      <c r="N3666" t="n">
        <v>0</v>
      </c>
      <c r="O3666" t="n">
        <v>0</v>
      </c>
      <c r="P3666" t="n">
        <v>0</v>
      </c>
      <c r="Q3666" t="n">
        <v>0</v>
      </c>
      <c r="R3666" s="2" t="inlineStr"/>
    </row>
    <row r="3667" ht="15" customHeight="1">
      <c r="A3667" t="inlineStr">
        <is>
          <t>A 8510-2023</t>
        </is>
      </c>
      <c r="B3667" s="1" t="n">
        <v>44977.56144675926</v>
      </c>
      <c r="C3667" s="1" t="n">
        <v>46086</v>
      </c>
      <c r="D3667" t="inlineStr">
        <is>
          <t>GÄVLEBORGS LÄN</t>
        </is>
      </c>
      <c r="E3667" t="inlineStr">
        <is>
          <t>HOFORS</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41923-2025</t>
        </is>
      </c>
      <c r="B3668" s="1" t="n">
        <v>45903.42614583333</v>
      </c>
      <c r="C3668" s="1" t="n">
        <v>46086</v>
      </c>
      <c r="D3668" t="inlineStr">
        <is>
          <t>GÄVLEBORGS LÄN</t>
        </is>
      </c>
      <c r="E3668" t="inlineStr">
        <is>
          <t>LJUSDAL</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32258-2025</t>
        </is>
      </c>
      <c r="B3669" s="1" t="n">
        <v>45835.64104166667</v>
      </c>
      <c r="C3669" s="1" t="n">
        <v>46086</v>
      </c>
      <c r="D3669" t="inlineStr">
        <is>
          <t>GÄVLEBORGS LÄN</t>
        </is>
      </c>
      <c r="E3669" t="inlineStr">
        <is>
          <t>OVANÅKER</t>
        </is>
      </c>
      <c r="F3669" t="inlineStr">
        <is>
          <t>Bergvik skog öst AB</t>
        </is>
      </c>
      <c r="G3669" t="n">
        <v>6.8</v>
      </c>
      <c r="H3669" t="n">
        <v>0</v>
      </c>
      <c r="I3669" t="n">
        <v>0</v>
      </c>
      <c r="J3669" t="n">
        <v>0</v>
      </c>
      <c r="K3669" t="n">
        <v>0</v>
      </c>
      <c r="L3669" t="n">
        <v>0</v>
      </c>
      <c r="M3669" t="n">
        <v>0</v>
      </c>
      <c r="N3669" t="n">
        <v>0</v>
      </c>
      <c r="O3669" t="n">
        <v>0</v>
      </c>
      <c r="P3669" t="n">
        <v>0</v>
      </c>
      <c r="Q3669" t="n">
        <v>0</v>
      </c>
      <c r="R3669" s="2" t="inlineStr"/>
    </row>
    <row r="3670" ht="15" customHeight="1">
      <c r="A3670" t="inlineStr">
        <is>
          <t>A 3138-2026</t>
        </is>
      </c>
      <c r="B3670" s="1" t="n">
        <v>46041.40201388889</v>
      </c>
      <c r="C3670" s="1" t="n">
        <v>46086</v>
      </c>
      <c r="D3670" t="inlineStr">
        <is>
          <t>GÄVLEBORGS LÄN</t>
        </is>
      </c>
      <c r="E3670" t="inlineStr">
        <is>
          <t>OCKELBO</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3168-2026</t>
        </is>
      </c>
      <c r="B3671" s="1" t="n">
        <v>46041.44018518519</v>
      </c>
      <c r="C3671" s="1" t="n">
        <v>46086</v>
      </c>
      <c r="D3671" t="inlineStr">
        <is>
          <t>GÄVLEBORGS LÄN</t>
        </is>
      </c>
      <c r="E3671" t="inlineStr">
        <is>
          <t>OVANÅKER</t>
        </is>
      </c>
      <c r="G3671" t="n">
        <v>6.7</v>
      </c>
      <c r="H3671" t="n">
        <v>0</v>
      </c>
      <c r="I3671" t="n">
        <v>0</v>
      </c>
      <c r="J3671" t="n">
        <v>0</v>
      </c>
      <c r="K3671" t="n">
        <v>0</v>
      </c>
      <c r="L3671" t="n">
        <v>0</v>
      </c>
      <c r="M3671" t="n">
        <v>0</v>
      </c>
      <c r="N3671" t="n">
        <v>0</v>
      </c>
      <c r="O3671" t="n">
        <v>0</v>
      </c>
      <c r="P3671" t="n">
        <v>0</v>
      </c>
      <c r="Q3671" t="n">
        <v>0</v>
      </c>
      <c r="R3671" s="2" t="inlineStr"/>
    </row>
    <row r="3672" ht="15" customHeight="1">
      <c r="A3672" t="inlineStr">
        <is>
          <t>A 31954-2025</t>
        </is>
      </c>
      <c r="B3672" s="1" t="n">
        <v>45835.34113425926</v>
      </c>
      <c r="C3672" s="1" t="n">
        <v>46086</v>
      </c>
      <c r="D3672" t="inlineStr">
        <is>
          <t>GÄVLEBORGS LÄN</t>
        </is>
      </c>
      <c r="E3672" t="inlineStr">
        <is>
          <t>BOLLNÄS</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41942-2025</t>
        </is>
      </c>
      <c r="B3673" s="1" t="n">
        <v>45903.44543981482</v>
      </c>
      <c r="C3673" s="1" t="n">
        <v>46086</v>
      </c>
      <c r="D3673" t="inlineStr">
        <is>
          <t>GÄVLEBORGS LÄN</t>
        </is>
      </c>
      <c r="E3673" t="inlineStr">
        <is>
          <t>LJUSDAL</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20380-2025</t>
        </is>
      </c>
      <c r="B3674" s="1" t="n">
        <v>45775.42958333333</v>
      </c>
      <c r="C3674" s="1" t="n">
        <v>46086</v>
      </c>
      <c r="D3674" t="inlineStr">
        <is>
          <t>GÄVLEBORGS LÄN</t>
        </is>
      </c>
      <c r="E3674" t="inlineStr">
        <is>
          <t>GÄVLE</t>
        </is>
      </c>
      <c r="G3674" t="n">
        <v>13.5</v>
      </c>
      <c r="H3674" t="n">
        <v>0</v>
      </c>
      <c r="I3674" t="n">
        <v>0</v>
      </c>
      <c r="J3674" t="n">
        <v>0</v>
      </c>
      <c r="K3674" t="n">
        <v>0</v>
      </c>
      <c r="L3674" t="n">
        <v>0</v>
      </c>
      <c r="M3674" t="n">
        <v>0</v>
      </c>
      <c r="N3674" t="n">
        <v>0</v>
      </c>
      <c r="O3674" t="n">
        <v>0</v>
      </c>
      <c r="P3674" t="n">
        <v>0</v>
      </c>
      <c r="Q3674" t="n">
        <v>0</v>
      </c>
      <c r="R3674" s="2" t="inlineStr"/>
    </row>
    <row r="3675" ht="15" customHeight="1">
      <c r="A3675" t="inlineStr">
        <is>
          <t>A 42037-2025</t>
        </is>
      </c>
      <c r="B3675" s="1" t="n">
        <v>45903.61300925926</v>
      </c>
      <c r="C3675" s="1" t="n">
        <v>46086</v>
      </c>
      <c r="D3675" t="inlineStr">
        <is>
          <t>GÄVLEBORGS LÄN</t>
        </is>
      </c>
      <c r="E3675" t="inlineStr">
        <is>
          <t>GÄVLE</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42039-2025</t>
        </is>
      </c>
      <c r="B3676" s="1" t="n">
        <v>45903.61480324074</v>
      </c>
      <c r="C3676" s="1" t="n">
        <v>46086</v>
      </c>
      <c r="D3676" t="inlineStr">
        <is>
          <t>GÄVLEBORGS LÄN</t>
        </is>
      </c>
      <c r="E3676" t="inlineStr">
        <is>
          <t>GÄVLE</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32082-2025</t>
        </is>
      </c>
      <c r="B3677" s="1" t="n">
        <v>45835.45228009259</v>
      </c>
      <c r="C3677" s="1" t="n">
        <v>46086</v>
      </c>
      <c r="D3677" t="inlineStr">
        <is>
          <t>GÄVLEBORGS LÄN</t>
        </is>
      </c>
      <c r="E3677" t="inlineStr">
        <is>
          <t>NORDANSTIG</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41655-2025</t>
        </is>
      </c>
      <c r="B3678" s="1" t="n">
        <v>45902.34259259259</v>
      </c>
      <c r="C3678" s="1" t="n">
        <v>46086</v>
      </c>
      <c r="D3678" t="inlineStr">
        <is>
          <t>GÄVLEBORGS LÄN</t>
        </is>
      </c>
      <c r="E3678" t="inlineStr">
        <is>
          <t>BOLLNÄS</t>
        </is>
      </c>
      <c r="G3678" t="n">
        <v>4.1</v>
      </c>
      <c r="H3678" t="n">
        <v>0</v>
      </c>
      <c r="I3678" t="n">
        <v>0</v>
      </c>
      <c r="J3678" t="n">
        <v>0</v>
      </c>
      <c r="K3678" t="n">
        <v>0</v>
      </c>
      <c r="L3678" t="n">
        <v>0</v>
      </c>
      <c r="M3678" t="n">
        <v>0</v>
      </c>
      <c r="N3678" t="n">
        <v>0</v>
      </c>
      <c r="O3678" t="n">
        <v>0</v>
      </c>
      <c r="P3678" t="n">
        <v>0</v>
      </c>
      <c r="Q3678" t="n">
        <v>0</v>
      </c>
      <c r="R3678" s="2" t="inlineStr"/>
    </row>
    <row r="3679" ht="15" customHeight="1">
      <c r="A3679" t="inlineStr">
        <is>
          <t>A 41665-2025</t>
        </is>
      </c>
      <c r="B3679" s="1" t="n">
        <v>45902.35806712963</v>
      </c>
      <c r="C3679" s="1" t="n">
        <v>46086</v>
      </c>
      <c r="D3679" t="inlineStr">
        <is>
          <t>GÄVLEBORGS LÄN</t>
        </is>
      </c>
      <c r="E3679" t="inlineStr">
        <is>
          <t>HUDIKSVALL</t>
        </is>
      </c>
      <c r="G3679" t="n">
        <v>4.6</v>
      </c>
      <c r="H3679" t="n">
        <v>0</v>
      </c>
      <c r="I3679" t="n">
        <v>0</v>
      </c>
      <c r="J3679" t="n">
        <v>0</v>
      </c>
      <c r="K3679" t="n">
        <v>0</v>
      </c>
      <c r="L3679" t="n">
        <v>0</v>
      </c>
      <c r="M3679" t="n">
        <v>0</v>
      </c>
      <c r="N3679" t="n">
        <v>0</v>
      </c>
      <c r="O3679" t="n">
        <v>0</v>
      </c>
      <c r="P3679" t="n">
        <v>0</v>
      </c>
      <c r="Q3679" t="n">
        <v>0</v>
      </c>
      <c r="R3679" s="2" t="inlineStr"/>
    </row>
    <row r="3680" ht="15" customHeight="1">
      <c r="A3680" t="inlineStr">
        <is>
          <t>A 25593-2024</t>
        </is>
      </c>
      <c r="B3680" s="1" t="n">
        <v>45463.6169212963</v>
      </c>
      <c r="C3680" s="1" t="n">
        <v>46086</v>
      </c>
      <c r="D3680" t="inlineStr">
        <is>
          <t>GÄVLEBORGS LÄN</t>
        </is>
      </c>
      <c r="E3680" t="inlineStr">
        <is>
          <t>GÄVLE</t>
        </is>
      </c>
      <c r="F3680" t="inlineStr">
        <is>
          <t>Bergvik skog öst AB</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71305-2021</t>
        </is>
      </c>
      <c r="B3681" s="1" t="n">
        <v>44539.64944444445</v>
      </c>
      <c r="C3681" s="1" t="n">
        <v>46086</v>
      </c>
      <c r="D3681" t="inlineStr">
        <is>
          <t>GÄVLEBORGS LÄN</t>
        </is>
      </c>
      <c r="E3681" t="inlineStr">
        <is>
          <t>LJUSDAL</t>
        </is>
      </c>
      <c r="F3681" t="inlineStr">
        <is>
          <t>Kommuner</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31920-2025</t>
        </is>
      </c>
      <c r="B3682" s="1" t="n">
        <v>45834.79965277778</v>
      </c>
      <c r="C3682" s="1" t="n">
        <v>46086</v>
      </c>
      <c r="D3682" t="inlineStr">
        <is>
          <t>GÄVLEBORGS LÄN</t>
        </is>
      </c>
      <c r="E3682" t="inlineStr">
        <is>
          <t>GÄVLE</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41684-2025</t>
        </is>
      </c>
      <c r="B3683" s="1" t="n">
        <v>45902.38506944444</v>
      </c>
      <c r="C3683" s="1" t="n">
        <v>46086</v>
      </c>
      <c r="D3683" t="inlineStr">
        <is>
          <t>GÄVLEBORGS LÄN</t>
        </is>
      </c>
      <c r="E3683" t="inlineStr">
        <is>
          <t>OVANÅKER</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41886-2025</t>
        </is>
      </c>
      <c r="B3684" s="1" t="n">
        <v>45903.36819444445</v>
      </c>
      <c r="C3684" s="1" t="n">
        <v>46086</v>
      </c>
      <c r="D3684" t="inlineStr">
        <is>
          <t>GÄVLEBORGS LÄN</t>
        </is>
      </c>
      <c r="E3684" t="inlineStr">
        <is>
          <t>LJUSDAL</t>
        </is>
      </c>
      <c r="F3684" t="inlineStr">
        <is>
          <t>Allmännings- och besparingsskogar</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11532-2024</t>
        </is>
      </c>
      <c r="B3685" s="1" t="n">
        <v>45372.92857638889</v>
      </c>
      <c r="C3685" s="1" t="n">
        <v>46086</v>
      </c>
      <c r="D3685" t="inlineStr">
        <is>
          <t>GÄVLEBORGS LÄN</t>
        </is>
      </c>
      <c r="E3685" t="inlineStr">
        <is>
          <t>HUDIKSVALL</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32182-2025</t>
        </is>
      </c>
      <c r="B3686" s="1" t="n">
        <v>45835.56259259259</v>
      </c>
      <c r="C3686" s="1" t="n">
        <v>46086</v>
      </c>
      <c r="D3686" t="inlineStr">
        <is>
          <t>GÄVLEBORGS LÄN</t>
        </is>
      </c>
      <c r="E3686" t="inlineStr">
        <is>
          <t>OVANÅKER</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41861-2025</t>
        </is>
      </c>
      <c r="B3687" s="1" t="n">
        <v>45903.25648148148</v>
      </c>
      <c r="C3687" s="1" t="n">
        <v>46086</v>
      </c>
      <c r="D3687" t="inlineStr">
        <is>
          <t>GÄVLEBORGS LÄN</t>
        </is>
      </c>
      <c r="E3687" t="inlineStr">
        <is>
          <t>LJUSDAL</t>
        </is>
      </c>
      <c r="G3687" t="n">
        <v>9</v>
      </c>
      <c r="H3687" t="n">
        <v>0</v>
      </c>
      <c r="I3687" t="n">
        <v>0</v>
      </c>
      <c r="J3687" t="n">
        <v>0</v>
      </c>
      <c r="K3687" t="n">
        <v>0</v>
      </c>
      <c r="L3687" t="n">
        <v>0</v>
      </c>
      <c r="M3687" t="n">
        <v>0</v>
      </c>
      <c r="N3687" t="n">
        <v>0</v>
      </c>
      <c r="O3687" t="n">
        <v>0</v>
      </c>
      <c r="P3687" t="n">
        <v>0</v>
      </c>
      <c r="Q3687" t="n">
        <v>0</v>
      </c>
      <c r="R3687" s="2" t="inlineStr"/>
    </row>
    <row r="3688" ht="15" customHeight="1">
      <c r="A3688" t="inlineStr">
        <is>
          <t>A 41938-2025</t>
        </is>
      </c>
      <c r="B3688" s="1" t="n">
        <v>45903.44322916667</v>
      </c>
      <c r="C3688" s="1" t="n">
        <v>46086</v>
      </c>
      <c r="D3688" t="inlineStr">
        <is>
          <t>GÄVLEBORGS LÄN</t>
        </is>
      </c>
      <c r="E3688" t="inlineStr">
        <is>
          <t>LJUSDAL</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41940-2025</t>
        </is>
      </c>
      <c r="B3689" s="1" t="n">
        <v>45903.44436342592</v>
      </c>
      <c r="C3689" s="1" t="n">
        <v>46086</v>
      </c>
      <c r="D3689" t="inlineStr">
        <is>
          <t>GÄVLEBORGS LÄN</t>
        </is>
      </c>
      <c r="E3689" t="inlineStr">
        <is>
          <t>OCKELBO</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3224-2026</t>
        </is>
      </c>
      <c r="B3690" s="1" t="n">
        <v>46041</v>
      </c>
      <c r="C3690" s="1" t="n">
        <v>46086</v>
      </c>
      <c r="D3690" t="inlineStr">
        <is>
          <t>GÄVLEBORGS LÄN</t>
        </is>
      </c>
      <c r="E3690" t="inlineStr">
        <is>
          <t>NORDANSTIG</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31679-2025</t>
        </is>
      </c>
      <c r="B3691" s="1" t="n">
        <v>45834.38021990741</v>
      </c>
      <c r="C3691" s="1" t="n">
        <v>46086</v>
      </c>
      <c r="D3691" t="inlineStr">
        <is>
          <t>GÄVLEBORGS LÄN</t>
        </is>
      </c>
      <c r="E3691" t="inlineStr">
        <is>
          <t>LJUSDAL</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24611-2025</t>
        </is>
      </c>
      <c r="B3692" s="1" t="n">
        <v>45798.58106481482</v>
      </c>
      <c r="C3692" s="1" t="n">
        <v>46086</v>
      </c>
      <c r="D3692" t="inlineStr">
        <is>
          <t>GÄVLEBORGS LÄN</t>
        </is>
      </c>
      <c r="E3692" t="inlineStr">
        <is>
          <t>GÄVLE</t>
        </is>
      </c>
      <c r="G3692" t="n">
        <v>4.8</v>
      </c>
      <c r="H3692" t="n">
        <v>0</v>
      </c>
      <c r="I3692" t="n">
        <v>0</v>
      </c>
      <c r="J3692" t="n">
        <v>0</v>
      </c>
      <c r="K3692" t="n">
        <v>0</v>
      </c>
      <c r="L3692" t="n">
        <v>0</v>
      </c>
      <c r="M3692" t="n">
        <v>0</v>
      </c>
      <c r="N3692" t="n">
        <v>0</v>
      </c>
      <c r="O3692" t="n">
        <v>0</v>
      </c>
      <c r="P3692" t="n">
        <v>0</v>
      </c>
      <c r="Q3692" t="n">
        <v>0</v>
      </c>
      <c r="R3692" s="2" t="inlineStr"/>
    </row>
    <row r="3693" ht="15" customHeight="1">
      <c r="A3693" t="inlineStr">
        <is>
          <t>A 63108-2021</t>
        </is>
      </c>
      <c r="B3693" s="1" t="n">
        <v>44505</v>
      </c>
      <c r="C3693" s="1" t="n">
        <v>46086</v>
      </c>
      <c r="D3693" t="inlineStr">
        <is>
          <t>GÄVLEBORGS LÄN</t>
        </is>
      </c>
      <c r="E3693" t="inlineStr">
        <is>
          <t>BOLLNÄS</t>
        </is>
      </c>
      <c r="F3693" t="inlineStr">
        <is>
          <t>Bergvik skog väst AB</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3248-2026</t>
        </is>
      </c>
      <c r="B3694" s="1" t="n">
        <v>46041.57511574074</v>
      </c>
      <c r="C3694" s="1" t="n">
        <v>46086</v>
      </c>
      <c r="D3694" t="inlineStr">
        <is>
          <t>GÄVLEBORGS LÄN</t>
        </is>
      </c>
      <c r="E3694" t="inlineStr">
        <is>
          <t>OCKELBO</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31851-2025</t>
        </is>
      </c>
      <c r="B3695" s="1" t="n">
        <v>45834.60839120371</v>
      </c>
      <c r="C3695" s="1" t="n">
        <v>46086</v>
      </c>
      <c r="D3695" t="inlineStr">
        <is>
          <t>GÄVLEBORGS LÄN</t>
        </is>
      </c>
      <c r="E3695" t="inlineStr">
        <is>
          <t>BOLLNÄS</t>
        </is>
      </c>
      <c r="G3695" t="n">
        <v>10.2</v>
      </c>
      <c r="H3695" t="n">
        <v>0</v>
      </c>
      <c r="I3695" t="n">
        <v>0</v>
      </c>
      <c r="J3695" t="n">
        <v>0</v>
      </c>
      <c r="K3695" t="n">
        <v>0</v>
      </c>
      <c r="L3695" t="n">
        <v>0</v>
      </c>
      <c r="M3695" t="n">
        <v>0</v>
      </c>
      <c r="N3695" t="n">
        <v>0</v>
      </c>
      <c r="O3695" t="n">
        <v>0</v>
      </c>
      <c r="P3695" t="n">
        <v>0</v>
      </c>
      <c r="Q3695" t="n">
        <v>0</v>
      </c>
      <c r="R3695" s="2" t="inlineStr"/>
    </row>
    <row r="3696" ht="15" customHeight="1">
      <c r="A3696" t="inlineStr">
        <is>
          <t>A 26094-2025</t>
        </is>
      </c>
      <c r="B3696" s="1" t="n">
        <v>45805</v>
      </c>
      <c r="C3696" s="1" t="n">
        <v>46086</v>
      </c>
      <c r="D3696" t="inlineStr">
        <is>
          <t>GÄVLEBORGS LÄN</t>
        </is>
      </c>
      <c r="E3696" t="inlineStr">
        <is>
          <t>GÄVLE</t>
        </is>
      </c>
      <c r="G3696" t="n">
        <v>12.4</v>
      </c>
      <c r="H3696" t="n">
        <v>0</v>
      </c>
      <c r="I3696" t="n">
        <v>0</v>
      </c>
      <c r="J3696" t="n">
        <v>0</v>
      </c>
      <c r="K3696" t="n">
        <v>0</v>
      </c>
      <c r="L3696" t="n">
        <v>0</v>
      </c>
      <c r="M3696" t="n">
        <v>0</v>
      </c>
      <c r="N3696" t="n">
        <v>0</v>
      </c>
      <c r="O3696" t="n">
        <v>0</v>
      </c>
      <c r="P3696" t="n">
        <v>0</v>
      </c>
      <c r="Q3696" t="n">
        <v>0</v>
      </c>
      <c r="R3696" s="2" t="inlineStr"/>
    </row>
    <row r="3697" ht="15" customHeight="1">
      <c r="A3697" t="inlineStr">
        <is>
          <t>A 2652-2024</t>
        </is>
      </c>
      <c r="B3697" s="1" t="n">
        <v>45314.37128472222</v>
      </c>
      <c r="C3697" s="1" t="n">
        <v>46086</v>
      </c>
      <c r="D3697" t="inlineStr">
        <is>
          <t>GÄVLEBORGS LÄN</t>
        </is>
      </c>
      <c r="E3697" t="inlineStr">
        <is>
          <t>HUDIKSVALL</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2685-2024</t>
        </is>
      </c>
      <c r="B3698" s="1" t="n">
        <v>45314</v>
      </c>
      <c r="C3698" s="1" t="n">
        <v>46086</v>
      </c>
      <c r="D3698" t="inlineStr">
        <is>
          <t>GÄVLEBORGS LÄN</t>
        </is>
      </c>
      <c r="E3698" t="inlineStr">
        <is>
          <t>HUDIKSVALL</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7916-2022</t>
        </is>
      </c>
      <c r="B3699" s="1" t="n">
        <v>44608.68528935185</v>
      </c>
      <c r="C3699" s="1" t="n">
        <v>46086</v>
      </c>
      <c r="D3699" t="inlineStr">
        <is>
          <t>GÄVLEBORGS LÄN</t>
        </is>
      </c>
      <c r="E3699" t="inlineStr">
        <is>
          <t>NORDANSTIG</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11253-2026</t>
        </is>
      </c>
      <c r="B3700" s="1" t="n">
        <v>46080.54821759259</v>
      </c>
      <c r="C3700" s="1" t="n">
        <v>46086</v>
      </c>
      <c r="D3700" t="inlineStr">
        <is>
          <t>GÄVLEBORGS LÄN</t>
        </is>
      </c>
      <c r="E3700" t="inlineStr">
        <is>
          <t>OCKELBO</t>
        </is>
      </c>
      <c r="F3700" t="inlineStr">
        <is>
          <t>Bergvik skog väst AB</t>
        </is>
      </c>
      <c r="G3700" t="n">
        <v>9.6</v>
      </c>
      <c r="H3700" t="n">
        <v>0</v>
      </c>
      <c r="I3700" t="n">
        <v>0</v>
      </c>
      <c r="J3700" t="n">
        <v>0</v>
      </c>
      <c r="K3700" t="n">
        <v>0</v>
      </c>
      <c r="L3700" t="n">
        <v>0</v>
      </c>
      <c r="M3700" t="n">
        <v>0</v>
      </c>
      <c r="N3700" t="n">
        <v>0</v>
      </c>
      <c r="O3700" t="n">
        <v>0</v>
      </c>
      <c r="P3700" t="n">
        <v>0</v>
      </c>
      <c r="Q3700" t="n">
        <v>0</v>
      </c>
      <c r="R3700" s="2" t="inlineStr"/>
    </row>
    <row r="3701" ht="15" customHeight="1">
      <c r="A3701" t="inlineStr">
        <is>
          <t>A 11309-2026</t>
        </is>
      </c>
      <c r="B3701" s="1" t="n">
        <v>46080.65710648148</v>
      </c>
      <c r="C3701" s="1" t="n">
        <v>46086</v>
      </c>
      <c r="D3701" t="inlineStr">
        <is>
          <t>GÄVLEBORGS LÄN</t>
        </is>
      </c>
      <c r="E3701" t="inlineStr">
        <is>
          <t>BOLLNÄS</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11314-2026</t>
        </is>
      </c>
      <c r="B3702" s="1" t="n">
        <v>46080.67872685185</v>
      </c>
      <c r="C3702" s="1" t="n">
        <v>46086</v>
      </c>
      <c r="D3702" t="inlineStr">
        <is>
          <t>GÄVLEBORGS LÄN</t>
        </is>
      </c>
      <c r="E3702" t="inlineStr">
        <is>
          <t>NORDANSTIG</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32034-2025</t>
        </is>
      </c>
      <c r="B3703" s="1" t="n">
        <v>45835.42241898148</v>
      </c>
      <c r="C3703" s="1" t="n">
        <v>46086</v>
      </c>
      <c r="D3703" t="inlineStr">
        <is>
          <t>GÄVLEBORGS LÄN</t>
        </is>
      </c>
      <c r="E3703" t="inlineStr">
        <is>
          <t>NORDANSTIG</t>
        </is>
      </c>
      <c r="F3703" t="inlineStr">
        <is>
          <t>Holmen skog AB</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60763-2025</t>
        </is>
      </c>
      <c r="B3704" s="1" t="n">
        <v>45999.38649305556</v>
      </c>
      <c r="C3704" s="1" t="n">
        <v>46086</v>
      </c>
      <c r="D3704" t="inlineStr">
        <is>
          <t>GÄVLEBORGS LÄN</t>
        </is>
      </c>
      <c r="E3704" t="inlineStr">
        <is>
          <t>LJUSDAL</t>
        </is>
      </c>
      <c r="F3704" t="inlineStr">
        <is>
          <t>SCA</t>
        </is>
      </c>
      <c r="G3704" t="n">
        <v>7.5</v>
      </c>
      <c r="H3704" t="n">
        <v>0</v>
      </c>
      <c r="I3704" t="n">
        <v>0</v>
      </c>
      <c r="J3704" t="n">
        <v>0</v>
      </c>
      <c r="K3704" t="n">
        <v>0</v>
      </c>
      <c r="L3704" t="n">
        <v>0</v>
      </c>
      <c r="M3704" t="n">
        <v>0</v>
      </c>
      <c r="N3704" t="n">
        <v>0</v>
      </c>
      <c r="O3704" t="n">
        <v>0</v>
      </c>
      <c r="P3704" t="n">
        <v>0</v>
      </c>
      <c r="Q3704" t="n">
        <v>0</v>
      </c>
      <c r="R3704" s="2" t="inlineStr"/>
    </row>
    <row r="3705" ht="15" customHeight="1">
      <c r="A3705" t="inlineStr">
        <is>
          <t>A 42002-2025</t>
        </is>
      </c>
      <c r="B3705" s="1" t="n">
        <v>45903.55368055555</v>
      </c>
      <c r="C3705" s="1" t="n">
        <v>46086</v>
      </c>
      <c r="D3705" t="inlineStr">
        <is>
          <t>GÄVLEBORGS LÄN</t>
        </is>
      </c>
      <c r="E3705" t="inlineStr">
        <is>
          <t>LJUSDAL</t>
        </is>
      </c>
      <c r="F3705" t="inlineStr">
        <is>
          <t>Bergvik skog väst AB</t>
        </is>
      </c>
      <c r="G3705" t="n">
        <v>4.6</v>
      </c>
      <c r="H3705" t="n">
        <v>0</v>
      </c>
      <c r="I3705" t="n">
        <v>0</v>
      </c>
      <c r="J3705" t="n">
        <v>0</v>
      </c>
      <c r="K3705" t="n">
        <v>0</v>
      </c>
      <c r="L3705" t="n">
        <v>0</v>
      </c>
      <c r="M3705" t="n">
        <v>0</v>
      </c>
      <c r="N3705" t="n">
        <v>0</v>
      </c>
      <c r="O3705" t="n">
        <v>0</v>
      </c>
      <c r="P3705" t="n">
        <v>0</v>
      </c>
      <c r="Q3705" t="n">
        <v>0</v>
      </c>
      <c r="R3705" s="2" t="inlineStr"/>
    </row>
    <row r="3706" ht="15" customHeight="1">
      <c r="A3706" t="inlineStr">
        <is>
          <t>A 32177-2025</t>
        </is>
      </c>
      <c r="B3706" s="1" t="n">
        <v>45835.55826388889</v>
      </c>
      <c r="C3706" s="1" t="n">
        <v>46086</v>
      </c>
      <c r="D3706" t="inlineStr">
        <is>
          <t>GÄVLEBORGS LÄN</t>
        </is>
      </c>
      <c r="E3706" t="inlineStr">
        <is>
          <t>OVANÅKER</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32189-2025</t>
        </is>
      </c>
      <c r="B3707" s="1" t="n">
        <v>45835.57047453704</v>
      </c>
      <c r="C3707" s="1" t="n">
        <v>46086</v>
      </c>
      <c r="D3707" t="inlineStr">
        <is>
          <t>GÄVLEBORGS LÄN</t>
        </is>
      </c>
      <c r="E3707" t="inlineStr">
        <is>
          <t>BOLLNÄS</t>
        </is>
      </c>
      <c r="G3707" t="n">
        <v>6.7</v>
      </c>
      <c r="H3707" t="n">
        <v>0</v>
      </c>
      <c r="I3707" t="n">
        <v>0</v>
      </c>
      <c r="J3707" t="n">
        <v>0</v>
      </c>
      <c r="K3707" t="n">
        <v>0</v>
      </c>
      <c r="L3707" t="n">
        <v>0</v>
      </c>
      <c r="M3707" t="n">
        <v>0</v>
      </c>
      <c r="N3707" t="n">
        <v>0</v>
      </c>
      <c r="O3707" t="n">
        <v>0</v>
      </c>
      <c r="P3707" t="n">
        <v>0</v>
      </c>
      <c r="Q3707" t="n">
        <v>0</v>
      </c>
      <c r="R3707" s="2" t="inlineStr"/>
    </row>
    <row r="3708" ht="15" customHeight="1">
      <c r="A3708" t="inlineStr">
        <is>
          <t>A 32200-2025</t>
        </is>
      </c>
      <c r="B3708" s="1" t="n">
        <v>45835.57697916667</v>
      </c>
      <c r="C3708" s="1" t="n">
        <v>46086</v>
      </c>
      <c r="D3708" t="inlineStr">
        <is>
          <t>GÄVLEBORGS LÄN</t>
        </is>
      </c>
      <c r="E3708" t="inlineStr">
        <is>
          <t>LJUSDAL</t>
        </is>
      </c>
      <c r="F3708" t="inlineStr">
        <is>
          <t>Bergvik skog väst AB</t>
        </is>
      </c>
      <c r="G3708" t="n">
        <v>8.300000000000001</v>
      </c>
      <c r="H3708" t="n">
        <v>0</v>
      </c>
      <c r="I3708" t="n">
        <v>0</v>
      </c>
      <c r="J3708" t="n">
        <v>0</v>
      </c>
      <c r="K3708" t="n">
        <v>0</v>
      </c>
      <c r="L3708" t="n">
        <v>0</v>
      </c>
      <c r="M3708" t="n">
        <v>0</v>
      </c>
      <c r="N3708" t="n">
        <v>0</v>
      </c>
      <c r="O3708" t="n">
        <v>0</v>
      </c>
      <c r="P3708" t="n">
        <v>0</v>
      </c>
      <c r="Q3708" t="n">
        <v>0</v>
      </c>
      <c r="R3708" s="2" t="inlineStr"/>
    </row>
    <row r="3709" ht="15" customHeight="1">
      <c r="A3709" t="inlineStr">
        <is>
          <t>A 41191-2024</t>
        </is>
      </c>
      <c r="B3709" s="1" t="n">
        <v>45559.50726851852</v>
      </c>
      <c r="C3709" s="1" t="n">
        <v>46086</v>
      </c>
      <c r="D3709" t="inlineStr">
        <is>
          <t>GÄVLEBORGS LÄN</t>
        </is>
      </c>
      <c r="E3709" t="inlineStr">
        <is>
          <t>HUDIKSVALL</t>
        </is>
      </c>
      <c r="F3709" t="inlineStr">
        <is>
          <t>Holmen skog AB</t>
        </is>
      </c>
      <c r="G3709" t="n">
        <v>15.7</v>
      </c>
      <c r="H3709" t="n">
        <v>0</v>
      </c>
      <c r="I3709" t="n">
        <v>0</v>
      </c>
      <c r="J3709" t="n">
        <v>0</v>
      </c>
      <c r="K3709" t="n">
        <v>0</v>
      </c>
      <c r="L3709" t="n">
        <v>0</v>
      </c>
      <c r="M3709" t="n">
        <v>0</v>
      </c>
      <c r="N3709" t="n">
        <v>0</v>
      </c>
      <c r="O3709" t="n">
        <v>0</v>
      </c>
      <c r="P3709" t="n">
        <v>0</v>
      </c>
      <c r="Q3709" t="n">
        <v>0</v>
      </c>
      <c r="R3709" s="2" t="inlineStr"/>
    </row>
    <row r="3710" ht="15" customHeight="1">
      <c r="A3710" t="inlineStr">
        <is>
          <t>A 41762-2025</t>
        </is>
      </c>
      <c r="B3710" s="1" t="n">
        <v>45902.54042824074</v>
      </c>
      <c r="C3710" s="1" t="n">
        <v>46086</v>
      </c>
      <c r="D3710" t="inlineStr">
        <is>
          <t>GÄVLEBORGS LÄN</t>
        </is>
      </c>
      <c r="E3710" t="inlineStr">
        <is>
          <t>HUDIKSVALL</t>
        </is>
      </c>
      <c r="F3710" t="inlineStr">
        <is>
          <t>Holmen skog AB</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41786-2025</t>
        </is>
      </c>
      <c r="B3711" s="1" t="n">
        <v>45902.5905787037</v>
      </c>
      <c r="C3711" s="1" t="n">
        <v>46086</v>
      </c>
      <c r="D3711" t="inlineStr">
        <is>
          <t>GÄVLEBORGS LÄN</t>
        </is>
      </c>
      <c r="E3711" t="inlineStr">
        <is>
          <t>LJUSDAL</t>
        </is>
      </c>
      <c r="F3711" t="inlineStr">
        <is>
          <t>Kommuner</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31685-2025</t>
        </is>
      </c>
      <c r="B3712" s="1" t="n">
        <v>45834.39266203704</v>
      </c>
      <c r="C3712" s="1" t="n">
        <v>46086</v>
      </c>
      <c r="D3712" t="inlineStr">
        <is>
          <t>GÄVLEBORGS LÄN</t>
        </is>
      </c>
      <c r="E3712" t="inlineStr">
        <is>
          <t>GÄVLE</t>
        </is>
      </c>
      <c r="G3712" t="n">
        <v>11.8</v>
      </c>
      <c r="H3712" t="n">
        <v>0</v>
      </c>
      <c r="I3712" t="n">
        <v>0</v>
      </c>
      <c r="J3712" t="n">
        <v>0</v>
      </c>
      <c r="K3712" t="n">
        <v>0</v>
      </c>
      <c r="L3712" t="n">
        <v>0</v>
      </c>
      <c r="M3712" t="n">
        <v>0</v>
      </c>
      <c r="N3712" t="n">
        <v>0</v>
      </c>
      <c r="O3712" t="n">
        <v>0</v>
      </c>
      <c r="P3712" t="n">
        <v>0</v>
      </c>
      <c r="Q3712" t="n">
        <v>0</v>
      </c>
      <c r="R3712" s="2" t="inlineStr"/>
    </row>
    <row r="3713" ht="15" customHeight="1">
      <c r="A3713" t="inlineStr">
        <is>
          <t>A 31719-2025</t>
        </is>
      </c>
      <c r="B3713" s="1" t="n">
        <v>45834.46130787037</v>
      </c>
      <c r="C3713" s="1" t="n">
        <v>46086</v>
      </c>
      <c r="D3713" t="inlineStr">
        <is>
          <t>GÄVLEBORGS LÄN</t>
        </is>
      </c>
      <c r="E3713" t="inlineStr">
        <is>
          <t>BOLLNÄS</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2732-2026</t>
        </is>
      </c>
      <c r="B3714" s="1" t="n">
        <v>46038.24668981481</v>
      </c>
      <c r="C3714" s="1" t="n">
        <v>46086</v>
      </c>
      <c r="D3714" t="inlineStr">
        <is>
          <t>GÄVLEBORGS LÄN</t>
        </is>
      </c>
      <c r="E3714" t="inlineStr">
        <is>
          <t>BOLLNÄS</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2737-2026</t>
        </is>
      </c>
      <c r="B3715" s="1" t="n">
        <v>46038.27096064815</v>
      </c>
      <c r="C3715" s="1" t="n">
        <v>46086</v>
      </c>
      <c r="D3715" t="inlineStr">
        <is>
          <t>GÄVLEBORGS LÄN</t>
        </is>
      </c>
      <c r="E3715" t="inlineStr">
        <is>
          <t>BOLLNÄS</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2741-2026</t>
        </is>
      </c>
      <c r="B3716" s="1" t="n">
        <v>46038.30365740741</v>
      </c>
      <c r="C3716" s="1" t="n">
        <v>46086</v>
      </c>
      <c r="D3716" t="inlineStr">
        <is>
          <t>GÄVLEBORGS LÄN</t>
        </is>
      </c>
      <c r="E3716" t="inlineStr">
        <is>
          <t>BOLLNÄS</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2753-2026</t>
        </is>
      </c>
      <c r="B3717" s="1" t="n">
        <v>46038.33611111111</v>
      </c>
      <c r="C3717" s="1" t="n">
        <v>46086</v>
      </c>
      <c r="D3717" t="inlineStr">
        <is>
          <t>GÄVLEBORGS LÄN</t>
        </is>
      </c>
      <c r="E3717" t="inlineStr">
        <is>
          <t>OCKELBO</t>
        </is>
      </c>
      <c r="G3717" t="n">
        <v>5.9</v>
      </c>
      <c r="H3717" t="n">
        <v>0</v>
      </c>
      <c r="I3717" t="n">
        <v>0</v>
      </c>
      <c r="J3717" t="n">
        <v>0</v>
      </c>
      <c r="K3717" t="n">
        <v>0</v>
      </c>
      <c r="L3717" t="n">
        <v>0</v>
      </c>
      <c r="M3717" t="n">
        <v>0</v>
      </c>
      <c r="N3717" t="n">
        <v>0</v>
      </c>
      <c r="O3717" t="n">
        <v>0</v>
      </c>
      <c r="P3717" t="n">
        <v>0</v>
      </c>
      <c r="Q3717" t="n">
        <v>0</v>
      </c>
      <c r="R3717" s="2" t="inlineStr"/>
    </row>
    <row r="3718" ht="15" customHeight="1">
      <c r="A3718" t="inlineStr">
        <is>
          <t>A 2754-2026</t>
        </is>
      </c>
      <c r="B3718" s="1" t="n">
        <v>46038</v>
      </c>
      <c r="C3718" s="1" t="n">
        <v>46086</v>
      </c>
      <c r="D3718" t="inlineStr">
        <is>
          <t>GÄVLEBORGS LÄN</t>
        </is>
      </c>
      <c r="E3718" t="inlineStr">
        <is>
          <t>BOLLNÄS</t>
        </is>
      </c>
      <c r="G3718" t="n">
        <v>4.4</v>
      </c>
      <c r="H3718" t="n">
        <v>0</v>
      </c>
      <c r="I3718" t="n">
        <v>0</v>
      </c>
      <c r="J3718" t="n">
        <v>0</v>
      </c>
      <c r="K3718" t="n">
        <v>0</v>
      </c>
      <c r="L3718" t="n">
        <v>0</v>
      </c>
      <c r="M3718" t="n">
        <v>0</v>
      </c>
      <c r="N3718" t="n">
        <v>0</v>
      </c>
      <c r="O3718" t="n">
        <v>0</v>
      </c>
      <c r="P3718" t="n">
        <v>0</v>
      </c>
      <c r="Q3718" t="n">
        <v>0</v>
      </c>
      <c r="R3718" s="2" t="inlineStr"/>
    </row>
    <row r="3719" ht="15" customHeight="1">
      <c r="A3719" t="inlineStr">
        <is>
          <t>A 11167-2026</t>
        </is>
      </c>
      <c r="B3719" s="1" t="n">
        <v>46080.36252314815</v>
      </c>
      <c r="C3719" s="1" t="n">
        <v>46086</v>
      </c>
      <c r="D3719" t="inlineStr">
        <is>
          <t>GÄVLEBORGS LÄN</t>
        </is>
      </c>
      <c r="E3719" t="inlineStr">
        <is>
          <t>NORDANSTIG</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1392-2024</t>
        </is>
      </c>
      <c r="B3720" s="1" t="n">
        <v>45303.57997685186</v>
      </c>
      <c r="C3720" s="1" t="n">
        <v>46086</v>
      </c>
      <c r="D3720" t="inlineStr">
        <is>
          <t>GÄVLEBORGS LÄN</t>
        </is>
      </c>
      <c r="E3720" t="inlineStr">
        <is>
          <t>SANDVIKEN</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29981-2023</t>
        </is>
      </c>
      <c r="B3721" s="1" t="n">
        <v>45108.92454861111</v>
      </c>
      <c r="C3721" s="1" t="n">
        <v>46086</v>
      </c>
      <c r="D3721" t="inlineStr">
        <is>
          <t>GÄVLEBORGS LÄN</t>
        </is>
      </c>
      <c r="E3721" t="inlineStr">
        <is>
          <t>SÖDERHAMN</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29983-2023</t>
        </is>
      </c>
      <c r="B3722" s="1" t="n">
        <v>45108.92465277778</v>
      </c>
      <c r="C3722" s="1" t="n">
        <v>46086</v>
      </c>
      <c r="D3722" t="inlineStr">
        <is>
          <t>GÄVLEBORGS LÄN</t>
        </is>
      </c>
      <c r="E3722" t="inlineStr">
        <is>
          <t>SÖDERHAMN</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11168-2026</t>
        </is>
      </c>
      <c r="B3723" s="1" t="n">
        <v>46080.36668981481</v>
      </c>
      <c r="C3723" s="1" t="n">
        <v>46086</v>
      </c>
      <c r="D3723" t="inlineStr">
        <is>
          <t>GÄVLEBORGS LÄN</t>
        </is>
      </c>
      <c r="E3723" t="inlineStr">
        <is>
          <t>HUDIKSVALL</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11170-2026</t>
        </is>
      </c>
      <c r="B3724" s="1" t="n">
        <v>46080.3725462963</v>
      </c>
      <c r="C3724" s="1" t="n">
        <v>46086</v>
      </c>
      <c r="D3724" t="inlineStr">
        <is>
          <t>GÄVLEBORGS LÄN</t>
        </is>
      </c>
      <c r="E3724" t="inlineStr">
        <is>
          <t>OVANÅKER</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11172-2026</t>
        </is>
      </c>
      <c r="B3725" s="1" t="n">
        <v>46080.37464120371</v>
      </c>
      <c r="C3725" s="1" t="n">
        <v>46086</v>
      </c>
      <c r="D3725" t="inlineStr">
        <is>
          <t>GÄVLEBORGS LÄN</t>
        </is>
      </c>
      <c r="E3725" t="inlineStr">
        <is>
          <t>BOLLNÄS</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32179-2025</t>
        </is>
      </c>
      <c r="B3726" s="1" t="n">
        <v>45835.55981481481</v>
      </c>
      <c r="C3726" s="1" t="n">
        <v>46086</v>
      </c>
      <c r="D3726" t="inlineStr">
        <is>
          <t>GÄVLEBORGS LÄN</t>
        </is>
      </c>
      <c r="E3726" t="inlineStr">
        <is>
          <t>LJUSDAL</t>
        </is>
      </c>
      <c r="F3726" t="inlineStr">
        <is>
          <t>Bergvik skog väst AB</t>
        </is>
      </c>
      <c r="G3726" t="n">
        <v>7</v>
      </c>
      <c r="H3726" t="n">
        <v>0</v>
      </c>
      <c r="I3726" t="n">
        <v>0</v>
      </c>
      <c r="J3726" t="n">
        <v>0</v>
      </c>
      <c r="K3726" t="n">
        <v>0</v>
      </c>
      <c r="L3726" t="n">
        <v>0</v>
      </c>
      <c r="M3726" t="n">
        <v>0</v>
      </c>
      <c r="N3726" t="n">
        <v>0</v>
      </c>
      <c r="O3726" t="n">
        <v>0</v>
      </c>
      <c r="P3726" t="n">
        <v>0</v>
      </c>
      <c r="Q3726" t="n">
        <v>0</v>
      </c>
      <c r="R3726" s="2" t="inlineStr"/>
    </row>
    <row r="3727" ht="15" customHeight="1">
      <c r="A3727" t="inlineStr">
        <is>
          <t>A 11186-2026</t>
        </is>
      </c>
      <c r="B3727" s="1" t="n">
        <v>46080.3987037037</v>
      </c>
      <c r="C3727" s="1" t="n">
        <v>46086</v>
      </c>
      <c r="D3727" t="inlineStr">
        <is>
          <t>GÄVLEBORGS LÄN</t>
        </is>
      </c>
      <c r="E3727" t="inlineStr">
        <is>
          <t>SÖDERHAMN</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11201-2026</t>
        </is>
      </c>
      <c r="B3728" s="1" t="n">
        <v>46080.44722222222</v>
      </c>
      <c r="C3728" s="1" t="n">
        <v>46086</v>
      </c>
      <c r="D3728" t="inlineStr">
        <is>
          <t>GÄVLEBORGS LÄN</t>
        </is>
      </c>
      <c r="E3728" t="inlineStr">
        <is>
          <t>OVANÅKER</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49105-2024</t>
        </is>
      </c>
      <c r="B3729" s="1" t="n">
        <v>45594.65056712963</v>
      </c>
      <c r="C3729" s="1" t="n">
        <v>46086</v>
      </c>
      <c r="D3729" t="inlineStr">
        <is>
          <t>GÄVLEBORGS LÄN</t>
        </is>
      </c>
      <c r="E3729" t="inlineStr">
        <is>
          <t>HUDIKSVALL</t>
        </is>
      </c>
      <c r="G3729" t="n">
        <v>25.3</v>
      </c>
      <c r="H3729" t="n">
        <v>0</v>
      </c>
      <c r="I3729" t="n">
        <v>0</v>
      </c>
      <c r="J3729" t="n">
        <v>0</v>
      </c>
      <c r="K3729" t="n">
        <v>0</v>
      </c>
      <c r="L3729" t="n">
        <v>0</v>
      </c>
      <c r="M3729" t="n">
        <v>0</v>
      </c>
      <c r="N3729" t="n">
        <v>0</v>
      </c>
      <c r="O3729" t="n">
        <v>0</v>
      </c>
      <c r="P3729" t="n">
        <v>0</v>
      </c>
      <c r="Q3729" t="n">
        <v>0</v>
      </c>
      <c r="R3729" s="2" t="inlineStr"/>
    </row>
    <row r="3730" ht="15" customHeight="1">
      <c r="A3730" t="inlineStr">
        <is>
          <t>A 32165-2025</t>
        </is>
      </c>
      <c r="B3730" s="1" t="n">
        <v>45835.54614583333</v>
      </c>
      <c r="C3730" s="1" t="n">
        <v>46086</v>
      </c>
      <c r="D3730" t="inlineStr">
        <is>
          <t>GÄVLEBORGS LÄN</t>
        </is>
      </c>
      <c r="E3730" t="inlineStr">
        <is>
          <t>BOLLNÄS</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32169-2025</t>
        </is>
      </c>
      <c r="B3731" s="1" t="n">
        <v>45835.55002314815</v>
      </c>
      <c r="C3731" s="1" t="n">
        <v>46086</v>
      </c>
      <c r="D3731" t="inlineStr">
        <is>
          <t>GÄVLEBORGS LÄN</t>
        </is>
      </c>
      <c r="E3731" t="inlineStr">
        <is>
          <t>OVANÅKER</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3159-2026</t>
        </is>
      </c>
      <c r="B3732" s="1" t="n">
        <v>46041.43336805556</v>
      </c>
      <c r="C3732" s="1" t="n">
        <v>46086</v>
      </c>
      <c r="D3732" t="inlineStr">
        <is>
          <t>GÄVLEBORGS LÄN</t>
        </is>
      </c>
      <c r="E3732" t="inlineStr">
        <is>
          <t>OVANÅKER</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3160-2026</t>
        </is>
      </c>
      <c r="B3733" s="1" t="n">
        <v>46041.43505787037</v>
      </c>
      <c r="C3733" s="1" t="n">
        <v>46086</v>
      </c>
      <c r="D3733" t="inlineStr">
        <is>
          <t>GÄVLEBORGS LÄN</t>
        </is>
      </c>
      <c r="E3733" t="inlineStr">
        <is>
          <t>OVANÅKER</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3232-2026</t>
        </is>
      </c>
      <c r="B3734" s="1" t="n">
        <v>46041.5589699074</v>
      </c>
      <c r="C3734" s="1" t="n">
        <v>46086</v>
      </c>
      <c r="D3734" t="inlineStr">
        <is>
          <t>GÄVLEBORGS LÄN</t>
        </is>
      </c>
      <c r="E3734" t="inlineStr">
        <is>
          <t>NORDANSTIG</t>
        </is>
      </c>
      <c r="G3734" t="n">
        <v>6.1</v>
      </c>
      <c r="H3734" t="n">
        <v>0</v>
      </c>
      <c r="I3734" t="n">
        <v>0</v>
      </c>
      <c r="J3734" t="n">
        <v>0</v>
      </c>
      <c r="K3734" t="n">
        <v>0</v>
      </c>
      <c r="L3734" t="n">
        <v>0</v>
      </c>
      <c r="M3734" t="n">
        <v>0</v>
      </c>
      <c r="N3734" t="n">
        <v>0</v>
      </c>
      <c r="O3734" t="n">
        <v>0</v>
      </c>
      <c r="P3734" t="n">
        <v>0</v>
      </c>
      <c r="Q3734" t="n">
        <v>0</v>
      </c>
      <c r="R3734" s="2" t="inlineStr"/>
    </row>
    <row r="3735" ht="15" customHeight="1">
      <c r="A3735" t="inlineStr">
        <is>
          <t>A 32105-2025</t>
        </is>
      </c>
      <c r="B3735" s="1" t="n">
        <v>45835.47226851852</v>
      </c>
      <c r="C3735" s="1" t="n">
        <v>46086</v>
      </c>
      <c r="D3735" t="inlineStr">
        <is>
          <t>GÄVLEBORGS LÄN</t>
        </is>
      </c>
      <c r="E3735" t="inlineStr">
        <is>
          <t>NORDANSTIG</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2962-2026</t>
        </is>
      </c>
      <c r="B3736" s="1" t="n">
        <v>46038.61459490741</v>
      </c>
      <c r="C3736" s="1" t="n">
        <v>46086</v>
      </c>
      <c r="D3736" t="inlineStr">
        <is>
          <t>GÄVLEBORGS LÄN</t>
        </is>
      </c>
      <c r="E3736" t="inlineStr">
        <is>
          <t>BOLLNÄS</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5240-2026</t>
        </is>
      </c>
      <c r="B3737" s="1" t="n">
        <v>46049</v>
      </c>
      <c r="C3737" s="1" t="n">
        <v>46086</v>
      </c>
      <c r="D3737" t="inlineStr">
        <is>
          <t>GÄVLEBORGS LÄN</t>
        </is>
      </c>
      <c r="E3737" t="inlineStr">
        <is>
          <t>OCKELBO</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7961-2026</t>
        </is>
      </c>
      <c r="B3738" s="1" t="n">
        <v>46063</v>
      </c>
      <c r="C3738" s="1" t="n">
        <v>46086</v>
      </c>
      <c r="D3738" t="inlineStr">
        <is>
          <t>GÄVLEBORGS LÄN</t>
        </is>
      </c>
      <c r="E3738" t="inlineStr">
        <is>
          <t>OVANÅKER</t>
        </is>
      </c>
      <c r="F3738" t="inlineStr">
        <is>
          <t>Sveaskog</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9564-2026</t>
        </is>
      </c>
      <c r="B3739" s="1" t="n">
        <v>46071</v>
      </c>
      <c r="C3739" s="1" t="n">
        <v>46086</v>
      </c>
      <c r="D3739" t="inlineStr">
        <is>
          <t>GÄVLEBORGS LÄN</t>
        </is>
      </c>
      <c r="E3739" t="inlineStr">
        <is>
          <t>BOLLNÄS</t>
        </is>
      </c>
      <c r="G3739" t="n">
        <v>6.9</v>
      </c>
      <c r="H3739" t="n">
        <v>0</v>
      </c>
      <c r="I3739" t="n">
        <v>0</v>
      </c>
      <c r="J3739" t="n">
        <v>0</v>
      </c>
      <c r="K3739" t="n">
        <v>0</v>
      </c>
      <c r="L3739" t="n">
        <v>0</v>
      </c>
      <c r="M3739" t="n">
        <v>0</v>
      </c>
      <c r="N3739" t="n">
        <v>0</v>
      </c>
      <c r="O3739" t="n">
        <v>0</v>
      </c>
      <c r="P3739" t="n">
        <v>0</v>
      </c>
      <c r="Q3739" t="n">
        <v>0</v>
      </c>
      <c r="R3739" s="2" t="inlineStr"/>
    </row>
    <row r="3740" ht="15" customHeight="1">
      <c r="A3740" t="inlineStr">
        <is>
          <t>A 32471-2023</t>
        </is>
      </c>
      <c r="B3740" s="1" t="n">
        <v>45120.92688657407</v>
      </c>
      <c r="C3740" s="1" t="n">
        <v>46086</v>
      </c>
      <c r="D3740" t="inlineStr">
        <is>
          <t>GÄVLEBORGS LÄN</t>
        </is>
      </c>
      <c r="E3740" t="inlineStr">
        <is>
          <t>NORDANSTIG</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10171-2026</t>
        </is>
      </c>
      <c r="B3741" s="1" t="n">
        <v>46076</v>
      </c>
      <c r="C3741" s="1" t="n">
        <v>46086</v>
      </c>
      <c r="D3741" t="inlineStr">
        <is>
          <t>GÄVLEBORGS LÄN</t>
        </is>
      </c>
      <c r="E3741" t="inlineStr">
        <is>
          <t>OVANÅKER</t>
        </is>
      </c>
      <c r="G3741" t="n">
        <v>7.6</v>
      </c>
      <c r="H3741" t="n">
        <v>0</v>
      </c>
      <c r="I3741" t="n">
        <v>0</v>
      </c>
      <c r="J3741" t="n">
        <v>0</v>
      </c>
      <c r="K3741" t="n">
        <v>0</v>
      </c>
      <c r="L3741" t="n">
        <v>0</v>
      </c>
      <c r="M3741" t="n">
        <v>0</v>
      </c>
      <c r="N3741" t="n">
        <v>0</v>
      </c>
      <c r="O3741" t="n">
        <v>0</v>
      </c>
      <c r="P3741" t="n">
        <v>0</v>
      </c>
      <c r="Q3741" t="n">
        <v>0</v>
      </c>
      <c r="R3741" s="2" t="inlineStr"/>
    </row>
    <row r="3742" ht="15" customHeight="1">
      <c r="A3742" t="inlineStr">
        <is>
          <t>A 31711-2025</t>
        </is>
      </c>
      <c r="B3742" s="1" t="n">
        <v>45834.44530092592</v>
      </c>
      <c r="C3742" s="1" t="n">
        <v>46086</v>
      </c>
      <c r="D3742" t="inlineStr">
        <is>
          <t>GÄVLEBORGS LÄN</t>
        </is>
      </c>
      <c r="E3742" t="inlineStr">
        <is>
          <t>BOLLNÄS</t>
        </is>
      </c>
      <c r="G3742" t="n">
        <v>5.2</v>
      </c>
      <c r="H3742" t="n">
        <v>0</v>
      </c>
      <c r="I3742" t="n">
        <v>0</v>
      </c>
      <c r="J3742" t="n">
        <v>0</v>
      </c>
      <c r="K3742" t="n">
        <v>0</v>
      </c>
      <c r="L3742" t="n">
        <v>0</v>
      </c>
      <c r="M3742" t="n">
        <v>0</v>
      </c>
      <c r="N3742" t="n">
        <v>0</v>
      </c>
      <c r="O3742" t="n">
        <v>0</v>
      </c>
      <c r="P3742" t="n">
        <v>0</v>
      </c>
      <c r="Q3742" t="n">
        <v>0</v>
      </c>
      <c r="R3742" s="2" t="inlineStr"/>
    </row>
    <row r="3743" ht="15" customHeight="1">
      <c r="A3743" t="inlineStr">
        <is>
          <t>A 31810-2025</t>
        </is>
      </c>
      <c r="B3743" s="1" t="n">
        <v>45834.55946759259</v>
      </c>
      <c r="C3743" s="1" t="n">
        <v>46086</v>
      </c>
      <c r="D3743" t="inlineStr">
        <is>
          <t>GÄVLEBORGS LÄN</t>
        </is>
      </c>
      <c r="E3743" t="inlineStr">
        <is>
          <t>LJUSDAL</t>
        </is>
      </c>
      <c r="G3743" t="n">
        <v>17.2</v>
      </c>
      <c r="H3743" t="n">
        <v>0</v>
      </c>
      <c r="I3743" t="n">
        <v>0</v>
      </c>
      <c r="J3743" t="n">
        <v>0</v>
      </c>
      <c r="K3743" t="n">
        <v>0</v>
      </c>
      <c r="L3743" t="n">
        <v>0</v>
      </c>
      <c r="M3743" t="n">
        <v>0</v>
      </c>
      <c r="N3743" t="n">
        <v>0</v>
      </c>
      <c r="O3743" t="n">
        <v>0</v>
      </c>
      <c r="P3743" t="n">
        <v>0</v>
      </c>
      <c r="Q3743" t="n">
        <v>0</v>
      </c>
      <c r="R3743" s="2" t="inlineStr"/>
    </row>
    <row r="3744" ht="15" customHeight="1">
      <c r="A3744" t="inlineStr">
        <is>
          <t>A 8604-2026</t>
        </is>
      </c>
      <c r="B3744" s="1" t="n">
        <v>46065</v>
      </c>
      <c r="C3744" s="1" t="n">
        <v>46086</v>
      </c>
      <c r="D3744" t="inlineStr">
        <is>
          <t>GÄVLEBORGS LÄN</t>
        </is>
      </c>
      <c r="E3744" t="inlineStr">
        <is>
          <t>SANDVIKEN</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8608-2026</t>
        </is>
      </c>
      <c r="B3745" s="1" t="n">
        <v>46065</v>
      </c>
      <c r="C3745" s="1" t="n">
        <v>46086</v>
      </c>
      <c r="D3745" t="inlineStr">
        <is>
          <t>GÄVLEBORGS LÄN</t>
        </is>
      </c>
      <c r="E3745" t="inlineStr">
        <is>
          <t>SANDVIKEN</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8627-2026</t>
        </is>
      </c>
      <c r="B3746" s="1" t="n">
        <v>46066</v>
      </c>
      <c r="C3746" s="1" t="n">
        <v>46086</v>
      </c>
      <c r="D3746" t="inlineStr">
        <is>
          <t>GÄVLEBORGS LÄN</t>
        </is>
      </c>
      <c r="E3746" t="inlineStr">
        <is>
          <t>LJUSDAL</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8741-2026</t>
        </is>
      </c>
      <c r="B3747" s="1" t="n">
        <v>46066</v>
      </c>
      <c r="C3747" s="1" t="n">
        <v>46086</v>
      </c>
      <c r="D3747" t="inlineStr">
        <is>
          <t>GÄVLEBORGS LÄN</t>
        </is>
      </c>
      <c r="E3747" t="inlineStr">
        <is>
          <t>BOLLNÄS</t>
        </is>
      </c>
      <c r="F3747" t="inlineStr">
        <is>
          <t>Bergvik skog väst AB</t>
        </is>
      </c>
      <c r="G3747" t="n">
        <v>27.7</v>
      </c>
      <c r="H3747" t="n">
        <v>0</v>
      </c>
      <c r="I3747" t="n">
        <v>0</v>
      </c>
      <c r="J3747" t="n">
        <v>0</v>
      </c>
      <c r="K3747" t="n">
        <v>0</v>
      </c>
      <c r="L3747" t="n">
        <v>0</v>
      </c>
      <c r="M3747" t="n">
        <v>0</v>
      </c>
      <c r="N3747" t="n">
        <v>0</v>
      </c>
      <c r="O3747" t="n">
        <v>0</v>
      </c>
      <c r="P3747" t="n">
        <v>0</v>
      </c>
      <c r="Q3747" t="n">
        <v>0</v>
      </c>
      <c r="R3747" s="2" t="inlineStr"/>
    </row>
    <row r="3748" ht="15" customHeight="1">
      <c r="A3748" t="inlineStr">
        <is>
          <t>A 3712-2023</t>
        </is>
      </c>
      <c r="B3748" s="1" t="n">
        <v>44951.33599537037</v>
      </c>
      <c r="C3748" s="1" t="n">
        <v>46086</v>
      </c>
      <c r="D3748" t="inlineStr">
        <is>
          <t>GÄVLEBORGS LÄN</t>
        </is>
      </c>
      <c r="E3748" t="inlineStr">
        <is>
          <t>GÄVLE</t>
        </is>
      </c>
      <c r="F3748" t="inlineStr">
        <is>
          <t>Bergvik skog väst AB</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19035-2023</t>
        </is>
      </c>
      <c r="B3749" s="1" t="n">
        <v>45047.53366898148</v>
      </c>
      <c r="C3749" s="1" t="n">
        <v>46086</v>
      </c>
      <c r="D3749" t="inlineStr">
        <is>
          <t>GÄVLEBORGS LÄN</t>
        </is>
      </c>
      <c r="E3749" t="inlineStr">
        <is>
          <t>LJUSDAL</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31720-2025</t>
        </is>
      </c>
      <c r="B3750" s="1" t="n">
        <v>45834</v>
      </c>
      <c r="C3750" s="1" t="n">
        <v>46086</v>
      </c>
      <c r="D3750" t="inlineStr">
        <is>
          <t>GÄVLEBORGS LÄN</t>
        </is>
      </c>
      <c r="E3750" t="inlineStr">
        <is>
          <t>HUDIKSVALL</t>
        </is>
      </c>
      <c r="G3750" t="n">
        <v>31.2</v>
      </c>
      <c r="H3750" t="n">
        <v>0</v>
      </c>
      <c r="I3750" t="n">
        <v>0</v>
      </c>
      <c r="J3750" t="n">
        <v>0</v>
      </c>
      <c r="K3750" t="n">
        <v>0</v>
      </c>
      <c r="L3750" t="n">
        <v>0</v>
      </c>
      <c r="M3750" t="n">
        <v>0</v>
      </c>
      <c r="N3750" t="n">
        <v>0</v>
      </c>
      <c r="O3750" t="n">
        <v>0</v>
      </c>
      <c r="P3750" t="n">
        <v>0</v>
      </c>
      <c r="Q3750" t="n">
        <v>0</v>
      </c>
      <c r="R3750" s="2" t="inlineStr"/>
    </row>
    <row r="3751" ht="15" customHeight="1">
      <c r="A3751" t="inlineStr">
        <is>
          <t>A 9302-2026</t>
        </is>
      </c>
      <c r="B3751" s="1" t="n">
        <v>46070</v>
      </c>
      <c r="C3751" s="1" t="n">
        <v>46086</v>
      </c>
      <c r="D3751" t="inlineStr">
        <is>
          <t>GÄVLEBORGS LÄN</t>
        </is>
      </c>
      <c r="E3751" t="inlineStr">
        <is>
          <t>BOLLNÄS</t>
        </is>
      </c>
      <c r="G3751" t="n">
        <v>7.3</v>
      </c>
      <c r="H3751" t="n">
        <v>0</v>
      </c>
      <c r="I3751" t="n">
        <v>0</v>
      </c>
      <c r="J3751" t="n">
        <v>0</v>
      </c>
      <c r="K3751" t="n">
        <v>0</v>
      </c>
      <c r="L3751" t="n">
        <v>0</v>
      </c>
      <c r="M3751" t="n">
        <v>0</v>
      </c>
      <c r="N3751" t="n">
        <v>0</v>
      </c>
      <c r="O3751" t="n">
        <v>0</v>
      </c>
      <c r="P3751" t="n">
        <v>0</v>
      </c>
      <c r="Q3751" t="n">
        <v>0</v>
      </c>
      <c r="R3751" s="2" t="inlineStr"/>
    </row>
    <row r="3752" ht="15" customHeight="1">
      <c r="A3752" t="inlineStr">
        <is>
          <t>A 9304-2026</t>
        </is>
      </c>
      <c r="B3752" s="1" t="n">
        <v>46070</v>
      </c>
      <c r="C3752" s="1" t="n">
        <v>46086</v>
      </c>
      <c r="D3752" t="inlineStr">
        <is>
          <t>GÄVLEBORGS LÄN</t>
        </is>
      </c>
      <c r="E3752" t="inlineStr">
        <is>
          <t>BOLLNÄS</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31885-2025</t>
        </is>
      </c>
      <c r="B3753" s="1" t="n">
        <v>45834</v>
      </c>
      <c r="C3753" s="1" t="n">
        <v>46086</v>
      </c>
      <c r="D3753" t="inlineStr">
        <is>
          <t>GÄVLEBORGS LÄN</t>
        </is>
      </c>
      <c r="E3753" t="inlineStr">
        <is>
          <t>OVANÅKER</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10617-2026</t>
        </is>
      </c>
      <c r="B3754" s="1" t="n">
        <v>46077</v>
      </c>
      <c r="C3754" s="1" t="n">
        <v>46086</v>
      </c>
      <c r="D3754" t="inlineStr">
        <is>
          <t>GÄVLEBORGS LÄN</t>
        </is>
      </c>
      <c r="E3754" t="inlineStr">
        <is>
          <t>OVANÅKER</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11498-2026</t>
        </is>
      </c>
      <c r="B3755" s="1" t="n">
        <v>46083.64509259259</v>
      </c>
      <c r="C3755" s="1" t="n">
        <v>46086</v>
      </c>
      <c r="D3755" t="inlineStr">
        <is>
          <t>GÄVLEBORGS LÄN</t>
        </is>
      </c>
      <c r="E3755" t="inlineStr">
        <is>
          <t>OCKELBO</t>
        </is>
      </c>
      <c r="F3755" t="inlineStr">
        <is>
          <t>Bergvik skog öst AB</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11519-2026</t>
        </is>
      </c>
      <c r="B3756" s="1" t="n">
        <v>46083.66590277778</v>
      </c>
      <c r="C3756" s="1" t="n">
        <v>46086</v>
      </c>
      <c r="D3756" t="inlineStr">
        <is>
          <t>GÄVLEBORGS LÄN</t>
        </is>
      </c>
      <c r="E3756" t="inlineStr">
        <is>
          <t>BOLLNÄS</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11521-2026</t>
        </is>
      </c>
      <c r="B3757" s="1" t="n">
        <v>46083.66952546296</v>
      </c>
      <c r="C3757" s="1" t="n">
        <v>46086</v>
      </c>
      <c r="D3757" t="inlineStr">
        <is>
          <t>GÄVLEBORGS LÄN</t>
        </is>
      </c>
      <c r="E3757" t="inlineStr">
        <is>
          <t>NORDANSTIG</t>
        </is>
      </c>
      <c r="F3757" t="inlineStr">
        <is>
          <t>Holmen skog AB</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11398-2026</t>
        </is>
      </c>
      <c r="B3758" s="1" t="n">
        <v>46083.44229166667</v>
      </c>
      <c r="C3758" s="1" t="n">
        <v>46086</v>
      </c>
      <c r="D3758" t="inlineStr">
        <is>
          <t>GÄVLEBORGS LÄN</t>
        </is>
      </c>
      <c r="E3758" t="inlineStr">
        <is>
          <t>OCKELBO</t>
        </is>
      </c>
      <c r="F3758" t="inlineStr">
        <is>
          <t>Bergvik skog öst AB</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34941-2024</t>
        </is>
      </c>
      <c r="B3759" s="1" t="n">
        <v>45527.46644675926</v>
      </c>
      <c r="C3759" s="1" t="n">
        <v>46086</v>
      </c>
      <c r="D3759" t="inlineStr">
        <is>
          <t>GÄVLEBORGS LÄN</t>
        </is>
      </c>
      <c r="E3759" t="inlineStr">
        <is>
          <t>BOLLNÄS</t>
        </is>
      </c>
      <c r="F3759" t="inlineStr">
        <is>
          <t>Bergvik skog väst AB</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31766-2025</t>
        </is>
      </c>
      <c r="B3760" s="1" t="n">
        <v>45834.4962962963</v>
      </c>
      <c r="C3760" s="1" t="n">
        <v>46086</v>
      </c>
      <c r="D3760" t="inlineStr">
        <is>
          <t>GÄVLEBORGS LÄN</t>
        </is>
      </c>
      <c r="E3760" t="inlineStr">
        <is>
          <t>HUDIKSVALL</t>
        </is>
      </c>
      <c r="F3760" t="inlineStr">
        <is>
          <t>Holmen skog AB</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15304-2025</t>
        </is>
      </c>
      <c r="B3761" s="1" t="n">
        <v>45746.53479166667</v>
      </c>
      <c r="C3761" s="1" t="n">
        <v>46086</v>
      </c>
      <c r="D3761" t="inlineStr">
        <is>
          <t>GÄVLEBORGS LÄN</t>
        </is>
      </c>
      <c r="E3761" t="inlineStr">
        <is>
          <t>OVANÅKER</t>
        </is>
      </c>
      <c r="G3761" t="n">
        <v>7.1</v>
      </c>
      <c r="H3761" t="n">
        <v>0</v>
      </c>
      <c r="I3761" t="n">
        <v>0</v>
      </c>
      <c r="J3761" t="n">
        <v>0</v>
      </c>
      <c r="K3761" t="n">
        <v>0</v>
      </c>
      <c r="L3761" t="n">
        <v>0</v>
      </c>
      <c r="M3761" t="n">
        <v>0</v>
      </c>
      <c r="N3761" t="n">
        <v>0</v>
      </c>
      <c r="O3761" t="n">
        <v>0</v>
      </c>
      <c r="P3761" t="n">
        <v>0</v>
      </c>
      <c r="Q3761" t="n">
        <v>0</v>
      </c>
      <c r="R3761" s="2" t="inlineStr"/>
    </row>
    <row r="3762" ht="15" customHeight="1">
      <c r="A3762" t="inlineStr">
        <is>
          <t>A 32248-2025</t>
        </is>
      </c>
      <c r="B3762" s="1" t="n">
        <v>45835.61905092592</v>
      </c>
      <c r="C3762" s="1" t="n">
        <v>46086</v>
      </c>
      <c r="D3762" t="inlineStr">
        <is>
          <t>GÄVLEBORGS LÄN</t>
        </is>
      </c>
      <c r="E3762" t="inlineStr">
        <is>
          <t>HUDIKSVALL</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11478-2026</t>
        </is>
      </c>
      <c r="B3763" s="1" t="n">
        <v>46083.59979166667</v>
      </c>
      <c r="C3763" s="1" t="n">
        <v>46086</v>
      </c>
      <c r="D3763" t="inlineStr">
        <is>
          <t>GÄVLEBORGS LÄN</t>
        </is>
      </c>
      <c r="E3763" t="inlineStr">
        <is>
          <t>HUDIKSVALL</t>
        </is>
      </c>
      <c r="F3763" t="inlineStr">
        <is>
          <t>Holmen skog AB</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59064-2022</t>
        </is>
      </c>
      <c r="B3764" s="1" t="n">
        <v>44904.33759259259</v>
      </c>
      <c r="C3764" s="1" t="n">
        <v>46086</v>
      </c>
      <c r="D3764" t="inlineStr">
        <is>
          <t>GÄVLEBORGS LÄN</t>
        </is>
      </c>
      <c r="E3764" t="inlineStr">
        <is>
          <t>HUDIKSVALL</t>
        </is>
      </c>
      <c r="F3764" t="inlineStr">
        <is>
          <t>Kyrkan</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11523-2026</t>
        </is>
      </c>
      <c r="B3765" s="1" t="n">
        <v>46083.67523148148</v>
      </c>
      <c r="C3765" s="1" t="n">
        <v>46086</v>
      </c>
      <c r="D3765" t="inlineStr">
        <is>
          <t>GÄVLEBORGS LÄN</t>
        </is>
      </c>
      <c r="E3765" t="inlineStr">
        <is>
          <t>GÄVLE</t>
        </is>
      </c>
      <c r="F3765" t="inlineStr">
        <is>
          <t>Bergvik skog öst AB</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8763-2026</t>
        </is>
      </c>
      <c r="B3766" s="1" t="n">
        <v>46066</v>
      </c>
      <c r="C3766" s="1" t="n">
        <v>46086</v>
      </c>
      <c r="D3766" t="inlineStr">
        <is>
          <t>GÄVLEBORGS LÄN</t>
        </is>
      </c>
      <c r="E3766" t="inlineStr">
        <is>
          <t>HUDIKSVALL</t>
        </is>
      </c>
      <c r="G3766" t="n">
        <v>7.2</v>
      </c>
      <c r="H3766" t="n">
        <v>0</v>
      </c>
      <c r="I3766" t="n">
        <v>0</v>
      </c>
      <c r="J3766" t="n">
        <v>0</v>
      </c>
      <c r="K3766" t="n">
        <v>0</v>
      </c>
      <c r="L3766" t="n">
        <v>0</v>
      </c>
      <c r="M3766" t="n">
        <v>0</v>
      </c>
      <c r="N3766" t="n">
        <v>0</v>
      </c>
      <c r="O3766" t="n">
        <v>0</v>
      </c>
      <c r="P3766" t="n">
        <v>0</v>
      </c>
      <c r="Q3766" t="n">
        <v>0</v>
      </c>
      <c r="R3766" s="2" t="inlineStr"/>
    </row>
    <row r="3767" ht="15" customHeight="1">
      <c r="A3767" t="inlineStr">
        <is>
          <t>A 8812-2026</t>
        </is>
      </c>
      <c r="B3767" s="1" t="n">
        <v>46066</v>
      </c>
      <c r="C3767" s="1" t="n">
        <v>46086</v>
      </c>
      <c r="D3767" t="inlineStr">
        <is>
          <t>GÄVLEBORGS LÄN</t>
        </is>
      </c>
      <c r="E3767" t="inlineStr">
        <is>
          <t>HOFORS</t>
        </is>
      </c>
      <c r="F3767" t="inlineStr">
        <is>
          <t>Sveaskog</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8837-2026</t>
        </is>
      </c>
      <c r="B3768" s="1" t="n">
        <v>46066</v>
      </c>
      <c r="C3768" s="1" t="n">
        <v>46086</v>
      </c>
      <c r="D3768" t="inlineStr">
        <is>
          <t>GÄVLEBORGS LÄN</t>
        </is>
      </c>
      <c r="E3768" t="inlineStr">
        <is>
          <t>NORDANSTIG</t>
        </is>
      </c>
      <c r="F3768" t="inlineStr">
        <is>
          <t>Naturvårdsverket</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8875-2026</t>
        </is>
      </c>
      <c r="B3769" s="1" t="n">
        <v>46067</v>
      </c>
      <c r="C3769" s="1" t="n">
        <v>46086</v>
      </c>
      <c r="D3769" t="inlineStr">
        <is>
          <t>GÄVLEBORGS LÄN</t>
        </is>
      </c>
      <c r="E3769" t="inlineStr">
        <is>
          <t>BOLLNÄS</t>
        </is>
      </c>
      <c r="F3769" t="inlineStr">
        <is>
          <t>Bergvik skog väst AB</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8938-2026</t>
        </is>
      </c>
      <c r="B3770" s="1" t="n">
        <v>46069</v>
      </c>
      <c r="C3770" s="1" t="n">
        <v>46086</v>
      </c>
      <c r="D3770" t="inlineStr">
        <is>
          <t>GÄVLEBORGS LÄN</t>
        </is>
      </c>
      <c r="E3770" t="inlineStr">
        <is>
          <t>BOLLNÄS</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9620-2026</t>
        </is>
      </c>
      <c r="B3771" s="1" t="n">
        <v>46072</v>
      </c>
      <c r="C3771" s="1" t="n">
        <v>46086</v>
      </c>
      <c r="D3771" t="inlineStr">
        <is>
          <t>GÄVLEBORGS LÄN</t>
        </is>
      </c>
      <c r="E3771" t="inlineStr">
        <is>
          <t>BOLLNÄS</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9677-2026</t>
        </is>
      </c>
      <c r="B3772" s="1" t="n">
        <v>46072</v>
      </c>
      <c r="C3772" s="1" t="n">
        <v>46086</v>
      </c>
      <c r="D3772" t="inlineStr">
        <is>
          <t>GÄVLEBORGS LÄN</t>
        </is>
      </c>
      <c r="E3772" t="inlineStr">
        <is>
          <t>OVANÅKER</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11369-2026</t>
        </is>
      </c>
      <c r="B3773" s="1" t="n">
        <v>46083.38438657407</v>
      </c>
      <c r="C3773" s="1" t="n">
        <v>46086</v>
      </c>
      <c r="D3773" t="inlineStr">
        <is>
          <t>GÄVLEBORGS LÄN</t>
        </is>
      </c>
      <c r="E3773" t="inlineStr">
        <is>
          <t>BOLLNÄS</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11372-2026</t>
        </is>
      </c>
      <c r="B3774" s="1" t="n">
        <v>46083.38783564815</v>
      </c>
      <c r="C3774" s="1" t="n">
        <v>46086</v>
      </c>
      <c r="D3774" t="inlineStr">
        <is>
          <t>GÄVLEBORGS LÄN</t>
        </is>
      </c>
      <c r="E3774" t="inlineStr">
        <is>
          <t>HOFORS</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3119-2022</t>
        </is>
      </c>
      <c r="B3775" s="1" t="n">
        <v>44582</v>
      </c>
      <c r="C3775" s="1" t="n">
        <v>46086</v>
      </c>
      <c r="D3775" t="inlineStr">
        <is>
          <t>GÄVLEBORGS LÄN</t>
        </is>
      </c>
      <c r="E3775" t="inlineStr">
        <is>
          <t>SANDVIKEN</t>
        </is>
      </c>
      <c r="F3775" t="inlineStr">
        <is>
          <t>Kyrkan</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31948-2025</t>
        </is>
      </c>
      <c r="B3776" s="1" t="n">
        <v>45835.32489583334</v>
      </c>
      <c r="C3776" s="1" t="n">
        <v>46086</v>
      </c>
      <c r="D3776" t="inlineStr">
        <is>
          <t>GÄVLEBORGS LÄN</t>
        </is>
      </c>
      <c r="E3776" t="inlineStr">
        <is>
          <t>BOLLNÄS</t>
        </is>
      </c>
      <c r="F3776" t="inlineStr">
        <is>
          <t>Bergvik skog väst AB</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2743-2026</t>
        </is>
      </c>
      <c r="B3777" s="1" t="n">
        <v>46038.30608796296</v>
      </c>
      <c r="C3777" s="1" t="n">
        <v>46086</v>
      </c>
      <c r="D3777" t="inlineStr">
        <is>
          <t>GÄVLEBORGS LÄN</t>
        </is>
      </c>
      <c r="E3777" t="inlineStr">
        <is>
          <t>BOLLNÄS</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2758-2026</t>
        </is>
      </c>
      <c r="B3778" s="1" t="n">
        <v>46038.34424768519</v>
      </c>
      <c r="C3778" s="1" t="n">
        <v>46086</v>
      </c>
      <c r="D3778" t="inlineStr">
        <is>
          <t>GÄVLEBORGS LÄN</t>
        </is>
      </c>
      <c r="E3778" t="inlineStr">
        <is>
          <t>OVANÅKER</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6114-2026</t>
        </is>
      </c>
      <c r="B3779" s="1" t="n">
        <v>46053</v>
      </c>
      <c r="C3779" s="1" t="n">
        <v>46086</v>
      </c>
      <c r="D3779" t="inlineStr">
        <is>
          <t>GÄVLEBORGS LÄN</t>
        </is>
      </c>
      <c r="E3779" t="inlineStr">
        <is>
          <t>OVANÅKER</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32049-2025</t>
        </is>
      </c>
      <c r="B3780" s="1" t="n">
        <v>45835.44109953703</v>
      </c>
      <c r="C3780" s="1" t="n">
        <v>46086</v>
      </c>
      <c r="D3780" t="inlineStr">
        <is>
          <t>GÄVLEBORGS LÄN</t>
        </is>
      </c>
      <c r="E3780" t="inlineStr">
        <is>
          <t>GÄVLE</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32050-2025</t>
        </is>
      </c>
      <c r="B3781" s="1" t="n">
        <v>45835.44179398148</v>
      </c>
      <c r="C3781" s="1" t="n">
        <v>46086</v>
      </c>
      <c r="D3781" t="inlineStr">
        <is>
          <t>GÄVLEBORGS LÄN</t>
        </is>
      </c>
      <c r="E3781" t="inlineStr">
        <is>
          <t>SÖDERHAMN</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6128-2024</t>
        </is>
      </c>
      <c r="B3782" s="1" t="n">
        <v>45337</v>
      </c>
      <c r="C3782" s="1" t="n">
        <v>46086</v>
      </c>
      <c r="D3782" t="inlineStr">
        <is>
          <t>GÄVLEBORGS LÄN</t>
        </is>
      </c>
      <c r="E3782" t="inlineStr">
        <is>
          <t>OCKELBO</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11163-2026</t>
        </is>
      </c>
      <c r="B3783" s="1" t="n">
        <v>46080.3455787037</v>
      </c>
      <c r="C3783" s="1" t="n">
        <v>46086</v>
      </c>
      <c r="D3783" t="inlineStr">
        <is>
          <t>GÄVLEBORGS LÄN</t>
        </is>
      </c>
      <c r="E3783" t="inlineStr">
        <is>
          <t>SÖDERHAMN</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10606-2026</t>
        </is>
      </c>
      <c r="B3784" s="1" t="n">
        <v>46077</v>
      </c>
      <c r="C3784" s="1" t="n">
        <v>46086</v>
      </c>
      <c r="D3784" t="inlineStr">
        <is>
          <t>GÄVLEBORGS LÄN</t>
        </is>
      </c>
      <c r="E3784" t="inlineStr">
        <is>
          <t>OVANÅKER</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10664-2026</t>
        </is>
      </c>
      <c r="B3785" s="1" t="n">
        <v>46078</v>
      </c>
      <c r="C3785" s="1" t="n">
        <v>46086</v>
      </c>
      <c r="D3785" t="inlineStr">
        <is>
          <t>GÄVLEBORGS LÄN</t>
        </is>
      </c>
      <c r="E3785" t="inlineStr">
        <is>
          <t>LJUSDAL</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11171-2026</t>
        </is>
      </c>
      <c r="B3786" s="1" t="n">
        <v>46080.37380787037</v>
      </c>
      <c r="C3786" s="1" t="n">
        <v>46086</v>
      </c>
      <c r="D3786" t="inlineStr">
        <is>
          <t>GÄVLEBORGS LÄN</t>
        </is>
      </c>
      <c r="E3786" t="inlineStr">
        <is>
          <t>OVANÅKER</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32092-2025</t>
        </is>
      </c>
      <c r="B3787" s="1" t="n">
        <v>45835.45920138889</v>
      </c>
      <c r="C3787" s="1" t="n">
        <v>46086</v>
      </c>
      <c r="D3787" t="inlineStr">
        <is>
          <t>GÄVLEBORGS LÄN</t>
        </is>
      </c>
      <c r="E3787" t="inlineStr">
        <is>
          <t>NORDANSTIG</t>
        </is>
      </c>
      <c r="F3787" t="inlineStr">
        <is>
          <t>Holmen skog AB</t>
        </is>
      </c>
      <c r="G3787" t="n">
        <v>6</v>
      </c>
      <c r="H3787" t="n">
        <v>0</v>
      </c>
      <c r="I3787" t="n">
        <v>0</v>
      </c>
      <c r="J3787" t="n">
        <v>0</v>
      </c>
      <c r="K3787" t="n">
        <v>0</v>
      </c>
      <c r="L3787" t="n">
        <v>0</v>
      </c>
      <c r="M3787" t="n">
        <v>0</v>
      </c>
      <c r="N3787" t="n">
        <v>0</v>
      </c>
      <c r="O3787" t="n">
        <v>0</v>
      </c>
      <c r="P3787" t="n">
        <v>0</v>
      </c>
      <c r="Q3787" t="n">
        <v>0</v>
      </c>
      <c r="R3787" s="2" t="inlineStr"/>
    </row>
    <row r="3788" ht="15" customHeight="1">
      <c r="A3788" t="inlineStr">
        <is>
          <t>A 31936-2025</t>
        </is>
      </c>
      <c r="B3788" s="1" t="n">
        <v>45834.98055555556</v>
      </c>
      <c r="C3788" s="1" t="n">
        <v>46086</v>
      </c>
      <c r="D3788" t="inlineStr">
        <is>
          <t>GÄVLEBORGS LÄN</t>
        </is>
      </c>
      <c r="E3788" t="inlineStr">
        <is>
          <t>HUDIKSVALL</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31878-2025</t>
        </is>
      </c>
      <c r="B3789" s="1" t="n">
        <v>45834</v>
      </c>
      <c r="C3789" s="1" t="n">
        <v>46086</v>
      </c>
      <c r="D3789" t="inlineStr">
        <is>
          <t>GÄVLEBORGS LÄN</t>
        </is>
      </c>
      <c r="E3789" t="inlineStr">
        <is>
          <t>OVANÅKER</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11191-2026</t>
        </is>
      </c>
      <c r="B3790" s="1" t="n">
        <v>46080.41828703704</v>
      </c>
      <c r="C3790" s="1" t="n">
        <v>46086</v>
      </c>
      <c r="D3790" t="inlineStr">
        <is>
          <t>GÄVLEBORGS LÄN</t>
        </is>
      </c>
      <c r="E3790" t="inlineStr">
        <is>
          <t>SANDVIKEN</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32282-2025</t>
        </is>
      </c>
      <c r="B3791" s="1" t="n">
        <v>45835.67854166667</v>
      </c>
      <c r="C3791" s="1" t="n">
        <v>46086</v>
      </c>
      <c r="D3791" t="inlineStr">
        <is>
          <t>GÄVLEBORGS LÄN</t>
        </is>
      </c>
      <c r="E3791" t="inlineStr">
        <is>
          <t>LJUSDAL</t>
        </is>
      </c>
      <c r="F3791" t="inlineStr">
        <is>
          <t>Allmännings- och besparingsskogar</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32299-2025</t>
        </is>
      </c>
      <c r="B3792" s="1" t="n">
        <v>45835</v>
      </c>
      <c r="C3792" s="1" t="n">
        <v>46086</v>
      </c>
      <c r="D3792" t="inlineStr">
        <is>
          <t>GÄVLEBORGS LÄN</t>
        </is>
      </c>
      <c r="E3792" t="inlineStr">
        <is>
          <t>HOFORS</t>
        </is>
      </c>
      <c r="F3792" t="inlineStr">
        <is>
          <t>Bergvik skog väst AB</t>
        </is>
      </c>
      <c r="G3792" t="n">
        <v>12.8</v>
      </c>
      <c r="H3792" t="n">
        <v>0</v>
      </c>
      <c r="I3792" t="n">
        <v>0</v>
      </c>
      <c r="J3792" t="n">
        <v>0</v>
      </c>
      <c r="K3792" t="n">
        <v>0</v>
      </c>
      <c r="L3792" t="n">
        <v>0</v>
      </c>
      <c r="M3792" t="n">
        <v>0</v>
      </c>
      <c r="N3792" t="n">
        <v>0</v>
      </c>
      <c r="O3792" t="n">
        <v>0</v>
      </c>
      <c r="P3792" t="n">
        <v>0</v>
      </c>
      <c r="Q3792" t="n">
        <v>0</v>
      </c>
      <c r="R3792" s="2" t="inlineStr"/>
    </row>
    <row r="3793" ht="15" customHeight="1">
      <c r="A3793" t="inlineStr">
        <is>
          <t>A 31907-2025</t>
        </is>
      </c>
      <c r="B3793" s="1" t="n">
        <v>45834.69116898148</v>
      </c>
      <c r="C3793" s="1" t="n">
        <v>46086</v>
      </c>
      <c r="D3793" t="inlineStr">
        <is>
          <t>GÄVLEBORGS LÄN</t>
        </is>
      </c>
      <c r="E3793" t="inlineStr">
        <is>
          <t>HUDIKSVALL</t>
        </is>
      </c>
      <c r="G3793" t="n">
        <v>8.9</v>
      </c>
      <c r="H3793" t="n">
        <v>0</v>
      </c>
      <c r="I3793" t="n">
        <v>0</v>
      </c>
      <c r="J3793" t="n">
        <v>0</v>
      </c>
      <c r="K3793" t="n">
        <v>0</v>
      </c>
      <c r="L3793" t="n">
        <v>0</v>
      </c>
      <c r="M3793" t="n">
        <v>0</v>
      </c>
      <c r="N3793" t="n">
        <v>0</v>
      </c>
      <c r="O3793" t="n">
        <v>0</v>
      </c>
      <c r="P3793" t="n">
        <v>0</v>
      </c>
      <c r="Q3793" t="n">
        <v>0</v>
      </c>
      <c r="R3793" s="2" t="inlineStr"/>
    </row>
    <row r="3794" ht="15" customHeight="1">
      <c r="A3794" t="inlineStr">
        <is>
          <t>A 11198-2026</t>
        </is>
      </c>
      <c r="B3794" s="1" t="n">
        <v>46080.43465277777</v>
      </c>
      <c r="C3794" s="1" t="n">
        <v>46086</v>
      </c>
      <c r="D3794" t="inlineStr">
        <is>
          <t>GÄVLEBORGS LÄN</t>
        </is>
      </c>
      <c r="E3794" t="inlineStr">
        <is>
          <t>OVANÅKER</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11208-2026</t>
        </is>
      </c>
      <c r="B3795" s="1" t="n">
        <v>46080.45855324074</v>
      </c>
      <c r="C3795" s="1" t="n">
        <v>46086</v>
      </c>
      <c r="D3795" t="inlineStr">
        <is>
          <t>GÄVLEBORGS LÄN</t>
        </is>
      </c>
      <c r="E3795" t="inlineStr">
        <is>
          <t>BOLLNÄS</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11241-2026</t>
        </is>
      </c>
      <c r="B3796" s="1" t="n">
        <v>46080.52244212963</v>
      </c>
      <c r="C3796" s="1" t="n">
        <v>46086</v>
      </c>
      <c r="D3796" t="inlineStr">
        <is>
          <t>GÄVLEBORGS LÄN</t>
        </is>
      </c>
      <c r="E3796" t="inlineStr">
        <is>
          <t>BOLLNÄS</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31674-2025</t>
        </is>
      </c>
      <c r="B3797" s="1" t="n">
        <v>45834.37255787037</v>
      </c>
      <c r="C3797" s="1" t="n">
        <v>46086</v>
      </c>
      <c r="D3797" t="inlineStr">
        <is>
          <t>GÄVLEBORGS LÄN</t>
        </is>
      </c>
      <c r="E3797" t="inlineStr">
        <is>
          <t>SANDVIKEN</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11283-2026</t>
        </is>
      </c>
      <c r="B3798" s="1" t="n">
        <v>46080.59706018519</v>
      </c>
      <c r="C3798" s="1" t="n">
        <v>46086</v>
      </c>
      <c r="D3798" t="inlineStr">
        <is>
          <t>GÄVLEBORGS LÄN</t>
        </is>
      </c>
      <c r="E3798" t="inlineStr">
        <is>
          <t>HOFORS</t>
        </is>
      </c>
      <c r="F3798" t="inlineStr">
        <is>
          <t>Sveaskog</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31971-2025</t>
        </is>
      </c>
      <c r="B3799" s="1" t="n">
        <v>45835.34876157407</v>
      </c>
      <c r="C3799" s="1" t="n">
        <v>46086</v>
      </c>
      <c r="D3799" t="inlineStr">
        <is>
          <t>GÄVLEBORGS LÄN</t>
        </is>
      </c>
      <c r="E3799" t="inlineStr">
        <is>
          <t>BOLLNÄS</t>
        </is>
      </c>
      <c r="F3799" t="inlineStr">
        <is>
          <t>Bergvik skog väst AB</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37986-2022</t>
        </is>
      </c>
      <c r="B3800" s="1" t="n">
        <v>44811.56202546296</v>
      </c>
      <c r="C3800" s="1" t="n">
        <v>46086</v>
      </c>
      <c r="D3800" t="inlineStr">
        <is>
          <t>GÄVLEBORGS LÄN</t>
        </is>
      </c>
      <c r="E3800" t="inlineStr">
        <is>
          <t>NORDANSTIG</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32022-2025</t>
        </is>
      </c>
      <c r="B3801" s="1" t="n">
        <v>45835.40670138889</v>
      </c>
      <c r="C3801" s="1" t="n">
        <v>46086</v>
      </c>
      <c r="D3801" t="inlineStr">
        <is>
          <t>GÄVLEBORGS LÄN</t>
        </is>
      </c>
      <c r="E3801" t="inlineStr">
        <is>
          <t>GÄVLE</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41860-2025</t>
        </is>
      </c>
      <c r="B3802" s="1" t="n">
        <v>45903.25199074074</v>
      </c>
      <c r="C3802" s="1" t="n">
        <v>46086</v>
      </c>
      <c r="D3802" t="inlineStr">
        <is>
          <t>GÄVLEBORGS LÄN</t>
        </is>
      </c>
      <c r="E3802" t="inlineStr">
        <is>
          <t>LJUSDAL</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20407-2023</t>
        </is>
      </c>
      <c r="B3803" s="1" t="n">
        <v>45056.63667824074</v>
      </c>
      <c r="C3803" s="1" t="n">
        <v>46086</v>
      </c>
      <c r="D3803" t="inlineStr">
        <is>
          <t>GÄVLEBORGS LÄN</t>
        </is>
      </c>
      <c r="E3803" t="inlineStr">
        <is>
          <t>OCKELBO</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20441-2023</t>
        </is>
      </c>
      <c r="B3804" s="1" t="n">
        <v>45056.82412037037</v>
      </c>
      <c r="C3804" s="1" t="n">
        <v>46086</v>
      </c>
      <c r="D3804" t="inlineStr">
        <is>
          <t>GÄVLEBORGS LÄN</t>
        </is>
      </c>
      <c r="E3804" t="inlineStr">
        <is>
          <t>NORDANSTIG</t>
        </is>
      </c>
      <c r="F3804" t="inlineStr">
        <is>
          <t>Holmen skog AB</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32932-2025</t>
        </is>
      </c>
      <c r="B3805" s="1" t="n">
        <v>45839.67134259259</v>
      </c>
      <c r="C3805" s="1" t="n">
        <v>46086</v>
      </c>
      <c r="D3805" t="inlineStr">
        <is>
          <t>GÄVLEBORGS LÄN</t>
        </is>
      </c>
      <c r="E3805" t="inlineStr">
        <is>
          <t>OVANÅKER</t>
        </is>
      </c>
      <c r="F3805" t="inlineStr">
        <is>
          <t>Bergvik skog öst AB</t>
        </is>
      </c>
      <c r="G3805" t="n">
        <v>9.6</v>
      </c>
      <c r="H3805" t="n">
        <v>0</v>
      </c>
      <c r="I3805" t="n">
        <v>0</v>
      </c>
      <c r="J3805" t="n">
        <v>0</v>
      </c>
      <c r="K3805" t="n">
        <v>0</v>
      </c>
      <c r="L3805" t="n">
        <v>0</v>
      </c>
      <c r="M3805" t="n">
        <v>0</v>
      </c>
      <c r="N3805" t="n">
        <v>0</v>
      </c>
      <c r="O3805" t="n">
        <v>0</v>
      </c>
      <c r="P3805" t="n">
        <v>0</v>
      </c>
      <c r="Q3805" t="n">
        <v>0</v>
      </c>
      <c r="R3805" s="2" t="inlineStr"/>
    </row>
    <row r="3806" ht="15" customHeight="1">
      <c r="A3806" t="inlineStr">
        <is>
          <t>A 12419-2025</t>
        </is>
      </c>
      <c r="B3806" s="1" t="n">
        <v>45730.45170138889</v>
      </c>
      <c r="C3806" s="1" t="n">
        <v>46086</v>
      </c>
      <c r="D3806" t="inlineStr">
        <is>
          <t>GÄVLEBORGS LÄN</t>
        </is>
      </c>
      <c r="E3806" t="inlineStr">
        <is>
          <t>SANDVIKEN</t>
        </is>
      </c>
      <c r="F3806" t="inlineStr">
        <is>
          <t>Bergvik skog öst AB</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8493-2026</t>
        </is>
      </c>
      <c r="B3807" s="1" t="n">
        <v>46065</v>
      </c>
      <c r="C3807" s="1" t="n">
        <v>46086</v>
      </c>
      <c r="D3807" t="inlineStr">
        <is>
          <t>GÄVLEBORGS LÄN</t>
        </is>
      </c>
      <c r="E3807" t="inlineStr">
        <is>
          <t>OCKELBO</t>
        </is>
      </c>
      <c r="F3807" t="inlineStr">
        <is>
          <t>Bergvik skog väst AB</t>
        </is>
      </c>
      <c r="G3807" t="n">
        <v>6.4</v>
      </c>
      <c r="H3807" t="n">
        <v>0</v>
      </c>
      <c r="I3807" t="n">
        <v>0</v>
      </c>
      <c r="J3807" t="n">
        <v>0</v>
      </c>
      <c r="K3807" t="n">
        <v>0</v>
      </c>
      <c r="L3807" t="n">
        <v>0</v>
      </c>
      <c r="M3807" t="n">
        <v>0</v>
      </c>
      <c r="N3807" t="n">
        <v>0</v>
      </c>
      <c r="O3807" t="n">
        <v>0</v>
      </c>
      <c r="P3807" t="n">
        <v>0</v>
      </c>
      <c r="Q3807" t="n">
        <v>0</v>
      </c>
      <c r="R3807" s="2" t="inlineStr"/>
    </row>
    <row r="3808" ht="15" customHeight="1">
      <c r="A3808" t="inlineStr">
        <is>
          <t>A 8508-2026</t>
        </is>
      </c>
      <c r="B3808" s="1" t="n">
        <v>46065</v>
      </c>
      <c r="C3808" s="1" t="n">
        <v>46086</v>
      </c>
      <c r="D3808" t="inlineStr">
        <is>
          <t>GÄVLEBORGS LÄN</t>
        </is>
      </c>
      <c r="E3808" t="inlineStr">
        <is>
          <t>OCKELBO</t>
        </is>
      </c>
      <c r="F3808" t="inlineStr">
        <is>
          <t>Bergvik skog väst AB</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9216-2026</t>
        </is>
      </c>
      <c r="B3809" s="1" t="n">
        <v>46070</v>
      </c>
      <c r="C3809" s="1" t="n">
        <v>46086</v>
      </c>
      <c r="D3809" t="inlineStr">
        <is>
          <t>GÄVLEBORGS LÄN</t>
        </is>
      </c>
      <c r="E3809" t="inlineStr">
        <is>
          <t>BOLLNÄS</t>
        </is>
      </c>
      <c r="G3809" t="n">
        <v>6.8</v>
      </c>
      <c r="H3809" t="n">
        <v>0</v>
      </c>
      <c r="I3809" t="n">
        <v>0</v>
      </c>
      <c r="J3809" t="n">
        <v>0</v>
      </c>
      <c r="K3809" t="n">
        <v>0</v>
      </c>
      <c r="L3809" t="n">
        <v>0</v>
      </c>
      <c r="M3809" t="n">
        <v>0</v>
      </c>
      <c r="N3809" t="n">
        <v>0</v>
      </c>
      <c r="O3809" t="n">
        <v>0</v>
      </c>
      <c r="P3809" t="n">
        <v>0</v>
      </c>
      <c r="Q3809" t="n">
        <v>0</v>
      </c>
      <c r="R3809" s="2" t="inlineStr"/>
    </row>
    <row r="3810" ht="15" customHeight="1">
      <c r="A3810" t="inlineStr">
        <is>
          <t>A 9964-2026</t>
        </is>
      </c>
      <c r="B3810" s="1" t="n">
        <v>46073</v>
      </c>
      <c r="C3810" s="1" t="n">
        <v>46086</v>
      </c>
      <c r="D3810" t="inlineStr">
        <is>
          <t>GÄVLEBORGS LÄN</t>
        </is>
      </c>
      <c r="E3810" t="inlineStr">
        <is>
          <t>BOLLNÄS</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9363-2026</t>
        </is>
      </c>
      <c r="B3811" s="1" t="n">
        <v>46070</v>
      </c>
      <c r="C3811" s="1" t="n">
        <v>46086</v>
      </c>
      <c r="D3811" t="inlineStr">
        <is>
          <t>GÄVLEBORGS LÄN</t>
        </is>
      </c>
      <c r="E3811" t="inlineStr">
        <is>
          <t>BOLLNÄS</t>
        </is>
      </c>
      <c r="F3811" t="inlineStr">
        <is>
          <t>Kyrkan</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56208-2023</t>
        </is>
      </c>
      <c r="B3812" s="1" t="n">
        <v>45240</v>
      </c>
      <c r="C3812" s="1" t="n">
        <v>46086</v>
      </c>
      <c r="D3812" t="inlineStr">
        <is>
          <t>GÄVLEBORGS LÄN</t>
        </is>
      </c>
      <c r="E3812" t="inlineStr">
        <is>
          <t>BOLLNÄS</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56217-2023</t>
        </is>
      </c>
      <c r="B3813" s="1" t="n">
        <v>45240</v>
      </c>
      <c r="C3813" s="1" t="n">
        <v>46086</v>
      </c>
      <c r="D3813" t="inlineStr">
        <is>
          <t>GÄVLEBORGS LÄN</t>
        </is>
      </c>
      <c r="E3813" t="inlineStr">
        <is>
          <t>SANDVIKEN</t>
        </is>
      </c>
      <c r="F3813" t="inlineStr">
        <is>
          <t>Sveaskog</t>
        </is>
      </c>
      <c r="G3813" t="n">
        <v>10.6</v>
      </c>
      <c r="H3813" t="n">
        <v>0</v>
      </c>
      <c r="I3813" t="n">
        <v>0</v>
      </c>
      <c r="J3813" t="n">
        <v>0</v>
      </c>
      <c r="K3813" t="n">
        <v>0</v>
      </c>
      <c r="L3813" t="n">
        <v>0</v>
      </c>
      <c r="M3813" t="n">
        <v>0</v>
      </c>
      <c r="N3813" t="n">
        <v>0</v>
      </c>
      <c r="O3813" t="n">
        <v>0</v>
      </c>
      <c r="P3813" t="n">
        <v>0</v>
      </c>
      <c r="Q3813" t="n">
        <v>0</v>
      </c>
      <c r="R3813" s="2" t="inlineStr"/>
    </row>
    <row r="3814" ht="15" customHeight="1">
      <c r="A3814" t="inlineStr">
        <is>
          <t>A 48336-2023</t>
        </is>
      </c>
      <c r="B3814" s="1" t="n">
        <v>45205</v>
      </c>
      <c r="C3814" s="1" t="n">
        <v>46086</v>
      </c>
      <c r="D3814" t="inlineStr">
        <is>
          <t>GÄVLEBORGS LÄN</t>
        </is>
      </c>
      <c r="E3814" t="inlineStr">
        <is>
          <t>BOLLNÄS</t>
        </is>
      </c>
      <c r="G3814" t="n">
        <v>6.1</v>
      </c>
      <c r="H3814" t="n">
        <v>0</v>
      </c>
      <c r="I3814" t="n">
        <v>0</v>
      </c>
      <c r="J3814" t="n">
        <v>0</v>
      </c>
      <c r="K3814" t="n">
        <v>0</v>
      </c>
      <c r="L3814" t="n">
        <v>0</v>
      </c>
      <c r="M3814" t="n">
        <v>0</v>
      </c>
      <c r="N3814" t="n">
        <v>0</v>
      </c>
      <c r="O3814" t="n">
        <v>0</v>
      </c>
      <c r="P3814" t="n">
        <v>0</v>
      </c>
      <c r="Q3814" t="n">
        <v>0</v>
      </c>
      <c r="R3814" s="2" t="inlineStr"/>
    </row>
    <row r="3815" ht="15" customHeight="1">
      <c r="A3815" t="inlineStr">
        <is>
          <t>A 41682-2025</t>
        </is>
      </c>
      <c r="B3815" s="1" t="n">
        <v>45902.38340277778</v>
      </c>
      <c r="C3815" s="1" t="n">
        <v>46086</v>
      </c>
      <c r="D3815" t="inlineStr">
        <is>
          <t>GÄVLEBORGS LÄN</t>
        </is>
      </c>
      <c r="E3815" t="inlineStr">
        <is>
          <t>OVANÅKER</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41683-2025</t>
        </is>
      </c>
      <c r="B3816" s="1" t="n">
        <v>45902.38427083333</v>
      </c>
      <c r="C3816" s="1" t="n">
        <v>46086</v>
      </c>
      <c r="D3816" t="inlineStr">
        <is>
          <t>GÄVLEBORGS LÄN</t>
        </is>
      </c>
      <c r="E3816" t="inlineStr">
        <is>
          <t>GÄVLE</t>
        </is>
      </c>
      <c r="F3816" t="inlineStr">
        <is>
          <t>Bergvik skog väst AB</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32043-2025</t>
        </is>
      </c>
      <c r="B3817" s="1" t="n">
        <v>45835</v>
      </c>
      <c r="C3817" s="1" t="n">
        <v>46086</v>
      </c>
      <c r="D3817" t="inlineStr">
        <is>
          <t>GÄVLEBORGS LÄN</t>
        </is>
      </c>
      <c r="E3817" t="inlineStr">
        <is>
          <t>OCKELBO</t>
        </is>
      </c>
      <c r="F3817" t="inlineStr">
        <is>
          <t>Bergvik skog väst AB</t>
        </is>
      </c>
      <c r="G3817" t="n">
        <v>4.8</v>
      </c>
      <c r="H3817" t="n">
        <v>0</v>
      </c>
      <c r="I3817" t="n">
        <v>0</v>
      </c>
      <c r="J3817" t="n">
        <v>0</v>
      </c>
      <c r="K3817" t="n">
        <v>0</v>
      </c>
      <c r="L3817" t="n">
        <v>0</v>
      </c>
      <c r="M3817" t="n">
        <v>0</v>
      </c>
      <c r="N3817" t="n">
        <v>0</v>
      </c>
      <c r="O3817" t="n">
        <v>0</v>
      </c>
      <c r="P3817" t="n">
        <v>0</v>
      </c>
      <c r="Q3817" t="n">
        <v>0</v>
      </c>
      <c r="R3817" s="2" t="inlineStr"/>
    </row>
    <row r="3818" ht="15" customHeight="1">
      <c r="A3818" t="inlineStr">
        <is>
          <t>A 32816-2025</t>
        </is>
      </c>
      <c r="B3818" s="1" t="n">
        <v>45839</v>
      </c>
      <c r="C3818" s="1" t="n">
        <v>46086</v>
      </c>
      <c r="D3818" t="inlineStr">
        <is>
          <t>GÄVLEBORGS LÄN</t>
        </is>
      </c>
      <c r="E3818" t="inlineStr">
        <is>
          <t>OCKELBO</t>
        </is>
      </c>
      <c r="F3818" t="inlineStr">
        <is>
          <t>Bergvik skog väst AB</t>
        </is>
      </c>
      <c r="G3818" t="n">
        <v>6.5</v>
      </c>
      <c r="H3818" t="n">
        <v>0</v>
      </c>
      <c r="I3818" t="n">
        <v>0</v>
      </c>
      <c r="J3818" t="n">
        <v>0</v>
      </c>
      <c r="K3818" t="n">
        <v>0</v>
      </c>
      <c r="L3818" t="n">
        <v>0</v>
      </c>
      <c r="M3818" t="n">
        <v>0</v>
      </c>
      <c r="N3818" t="n">
        <v>0</v>
      </c>
      <c r="O3818" t="n">
        <v>0</v>
      </c>
      <c r="P3818" t="n">
        <v>0</v>
      </c>
      <c r="Q3818" t="n">
        <v>0</v>
      </c>
      <c r="R3818" s="2" t="inlineStr"/>
    </row>
    <row r="3819" ht="15" customHeight="1">
      <c r="A3819" t="inlineStr">
        <is>
          <t>A 5366-2024</t>
        </is>
      </c>
      <c r="B3819" s="1" t="n">
        <v>45331.4727662037</v>
      </c>
      <c r="C3819" s="1" t="n">
        <v>46086</v>
      </c>
      <c r="D3819" t="inlineStr">
        <is>
          <t>GÄVLEBORGS LÄN</t>
        </is>
      </c>
      <c r="E3819" t="inlineStr">
        <is>
          <t>SÖDERHAMN</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6872-2024</t>
        </is>
      </c>
      <c r="B3820" s="1" t="n">
        <v>45342</v>
      </c>
      <c r="C3820" s="1" t="n">
        <v>46086</v>
      </c>
      <c r="D3820" t="inlineStr">
        <is>
          <t>GÄVLEBORGS LÄN</t>
        </is>
      </c>
      <c r="E3820" t="inlineStr">
        <is>
          <t>HUDIKSVALL</t>
        </is>
      </c>
      <c r="F3820" t="inlineStr">
        <is>
          <t>Holmen skog AB</t>
        </is>
      </c>
      <c r="G3820" t="n">
        <v>8.300000000000001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11481-2025</t>
        </is>
      </c>
      <c r="B3821" s="1" t="n">
        <v>45726.67984953704</v>
      </c>
      <c r="C3821" s="1" t="n">
        <v>46086</v>
      </c>
      <c r="D3821" t="inlineStr">
        <is>
          <t>GÄVLEBORGS LÄN</t>
        </is>
      </c>
      <c r="E3821" t="inlineStr">
        <is>
          <t>SANDVIKEN</t>
        </is>
      </c>
      <c r="F3821" t="inlineStr">
        <is>
          <t>Bergvik skog öst AB</t>
        </is>
      </c>
      <c r="G3821" t="n">
        <v>3.9</v>
      </c>
      <c r="H3821" t="n">
        <v>0</v>
      </c>
      <c r="I3821" t="n">
        <v>0</v>
      </c>
      <c r="J3821" t="n">
        <v>0</v>
      </c>
      <c r="K3821" t="n">
        <v>0</v>
      </c>
      <c r="L3821" t="n">
        <v>0</v>
      </c>
      <c r="M3821" t="n">
        <v>0</v>
      </c>
      <c r="N3821" t="n">
        <v>0</v>
      </c>
      <c r="O3821" t="n">
        <v>0</v>
      </c>
      <c r="P3821" t="n">
        <v>0</v>
      </c>
      <c r="Q3821" t="n">
        <v>0</v>
      </c>
      <c r="R3821" s="2" t="inlineStr"/>
    </row>
    <row r="3822" ht="15" customHeight="1">
      <c r="A3822" t="inlineStr">
        <is>
          <t>A 16666-2024</t>
        </is>
      </c>
      <c r="B3822" s="1" t="n">
        <v>45408</v>
      </c>
      <c r="C3822" s="1" t="n">
        <v>46086</v>
      </c>
      <c r="D3822" t="inlineStr">
        <is>
          <t>GÄVLEBORGS LÄN</t>
        </is>
      </c>
      <c r="E3822" t="inlineStr">
        <is>
          <t>LJUSDAL</t>
        </is>
      </c>
      <c r="G3822" t="n">
        <v>22.8</v>
      </c>
      <c r="H3822" t="n">
        <v>0</v>
      </c>
      <c r="I3822" t="n">
        <v>0</v>
      </c>
      <c r="J3822" t="n">
        <v>0</v>
      </c>
      <c r="K3822" t="n">
        <v>0</v>
      </c>
      <c r="L3822" t="n">
        <v>0</v>
      </c>
      <c r="M3822" t="n">
        <v>0</v>
      </c>
      <c r="N3822" t="n">
        <v>0</v>
      </c>
      <c r="O3822" t="n">
        <v>0</v>
      </c>
      <c r="P3822" t="n">
        <v>0</v>
      </c>
      <c r="Q3822" t="n">
        <v>0</v>
      </c>
      <c r="R3822" s="2" t="inlineStr"/>
    </row>
    <row r="3823" ht="15" customHeight="1">
      <c r="A3823" t="inlineStr">
        <is>
          <t>A 32686-2024</t>
        </is>
      </c>
      <c r="B3823" s="1" t="n">
        <v>45515.68230324074</v>
      </c>
      <c r="C3823" s="1" t="n">
        <v>46086</v>
      </c>
      <c r="D3823" t="inlineStr">
        <is>
          <t>GÄVLEBORGS LÄN</t>
        </is>
      </c>
      <c r="E3823" t="inlineStr">
        <is>
          <t>OVANÅKER</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36058-2023</t>
        </is>
      </c>
      <c r="B3824" s="1" t="n">
        <v>45149</v>
      </c>
      <c r="C3824" s="1" t="n">
        <v>46086</v>
      </c>
      <c r="D3824" t="inlineStr">
        <is>
          <t>GÄVLEBORGS LÄN</t>
        </is>
      </c>
      <c r="E3824" t="inlineStr">
        <is>
          <t>BOLLNÄS</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36061-2023</t>
        </is>
      </c>
      <c r="B3825" s="1" t="n">
        <v>45149.46030092592</v>
      </c>
      <c r="C3825" s="1" t="n">
        <v>46086</v>
      </c>
      <c r="D3825" t="inlineStr">
        <is>
          <t>GÄVLEBORGS LÄN</t>
        </is>
      </c>
      <c r="E3825" t="inlineStr">
        <is>
          <t>BOLLNÄS</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2748-2025</t>
        </is>
      </c>
      <c r="B3826" s="1" t="n">
        <v>45677.46497685185</v>
      </c>
      <c r="C3826" s="1" t="n">
        <v>46086</v>
      </c>
      <c r="D3826" t="inlineStr">
        <is>
          <t>GÄVLEBORGS LÄN</t>
        </is>
      </c>
      <c r="E3826" t="inlineStr">
        <is>
          <t>HUDIKSVALL</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32611-2025</t>
        </is>
      </c>
      <c r="B3827" s="1" t="n">
        <v>45838.63525462963</v>
      </c>
      <c r="C3827" s="1" t="n">
        <v>46086</v>
      </c>
      <c r="D3827" t="inlineStr">
        <is>
          <t>GÄVLEBORGS LÄN</t>
        </is>
      </c>
      <c r="E3827" t="inlineStr">
        <is>
          <t>OVANÅKER</t>
        </is>
      </c>
      <c r="F3827" t="inlineStr">
        <is>
          <t>Bergvik skog öst AB</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18217-2024</t>
        </is>
      </c>
      <c r="B3828" s="1" t="n">
        <v>45420</v>
      </c>
      <c r="C3828" s="1" t="n">
        <v>46086</v>
      </c>
      <c r="D3828" t="inlineStr">
        <is>
          <t>GÄVLEBORGS LÄN</t>
        </is>
      </c>
      <c r="E3828" t="inlineStr">
        <is>
          <t>GÄVLE</t>
        </is>
      </c>
      <c r="F3828" t="inlineStr">
        <is>
          <t>Bergvik skog väst AB</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18250-2024</t>
        </is>
      </c>
      <c r="B3829" s="1" t="n">
        <v>45421.44064814815</v>
      </c>
      <c r="C3829" s="1" t="n">
        <v>46086</v>
      </c>
      <c r="D3829" t="inlineStr">
        <is>
          <t>GÄVLEBORGS LÄN</t>
        </is>
      </c>
      <c r="E3829" t="inlineStr">
        <is>
          <t>LJUSDAL</t>
        </is>
      </c>
      <c r="F3829" t="inlineStr">
        <is>
          <t>Sveaskog</t>
        </is>
      </c>
      <c r="G3829" t="n">
        <v>7.2</v>
      </c>
      <c r="H3829" t="n">
        <v>0</v>
      </c>
      <c r="I3829" t="n">
        <v>0</v>
      </c>
      <c r="J3829" t="n">
        <v>0</v>
      </c>
      <c r="K3829" t="n">
        <v>0</v>
      </c>
      <c r="L3829" t="n">
        <v>0</v>
      </c>
      <c r="M3829" t="n">
        <v>0</v>
      </c>
      <c r="N3829" t="n">
        <v>0</v>
      </c>
      <c r="O3829" t="n">
        <v>0</v>
      </c>
      <c r="P3829" t="n">
        <v>0</v>
      </c>
      <c r="Q3829" t="n">
        <v>0</v>
      </c>
      <c r="R3829" s="2" t="inlineStr"/>
    </row>
    <row r="3830" ht="15" customHeight="1">
      <c r="A3830" t="inlineStr">
        <is>
          <t>A 9487-2026</t>
        </is>
      </c>
      <c r="B3830" s="1" t="n">
        <v>46071</v>
      </c>
      <c r="C3830" s="1" t="n">
        <v>46086</v>
      </c>
      <c r="D3830" t="inlineStr">
        <is>
          <t>GÄVLEBORGS LÄN</t>
        </is>
      </c>
      <c r="E3830" t="inlineStr">
        <is>
          <t>BOLLNÄS</t>
        </is>
      </c>
      <c r="F3830" t="inlineStr">
        <is>
          <t>Sveaskog</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9501-2026</t>
        </is>
      </c>
      <c r="B3831" s="1" t="n">
        <v>46071</v>
      </c>
      <c r="C3831" s="1" t="n">
        <v>46086</v>
      </c>
      <c r="D3831" t="inlineStr">
        <is>
          <t>GÄVLEBORGS LÄN</t>
        </is>
      </c>
      <c r="E3831" t="inlineStr">
        <is>
          <t>BOLLNÄS</t>
        </is>
      </c>
      <c r="G3831" t="n">
        <v>7.2</v>
      </c>
      <c r="H3831" t="n">
        <v>0</v>
      </c>
      <c r="I3831" t="n">
        <v>0</v>
      </c>
      <c r="J3831" t="n">
        <v>0</v>
      </c>
      <c r="K3831" t="n">
        <v>0</v>
      </c>
      <c r="L3831" t="n">
        <v>0</v>
      </c>
      <c r="M3831" t="n">
        <v>0</v>
      </c>
      <c r="N3831" t="n">
        <v>0</v>
      </c>
      <c r="O3831" t="n">
        <v>0</v>
      </c>
      <c r="P3831" t="n">
        <v>0</v>
      </c>
      <c r="Q3831" t="n">
        <v>0</v>
      </c>
      <c r="R3831" s="2" t="inlineStr"/>
    </row>
    <row r="3832" ht="15" customHeight="1">
      <c r="A3832" t="inlineStr">
        <is>
          <t>A 10079-2026</t>
        </is>
      </c>
      <c r="B3832" s="1" t="n">
        <v>46073</v>
      </c>
      <c r="C3832" s="1" t="n">
        <v>46086</v>
      </c>
      <c r="D3832" t="inlineStr">
        <is>
          <t>GÄVLEBORGS LÄN</t>
        </is>
      </c>
      <c r="E3832" t="inlineStr">
        <is>
          <t>LJUSDAL</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32685-2025</t>
        </is>
      </c>
      <c r="B3833" s="1" t="n">
        <v>45838</v>
      </c>
      <c r="C3833" s="1" t="n">
        <v>46086</v>
      </c>
      <c r="D3833" t="inlineStr">
        <is>
          <t>GÄVLEBORGS LÄN</t>
        </is>
      </c>
      <c r="E3833" t="inlineStr">
        <is>
          <t>HUDIKSVALL</t>
        </is>
      </c>
      <c r="F3833" t="inlineStr">
        <is>
          <t>Holmen skog AB</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42463-2025</t>
        </is>
      </c>
      <c r="B3834" s="1" t="n">
        <v>45905.4575</v>
      </c>
      <c r="C3834" s="1" t="n">
        <v>46086</v>
      </c>
      <c r="D3834" t="inlineStr">
        <is>
          <t>GÄVLEBORGS LÄN</t>
        </is>
      </c>
      <c r="E3834" t="inlineStr">
        <is>
          <t>LJUSDAL</t>
        </is>
      </c>
      <c r="F3834" t="inlineStr">
        <is>
          <t>Holmen skog AB</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26114-2024</t>
        </is>
      </c>
      <c r="B3835" s="1" t="n">
        <v>45468</v>
      </c>
      <c r="C3835" s="1" t="n">
        <v>46086</v>
      </c>
      <c r="D3835" t="inlineStr">
        <is>
          <t>GÄVLEBORGS LÄN</t>
        </is>
      </c>
      <c r="E3835" t="inlineStr">
        <is>
          <t>LJUSDAL</t>
        </is>
      </c>
      <c r="G3835" t="n">
        <v>22.6</v>
      </c>
      <c r="H3835" t="n">
        <v>0</v>
      </c>
      <c r="I3835" t="n">
        <v>0</v>
      </c>
      <c r="J3835" t="n">
        <v>0</v>
      </c>
      <c r="K3835" t="n">
        <v>0</v>
      </c>
      <c r="L3835" t="n">
        <v>0</v>
      </c>
      <c r="M3835" t="n">
        <v>0</v>
      </c>
      <c r="N3835" t="n">
        <v>0</v>
      </c>
      <c r="O3835" t="n">
        <v>0</v>
      </c>
      <c r="P3835" t="n">
        <v>0</v>
      </c>
      <c r="Q3835" t="n">
        <v>0</v>
      </c>
      <c r="R3835" s="2" t="inlineStr"/>
    </row>
    <row r="3836" ht="15" customHeight="1">
      <c r="A3836" t="inlineStr">
        <is>
          <t>A 50613-2024</t>
        </is>
      </c>
      <c r="B3836" s="1" t="n">
        <v>45601.63219907408</v>
      </c>
      <c r="C3836" s="1" t="n">
        <v>46086</v>
      </c>
      <c r="D3836" t="inlineStr">
        <is>
          <t>GÄVLEBORGS LÄN</t>
        </is>
      </c>
      <c r="E3836" t="inlineStr">
        <is>
          <t>LJUSDAL</t>
        </is>
      </c>
      <c r="F3836" t="inlineStr">
        <is>
          <t>Bergvik skog väst AB</t>
        </is>
      </c>
      <c r="G3836" t="n">
        <v>6.6</v>
      </c>
      <c r="H3836" t="n">
        <v>0</v>
      </c>
      <c r="I3836" t="n">
        <v>0</v>
      </c>
      <c r="J3836" t="n">
        <v>0</v>
      </c>
      <c r="K3836" t="n">
        <v>0</v>
      </c>
      <c r="L3836" t="n">
        <v>0</v>
      </c>
      <c r="M3836" t="n">
        <v>0</v>
      </c>
      <c r="N3836" t="n">
        <v>0</v>
      </c>
      <c r="O3836" t="n">
        <v>0</v>
      </c>
      <c r="P3836" t="n">
        <v>0</v>
      </c>
      <c r="Q3836" t="n">
        <v>0</v>
      </c>
      <c r="R3836" s="2" t="inlineStr"/>
    </row>
    <row r="3837" ht="15" customHeight="1">
      <c r="A3837" t="inlineStr">
        <is>
          <t>A 42497-2025</t>
        </is>
      </c>
      <c r="B3837" s="1" t="n">
        <v>45905.50929398148</v>
      </c>
      <c r="C3837" s="1" t="n">
        <v>46086</v>
      </c>
      <c r="D3837" t="inlineStr">
        <is>
          <t>GÄVLEBORGS LÄN</t>
        </is>
      </c>
      <c r="E3837" t="inlineStr">
        <is>
          <t>SÖDERHAMN</t>
        </is>
      </c>
      <c r="G3837" t="n">
        <v>5.6</v>
      </c>
      <c r="H3837" t="n">
        <v>0</v>
      </c>
      <c r="I3837" t="n">
        <v>0</v>
      </c>
      <c r="J3837" t="n">
        <v>0</v>
      </c>
      <c r="K3837" t="n">
        <v>0</v>
      </c>
      <c r="L3837" t="n">
        <v>0</v>
      </c>
      <c r="M3837" t="n">
        <v>0</v>
      </c>
      <c r="N3837" t="n">
        <v>0</v>
      </c>
      <c r="O3837" t="n">
        <v>0</v>
      </c>
      <c r="P3837" t="n">
        <v>0</v>
      </c>
      <c r="Q3837" t="n">
        <v>0</v>
      </c>
      <c r="R3837" s="2" t="inlineStr"/>
    </row>
    <row r="3838" ht="15" customHeight="1">
      <c r="A3838" t="inlineStr">
        <is>
          <t>A 10514-2026</t>
        </is>
      </c>
      <c r="B3838" s="1" t="n">
        <v>46077</v>
      </c>
      <c r="C3838" s="1" t="n">
        <v>46086</v>
      </c>
      <c r="D3838" t="inlineStr">
        <is>
          <t>GÄVLEBORGS LÄN</t>
        </is>
      </c>
      <c r="E3838" t="inlineStr">
        <is>
          <t>BOLLNÄS</t>
        </is>
      </c>
      <c r="F3838" t="inlineStr">
        <is>
          <t>Kyrkan</t>
        </is>
      </c>
      <c r="G3838" t="n">
        <v>6.8</v>
      </c>
      <c r="H3838" t="n">
        <v>0</v>
      </c>
      <c r="I3838" t="n">
        <v>0</v>
      </c>
      <c r="J3838" t="n">
        <v>0</v>
      </c>
      <c r="K3838" t="n">
        <v>0</v>
      </c>
      <c r="L3838" t="n">
        <v>0</v>
      </c>
      <c r="M3838" t="n">
        <v>0</v>
      </c>
      <c r="N3838" t="n">
        <v>0</v>
      </c>
      <c r="O3838" t="n">
        <v>0</v>
      </c>
      <c r="P3838" t="n">
        <v>0</v>
      </c>
      <c r="Q3838" t="n">
        <v>0</v>
      </c>
      <c r="R3838" s="2" t="inlineStr"/>
    </row>
    <row r="3839" ht="15" customHeight="1">
      <c r="A3839" t="inlineStr">
        <is>
          <t>A 11205-2026</t>
        </is>
      </c>
      <c r="B3839" s="1" t="n">
        <v>46080.45283564815</v>
      </c>
      <c r="C3839" s="1" t="n">
        <v>46086</v>
      </c>
      <c r="D3839" t="inlineStr">
        <is>
          <t>GÄVLEBORGS LÄN</t>
        </is>
      </c>
      <c r="E3839" t="inlineStr">
        <is>
          <t>SANDVIKEN</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42516-2025</t>
        </is>
      </c>
      <c r="B3840" s="1" t="n">
        <v>45905.54534722222</v>
      </c>
      <c r="C3840" s="1" t="n">
        <v>46086</v>
      </c>
      <c r="D3840" t="inlineStr">
        <is>
          <t>GÄVLEBORGS LÄN</t>
        </is>
      </c>
      <c r="E3840" t="inlineStr">
        <is>
          <t>BOLLNÄS</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13025-2025</t>
        </is>
      </c>
      <c r="B3841" s="1" t="n">
        <v>45734.55638888889</v>
      </c>
      <c r="C3841" s="1" t="n">
        <v>46086</v>
      </c>
      <c r="D3841" t="inlineStr">
        <is>
          <t>GÄVLEBORGS LÄN</t>
        </is>
      </c>
      <c r="E3841" t="inlineStr">
        <is>
          <t>NORDANSTIG</t>
        </is>
      </c>
      <c r="G3841" t="n">
        <v>9.699999999999999</v>
      </c>
      <c r="H3841" t="n">
        <v>0</v>
      </c>
      <c r="I3841" t="n">
        <v>0</v>
      </c>
      <c r="J3841" t="n">
        <v>0</v>
      </c>
      <c r="K3841" t="n">
        <v>0</v>
      </c>
      <c r="L3841" t="n">
        <v>0</v>
      </c>
      <c r="M3841" t="n">
        <v>0</v>
      </c>
      <c r="N3841" t="n">
        <v>0</v>
      </c>
      <c r="O3841" t="n">
        <v>0</v>
      </c>
      <c r="P3841" t="n">
        <v>0</v>
      </c>
      <c r="Q3841" t="n">
        <v>0</v>
      </c>
      <c r="R3841" s="2" t="inlineStr"/>
    </row>
    <row r="3842" ht="15" customHeight="1">
      <c r="A3842" t="inlineStr">
        <is>
          <t>A 42263-2025</t>
        </is>
      </c>
      <c r="B3842" s="1" t="n">
        <v>45904.59862268518</v>
      </c>
      <c r="C3842" s="1" t="n">
        <v>46086</v>
      </c>
      <c r="D3842" t="inlineStr">
        <is>
          <t>GÄVLEBORGS LÄN</t>
        </is>
      </c>
      <c r="E3842" t="inlineStr">
        <is>
          <t>OVANÅKER</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42277-2025</t>
        </is>
      </c>
      <c r="B3843" s="1" t="n">
        <v>45904.61524305555</v>
      </c>
      <c r="C3843" s="1" t="n">
        <v>46086</v>
      </c>
      <c r="D3843" t="inlineStr">
        <is>
          <t>GÄVLEBORGS LÄN</t>
        </is>
      </c>
      <c r="E3843" t="inlineStr">
        <is>
          <t>GÄVLE</t>
        </is>
      </c>
      <c r="F3843" t="inlineStr">
        <is>
          <t>Bergvik skog väst AB</t>
        </is>
      </c>
      <c r="G3843" t="n">
        <v>5.2</v>
      </c>
      <c r="H3843" t="n">
        <v>0</v>
      </c>
      <c r="I3843" t="n">
        <v>0</v>
      </c>
      <c r="J3843" t="n">
        <v>0</v>
      </c>
      <c r="K3843" t="n">
        <v>0</v>
      </c>
      <c r="L3843" t="n">
        <v>0</v>
      </c>
      <c r="M3843" t="n">
        <v>0</v>
      </c>
      <c r="N3843" t="n">
        <v>0</v>
      </c>
      <c r="O3843" t="n">
        <v>0</v>
      </c>
      <c r="P3843" t="n">
        <v>0</v>
      </c>
      <c r="Q3843" t="n">
        <v>0</v>
      </c>
      <c r="R3843" s="2" t="inlineStr"/>
    </row>
    <row r="3844" ht="15" customHeight="1">
      <c r="A3844" t="inlineStr">
        <is>
          <t>A 11213-2026</t>
        </is>
      </c>
      <c r="B3844" s="1" t="n">
        <v>46080.46483796297</v>
      </c>
      <c r="C3844" s="1" t="n">
        <v>46086</v>
      </c>
      <c r="D3844" t="inlineStr">
        <is>
          <t>GÄVLEBORGS LÄN</t>
        </is>
      </c>
      <c r="E3844" t="inlineStr">
        <is>
          <t>SANDVIKEN</t>
        </is>
      </c>
      <c r="G3844" t="n">
        <v>14.5</v>
      </c>
      <c r="H3844" t="n">
        <v>0</v>
      </c>
      <c r="I3844" t="n">
        <v>0</v>
      </c>
      <c r="J3844" t="n">
        <v>0</v>
      </c>
      <c r="K3844" t="n">
        <v>0</v>
      </c>
      <c r="L3844" t="n">
        <v>0</v>
      </c>
      <c r="M3844" t="n">
        <v>0</v>
      </c>
      <c r="N3844" t="n">
        <v>0</v>
      </c>
      <c r="O3844" t="n">
        <v>0</v>
      </c>
      <c r="P3844" t="n">
        <v>0</v>
      </c>
      <c r="Q3844" t="n">
        <v>0</v>
      </c>
      <c r="R3844" s="2" t="inlineStr"/>
    </row>
    <row r="3845" ht="15" customHeight="1">
      <c r="A3845" t="inlineStr">
        <is>
          <t>A 11269-2026</t>
        </is>
      </c>
      <c r="B3845" s="1" t="n">
        <v>46080.57333333333</v>
      </c>
      <c r="C3845" s="1" t="n">
        <v>46086</v>
      </c>
      <c r="D3845" t="inlineStr">
        <is>
          <t>GÄVLEBORGS LÄN</t>
        </is>
      </c>
      <c r="E3845" t="inlineStr">
        <is>
          <t>HOFORS</t>
        </is>
      </c>
      <c r="F3845" t="inlineStr">
        <is>
          <t>Sveaskog</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11300-2026</t>
        </is>
      </c>
      <c r="B3846" s="1" t="n">
        <v>46080.63023148148</v>
      </c>
      <c r="C3846" s="1" t="n">
        <v>46086</v>
      </c>
      <c r="D3846" t="inlineStr">
        <is>
          <t>GÄVLEBORGS LÄN</t>
        </is>
      </c>
      <c r="E3846" t="inlineStr">
        <is>
          <t>OCKELBO</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42297-2025</t>
        </is>
      </c>
      <c r="B3847" s="1" t="n">
        <v>45904.63537037037</v>
      </c>
      <c r="C3847" s="1" t="n">
        <v>46086</v>
      </c>
      <c r="D3847" t="inlineStr">
        <is>
          <t>GÄVLEBORGS LÄN</t>
        </is>
      </c>
      <c r="E3847" t="inlineStr">
        <is>
          <t>LJUSDAL</t>
        </is>
      </c>
      <c r="F3847" t="inlineStr">
        <is>
          <t>Allmännings- och besparingsskogar</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28983-2022</t>
        </is>
      </c>
      <c r="B3848" s="1" t="n">
        <v>44749.65376157407</v>
      </c>
      <c r="C3848" s="1" t="n">
        <v>46086</v>
      </c>
      <c r="D3848" t="inlineStr">
        <is>
          <t>GÄVLEBORGS LÄN</t>
        </is>
      </c>
      <c r="E3848" t="inlineStr">
        <is>
          <t>BOLLNÄS</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36646-2022</t>
        </is>
      </c>
      <c r="B3849" s="1" t="n">
        <v>44804.74767361111</v>
      </c>
      <c r="C3849" s="1" t="n">
        <v>46086</v>
      </c>
      <c r="D3849" t="inlineStr">
        <is>
          <t>GÄVLEBORGS LÄN</t>
        </is>
      </c>
      <c r="E3849" t="inlineStr">
        <is>
          <t>SANDVIKEN</t>
        </is>
      </c>
      <c r="G3849" t="n">
        <v>9.199999999999999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25596-2024</t>
        </is>
      </c>
      <c r="B3850" s="1" t="n">
        <v>45463.62259259259</v>
      </c>
      <c r="C3850" s="1" t="n">
        <v>46086</v>
      </c>
      <c r="D3850" t="inlineStr">
        <is>
          <t>GÄVLEBORGS LÄN</t>
        </is>
      </c>
      <c r="E3850" t="inlineStr">
        <is>
          <t>HUDIKSVALL</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23848-2025</t>
        </is>
      </c>
      <c r="B3851" s="1" t="n">
        <v>45793</v>
      </c>
      <c r="C3851" s="1" t="n">
        <v>46086</v>
      </c>
      <c r="D3851" t="inlineStr">
        <is>
          <t>GÄVLEBORGS LÄN</t>
        </is>
      </c>
      <c r="E3851" t="inlineStr">
        <is>
          <t>BOLLNÄS</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30308-2025</t>
        </is>
      </c>
      <c r="B3852" s="1" t="n">
        <v>45827.4880787037</v>
      </c>
      <c r="C3852" s="1" t="n">
        <v>46086</v>
      </c>
      <c r="D3852" t="inlineStr">
        <is>
          <t>GÄVLEBORGS LÄN</t>
        </is>
      </c>
      <c r="E3852" t="inlineStr">
        <is>
          <t>BOLLNÄS</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24619-2025</t>
        </is>
      </c>
      <c r="B3853" s="1" t="n">
        <v>45798.59127314815</v>
      </c>
      <c r="C3853" s="1" t="n">
        <v>46086</v>
      </c>
      <c r="D3853" t="inlineStr">
        <is>
          <t>GÄVLEBORGS LÄN</t>
        </is>
      </c>
      <c r="E3853" t="inlineStr">
        <is>
          <t>GÄVLE</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37686-2024</t>
        </is>
      </c>
      <c r="B3854" s="1" t="n">
        <v>45541.59466435185</v>
      </c>
      <c r="C3854" s="1" t="n">
        <v>46086</v>
      </c>
      <c r="D3854" t="inlineStr">
        <is>
          <t>GÄVLEBORGS LÄN</t>
        </is>
      </c>
      <c r="E3854" t="inlineStr">
        <is>
          <t>NORDANSTIG</t>
        </is>
      </c>
      <c r="F3854" t="inlineStr">
        <is>
          <t>Holmen skog AB</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35364-2024</t>
        </is>
      </c>
      <c r="B3855" s="1" t="n">
        <v>45531.34303240741</v>
      </c>
      <c r="C3855" s="1" t="n">
        <v>46086</v>
      </c>
      <c r="D3855" t="inlineStr">
        <is>
          <t>GÄVLEBORGS LÄN</t>
        </is>
      </c>
      <c r="E3855" t="inlineStr">
        <is>
          <t>LJUSDAL</t>
        </is>
      </c>
      <c r="G3855" t="n">
        <v>5.1</v>
      </c>
      <c r="H3855" t="n">
        <v>0</v>
      </c>
      <c r="I3855" t="n">
        <v>0</v>
      </c>
      <c r="J3855" t="n">
        <v>0</v>
      </c>
      <c r="K3855" t="n">
        <v>0</v>
      </c>
      <c r="L3855" t="n">
        <v>0</v>
      </c>
      <c r="M3855" t="n">
        <v>0</v>
      </c>
      <c r="N3855" t="n">
        <v>0</v>
      </c>
      <c r="O3855" t="n">
        <v>0</v>
      </c>
      <c r="P3855" t="n">
        <v>0</v>
      </c>
      <c r="Q3855" t="n">
        <v>0</v>
      </c>
      <c r="R3855" s="2" t="inlineStr"/>
    </row>
    <row r="3856" ht="15" customHeight="1">
      <c r="A3856" t="inlineStr">
        <is>
          <t>A 56406-2024</t>
        </is>
      </c>
      <c r="B3856" s="1" t="n">
        <v>45625.36425925926</v>
      </c>
      <c r="C3856" s="1" t="n">
        <v>46086</v>
      </c>
      <c r="D3856" t="inlineStr">
        <is>
          <t>GÄVLEBORGS LÄN</t>
        </is>
      </c>
      <c r="E3856" t="inlineStr">
        <is>
          <t>NORDANSTIG</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11301-2026</t>
        </is>
      </c>
      <c r="B3857" s="1" t="n">
        <v>46080.63306712963</v>
      </c>
      <c r="C3857" s="1" t="n">
        <v>46086</v>
      </c>
      <c r="D3857" t="inlineStr">
        <is>
          <t>GÄVLEBORGS LÄN</t>
        </is>
      </c>
      <c r="E3857" t="inlineStr">
        <is>
          <t>BOLLNÄS</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59783-2023</t>
        </is>
      </c>
      <c r="B3858" s="1" t="n">
        <v>45257.44179398148</v>
      </c>
      <c r="C3858" s="1" t="n">
        <v>46086</v>
      </c>
      <c r="D3858" t="inlineStr">
        <is>
          <t>GÄVLEBORGS LÄN</t>
        </is>
      </c>
      <c r="E3858" t="inlineStr">
        <is>
          <t>SÖDERHAMN</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42340-2025</t>
        </is>
      </c>
      <c r="B3859" s="1" t="n">
        <v>45904</v>
      </c>
      <c r="C3859" s="1" t="n">
        <v>46086</v>
      </c>
      <c r="D3859" t="inlineStr">
        <is>
          <t>GÄVLEBORGS LÄN</t>
        </is>
      </c>
      <c r="E3859" t="inlineStr">
        <is>
          <t>BOLLNÄS</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42356-2025</t>
        </is>
      </c>
      <c r="B3860" s="1" t="n">
        <v>45905.29364583334</v>
      </c>
      <c r="C3860" s="1" t="n">
        <v>46086</v>
      </c>
      <c r="D3860" t="inlineStr">
        <is>
          <t>GÄVLEBORGS LÄN</t>
        </is>
      </c>
      <c r="E3860" t="inlineStr">
        <is>
          <t>OVANÅKER</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24659-2024</t>
        </is>
      </c>
      <c r="B3861" s="1" t="n">
        <v>45460.57925925926</v>
      </c>
      <c r="C3861" s="1" t="n">
        <v>46086</v>
      </c>
      <c r="D3861" t="inlineStr">
        <is>
          <t>GÄVLEBORGS LÄN</t>
        </is>
      </c>
      <c r="E3861" t="inlineStr">
        <is>
          <t>LJUSDAL</t>
        </is>
      </c>
      <c r="G3861" t="n">
        <v>8.199999999999999</v>
      </c>
      <c r="H3861" t="n">
        <v>0</v>
      </c>
      <c r="I3861" t="n">
        <v>0</v>
      </c>
      <c r="J3861" t="n">
        <v>0</v>
      </c>
      <c r="K3861" t="n">
        <v>0</v>
      </c>
      <c r="L3861" t="n">
        <v>0</v>
      </c>
      <c r="M3861" t="n">
        <v>0</v>
      </c>
      <c r="N3861" t="n">
        <v>0</v>
      </c>
      <c r="O3861" t="n">
        <v>0</v>
      </c>
      <c r="P3861" t="n">
        <v>0</v>
      </c>
      <c r="Q3861" t="n">
        <v>0</v>
      </c>
      <c r="R3861" s="2" t="inlineStr"/>
    </row>
    <row r="3862" ht="15" customHeight="1">
      <c r="A3862" t="inlineStr">
        <is>
          <t>A 32694-2025</t>
        </is>
      </c>
      <c r="B3862" s="1" t="n">
        <v>45839.30681712963</v>
      </c>
      <c r="C3862" s="1" t="n">
        <v>46086</v>
      </c>
      <c r="D3862" t="inlineStr">
        <is>
          <t>GÄVLEBORGS LÄN</t>
        </is>
      </c>
      <c r="E3862" t="inlineStr">
        <is>
          <t>LJUSDAL</t>
        </is>
      </c>
      <c r="F3862" t="inlineStr">
        <is>
          <t>Sveaskog</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59796-2023</t>
        </is>
      </c>
      <c r="B3863" s="1" t="n">
        <v>45257.46166666667</v>
      </c>
      <c r="C3863" s="1" t="n">
        <v>46086</v>
      </c>
      <c r="D3863" t="inlineStr">
        <is>
          <t>GÄVLEBORGS LÄN</t>
        </is>
      </c>
      <c r="E3863" t="inlineStr">
        <is>
          <t>SÖDERHAMN</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11361-2026</t>
        </is>
      </c>
      <c r="B3864" s="1" t="n">
        <v>46083.35269675926</v>
      </c>
      <c r="C3864" s="1" t="n">
        <v>46086</v>
      </c>
      <c r="D3864" t="inlineStr">
        <is>
          <t>GÄVLEBORGS LÄN</t>
        </is>
      </c>
      <c r="E3864" t="inlineStr">
        <is>
          <t>BOLLNÄS</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11366-2026</t>
        </is>
      </c>
      <c r="B3865" s="1" t="n">
        <v>46083.37273148148</v>
      </c>
      <c r="C3865" s="1" t="n">
        <v>46086</v>
      </c>
      <c r="D3865" t="inlineStr">
        <is>
          <t>GÄVLEBORGS LÄN</t>
        </is>
      </c>
      <c r="E3865" t="inlineStr">
        <is>
          <t>BOLLNÄS</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11367-2026</t>
        </is>
      </c>
      <c r="B3866" s="1" t="n">
        <v>46083.37726851852</v>
      </c>
      <c r="C3866" s="1" t="n">
        <v>46086</v>
      </c>
      <c r="D3866" t="inlineStr">
        <is>
          <t>GÄVLEBORGS LÄN</t>
        </is>
      </c>
      <c r="E3866" t="inlineStr">
        <is>
          <t>BOLLNÄS</t>
        </is>
      </c>
      <c r="G3866" t="n">
        <v>6.6</v>
      </c>
      <c r="H3866" t="n">
        <v>0</v>
      </c>
      <c r="I3866" t="n">
        <v>0</v>
      </c>
      <c r="J3866" t="n">
        <v>0</v>
      </c>
      <c r="K3866" t="n">
        <v>0</v>
      </c>
      <c r="L3866" t="n">
        <v>0</v>
      </c>
      <c r="M3866" t="n">
        <v>0</v>
      </c>
      <c r="N3866" t="n">
        <v>0</v>
      </c>
      <c r="O3866" t="n">
        <v>0</v>
      </c>
      <c r="P3866" t="n">
        <v>0</v>
      </c>
      <c r="Q3866" t="n">
        <v>0</v>
      </c>
      <c r="R3866" s="2" t="inlineStr"/>
    </row>
    <row r="3867" ht="15" customHeight="1">
      <c r="A3867" t="inlineStr">
        <is>
          <t>A 3126-2026</t>
        </is>
      </c>
      <c r="B3867" s="1" t="n">
        <v>46041.37792824074</v>
      </c>
      <c r="C3867" s="1" t="n">
        <v>46086</v>
      </c>
      <c r="D3867" t="inlineStr">
        <is>
          <t>GÄVLEBORGS LÄN</t>
        </is>
      </c>
      <c r="E3867" t="inlineStr">
        <is>
          <t>OVANÅKER</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44856-2024</t>
        </is>
      </c>
      <c r="B3868" s="1" t="n">
        <v>45575.25853009259</v>
      </c>
      <c r="C3868" s="1" t="n">
        <v>46086</v>
      </c>
      <c r="D3868" t="inlineStr">
        <is>
          <t>GÄVLEBORGS LÄN</t>
        </is>
      </c>
      <c r="E3868" t="inlineStr">
        <is>
          <t>LJUSDAL</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44549-2024</t>
        </is>
      </c>
      <c r="B3869" s="1" t="n">
        <v>45574.46666666667</v>
      </c>
      <c r="C3869" s="1" t="n">
        <v>46086</v>
      </c>
      <c r="D3869" t="inlineStr">
        <is>
          <t>GÄVLEBORGS LÄN</t>
        </is>
      </c>
      <c r="E3869" t="inlineStr">
        <is>
          <t>HUDIKSVALL</t>
        </is>
      </c>
      <c r="F3869" t="inlineStr">
        <is>
          <t>Holmen skog AB</t>
        </is>
      </c>
      <c r="G3869" t="n">
        <v>30.9</v>
      </c>
      <c r="H3869" t="n">
        <v>0</v>
      </c>
      <c r="I3869" t="n">
        <v>0</v>
      </c>
      <c r="J3869" t="n">
        <v>0</v>
      </c>
      <c r="K3869" t="n">
        <v>0</v>
      </c>
      <c r="L3869" t="n">
        <v>0</v>
      </c>
      <c r="M3869" t="n">
        <v>0</v>
      </c>
      <c r="N3869" t="n">
        <v>0</v>
      </c>
      <c r="O3869" t="n">
        <v>0</v>
      </c>
      <c r="P3869" t="n">
        <v>0</v>
      </c>
      <c r="Q3869" t="n">
        <v>0</v>
      </c>
      <c r="R3869" s="2" t="inlineStr"/>
    </row>
    <row r="3870" ht="15" customHeight="1">
      <c r="A3870" t="inlineStr">
        <is>
          <t>A 19276-2025</t>
        </is>
      </c>
      <c r="B3870" s="1" t="n">
        <v>45769.5315625</v>
      </c>
      <c r="C3870" s="1" t="n">
        <v>46086</v>
      </c>
      <c r="D3870" t="inlineStr">
        <is>
          <t>GÄVLEBORGS LÄN</t>
        </is>
      </c>
      <c r="E3870" t="inlineStr">
        <is>
          <t>LJUSDAL</t>
        </is>
      </c>
      <c r="F3870" t="inlineStr">
        <is>
          <t>SCA</t>
        </is>
      </c>
      <c r="G3870" t="n">
        <v>5</v>
      </c>
      <c r="H3870" t="n">
        <v>0</v>
      </c>
      <c r="I3870" t="n">
        <v>0</v>
      </c>
      <c r="J3870" t="n">
        <v>0</v>
      </c>
      <c r="K3870" t="n">
        <v>0</v>
      </c>
      <c r="L3870" t="n">
        <v>0</v>
      </c>
      <c r="M3870" t="n">
        <v>0</v>
      </c>
      <c r="N3870" t="n">
        <v>0</v>
      </c>
      <c r="O3870" t="n">
        <v>0</v>
      </c>
      <c r="P3870" t="n">
        <v>0</v>
      </c>
      <c r="Q3870" t="n">
        <v>0</v>
      </c>
      <c r="R3870" s="2" t="inlineStr"/>
    </row>
    <row r="3871" ht="15" customHeight="1">
      <c r="A3871" t="inlineStr">
        <is>
          <t>A 3167-2026</t>
        </is>
      </c>
      <c r="B3871" s="1" t="n">
        <v>46041</v>
      </c>
      <c r="C3871" s="1" t="n">
        <v>46086</v>
      </c>
      <c r="D3871" t="inlineStr">
        <is>
          <t>GÄVLEBORGS LÄN</t>
        </is>
      </c>
      <c r="E3871" t="inlineStr">
        <is>
          <t>SÖDERHAMN</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3204-2026</t>
        </is>
      </c>
      <c r="B3872" s="1" t="n">
        <v>46041</v>
      </c>
      <c r="C3872" s="1" t="n">
        <v>46086</v>
      </c>
      <c r="D3872" t="inlineStr">
        <is>
          <t>GÄVLEBORGS LÄN</t>
        </is>
      </c>
      <c r="E3872" t="inlineStr">
        <is>
          <t>BOLLNÄS</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33478-2023</t>
        </is>
      </c>
      <c r="B3873" s="1" t="n">
        <v>45131.4106712963</v>
      </c>
      <c r="C3873" s="1" t="n">
        <v>46086</v>
      </c>
      <c r="D3873" t="inlineStr">
        <is>
          <t>GÄVLEBORGS LÄN</t>
        </is>
      </c>
      <c r="E3873" t="inlineStr">
        <is>
          <t>NORDANSTIG</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11602-2025</t>
        </is>
      </c>
      <c r="B3874" s="1" t="n">
        <v>45727.43175925926</v>
      </c>
      <c r="C3874" s="1" t="n">
        <v>46086</v>
      </c>
      <c r="D3874" t="inlineStr">
        <is>
          <t>GÄVLEBORGS LÄN</t>
        </is>
      </c>
      <c r="E3874" t="inlineStr">
        <is>
          <t>BOLLNÄS</t>
        </is>
      </c>
      <c r="F3874" t="inlineStr">
        <is>
          <t>Kyrkan</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3214-2026</t>
        </is>
      </c>
      <c r="B3875" s="1" t="n">
        <v>46041.50125</v>
      </c>
      <c r="C3875" s="1" t="n">
        <v>46086</v>
      </c>
      <c r="D3875" t="inlineStr">
        <is>
          <t>GÄVLEBORGS LÄN</t>
        </is>
      </c>
      <c r="E3875" t="inlineStr">
        <is>
          <t>SANDVIKEN</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8124-2026</t>
        </is>
      </c>
      <c r="B3876" s="1" t="n">
        <v>46063</v>
      </c>
      <c r="C3876" s="1" t="n">
        <v>46086</v>
      </c>
      <c r="D3876" t="inlineStr">
        <is>
          <t>GÄVLEBORGS LÄN</t>
        </is>
      </c>
      <c r="E3876" t="inlineStr">
        <is>
          <t>HUDIKSVALL</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8592-2026</t>
        </is>
      </c>
      <c r="B3877" s="1" t="n">
        <v>46065</v>
      </c>
      <c r="C3877" s="1" t="n">
        <v>46086</v>
      </c>
      <c r="D3877" t="inlineStr">
        <is>
          <t>GÄVLEBORGS LÄN</t>
        </is>
      </c>
      <c r="E3877" t="inlineStr">
        <is>
          <t>OCKELBO</t>
        </is>
      </c>
      <c r="F3877" t="inlineStr">
        <is>
          <t>Bergvik skog väst AB</t>
        </is>
      </c>
      <c r="G3877" t="n">
        <v>5.9</v>
      </c>
      <c r="H3877" t="n">
        <v>0</v>
      </c>
      <c r="I3877" t="n">
        <v>0</v>
      </c>
      <c r="J3877" t="n">
        <v>0</v>
      </c>
      <c r="K3877" t="n">
        <v>0</v>
      </c>
      <c r="L3877" t="n">
        <v>0</v>
      </c>
      <c r="M3877" t="n">
        <v>0</v>
      </c>
      <c r="N3877" t="n">
        <v>0</v>
      </c>
      <c r="O3877" t="n">
        <v>0</v>
      </c>
      <c r="P3877" t="n">
        <v>0</v>
      </c>
      <c r="Q3877" t="n">
        <v>0</v>
      </c>
      <c r="R3877" s="2" t="inlineStr"/>
    </row>
    <row r="3878" ht="15" customHeight="1">
      <c r="A3878" t="inlineStr">
        <is>
          <t>A 31890-2023</t>
        </is>
      </c>
      <c r="B3878" s="1" t="n">
        <v>45118</v>
      </c>
      <c r="C3878" s="1" t="n">
        <v>46086</v>
      </c>
      <c r="D3878" t="inlineStr">
        <is>
          <t>GÄVLEBORGS LÄN</t>
        </is>
      </c>
      <c r="E3878" t="inlineStr">
        <is>
          <t>LJUSDAL</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27217-2025</t>
        </is>
      </c>
      <c r="B3879" s="1" t="n">
        <v>45812.42059027778</v>
      </c>
      <c r="C3879" s="1" t="n">
        <v>46086</v>
      </c>
      <c r="D3879" t="inlineStr">
        <is>
          <t>GÄVLEBORGS LÄN</t>
        </is>
      </c>
      <c r="E3879" t="inlineStr">
        <is>
          <t>BOLLNÄS</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32886-2025</t>
        </is>
      </c>
      <c r="B3880" s="1" t="n">
        <v>45839.59930555556</v>
      </c>
      <c r="C3880" s="1" t="n">
        <v>46086</v>
      </c>
      <c r="D3880" t="inlineStr">
        <is>
          <t>GÄVLEBORGS LÄN</t>
        </is>
      </c>
      <c r="E3880" t="inlineStr">
        <is>
          <t>OVANÅKER</t>
        </is>
      </c>
      <c r="F3880" t="inlineStr">
        <is>
          <t>Bergvik skog öst AB</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42341-2025</t>
        </is>
      </c>
      <c r="B3881" s="1" t="n">
        <v>45904</v>
      </c>
      <c r="C3881" s="1" t="n">
        <v>46086</v>
      </c>
      <c r="D3881" t="inlineStr">
        <is>
          <t>GÄVLEBORGS LÄN</t>
        </is>
      </c>
      <c r="E3881" t="inlineStr">
        <is>
          <t>BOLLNÄS</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16773-2025</t>
        </is>
      </c>
      <c r="B3882" s="1" t="n">
        <v>45754.58219907407</v>
      </c>
      <c r="C3882" s="1" t="n">
        <v>46086</v>
      </c>
      <c r="D3882" t="inlineStr">
        <is>
          <t>GÄVLEBORGS LÄN</t>
        </is>
      </c>
      <c r="E3882" t="inlineStr">
        <is>
          <t>OCKELBO</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42258-2025</t>
        </is>
      </c>
      <c r="B3883" s="1" t="n">
        <v>45904.59408564815</v>
      </c>
      <c r="C3883" s="1" t="n">
        <v>46086</v>
      </c>
      <c r="D3883" t="inlineStr">
        <is>
          <t>GÄVLEBORGS LÄN</t>
        </is>
      </c>
      <c r="E3883" t="inlineStr">
        <is>
          <t>SÖDERHAMN</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42259-2025</t>
        </is>
      </c>
      <c r="B3884" s="1" t="n">
        <v>45904.5949537037</v>
      </c>
      <c r="C3884" s="1" t="n">
        <v>46086</v>
      </c>
      <c r="D3884" t="inlineStr">
        <is>
          <t>GÄVLEBORGS LÄN</t>
        </is>
      </c>
      <c r="E3884" t="inlineStr">
        <is>
          <t>OVANÅKER</t>
        </is>
      </c>
      <c r="G3884" t="n">
        <v>0.3</v>
      </c>
      <c r="H3884" t="n">
        <v>0</v>
      </c>
      <c r="I3884" t="n">
        <v>0</v>
      </c>
      <c r="J3884" t="n">
        <v>0</v>
      </c>
      <c r="K3884" t="n">
        <v>0</v>
      </c>
      <c r="L3884" t="n">
        <v>0</v>
      </c>
      <c r="M3884" t="n">
        <v>0</v>
      </c>
      <c r="N3884" t="n">
        <v>0</v>
      </c>
      <c r="O3884" t="n">
        <v>0</v>
      </c>
      <c r="P3884" t="n">
        <v>0</v>
      </c>
      <c r="Q3884" t="n">
        <v>0</v>
      </c>
      <c r="R3884" s="2" t="inlineStr"/>
    </row>
    <row r="3885" ht="15" customHeight="1">
      <c r="A3885" t="inlineStr">
        <is>
          <t>A 53268-2024</t>
        </is>
      </c>
      <c r="B3885" s="1" t="n">
        <v>45614</v>
      </c>
      <c r="C3885" s="1" t="n">
        <v>46086</v>
      </c>
      <c r="D3885" t="inlineStr">
        <is>
          <t>GÄVLEBORGS LÄN</t>
        </is>
      </c>
      <c r="E3885" t="inlineStr">
        <is>
          <t>GÄVLE</t>
        </is>
      </c>
      <c r="F3885" t="inlineStr">
        <is>
          <t>Bergvik skog öst AB</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32907-2025</t>
        </is>
      </c>
      <c r="B3886" s="1" t="n">
        <v>45839.62800925926</v>
      </c>
      <c r="C3886" s="1" t="n">
        <v>46086</v>
      </c>
      <c r="D3886" t="inlineStr">
        <is>
          <t>GÄVLEBORGS LÄN</t>
        </is>
      </c>
      <c r="E3886" t="inlineStr">
        <is>
          <t>SANDVIKEN</t>
        </is>
      </c>
      <c r="F3886" t="inlineStr">
        <is>
          <t>Naturvårdsverket</t>
        </is>
      </c>
      <c r="G3886" t="n">
        <v>10.4</v>
      </c>
      <c r="H3886" t="n">
        <v>0</v>
      </c>
      <c r="I3886" t="n">
        <v>0</v>
      </c>
      <c r="J3886" t="n">
        <v>0</v>
      </c>
      <c r="K3886" t="n">
        <v>0</v>
      </c>
      <c r="L3886" t="n">
        <v>0</v>
      </c>
      <c r="M3886" t="n">
        <v>0</v>
      </c>
      <c r="N3886" t="n">
        <v>0</v>
      </c>
      <c r="O3886" t="n">
        <v>0</v>
      </c>
      <c r="P3886" t="n">
        <v>0</v>
      </c>
      <c r="Q3886" t="n">
        <v>0</v>
      </c>
      <c r="R3886" s="2" t="inlineStr"/>
    </row>
    <row r="3887" ht="15" customHeight="1">
      <c r="A3887" t="inlineStr">
        <is>
          <t>A 8686-2026</t>
        </is>
      </c>
      <c r="B3887" s="1" t="n">
        <v>46066</v>
      </c>
      <c r="C3887" s="1" t="n">
        <v>46086</v>
      </c>
      <c r="D3887" t="inlineStr">
        <is>
          <t>GÄVLEBORGS LÄN</t>
        </is>
      </c>
      <c r="E3887" t="inlineStr">
        <is>
          <t>LJUSDAL</t>
        </is>
      </c>
      <c r="F3887" t="inlineStr">
        <is>
          <t>Holmen skog AB</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36197-2024</t>
        </is>
      </c>
      <c r="B3888" s="1" t="n">
        <v>45534.43164351852</v>
      </c>
      <c r="C3888" s="1" t="n">
        <v>46086</v>
      </c>
      <c r="D3888" t="inlineStr">
        <is>
          <t>GÄVLEBORGS LÄN</t>
        </is>
      </c>
      <c r="E3888" t="inlineStr">
        <is>
          <t>GÄVLE</t>
        </is>
      </c>
      <c r="F3888" t="inlineStr">
        <is>
          <t>Kyrkan</t>
        </is>
      </c>
      <c r="G3888" t="n">
        <v>14.9</v>
      </c>
      <c r="H3888" t="n">
        <v>0</v>
      </c>
      <c r="I3888" t="n">
        <v>0</v>
      </c>
      <c r="J3888" t="n">
        <v>0</v>
      </c>
      <c r="K3888" t="n">
        <v>0</v>
      </c>
      <c r="L3888" t="n">
        <v>0</v>
      </c>
      <c r="M3888" t="n">
        <v>0</v>
      </c>
      <c r="N3888" t="n">
        <v>0</v>
      </c>
      <c r="O3888" t="n">
        <v>0</v>
      </c>
      <c r="P3888" t="n">
        <v>0</v>
      </c>
      <c r="Q3888" t="n">
        <v>0</v>
      </c>
      <c r="R3888" s="2" t="inlineStr"/>
    </row>
    <row r="3889" ht="15" customHeight="1">
      <c r="A3889" t="inlineStr">
        <is>
          <t>A 24852-2024</t>
        </is>
      </c>
      <c r="B3889" s="1" t="n">
        <v>45461.45328703704</v>
      </c>
      <c r="C3889" s="1" t="n">
        <v>46086</v>
      </c>
      <c r="D3889" t="inlineStr">
        <is>
          <t>GÄVLEBORGS LÄN</t>
        </is>
      </c>
      <c r="E3889" t="inlineStr">
        <is>
          <t>HUDIKSVALL</t>
        </is>
      </c>
      <c r="F3889" t="inlineStr">
        <is>
          <t>Holmen skog AB</t>
        </is>
      </c>
      <c r="G3889" t="n">
        <v>19.2</v>
      </c>
      <c r="H3889" t="n">
        <v>0</v>
      </c>
      <c r="I3889" t="n">
        <v>0</v>
      </c>
      <c r="J3889" t="n">
        <v>0</v>
      </c>
      <c r="K3889" t="n">
        <v>0</v>
      </c>
      <c r="L3889" t="n">
        <v>0</v>
      </c>
      <c r="M3889" t="n">
        <v>0</v>
      </c>
      <c r="N3889" t="n">
        <v>0</v>
      </c>
      <c r="O3889" t="n">
        <v>0</v>
      </c>
      <c r="P3889" t="n">
        <v>0</v>
      </c>
      <c r="Q3889" t="n">
        <v>0</v>
      </c>
      <c r="R3889" s="2" t="inlineStr"/>
    </row>
    <row r="3890" ht="15" customHeight="1">
      <c r="A3890" t="inlineStr">
        <is>
          <t>A 39047-2024</t>
        </is>
      </c>
      <c r="B3890" s="1" t="n">
        <v>45548</v>
      </c>
      <c r="C3890" s="1" t="n">
        <v>46086</v>
      </c>
      <c r="D3890" t="inlineStr">
        <is>
          <t>GÄVLEBORGS LÄN</t>
        </is>
      </c>
      <c r="E3890" t="inlineStr">
        <is>
          <t>SANDVIKEN</t>
        </is>
      </c>
      <c r="F3890" t="inlineStr">
        <is>
          <t>Sveaskog</t>
        </is>
      </c>
      <c r="G3890" t="n">
        <v>12.9</v>
      </c>
      <c r="H3890" t="n">
        <v>0</v>
      </c>
      <c r="I3890" t="n">
        <v>0</v>
      </c>
      <c r="J3890" t="n">
        <v>0</v>
      </c>
      <c r="K3890" t="n">
        <v>0</v>
      </c>
      <c r="L3890" t="n">
        <v>0</v>
      </c>
      <c r="M3890" t="n">
        <v>0</v>
      </c>
      <c r="N3890" t="n">
        <v>0</v>
      </c>
      <c r="O3890" t="n">
        <v>0</v>
      </c>
      <c r="P3890" t="n">
        <v>0</v>
      </c>
      <c r="Q3890" t="n">
        <v>0</v>
      </c>
      <c r="R3890" s="2" t="inlineStr"/>
    </row>
    <row r="3891" ht="15" customHeight="1">
      <c r="A3891" t="inlineStr">
        <is>
          <t>A 42398-2025</t>
        </is>
      </c>
      <c r="B3891" s="1" t="n">
        <v>45905.36827546296</v>
      </c>
      <c r="C3891" s="1" t="n">
        <v>46086</v>
      </c>
      <c r="D3891" t="inlineStr">
        <is>
          <t>GÄVLEBORGS LÄN</t>
        </is>
      </c>
      <c r="E3891" t="inlineStr">
        <is>
          <t>LJUSDAL</t>
        </is>
      </c>
      <c r="F3891" t="inlineStr">
        <is>
          <t>Holmen skog AB</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42408-2025</t>
        </is>
      </c>
      <c r="B3892" s="1" t="n">
        <v>45905.38579861111</v>
      </c>
      <c r="C3892" s="1" t="n">
        <v>46086</v>
      </c>
      <c r="D3892" t="inlineStr">
        <is>
          <t>GÄVLEBORGS LÄN</t>
        </is>
      </c>
      <c r="E3892" t="inlineStr">
        <is>
          <t>SÖDERHAMN</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42409-2025</t>
        </is>
      </c>
      <c r="B3893" s="1" t="n">
        <v>45905</v>
      </c>
      <c r="C3893" s="1" t="n">
        <v>46086</v>
      </c>
      <c r="D3893" t="inlineStr">
        <is>
          <t>GÄVLEBORGS LÄN</t>
        </is>
      </c>
      <c r="E3893" t="inlineStr">
        <is>
          <t>SÖDERHAMN</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42440-2025</t>
        </is>
      </c>
      <c r="B3894" s="1" t="n">
        <v>45905.4327662037</v>
      </c>
      <c r="C3894" s="1" t="n">
        <v>46086</v>
      </c>
      <c r="D3894" t="inlineStr">
        <is>
          <t>GÄVLEBORGS LÄN</t>
        </is>
      </c>
      <c r="E3894" t="inlineStr">
        <is>
          <t>OCKELBO</t>
        </is>
      </c>
      <c r="F3894" t="inlineStr">
        <is>
          <t>Bergvik skog väst AB</t>
        </is>
      </c>
      <c r="G3894" t="n">
        <v>9.6</v>
      </c>
      <c r="H3894" t="n">
        <v>0</v>
      </c>
      <c r="I3894" t="n">
        <v>0</v>
      </c>
      <c r="J3894" t="n">
        <v>0</v>
      </c>
      <c r="K3894" t="n">
        <v>0</v>
      </c>
      <c r="L3894" t="n">
        <v>0</v>
      </c>
      <c r="M3894" t="n">
        <v>0</v>
      </c>
      <c r="N3894" t="n">
        <v>0</v>
      </c>
      <c r="O3894" t="n">
        <v>0</v>
      </c>
      <c r="P3894" t="n">
        <v>0</v>
      </c>
      <c r="Q3894" t="n">
        <v>0</v>
      </c>
      <c r="R3894" s="2" t="inlineStr"/>
    </row>
    <row r="3895" ht="15" customHeight="1">
      <c r="A3895" t="inlineStr">
        <is>
          <t>A 32405-2025</t>
        </is>
      </c>
      <c r="B3895" s="1" t="n">
        <v>45838.31546296296</v>
      </c>
      <c r="C3895" s="1" t="n">
        <v>46086</v>
      </c>
      <c r="D3895" t="inlineStr">
        <is>
          <t>GÄVLEBORGS LÄN</t>
        </is>
      </c>
      <c r="E3895" t="inlineStr">
        <is>
          <t>BOLLNÄS</t>
        </is>
      </c>
      <c r="F3895" t="inlineStr">
        <is>
          <t>Bergvik skog väst AB</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32411-2025</t>
        </is>
      </c>
      <c r="B3896" s="1" t="n">
        <v>45838.33667824074</v>
      </c>
      <c r="C3896" s="1" t="n">
        <v>46086</v>
      </c>
      <c r="D3896" t="inlineStr">
        <is>
          <t>GÄVLEBORGS LÄN</t>
        </is>
      </c>
      <c r="E3896" t="inlineStr">
        <is>
          <t>BOLLNÄS</t>
        </is>
      </c>
      <c r="F3896" t="inlineStr">
        <is>
          <t>Bergvik skog väst AB</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42501-2025</t>
        </is>
      </c>
      <c r="B3897" s="1" t="n">
        <v>45905.52456018519</v>
      </c>
      <c r="C3897" s="1" t="n">
        <v>46086</v>
      </c>
      <c r="D3897" t="inlineStr">
        <is>
          <t>GÄVLEBORGS LÄN</t>
        </is>
      </c>
      <c r="E3897" t="inlineStr">
        <is>
          <t>SÖDERHAMN</t>
        </is>
      </c>
      <c r="F3897" t="inlineStr">
        <is>
          <t>Bergvik skog väst AB</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42557-2025</t>
        </is>
      </c>
      <c r="B3898" s="1" t="n">
        <v>45905.59543981482</v>
      </c>
      <c r="C3898" s="1" t="n">
        <v>46086</v>
      </c>
      <c r="D3898" t="inlineStr">
        <is>
          <t>GÄVLEBORGS LÄN</t>
        </is>
      </c>
      <c r="E3898" t="inlineStr">
        <is>
          <t>GÄVLE</t>
        </is>
      </c>
      <c r="F3898" t="inlineStr">
        <is>
          <t>Bergvik skog väst AB</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53520-2023</t>
        </is>
      </c>
      <c r="B3899" s="1" t="n">
        <v>45230.42870370371</v>
      </c>
      <c r="C3899" s="1" t="n">
        <v>46086</v>
      </c>
      <c r="D3899" t="inlineStr">
        <is>
          <t>GÄVLEBORGS LÄN</t>
        </is>
      </c>
      <c r="E3899" t="inlineStr">
        <is>
          <t>HUDIKSVALL</t>
        </is>
      </c>
      <c r="F3899" t="inlineStr">
        <is>
          <t>Holmen skog AB</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41285-2022</t>
        </is>
      </c>
      <c r="B3900" s="1" t="n">
        <v>44826.42060185185</v>
      </c>
      <c r="C3900" s="1" t="n">
        <v>46086</v>
      </c>
      <c r="D3900" t="inlineStr">
        <is>
          <t>GÄVLEBORGS LÄN</t>
        </is>
      </c>
      <c r="E3900" t="inlineStr">
        <is>
          <t>LJUSDAL</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32505-2025</t>
        </is>
      </c>
      <c r="B3901" s="1" t="n">
        <v>45838.46716435185</v>
      </c>
      <c r="C3901" s="1" t="n">
        <v>46086</v>
      </c>
      <c r="D3901" t="inlineStr">
        <is>
          <t>GÄVLEBORGS LÄN</t>
        </is>
      </c>
      <c r="E3901" t="inlineStr">
        <is>
          <t>NORDANSTIG</t>
        </is>
      </c>
      <c r="G3901" t="n">
        <v>5.8</v>
      </c>
      <c r="H3901" t="n">
        <v>0</v>
      </c>
      <c r="I3901" t="n">
        <v>0</v>
      </c>
      <c r="J3901" t="n">
        <v>0</v>
      </c>
      <c r="K3901" t="n">
        <v>0</v>
      </c>
      <c r="L3901" t="n">
        <v>0</v>
      </c>
      <c r="M3901" t="n">
        <v>0</v>
      </c>
      <c r="N3901" t="n">
        <v>0</v>
      </c>
      <c r="O3901" t="n">
        <v>0</v>
      </c>
      <c r="P3901" t="n">
        <v>0</v>
      </c>
      <c r="Q3901" t="n">
        <v>0</v>
      </c>
      <c r="R3901" s="2" t="inlineStr"/>
    </row>
    <row r="3902" ht="15" customHeight="1">
      <c r="A3902" t="inlineStr">
        <is>
          <t>A 56024-2024</t>
        </is>
      </c>
      <c r="B3902" s="1" t="n">
        <v>45624.28030092592</v>
      </c>
      <c r="C3902" s="1" t="n">
        <v>46086</v>
      </c>
      <c r="D3902" t="inlineStr">
        <is>
          <t>GÄVLEBORGS LÄN</t>
        </is>
      </c>
      <c r="E3902" t="inlineStr">
        <is>
          <t>BOLLNÄS</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42355-2025</t>
        </is>
      </c>
      <c r="B3903" s="1" t="n">
        <v>45904.92023148148</v>
      </c>
      <c r="C3903" s="1" t="n">
        <v>46086</v>
      </c>
      <c r="D3903" t="inlineStr">
        <is>
          <t>GÄVLEBORGS LÄN</t>
        </is>
      </c>
      <c r="E3903" t="inlineStr">
        <is>
          <t>HUDIKSVALL</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19178-2023</t>
        </is>
      </c>
      <c r="B3904" s="1" t="n">
        <v>45048.62515046296</v>
      </c>
      <c r="C3904" s="1" t="n">
        <v>46086</v>
      </c>
      <c r="D3904" t="inlineStr">
        <is>
          <t>GÄVLEBORGS LÄN</t>
        </is>
      </c>
      <c r="E3904" t="inlineStr">
        <is>
          <t>OCKELBO</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42386-2025</t>
        </is>
      </c>
      <c r="B3905" s="1" t="n">
        <v>45905.35064814815</v>
      </c>
      <c r="C3905" s="1" t="n">
        <v>46086</v>
      </c>
      <c r="D3905" t="inlineStr">
        <is>
          <t>GÄVLEBORGS LÄN</t>
        </is>
      </c>
      <c r="E3905" t="inlineStr">
        <is>
          <t>OCKELBO</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42591-2025</t>
        </is>
      </c>
      <c r="B3906" s="1" t="n">
        <v>45905.64267361111</v>
      </c>
      <c r="C3906" s="1" t="n">
        <v>46086</v>
      </c>
      <c r="D3906" t="inlineStr">
        <is>
          <t>GÄVLEBORGS LÄN</t>
        </is>
      </c>
      <c r="E3906" t="inlineStr">
        <is>
          <t>LJUSDAL</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42592-2025</t>
        </is>
      </c>
      <c r="B3907" s="1" t="n">
        <v>45905.6455787037</v>
      </c>
      <c r="C3907" s="1" t="n">
        <v>46086</v>
      </c>
      <c r="D3907" t="inlineStr">
        <is>
          <t>GÄVLEBORGS LÄN</t>
        </is>
      </c>
      <c r="E3907" t="inlineStr">
        <is>
          <t>GÄVLE</t>
        </is>
      </c>
      <c r="F3907" t="inlineStr">
        <is>
          <t>Bergvik skog väst AB</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14754-2025</t>
        </is>
      </c>
      <c r="B3908" s="1" t="n">
        <v>45742.66208333334</v>
      </c>
      <c r="C3908" s="1" t="n">
        <v>46086</v>
      </c>
      <c r="D3908" t="inlineStr">
        <is>
          <t>GÄVLEBORGS LÄN</t>
        </is>
      </c>
      <c r="E3908" t="inlineStr">
        <is>
          <t>NORDANSTIG</t>
        </is>
      </c>
      <c r="F3908" t="inlineStr">
        <is>
          <t>Holmen skog AB</t>
        </is>
      </c>
      <c r="G3908" t="n">
        <v>6</v>
      </c>
      <c r="H3908" t="n">
        <v>0</v>
      </c>
      <c r="I3908" t="n">
        <v>0</v>
      </c>
      <c r="J3908" t="n">
        <v>0</v>
      </c>
      <c r="K3908" t="n">
        <v>0</v>
      </c>
      <c r="L3908" t="n">
        <v>0</v>
      </c>
      <c r="M3908" t="n">
        <v>0</v>
      </c>
      <c r="N3908" t="n">
        <v>0</v>
      </c>
      <c r="O3908" t="n">
        <v>0</v>
      </c>
      <c r="P3908" t="n">
        <v>0</v>
      </c>
      <c r="Q3908" t="n">
        <v>0</v>
      </c>
      <c r="R3908" s="2" t="inlineStr"/>
    </row>
    <row r="3909" ht="15" customHeight="1">
      <c r="A3909" t="inlineStr">
        <is>
          <t>A 58877-2024</t>
        </is>
      </c>
      <c r="B3909" s="1" t="n">
        <v>45636.44435185185</v>
      </c>
      <c r="C3909" s="1" t="n">
        <v>46086</v>
      </c>
      <c r="D3909" t="inlineStr">
        <is>
          <t>GÄVLEBORGS LÄN</t>
        </is>
      </c>
      <c r="E3909" t="inlineStr">
        <is>
          <t>BOLLNÄS</t>
        </is>
      </c>
      <c r="G3909" t="n">
        <v>4.9</v>
      </c>
      <c r="H3909" t="n">
        <v>0</v>
      </c>
      <c r="I3909" t="n">
        <v>0</v>
      </c>
      <c r="J3909" t="n">
        <v>0</v>
      </c>
      <c r="K3909" t="n">
        <v>0</v>
      </c>
      <c r="L3909" t="n">
        <v>0</v>
      </c>
      <c r="M3909" t="n">
        <v>0</v>
      </c>
      <c r="N3909" t="n">
        <v>0</v>
      </c>
      <c r="O3909" t="n">
        <v>0</v>
      </c>
      <c r="P3909" t="n">
        <v>0</v>
      </c>
      <c r="Q3909" t="n">
        <v>0</v>
      </c>
      <c r="R3909" s="2" t="inlineStr"/>
    </row>
    <row r="3910" ht="15" customHeight="1">
      <c r="A3910" t="inlineStr">
        <is>
          <t>A 9700-2025</t>
        </is>
      </c>
      <c r="B3910" s="1" t="n">
        <v>45716.37511574074</v>
      </c>
      <c r="C3910" s="1" t="n">
        <v>46086</v>
      </c>
      <c r="D3910" t="inlineStr">
        <is>
          <t>GÄVLEBORGS LÄN</t>
        </is>
      </c>
      <c r="E3910" t="inlineStr">
        <is>
          <t>BOLLNÄS</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64112-2023</t>
        </is>
      </c>
      <c r="B3911" s="1" t="n">
        <v>45279.47818287037</v>
      </c>
      <c r="C3911" s="1" t="n">
        <v>46086</v>
      </c>
      <c r="D3911" t="inlineStr">
        <is>
          <t>GÄVLEBORGS LÄN</t>
        </is>
      </c>
      <c r="E3911" t="inlineStr">
        <is>
          <t>SANDVIKEN</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60335-2022</t>
        </is>
      </c>
      <c r="B3912" s="1" t="n">
        <v>44910.60543981481</v>
      </c>
      <c r="C3912" s="1" t="n">
        <v>46086</v>
      </c>
      <c r="D3912" t="inlineStr">
        <is>
          <t>GÄVLEBORGS LÄN</t>
        </is>
      </c>
      <c r="E3912" t="inlineStr">
        <is>
          <t>BOLLNÄS</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32736-2025</t>
        </is>
      </c>
      <c r="B3913" s="1" t="n">
        <v>45839</v>
      </c>
      <c r="C3913" s="1" t="n">
        <v>46086</v>
      </c>
      <c r="D3913" t="inlineStr">
        <is>
          <t>GÄVLEBORGS LÄN</t>
        </is>
      </c>
      <c r="E3913" t="inlineStr">
        <is>
          <t>NORDANSTIG</t>
        </is>
      </c>
      <c r="F3913" t="inlineStr">
        <is>
          <t>Holmen skog AB</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3121-2026</t>
        </is>
      </c>
      <c r="B3914" s="1" t="n">
        <v>46041</v>
      </c>
      <c r="C3914" s="1" t="n">
        <v>46086</v>
      </c>
      <c r="D3914" t="inlineStr">
        <is>
          <t>GÄVLEBORGS LÄN</t>
        </is>
      </c>
      <c r="E3914" t="inlineStr">
        <is>
          <t>BOLLNÄS</t>
        </is>
      </c>
      <c r="G3914" t="n">
        <v>8.300000000000001</v>
      </c>
      <c r="H3914" t="n">
        <v>0</v>
      </c>
      <c r="I3914" t="n">
        <v>0</v>
      </c>
      <c r="J3914" t="n">
        <v>0</v>
      </c>
      <c r="K3914" t="n">
        <v>0</v>
      </c>
      <c r="L3914" t="n">
        <v>0</v>
      </c>
      <c r="M3914" t="n">
        <v>0</v>
      </c>
      <c r="N3914" t="n">
        <v>0</v>
      </c>
      <c r="O3914" t="n">
        <v>0</v>
      </c>
      <c r="P3914" t="n">
        <v>0</v>
      </c>
      <c r="Q3914" t="n">
        <v>0</v>
      </c>
      <c r="R3914" s="2" t="inlineStr"/>
    </row>
    <row r="3915" ht="15" customHeight="1">
      <c r="A3915" t="inlineStr">
        <is>
          <t>A 32914-2025</t>
        </is>
      </c>
      <c r="B3915" s="1" t="n">
        <v>45839.63633101852</v>
      </c>
      <c r="C3915" s="1" t="n">
        <v>46086</v>
      </c>
      <c r="D3915" t="inlineStr">
        <is>
          <t>GÄVLEBORGS LÄN</t>
        </is>
      </c>
      <c r="E3915" t="inlineStr">
        <is>
          <t>OVANÅKER</t>
        </is>
      </c>
      <c r="F3915" t="inlineStr">
        <is>
          <t>Bergvik skog öst AB</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3130-2026</t>
        </is>
      </c>
      <c r="B3916" s="1" t="n">
        <v>46041</v>
      </c>
      <c r="C3916" s="1" t="n">
        <v>46086</v>
      </c>
      <c r="D3916" t="inlineStr">
        <is>
          <t>GÄVLEBORGS LÄN</t>
        </is>
      </c>
      <c r="E3916" t="inlineStr">
        <is>
          <t>HUDIKSVALL</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6430-2026</t>
        </is>
      </c>
      <c r="B3917" s="1" t="n">
        <v>46055</v>
      </c>
      <c r="C3917" s="1" t="n">
        <v>46086</v>
      </c>
      <c r="D3917" t="inlineStr">
        <is>
          <t>GÄVLEBORGS LÄN</t>
        </is>
      </c>
      <c r="E3917" t="inlineStr">
        <is>
          <t>BOLLNÄS</t>
        </is>
      </c>
      <c r="F3917" t="inlineStr">
        <is>
          <t>Kyrkan</t>
        </is>
      </c>
      <c r="G3917" t="n">
        <v>8.6</v>
      </c>
      <c r="H3917" t="n">
        <v>0</v>
      </c>
      <c r="I3917" t="n">
        <v>0</v>
      </c>
      <c r="J3917" t="n">
        <v>0</v>
      </c>
      <c r="K3917" t="n">
        <v>0</v>
      </c>
      <c r="L3917" t="n">
        <v>0</v>
      </c>
      <c r="M3917" t="n">
        <v>0</v>
      </c>
      <c r="N3917" t="n">
        <v>0</v>
      </c>
      <c r="O3917" t="n">
        <v>0</v>
      </c>
      <c r="P3917" t="n">
        <v>0</v>
      </c>
      <c r="Q3917" t="n">
        <v>0</v>
      </c>
      <c r="R3917" s="2" t="inlineStr"/>
    </row>
    <row r="3918" ht="15" customHeight="1">
      <c r="A3918" t="inlineStr">
        <is>
          <t>A 32918-2023</t>
        </is>
      </c>
      <c r="B3918" s="1" t="n">
        <v>45125.34423611111</v>
      </c>
      <c r="C3918" s="1" t="n">
        <v>46086</v>
      </c>
      <c r="D3918" t="inlineStr">
        <is>
          <t>GÄVLEBORGS LÄN</t>
        </is>
      </c>
      <c r="E3918" t="inlineStr">
        <is>
          <t>LJUSDAL</t>
        </is>
      </c>
      <c r="F3918" t="inlineStr">
        <is>
          <t>Holmen skog AB</t>
        </is>
      </c>
      <c r="G3918" t="n">
        <v>4.1</v>
      </c>
      <c r="H3918" t="n">
        <v>0</v>
      </c>
      <c r="I3918" t="n">
        <v>0</v>
      </c>
      <c r="J3918" t="n">
        <v>0</v>
      </c>
      <c r="K3918" t="n">
        <v>0</v>
      </c>
      <c r="L3918" t="n">
        <v>0</v>
      </c>
      <c r="M3918" t="n">
        <v>0</v>
      </c>
      <c r="N3918" t="n">
        <v>0</v>
      </c>
      <c r="O3918" t="n">
        <v>0</v>
      </c>
      <c r="P3918" t="n">
        <v>0</v>
      </c>
      <c r="Q3918" t="n">
        <v>0</v>
      </c>
      <c r="R3918" s="2" t="inlineStr"/>
    </row>
    <row r="3919" ht="15" customHeight="1">
      <c r="A3919" t="inlineStr">
        <is>
          <t>A 42477-2025</t>
        </is>
      </c>
      <c r="B3919" s="1" t="n">
        <v>45905.46831018518</v>
      </c>
      <c r="C3919" s="1" t="n">
        <v>46086</v>
      </c>
      <c r="D3919" t="inlineStr">
        <is>
          <t>GÄVLEBORGS LÄN</t>
        </is>
      </c>
      <c r="E3919" t="inlineStr">
        <is>
          <t>BOLLNÄS</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42513-2025</t>
        </is>
      </c>
      <c r="B3920" s="1" t="n">
        <v>45905.54412037037</v>
      </c>
      <c r="C3920" s="1" t="n">
        <v>46086</v>
      </c>
      <c r="D3920" t="inlineStr">
        <is>
          <t>GÄVLEBORGS LÄN</t>
        </is>
      </c>
      <c r="E3920" t="inlineStr">
        <is>
          <t>BOLLNÄS</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32930-2025</t>
        </is>
      </c>
      <c r="B3921" s="1" t="n">
        <v>45839.66732638889</v>
      </c>
      <c r="C3921" s="1" t="n">
        <v>46086</v>
      </c>
      <c r="D3921" t="inlineStr">
        <is>
          <t>GÄVLEBORGS LÄN</t>
        </is>
      </c>
      <c r="E3921" t="inlineStr">
        <is>
          <t>OVANÅKER</t>
        </is>
      </c>
      <c r="F3921" t="inlineStr">
        <is>
          <t>Bergvik skog öst AB</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22695-2025</t>
        </is>
      </c>
      <c r="B3922" s="1" t="n">
        <v>45789.54197916666</v>
      </c>
      <c r="C3922" s="1" t="n">
        <v>46086</v>
      </c>
      <c r="D3922" t="inlineStr">
        <is>
          <t>GÄVLEBORGS LÄN</t>
        </is>
      </c>
      <c r="E3922" t="inlineStr">
        <is>
          <t>NORDANSTIG</t>
        </is>
      </c>
      <c r="F3922" t="inlineStr">
        <is>
          <t>Holmen skog AB</t>
        </is>
      </c>
      <c r="G3922" t="n">
        <v>9.6</v>
      </c>
      <c r="H3922" t="n">
        <v>0</v>
      </c>
      <c r="I3922" t="n">
        <v>0</v>
      </c>
      <c r="J3922" t="n">
        <v>0</v>
      </c>
      <c r="K3922" t="n">
        <v>0</v>
      </c>
      <c r="L3922" t="n">
        <v>0</v>
      </c>
      <c r="M3922" t="n">
        <v>0</v>
      </c>
      <c r="N3922" t="n">
        <v>0</v>
      </c>
      <c r="O3922" t="n">
        <v>0</v>
      </c>
      <c r="P3922" t="n">
        <v>0</v>
      </c>
      <c r="Q3922" t="n">
        <v>0</v>
      </c>
      <c r="R3922" s="2" t="inlineStr"/>
    </row>
    <row r="3923" ht="15" customHeight="1">
      <c r="A3923" t="inlineStr">
        <is>
          <t>A 42200-2025</t>
        </is>
      </c>
      <c r="B3923" s="1" t="n">
        <v>45904.48844907407</v>
      </c>
      <c r="C3923" s="1" t="n">
        <v>46086</v>
      </c>
      <c r="D3923" t="inlineStr">
        <is>
          <t>GÄVLEBORGS LÄN</t>
        </is>
      </c>
      <c r="E3923" t="inlineStr">
        <is>
          <t>NORDANSTIG</t>
        </is>
      </c>
      <c r="G3923" t="n">
        <v>6.6</v>
      </c>
      <c r="H3923" t="n">
        <v>0</v>
      </c>
      <c r="I3923" t="n">
        <v>0</v>
      </c>
      <c r="J3923" t="n">
        <v>0</v>
      </c>
      <c r="K3923" t="n">
        <v>0</v>
      </c>
      <c r="L3923" t="n">
        <v>0</v>
      </c>
      <c r="M3923" t="n">
        <v>0</v>
      </c>
      <c r="N3923" t="n">
        <v>0</v>
      </c>
      <c r="O3923" t="n">
        <v>0</v>
      </c>
      <c r="P3923" t="n">
        <v>0</v>
      </c>
      <c r="Q3923" t="n">
        <v>0</v>
      </c>
      <c r="R3923" s="2" t="inlineStr"/>
    </row>
    <row r="3924" ht="15" customHeight="1">
      <c r="A3924" t="inlineStr">
        <is>
          <t>A 42603-2025</t>
        </is>
      </c>
      <c r="B3924" s="1" t="n">
        <v>45905.67424768519</v>
      </c>
      <c r="C3924" s="1" t="n">
        <v>46086</v>
      </c>
      <c r="D3924" t="inlineStr">
        <is>
          <t>GÄVLEBORGS LÄN</t>
        </is>
      </c>
      <c r="E3924" t="inlineStr">
        <is>
          <t>LJUSDAL</t>
        </is>
      </c>
      <c r="F3924" t="inlineStr">
        <is>
          <t>Sveaskog</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42606-2025</t>
        </is>
      </c>
      <c r="B3925" s="1" t="n">
        <v>45905.68067129629</v>
      </c>
      <c r="C3925" s="1" t="n">
        <v>46086</v>
      </c>
      <c r="D3925" t="inlineStr">
        <is>
          <t>GÄVLEBORGS LÄN</t>
        </is>
      </c>
      <c r="E3925" t="inlineStr">
        <is>
          <t>HUDIKSVALL</t>
        </is>
      </c>
      <c r="F3925" t="inlineStr">
        <is>
          <t>Holmen skog AB</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42519-2025</t>
        </is>
      </c>
      <c r="B3926" s="1" t="n">
        <v>45905.54800925926</v>
      </c>
      <c r="C3926" s="1" t="n">
        <v>46086</v>
      </c>
      <c r="D3926" t="inlineStr">
        <is>
          <t>GÄVLEBORGS LÄN</t>
        </is>
      </c>
      <c r="E3926" t="inlineStr">
        <is>
          <t>SÖDERHAMN</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29954-2024</t>
        </is>
      </c>
      <c r="B3927" s="1" t="n">
        <v>45488.45084490741</v>
      </c>
      <c r="C3927" s="1" t="n">
        <v>46086</v>
      </c>
      <c r="D3927" t="inlineStr">
        <is>
          <t>GÄVLEBORGS LÄN</t>
        </is>
      </c>
      <c r="E3927" t="inlineStr">
        <is>
          <t>OCKELBO</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32587-2025</t>
        </is>
      </c>
      <c r="B3928" s="1" t="n">
        <v>45838.60077546296</v>
      </c>
      <c r="C3928" s="1" t="n">
        <v>46086</v>
      </c>
      <c r="D3928" t="inlineStr">
        <is>
          <t>GÄVLEBORGS LÄN</t>
        </is>
      </c>
      <c r="E3928" t="inlineStr">
        <is>
          <t>BOLLNÄS</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9262-2024</t>
        </is>
      </c>
      <c r="B3929" s="1" t="n">
        <v>45358.60657407407</v>
      </c>
      <c r="C3929" s="1" t="n">
        <v>46086</v>
      </c>
      <c r="D3929" t="inlineStr">
        <is>
          <t>GÄVLEBORGS LÄN</t>
        </is>
      </c>
      <c r="E3929" t="inlineStr">
        <is>
          <t>BOLLNÄS</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30303-2025</t>
        </is>
      </c>
      <c r="B3930" s="1" t="n">
        <v>45827.48033564815</v>
      </c>
      <c r="C3930" s="1" t="n">
        <v>46086</v>
      </c>
      <c r="D3930" t="inlineStr">
        <is>
          <t>GÄVLEBORGS LÄN</t>
        </is>
      </c>
      <c r="E3930" t="inlineStr">
        <is>
          <t>BOLLNÄS</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42151-2025</t>
        </is>
      </c>
      <c r="B3931" s="1" t="n">
        <v>45904.38569444444</v>
      </c>
      <c r="C3931" s="1" t="n">
        <v>46086</v>
      </c>
      <c r="D3931" t="inlineStr">
        <is>
          <t>GÄVLEBORGS LÄN</t>
        </is>
      </c>
      <c r="E3931" t="inlineStr">
        <is>
          <t>HUDIKSVALL</t>
        </is>
      </c>
      <c r="G3931" t="n">
        <v>3.9</v>
      </c>
      <c r="H3931" t="n">
        <v>0</v>
      </c>
      <c r="I3931" t="n">
        <v>0</v>
      </c>
      <c r="J3931" t="n">
        <v>0</v>
      </c>
      <c r="K3931" t="n">
        <v>0</v>
      </c>
      <c r="L3931" t="n">
        <v>0</v>
      </c>
      <c r="M3931" t="n">
        <v>0</v>
      </c>
      <c r="N3931" t="n">
        <v>0</v>
      </c>
      <c r="O3931" t="n">
        <v>0</v>
      </c>
      <c r="P3931" t="n">
        <v>0</v>
      </c>
      <c r="Q3931" t="n">
        <v>0</v>
      </c>
      <c r="R3931" s="2" t="inlineStr"/>
    </row>
    <row r="3932" ht="15" customHeight="1">
      <c r="A3932" t="inlineStr">
        <is>
          <t>A 2975-2026</t>
        </is>
      </c>
      <c r="B3932" s="1" t="n">
        <v>46038.625625</v>
      </c>
      <c r="C3932" s="1" t="n">
        <v>46086</v>
      </c>
      <c r="D3932" t="inlineStr">
        <is>
          <t>GÄVLEBORGS LÄN</t>
        </is>
      </c>
      <c r="E3932" t="inlineStr">
        <is>
          <t>OCKELBO</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2978-2026</t>
        </is>
      </c>
      <c r="B3933" s="1" t="n">
        <v>46038.62736111111</v>
      </c>
      <c r="C3933" s="1" t="n">
        <v>46086</v>
      </c>
      <c r="D3933" t="inlineStr">
        <is>
          <t>GÄVLEBORGS LÄN</t>
        </is>
      </c>
      <c r="E3933" t="inlineStr">
        <is>
          <t>LJUSDAL</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46074-2024</t>
        </is>
      </c>
      <c r="B3934" s="1" t="n">
        <v>45581</v>
      </c>
      <c r="C3934" s="1" t="n">
        <v>46086</v>
      </c>
      <c r="D3934" t="inlineStr">
        <is>
          <t>GÄVLEBORGS LÄN</t>
        </is>
      </c>
      <c r="E3934" t="inlineStr">
        <is>
          <t>OCKELBO</t>
        </is>
      </c>
      <c r="F3934" t="inlineStr">
        <is>
          <t>Bergvik skog väst AB</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18291-2023</t>
        </is>
      </c>
      <c r="B3935" s="1" t="n">
        <v>45041.56773148148</v>
      </c>
      <c r="C3935" s="1" t="n">
        <v>46086</v>
      </c>
      <c r="D3935" t="inlineStr">
        <is>
          <t>GÄVLEBORGS LÄN</t>
        </is>
      </c>
      <c r="E3935" t="inlineStr">
        <is>
          <t>OCKELBO</t>
        </is>
      </c>
      <c r="F3935" t="inlineStr">
        <is>
          <t>Bergvik skog väst AB</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42097-2025</t>
        </is>
      </c>
      <c r="B3936" s="1" t="n">
        <v>45903.75074074074</v>
      </c>
      <c r="C3936" s="1" t="n">
        <v>46086</v>
      </c>
      <c r="D3936" t="inlineStr">
        <is>
          <t>GÄVLEBORGS LÄN</t>
        </is>
      </c>
      <c r="E3936" t="inlineStr">
        <is>
          <t>LJUSDAL</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13885-2025</t>
        </is>
      </c>
      <c r="B3937" s="1" t="n">
        <v>45737.6065625</v>
      </c>
      <c r="C3937" s="1" t="n">
        <v>46086</v>
      </c>
      <c r="D3937" t="inlineStr">
        <is>
          <t>GÄVLEBORGS LÄN</t>
        </is>
      </c>
      <c r="E3937" t="inlineStr">
        <is>
          <t>LJUSDAL</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32737-2025</t>
        </is>
      </c>
      <c r="B3938" s="1" t="n">
        <v>45839</v>
      </c>
      <c r="C3938" s="1" t="n">
        <v>46086</v>
      </c>
      <c r="D3938" t="inlineStr">
        <is>
          <t>GÄVLEBORGS LÄN</t>
        </is>
      </c>
      <c r="E3938" t="inlineStr">
        <is>
          <t>SANDVIKEN</t>
        </is>
      </c>
      <c r="F3938" t="inlineStr">
        <is>
          <t>Bergvik skog öst AB</t>
        </is>
      </c>
      <c r="G3938" t="n">
        <v>5.9</v>
      </c>
      <c r="H3938" t="n">
        <v>0</v>
      </c>
      <c r="I3938" t="n">
        <v>0</v>
      </c>
      <c r="J3938" t="n">
        <v>0</v>
      </c>
      <c r="K3938" t="n">
        <v>0</v>
      </c>
      <c r="L3938" t="n">
        <v>0</v>
      </c>
      <c r="M3938" t="n">
        <v>0</v>
      </c>
      <c r="N3938" t="n">
        <v>0</v>
      </c>
      <c r="O3938" t="n">
        <v>0</v>
      </c>
      <c r="P3938" t="n">
        <v>0</v>
      </c>
      <c r="Q3938" t="n">
        <v>0</v>
      </c>
      <c r="R3938" s="2" t="inlineStr"/>
    </row>
    <row r="3939" ht="15" customHeight="1">
      <c r="A3939" t="inlineStr">
        <is>
          <t>A 32742-2025</t>
        </is>
      </c>
      <c r="B3939" s="1" t="n">
        <v>45839</v>
      </c>
      <c r="C3939" s="1" t="n">
        <v>46086</v>
      </c>
      <c r="D3939" t="inlineStr">
        <is>
          <t>GÄVLEBORGS LÄN</t>
        </is>
      </c>
      <c r="E3939" t="inlineStr">
        <is>
          <t>SANDVIKEN</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32533-2025</t>
        </is>
      </c>
      <c r="B3940" s="1" t="n">
        <v>45838.49317129629</v>
      </c>
      <c r="C3940" s="1" t="n">
        <v>46086</v>
      </c>
      <c r="D3940" t="inlineStr">
        <is>
          <t>GÄVLEBORGS LÄN</t>
        </is>
      </c>
      <c r="E3940" t="inlineStr">
        <is>
          <t>LJUSDAL</t>
        </is>
      </c>
      <c r="F3940" t="inlineStr">
        <is>
          <t>Sveaskog</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42601-2025</t>
        </is>
      </c>
      <c r="B3941" s="1" t="n">
        <v>45905.6715625</v>
      </c>
      <c r="C3941" s="1" t="n">
        <v>46086</v>
      </c>
      <c r="D3941" t="inlineStr">
        <is>
          <t>GÄVLEBORGS LÄN</t>
        </is>
      </c>
      <c r="E3941" t="inlineStr">
        <is>
          <t>LJUSDAL</t>
        </is>
      </c>
      <c r="F3941" t="inlineStr">
        <is>
          <t>Sveaskog</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40104-2024</t>
        </is>
      </c>
      <c r="B3942" s="1" t="n">
        <v>45554</v>
      </c>
      <c r="C3942" s="1" t="n">
        <v>46086</v>
      </c>
      <c r="D3942" t="inlineStr">
        <is>
          <t>GÄVLEBORGS LÄN</t>
        </is>
      </c>
      <c r="E3942" t="inlineStr">
        <is>
          <t>NORDANSTIG</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3089-2026</t>
        </is>
      </c>
      <c r="B3943" s="1" t="n">
        <v>46040.83525462963</v>
      </c>
      <c r="C3943" s="1" t="n">
        <v>46086</v>
      </c>
      <c r="D3943" t="inlineStr">
        <is>
          <t>GÄVLEBORGS LÄN</t>
        </is>
      </c>
      <c r="E3943" t="inlineStr">
        <is>
          <t>BOLLNÄS</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3101-2026</t>
        </is>
      </c>
      <c r="B3944" s="1" t="n">
        <v>46041.29091435186</v>
      </c>
      <c r="C3944" s="1" t="n">
        <v>46086</v>
      </c>
      <c r="D3944" t="inlineStr">
        <is>
          <t>GÄVLEBORGS LÄN</t>
        </is>
      </c>
      <c r="E3944" t="inlineStr">
        <is>
          <t>BOLLNÄS</t>
        </is>
      </c>
      <c r="G3944" t="n">
        <v>9.199999999999999</v>
      </c>
      <c r="H3944" t="n">
        <v>0</v>
      </c>
      <c r="I3944" t="n">
        <v>0</v>
      </c>
      <c r="J3944" t="n">
        <v>0</v>
      </c>
      <c r="K3944" t="n">
        <v>0</v>
      </c>
      <c r="L3944" t="n">
        <v>0</v>
      </c>
      <c r="M3944" t="n">
        <v>0</v>
      </c>
      <c r="N3944" t="n">
        <v>0</v>
      </c>
      <c r="O3944" t="n">
        <v>0</v>
      </c>
      <c r="P3944" t="n">
        <v>0</v>
      </c>
      <c r="Q3944" t="n">
        <v>0</v>
      </c>
      <c r="R3944" s="2" t="inlineStr"/>
    </row>
    <row r="3945" ht="15" customHeight="1">
      <c r="A3945" t="inlineStr">
        <is>
          <t>A 3102-2026</t>
        </is>
      </c>
      <c r="B3945" s="1" t="n">
        <v>46041.34353009259</v>
      </c>
      <c r="C3945" s="1" t="n">
        <v>46086</v>
      </c>
      <c r="D3945" t="inlineStr">
        <is>
          <t>GÄVLEBORGS LÄN</t>
        </is>
      </c>
      <c r="E3945" t="inlineStr">
        <is>
          <t>LJUSDAL</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5711-2024</t>
        </is>
      </c>
      <c r="B3946" s="1" t="n">
        <v>45334</v>
      </c>
      <c r="C3946" s="1" t="n">
        <v>46086</v>
      </c>
      <c r="D3946" t="inlineStr">
        <is>
          <t>GÄVLEBORGS LÄN</t>
        </is>
      </c>
      <c r="E3946" t="inlineStr">
        <is>
          <t>HUDIKSVALL</t>
        </is>
      </c>
      <c r="F3946" t="inlineStr">
        <is>
          <t>Holmen skog AB</t>
        </is>
      </c>
      <c r="G3946" t="n">
        <v>14.5</v>
      </c>
      <c r="H3946" t="n">
        <v>0</v>
      </c>
      <c r="I3946" t="n">
        <v>0</v>
      </c>
      <c r="J3946" t="n">
        <v>0</v>
      </c>
      <c r="K3946" t="n">
        <v>0</v>
      </c>
      <c r="L3946" t="n">
        <v>0</v>
      </c>
      <c r="M3946" t="n">
        <v>0</v>
      </c>
      <c r="N3946" t="n">
        <v>0</v>
      </c>
      <c r="O3946" t="n">
        <v>0</v>
      </c>
      <c r="P3946" t="n">
        <v>0</v>
      </c>
      <c r="Q3946" t="n">
        <v>0</v>
      </c>
      <c r="R3946" s="2" t="inlineStr"/>
    </row>
    <row r="3947" ht="15" customHeight="1">
      <c r="A3947" t="inlineStr">
        <is>
          <t>A 2785-2026</t>
        </is>
      </c>
      <c r="B3947" s="1" t="n">
        <v>46038.38802083334</v>
      </c>
      <c r="C3947" s="1" t="n">
        <v>46086</v>
      </c>
      <c r="D3947" t="inlineStr">
        <is>
          <t>GÄVLEBORGS LÄN</t>
        </is>
      </c>
      <c r="E3947" t="inlineStr">
        <is>
          <t>BOLLNÄS</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2793-2026</t>
        </is>
      </c>
      <c r="B3948" s="1" t="n">
        <v>46038.39784722222</v>
      </c>
      <c r="C3948" s="1" t="n">
        <v>46086</v>
      </c>
      <c r="D3948" t="inlineStr">
        <is>
          <t>GÄVLEBORGS LÄN</t>
        </is>
      </c>
      <c r="E3948" t="inlineStr">
        <is>
          <t>HUDIKSVALL</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2797-2026</t>
        </is>
      </c>
      <c r="B3949" s="1" t="n">
        <v>46038.40600694445</v>
      </c>
      <c r="C3949" s="1" t="n">
        <v>46086</v>
      </c>
      <c r="D3949" t="inlineStr">
        <is>
          <t>GÄVLEBORGS LÄN</t>
        </is>
      </c>
      <c r="E3949" t="inlineStr">
        <is>
          <t>HUDIKSVALL</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23448-2025</t>
        </is>
      </c>
      <c r="B3950" s="1" t="n">
        <v>45792.39993055556</v>
      </c>
      <c r="C3950" s="1" t="n">
        <v>46086</v>
      </c>
      <c r="D3950" t="inlineStr">
        <is>
          <t>GÄVLEBORGS LÄN</t>
        </is>
      </c>
      <c r="E3950" t="inlineStr">
        <is>
          <t>SÖDERHAMN</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32831-2025</t>
        </is>
      </c>
      <c r="B3951" s="1" t="n">
        <v>45839.55167824074</v>
      </c>
      <c r="C3951" s="1" t="n">
        <v>46086</v>
      </c>
      <c r="D3951" t="inlineStr">
        <is>
          <t>GÄVLEBORGS LÄN</t>
        </is>
      </c>
      <c r="E3951" t="inlineStr">
        <is>
          <t>OVANÅKER</t>
        </is>
      </c>
      <c r="F3951" t="inlineStr">
        <is>
          <t>Bergvik skog väst AB</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42247-2025</t>
        </is>
      </c>
      <c r="B3952" s="1" t="n">
        <v>45904.57777777778</v>
      </c>
      <c r="C3952" s="1" t="n">
        <v>46086</v>
      </c>
      <c r="D3952" t="inlineStr">
        <is>
          <t>GÄVLEBORGS LÄN</t>
        </is>
      </c>
      <c r="E3952" t="inlineStr">
        <is>
          <t>GÄVLE</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521-2024</t>
        </is>
      </c>
      <c r="B3953" s="1" t="n">
        <v>45299.4562037037</v>
      </c>
      <c r="C3953" s="1" t="n">
        <v>46086</v>
      </c>
      <c r="D3953" t="inlineStr">
        <is>
          <t>GÄVLEBORGS LÄN</t>
        </is>
      </c>
      <c r="E3953" t="inlineStr">
        <is>
          <t>BOLLNÄS</t>
        </is>
      </c>
      <c r="G3953" t="n">
        <v>4.8</v>
      </c>
      <c r="H3953" t="n">
        <v>0</v>
      </c>
      <c r="I3953" t="n">
        <v>0</v>
      </c>
      <c r="J3953" t="n">
        <v>0</v>
      </c>
      <c r="K3953" t="n">
        <v>0</v>
      </c>
      <c r="L3953" t="n">
        <v>0</v>
      </c>
      <c r="M3953" t="n">
        <v>0</v>
      </c>
      <c r="N3953" t="n">
        <v>0</v>
      </c>
      <c r="O3953" t="n">
        <v>0</v>
      </c>
      <c r="P3953" t="n">
        <v>0</v>
      </c>
      <c r="Q3953" t="n">
        <v>0</v>
      </c>
      <c r="R3953" s="2" t="inlineStr"/>
    </row>
    <row r="3954" ht="15" customHeight="1">
      <c r="A3954" t="inlineStr">
        <is>
          <t>A 42210-2025</t>
        </is>
      </c>
      <c r="B3954" s="1" t="n">
        <v>45904.49702546297</v>
      </c>
      <c r="C3954" s="1" t="n">
        <v>46086</v>
      </c>
      <c r="D3954" t="inlineStr">
        <is>
          <t>GÄVLEBORGS LÄN</t>
        </is>
      </c>
      <c r="E3954" t="inlineStr">
        <is>
          <t>NORDANSTIG</t>
        </is>
      </c>
      <c r="G3954" t="n">
        <v>7</v>
      </c>
      <c r="H3954" t="n">
        <v>0</v>
      </c>
      <c r="I3954" t="n">
        <v>0</v>
      </c>
      <c r="J3954" t="n">
        <v>0</v>
      </c>
      <c r="K3954" t="n">
        <v>0</v>
      </c>
      <c r="L3954" t="n">
        <v>0</v>
      </c>
      <c r="M3954" t="n">
        <v>0</v>
      </c>
      <c r="N3954" t="n">
        <v>0</v>
      </c>
      <c r="O3954" t="n">
        <v>0</v>
      </c>
      <c r="P3954" t="n">
        <v>0</v>
      </c>
      <c r="Q3954" t="n">
        <v>0</v>
      </c>
      <c r="R3954" s="2" t="inlineStr"/>
    </row>
    <row r="3955" ht="15" customHeight="1">
      <c r="A3955" t="inlineStr">
        <is>
          <t>A 19314-2025</t>
        </is>
      </c>
      <c r="B3955" s="1" t="n">
        <v>45769.57359953703</v>
      </c>
      <c r="C3955" s="1" t="n">
        <v>46086</v>
      </c>
      <c r="D3955" t="inlineStr">
        <is>
          <t>GÄVLEBORGS LÄN</t>
        </is>
      </c>
      <c r="E3955" t="inlineStr">
        <is>
          <t>LJUSDAL</t>
        </is>
      </c>
      <c r="F3955" t="inlineStr">
        <is>
          <t>SCA</t>
        </is>
      </c>
      <c r="G3955" t="n">
        <v>6.6</v>
      </c>
      <c r="H3955" t="n">
        <v>0</v>
      </c>
      <c r="I3955" t="n">
        <v>0</v>
      </c>
      <c r="J3955" t="n">
        <v>0</v>
      </c>
      <c r="K3955" t="n">
        <v>0</v>
      </c>
      <c r="L3955" t="n">
        <v>0</v>
      </c>
      <c r="M3955" t="n">
        <v>0</v>
      </c>
      <c r="N3955" t="n">
        <v>0</v>
      </c>
      <c r="O3955" t="n">
        <v>0</v>
      </c>
      <c r="P3955" t="n">
        <v>0</v>
      </c>
      <c r="Q3955" t="n">
        <v>0</v>
      </c>
      <c r="R3955" s="2" t="inlineStr"/>
    </row>
    <row r="3956" ht="15" customHeight="1">
      <c r="A3956" t="inlineStr">
        <is>
          <t>A 32824-2025</t>
        </is>
      </c>
      <c r="B3956" s="1" t="n">
        <v>45839</v>
      </c>
      <c r="C3956" s="1" t="n">
        <v>46086</v>
      </c>
      <c r="D3956" t="inlineStr">
        <is>
          <t>GÄVLEBORGS LÄN</t>
        </is>
      </c>
      <c r="E3956" t="inlineStr">
        <is>
          <t>OCKELBO</t>
        </is>
      </c>
      <c r="F3956" t="inlineStr">
        <is>
          <t>Bergvik skog väst AB</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32412-2025</t>
        </is>
      </c>
      <c r="B3957" s="1" t="n">
        <v>45838</v>
      </c>
      <c r="C3957" s="1" t="n">
        <v>46086</v>
      </c>
      <c r="D3957" t="inlineStr">
        <is>
          <t>GÄVLEBORGS LÄN</t>
        </is>
      </c>
      <c r="E3957" t="inlineStr">
        <is>
          <t>LJUSDAL</t>
        </is>
      </c>
      <c r="G3957" t="n">
        <v>5.4</v>
      </c>
      <c r="H3957" t="n">
        <v>0</v>
      </c>
      <c r="I3957" t="n">
        <v>0</v>
      </c>
      <c r="J3957" t="n">
        <v>0</v>
      </c>
      <c r="K3957" t="n">
        <v>0</v>
      </c>
      <c r="L3957" t="n">
        <v>0</v>
      </c>
      <c r="M3957" t="n">
        <v>0</v>
      </c>
      <c r="N3957" t="n">
        <v>0</v>
      </c>
      <c r="O3957" t="n">
        <v>0</v>
      </c>
      <c r="P3957" t="n">
        <v>0</v>
      </c>
      <c r="Q3957" t="n">
        <v>0</v>
      </c>
      <c r="R3957" s="2" t="inlineStr"/>
    </row>
    <row r="3958" ht="15" customHeight="1">
      <c r="A3958" t="inlineStr">
        <is>
          <t>A 1659-2025</t>
        </is>
      </c>
      <c r="B3958" s="1" t="n">
        <v>45670</v>
      </c>
      <c r="C3958" s="1" t="n">
        <v>46086</v>
      </c>
      <c r="D3958" t="inlineStr">
        <is>
          <t>GÄVLEBORGS LÄN</t>
        </is>
      </c>
      <c r="E3958" t="inlineStr">
        <is>
          <t>SÖDERHAMN</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40000-2021</t>
        </is>
      </c>
      <c r="B3959" s="1" t="n">
        <v>44418.36865740741</v>
      </c>
      <c r="C3959" s="1" t="n">
        <v>46086</v>
      </c>
      <c r="D3959" t="inlineStr">
        <is>
          <t>GÄVLEBORGS LÄN</t>
        </is>
      </c>
      <c r="E3959" t="inlineStr">
        <is>
          <t>LJUSDAL</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42443-2025</t>
        </is>
      </c>
      <c r="B3960" s="1" t="n">
        <v>45905.43700231481</v>
      </c>
      <c r="C3960" s="1" t="n">
        <v>46086</v>
      </c>
      <c r="D3960" t="inlineStr">
        <is>
          <t>GÄVLEBORGS LÄN</t>
        </is>
      </c>
      <c r="E3960" t="inlineStr">
        <is>
          <t>BOLLNÄS</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62646-2023</t>
        </is>
      </c>
      <c r="B3961" s="1" t="n">
        <v>45271.42679398148</v>
      </c>
      <c r="C3961" s="1" t="n">
        <v>46086</v>
      </c>
      <c r="D3961" t="inlineStr">
        <is>
          <t>GÄVLEBORGS LÄN</t>
        </is>
      </c>
      <c r="E3961" t="inlineStr">
        <is>
          <t>NORDANSTIG</t>
        </is>
      </c>
      <c r="G3961" t="n">
        <v>4.1</v>
      </c>
      <c r="H3961" t="n">
        <v>0</v>
      </c>
      <c r="I3961" t="n">
        <v>0</v>
      </c>
      <c r="J3961" t="n">
        <v>0</v>
      </c>
      <c r="K3961" t="n">
        <v>0</v>
      </c>
      <c r="L3961" t="n">
        <v>0</v>
      </c>
      <c r="M3961" t="n">
        <v>0</v>
      </c>
      <c r="N3961" t="n">
        <v>0</v>
      </c>
      <c r="O3961" t="n">
        <v>0</v>
      </c>
      <c r="P3961" t="n">
        <v>0</v>
      </c>
      <c r="Q3961" t="n">
        <v>0</v>
      </c>
      <c r="R3961" s="2" t="inlineStr"/>
    </row>
    <row r="3962" ht="15" customHeight="1">
      <c r="A3962" t="inlineStr">
        <is>
          <t>A 62674-2023</t>
        </is>
      </c>
      <c r="B3962" s="1" t="n">
        <v>45271</v>
      </c>
      <c r="C3962" s="1" t="n">
        <v>46086</v>
      </c>
      <c r="D3962" t="inlineStr">
        <is>
          <t>GÄVLEBORGS LÄN</t>
        </is>
      </c>
      <c r="E3962" t="inlineStr">
        <is>
          <t>HUDIKSVALL</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37391-2025</t>
        </is>
      </c>
      <c r="B3963" s="1" t="n">
        <v>45877.40203703703</v>
      </c>
      <c r="C3963" s="1" t="n">
        <v>46086</v>
      </c>
      <c r="D3963" t="inlineStr">
        <is>
          <t>GÄVLEBORGS LÄN</t>
        </is>
      </c>
      <c r="E3963" t="inlineStr">
        <is>
          <t>OVANÅKER</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42353-2025</t>
        </is>
      </c>
      <c r="B3964" s="1" t="n">
        <v>45904.84546296296</v>
      </c>
      <c r="C3964" s="1" t="n">
        <v>46086</v>
      </c>
      <c r="D3964" t="inlineStr">
        <is>
          <t>GÄVLEBORGS LÄN</t>
        </is>
      </c>
      <c r="E3964" t="inlineStr">
        <is>
          <t>LJUSDAL</t>
        </is>
      </c>
      <c r="F3964" t="inlineStr">
        <is>
          <t>Holmen skog AB</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32926-2025</t>
        </is>
      </c>
      <c r="B3965" s="1" t="n">
        <v>45839.6599074074</v>
      </c>
      <c r="C3965" s="1" t="n">
        <v>46086</v>
      </c>
      <c r="D3965" t="inlineStr">
        <is>
          <t>GÄVLEBORGS LÄN</t>
        </is>
      </c>
      <c r="E3965" t="inlineStr">
        <is>
          <t>OVANÅKER</t>
        </is>
      </c>
      <c r="F3965" t="inlineStr">
        <is>
          <t>Bergvik skog öst AB</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62685-2023</t>
        </is>
      </c>
      <c r="B3966" s="1" t="n">
        <v>45271.49274305555</v>
      </c>
      <c r="C3966" s="1" t="n">
        <v>46086</v>
      </c>
      <c r="D3966" t="inlineStr">
        <is>
          <t>GÄVLEBORGS LÄN</t>
        </is>
      </c>
      <c r="E3966" t="inlineStr">
        <is>
          <t>BOLLNÄS</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28835-2025</t>
        </is>
      </c>
      <c r="B3967" s="1" t="n">
        <v>45820.55809027778</v>
      </c>
      <c r="C3967" s="1" t="n">
        <v>46086</v>
      </c>
      <c r="D3967" t="inlineStr">
        <is>
          <t>GÄVLEBORGS LÄN</t>
        </is>
      </c>
      <c r="E3967" t="inlineStr">
        <is>
          <t>OVANÅKER</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32087-2025</t>
        </is>
      </c>
      <c r="B3968" s="1" t="n">
        <v>45835.45553240741</v>
      </c>
      <c r="C3968" s="1" t="n">
        <v>46086</v>
      </c>
      <c r="D3968" t="inlineStr">
        <is>
          <t>GÄVLEBORGS LÄN</t>
        </is>
      </c>
      <c r="E3968" t="inlineStr">
        <is>
          <t>OCKELBO</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34396-2025</t>
        </is>
      </c>
      <c r="B3969" s="1" t="n">
        <v>45846.5946412037</v>
      </c>
      <c r="C3969" s="1" t="n">
        <v>46086</v>
      </c>
      <c r="D3969" t="inlineStr">
        <is>
          <t>GÄVLEBORGS LÄN</t>
        </is>
      </c>
      <c r="E3969" t="inlineStr">
        <is>
          <t>BOLLNÄS</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42469-2025</t>
        </is>
      </c>
      <c r="B3970" s="1" t="n">
        <v>45905.46118055555</v>
      </c>
      <c r="C3970" s="1" t="n">
        <v>46086</v>
      </c>
      <c r="D3970" t="inlineStr">
        <is>
          <t>GÄVLEBORGS LÄN</t>
        </is>
      </c>
      <c r="E3970" t="inlineStr">
        <is>
          <t>SÖDERHAMN</t>
        </is>
      </c>
      <c r="G3970" t="n">
        <v>3.8</v>
      </c>
      <c r="H3970" t="n">
        <v>0</v>
      </c>
      <c r="I3970" t="n">
        <v>0</v>
      </c>
      <c r="J3970" t="n">
        <v>0</v>
      </c>
      <c r="K3970" t="n">
        <v>0</v>
      </c>
      <c r="L3970" t="n">
        <v>0</v>
      </c>
      <c r="M3970" t="n">
        <v>0</v>
      </c>
      <c r="N3970" t="n">
        <v>0</v>
      </c>
      <c r="O3970" t="n">
        <v>0</v>
      </c>
      <c r="P3970" t="n">
        <v>0</v>
      </c>
      <c r="Q3970" t="n">
        <v>0</v>
      </c>
      <c r="R3970" s="2" t="inlineStr"/>
    </row>
    <row r="3971" ht="15" customHeight="1">
      <c r="A3971" t="inlineStr">
        <is>
          <t>A 22129-2023</t>
        </is>
      </c>
      <c r="B3971" s="1" t="n">
        <v>45069</v>
      </c>
      <c r="C3971" s="1" t="n">
        <v>46086</v>
      </c>
      <c r="D3971" t="inlineStr">
        <is>
          <t>GÄVLEBORGS LÄN</t>
        </is>
      </c>
      <c r="E3971" t="inlineStr">
        <is>
          <t>HOFORS</t>
        </is>
      </c>
      <c r="F3971" t="inlineStr">
        <is>
          <t>Sveaskog</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15015-2023</t>
        </is>
      </c>
      <c r="B3972" s="1" t="n">
        <v>45015.61263888889</v>
      </c>
      <c r="C3972" s="1" t="n">
        <v>46086</v>
      </c>
      <c r="D3972" t="inlineStr">
        <is>
          <t>GÄVLEBORGS LÄN</t>
        </is>
      </c>
      <c r="E3972" t="inlineStr">
        <is>
          <t>LJUSDAL</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11411-2026</t>
        </is>
      </c>
      <c r="B3973" s="1" t="n">
        <v>46083.46258101852</v>
      </c>
      <c r="C3973" s="1" t="n">
        <v>46086</v>
      </c>
      <c r="D3973" t="inlineStr">
        <is>
          <t>GÄVLEBORGS LÄN</t>
        </is>
      </c>
      <c r="E3973" t="inlineStr">
        <is>
          <t>OCKELBO</t>
        </is>
      </c>
      <c r="F3973" t="inlineStr">
        <is>
          <t>Bergvik skog väst AB</t>
        </is>
      </c>
      <c r="G3973" t="n">
        <v>9.4</v>
      </c>
      <c r="H3973" t="n">
        <v>0</v>
      </c>
      <c r="I3973" t="n">
        <v>0</v>
      </c>
      <c r="J3973" t="n">
        <v>0</v>
      </c>
      <c r="K3973" t="n">
        <v>0</v>
      </c>
      <c r="L3973" t="n">
        <v>0</v>
      </c>
      <c r="M3973" t="n">
        <v>0</v>
      </c>
      <c r="N3973" t="n">
        <v>0</v>
      </c>
      <c r="O3973" t="n">
        <v>0</v>
      </c>
      <c r="P3973" t="n">
        <v>0</v>
      </c>
      <c r="Q3973" t="n">
        <v>0</v>
      </c>
      <c r="R3973" s="2" t="inlineStr"/>
    </row>
    <row r="3974" ht="15" customHeight="1">
      <c r="A3974" t="inlineStr">
        <is>
          <t>A 42266-2025</t>
        </is>
      </c>
      <c r="B3974" s="1" t="n">
        <v>45904.60201388889</v>
      </c>
      <c r="C3974" s="1" t="n">
        <v>46086</v>
      </c>
      <c r="D3974" t="inlineStr">
        <is>
          <t>GÄVLEBORGS LÄN</t>
        </is>
      </c>
      <c r="E3974" t="inlineStr">
        <is>
          <t>OVANÅKER</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42272-2025</t>
        </is>
      </c>
      <c r="B3975" s="1" t="n">
        <v>45904.60482638889</v>
      </c>
      <c r="C3975" s="1" t="n">
        <v>46086</v>
      </c>
      <c r="D3975" t="inlineStr">
        <is>
          <t>GÄVLEBORGS LÄN</t>
        </is>
      </c>
      <c r="E3975" t="inlineStr">
        <is>
          <t>OVANÅKER</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60192-2023</t>
        </is>
      </c>
      <c r="B3976" s="1" t="n">
        <v>45258</v>
      </c>
      <c r="C3976" s="1" t="n">
        <v>46086</v>
      </c>
      <c r="D3976" t="inlineStr">
        <is>
          <t>GÄVLEBORGS LÄN</t>
        </is>
      </c>
      <c r="E3976" t="inlineStr">
        <is>
          <t>HUDIKSVALL</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32449-2025</t>
        </is>
      </c>
      <c r="B3977" s="1" t="n">
        <v>45838.38739583334</v>
      </c>
      <c r="C3977" s="1" t="n">
        <v>46086</v>
      </c>
      <c r="D3977" t="inlineStr">
        <is>
          <t>GÄVLEBORGS LÄN</t>
        </is>
      </c>
      <c r="E3977" t="inlineStr">
        <is>
          <t>OCKELBO</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46958-2024</t>
        </is>
      </c>
      <c r="B3978" s="1" t="n">
        <v>45586.29105324074</v>
      </c>
      <c r="C3978" s="1" t="n">
        <v>46086</v>
      </c>
      <c r="D3978" t="inlineStr">
        <is>
          <t>GÄVLEBORGS LÄN</t>
        </is>
      </c>
      <c r="E3978" t="inlineStr">
        <is>
          <t>BOLLNÄS</t>
        </is>
      </c>
      <c r="F3978" t="inlineStr">
        <is>
          <t>Bergvik skog väst AB</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55046-2022</t>
        </is>
      </c>
      <c r="B3979" s="1" t="n">
        <v>44886</v>
      </c>
      <c r="C3979" s="1" t="n">
        <v>46086</v>
      </c>
      <c r="D3979" t="inlineStr">
        <is>
          <t>GÄVLEBORGS LÄN</t>
        </is>
      </c>
      <c r="E3979" t="inlineStr">
        <is>
          <t>LJUSDAL</t>
        </is>
      </c>
      <c r="F3979" t="inlineStr">
        <is>
          <t>Bergvik skog väst AB</t>
        </is>
      </c>
      <c r="G3979" t="n">
        <v>43.8</v>
      </c>
      <c r="H3979" t="n">
        <v>0</v>
      </c>
      <c r="I3979" t="n">
        <v>0</v>
      </c>
      <c r="J3979" t="n">
        <v>0</v>
      </c>
      <c r="K3979" t="n">
        <v>0</v>
      </c>
      <c r="L3979" t="n">
        <v>0</v>
      </c>
      <c r="M3979" t="n">
        <v>0</v>
      </c>
      <c r="N3979" t="n">
        <v>0</v>
      </c>
      <c r="O3979" t="n">
        <v>0</v>
      </c>
      <c r="P3979" t="n">
        <v>0</v>
      </c>
      <c r="Q3979" t="n">
        <v>0</v>
      </c>
      <c r="R3979" s="2" t="inlineStr"/>
    </row>
    <row r="3980" ht="15" customHeight="1">
      <c r="A3980" t="inlineStr">
        <is>
          <t>A 42528-2025</t>
        </is>
      </c>
      <c r="B3980" s="1" t="n">
        <v>45905.55652777778</v>
      </c>
      <c r="C3980" s="1" t="n">
        <v>46086</v>
      </c>
      <c r="D3980" t="inlineStr">
        <is>
          <t>GÄVLEBORGS LÄN</t>
        </is>
      </c>
      <c r="E3980" t="inlineStr">
        <is>
          <t>HUDIKSVALL</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989-2023</t>
        </is>
      </c>
      <c r="B3981" s="1" t="n">
        <v>44935.38945601852</v>
      </c>
      <c r="C3981" s="1" t="n">
        <v>46086</v>
      </c>
      <c r="D3981" t="inlineStr">
        <is>
          <t>GÄVLEBORGS LÄN</t>
        </is>
      </c>
      <c r="E3981" t="inlineStr">
        <is>
          <t>GÄVLE</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19682-2024</t>
        </is>
      </c>
      <c r="B3982" s="1" t="n">
        <v>45432</v>
      </c>
      <c r="C3982" s="1" t="n">
        <v>46086</v>
      </c>
      <c r="D3982" t="inlineStr">
        <is>
          <t>GÄVLEBORGS LÄN</t>
        </is>
      </c>
      <c r="E3982" t="inlineStr">
        <is>
          <t>HUDIKSVALL</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42669-2025</t>
        </is>
      </c>
      <c r="B3983" s="1" t="n">
        <v>45908.27134259259</v>
      </c>
      <c r="C3983" s="1" t="n">
        <v>46086</v>
      </c>
      <c r="D3983" t="inlineStr">
        <is>
          <t>GÄVLEBORGS LÄN</t>
        </is>
      </c>
      <c r="E3983" t="inlineStr">
        <is>
          <t>BOLLNÄS</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42670-2025</t>
        </is>
      </c>
      <c r="B3984" s="1" t="n">
        <v>45908.28011574074</v>
      </c>
      <c r="C3984" s="1" t="n">
        <v>46086</v>
      </c>
      <c r="D3984" t="inlineStr">
        <is>
          <t>GÄVLEBORGS LÄN</t>
        </is>
      </c>
      <c r="E3984" t="inlineStr">
        <is>
          <t>LJUSDAL</t>
        </is>
      </c>
      <c r="G3984" t="n">
        <v>7</v>
      </c>
      <c r="H3984" t="n">
        <v>0</v>
      </c>
      <c r="I3984" t="n">
        <v>0</v>
      </c>
      <c r="J3984" t="n">
        <v>0</v>
      </c>
      <c r="K3984" t="n">
        <v>0</v>
      </c>
      <c r="L3984" t="n">
        <v>0</v>
      </c>
      <c r="M3984" t="n">
        <v>0</v>
      </c>
      <c r="N3984" t="n">
        <v>0</v>
      </c>
      <c r="O3984" t="n">
        <v>0</v>
      </c>
      <c r="P3984" t="n">
        <v>0</v>
      </c>
      <c r="Q3984" t="n">
        <v>0</v>
      </c>
      <c r="R3984" s="2" t="inlineStr"/>
    </row>
    <row r="3985" ht="15" customHeight="1">
      <c r="A3985" t="inlineStr">
        <is>
          <t>A 32603-2025</t>
        </is>
      </c>
      <c r="B3985" s="1" t="n">
        <v>45838.62444444445</v>
      </c>
      <c r="C3985" s="1" t="n">
        <v>46086</v>
      </c>
      <c r="D3985" t="inlineStr">
        <is>
          <t>GÄVLEBORGS LÄN</t>
        </is>
      </c>
      <c r="E3985" t="inlineStr">
        <is>
          <t>BOLLNÄS</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42701-2025</t>
        </is>
      </c>
      <c r="B3986" s="1" t="n">
        <v>45908.36534722222</v>
      </c>
      <c r="C3986" s="1" t="n">
        <v>46086</v>
      </c>
      <c r="D3986" t="inlineStr">
        <is>
          <t>GÄVLEBORGS LÄN</t>
        </is>
      </c>
      <c r="E3986" t="inlineStr">
        <is>
          <t>LJUSDAL</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3014-2026</t>
        </is>
      </c>
      <c r="B3987" s="1" t="n">
        <v>46038.66581018519</v>
      </c>
      <c r="C3987" s="1" t="n">
        <v>46086</v>
      </c>
      <c r="D3987" t="inlineStr">
        <is>
          <t>GÄVLEBORGS LÄN</t>
        </is>
      </c>
      <c r="E3987" t="inlineStr">
        <is>
          <t>LJUSDAL</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3023-2026</t>
        </is>
      </c>
      <c r="B3988" s="1" t="n">
        <v>46038.67336805556</v>
      </c>
      <c r="C3988" s="1" t="n">
        <v>46086</v>
      </c>
      <c r="D3988" t="inlineStr">
        <is>
          <t>GÄVLEBORGS LÄN</t>
        </is>
      </c>
      <c r="E3988" t="inlineStr">
        <is>
          <t>BOLLNÄS</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1181-2026</t>
        </is>
      </c>
      <c r="B3989" s="1" t="n">
        <v>46031</v>
      </c>
      <c r="C3989" s="1" t="n">
        <v>46086</v>
      </c>
      <c r="D3989" t="inlineStr">
        <is>
          <t>GÄVLEBORGS LÄN</t>
        </is>
      </c>
      <c r="E3989" t="inlineStr">
        <is>
          <t>HUDIKSVALL</t>
        </is>
      </c>
      <c r="F3989" t="inlineStr">
        <is>
          <t>Holmen skog AB</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11462-2026</t>
        </is>
      </c>
      <c r="B3990" s="1" t="n">
        <v>46083.57572916667</v>
      </c>
      <c r="C3990" s="1" t="n">
        <v>46086</v>
      </c>
      <c r="D3990" t="inlineStr">
        <is>
          <t>GÄVLEBORGS LÄN</t>
        </is>
      </c>
      <c r="E3990" t="inlineStr">
        <is>
          <t>HOFORS</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11480-2026</t>
        </is>
      </c>
      <c r="B3991" s="1" t="n">
        <v>46083.60142361111</v>
      </c>
      <c r="C3991" s="1" t="n">
        <v>46086</v>
      </c>
      <c r="D3991" t="inlineStr">
        <is>
          <t>GÄVLEBORGS LÄN</t>
        </is>
      </c>
      <c r="E3991" t="inlineStr">
        <is>
          <t>BOLLNÄS</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11496-2026</t>
        </is>
      </c>
      <c r="B3992" s="1" t="n">
        <v>46083.63997685185</v>
      </c>
      <c r="C3992" s="1" t="n">
        <v>46086</v>
      </c>
      <c r="D3992" t="inlineStr">
        <is>
          <t>GÄVLEBORGS LÄN</t>
        </is>
      </c>
      <c r="E3992" t="inlineStr">
        <is>
          <t>OCKELBO</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11234-2026</t>
        </is>
      </c>
      <c r="B3993" s="1" t="n">
        <v>46080.50643518518</v>
      </c>
      <c r="C3993" s="1" t="n">
        <v>46086</v>
      </c>
      <c r="D3993" t="inlineStr">
        <is>
          <t>GÄVLEBORGS LÄN</t>
        </is>
      </c>
      <c r="E3993" t="inlineStr">
        <is>
          <t>OCKELBO</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11515-2026</t>
        </is>
      </c>
      <c r="B3994" s="1" t="n">
        <v>46083.66195601852</v>
      </c>
      <c r="C3994" s="1" t="n">
        <v>46086</v>
      </c>
      <c r="D3994" t="inlineStr">
        <is>
          <t>GÄVLEBORGS LÄN</t>
        </is>
      </c>
      <c r="E3994" t="inlineStr">
        <is>
          <t>BOLLNÄS</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11237-2026</t>
        </is>
      </c>
      <c r="B3995" s="1" t="n">
        <v>46080.51189814815</v>
      </c>
      <c r="C3995" s="1" t="n">
        <v>46086</v>
      </c>
      <c r="D3995" t="inlineStr">
        <is>
          <t>GÄVLEBORGS LÄN</t>
        </is>
      </c>
      <c r="E3995" t="inlineStr">
        <is>
          <t>OCKELBO</t>
        </is>
      </c>
      <c r="G3995" t="n">
        <v>6.2</v>
      </c>
      <c r="H3995" t="n">
        <v>0</v>
      </c>
      <c r="I3995" t="n">
        <v>0</v>
      </c>
      <c r="J3995" t="n">
        <v>0</v>
      </c>
      <c r="K3995" t="n">
        <v>0</v>
      </c>
      <c r="L3995" t="n">
        <v>0</v>
      </c>
      <c r="M3995" t="n">
        <v>0</v>
      </c>
      <c r="N3995" t="n">
        <v>0</v>
      </c>
      <c r="O3995" t="n">
        <v>0</v>
      </c>
      <c r="P3995" t="n">
        <v>0</v>
      </c>
      <c r="Q3995" t="n">
        <v>0</v>
      </c>
      <c r="R3995" s="2" t="inlineStr"/>
    </row>
    <row r="3996" ht="15" customHeight="1">
      <c r="A3996" t="inlineStr">
        <is>
          <t>A 11242-2026</t>
        </is>
      </c>
      <c r="B3996" s="1" t="n">
        <v>46080.52664351852</v>
      </c>
      <c r="C3996" s="1" t="n">
        <v>46086</v>
      </c>
      <c r="D3996" t="inlineStr">
        <is>
          <t>GÄVLEBORGS LÄN</t>
        </is>
      </c>
      <c r="E3996" t="inlineStr">
        <is>
          <t>BOLLNÄS</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11277-2026</t>
        </is>
      </c>
      <c r="B3997" s="1" t="n">
        <v>46080.5808912037</v>
      </c>
      <c r="C3997" s="1" t="n">
        <v>46086</v>
      </c>
      <c r="D3997" t="inlineStr">
        <is>
          <t>GÄVLEBORGS LÄN</t>
        </is>
      </c>
      <c r="E3997" t="inlineStr">
        <is>
          <t>HOFORS</t>
        </is>
      </c>
      <c r="F3997" t="inlineStr">
        <is>
          <t>Sveaskog</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11289-2026</t>
        </is>
      </c>
      <c r="B3998" s="1" t="n">
        <v>46080.61196759259</v>
      </c>
      <c r="C3998" s="1" t="n">
        <v>46086</v>
      </c>
      <c r="D3998" t="inlineStr">
        <is>
          <t>GÄVLEBORGS LÄN</t>
        </is>
      </c>
      <c r="E3998" t="inlineStr">
        <is>
          <t>BOLLNÄS</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3309-2026</t>
        </is>
      </c>
      <c r="B3999" s="1" t="n">
        <v>46041.66802083333</v>
      </c>
      <c r="C3999" s="1" t="n">
        <v>46086</v>
      </c>
      <c r="D3999" t="inlineStr">
        <is>
          <t>GÄVLEBORGS LÄN</t>
        </is>
      </c>
      <c r="E3999" t="inlineStr">
        <is>
          <t>SÖDERHAMN</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359-2026</t>
        </is>
      </c>
      <c r="B4000" s="1" t="n">
        <v>46027</v>
      </c>
      <c r="C4000" s="1" t="n">
        <v>46086</v>
      </c>
      <c r="D4000" t="inlineStr">
        <is>
          <t>GÄVLEBORGS LÄN</t>
        </is>
      </c>
      <c r="E4000" t="inlineStr">
        <is>
          <t>OVANÅKER</t>
        </is>
      </c>
      <c r="G4000" t="n">
        <v>11.5</v>
      </c>
      <c r="H4000" t="n">
        <v>0</v>
      </c>
      <c r="I4000" t="n">
        <v>0</v>
      </c>
      <c r="J4000" t="n">
        <v>0</v>
      </c>
      <c r="K4000" t="n">
        <v>0</v>
      </c>
      <c r="L4000" t="n">
        <v>0</v>
      </c>
      <c r="M4000" t="n">
        <v>0</v>
      </c>
      <c r="N4000" t="n">
        <v>0</v>
      </c>
      <c r="O4000" t="n">
        <v>0</v>
      </c>
      <c r="P4000" t="n">
        <v>0</v>
      </c>
      <c r="Q4000" t="n">
        <v>0</v>
      </c>
      <c r="R4000" s="2" t="inlineStr"/>
    </row>
    <row r="4001" ht="15" customHeight="1">
      <c r="A4001" t="inlineStr">
        <is>
          <t>A 2789-2026</t>
        </is>
      </c>
      <c r="B4001" s="1" t="n">
        <v>46038.39423611111</v>
      </c>
      <c r="C4001" s="1" t="n">
        <v>46086</v>
      </c>
      <c r="D4001" t="inlineStr">
        <is>
          <t>GÄVLEBORGS LÄN</t>
        </is>
      </c>
      <c r="E4001" t="inlineStr">
        <is>
          <t>HUDIKSVALL</t>
        </is>
      </c>
      <c r="G4001" t="n">
        <v>4.5</v>
      </c>
      <c r="H4001" t="n">
        <v>0</v>
      </c>
      <c r="I4001" t="n">
        <v>0</v>
      </c>
      <c r="J4001" t="n">
        <v>0</v>
      </c>
      <c r="K4001" t="n">
        <v>0</v>
      </c>
      <c r="L4001" t="n">
        <v>0</v>
      </c>
      <c r="M4001" t="n">
        <v>0</v>
      </c>
      <c r="N4001" t="n">
        <v>0</v>
      </c>
      <c r="O4001" t="n">
        <v>0</v>
      </c>
      <c r="P4001" t="n">
        <v>0</v>
      </c>
      <c r="Q4001" t="n">
        <v>0</v>
      </c>
      <c r="R4001" s="2" t="inlineStr"/>
    </row>
    <row r="4002" ht="15" customHeight="1">
      <c r="A4002" t="inlineStr">
        <is>
          <t>A 3072-2026</t>
        </is>
      </c>
      <c r="B4002" s="1" t="n">
        <v>46040.74630787037</v>
      </c>
      <c r="C4002" s="1" t="n">
        <v>46086</v>
      </c>
      <c r="D4002" t="inlineStr">
        <is>
          <t>GÄVLEBORGS LÄN</t>
        </is>
      </c>
      <c r="E4002" t="inlineStr">
        <is>
          <t>BOLLNÄS</t>
        </is>
      </c>
      <c r="G4002" t="n">
        <v>5</v>
      </c>
      <c r="H4002" t="n">
        <v>0</v>
      </c>
      <c r="I4002" t="n">
        <v>0</v>
      </c>
      <c r="J4002" t="n">
        <v>0</v>
      </c>
      <c r="K4002" t="n">
        <v>0</v>
      </c>
      <c r="L4002" t="n">
        <v>0</v>
      </c>
      <c r="M4002" t="n">
        <v>0</v>
      </c>
      <c r="N4002" t="n">
        <v>0</v>
      </c>
      <c r="O4002" t="n">
        <v>0</v>
      </c>
      <c r="P4002" t="n">
        <v>0</v>
      </c>
      <c r="Q4002" t="n">
        <v>0</v>
      </c>
      <c r="R4002" s="2" t="inlineStr"/>
    </row>
    <row r="4003" ht="15" customHeight="1">
      <c r="A4003" t="inlineStr">
        <is>
          <t>A 3076-2026</t>
        </is>
      </c>
      <c r="B4003" s="1" t="n">
        <v>46040.75815972222</v>
      </c>
      <c r="C4003" s="1" t="n">
        <v>46086</v>
      </c>
      <c r="D4003" t="inlineStr">
        <is>
          <t>GÄVLEBORGS LÄN</t>
        </is>
      </c>
      <c r="E4003" t="inlineStr">
        <is>
          <t>BOLLNÄS</t>
        </is>
      </c>
      <c r="G4003" t="n">
        <v>5.6</v>
      </c>
      <c r="H4003" t="n">
        <v>0</v>
      </c>
      <c r="I4003" t="n">
        <v>0</v>
      </c>
      <c r="J4003" t="n">
        <v>0</v>
      </c>
      <c r="K4003" t="n">
        <v>0</v>
      </c>
      <c r="L4003" t="n">
        <v>0</v>
      </c>
      <c r="M4003" t="n">
        <v>0</v>
      </c>
      <c r="N4003" t="n">
        <v>0</v>
      </c>
      <c r="O4003" t="n">
        <v>0</v>
      </c>
      <c r="P4003" t="n">
        <v>0</v>
      </c>
      <c r="Q4003" t="n">
        <v>0</v>
      </c>
      <c r="R4003" s="2" t="inlineStr"/>
    </row>
    <row r="4004" ht="15" customHeight="1">
      <c r="A4004" t="inlineStr">
        <is>
          <t>A 3077-2026</t>
        </is>
      </c>
      <c r="B4004" s="1" t="n">
        <v>46040.76259259259</v>
      </c>
      <c r="C4004" s="1" t="n">
        <v>46086</v>
      </c>
      <c r="D4004" t="inlineStr">
        <is>
          <t>GÄVLEBORGS LÄN</t>
        </is>
      </c>
      <c r="E4004" t="inlineStr">
        <is>
          <t>BOLLNÄS</t>
        </is>
      </c>
      <c r="G4004" t="n">
        <v>31.3</v>
      </c>
      <c r="H4004" t="n">
        <v>0</v>
      </c>
      <c r="I4004" t="n">
        <v>0</v>
      </c>
      <c r="J4004" t="n">
        <v>0</v>
      </c>
      <c r="K4004" t="n">
        <v>0</v>
      </c>
      <c r="L4004" t="n">
        <v>0</v>
      </c>
      <c r="M4004" t="n">
        <v>0</v>
      </c>
      <c r="N4004" t="n">
        <v>0</v>
      </c>
      <c r="O4004" t="n">
        <v>0</v>
      </c>
      <c r="P4004" t="n">
        <v>0</v>
      </c>
      <c r="Q4004" t="n">
        <v>0</v>
      </c>
      <c r="R4004" s="2" t="inlineStr"/>
    </row>
    <row r="4005" ht="15" customHeight="1">
      <c r="A4005" t="inlineStr">
        <is>
          <t>A 11297-2026</t>
        </is>
      </c>
      <c r="B4005" s="1" t="n">
        <v>46080.62556712963</v>
      </c>
      <c r="C4005" s="1" t="n">
        <v>46086</v>
      </c>
      <c r="D4005" t="inlineStr">
        <is>
          <t>GÄVLEBORGS LÄN</t>
        </is>
      </c>
      <c r="E4005" t="inlineStr">
        <is>
          <t>GÄVLE</t>
        </is>
      </c>
      <c r="F4005" t="inlineStr">
        <is>
          <t>Bergvik skog väst AB</t>
        </is>
      </c>
      <c r="G4005" t="n">
        <v>8.5</v>
      </c>
      <c r="H4005" t="n">
        <v>0</v>
      </c>
      <c r="I4005" t="n">
        <v>0</v>
      </c>
      <c r="J4005" t="n">
        <v>0</v>
      </c>
      <c r="K4005" t="n">
        <v>0</v>
      </c>
      <c r="L4005" t="n">
        <v>0</v>
      </c>
      <c r="M4005" t="n">
        <v>0</v>
      </c>
      <c r="N4005" t="n">
        <v>0</v>
      </c>
      <c r="O4005" t="n">
        <v>0</v>
      </c>
      <c r="P4005" t="n">
        <v>0</v>
      </c>
      <c r="Q4005" t="n">
        <v>0</v>
      </c>
      <c r="R4005" s="2" t="inlineStr"/>
    </row>
    <row r="4006" ht="15" customHeight="1">
      <c r="A4006" t="inlineStr">
        <is>
          <t>A 11333-2026</t>
        </is>
      </c>
      <c r="B4006" s="1" t="n">
        <v>46082.4059837963</v>
      </c>
      <c r="C4006" s="1" t="n">
        <v>46086</v>
      </c>
      <c r="D4006" t="inlineStr">
        <is>
          <t>GÄVLEBORGS LÄN</t>
        </is>
      </c>
      <c r="E4006" t="inlineStr">
        <is>
          <t>BOLLNÄS</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2790-2026</t>
        </is>
      </c>
      <c r="B4007" s="1" t="n">
        <v>46038.39423611111</v>
      </c>
      <c r="C4007" s="1" t="n">
        <v>46086</v>
      </c>
      <c r="D4007" t="inlineStr">
        <is>
          <t>GÄVLEBORGS LÄN</t>
        </is>
      </c>
      <c r="E4007" t="inlineStr">
        <is>
          <t>BOLLNÄS</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11305-2026</t>
        </is>
      </c>
      <c r="B4008" s="1" t="n">
        <v>46080.64465277778</v>
      </c>
      <c r="C4008" s="1" t="n">
        <v>46086</v>
      </c>
      <c r="D4008" t="inlineStr">
        <is>
          <t>GÄVLEBORGS LÄN</t>
        </is>
      </c>
      <c r="E4008" t="inlineStr">
        <is>
          <t>LJUSDAL</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11307-2026</t>
        </is>
      </c>
      <c r="B4009" s="1" t="n">
        <v>46080.6471875</v>
      </c>
      <c r="C4009" s="1" t="n">
        <v>46086</v>
      </c>
      <c r="D4009" t="inlineStr">
        <is>
          <t>GÄVLEBORGS LÄN</t>
        </is>
      </c>
      <c r="E4009" t="inlineStr">
        <is>
          <t>NORDANSTIG</t>
        </is>
      </c>
      <c r="F4009" t="inlineStr">
        <is>
          <t>Holmen skog AB</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2389-2026</t>
        </is>
      </c>
      <c r="B4010" s="1" t="n">
        <v>46036.67594907407</v>
      </c>
      <c r="C4010" s="1" t="n">
        <v>46086</v>
      </c>
      <c r="D4010" t="inlineStr">
        <is>
          <t>GÄVLEBORGS LÄN</t>
        </is>
      </c>
      <c r="E4010" t="inlineStr">
        <is>
          <t>OCKELBO</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3088-2026</t>
        </is>
      </c>
      <c r="B4011" s="1" t="n">
        <v>46040.83342592593</v>
      </c>
      <c r="C4011" s="1" t="n">
        <v>46086</v>
      </c>
      <c r="D4011" t="inlineStr">
        <is>
          <t>GÄVLEBORGS LÄN</t>
        </is>
      </c>
      <c r="E4011" t="inlineStr">
        <is>
          <t>BOLLNÄS</t>
        </is>
      </c>
      <c r="G4011" t="n">
        <v>8.800000000000001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3094-2026</t>
        </is>
      </c>
      <c r="B4012" s="1" t="n">
        <v>46040.85752314814</v>
      </c>
      <c r="C4012" s="1" t="n">
        <v>46086</v>
      </c>
      <c r="D4012" t="inlineStr">
        <is>
          <t>GÄVLEBORGS LÄN</t>
        </is>
      </c>
      <c r="E4012" t="inlineStr">
        <is>
          <t>BOLLNÄS</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3099-2026</t>
        </is>
      </c>
      <c r="B4013" s="1" t="n">
        <v>46041</v>
      </c>
      <c r="C4013" s="1" t="n">
        <v>46086</v>
      </c>
      <c r="D4013" t="inlineStr">
        <is>
          <t>GÄVLEBORGS LÄN</t>
        </is>
      </c>
      <c r="E4013" t="inlineStr">
        <is>
          <t>BOLLNÄS</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11346-2026</t>
        </is>
      </c>
      <c r="B4014" s="1" t="n">
        <v>46082.78946759259</v>
      </c>
      <c r="C4014" s="1" t="n">
        <v>46086</v>
      </c>
      <c r="D4014" t="inlineStr">
        <is>
          <t>GÄVLEBORGS LÄN</t>
        </is>
      </c>
      <c r="E4014" t="inlineStr">
        <is>
          <t>GÄVLE</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7960-2026</t>
        </is>
      </c>
      <c r="B4015" s="1" t="n">
        <v>46063</v>
      </c>
      <c r="C4015" s="1" t="n">
        <v>46086</v>
      </c>
      <c r="D4015" t="inlineStr">
        <is>
          <t>GÄVLEBORGS LÄN</t>
        </is>
      </c>
      <c r="E4015" t="inlineStr">
        <is>
          <t>OVANÅKER</t>
        </is>
      </c>
      <c r="F4015" t="inlineStr">
        <is>
          <t>Sveaskog</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7972-2026</t>
        </is>
      </c>
      <c r="B4016" s="1" t="n">
        <v>46063</v>
      </c>
      <c r="C4016" s="1" t="n">
        <v>46086</v>
      </c>
      <c r="D4016" t="inlineStr">
        <is>
          <t>GÄVLEBORGS LÄN</t>
        </is>
      </c>
      <c r="E4016" t="inlineStr">
        <is>
          <t>BOLLNÄS</t>
        </is>
      </c>
      <c r="F4016" t="inlineStr">
        <is>
          <t>Bergvik skog väst AB</t>
        </is>
      </c>
      <c r="G4016" t="n">
        <v>5.7</v>
      </c>
      <c r="H4016" t="n">
        <v>0</v>
      </c>
      <c r="I4016" t="n">
        <v>0</v>
      </c>
      <c r="J4016" t="n">
        <v>0</v>
      </c>
      <c r="K4016" t="n">
        <v>0</v>
      </c>
      <c r="L4016" t="n">
        <v>0</v>
      </c>
      <c r="M4016" t="n">
        <v>0</v>
      </c>
      <c r="N4016" t="n">
        <v>0</v>
      </c>
      <c r="O4016" t="n">
        <v>0</v>
      </c>
      <c r="P4016" t="n">
        <v>0</v>
      </c>
      <c r="Q4016" t="n">
        <v>0</v>
      </c>
      <c r="R4016" s="2" t="inlineStr"/>
    </row>
    <row r="4017" ht="15" customHeight="1">
      <c r="A4017" t="inlineStr">
        <is>
          <t>A 8264-2026</t>
        </is>
      </c>
      <c r="B4017" s="1" t="n">
        <v>46064</v>
      </c>
      <c r="C4017" s="1" t="n">
        <v>46086</v>
      </c>
      <c r="D4017" t="inlineStr">
        <is>
          <t>GÄVLEBORGS LÄN</t>
        </is>
      </c>
      <c r="E4017" t="inlineStr">
        <is>
          <t>HUDIKSVALL</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3319-2026</t>
        </is>
      </c>
      <c r="B4018" s="1" t="n">
        <v>46041.6997337963</v>
      </c>
      <c r="C4018" s="1" t="n">
        <v>46086</v>
      </c>
      <c r="D4018" t="inlineStr">
        <is>
          <t>GÄVLEBORGS LÄN</t>
        </is>
      </c>
      <c r="E4018" t="inlineStr">
        <is>
          <t>BOLLNÄS</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3350-2026</t>
        </is>
      </c>
      <c r="B4019" s="1" t="n">
        <v>46041</v>
      </c>
      <c r="C4019" s="1" t="n">
        <v>46086</v>
      </c>
      <c r="D4019" t="inlineStr">
        <is>
          <t>GÄVLEBORGS LÄN</t>
        </is>
      </c>
      <c r="E4019" t="inlineStr">
        <is>
          <t>LJUSDAL</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5692-2026</t>
        </is>
      </c>
      <c r="B4020" s="1" t="n">
        <v>46051</v>
      </c>
      <c r="C4020" s="1" t="n">
        <v>46086</v>
      </c>
      <c r="D4020" t="inlineStr">
        <is>
          <t>GÄVLEBORGS LÄN</t>
        </is>
      </c>
      <c r="E4020" t="inlineStr">
        <is>
          <t>BOLLNÄS</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2996-2026</t>
        </is>
      </c>
      <c r="B4021" s="1" t="n">
        <v>46038</v>
      </c>
      <c r="C4021" s="1" t="n">
        <v>46086</v>
      </c>
      <c r="D4021" t="inlineStr">
        <is>
          <t>GÄVLEBORGS LÄN</t>
        </is>
      </c>
      <c r="E4021" t="inlineStr">
        <is>
          <t>BOLLNÄS</t>
        </is>
      </c>
      <c r="G4021" t="n">
        <v>9.699999999999999</v>
      </c>
      <c r="H4021" t="n">
        <v>0</v>
      </c>
      <c r="I4021" t="n">
        <v>0</v>
      </c>
      <c r="J4021" t="n">
        <v>0</v>
      </c>
      <c r="K4021" t="n">
        <v>0</v>
      </c>
      <c r="L4021" t="n">
        <v>0</v>
      </c>
      <c r="M4021" t="n">
        <v>0</v>
      </c>
      <c r="N4021" t="n">
        <v>0</v>
      </c>
      <c r="O4021" t="n">
        <v>0</v>
      </c>
      <c r="P4021" t="n">
        <v>0</v>
      </c>
      <c r="Q4021" t="n">
        <v>0</v>
      </c>
      <c r="R4021" s="2" t="inlineStr"/>
    </row>
    <row r="4022" ht="15" customHeight="1">
      <c r="A4022" t="inlineStr">
        <is>
          <t>A 8342-2026</t>
        </is>
      </c>
      <c r="B4022" s="1" t="n">
        <v>46064</v>
      </c>
      <c r="C4022" s="1" t="n">
        <v>46086</v>
      </c>
      <c r="D4022" t="inlineStr">
        <is>
          <t>GÄVLEBORGS LÄN</t>
        </is>
      </c>
      <c r="E4022" t="inlineStr">
        <is>
          <t>OVANÅKER</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9770-2026</t>
        </is>
      </c>
      <c r="B4023" s="1" t="n">
        <v>46072</v>
      </c>
      <c r="C4023" s="1" t="n">
        <v>46086</v>
      </c>
      <c r="D4023" t="inlineStr">
        <is>
          <t>GÄVLEBORGS LÄN</t>
        </is>
      </c>
      <c r="E4023" t="inlineStr">
        <is>
          <t>LJUSDAL</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11147-2026</t>
        </is>
      </c>
      <c r="B4024" s="1" t="n">
        <v>46080.2556712963</v>
      </c>
      <c r="C4024" s="1" t="n">
        <v>46086</v>
      </c>
      <c r="D4024" t="inlineStr">
        <is>
          <t>GÄVLEBORGS LÄN</t>
        </is>
      </c>
      <c r="E4024" t="inlineStr">
        <is>
          <t>SÖDERHAMN</t>
        </is>
      </c>
      <c r="G4024" t="n">
        <v>7.8</v>
      </c>
      <c r="H4024" t="n">
        <v>0</v>
      </c>
      <c r="I4024" t="n">
        <v>0</v>
      </c>
      <c r="J4024" t="n">
        <v>0</v>
      </c>
      <c r="K4024" t="n">
        <v>0</v>
      </c>
      <c r="L4024" t="n">
        <v>0</v>
      </c>
      <c r="M4024" t="n">
        <v>0</v>
      </c>
      <c r="N4024" t="n">
        <v>0</v>
      </c>
      <c r="O4024" t="n">
        <v>0</v>
      </c>
      <c r="P4024" t="n">
        <v>0</v>
      </c>
      <c r="Q4024" t="n">
        <v>0</v>
      </c>
      <c r="R4024" s="2" t="inlineStr"/>
    </row>
    <row r="4025" ht="15" customHeight="1">
      <c r="A4025" t="inlineStr">
        <is>
          <t>A 11173-2026</t>
        </is>
      </c>
      <c r="B4025" s="1" t="n">
        <v>46080.38243055555</v>
      </c>
      <c r="C4025" s="1" t="n">
        <v>46086</v>
      </c>
      <c r="D4025" t="inlineStr">
        <is>
          <t>GÄVLEBORGS LÄN</t>
        </is>
      </c>
      <c r="E4025" t="inlineStr">
        <is>
          <t>BOLLNÄS</t>
        </is>
      </c>
      <c r="G4025" t="n">
        <v>6.6</v>
      </c>
      <c r="H4025" t="n">
        <v>0</v>
      </c>
      <c r="I4025" t="n">
        <v>0</v>
      </c>
      <c r="J4025" t="n">
        <v>0</v>
      </c>
      <c r="K4025" t="n">
        <v>0</v>
      </c>
      <c r="L4025" t="n">
        <v>0</v>
      </c>
      <c r="M4025" t="n">
        <v>0</v>
      </c>
      <c r="N4025" t="n">
        <v>0</v>
      </c>
      <c r="O4025" t="n">
        <v>0</v>
      </c>
      <c r="P4025" t="n">
        <v>0</v>
      </c>
      <c r="Q4025" t="n">
        <v>0</v>
      </c>
      <c r="R4025" s="2" t="inlineStr"/>
    </row>
    <row r="4026" ht="15" customHeight="1">
      <c r="A4026" t="inlineStr">
        <is>
          <t>A 11185-2026</t>
        </is>
      </c>
      <c r="B4026" s="1" t="n">
        <v>46080.39857638889</v>
      </c>
      <c r="C4026" s="1" t="n">
        <v>46086</v>
      </c>
      <c r="D4026" t="inlineStr">
        <is>
          <t>GÄVLEBORGS LÄN</t>
        </is>
      </c>
      <c r="E4026" t="inlineStr">
        <is>
          <t>BOLLNÄS</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2972-2026</t>
        </is>
      </c>
      <c r="B4027" s="1" t="n">
        <v>46038</v>
      </c>
      <c r="C4027" s="1" t="n">
        <v>46086</v>
      </c>
      <c r="D4027" t="inlineStr">
        <is>
          <t>GÄVLEBORGS LÄN</t>
        </is>
      </c>
      <c r="E4027" t="inlineStr">
        <is>
          <t>HUDIKSVALL</t>
        </is>
      </c>
      <c r="G4027" t="n">
        <v>7.3</v>
      </c>
      <c r="H4027" t="n">
        <v>0</v>
      </c>
      <c r="I4027" t="n">
        <v>0</v>
      </c>
      <c r="J4027" t="n">
        <v>0</v>
      </c>
      <c r="K4027" t="n">
        <v>0</v>
      </c>
      <c r="L4027" t="n">
        <v>0</v>
      </c>
      <c r="M4027" t="n">
        <v>0</v>
      </c>
      <c r="N4027" t="n">
        <v>0</v>
      </c>
      <c r="O4027" t="n">
        <v>0</v>
      </c>
      <c r="P4027" t="n">
        <v>0</v>
      </c>
      <c r="Q4027" t="n">
        <v>0</v>
      </c>
      <c r="R4027" s="2" t="inlineStr"/>
    </row>
    <row r="4028" ht="15" customHeight="1">
      <c r="A4028" t="inlineStr">
        <is>
          <t>A 2973-2026</t>
        </is>
      </c>
      <c r="B4028" s="1" t="n">
        <v>46038.62108796297</v>
      </c>
      <c r="C4028" s="1" t="n">
        <v>46086</v>
      </c>
      <c r="D4028" t="inlineStr">
        <is>
          <t>GÄVLEBORGS LÄN</t>
        </is>
      </c>
      <c r="E4028" t="inlineStr">
        <is>
          <t>BOLLNÄS</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3017-2026</t>
        </is>
      </c>
      <c r="B4029" s="1" t="n">
        <v>46038.66922453704</v>
      </c>
      <c r="C4029" s="1" t="n">
        <v>46086</v>
      </c>
      <c r="D4029" t="inlineStr">
        <is>
          <t>GÄVLEBORGS LÄN</t>
        </is>
      </c>
      <c r="E4029" t="inlineStr">
        <is>
          <t>BOLLNÄS</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3070-2026</t>
        </is>
      </c>
      <c r="B4030" s="1" t="n">
        <v>46040.74378472222</v>
      </c>
      <c r="C4030" s="1" t="n">
        <v>46086</v>
      </c>
      <c r="D4030" t="inlineStr">
        <is>
          <t>GÄVLEBORGS LÄN</t>
        </is>
      </c>
      <c r="E4030" t="inlineStr">
        <is>
          <t>BOLLNÄS</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42887-2025</t>
        </is>
      </c>
      <c r="B4031" s="1" t="n">
        <v>45908.65311342593</v>
      </c>
      <c r="C4031" s="1" t="n">
        <v>46086</v>
      </c>
      <c r="D4031" t="inlineStr">
        <is>
          <t>GÄVLEBORGS LÄN</t>
        </is>
      </c>
      <c r="E4031" t="inlineStr">
        <is>
          <t>NORDANSTIG</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42891-2025</t>
        </is>
      </c>
      <c r="B4032" s="1" t="n">
        <v>45908.6599074074</v>
      </c>
      <c r="C4032" s="1" t="n">
        <v>46086</v>
      </c>
      <c r="D4032" t="inlineStr">
        <is>
          <t>GÄVLEBORGS LÄN</t>
        </is>
      </c>
      <c r="E4032" t="inlineStr">
        <is>
          <t>NORDANSTIG</t>
        </is>
      </c>
      <c r="G4032" t="n">
        <v>5.5</v>
      </c>
      <c r="H4032" t="n">
        <v>0</v>
      </c>
      <c r="I4032" t="n">
        <v>0</v>
      </c>
      <c r="J4032" t="n">
        <v>0</v>
      </c>
      <c r="K4032" t="n">
        <v>0</v>
      </c>
      <c r="L4032" t="n">
        <v>0</v>
      </c>
      <c r="M4032" t="n">
        <v>0</v>
      </c>
      <c r="N4032" t="n">
        <v>0</v>
      </c>
      <c r="O4032" t="n">
        <v>0</v>
      </c>
      <c r="P4032" t="n">
        <v>0</v>
      </c>
      <c r="Q4032" t="n">
        <v>0</v>
      </c>
      <c r="R4032" s="2" t="inlineStr"/>
    </row>
    <row r="4033" ht="15" customHeight="1">
      <c r="A4033" t="inlineStr">
        <is>
          <t>A 3080-2026</t>
        </is>
      </c>
      <c r="B4033" s="1" t="n">
        <v>46040</v>
      </c>
      <c r="C4033" s="1" t="n">
        <v>46086</v>
      </c>
      <c r="D4033" t="inlineStr">
        <is>
          <t>GÄVLEBORGS LÄN</t>
        </is>
      </c>
      <c r="E4033" t="inlineStr">
        <is>
          <t>BOLLNÄS</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3109-2026</t>
        </is>
      </c>
      <c r="B4034" s="1" t="n">
        <v>46041.35664351852</v>
      </c>
      <c r="C4034" s="1" t="n">
        <v>46086</v>
      </c>
      <c r="D4034" t="inlineStr">
        <is>
          <t>GÄVLEBORGS LÄN</t>
        </is>
      </c>
      <c r="E4034" t="inlineStr">
        <is>
          <t>OVANÅKER</t>
        </is>
      </c>
      <c r="G4034" t="n">
        <v>12.3</v>
      </c>
      <c r="H4034" t="n">
        <v>0</v>
      </c>
      <c r="I4034" t="n">
        <v>0</v>
      </c>
      <c r="J4034" t="n">
        <v>0</v>
      </c>
      <c r="K4034" t="n">
        <v>0</v>
      </c>
      <c r="L4034" t="n">
        <v>0</v>
      </c>
      <c r="M4034" t="n">
        <v>0</v>
      </c>
      <c r="N4034" t="n">
        <v>0</v>
      </c>
      <c r="O4034" t="n">
        <v>0</v>
      </c>
      <c r="P4034" t="n">
        <v>0</v>
      </c>
      <c r="Q4034" t="n">
        <v>0</v>
      </c>
      <c r="R4034" s="2" t="inlineStr"/>
    </row>
    <row r="4035" ht="15" customHeight="1">
      <c r="A4035" t="inlineStr">
        <is>
          <t>A 3123-2026</t>
        </is>
      </c>
      <c r="B4035" s="1" t="n">
        <v>46041.37456018518</v>
      </c>
      <c r="C4035" s="1" t="n">
        <v>46086</v>
      </c>
      <c r="D4035" t="inlineStr">
        <is>
          <t>GÄVLEBORGS LÄN</t>
        </is>
      </c>
      <c r="E4035" t="inlineStr">
        <is>
          <t>OVANÅKER</t>
        </is>
      </c>
      <c r="G4035" t="n">
        <v>4.4</v>
      </c>
      <c r="H4035" t="n">
        <v>0</v>
      </c>
      <c r="I4035" t="n">
        <v>0</v>
      </c>
      <c r="J4035" t="n">
        <v>0</v>
      </c>
      <c r="K4035" t="n">
        <v>0</v>
      </c>
      <c r="L4035" t="n">
        <v>0</v>
      </c>
      <c r="M4035" t="n">
        <v>0</v>
      </c>
      <c r="N4035" t="n">
        <v>0</v>
      </c>
      <c r="O4035" t="n">
        <v>0</v>
      </c>
      <c r="P4035" t="n">
        <v>0</v>
      </c>
      <c r="Q4035" t="n">
        <v>0</v>
      </c>
      <c r="R4035" s="2" t="inlineStr"/>
    </row>
    <row r="4036" ht="15" customHeight="1">
      <c r="A4036" t="inlineStr">
        <is>
          <t>A 32815-2025</t>
        </is>
      </c>
      <c r="B4036" s="1" t="n">
        <v>45839.53114583333</v>
      </c>
      <c r="C4036" s="1" t="n">
        <v>46086</v>
      </c>
      <c r="D4036" t="inlineStr">
        <is>
          <t>GÄVLEBORGS LÄN</t>
        </is>
      </c>
      <c r="E4036" t="inlineStr">
        <is>
          <t>LJUSDAL</t>
        </is>
      </c>
      <c r="F4036" t="inlineStr">
        <is>
          <t>Sveaskog</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32507-2025</t>
        </is>
      </c>
      <c r="B4037" s="1" t="n">
        <v>45838.4712037037</v>
      </c>
      <c r="C4037" s="1" t="n">
        <v>46086</v>
      </c>
      <c r="D4037" t="inlineStr">
        <is>
          <t>GÄVLEBORGS LÄN</t>
        </is>
      </c>
      <c r="E4037" t="inlineStr">
        <is>
          <t>NORDANSTIG</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40160-2025</t>
        </is>
      </c>
      <c r="B4038" s="1" t="n">
        <v>45894</v>
      </c>
      <c r="C4038" s="1" t="n">
        <v>46086</v>
      </c>
      <c r="D4038" t="inlineStr">
        <is>
          <t>GÄVLEBORGS LÄN</t>
        </is>
      </c>
      <c r="E4038" t="inlineStr">
        <is>
          <t>BOLLNÄS</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2997-2026</t>
        </is>
      </c>
      <c r="B4039" s="1" t="n">
        <v>46038</v>
      </c>
      <c r="C4039" s="1" t="n">
        <v>46086</v>
      </c>
      <c r="D4039" t="inlineStr">
        <is>
          <t>GÄVLEBORGS LÄN</t>
        </is>
      </c>
      <c r="E4039" t="inlineStr">
        <is>
          <t>BOLLNÄS</t>
        </is>
      </c>
      <c r="G4039" t="n">
        <v>5.9</v>
      </c>
      <c r="H4039" t="n">
        <v>0</v>
      </c>
      <c r="I4039" t="n">
        <v>0</v>
      </c>
      <c r="J4039" t="n">
        <v>0</v>
      </c>
      <c r="K4039" t="n">
        <v>0</v>
      </c>
      <c r="L4039" t="n">
        <v>0</v>
      </c>
      <c r="M4039" t="n">
        <v>0</v>
      </c>
      <c r="N4039" t="n">
        <v>0</v>
      </c>
      <c r="O4039" t="n">
        <v>0</v>
      </c>
      <c r="P4039" t="n">
        <v>0</v>
      </c>
      <c r="Q4039" t="n">
        <v>0</v>
      </c>
      <c r="R4039" s="2" t="inlineStr"/>
    </row>
    <row r="4040" ht="15" customHeight="1">
      <c r="A4040" t="inlineStr">
        <is>
          <t>A 3001-2026</t>
        </is>
      </c>
      <c r="B4040" s="1" t="n">
        <v>46038</v>
      </c>
      <c r="C4040" s="1" t="n">
        <v>46086</v>
      </c>
      <c r="D4040" t="inlineStr">
        <is>
          <t>GÄVLEBORGS LÄN</t>
        </is>
      </c>
      <c r="E4040" t="inlineStr">
        <is>
          <t>OCKELBO</t>
        </is>
      </c>
      <c r="F4040" t="inlineStr">
        <is>
          <t>Bergvik skog väst AB</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3020-2026</t>
        </is>
      </c>
      <c r="B4041" s="1" t="n">
        <v>46038.66976851852</v>
      </c>
      <c r="C4041" s="1" t="n">
        <v>46086</v>
      </c>
      <c r="D4041" t="inlineStr">
        <is>
          <t>GÄVLEBORGS LÄN</t>
        </is>
      </c>
      <c r="E4041" t="inlineStr">
        <is>
          <t>LJUSDAL</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3039-2026</t>
        </is>
      </c>
      <c r="B4042" s="1" t="n">
        <v>46038.72822916666</v>
      </c>
      <c r="C4042" s="1" t="n">
        <v>46086</v>
      </c>
      <c r="D4042" t="inlineStr">
        <is>
          <t>GÄVLEBORGS LÄN</t>
        </is>
      </c>
      <c r="E4042" t="inlineStr">
        <is>
          <t>BOLLNÄS</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2919-2026</t>
        </is>
      </c>
      <c r="B4043" s="1" t="n">
        <v>46038.57648148148</v>
      </c>
      <c r="C4043" s="1" t="n">
        <v>46086</v>
      </c>
      <c r="D4043" t="inlineStr">
        <is>
          <t>GÄVLEBORGS LÄN</t>
        </is>
      </c>
      <c r="E4043" t="inlineStr">
        <is>
          <t>OCKELBO</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2739-2026</t>
        </is>
      </c>
      <c r="B4044" s="1" t="n">
        <v>46038.27465277778</v>
      </c>
      <c r="C4044" s="1" t="n">
        <v>46086</v>
      </c>
      <c r="D4044" t="inlineStr">
        <is>
          <t>GÄVLEBORGS LÄN</t>
        </is>
      </c>
      <c r="E4044" t="inlineStr">
        <is>
          <t>BOLLNÄS</t>
        </is>
      </c>
      <c r="G4044" t="n">
        <v>3.8</v>
      </c>
      <c r="H4044" t="n">
        <v>0</v>
      </c>
      <c r="I4044" t="n">
        <v>0</v>
      </c>
      <c r="J4044" t="n">
        <v>0</v>
      </c>
      <c r="K4044" t="n">
        <v>0</v>
      </c>
      <c r="L4044" t="n">
        <v>0</v>
      </c>
      <c r="M4044" t="n">
        <v>0</v>
      </c>
      <c r="N4044" t="n">
        <v>0</v>
      </c>
      <c r="O4044" t="n">
        <v>0</v>
      </c>
      <c r="P4044" t="n">
        <v>0</v>
      </c>
      <c r="Q4044" t="n">
        <v>0</v>
      </c>
      <c r="R4044" s="2" t="inlineStr"/>
    </row>
    <row r="4045" ht="15" customHeight="1">
      <c r="A4045" t="inlineStr">
        <is>
          <t>A 2795-2026</t>
        </is>
      </c>
      <c r="B4045" s="1" t="n">
        <v>46038</v>
      </c>
      <c r="C4045" s="1" t="n">
        <v>46086</v>
      </c>
      <c r="D4045" t="inlineStr">
        <is>
          <t>GÄVLEBORGS LÄN</t>
        </is>
      </c>
      <c r="E4045" t="inlineStr">
        <is>
          <t>BOLLNÄS</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2801-2026</t>
        </is>
      </c>
      <c r="B4046" s="1" t="n">
        <v>46038.4105787037</v>
      </c>
      <c r="C4046" s="1" t="n">
        <v>46086</v>
      </c>
      <c r="D4046" t="inlineStr">
        <is>
          <t>GÄVLEBORGS LÄN</t>
        </is>
      </c>
      <c r="E4046" t="inlineStr">
        <is>
          <t>HUDIKSVALL</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2833-2026</t>
        </is>
      </c>
      <c r="B4047" s="1" t="n">
        <v>46038.45736111111</v>
      </c>
      <c r="C4047" s="1" t="n">
        <v>46086</v>
      </c>
      <c r="D4047" t="inlineStr">
        <is>
          <t>GÄVLEBORGS LÄN</t>
        </is>
      </c>
      <c r="E4047" t="inlineStr">
        <is>
          <t>OVANÅKER</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6429-2026</t>
        </is>
      </c>
      <c r="B4048" s="1" t="n">
        <v>46055</v>
      </c>
      <c r="C4048" s="1" t="n">
        <v>46086</v>
      </c>
      <c r="D4048" t="inlineStr">
        <is>
          <t>GÄVLEBORGS LÄN</t>
        </is>
      </c>
      <c r="E4048" t="inlineStr">
        <is>
          <t>BOLLNÄS</t>
        </is>
      </c>
      <c r="F4048" t="inlineStr">
        <is>
          <t>Kyrkan</t>
        </is>
      </c>
      <c r="G4048" t="n">
        <v>7.8</v>
      </c>
      <c r="H4048" t="n">
        <v>0</v>
      </c>
      <c r="I4048" t="n">
        <v>0</v>
      </c>
      <c r="J4048" t="n">
        <v>0</v>
      </c>
      <c r="K4048" t="n">
        <v>0</v>
      </c>
      <c r="L4048" t="n">
        <v>0</v>
      </c>
      <c r="M4048" t="n">
        <v>0</v>
      </c>
      <c r="N4048" t="n">
        <v>0</v>
      </c>
      <c r="O4048" t="n">
        <v>0</v>
      </c>
      <c r="P4048" t="n">
        <v>0</v>
      </c>
      <c r="Q4048" t="n">
        <v>0</v>
      </c>
      <c r="R4048" s="2" t="inlineStr"/>
    </row>
    <row r="4049" ht="15" customHeight="1">
      <c r="A4049" t="inlineStr">
        <is>
          <t>A 8841-2026</t>
        </is>
      </c>
      <c r="B4049" s="1" t="n">
        <v>46066</v>
      </c>
      <c r="C4049" s="1" t="n">
        <v>46086</v>
      </c>
      <c r="D4049" t="inlineStr">
        <is>
          <t>GÄVLEBORGS LÄN</t>
        </is>
      </c>
      <c r="E4049" t="inlineStr">
        <is>
          <t>LJUSDAL</t>
        </is>
      </c>
      <c r="G4049" t="n">
        <v>4.9</v>
      </c>
      <c r="H4049" t="n">
        <v>0</v>
      </c>
      <c r="I4049" t="n">
        <v>0</v>
      </c>
      <c r="J4049" t="n">
        <v>0</v>
      </c>
      <c r="K4049" t="n">
        <v>0</v>
      </c>
      <c r="L4049" t="n">
        <v>0</v>
      </c>
      <c r="M4049" t="n">
        <v>0</v>
      </c>
      <c r="N4049" t="n">
        <v>0</v>
      </c>
      <c r="O4049" t="n">
        <v>0</v>
      </c>
      <c r="P4049" t="n">
        <v>0</v>
      </c>
      <c r="Q4049" t="n">
        <v>0</v>
      </c>
      <c r="R4049" s="2" t="inlineStr"/>
    </row>
    <row r="4050" ht="15" customHeight="1">
      <c r="A4050" t="inlineStr">
        <is>
          <t>A 8853-2026</t>
        </is>
      </c>
      <c r="B4050" s="1" t="n">
        <v>46066</v>
      </c>
      <c r="C4050" s="1" t="n">
        <v>46086</v>
      </c>
      <c r="D4050" t="inlineStr">
        <is>
          <t>GÄVLEBORGS LÄN</t>
        </is>
      </c>
      <c r="E4050" t="inlineStr">
        <is>
          <t>LJUSDAL</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8947-2026</t>
        </is>
      </c>
      <c r="B4051" s="1" t="n">
        <v>46069.38033564815</v>
      </c>
      <c r="C4051" s="1" t="n">
        <v>46086</v>
      </c>
      <c r="D4051" t="inlineStr">
        <is>
          <t>GÄVLEBORGS LÄN</t>
        </is>
      </c>
      <c r="E4051" t="inlineStr">
        <is>
          <t>HUDIKSVALL</t>
        </is>
      </c>
      <c r="F4051" t="inlineStr">
        <is>
          <t>Holmen skog AB</t>
        </is>
      </c>
      <c r="G4051" t="n">
        <v>14.5</v>
      </c>
      <c r="H4051" t="n">
        <v>0</v>
      </c>
      <c r="I4051" t="n">
        <v>0</v>
      </c>
      <c r="J4051" t="n">
        <v>0</v>
      </c>
      <c r="K4051" t="n">
        <v>0</v>
      </c>
      <c r="L4051" t="n">
        <v>0</v>
      </c>
      <c r="M4051" t="n">
        <v>0</v>
      </c>
      <c r="N4051" t="n">
        <v>0</v>
      </c>
      <c r="O4051" t="n">
        <v>0</v>
      </c>
      <c r="P4051" t="n">
        <v>0</v>
      </c>
      <c r="Q4051" t="n">
        <v>0</v>
      </c>
      <c r="R4051" s="2" t="inlineStr"/>
    </row>
    <row r="4052" ht="15" customHeight="1">
      <c r="A4052" t="inlineStr">
        <is>
          <t>A 6731-2026</t>
        </is>
      </c>
      <c r="B4052" s="1" t="n">
        <v>46056</v>
      </c>
      <c r="C4052" s="1" t="n">
        <v>46086</v>
      </c>
      <c r="D4052" t="inlineStr">
        <is>
          <t>GÄVLEBORGS LÄN</t>
        </is>
      </c>
      <c r="E4052" t="inlineStr">
        <is>
          <t>LJUSDAL</t>
        </is>
      </c>
      <c r="G4052" t="n">
        <v>9.6</v>
      </c>
      <c r="H4052" t="n">
        <v>0</v>
      </c>
      <c r="I4052" t="n">
        <v>0</v>
      </c>
      <c r="J4052" t="n">
        <v>0</v>
      </c>
      <c r="K4052" t="n">
        <v>0</v>
      </c>
      <c r="L4052" t="n">
        <v>0</v>
      </c>
      <c r="M4052" t="n">
        <v>0</v>
      </c>
      <c r="N4052" t="n">
        <v>0</v>
      </c>
      <c r="O4052" t="n">
        <v>0</v>
      </c>
      <c r="P4052" t="n">
        <v>0</v>
      </c>
      <c r="Q4052" t="n">
        <v>0</v>
      </c>
      <c r="R4052" s="2" t="inlineStr"/>
    </row>
    <row r="4053" ht="15" customHeight="1">
      <c r="A4053" t="inlineStr">
        <is>
          <t>A 8331-2026</t>
        </is>
      </c>
      <c r="B4053" s="1" t="n">
        <v>46064</v>
      </c>
      <c r="C4053" s="1" t="n">
        <v>46086</v>
      </c>
      <c r="D4053" t="inlineStr">
        <is>
          <t>GÄVLEBORGS LÄN</t>
        </is>
      </c>
      <c r="E4053" t="inlineStr">
        <is>
          <t>OVANÅKER</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8334-2026</t>
        </is>
      </c>
      <c r="B4054" s="1" t="n">
        <v>46064</v>
      </c>
      <c r="C4054" s="1" t="n">
        <v>46086</v>
      </c>
      <c r="D4054" t="inlineStr">
        <is>
          <t>GÄVLEBORGS LÄN</t>
        </is>
      </c>
      <c r="E4054" t="inlineStr">
        <is>
          <t>OVANÅKER</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8441-2026</t>
        </is>
      </c>
      <c r="B4055" s="1" t="n">
        <v>46065</v>
      </c>
      <c r="C4055" s="1" t="n">
        <v>46086</v>
      </c>
      <c r="D4055" t="inlineStr">
        <is>
          <t>GÄVLEBORGS LÄN</t>
        </is>
      </c>
      <c r="E4055" t="inlineStr">
        <is>
          <t>OCKELBO</t>
        </is>
      </c>
      <c r="F4055" t="inlineStr">
        <is>
          <t>Bergvik skog väst AB</t>
        </is>
      </c>
      <c r="G4055" t="n">
        <v>14.5</v>
      </c>
      <c r="H4055" t="n">
        <v>0</v>
      </c>
      <c r="I4055" t="n">
        <v>0</v>
      </c>
      <c r="J4055" t="n">
        <v>0</v>
      </c>
      <c r="K4055" t="n">
        <v>0</v>
      </c>
      <c r="L4055" t="n">
        <v>0</v>
      </c>
      <c r="M4055" t="n">
        <v>0</v>
      </c>
      <c r="N4055" t="n">
        <v>0</v>
      </c>
      <c r="O4055" t="n">
        <v>0</v>
      </c>
      <c r="P4055" t="n">
        <v>0</v>
      </c>
      <c r="Q4055" t="n">
        <v>0</v>
      </c>
      <c r="R4055" s="2" t="inlineStr"/>
    </row>
    <row r="4056" ht="15" customHeight="1">
      <c r="A4056" t="inlineStr">
        <is>
          <t>A 9013-2026</t>
        </is>
      </c>
      <c r="B4056" s="1" t="n">
        <v>46069.49005787037</v>
      </c>
      <c r="C4056" s="1" t="n">
        <v>46086</v>
      </c>
      <c r="D4056" t="inlineStr">
        <is>
          <t>GÄVLEBORGS LÄN</t>
        </is>
      </c>
      <c r="E4056" t="inlineStr">
        <is>
          <t>NORDANSTIG</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9159-2026</t>
        </is>
      </c>
      <c r="B4057" s="1" t="n">
        <v>46070</v>
      </c>
      <c r="C4057" s="1" t="n">
        <v>46086</v>
      </c>
      <c r="D4057" t="inlineStr">
        <is>
          <t>GÄVLEBORGS LÄN</t>
        </is>
      </c>
      <c r="E4057" t="inlineStr">
        <is>
          <t>HUDIKSVALL</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33166-2025</t>
        </is>
      </c>
      <c r="B4058" s="1" t="n">
        <v>45840.57563657407</v>
      </c>
      <c r="C4058" s="1" t="n">
        <v>46086</v>
      </c>
      <c r="D4058" t="inlineStr">
        <is>
          <t>GÄVLEBORGS LÄN</t>
        </is>
      </c>
      <c r="E4058" t="inlineStr">
        <is>
          <t>HUDIKSVALL</t>
        </is>
      </c>
      <c r="F4058" t="inlineStr">
        <is>
          <t>Holmen skog AB</t>
        </is>
      </c>
      <c r="G4058" t="n">
        <v>6.2</v>
      </c>
      <c r="H4058" t="n">
        <v>0</v>
      </c>
      <c r="I4058" t="n">
        <v>0</v>
      </c>
      <c r="J4058" t="n">
        <v>0</v>
      </c>
      <c r="K4058" t="n">
        <v>0</v>
      </c>
      <c r="L4058" t="n">
        <v>0</v>
      </c>
      <c r="M4058" t="n">
        <v>0</v>
      </c>
      <c r="N4058" t="n">
        <v>0</v>
      </c>
      <c r="O4058" t="n">
        <v>0</v>
      </c>
      <c r="P4058" t="n">
        <v>0</v>
      </c>
      <c r="Q4058" t="n">
        <v>0</v>
      </c>
      <c r="R4058" s="2" t="inlineStr"/>
    </row>
    <row r="4059" ht="15" customHeight="1">
      <c r="A4059" t="inlineStr">
        <is>
          <t>A 6227-2023</t>
        </is>
      </c>
      <c r="B4059" s="1" t="n">
        <v>44964</v>
      </c>
      <c r="C4059" s="1" t="n">
        <v>46086</v>
      </c>
      <c r="D4059" t="inlineStr">
        <is>
          <t>GÄVLEBORGS LÄN</t>
        </is>
      </c>
      <c r="E4059" t="inlineStr">
        <is>
          <t>HUDIKSVALL</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33179-2025</t>
        </is>
      </c>
      <c r="B4060" s="1" t="n">
        <v>45840</v>
      </c>
      <c r="C4060" s="1" t="n">
        <v>46086</v>
      </c>
      <c r="D4060" t="inlineStr">
        <is>
          <t>GÄVLEBORGS LÄN</t>
        </is>
      </c>
      <c r="E4060" t="inlineStr">
        <is>
          <t>BOLLNÄS</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33197-2025</t>
        </is>
      </c>
      <c r="B4061" s="1" t="n">
        <v>45840.60472222222</v>
      </c>
      <c r="C4061" s="1" t="n">
        <v>46086</v>
      </c>
      <c r="D4061" t="inlineStr">
        <is>
          <t>GÄVLEBORGS LÄN</t>
        </is>
      </c>
      <c r="E4061" t="inlineStr">
        <is>
          <t>HUDIKSVALL</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33231-2025</t>
        </is>
      </c>
      <c r="B4062" s="1" t="n">
        <v>45840.64146990741</v>
      </c>
      <c r="C4062" s="1" t="n">
        <v>46086</v>
      </c>
      <c r="D4062" t="inlineStr">
        <is>
          <t>GÄVLEBORGS LÄN</t>
        </is>
      </c>
      <c r="E4062" t="inlineStr">
        <is>
          <t>OCKELBO</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51133-2023</t>
        </is>
      </c>
      <c r="B4063" s="1" t="n">
        <v>45219.33283564815</v>
      </c>
      <c r="C4063" s="1" t="n">
        <v>46086</v>
      </c>
      <c r="D4063" t="inlineStr">
        <is>
          <t>GÄVLEBORGS LÄN</t>
        </is>
      </c>
      <c r="E4063" t="inlineStr">
        <is>
          <t>BOLLNÄS</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3322-2026</t>
        </is>
      </c>
      <c r="B4064" s="1" t="n">
        <v>46041</v>
      </c>
      <c r="C4064" s="1" t="n">
        <v>46086</v>
      </c>
      <c r="D4064" t="inlineStr">
        <is>
          <t>GÄVLEBORGS LÄN</t>
        </is>
      </c>
      <c r="E4064" t="inlineStr">
        <is>
          <t>BOLLNÄS</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3323-2026</t>
        </is>
      </c>
      <c r="B4065" s="1" t="n">
        <v>46041</v>
      </c>
      <c r="C4065" s="1" t="n">
        <v>46086</v>
      </c>
      <c r="D4065" t="inlineStr">
        <is>
          <t>GÄVLEBORGS LÄN</t>
        </is>
      </c>
      <c r="E4065" t="inlineStr">
        <is>
          <t>BOLLNÄS</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3326-2026</t>
        </is>
      </c>
      <c r="B4066" s="1" t="n">
        <v>46041.71984953704</v>
      </c>
      <c r="C4066" s="1" t="n">
        <v>46086</v>
      </c>
      <c r="D4066" t="inlineStr">
        <is>
          <t>GÄVLEBORGS LÄN</t>
        </is>
      </c>
      <c r="E4066" t="inlineStr">
        <is>
          <t>BOLLNÄS</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2810-2026</t>
        </is>
      </c>
      <c r="B4067" s="1" t="n">
        <v>46038.41835648148</v>
      </c>
      <c r="C4067" s="1" t="n">
        <v>46086</v>
      </c>
      <c r="D4067" t="inlineStr">
        <is>
          <t>GÄVLEBORGS LÄN</t>
        </is>
      </c>
      <c r="E4067" t="inlineStr">
        <is>
          <t>OVANÅKER</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2775-2026</t>
        </is>
      </c>
      <c r="B4068" s="1" t="n">
        <v>46038.37686342592</v>
      </c>
      <c r="C4068" s="1" t="n">
        <v>46086</v>
      </c>
      <c r="D4068" t="inlineStr">
        <is>
          <t>GÄVLEBORGS LÄN</t>
        </is>
      </c>
      <c r="E4068" t="inlineStr">
        <is>
          <t>BOLLNÄS</t>
        </is>
      </c>
      <c r="G4068" t="n">
        <v>6.4</v>
      </c>
      <c r="H4068" t="n">
        <v>0</v>
      </c>
      <c r="I4068" t="n">
        <v>0</v>
      </c>
      <c r="J4068" t="n">
        <v>0</v>
      </c>
      <c r="K4068" t="n">
        <v>0</v>
      </c>
      <c r="L4068" t="n">
        <v>0</v>
      </c>
      <c r="M4068" t="n">
        <v>0</v>
      </c>
      <c r="N4068" t="n">
        <v>0</v>
      </c>
      <c r="O4068" t="n">
        <v>0</v>
      </c>
      <c r="P4068" t="n">
        <v>0</v>
      </c>
      <c r="Q4068" t="n">
        <v>0</v>
      </c>
      <c r="R4068" s="2" t="inlineStr"/>
    </row>
    <row r="4069" ht="15" customHeight="1">
      <c r="A4069" t="inlineStr">
        <is>
          <t>A 43058-2025</t>
        </is>
      </c>
      <c r="B4069" s="1" t="n">
        <v>45909</v>
      </c>
      <c r="C4069" s="1" t="n">
        <v>46086</v>
      </c>
      <c r="D4069" t="inlineStr">
        <is>
          <t>GÄVLEBORGS LÄN</t>
        </is>
      </c>
      <c r="E4069" t="inlineStr">
        <is>
          <t>BOLLNÄS</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33594-2025</t>
        </is>
      </c>
      <c r="B4070" s="1" t="n">
        <v>45841</v>
      </c>
      <c r="C4070" s="1" t="n">
        <v>46086</v>
      </c>
      <c r="D4070" t="inlineStr">
        <is>
          <t>GÄVLEBORGS LÄN</t>
        </is>
      </c>
      <c r="E4070" t="inlineStr">
        <is>
          <t>LJUSDAL</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42737-2025</t>
        </is>
      </c>
      <c r="B4071" s="1" t="n">
        <v>45908.42128472222</v>
      </c>
      <c r="C4071" s="1" t="n">
        <v>46086</v>
      </c>
      <c r="D4071" t="inlineStr">
        <is>
          <t>GÄVLEBORGS LÄN</t>
        </is>
      </c>
      <c r="E4071" t="inlineStr">
        <is>
          <t>NORDANSTIG</t>
        </is>
      </c>
      <c r="F4071" t="inlineStr">
        <is>
          <t>Holmen skog AB</t>
        </is>
      </c>
      <c r="G4071" t="n">
        <v>6.7</v>
      </c>
      <c r="H4071" t="n">
        <v>0</v>
      </c>
      <c r="I4071" t="n">
        <v>0</v>
      </c>
      <c r="J4071" t="n">
        <v>0</v>
      </c>
      <c r="K4071" t="n">
        <v>0</v>
      </c>
      <c r="L4071" t="n">
        <v>0</v>
      </c>
      <c r="M4071" t="n">
        <v>0</v>
      </c>
      <c r="N4071" t="n">
        <v>0</v>
      </c>
      <c r="O4071" t="n">
        <v>0</v>
      </c>
      <c r="P4071" t="n">
        <v>0</v>
      </c>
      <c r="Q4071" t="n">
        <v>0</v>
      </c>
      <c r="R4071" s="2" t="inlineStr"/>
    </row>
    <row r="4072" ht="15" customHeight="1">
      <c r="A4072" t="inlineStr">
        <is>
          <t>A 42866-2025</t>
        </is>
      </c>
      <c r="B4072" s="1" t="n">
        <v>45908.61733796296</v>
      </c>
      <c r="C4072" s="1" t="n">
        <v>46086</v>
      </c>
      <c r="D4072" t="inlineStr">
        <is>
          <t>GÄVLEBORGS LÄN</t>
        </is>
      </c>
      <c r="E4072" t="inlineStr">
        <is>
          <t>LJUSDAL</t>
        </is>
      </c>
      <c r="F4072" t="inlineStr">
        <is>
          <t>Allmännings- och besparingsskogar</t>
        </is>
      </c>
      <c r="G4072" t="n">
        <v>6.2</v>
      </c>
      <c r="H4072" t="n">
        <v>0</v>
      </c>
      <c r="I4072" t="n">
        <v>0</v>
      </c>
      <c r="J4072" t="n">
        <v>0</v>
      </c>
      <c r="K4072" t="n">
        <v>0</v>
      </c>
      <c r="L4072" t="n">
        <v>0</v>
      </c>
      <c r="M4072" t="n">
        <v>0</v>
      </c>
      <c r="N4072" t="n">
        <v>0</v>
      </c>
      <c r="O4072" t="n">
        <v>0</v>
      </c>
      <c r="P4072" t="n">
        <v>0</v>
      </c>
      <c r="Q4072" t="n">
        <v>0</v>
      </c>
      <c r="R4072" s="2" t="inlineStr"/>
    </row>
    <row r="4073" ht="15" customHeight="1">
      <c r="A4073" t="inlineStr">
        <is>
          <t>A 33714-2025</t>
        </is>
      </c>
      <c r="B4073" s="1" t="n">
        <v>45841</v>
      </c>
      <c r="C4073" s="1" t="n">
        <v>46086</v>
      </c>
      <c r="D4073" t="inlineStr">
        <is>
          <t>GÄVLEBORGS LÄN</t>
        </is>
      </c>
      <c r="E4073" t="inlineStr">
        <is>
          <t>HUDIKSVALL</t>
        </is>
      </c>
      <c r="F4073" t="inlineStr">
        <is>
          <t>Holmen skog AB</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33260-2025</t>
        </is>
      </c>
      <c r="B4074" s="1" t="n">
        <v>45840.67354166666</v>
      </c>
      <c r="C4074" s="1" t="n">
        <v>46086</v>
      </c>
      <c r="D4074" t="inlineStr">
        <is>
          <t>GÄVLEBORGS LÄN</t>
        </is>
      </c>
      <c r="E4074" t="inlineStr">
        <is>
          <t>HUDIKSVALL</t>
        </is>
      </c>
      <c r="F4074" t="inlineStr">
        <is>
          <t>Holmen skog AB</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2888-2026</t>
        </is>
      </c>
      <c r="B4075" s="1" t="n">
        <v>46038.54446759259</v>
      </c>
      <c r="C4075" s="1" t="n">
        <v>46086</v>
      </c>
      <c r="D4075" t="inlineStr">
        <is>
          <t>GÄVLEBORGS LÄN</t>
        </is>
      </c>
      <c r="E4075" t="inlineStr">
        <is>
          <t>BOLLNÄS</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2830-2026</t>
        </is>
      </c>
      <c r="B4076" s="1" t="n">
        <v>46038.45454861111</v>
      </c>
      <c r="C4076" s="1" t="n">
        <v>46086</v>
      </c>
      <c r="D4076" t="inlineStr">
        <is>
          <t>GÄVLEBORGS LÄN</t>
        </is>
      </c>
      <c r="E4076" t="inlineStr">
        <is>
          <t>OVANÅKER</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2851-2026</t>
        </is>
      </c>
      <c r="B4077" s="1" t="n">
        <v>46038.48033564815</v>
      </c>
      <c r="C4077" s="1" t="n">
        <v>46086</v>
      </c>
      <c r="D4077" t="inlineStr">
        <is>
          <t>GÄVLEBORGS LÄN</t>
        </is>
      </c>
      <c r="E4077" t="inlineStr">
        <is>
          <t>OVANÅKER</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41023-2023</t>
        </is>
      </c>
      <c r="B4078" s="1" t="n">
        <v>45173.59473379629</v>
      </c>
      <c r="C4078" s="1" t="n">
        <v>46086</v>
      </c>
      <c r="D4078" t="inlineStr">
        <is>
          <t>GÄVLEBORGS LÄN</t>
        </is>
      </c>
      <c r="E4078" t="inlineStr">
        <is>
          <t>SANDVIKEN</t>
        </is>
      </c>
      <c r="F4078" t="inlineStr">
        <is>
          <t>Sveaskog</t>
        </is>
      </c>
      <c r="G4078" t="n">
        <v>5.2</v>
      </c>
      <c r="H4078" t="n">
        <v>0</v>
      </c>
      <c r="I4078" t="n">
        <v>0</v>
      </c>
      <c r="J4078" t="n">
        <v>0</v>
      </c>
      <c r="K4078" t="n">
        <v>0</v>
      </c>
      <c r="L4078" t="n">
        <v>0</v>
      </c>
      <c r="M4078" t="n">
        <v>0</v>
      </c>
      <c r="N4078" t="n">
        <v>0</v>
      </c>
      <c r="O4078" t="n">
        <v>0</v>
      </c>
      <c r="P4078" t="n">
        <v>0</v>
      </c>
      <c r="Q4078" t="n">
        <v>0</v>
      </c>
      <c r="R4078" s="2" t="inlineStr"/>
    </row>
    <row r="4079" ht="15" customHeight="1">
      <c r="A4079" t="inlineStr">
        <is>
          <t>A 11406-2023</t>
        </is>
      </c>
      <c r="B4079" s="1" t="n">
        <v>44988</v>
      </c>
      <c r="C4079" s="1" t="n">
        <v>46086</v>
      </c>
      <c r="D4079" t="inlineStr">
        <is>
          <t>GÄVLEBORGS LÄN</t>
        </is>
      </c>
      <c r="E4079" t="inlineStr">
        <is>
          <t>SANDVIKEN</t>
        </is>
      </c>
      <c r="G4079" t="n">
        <v>4.4</v>
      </c>
      <c r="H4079" t="n">
        <v>0</v>
      </c>
      <c r="I4079" t="n">
        <v>0</v>
      </c>
      <c r="J4079" t="n">
        <v>0</v>
      </c>
      <c r="K4079" t="n">
        <v>0</v>
      </c>
      <c r="L4079" t="n">
        <v>0</v>
      </c>
      <c r="M4079" t="n">
        <v>0</v>
      </c>
      <c r="N4079" t="n">
        <v>0</v>
      </c>
      <c r="O4079" t="n">
        <v>0</v>
      </c>
      <c r="P4079" t="n">
        <v>0</v>
      </c>
      <c r="Q4079" t="n">
        <v>0</v>
      </c>
      <c r="R4079" s="2" t="inlineStr"/>
    </row>
    <row r="4080" ht="15" customHeight="1">
      <c r="A4080" t="inlineStr">
        <is>
          <t>A 3009-2026</t>
        </is>
      </c>
      <c r="B4080" s="1" t="n">
        <v>46038</v>
      </c>
      <c r="C4080" s="1" t="n">
        <v>46086</v>
      </c>
      <c r="D4080" t="inlineStr">
        <is>
          <t>GÄVLEBORGS LÄN</t>
        </is>
      </c>
      <c r="E4080" t="inlineStr">
        <is>
          <t>OCKELBO</t>
        </is>
      </c>
      <c r="F4080" t="inlineStr">
        <is>
          <t>Bergvik skog väst AB</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2818-2026</t>
        </is>
      </c>
      <c r="B4081" s="1" t="n">
        <v>46038.43017361111</v>
      </c>
      <c r="C4081" s="1" t="n">
        <v>46086</v>
      </c>
      <c r="D4081" t="inlineStr">
        <is>
          <t>GÄVLEBORGS LÄN</t>
        </is>
      </c>
      <c r="E4081" t="inlineStr">
        <is>
          <t>BOLLNÄS</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882-2026</t>
        </is>
      </c>
      <c r="B4082" s="1" t="n">
        <v>46030</v>
      </c>
      <c r="C4082" s="1" t="n">
        <v>46086</v>
      </c>
      <c r="D4082" t="inlineStr">
        <is>
          <t>GÄVLEBORGS LÄN</t>
        </is>
      </c>
      <c r="E4082" t="inlineStr">
        <is>
          <t>OVANÅKER</t>
        </is>
      </c>
      <c r="G4082" t="n">
        <v>19.1</v>
      </c>
      <c r="H4082" t="n">
        <v>0</v>
      </c>
      <c r="I4082" t="n">
        <v>0</v>
      </c>
      <c r="J4082" t="n">
        <v>0</v>
      </c>
      <c r="K4082" t="n">
        <v>0</v>
      </c>
      <c r="L4082" t="n">
        <v>0</v>
      </c>
      <c r="M4082" t="n">
        <v>0</v>
      </c>
      <c r="N4082" t="n">
        <v>0</v>
      </c>
      <c r="O4082" t="n">
        <v>0</v>
      </c>
      <c r="P4082" t="n">
        <v>0</v>
      </c>
      <c r="Q4082" t="n">
        <v>0</v>
      </c>
      <c r="R4082" s="2" t="inlineStr"/>
    </row>
    <row r="4083" ht="15" customHeight="1">
      <c r="A4083" t="inlineStr">
        <is>
          <t>A 3271-2026</t>
        </is>
      </c>
      <c r="B4083" s="1" t="n">
        <v>46041.6093287037</v>
      </c>
      <c r="C4083" s="1" t="n">
        <v>46086</v>
      </c>
      <c r="D4083" t="inlineStr">
        <is>
          <t>GÄVLEBORGS LÄN</t>
        </is>
      </c>
      <c r="E4083" t="inlineStr">
        <is>
          <t>HUDIKSVALL</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42803-2025</t>
        </is>
      </c>
      <c r="B4084" s="1" t="n">
        <v>45908.53729166667</v>
      </c>
      <c r="C4084" s="1" t="n">
        <v>46086</v>
      </c>
      <c r="D4084" t="inlineStr">
        <is>
          <t>GÄVLEBORGS LÄN</t>
        </is>
      </c>
      <c r="E4084" t="inlineStr">
        <is>
          <t>GÄVLE</t>
        </is>
      </c>
      <c r="F4084" t="inlineStr">
        <is>
          <t>Bergvik skog öst AB</t>
        </is>
      </c>
      <c r="G4084" t="n">
        <v>11.9</v>
      </c>
      <c r="H4084" t="n">
        <v>0</v>
      </c>
      <c r="I4084" t="n">
        <v>0</v>
      </c>
      <c r="J4084" t="n">
        <v>0</v>
      </c>
      <c r="K4084" t="n">
        <v>0</v>
      </c>
      <c r="L4084" t="n">
        <v>0</v>
      </c>
      <c r="M4084" t="n">
        <v>0</v>
      </c>
      <c r="N4084" t="n">
        <v>0</v>
      </c>
      <c r="O4084" t="n">
        <v>0</v>
      </c>
      <c r="P4084" t="n">
        <v>0</v>
      </c>
      <c r="Q4084" t="n">
        <v>0</v>
      </c>
      <c r="R4084" s="2" t="inlineStr"/>
    </row>
    <row r="4085" ht="15" customHeight="1">
      <c r="A4085" t="inlineStr">
        <is>
          <t>A 33016-2025</t>
        </is>
      </c>
      <c r="B4085" s="1" t="n">
        <v>45840.36652777778</v>
      </c>
      <c r="C4085" s="1" t="n">
        <v>46086</v>
      </c>
      <c r="D4085" t="inlineStr">
        <is>
          <t>GÄVLEBORGS LÄN</t>
        </is>
      </c>
      <c r="E4085" t="inlineStr">
        <is>
          <t>OVANÅKER</t>
        </is>
      </c>
      <c r="F4085" t="inlineStr">
        <is>
          <t>Bergvik skog väst AB</t>
        </is>
      </c>
      <c r="G4085" t="n">
        <v>8.800000000000001</v>
      </c>
      <c r="H4085" t="n">
        <v>0</v>
      </c>
      <c r="I4085" t="n">
        <v>0</v>
      </c>
      <c r="J4085" t="n">
        <v>0</v>
      </c>
      <c r="K4085" t="n">
        <v>0</v>
      </c>
      <c r="L4085" t="n">
        <v>0</v>
      </c>
      <c r="M4085" t="n">
        <v>0</v>
      </c>
      <c r="N4085" t="n">
        <v>0</v>
      </c>
      <c r="O4085" t="n">
        <v>0</v>
      </c>
      <c r="P4085" t="n">
        <v>0</v>
      </c>
      <c r="Q4085" t="n">
        <v>0</v>
      </c>
      <c r="R4085" s="2" t="inlineStr"/>
    </row>
    <row r="4086" ht="15" customHeight="1">
      <c r="A4086" t="inlineStr">
        <is>
          <t>A 33391-2025</t>
        </is>
      </c>
      <c r="B4086" s="1" t="n">
        <v>45841.40766203704</v>
      </c>
      <c r="C4086" s="1" t="n">
        <v>46086</v>
      </c>
      <c r="D4086" t="inlineStr">
        <is>
          <t>GÄVLEBORGS LÄN</t>
        </is>
      </c>
      <c r="E4086" t="inlineStr">
        <is>
          <t>SÖDERHAMN</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3281-2026</t>
        </is>
      </c>
      <c r="B4087" s="1" t="n">
        <v>46041.62289351852</v>
      </c>
      <c r="C4087" s="1" t="n">
        <v>46086</v>
      </c>
      <c r="D4087" t="inlineStr">
        <is>
          <t>GÄVLEBORGS LÄN</t>
        </is>
      </c>
      <c r="E4087" t="inlineStr">
        <is>
          <t>BOLLNÄS</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3040-2026</t>
        </is>
      </c>
      <c r="B4088" s="1" t="n">
        <v>46038.73027777778</v>
      </c>
      <c r="C4088" s="1" t="n">
        <v>46086</v>
      </c>
      <c r="D4088" t="inlineStr">
        <is>
          <t>GÄVLEBORGS LÄN</t>
        </is>
      </c>
      <c r="E4088" t="inlineStr">
        <is>
          <t>BOLLNÄS</t>
        </is>
      </c>
      <c r="G4088" t="n">
        <v>5.9</v>
      </c>
      <c r="H4088" t="n">
        <v>0</v>
      </c>
      <c r="I4088" t="n">
        <v>0</v>
      </c>
      <c r="J4088" t="n">
        <v>0</v>
      </c>
      <c r="K4088" t="n">
        <v>0</v>
      </c>
      <c r="L4088" t="n">
        <v>0</v>
      </c>
      <c r="M4088" t="n">
        <v>0</v>
      </c>
      <c r="N4088" t="n">
        <v>0</v>
      </c>
      <c r="O4088" t="n">
        <v>0</v>
      </c>
      <c r="P4088" t="n">
        <v>0</v>
      </c>
      <c r="Q4088" t="n">
        <v>0</v>
      </c>
      <c r="R4088" s="2" t="inlineStr"/>
    </row>
    <row r="4089" ht="15" customHeight="1">
      <c r="A4089" t="inlineStr">
        <is>
          <t>A 3041-2026</t>
        </is>
      </c>
      <c r="B4089" s="1" t="n">
        <v>46038.73270833334</v>
      </c>
      <c r="C4089" s="1" t="n">
        <v>46086</v>
      </c>
      <c r="D4089" t="inlineStr">
        <is>
          <t>GÄVLEBORGS LÄN</t>
        </is>
      </c>
      <c r="E4089" t="inlineStr">
        <is>
          <t>BOLLNÄS</t>
        </is>
      </c>
      <c r="G4089" t="n">
        <v>7</v>
      </c>
      <c r="H4089" t="n">
        <v>0</v>
      </c>
      <c r="I4089" t="n">
        <v>0</v>
      </c>
      <c r="J4089" t="n">
        <v>0</v>
      </c>
      <c r="K4089" t="n">
        <v>0</v>
      </c>
      <c r="L4089" t="n">
        <v>0</v>
      </c>
      <c r="M4089" t="n">
        <v>0</v>
      </c>
      <c r="N4089" t="n">
        <v>0</v>
      </c>
      <c r="O4089" t="n">
        <v>0</v>
      </c>
      <c r="P4089" t="n">
        <v>0</v>
      </c>
      <c r="Q4089" t="n">
        <v>0</v>
      </c>
      <c r="R4089" s="2" t="inlineStr"/>
    </row>
    <row r="4090" ht="15" customHeight="1">
      <c r="A4090" t="inlineStr">
        <is>
          <t>A 3097-2026</t>
        </is>
      </c>
      <c r="B4090" s="1" t="n">
        <v>46041.25748842592</v>
      </c>
      <c r="C4090" s="1" t="n">
        <v>46086</v>
      </c>
      <c r="D4090" t="inlineStr">
        <is>
          <t>GÄVLEBORGS LÄN</t>
        </is>
      </c>
      <c r="E4090" t="inlineStr">
        <is>
          <t>BOLLNÄS</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42980-2025</t>
        </is>
      </c>
      <c r="B4091" s="1" t="n">
        <v>45909</v>
      </c>
      <c r="C4091" s="1" t="n">
        <v>46086</v>
      </c>
      <c r="D4091" t="inlineStr">
        <is>
          <t>GÄVLEBORGS LÄN</t>
        </is>
      </c>
      <c r="E4091" t="inlineStr">
        <is>
          <t>NORDANSTIG</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42822-2025</t>
        </is>
      </c>
      <c r="B4092" s="1" t="n">
        <v>45908.5725</v>
      </c>
      <c r="C4092" s="1" t="n">
        <v>46086</v>
      </c>
      <c r="D4092" t="inlineStr">
        <is>
          <t>GÄVLEBORGS LÄN</t>
        </is>
      </c>
      <c r="E4092" t="inlineStr">
        <is>
          <t>LJUSDAL</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33639-2025</t>
        </is>
      </c>
      <c r="B4093" s="1" t="n">
        <v>45841.64856481482</v>
      </c>
      <c r="C4093" s="1" t="n">
        <v>46086</v>
      </c>
      <c r="D4093" t="inlineStr">
        <is>
          <t>GÄVLEBORGS LÄN</t>
        </is>
      </c>
      <c r="E4093" t="inlineStr">
        <is>
          <t>BOLLNÄS</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33157-2025</t>
        </is>
      </c>
      <c r="B4094" s="1" t="n">
        <v>45840</v>
      </c>
      <c r="C4094" s="1" t="n">
        <v>46086</v>
      </c>
      <c r="D4094" t="inlineStr">
        <is>
          <t>GÄVLEBORGS LÄN</t>
        </is>
      </c>
      <c r="E4094" t="inlineStr">
        <is>
          <t>HUDIKSVALL</t>
        </is>
      </c>
      <c r="F4094" t="inlineStr">
        <is>
          <t>Holmen skog AB</t>
        </is>
      </c>
      <c r="G4094" t="n">
        <v>5.8</v>
      </c>
      <c r="H4094" t="n">
        <v>0</v>
      </c>
      <c r="I4094" t="n">
        <v>0</v>
      </c>
      <c r="J4094" t="n">
        <v>0</v>
      </c>
      <c r="K4094" t="n">
        <v>0</v>
      </c>
      <c r="L4094" t="n">
        <v>0</v>
      </c>
      <c r="M4094" t="n">
        <v>0</v>
      </c>
      <c r="N4094" t="n">
        <v>0</v>
      </c>
      <c r="O4094" t="n">
        <v>0</v>
      </c>
      <c r="P4094" t="n">
        <v>0</v>
      </c>
      <c r="Q4094" t="n">
        <v>0</v>
      </c>
      <c r="R4094" s="2" t="inlineStr"/>
    </row>
    <row r="4095" ht="15" customHeight="1">
      <c r="A4095" t="inlineStr">
        <is>
          <t>A 33239-2025</t>
        </is>
      </c>
      <c r="B4095" s="1" t="n">
        <v>45840.64883101852</v>
      </c>
      <c r="C4095" s="1" t="n">
        <v>46086</v>
      </c>
      <c r="D4095" t="inlineStr">
        <is>
          <t>GÄVLEBORGS LÄN</t>
        </is>
      </c>
      <c r="E4095" t="inlineStr">
        <is>
          <t>HUDIKSVALL</t>
        </is>
      </c>
      <c r="F4095" t="inlineStr">
        <is>
          <t>Holmen skog AB</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9300-2026</t>
        </is>
      </c>
      <c r="B4096" s="1" t="n">
        <v>46070</v>
      </c>
      <c r="C4096" s="1" t="n">
        <v>46086</v>
      </c>
      <c r="D4096" t="inlineStr">
        <is>
          <t>GÄVLEBORGS LÄN</t>
        </is>
      </c>
      <c r="E4096" t="inlineStr">
        <is>
          <t>BOLLNÄS</t>
        </is>
      </c>
      <c r="F4096" t="inlineStr">
        <is>
          <t>Bergvik skog väst AB</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42851-2025</t>
        </is>
      </c>
      <c r="B4097" s="1" t="n">
        <v>45908.59920138889</v>
      </c>
      <c r="C4097" s="1" t="n">
        <v>46086</v>
      </c>
      <c r="D4097" t="inlineStr">
        <is>
          <t>GÄVLEBORGS LÄN</t>
        </is>
      </c>
      <c r="E4097" t="inlineStr">
        <is>
          <t>HUDIKSVALL</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42913-2025</t>
        </is>
      </c>
      <c r="B4098" s="1" t="n">
        <v>45908.71673611111</v>
      </c>
      <c r="C4098" s="1" t="n">
        <v>46086</v>
      </c>
      <c r="D4098" t="inlineStr">
        <is>
          <t>GÄVLEBORGS LÄN</t>
        </is>
      </c>
      <c r="E4098" t="inlineStr">
        <is>
          <t>LJUSDAL</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42930-2025</t>
        </is>
      </c>
      <c r="B4099" s="1" t="n">
        <v>45909.30883101852</v>
      </c>
      <c r="C4099" s="1" t="n">
        <v>46086</v>
      </c>
      <c r="D4099" t="inlineStr">
        <is>
          <t>GÄVLEBORGS LÄN</t>
        </is>
      </c>
      <c r="E4099" t="inlineStr">
        <is>
          <t>NORDANSTIG</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9883-2026</t>
        </is>
      </c>
      <c r="B4100" s="1" t="n">
        <v>46073</v>
      </c>
      <c r="C4100" s="1" t="n">
        <v>46086</v>
      </c>
      <c r="D4100" t="inlineStr">
        <is>
          <t>GÄVLEBORGS LÄN</t>
        </is>
      </c>
      <c r="E4100" t="inlineStr">
        <is>
          <t>NORDANSTIG</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11427-2026</t>
        </is>
      </c>
      <c r="B4101" s="1" t="n">
        <v>46083.48930555556</v>
      </c>
      <c r="C4101" s="1" t="n">
        <v>46086</v>
      </c>
      <c r="D4101" t="inlineStr">
        <is>
          <t>GÄVLEBORGS LÄN</t>
        </is>
      </c>
      <c r="E4101" t="inlineStr">
        <is>
          <t>OCKELBO</t>
        </is>
      </c>
      <c r="F4101" t="inlineStr">
        <is>
          <t>Bergvik skog väst AB</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11431-2026</t>
        </is>
      </c>
      <c r="B4102" s="1" t="n">
        <v>46083.49189814815</v>
      </c>
      <c r="C4102" s="1" t="n">
        <v>46086</v>
      </c>
      <c r="D4102" t="inlineStr">
        <is>
          <t>GÄVLEBORGS LÄN</t>
        </is>
      </c>
      <c r="E4102" t="inlineStr">
        <is>
          <t>OVANÅKER</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42865-2025</t>
        </is>
      </c>
      <c r="B4103" s="1" t="n">
        <v>45908</v>
      </c>
      <c r="C4103" s="1" t="n">
        <v>46086</v>
      </c>
      <c r="D4103" t="inlineStr">
        <is>
          <t>GÄVLEBORGS LÄN</t>
        </is>
      </c>
      <c r="E4103" t="inlineStr">
        <is>
          <t>BOLLNÄS</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58821-2024</t>
        </is>
      </c>
      <c r="B4104" s="1" t="n">
        <v>45636.36251157407</v>
      </c>
      <c r="C4104" s="1" t="n">
        <v>46086</v>
      </c>
      <c r="D4104" t="inlineStr">
        <is>
          <t>GÄVLEBORGS LÄN</t>
        </is>
      </c>
      <c r="E4104" t="inlineStr">
        <is>
          <t>SÖDERHAMN</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1222-2025</t>
        </is>
      </c>
      <c r="B4105" s="1" t="n">
        <v>45667</v>
      </c>
      <c r="C4105" s="1" t="n">
        <v>46086</v>
      </c>
      <c r="D4105" t="inlineStr">
        <is>
          <t>GÄVLEBORGS LÄN</t>
        </is>
      </c>
      <c r="E4105" t="inlineStr">
        <is>
          <t>LJUSDAL</t>
        </is>
      </c>
      <c r="F4105" t="inlineStr">
        <is>
          <t>Bergvik skog väst AB</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3586-2025</t>
        </is>
      </c>
      <c r="B4106" s="1" t="n">
        <v>45680.83643518519</v>
      </c>
      <c r="C4106" s="1" t="n">
        <v>46086</v>
      </c>
      <c r="D4106" t="inlineStr">
        <is>
          <t>GÄVLEBORGS LÄN</t>
        </is>
      </c>
      <c r="E4106" t="inlineStr">
        <is>
          <t>OVANÅKER</t>
        </is>
      </c>
      <c r="G4106" t="n">
        <v>4.5</v>
      </c>
      <c r="H4106" t="n">
        <v>0</v>
      </c>
      <c r="I4106" t="n">
        <v>0</v>
      </c>
      <c r="J4106" t="n">
        <v>0</v>
      </c>
      <c r="K4106" t="n">
        <v>0</v>
      </c>
      <c r="L4106" t="n">
        <v>0</v>
      </c>
      <c r="M4106" t="n">
        <v>0</v>
      </c>
      <c r="N4106" t="n">
        <v>0</v>
      </c>
      <c r="O4106" t="n">
        <v>0</v>
      </c>
      <c r="P4106" t="n">
        <v>0</v>
      </c>
      <c r="Q4106" t="n">
        <v>0</v>
      </c>
      <c r="R4106" s="2" t="inlineStr"/>
    </row>
    <row r="4107" ht="15" customHeight="1">
      <c r="A4107" t="inlineStr">
        <is>
          <t>A 3587-2025</t>
        </is>
      </c>
      <c r="B4107" s="1" t="n">
        <v>45680.87159722222</v>
      </c>
      <c r="C4107" s="1" t="n">
        <v>46086</v>
      </c>
      <c r="D4107" t="inlineStr">
        <is>
          <t>GÄVLEBORGS LÄN</t>
        </is>
      </c>
      <c r="E4107" t="inlineStr">
        <is>
          <t>OVANÅKER</t>
        </is>
      </c>
      <c r="G4107" t="n">
        <v>11.4</v>
      </c>
      <c r="H4107" t="n">
        <v>0</v>
      </c>
      <c r="I4107" t="n">
        <v>0</v>
      </c>
      <c r="J4107" t="n">
        <v>0</v>
      </c>
      <c r="K4107" t="n">
        <v>0</v>
      </c>
      <c r="L4107" t="n">
        <v>0</v>
      </c>
      <c r="M4107" t="n">
        <v>0</v>
      </c>
      <c r="N4107" t="n">
        <v>0</v>
      </c>
      <c r="O4107" t="n">
        <v>0</v>
      </c>
      <c r="P4107" t="n">
        <v>0</v>
      </c>
      <c r="Q4107" t="n">
        <v>0</v>
      </c>
      <c r="R4107" s="2" t="inlineStr"/>
    </row>
    <row r="4108" ht="15" customHeight="1">
      <c r="A4108" t="inlineStr">
        <is>
          <t>A 26933-2025</t>
        </is>
      </c>
      <c r="B4108" s="1" t="n">
        <v>45811.40111111111</v>
      </c>
      <c r="C4108" s="1" t="n">
        <v>46086</v>
      </c>
      <c r="D4108" t="inlineStr">
        <is>
          <t>GÄVLEBORGS LÄN</t>
        </is>
      </c>
      <c r="E4108" t="inlineStr">
        <is>
          <t>GÄVLE</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3105-2026</t>
        </is>
      </c>
      <c r="B4109" s="1" t="n">
        <v>46041</v>
      </c>
      <c r="C4109" s="1" t="n">
        <v>46086</v>
      </c>
      <c r="D4109" t="inlineStr">
        <is>
          <t>GÄVLEBORGS LÄN</t>
        </is>
      </c>
      <c r="E4109" t="inlineStr">
        <is>
          <t>BOLLNÄS</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3118-2026</t>
        </is>
      </c>
      <c r="B4110" s="1" t="n">
        <v>46041.3713425926</v>
      </c>
      <c r="C4110" s="1" t="n">
        <v>46086</v>
      </c>
      <c r="D4110" t="inlineStr">
        <is>
          <t>GÄVLEBORGS LÄN</t>
        </is>
      </c>
      <c r="E4110" t="inlineStr">
        <is>
          <t>SÖDERHAMN</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46383-2024</t>
        </is>
      </c>
      <c r="B4111" s="1" t="n">
        <v>45582.39152777778</v>
      </c>
      <c r="C4111" s="1" t="n">
        <v>46086</v>
      </c>
      <c r="D4111" t="inlineStr">
        <is>
          <t>GÄVLEBORGS LÄN</t>
        </is>
      </c>
      <c r="E4111" t="inlineStr">
        <is>
          <t>BOLLNÄS</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33079-2025</t>
        </is>
      </c>
      <c r="B4112" s="1" t="n">
        <v>45840.46055555555</v>
      </c>
      <c r="C4112" s="1" t="n">
        <v>46086</v>
      </c>
      <c r="D4112" t="inlineStr">
        <is>
          <t>GÄVLEBORGS LÄN</t>
        </is>
      </c>
      <c r="E4112" t="inlineStr">
        <is>
          <t>OCKELBO</t>
        </is>
      </c>
      <c r="F4112" t="inlineStr">
        <is>
          <t>Bergvik skog väst AB</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33097-2025</t>
        </is>
      </c>
      <c r="B4113" s="1" t="n">
        <v>45840.47582175926</v>
      </c>
      <c r="C4113" s="1" t="n">
        <v>46086</v>
      </c>
      <c r="D4113" t="inlineStr">
        <is>
          <t>GÄVLEBORGS LÄN</t>
        </is>
      </c>
      <c r="E4113" t="inlineStr">
        <is>
          <t>NORDANSTIG</t>
        </is>
      </c>
      <c r="F4113" t="inlineStr">
        <is>
          <t>Holmen skog AB</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51413-2023</t>
        </is>
      </c>
      <c r="B4114" s="1" t="n">
        <v>45219</v>
      </c>
      <c r="C4114" s="1" t="n">
        <v>46086</v>
      </c>
      <c r="D4114" t="inlineStr">
        <is>
          <t>GÄVLEBORGS LÄN</t>
        </is>
      </c>
      <c r="E4114" t="inlineStr">
        <is>
          <t>SÖDERHAMN</t>
        </is>
      </c>
      <c r="F4114" t="inlineStr">
        <is>
          <t>Kommuner</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33115-2025</t>
        </is>
      </c>
      <c r="B4115" s="1" t="n">
        <v>45840.49201388889</v>
      </c>
      <c r="C4115" s="1" t="n">
        <v>46086</v>
      </c>
      <c r="D4115" t="inlineStr">
        <is>
          <t>GÄVLEBORGS LÄN</t>
        </is>
      </c>
      <c r="E4115" t="inlineStr">
        <is>
          <t>OCKELBO</t>
        </is>
      </c>
      <c r="G4115" t="n">
        <v>4.4</v>
      </c>
      <c r="H4115" t="n">
        <v>0</v>
      </c>
      <c r="I4115" t="n">
        <v>0</v>
      </c>
      <c r="J4115" t="n">
        <v>0</v>
      </c>
      <c r="K4115" t="n">
        <v>0</v>
      </c>
      <c r="L4115" t="n">
        <v>0</v>
      </c>
      <c r="M4115" t="n">
        <v>0</v>
      </c>
      <c r="N4115" t="n">
        <v>0</v>
      </c>
      <c r="O4115" t="n">
        <v>0</v>
      </c>
      <c r="P4115" t="n">
        <v>0</v>
      </c>
      <c r="Q4115" t="n">
        <v>0</v>
      </c>
      <c r="R4115" s="2" t="inlineStr"/>
    </row>
    <row r="4116" ht="15" customHeight="1">
      <c r="A4116" t="inlineStr">
        <is>
          <t>A 33051-2025</t>
        </is>
      </c>
      <c r="B4116" s="1" t="n">
        <v>45840.42487268519</v>
      </c>
      <c r="C4116" s="1" t="n">
        <v>46086</v>
      </c>
      <c r="D4116" t="inlineStr">
        <is>
          <t>GÄVLEBORGS LÄN</t>
        </is>
      </c>
      <c r="E4116" t="inlineStr">
        <is>
          <t>LJUSDAL</t>
        </is>
      </c>
      <c r="F4116" t="inlineStr">
        <is>
          <t>Allmännings- och besparingsskogar</t>
        </is>
      </c>
      <c r="G4116" t="n">
        <v>9.1</v>
      </c>
      <c r="H4116" t="n">
        <v>0</v>
      </c>
      <c r="I4116" t="n">
        <v>0</v>
      </c>
      <c r="J4116" t="n">
        <v>0</v>
      </c>
      <c r="K4116" t="n">
        <v>0</v>
      </c>
      <c r="L4116" t="n">
        <v>0</v>
      </c>
      <c r="M4116" t="n">
        <v>0</v>
      </c>
      <c r="N4116" t="n">
        <v>0</v>
      </c>
      <c r="O4116" t="n">
        <v>0</v>
      </c>
      <c r="P4116" t="n">
        <v>0</v>
      </c>
      <c r="Q4116" t="n">
        <v>0</v>
      </c>
      <c r="R4116" s="2" t="inlineStr"/>
    </row>
    <row r="4117" ht="15" customHeight="1">
      <c r="A4117" t="inlineStr">
        <is>
          <t>A 11353-2026</t>
        </is>
      </c>
      <c r="B4117" s="1" t="n">
        <v>46083.26949074074</v>
      </c>
      <c r="C4117" s="1" t="n">
        <v>46086</v>
      </c>
      <c r="D4117" t="inlineStr">
        <is>
          <t>GÄVLEBORGS LÄN</t>
        </is>
      </c>
      <c r="E4117" t="inlineStr">
        <is>
          <t>OCKELBO</t>
        </is>
      </c>
      <c r="F4117" t="inlineStr">
        <is>
          <t>Bergvik skog väst AB</t>
        </is>
      </c>
      <c r="G4117" t="n">
        <v>4.4</v>
      </c>
      <c r="H4117" t="n">
        <v>0</v>
      </c>
      <c r="I4117" t="n">
        <v>0</v>
      </c>
      <c r="J4117" t="n">
        <v>0</v>
      </c>
      <c r="K4117" t="n">
        <v>0</v>
      </c>
      <c r="L4117" t="n">
        <v>0</v>
      </c>
      <c r="M4117" t="n">
        <v>0</v>
      </c>
      <c r="N4117" t="n">
        <v>0</v>
      </c>
      <c r="O4117" t="n">
        <v>0</v>
      </c>
      <c r="P4117" t="n">
        <v>0</v>
      </c>
      <c r="Q4117" t="n">
        <v>0</v>
      </c>
      <c r="R4117" s="2" t="inlineStr"/>
    </row>
    <row r="4118" ht="15" customHeight="1">
      <c r="A4118" t="inlineStr">
        <is>
          <t>A 11290-2026</t>
        </is>
      </c>
      <c r="B4118" s="1" t="n">
        <v>46080.61364583333</v>
      </c>
      <c r="C4118" s="1" t="n">
        <v>46086</v>
      </c>
      <c r="D4118" t="inlineStr">
        <is>
          <t>GÄVLEBORGS LÄN</t>
        </is>
      </c>
      <c r="E4118" t="inlineStr">
        <is>
          <t>OVANÅKER</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33015-2025</t>
        </is>
      </c>
      <c r="B4119" s="1" t="n">
        <v>45840.36614583333</v>
      </c>
      <c r="C4119" s="1" t="n">
        <v>46086</v>
      </c>
      <c r="D4119" t="inlineStr">
        <is>
          <t>GÄVLEBORGS LÄN</t>
        </is>
      </c>
      <c r="E4119" t="inlineStr">
        <is>
          <t>SANDVIKEN</t>
        </is>
      </c>
      <c r="F4119" t="inlineStr">
        <is>
          <t>Bergvik skog öst AB</t>
        </is>
      </c>
      <c r="G4119" t="n">
        <v>27.3</v>
      </c>
      <c r="H4119" t="n">
        <v>0</v>
      </c>
      <c r="I4119" t="n">
        <v>0</v>
      </c>
      <c r="J4119" t="n">
        <v>0</v>
      </c>
      <c r="K4119" t="n">
        <v>0</v>
      </c>
      <c r="L4119" t="n">
        <v>0</v>
      </c>
      <c r="M4119" t="n">
        <v>0</v>
      </c>
      <c r="N4119" t="n">
        <v>0</v>
      </c>
      <c r="O4119" t="n">
        <v>0</v>
      </c>
      <c r="P4119" t="n">
        <v>0</v>
      </c>
      <c r="Q4119" t="n">
        <v>0</v>
      </c>
      <c r="R4119" s="2" t="inlineStr"/>
    </row>
    <row r="4120" ht="15" customHeight="1">
      <c r="A4120" t="inlineStr">
        <is>
          <t>A 33124-2025</t>
        </is>
      </c>
      <c r="B4120" s="1" t="n">
        <v>45840.4965162037</v>
      </c>
      <c r="C4120" s="1" t="n">
        <v>46086</v>
      </c>
      <c r="D4120" t="inlineStr">
        <is>
          <t>GÄVLEBORGS LÄN</t>
        </is>
      </c>
      <c r="E4120" t="inlineStr">
        <is>
          <t>OCKELBO</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33176-2025</t>
        </is>
      </c>
      <c r="B4121" s="1" t="n">
        <v>45840.58721064815</v>
      </c>
      <c r="C4121" s="1" t="n">
        <v>46086</v>
      </c>
      <c r="D4121" t="inlineStr">
        <is>
          <t>GÄVLEBORGS LÄN</t>
        </is>
      </c>
      <c r="E4121" t="inlineStr">
        <is>
          <t>HUDIKSVALL</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11294-2026</t>
        </is>
      </c>
      <c r="B4122" s="1" t="n">
        <v>46080.61887731482</v>
      </c>
      <c r="C4122" s="1" t="n">
        <v>46086</v>
      </c>
      <c r="D4122" t="inlineStr">
        <is>
          <t>GÄVLEBORGS LÄN</t>
        </is>
      </c>
      <c r="E4122" t="inlineStr">
        <is>
          <t>BOLLNÄS</t>
        </is>
      </c>
      <c r="G4122" t="n">
        <v>5.7</v>
      </c>
      <c r="H4122" t="n">
        <v>0</v>
      </c>
      <c r="I4122" t="n">
        <v>0</v>
      </c>
      <c r="J4122" t="n">
        <v>0</v>
      </c>
      <c r="K4122" t="n">
        <v>0</v>
      </c>
      <c r="L4122" t="n">
        <v>0</v>
      </c>
      <c r="M4122" t="n">
        <v>0</v>
      </c>
      <c r="N4122" t="n">
        <v>0</v>
      </c>
      <c r="O4122" t="n">
        <v>0</v>
      </c>
      <c r="P4122" t="n">
        <v>0</v>
      </c>
      <c r="Q4122" t="n">
        <v>0</v>
      </c>
      <c r="R4122" s="2" t="inlineStr"/>
    </row>
    <row r="4123" ht="15" customHeight="1">
      <c r="A4123" t="inlineStr">
        <is>
          <t>A 2965-2026</t>
        </is>
      </c>
      <c r="B4123" s="1" t="n">
        <v>46038</v>
      </c>
      <c r="C4123" s="1" t="n">
        <v>46086</v>
      </c>
      <c r="D4123" t="inlineStr">
        <is>
          <t>GÄVLEBORGS LÄN</t>
        </is>
      </c>
      <c r="E4123" t="inlineStr">
        <is>
          <t>BOLLNÄS</t>
        </is>
      </c>
      <c r="G4123" t="n">
        <v>26.9</v>
      </c>
      <c r="H4123" t="n">
        <v>0</v>
      </c>
      <c r="I4123" t="n">
        <v>0</v>
      </c>
      <c r="J4123" t="n">
        <v>0</v>
      </c>
      <c r="K4123" t="n">
        <v>0</v>
      </c>
      <c r="L4123" t="n">
        <v>0</v>
      </c>
      <c r="M4123" t="n">
        <v>0</v>
      </c>
      <c r="N4123" t="n">
        <v>0</v>
      </c>
      <c r="O4123" t="n">
        <v>0</v>
      </c>
      <c r="P4123" t="n">
        <v>0</v>
      </c>
      <c r="Q4123" t="n">
        <v>0</v>
      </c>
      <c r="R4123" s="2" t="inlineStr"/>
    </row>
    <row r="4124" ht="15" customHeight="1">
      <c r="A4124" t="inlineStr">
        <is>
          <t>A 11189-2026</t>
        </is>
      </c>
      <c r="B4124" s="1" t="n">
        <v>46080.41451388889</v>
      </c>
      <c r="C4124" s="1" t="n">
        <v>46086</v>
      </c>
      <c r="D4124" t="inlineStr">
        <is>
          <t>GÄVLEBORGS LÄN</t>
        </is>
      </c>
      <c r="E4124" t="inlineStr">
        <is>
          <t>BOLLNÄS</t>
        </is>
      </c>
      <c r="G4124" t="n">
        <v>20.7</v>
      </c>
      <c r="H4124" t="n">
        <v>0</v>
      </c>
      <c r="I4124" t="n">
        <v>0</v>
      </c>
      <c r="J4124" t="n">
        <v>0</v>
      </c>
      <c r="K4124" t="n">
        <v>0</v>
      </c>
      <c r="L4124" t="n">
        <v>0</v>
      </c>
      <c r="M4124" t="n">
        <v>0</v>
      </c>
      <c r="N4124" t="n">
        <v>0</v>
      </c>
      <c r="O4124" t="n">
        <v>0</v>
      </c>
      <c r="P4124" t="n">
        <v>0</v>
      </c>
      <c r="Q4124" t="n">
        <v>0</v>
      </c>
      <c r="R4124" s="2" t="inlineStr"/>
    </row>
    <row r="4125" ht="15" customHeight="1">
      <c r="A4125" t="inlineStr">
        <is>
          <t>A 3279-2026</t>
        </is>
      </c>
      <c r="B4125" s="1" t="n">
        <v>46041</v>
      </c>
      <c r="C4125" s="1" t="n">
        <v>46086</v>
      </c>
      <c r="D4125" t="inlineStr">
        <is>
          <t>GÄVLEBORGS LÄN</t>
        </is>
      </c>
      <c r="E4125" t="inlineStr">
        <is>
          <t>HUDIKSVALL</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3321-2026</t>
        </is>
      </c>
      <c r="B4126" s="1" t="n">
        <v>46041.70430555556</v>
      </c>
      <c r="C4126" s="1" t="n">
        <v>46086</v>
      </c>
      <c r="D4126" t="inlineStr">
        <is>
          <t>GÄVLEBORGS LÄN</t>
        </is>
      </c>
      <c r="E4126" t="inlineStr">
        <is>
          <t>GÄVLE</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3324-2026</t>
        </is>
      </c>
      <c r="B4127" s="1" t="n">
        <v>46041</v>
      </c>
      <c r="C4127" s="1" t="n">
        <v>46086</v>
      </c>
      <c r="D4127" t="inlineStr">
        <is>
          <t>GÄVLEBORGS LÄN</t>
        </is>
      </c>
      <c r="E4127" t="inlineStr">
        <is>
          <t>BOLLNÄS</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11151-2026</t>
        </is>
      </c>
      <c r="B4128" s="1" t="n">
        <v>46080.32444444444</v>
      </c>
      <c r="C4128" s="1" t="n">
        <v>46086</v>
      </c>
      <c r="D4128" t="inlineStr">
        <is>
          <t>GÄVLEBORGS LÄN</t>
        </is>
      </c>
      <c r="E4128" t="inlineStr">
        <is>
          <t>BOLLNÄS</t>
        </is>
      </c>
      <c r="G4128" t="n">
        <v>4.2</v>
      </c>
      <c r="H4128" t="n">
        <v>0</v>
      </c>
      <c r="I4128" t="n">
        <v>0</v>
      </c>
      <c r="J4128" t="n">
        <v>0</v>
      </c>
      <c r="K4128" t="n">
        <v>0</v>
      </c>
      <c r="L4128" t="n">
        <v>0</v>
      </c>
      <c r="M4128" t="n">
        <v>0</v>
      </c>
      <c r="N4128" t="n">
        <v>0</v>
      </c>
      <c r="O4128" t="n">
        <v>0</v>
      </c>
      <c r="P4128" t="n">
        <v>0</v>
      </c>
      <c r="Q4128" t="n">
        <v>0</v>
      </c>
      <c r="R4128" s="2" t="inlineStr"/>
    </row>
    <row r="4129" ht="15" customHeight="1">
      <c r="A4129" t="inlineStr">
        <is>
          <t>A 11154-2026</t>
        </is>
      </c>
      <c r="B4129" s="1" t="n">
        <v>46080.33296296297</v>
      </c>
      <c r="C4129" s="1" t="n">
        <v>46086</v>
      </c>
      <c r="D4129" t="inlineStr">
        <is>
          <t>GÄVLEBORGS LÄN</t>
        </is>
      </c>
      <c r="E4129" t="inlineStr">
        <is>
          <t>BOLLNÄS</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11227-2026</t>
        </is>
      </c>
      <c r="B4130" s="1" t="n">
        <v>46080.4875462963</v>
      </c>
      <c r="C4130" s="1" t="n">
        <v>46086</v>
      </c>
      <c r="D4130" t="inlineStr">
        <is>
          <t>GÄVLEBORGS LÄN</t>
        </is>
      </c>
      <c r="E4130" t="inlineStr">
        <is>
          <t>BOLLNÄS</t>
        </is>
      </c>
      <c r="F4130" t="inlineStr">
        <is>
          <t>Kommuner</t>
        </is>
      </c>
      <c r="G4130" t="n">
        <v>7.1</v>
      </c>
      <c r="H4130" t="n">
        <v>0</v>
      </c>
      <c r="I4130" t="n">
        <v>0</v>
      </c>
      <c r="J4130" t="n">
        <v>0</v>
      </c>
      <c r="K4130" t="n">
        <v>0</v>
      </c>
      <c r="L4130" t="n">
        <v>0</v>
      </c>
      <c r="M4130" t="n">
        <v>0</v>
      </c>
      <c r="N4130" t="n">
        <v>0</v>
      </c>
      <c r="O4130" t="n">
        <v>0</v>
      </c>
      <c r="P4130" t="n">
        <v>0</v>
      </c>
      <c r="Q4130" t="n">
        <v>0</v>
      </c>
      <c r="R4130" s="2" t="inlineStr"/>
    </row>
    <row r="4131" ht="15" customHeight="1">
      <c r="A4131" t="inlineStr">
        <is>
          <t>A 43094-2025</t>
        </is>
      </c>
      <c r="B4131" s="1" t="n">
        <v>45909.62625</v>
      </c>
      <c r="C4131" s="1" t="n">
        <v>46086</v>
      </c>
      <c r="D4131" t="inlineStr">
        <is>
          <t>GÄVLEBORGS LÄN</t>
        </is>
      </c>
      <c r="E4131" t="inlineStr">
        <is>
          <t>LJUSDAL</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42878-2025</t>
        </is>
      </c>
      <c r="B4132" s="1" t="n">
        <v>45908.6357175926</v>
      </c>
      <c r="C4132" s="1" t="n">
        <v>46086</v>
      </c>
      <c r="D4132" t="inlineStr">
        <is>
          <t>GÄVLEBORGS LÄN</t>
        </is>
      </c>
      <c r="E4132" t="inlineStr">
        <is>
          <t>LJUSDAL</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33459-2025</t>
        </is>
      </c>
      <c r="B4133" s="1" t="n">
        <v>45841.47872685185</v>
      </c>
      <c r="C4133" s="1" t="n">
        <v>46086</v>
      </c>
      <c r="D4133" t="inlineStr">
        <is>
          <t>GÄVLEBORGS LÄN</t>
        </is>
      </c>
      <c r="E4133" t="inlineStr">
        <is>
          <t>OVANÅKER</t>
        </is>
      </c>
      <c r="F4133" t="inlineStr">
        <is>
          <t>Bergvik skog väst AB</t>
        </is>
      </c>
      <c r="G4133" t="n">
        <v>4.7</v>
      </c>
      <c r="H4133" t="n">
        <v>0</v>
      </c>
      <c r="I4133" t="n">
        <v>0</v>
      </c>
      <c r="J4133" t="n">
        <v>0</v>
      </c>
      <c r="K4133" t="n">
        <v>0</v>
      </c>
      <c r="L4133" t="n">
        <v>0</v>
      </c>
      <c r="M4133" t="n">
        <v>0</v>
      </c>
      <c r="N4133" t="n">
        <v>0</v>
      </c>
      <c r="O4133" t="n">
        <v>0</v>
      </c>
      <c r="P4133" t="n">
        <v>0</v>
      </c>
      <c r="Q4133" t="n">
        <v>0</v>
      </c>
      <c r="R4133" s="2" t="inlineStr"/>
    </row>
    <row r="4134" ht="15" customHeight="1">
      <c r="A4134" t="inlineStr">
        <is>
          <t>A 42934-2025</t>
        </is>
      </c>
      <c r="B4134" s="1" t="n">
        <v>45909.32261574074</v>
      </c>
      <c r="C4134" s="1" t="n">
        <v>46086</v>
      </c>
      <c r="D4134" t="inlineStr">
        <is>
          <t>GÄVLEBORGS LÄN</t>
        </is>
      </c>
      <c r="E4134" t="inlineStr">
        <is>
          <t>HUDIKSVALL</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11328-2026</t>
        </is>
      </c>
      <c r="B4135" s="1" t="n">
        <v>46081.50668981481</v>
      </c>
      <c r="C4135" s="1" t="n">
        <v>46086</v>
      </c>
      <c r="D4135" t="inlineStr">
        <is>
          <t>GÄVLEBORGS LÄN</t>
        </is>
      </c>
      <c r="E4135" t="inlineStr">
        <is>
          <t>BOLLNÄS</t>
        </is>
      </c>
      <c r="G4135" t="n">
        <v>5.1</v>
      </c>
      <c r="H4135" t="n">
        <v>0</v>
      </c>
      <c r="I4135" t="n">
        <v>0</v>
      </c>
      <c r="J4135" t="n">
        <v>0</v>
      </c>
      <c r="K4135" t="n">
        <v>0</v>
      </c>
      <c r="L4135" t="n">
        <v>0</v>
      </c>
      <c r="M4135" t="n">
        <v>0</v>
      </c>
      <c r="N4135" t="n">
        <v>0</v>
      </c>
      <c r="O4135" t="n">
        <v>0</v>
      </c>
      <c r="P4135" t="n">
        <v>0</v>
      </c>
      <c r="Q4135" t="n">
        <v>0</v>
      </c>
      <c r="R4135" s="2" t="inlineStr"/>
    </row>
    <row r="4136" ht="15" customHeight="1">
      <c r="A4136" t="inlineStr">
        <is>
          <t>A 3058-2026</t>
        </is>
      </c>
      <c r="B4136" s="1" t="n">
        <v>46039.68800925926</v>
      </c>
      <c r="C4136" s="1" t="n">
        <v>46086</v>
      </c>
      <c r="D4136" t="inlineStr">
        <is>
          <t>GÄVLEBORGS LÄN</t>
        </is>
      </c>
      <c r="E4136" t="inlineStr">
        <is>
          <t>BOLLNÄS</t>
        </is>
      </c>
      <c r="G4136" t="n">
        <v>4.4</v>
      </c>
      <c r="H4136" t="n">
        <v>0</v>
      </c>
      <c r="I4136" t="n">
        <v>0</v>
      </c>
      <c r="J4136" t="n">
        <v>0</v>
      </c>
      <c r="K4136" t="n">
        <v>0</v>
      </c>
      <c r="L4136" t="n">
        <v>0</v>
      </c>
      <c r="M4136" t="n">
        <v>0</v>
      </c>
      <c r="N4136" t="n">
        <v>0</v>
      </c>
      <c r="O4136" t="n">
        <v>0</v>
      </c>
      <c r="P4136" t="n">
        <v>0</v>
      </c>
      <c r="Q4136" t="n">
        <v>0</v>
      </c>
      <c r="R4136" s="2" t="inlineStr"/>
    </row>
    <row r="4137" ht="15" customHeight="1">
      <c r="A4137" t="inlineStr">
        <is>
          <t>A 3059-2026</t>
        </is>
      </c>
      <c r="B4137" s="1" t="n">
        <v>46039.70877314815</v>
      </c>
      <c r="C4137" s="1" t="n">
        <v>46086</v>
      </c>
      <c r="D4137" t="inlineStr">
        <is>
          <t>GÄVLEBORGS LÄN</t>
        </is>
      </c>
      <c r="E4137" t="inlineStr">
        <is>
          <t>BOLLNÄS</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3087-2026</t>
        </is>
      </c>
      <c r="B4138" s="1" t="n">
        <v>46040.82724537037</v>
      </c>
      <c r="C4138" s="1" t="n">
        <v>46086</v>
      </c>
      <c r="D4138" t="inlineStr">
        <is>
          <t>GÄVLEBORGS LÄN</t>
        </is>
      </c>
      <c r="E4138" t="inlineStr">
        <is>
          <t>BOLLNÄS</t>
        </is>
      </c>
      <c r="G4138" t="n">
        <v>7.6</v>
      </c>
      <c r="H4138" t="n">
        <v>0</v>
      </c>
      <c r="I4138" t="n">
        <v>0</v>
      </c>
      <c r="J4138" t="n">
        <v>0</v>
      </c>
      <c r="K4138" t="n">
        <v>0</v>
      </c>
      <c r="L4138" t="n">
        <v>0</v>
      </c>
      <c r="M4138" t="n">
        <v>0</v>
      </c>
      <c r="N4138" t="n">
        <v>0</v>
      </c>
      <c r="O4138" t="n">
        <v>0</v>
      </c>
      <c r="P4138" t="n">
        <v>0</v>
      </c>
      <c r="Q4138" t="n">
        <v>0</v>
      </c>
      <c r="R4138" s="2" t="inlineStr"/>
    </row>
    <row r="4139" ht="15" customHeight="1">
      <c r="A4139" t="inlineStr">
        <is>
          <t>A 3091-2026</t>
        </is>
      </c>
      <c r="B4139" s="1" t="n">
        <v>46040.84174768518</v>
      </c>
      <c r="C4139" s="1" t="n">
        <v>46086</v>
      </c>
      <c r="D4139" t="inlineStr">
        <is>
          <t>GÄVLEBORGS LÄN</t>
        </is>
      </c>
      <c r="E4139" t="inlineStr">
        <is>
          <t>BOLLNÄS</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3093-2026</t>
        </is>
      </c>
      <c r="B4140" s="1" t="n">
        <v>46040.84903935185</v>
      </c>
      <c r="C4140" s="1" t="n">
        <v>46086</v>
      </c>
      <c r="D4140" t="inlineStr">
        <is>
          <t>GÄVLEBORGS LÄN</t>
        </is>
      </c>
      <c r="E4140" t="inlineStr">
        <is>
          <t>BOLLNÄS</t>
        </is>
      </c>
      <c r="G4140" t="n">
        <v>4.4</v>
      </c>
      <c r="H4140" t="n">
        <v>0</v>
      </c>
      <c r="I4140" t="n">
        <v>0</v>
      </c>
      <c r="J4140" t="n">
        <v>0</v>
      </c>
      <c r="K4140" t="n">
        <v>0</v>
      </c>
      <c r="L4140" t="n">
        <v>0</v>
      </c>
      <c r="M4140" t="n">
        <v>0</v>
      </c>
      <c r="N4140" t="n">
        <v>0</v>
      </c>
      <c r="O4140" t="n">
        <v>0</v>
      </c>
      <c r="P4140" t="n">
        <v>0</v>
      </c>
      <c r="Q4140" t="n">
        <v>0</v>
      </c>
      <c r="R4140" s="2" t="inlineStr"/>
    </row>
    <row r="4141" ht="15" customHeight="1">
      <c r="A4141" t="inlineStr">
        <is>
          <t>A 3096-2026</t>
        </is>
      </c>
      <c r="B4141" s="1" t="n">
        <v>46041.24655092593</v>
      </c>
      <c r="C4141" s="1" t="n">
        <v>46086</v>
      </c>
      <c r="D4141" t="inlineStr">
        <is>
          <t>GÄVLEBORGS LÄN</t>
        </is>
      </c>
      <c r="E4141" t="inlineStr">
        <is>
          <t>BOLLNÄS</t>
        </is>
      </c>
      <c r="G4141" t="n">
        <v>6.5</v>
      </c>
      <c r="H4141" t="n">
        <v>0</v>
      </c>
      <c r="I4141" t="n">
        <v>0</v>
      </c>
      <c r="J4141" t="n">
        <v>0</v>
      </c>
      <c r="K4141" t="n">
        <v>0</v>
      </c>
      <c r="L4141" t="n">
        <v>0</v>
      </c>
      <c r="M4141" t="n">
        <v>0</v>
      </c>
      <c r="N4141" t="n">
        <v>0</v>
      </c>
      <c r="O4141" t="n">
        <v>0</v>
      </c>
      <c r="P4141" t="n">
        <v>0</v>
      </c>
      <c r="Q4141" t="n">
        <v>0</v>
      </c>
      <c r="R4141" s="2" t="inlineStr"/>
    </row>
    <row r="4142" ht="15" customHeight="1">
      <c r="A4142" t="inlineStr">
        <is>
          <t>A 3098-2026</t>
        </is>
      </c>
      <c r="B4142" s="1" t="n">
        <v>46041.2705324074</v>
      </c>
      <c r="C4142" s="1" t="n">
        <v>46086</v>
      </c>
      <c r="D4142" t="inlineStr">
        <is>
          <t>GÄVLEBORGS LÄN</t>
        </is>
      </c>
      <c r="E4142" t="inlineStr">
        <is>
          <t>BOLLNÄS</t>
        </is>
      </c>
      <c r="G4142" t="n">
        <v>34.3</v>
      </c>
      <c r="H4142" t="n">
        <v>0</v>
      </c>
      <c r="I4142" t="n">
        <v>0</v>
      </c>
      <c r="J4142" t="n">
        <v>0</v>
      </c>
      <c r="K4142" t="n">
        <v>0</v>
      </c>
      <c r="L4142" t="n">
        <v>0</v>
      </c>
      <c r="M4142" t="n">
        <v>0</v>
      </c>
      <c r="N4142" t="n">
        <v>0</v>
      </c>
      <c r="O4142" t="n">
        <v>0</v>
      </c>
      <c r="P4142" t="n">
        <v>0</v>
      </c>
      <c r="Q4142" t="n">
        <v>0</v>
      </c>
      <c r="R4142" s="2" t="inlineStr"/>
    </row>
    <row r="4143" ht="15" customHeight="1">
      <c r="A4143" t="inlineStr">
        <is>
          <t>A 3106-2026</t>
        </is>
      </c>
      <c r="B4143" s="1" t="n">
        <v>46041.35331018519</v>
      </c>
      <c r="C4143" s="1" t="n">
        <v>46086</v>
      </c>
      <c r="D4143" t="inlineStr">
        <is>
          <t>GÄVLEBORGS LÄN</t>
        </is>
      </c>
      <c r="E4143" t="inlineStr">
        <is>
          <t>OVANÅKER</t>
        </is>
      </c>
      <c r="G4143" t="n">
        <v>19.1</v>
      </c>
      <c r="H4143" t="n">
        <v>0</v>
      </c>
      <c r="I4143" t="n">
        <v>0</v>
      </c>
      <c r="J4143" t="n">
        <v>0</v>
      </c>
      <c r="K4143" t="n">
        <v>0</v>
      </c>
      <c r="L4143" t="n">
        <v>0</v>
      </c>
      <c r="M4143" t="n">
        <v>0</v>
      </c>
      <c r="N4143" t="n">
        <v>0</v>
      </c>
      <c r="O4143" t="n">
        <v>0</v>
      </c>
      <c r="P4143" t="n">
        <v>0</v>
      </c>
      <c r="Q4143" t="n">
        <v>0</v>
      </c>
      <c r="R4143" s="2" t="inlineStr"/>
    </row>
    <row r="4144" ht="15" customHeight="1">
      <c r="A4144" t="inlineStr">
        <is>
          <t>A 3119-2026</t>
        </is>
      </c>
      <c r="B4144" s="1" t="n">
        <v>46041.37137731481</v>
      </c>
      <c r="C4144" s="1" t="n">
        <v>46086</v>
      </c>
      <c r="D4144" t="inlineStr">
        <is>
          <t>GÄVLEBORGS LÄN</t>
        </is>
      </c>
      <c r="E4144" t="inlineStr">
        <is>
          <t>HUDIKSVALL</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32007-2024</t>
        </is>
      </c>
      <c r="B4145" s="1" t="n">
        <v>45510.60719907407</v>
      </c>
      <c r="C4145" s="1" t="n">
        <v>46086</v>
      </c>
      <c r="D4145" t="inlineStr">
        <is>
          <t>GÄVLEBORGS LÄN</t>
        </is>
      </c>
      <c r="E4145" t="inlineStr">
        <is>
          <t>HUDIKSVALL</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32011-2024</t>
        </is>
      </c>
      <c r="B4146" s="1" t="n">
        <v>45510</v>
      </c>
      <c r="C4146" s="1" t="n">
        <v>46086</v>
      </c>
      <c r="D4146" t="inlineStr">
        <is>
          <t>GÄVLEBORGS LÄN</t>
        </is>
      </c>
      <c r="E4146" t="inlineStr">
        <is>
          <t>OCKELBO</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3140-2026</t>
        </is>
      </c>
      <c r="B4147" s="1" t="n">
        <v>46041</v>
      </c>
      <c r="C4147" s="1" t="n">
        <v>46086</v>
      </c>
      <c r="D4147" t="inlineStr">
        <is>
          <t>GÄVLEBORGS LÄN</t>
        </is>
      </c>
      <c r="E4147" t="inlineStr">
        <is>
          <t>BOLLNÄS</t>
        </is>
      </c>
      <c r="G4147" t="n">
        <v>4.5</v>
      </c>
      <c r="H4147" t="n">
        <v>0</v>
      </c>
      <c r="I4147" t="n">
        <v>0</v>
      </c>
      <c r="J4147" t="n">
        <v>0</v>
      </c>
      <c r="K4147" t="n">
        <v>0</v>
      </c>
      <c r="L4147" t="n">
        <v>0</v>
      </c>
      <c r="M4147" t="n">
        <v>0</v>
      </c>
      <c r="N4147" t="n">
        <v>0</v>
      </c>
      <c r="O4147" t="n">
        <v>0</v>
      </c>
      <c r="P4147" t="n">
        <v>0</v>
      </c>
      <c r="Q4147" t="n">
        <v>0</v>
      </c>
      <c r="R4147" s="2" t="inlineStr"/>
    </row>
    <row r="4148" ht="15" customHeight="1">
      <c r="A4148" t="inlineStr">
        <is>
          <t>A 3151-2026</t>
        </is>
      </c>
      <c r="B4148" s="1" t="n">
        <v>46041.42621527778</v>
      </c>
      <c r="C4148" s="1" t="n">
        <v>46086</v>
      </c>
      <c r="D4148" t="inlineStr">
        <is>
          <t>GÄVLEBORGS LÄN</t>
        </is>
      </c>
      <c r="E4148" t="inlineStr">
        <is>
          <t>OVANÅKER</t>
        </is>
      </c>
      <c r="G4148" t="n">
        <v>6.9</v>
      </c>
      <c r="H4148" t="n">
        <v>0</v>
      </c>
      <c r="I4148" t="n">
        <v>0</v>
      </c>
      <c r="J4148" t="n">
        <v>0</v>
      </c>
      <c r="K4148" t="n">
        <v>0</v>
      </c>
      <c r="L4148" t="n">
        <v>0</v>
      </c>
      <c r="M4148" t="n">
        <v>0</v>
      </c>
      <c r="N4148" t="n">
        <v>0</v>
      </c>
      <c r="O4148" t="n">
        <v>0</v>
      </c>
      <c r="P4148" t="n">
        <v>0</v>
      </c>
      <c r="Q4148" t="n">
        <v>0</v>
      </c>
      <c r="R4148" s="2" t="inlineStr"/>
    </row>
    <row r="4149" ht="15" customHeight="1">
      <c r="A4149" t="inlineStr">
        <is>
          <t>A 33350-2025</t>
        </is>
      </c>
      <c r="B4149" s="1" t="n">
        <v>45841</v>
      </c>
      <c r="C4149" s="1" t="n">
        <v>46086</v>
      </c>
      <c r="D4149" t="inlineStr">
        <is>
          <t>GÄVLEBORGS LÄN</t>
        </is>
      </c>
      <c r="E4149" t="inlineStr">
        <is>
          <t>SANDVIKEN</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42690-2025</t>
        </is>
      </c>
      <c r="B4150" s="1" t="n">
        <v>45908.35690972222</v>
      </c>
      <c r="C4150" s="1" t="n">
        <v>46086</v>
      </c>
      <c r="D4150" t="inlineStr">
        <is>
          <t>GÄVLEBORGS LÄN</t>
        </is>
      </c>
      <c r="E4150" t="inlineStr">
        <is>
          <t>BOLLNÄS</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43085-2025</t>
        </is>
      </c>
      <c r="B4151" s="1" t="n">
        <v>45909.61652777778</v>
      </c>
      <c r="C4151" s="1" t="n">
        <v>46086</v>
      </c>
      <c r="D4151" t="inlineStr">
        <is>
          <t>GÄVLEBORGS LÄN</t>
        </is>
      </c>
      <c r="E4151" t="inlineStr">
        <is>
          <t>GÄVLE</t>
        </is>
      </c>
      <c r="F4151" t="inlineStr">
        <is>
          <t>Bergvik skog väst AB</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43089-2025</t>
        </is>
      </c>
      <c r="B4152" s="1" t="n">
        <v>45909.62445601852</v>
      </c>
      <c r="C4152" s="1" t="n">
        <v>46086</v>
      </c>
      <c r="D4152" t="inlineStr">
        <is>
          <t>GÄVLEBORGS LÄN</t>
        </is>
      </c>
      <c r="E4152" t="inlineStr">
        <is>
          <t>GÄVLE</t>
        </is>
      </c>
      <c r="F4152" t="inlineStr">
        <is>
          <t>Bergvik skog väst AB</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33585-2025</t>
        </is>
      </c>
      <c r="B4153" s="1" t="n">
        <v>45841.59462962963</v>
      </c>
      <c r="C4153" s="1" t="n">
        <v>46086</v>
      </c>
      <c r="D4153" t="inlineStr">
        <is>
          <t>GÄVLEBORGS LÄN</t>
        </is>
      </c>
      <c r="E4153" t="inlineStr">
        <is>
          <t>LJUSDAL</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58748-2024</t>
        </is>
      </c>
      <c r="B4154" s="1" t="n">
        <v>45635.71362268519</v>
      </c>
      <c r="C4154" s="1" t="n">
        <v>46086</v>
      </c>
      <c r="D4154" t="inlineStr">
        <is>
          <t>GÄVLEBORGS LÄN</t>
        </is>
      </c>
      <c r="E4154" t="inlineStr">
        <is>
          <t>BOLLNÄS</t>
        </is>
      </c>
      <c r="G4154" t="n">
        <v>6.5</v>
      </c>
      <c r="H4154" t="n">
        <v>0</v>
      </c>
      <c r="I4154" t="n">
        <v>0</v>
      </c>
      <c r="J4154" t="n">
        <v>0</v>
      </c>
      <c r="K4154" t="n">
        <v>0</v>
      </c>
      <c r="L4154" t="n">
        <v>0</v>
      </c>
      <c r="M4154" t="n">
        <v>0</v>
      </c>
      <c r="N4154" t="n">
        <v>0</v>
      </c>
      <c r="O4154" t="n">
        <v>0</v>
      </c>
      <c r="P4154" t="n">
        <v>0</v>
      </c>
      <c r="Q4154" t="n">
        <v>0</v>
      </c>
      <c r="R4154" s="2" t="inlineStr"/>
    </row>
    <row r="4155" ht="15" customHeight="1">
      <c r="A4155" t="inlineStr">
        <is>
          <t>A 13064-2022</t>
        </is>
      </c>
      <c r="B4155" s="1" t="n">
        <v>44643.66391203704</v>
      </c>
      <c r="C4155" s="1" t="n">
        <v>46086</v>
      </c>
      <c r="D4155" t="inlineStr">
        <is>
          <t>GÄVLEBORGS LÄN</t>
        </is>
      </c>
      <c r="E4155" t="inlineStr">
        <is>
          <t>LJUSDAL</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33399-2025</t>
        </is>
      </c>
      <c r="B4156" s="1" t="n">
        <v>45841.42106481481</v>
      </c>
      <c r="C4156" s="1" t="n">
        <v>46086</v>
      </c>
      <c r="D4156" t="inlineStr">
        <is>
          <t>GÄVLEBORGS LÄN</t>
        </is>
      </c>
      <c r="E4156" t="inlineStr">
        <is>
          <t>SÖDERHAMN</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13246-2025</t>
        </is>
      </c>
      <c r="B4157" s="1" t="n">
        <v>45735.4815162037</v>
      </c>
      <c r="C4157" s="1" t="n">
        <v>46086</v>
      </c>
      <c r="D4157" t="inlineStr">
        <is>
          <t>GÄVLEBORGS LÄN</t>
        </is>
      </c>
      <c r="E4157" t="inlineStr">
        <is>
          <t>LJUSDAL</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2733-2026</t>
        </is>
      </c>
      <c r="B4158" s="1" t="n">
        <v>46038.25436342593</v>
      </c>
      <c r="C4158" s="1" t="n">
        <v>46086</v>
      </c>
      <c r="D4158" t="inlineStr">
        <is>
          <t>GÄVLEBORGS LÄN</t>
        </is>
      </c>
      <c r="E4158" t="inlineStr">
        <is>
          <t>BOLLNÄS</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38185-2025</t>
        </is>
      </c>
      <c r="B4159" s="1" t="n">
        <v>45882.6513425926</v>
      </c>
      <c r="C4159" s="1" t="n">
        <v>46086</v>
      </c>
      <c r="D4159" t="inlineStr">
        <is>
          <t>GÄVLEBORGS LÄN</t>
        </is>
      </c>
      <c r="E4159" t="inlineStr">
        <is>
          <t>NORDANSTIG</t>
        </is>
      </c>
      <c r="G4159" t="n">
        <v>5</v>
      </c>
      <c r="H4159" t="n">
        <v>0</v>
      </c>
      <c r="I4159" t="n">
        <v>0</v>
      </c>
      <c r="J4159" t="n">
        <v>0</v>
      </c>
      <c r="K4159" t="n">
        <v>0</v>
      </c>
      <c r="L4159" t="n">
        <v>0</v>
      </c>
      <c r="M4159" t="n">
        <v>0</v>
      </c>
      <c r="N4159" t="n">
        <v>0</v>
      </c>
      <c r="O4159" t="n">
        <v>0</v>
      </c>
      <c r="P4159" t="n">
        <v>0</v>
      </c>
      <c r="Q4159" t="n">
        <v>0</v>
      </c>
      <c r="R4159" s="2" t="inlineStr"/>
    </row>
    <row r="4160" ht="15" customHeight="1">
      <c r="A4160" t="inlineStr">
        <is>
          <t>A 33335-2025</t>
        </is>
      </c>
      <c r="B4160" s="1" t="n">
        <v>45841.35607638889</v>
      </c>
      <c r="C4160" s="1" t="n">
        <v>46086</v>
      </c>
      <c r="D4160" t="inlineStr">
        <is>
          <t>GÄVLEBORGS LÄN</t>
        </is>
      </c>
      <c r="E4160" t="inlineStr">
        <is>
          <t>OVANÅKER</t>
        </is>
      </c>
      <c r="F4160" t="inlineStr">
        <is>
          <t>Bergvik skog väst AB</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41044-2025</t>
        </is>
      </c>
      <c r="B4161" s="1" t="n">
        <v>45898</v>
      </c>
      <c r="C4161" s="1" t="n">
        <v>46086</v>
      </c>
      <c r="D4161" t="inlineStr">
        <is>
          <t>GÄVLEBORGS LÄN</t>
        </is>
      </c>
      <c r="E4161" t="inlineStr">
        <is>
          <t>OCKELBO</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43021-2025</t>
        </is>
      </c>
      <c r="B4162" s="1" t="n">
        <v>45909.50746527778</v>
      </c>
      <c r="C4162" s="1" t="n">
        <v>46086</v>
      </c>
      <c r="D4162" t="inlineStr">
        <is>
          <t>GÄVLEBORGS LÄN</t>
        </is>
      </c>
      <c r="E4162" t="inlineStr">
        <is>
          <t>OVANÅKER</t>
        </is>
      </c>
      <c r="G4162" t="n">
        <v>4.4</v>
      </c>
      <c r="H4162" t="n">
        <v>0</v>
      </c>
      <c r="I4162" t="n">
        <v>0</v>
      </c>
      <c r="J4162" t="n">
        <v>0</v>
      </c>
      <c r="K4162" t="n">
        <v>0</v>
      </c>
      <c r="L4162" t="n">
        <v>0</v>
      </c>
      <c r="M4162" t="n">
        <v>0</v>
      </c>
      <c r="N4162" t="n">
        <v>0</v>
      </c>
      <c r="O4162" t="n">
        <v>0</v>
      </c>
      <c r="P4162" t="n">
        <v>0</v>
      </c>
      <c r="Q4162" t="n">
        <v>0</v>
      </c>
      <c r="R4162" s="2" t="inlineStr"/>
    </row>
    <row r="4163" ht="15" customHeight="1">
      <c r="A4163" t="inlineStr">
        <is>
          <t>A 33532-2025</t>
        </is>
      </c>
      <c r="B4163" s="1" t="n">
        <v>45841.55648148148</v>
      </c>
      <c r="C4163" s="1" t="n">
        <v>46086</v>
      </c>
      <c r="D4163" t="inlineStr">
        <is>
          <t>GÄVLEBORGS LÄN</t>
        </is>
      </c>
      <c r="E4163" t="inlineStr">
        <is>
          <t>NORDANSTIG</t>
        </is>
      </c>
      <c r="F4163" t="inlineStr">
        <is>
          <t>Holmen skog AB</t>
        </is>
      </c>
      <c r="G4163" t="n">
        <v>4.8</v>
      </c>
      <c r="H4163" t="n">
        <v>0</v>
      </c>
      <c r="I4163" t="n">
        <v>0</v>
      </c>
      <c r="J4163" t="n">
        <v>0</v>
      </c>
      <c r="K4163" t="n">
        <v>0</v>
      </c>
      <c r="L4163" t="n">
        <v>0</v>
      </c>
      <c r="M4163" t="n">
        <v>0</v>
      </c>
      <c r="N4163" t="n">
        <v>0</v>
      </c>
      <c r="O4163" t="n">
        <v>0</v>
      </c>
      <c r="P4163" t="n">
        <v>0</v>
      </c>
      <c r="Q4163" t="n">
        <v>0</v>
      </c>
      <c r="R4163" s="2" t="inlineStr"/>
    </row>
    <row r="4164" ht="15" customHeight="1">
      <c r="A4164" t="inlineStr">
        <is>
          <t>A 33333-2025</t>
        </is>
      </c>
      <c r="B4164" s="1" t="n">
        <v>45841.35502314815</v>
      </c>
      <c r="C4164" s="1" t="n">
        <v>46086</v>
      </c>
      <c r="D4164" t="inlineStr">
        <is>
          <t>GÄVLEBORGS LÄN</t>
        </is>
      </c>
      <c r="E4164" t="inlineStr">
        <is>
          <t>LJUSDAL</t>
        </is>
      </c>
      <c r="F4164" t="inlineStr">
        <is>
          <t>Sveaskog</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33083-2025</t>
        </is>
      </c>
      <c r="B4165" s="1" t="n">
        <v>45840.46547453704</v>
      </c>
      <c r="C4165" s="1" t="n">
        <v>46086</v>
      </c>
      <c r="D4165" t="inlineStr">
        <is>
          <t>GÄVLEBORGS LÄN</t>
        </is>
      </c>
      <c r="E4165" t="inlineStr">
        <is>
          <t>OCKELBO</t>
        </is>
      </c>
      <c r="F4165" t="inlineStr">
        <is>
          <t>Bergvik skog väst AB</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33337-2025</t>
        </is>
      </c>
      <c r="B4166" s="1" t="n">
        <v>45841.35680555556</v>
      </c>
      <c r="C4166" s="1" t="n">
        <v>46086</v>
      </c>
      <c r="D4166" t="inlineStr">
        <is>
          <t>GÄVLEBORGS LÄN</t>
        </is>
      </c>
      <c r="E4166" t="inlineStr">
        <is>
          <t>LJUSDAL</t>
        </is>
      </c>
      <c r="F4166" t="inlineStr">
        <is>
          <t>Sveaskog</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33339-2025</t>
        </is>
      </c>
      <c r="B4167" s="1" t="n">
        <v>45841.36012731482</v>
      </c>
      <c r="C4167" s="1" t="n">
        <v>46086</v>
      </c>
      <c r="D4167" t="inlineStr">
        <is>
          <t>GÄVLEBORGS LÄN</t>
        </is>
      </c>
      <c r="E4167" t="inlineStr">
        <is>
          <t>NORDANSTIG</t>
        </is>
      </c>
      <c r="F4167" t="inlineStr">
        <is>
          <t>Holmen skog AB</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8850-2026</t>
        </is>
      </c>
      <c r="B4168" s="1" t="n">
        <v>46066</v>
      </c>
      <c r="C4168" s="1" t="n">
        <v>46086</v>
      </c>
      <c r="D4168" t="inlineStr">
        <is>
          <t>GÄVLEBORGS LÄN</t>
        </is>
      </c>
      <c r="E4168" t="inlineStr">
        <is>
          <t>LJUSDAL</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8865-2026</t>
        </is>
      </c>
      <c r="B4169" s="1" t="n">
        <v>46066</v>
      </c>
      <c r="C4169" s="1" t="n">
        <v>46086</v>
      </c>
      <c r="D4169" t="inlineStr">
        <is>
          <t>GÄVLEBORGS LÄN</t>
        </is>
      </c>
      <c r="E4169" t="inlineStr">
        <is>
          <t>OCKELBO</t>
        </is>
      </c>
      <c r="F4169" t="inlineStr">
        <is>
          <t>Bergvik skog väst AB</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8886-2026</t>
        </is>
      </c>
      <c r="B4170" s="1" t="n">
        <v>46068</v>
      </c>
      <c r="C4170" s="1" t="n">
        <v>46086</v>
      </c>
      <c r="D4170" t="inlineStr">
        <is>
          <t>GÄVLEBORGS LÄN</t>
        </is>
      </c>
      <c r="E4170" t="inlineStr">
        <is>
          <t>BOLLNÄS</t>
        </is>
      </c>
      <c r="F4170" t="inlineStr">
        <is>
          <t>Bergvik skog väst AB</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33008-2025</t>
        </is>
      </c>
      <c r="B4171" s="1" t="n">
        <v>45840.35980324074</v>
      </c>
      <c r="C4171" s="1" t="n">
        <v>46086</v>
      </c>
      <c r="D4171" t="inlineStr">
        <is>
          <t>GÄVLEBORGS LÄN</t>
        </is>
      </c>
      <c r="E4171" t="inlineStr">
        <is>
          <t>OVANÅKER</t>
        </is>
      </c>
      <c r="F4171" t="inlineStr">
        <is>
          <t>Bergvik skog väst AB</t>
        </is>
      </c>
      <c r="G4171" t="n">
        <v>6.1</v>
      </c>
      <c r="H4171" t="n">
        <v>0</v>
      </c>
      <c r="I4171" t="n">
        <v>0</v>
      </c>
      <c r="J4171" t="n">
        <v>0</v>
      </c>
      <c r="K4171" t="n">
        <v>0</v>
      </c>
      <c r="L4171" t="n">
        <v>0</v>
      </c>
      <c r="M4171" t="n">
        <v>0</v>
      </c>
      <c r="N4171" t="n">
        <v>0</v>
      </c>
      <c r="O4171" t="n">
        <v>0</v>
      </c>
      <c r="P4171" t="n">
        <v>0</v>
      </c>
      <c r="Q4171" t="n">
        <v>0</v>
      </c>
      <c r="R4171" s="2" t="inlineStr"/>
    </row>
    <row r="4172" ht="15" customHeight="1">
      <c r="A4172" t="inlineStr">
        <is>
          <t>A 50413-2023</t>
        </is>
      </c>
      <c r="B4172" s="1" t="n">
        <v>45216.66340277778</v>
      </c>
      <c r="C4172" s="1" t="n">
        <v>46086</v>
      </c>
      <c r="D4172" t="inlineStr">
        <is>
          <t>GÄVLEBORGS LÄN</t>
        </is>
      </c>
      <c r="E4172" t="inlineStr">
        <is>
          <t>NORDANSTIG</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33384-2025</t>
        </is>
      </c>
      <c r="B4173" s="1" t="n">
        <v>45841.40467592593</v>
      </c>
      <c r="C4173" s="1" t="n">
        <v>46086</v>
      </c>
      <c r="D4173" t="inlineStr">
        <is>
          <t>GÄVLEBORGS LÄN</t>
        </is>
      </c>
      <c r="E4173" t="inlineStr">
        <is>
          <t>OCKELBO</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33228-2025</t>
        </is>
      </c>
      <c r="B4174" s="1" t="n">
        <v>45840.63861111111</v>
      </c>
      <c r="C4174" s="1" t="n">
        <v>46086</v>
      </c>
      <c r="D4174" t="inlineStr">
        <is>
          <t>GÄVLEBORGS LÄN</t>
        </is>
      </c>
      <c r="E4174" t="inlineStr">
        <is>
          <t>OCKELBO</t>
        </is>
      </c>
      <c r="F4174" t="inlineStr">
        <is>
          <t>Bergvik skog väst AB</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43097-2025</t>
        </is>
      </c>
      <c r="B4175" s="1" t="n">
        <v>45909.62787037037</v>
      </c>
      <c r="C4175" s="1" t="n">
        <v>46086</v>
      </c>
      <c r="D4175" t="inlineStr">
        <is>
          <t>GÄVLEBORGS LÄN</t>
        </is>
      </c>
      <c r="E4175" t="inlineStr">
        <is>
          <t>GÄVLE</t>
        </is>
      </c>
      <c r="F4175" t="inlineStr">
        <is>
          <t>Bergvik skog väst AB</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7065-2023</t>
        </is>
      </c>
      <c r="B4176" s="1" t="n">
        <v>44969</v>
      </c>
      <c r="C4176" s="1" t="n">
        <v>46086</v>
      </c>
      <c r="D4176" t="inlineStr">
        <is>
          <t>GÄVLEBORGS LÄN</t>
        </is>
      </c>
      <c r="E4176" t="inlineStr">
        <is>
          <t>HUDIKSVALL</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17461-2025</t>
        </is>
      </c>
      <c r="B4177" s="1" t="n">
        <v>45757.4566550926</v>
      </c>
      <c r="C4177" s="1" t="n">
        <v>46086</v>
      </c>
      <c r="D4177" t="inlineStr">
        <is>
          <t>GÄVLEBORGS LÄN</t>
        </is>
      </c>
      <c r="E4177" t="inlineStr">
        <is>
          <t>LJUSDAL</t>
        </is>
      </c>
      <c r="F4177" t="inlineStr">
        <is>
          <t>Bergvik skog väst AB</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33624-2025</t>
        </is>
      </c>
      <c r="B4178" s="1" t="n">
        <v>45841.63111111111</v>
      </c>
      <c r="C4178" s="1" t="n">
        <v>46086</v>
      </c>
      <c r="D4178" t="inlineStr">
        <is>
          <t>GÄVLEBORGS LÄN</t>
        </is>
      </c>
      <c r="E4178" t="inlineStr">
        <is>
          <t>BOLLNÄS</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8001-2026</t>
        </is>
      </c>
      <c r="B4179" s="1" t="n">
        <v>46063</v>
      </c>
      <c r="C4179" s="1" t="n">
        <v>46086</v>
      </c>
      <c r="D4179" t="inlineStr">
        <is>
          <t>GÄVLEBORGS LÄN</t>
        </is>
      </c>
      <c r="E4179" t="inlineStr">
        <is>
          <t>HUDIKSVALL</t>
        </is>
      </c>
      <c r="G4179" t="n">
        <v>5.6</v>
      </c>
      <c r="H4179" t="n">
        <v>0</v>
      </c>
      <c r="I4179" t="n">
        <v>0</v>
      </c>
      <c r="J4179" t="n">
        <v>0</v>
      </c>
      <c r="K4179" t="n">
        <v>0</v>
      </c>
      <c r="L4179" t="n">
        <v>0</v>
      </c>
      <c r="M4179" t="n">
        <v>0</v>
      </c>
      <c r="N4179" t="n">
        <v>0</v>
      </c>
      <c r="O4179" t="n">
        <v>0</v>
      </c>
      <c r="P4179" t="n">
        <v>0</v>
      </c>
      <c r="Q4179" t="n">
        <v>0</v>
      </c>
      <c r="R4179" s="2" t="inlineStr"/>
    </row>
    <row r="4180" ht="15" customHeight="1">
      <c r="A4180" t="inlineStr">
        <is>
          <t>A 2799-2026</t>
        </is>
      </c>
      <c r="B4180" s="1" t="n">
        <v>46038.40834490741</v>
      </c>
      <c r="C4180" s="1" t="n">
        <v>46086</v>
      </c>
      <c r="D4180" t="inlineStr">
        <is>
          <t>GÄVLEBORGS LÄN</t>
        </is>
      </c>
      <c r="E4180" t="inlineStr">
        <is>
          <t>HUDIKSVALL</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2802-2026</t>
        </is>
      </c>
      <c r="B4181" s="1" t="n">
        <v>46038.41144675926</v>
      </c>
      <c r="C4181" s="1" t="n">
        <v>46086</v>
      </c>
      <c r="D4181" t="inlineStr">
        <is>
          <t>GÄVLEBORGS LÄN</t>
        </is>
      </c>
      <c r="E4181" t="inlineStr">
        <is>
          <t>LJUSDAL</t>
        </is>
      </c>
      <c r="G4181" t="n">
        <v>11.2</v>
      </c>
      <c r="H4181" t="n">
        <v>0</v>
      </c>
      <c r="I4181" t="n">
        <v>0</v>
      </c>
      <c r="J4181" t="n">
        <v>0</v>
      </c>
      <c r="K4181" t="n">
        <v>0</v>
      </c>
      <c r="L4181" t="n">
        <v>0</v>
      </c>
      <c r="M4181" t="n">
        <v>0</v>
      </c>
      <c r="N4181" t="n">
        <v>0</v>
      </c>
      <c r="O4181" t="n">
        <v>0</v>
      </c>
      <c r="P4181" t="n">
        <v>0</v>
      </c>
      <c r="Q4181" t="n">
        <v>0</v>
      </c>
      <c r="R4181" s="2" t="inlineStr"/>
    </row>
    <row r="4182" ht="15" customHeight="1">
      <c r="A4182" t="inlineStr">
        <is>
          <t>A 2807-2026</t>
        </is>
      </c>
      <c r="B4182" s="1" t="n">
        <v>46038.41640046296</v>
      </c>
      <c r="C4182" s="1" t="n">
        <v>46086</v>
      </c>
      <c r="D4182" t="inlineStr">
        <is>
          <t>GÄVLEBORGS LÄN</t>
        </is>
      </c>
      <c r="E4182" t="inlineStr">
        <is>
          <t>BOLLNÄS</t>
        </is>
      </c>
      <c r="G4182" t="n">
        <v>5.4</v>
      </c>
      <c r="H4182" t="n">
        <v>0</v>
      </c>
      <c r="I4182" t="n">
        <v>0</v>
      </c>
      <c r="J4182" t="n">
        <v>0</v>
      </c>
      <c r="K4182" t="n">
        <v>0</v>
      </c>
      <c r="L4182" t="n">
        <v>0</v>
      </c>
      <c r="M4182" t="n">
        <v>0</v>
      </c>
      <c r="N4182" t="n">
        <v>0</v>
      </c>
      <c r="O4182" t="n">
        <v>0</v>
      </c>
      <c r="P4182" t="n">
        <v>0</v>
      </c>
      <c r="Q4182" t="n">
        <v>0</v>
      </c>
      <c r="R4182" s="2" t="inlineStr"/>
    </row>
    <row r="4183" ht="15" customHeight="1">
      <c r="A4183" t="inlineStr">
        <is>
          <t>A 2808-2026</t>
        </is>
      </c>
      <c r="B4183" s="1" t="n">
        <v>46038.41706018519</v>
      </c>
      <c r="C4183" s="1" t="n">
        <v>46086</v>
      </c>
      <c r="D4183" t="inlineStr">
        <is>
          <t>GÄVLEBORGS LÄN</t>
        </is>
      </c>
      <c r="E4183" t="inlineStr">
        <is>
          <t>OVANÅKER</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30940-2022</t>
        </is>
      </c>
      <c r="B4184" s="1" t="n">
        <v>44768.34793981481</v>
      </c>
      <c r="C4184" s="1" t="n">
        <v>46086</v>
      </c>
      <c r="D4184" t="inlineStr">
        <is>
          <t>GÄVLEBORGS LÄN</t>
        </is>
      </c>
      <c r="E4184" t="inlineStr">
        <is>
          <t>NORDANSTIG</t>
        </is>
      </c>
      <c r="F4184" t="inlineStr">
        <is>
          <t>Holmen skog AB</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8157-2025</t>
        </is>
      </c>
      <c r="B4185" s="1" t="n">
        <v>45708</v>
      </c>
      <c r="C4185" s="1" t="n">
        <v>46086</v>
      </c>
      <c r="D4185" t="inlineStr">
        <is>
          <t>GÄVLEBORGS LÄN</t>
        </is>
      </c>
      <c r="E4185" t="inlineStr">
        <is>
          <t>HUDIKSVALL</t>
        </is>
      </c>
      <c r="G4185" t="n">
        <v>7.7</v>
      </c>
      <c r="H4185" t="n">
        <v>0</v>
      </c>
      <c r="I4185" t="n">
        <v>0</v>
      </c>
      <c r="J4185" t="n">
        <v>0</v>
      </c>
      <c r="K4185" t="n">
        <v>0</v>
      </c>
      <c r="L4185" t="n">
        <v>0</v>
      </c>
      <c r="M4185" t="n">
        <v>0</v>
      </c>
      <c r="N4185" t="n">
        <v>0</v>
      </c>
      <c r="O4185" t="n">
        <v>0</v>
      </c>
      <c r="P4185" t="n">
        <v>0</v>
      </c>
      <c r="Q4185" t="n">
        <v>0</v>
      </c>
      <c r="R4185" s="2" t="inlineStr"/>
    </row>
    <row r="4186" ht="15" customHeight="1">
      <c r="A4186" t="inlineStr">
        <is>
          <t>A 43018-2025</t>
        </is>
      </c>
      <c r="B4186" s="1" t="n">
        <v>45909</v>
      </c>
      <c r="C4186" s="1" t="n">
        <v>46086</v>
      </c>
      <c r="D4186" t="inlineStr">
        <is>
          <t>GÄVLEBORGS LÄN</t>
        </is>
      </c>
      <c r="E4186" t="inlineStr">
        <is>
          <t>OVANÅKER</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33630-2025</t>
        </is>
      </c>
      <c r="B4187" s="1" t="n">
        <v>45841.63774305556</v>
      </c>
      <c r="C4187" s="1" t="n">
        <v>46086</v>
      </c>
      <c r="D4187" t="inlineStr">
        <is>
          <t>GÄVLEBORGS LÄN</t>
        </is>
      </c>
      <c r="E4187" t="inlineStr">
        <is>
          <t>BOLLNÄS</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33259-2025</t>
        </is>
      </c>
      <c r="B4188" s="1" t="n">
        <v>45840.67278935185</v>
      </c>
      <c r="C4188" s="1" t="n">
        <v>46086</v>
      </c>
      <c r="D4188" t="inlineStr">
        <is>
          <t>GÄVLEBORGS LÄN</t>
        </is>
      </c>
      <c r="E4188" t="inlineStr">
        <is>
          <t>BOLLNÄS</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33137-2025</t>
        </is>
      </c>
      <c r="B4189" s="1" t="n">
        <v>45840.5125</v>
      </c>
      <c r="C4189" s="1" t="n">
        <v>46086</v>
      </c>
      <c r="D4189" t="inlineStr">
        <is>
          <t>GÄVLEBORGS LÄN</t>
        </is>
      </c>
      <c r="E4189" t="inlineStr">
        <is>
          <t>BOLLNÄS</t>
        </is>
      </c>
      <c r="F4189" t="inlineStr">
        <is>
          <t>Bergvik skog väst AB</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43060-2025</t>
        </is>
      </c>
      <c r="B4190" s="1" t="n">
        <v>45909</v>
      </c>
      <c r="C4190" s="1" t="n">
        <v>46086</v>
      </c>
      <c r="D4190" t="inlineStr">
        <is>
          <t>GÄVLEBORGS LÄN</t>
        </is>
      </c>
      <c r="E4190" t="inlineStr">
        <is>
          <t>BOLLNÄS</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42717-2025</t>
        </is>
      </c>
      <c r="B4191" s="1" t="n">
        <v>45908.3884375</v>
      </c>
      <c r="C4191" s="1" t="n">
        <v>46086</v>
      </c>
      <c r="D4191" t="inlineStr">
        <is>
          <t>GÄVLEBORGS LÄN</t>
        </is>
      </c>
      <c r="E4191" t="inlineStr">
        <is>
          <t>OCKELBO</t>
        </is>
      </c>
      <c r="G4191" t="n">
        <v>5.4</v>
      </c>
      <c r="H4191" t="n">
        <v>0</v>
      </c>
      <c r="I4191" t="n">
        <v>0</v>
      </c>
      <c r="J4191" t="n">
        <v>0</v>
      </c>
      <c r="K4191" t="n">
        <v>0</v>
      </c>
      <c r="L4191" t="n">
        <v>0</v>
      </c>
      <c r="M4191" t="n">
        <v>0</v>
      </c>
      <c r="N4191" t="n">
        <v>0</v>
      </c>
      <c r="O4191" t="n">
        <v>0</v>
      </c>
      <c r="P4191" t="n">
        <v>0</v>
      </c>
      <c r="Q4191" t="n">
        <v>0</v>
      </c>
      <c r="R4191" s="2" t="inlineStr"/>
      <c r="U4191">
        <f>HYPERLINK("https://klasma.github.io/Logging_2101/knärot/A 42717-2025 karta knärot.png", "A 42717-2025")</f>
        <v/>
      </c>
      <c r="V4191">
        <f>HYPERLINK("https://klasma.github.io/Logging_2101/klagomål/A 42717-2025 FSC-klagomål.docx", "A 42717-2025")</f>
        <v/>
      </c>
      <c r="W4191">
        <f>HYPERLINK("https://klasma.github.io/Logging_2101/klagomålsmail/A 42717-2025 FSC-klagomål mail.docx", "A 42717-2025")</f>
        <v/>
      </c>
      <c r="X4191">
        <f>HYPERLINK("https://klasma.github.io/Logging_2101/tillsyn/A 42717-2025 tillsynsbegäran.docx", "A 42717-2025")</f>
        <v/>
      </c>
      <c r="Y4191">
        <f>HYPERLINK("https://klasma.github.io/Logging_2101/tillsynsmail/A 42717-2025 tillsynsbegäran mail.docx", "A 42717-2025")</f>
        <v/>
      </c>
    </row>
    <row r="4192" ht="15" customHeight="1">
      <c r="A4192" t="inlineStr">
        <is>
          <t>A 25477-2024</t>
        </is>
      </c>
      <c r="B4192" s="1" t="n">
        <v>45463.45015046297</v>
      </c>
      <c r="C4192" s="1" t="n">
        <v>46086</v>
      </c>
      <c r="D4192" t="inlineStr">
        <is>
          <t>GÄVLEBORGS LÄN</t>
        </is>
      </c>
      <c r="E4192" t="inlineStr">
        <is>
          <t>HOFORS</t>
        </is>
      </c>
      <c r="F4192" t="inlineStr">
        <is>
          <t>Sveaskog</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30349-2023</t>
        </is>
      </c>
      <c r="B4193" s="1" t="n">
        <v>45111.39857638889</v>
      </c>
      <c r="C4193" s="1" t="n">
        <v>46086</v>
      </c>
      <c r="D4193" t="inlineStr">
        <is>
          <t>GÄVLEBORGS LÄN</t>
        </is>
      </c>
      <c r="E4193" t="inlineStr">
        <is>
          <t>OCKELBO</t>
        </is>
      </c>
      <c r="G4193" t="n">
        <v>5.3</v>
      </c>
      <c r="H4193" t="n">
        <v>0</v>
      </c>
      <c r="I4193" t="n">
        <v>0</v>
      </c>
      <c r="J4193" t="n">
        <v>0</v>
      </c>
      <c r="K4193" t="n">
        <v>0</v>
      </c>
      <c r="L4193" t="n">
        <v>0</v>
      </c>
      <c r="M4193" t="n">
        <v>0</v>
      </c>
      <c r="N4193" t="n">
        <v>0</v>
      </c>
      <c r="O4193" t="n">
        <v>0</v>
      </c>
      <c r="P4193" t="n">
        <v>0</v>
      </c>
      <c r="Q4193" t="n">
        <v>0</v>
      </c>
      <c r="R4193" s="2" t="inlineStr"/>
    </row>
    <row r="4194" ht="15" customHeight="1">
      <c r="A4194" t="inlineStr">
        <is>
          <t>A 42884-2025</t>
        </is>
      </c>
      <c r="B4194" s="1" t="n">
        <v>45908.65034722222</v>
      </c>
      <c r="C4194" s="1" t="n">
        <v>46086</v>
      </c>
      <c r="D4194" t="inlineStr">
        <is>
          <t>GÄVLEBORGS LÄN</t>
        </is>
      </c>
      <c r="E4194" t="inlineStr">
        <is>
          <t>NORDANSTIG</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53503-2023</t>
        </is>
      </c>
      <c r="B4195" s="1" t="n">
        <v>45230</v>
      </c>
      <c r="C4195" s="1" t="n">
        <v>46086</v>
      </c>
      <c r="D4195" t="inlineStr">
        <is>
          <t>GÄVLEBORGS LÄN</t>
        </is>
      </c>
      <c r="E4195" t="inlineStr">
        <is>
          <t>SÖDERHAMN</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33642-2025</t>
        </is>
      </c>
      <c r="B4196" s="1" t="n">
        <v>45841.65119212963</v>
      </c>
      <c r="C4196" s="1" t="n">
        <v>46086</v>
      </c>
      <c r="D4196" t="inlineStr">
        <is>
          <t>GÄVLEBORGS LÄN</t>
        </is>
      </c>
      <c r="E4196" t="inlineStr">
        <is>
          <t>BOLLNÄS</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42790-2025</t>
        </is>
      </c>
      <c r="B4197" s="1" t="n">
        <v>45908.52196759259</v>
      </c>
      <c r="C4197" s="1" t="n">
        <v>46086</v>
      </c>
      <c r="D4197" t="inlineStr">
        <is>
          <t>GÄVLEBORGS LÄN</t>
        </is>
      </c>
      <c r="E4197" t="inlineStr">
        <is>
          <t>HUDIKSVALL</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42792-2025</t>
        </is>
      </c>
      <c r="B4198" s="1" t="n">
        <v>45908.52451388889</v>
      </c>
      <c r="C4198" s="1" t="n">
        <v>46086</v>
      </c>
      <c r="D4198" t="inlineStr">
        <is>
          <t>GÄVLEBORGS LÄN</t>
        </is>
      </c>
      <c r="E4198" t="inlineStr">
        <is>
          <t>HUDIKSVALL</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2843-2026</t>
        </is>
      </c>
      <c r="B4199" s="1" t="n">
        <v>46038.46943287037</v>
      </c>
      <c r="C4199" s="1" t="n">
        <v>46086</v>
      </c>
      <c r="D4199" t="inlineStr">
        <is>
          <t>GÄVLEBORGS LÄN</t>
        </is>
      </c>
      <c r="E4199" t="inlineStr">
        <is>
          <t>NORDANSTIG</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2855-2026</t>
        </is>
      </c>
      <c r="B4200" s="1" t="n">
        <v>46038.48296296296</v>
      </c>
      <c r="C4200" s="1" t="n">
        <v>46086</v>
      </c>
      <c r="D4200" t="inlineStr">
        <is>
          <t>GÄVLEBORGS LÄN</t>
        </is>
      </c>
      <c r="E4200" t="inlineStr">
        <is>
          <t>OVANÅKER</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42760-2025</t>
        </is>
      </c>
      <c r="B4201" s="1" t="n">
        <v>45908.46175925926</v>
      </c>
      <c r="C4201" s="1" t="n">
        <v>46086</v>
      </c>
      <c r="D4201" t="inlineStr">
        <is>
          <t>GÄVLEBORGS LÄN</t>
        </is>
      </c>
      <c r="E4201" t="inlineStr">
        <is>
          <t>HUDIKSVALL</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43071-2025</t>
        </is>
      </c>
      <c r="B4202" s="1" t="n">
        <v>45909.59766203703</v>
      </c>
      <c r="C4202" s="1" t="n">
        <v>46086</v>
      </c>
      <c r="D4202" t="inlineStr">
        <is>
          <t>GÄVLEBORGS LÄN</t>
        </is>
      </c>
      <c r="E4202" t="inlineStr">
        <is>
          <t>OCKELBO</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9427-2024</t>
        </is>
      </c>
      <c r="B4203" s="1" t="n">
        <v>45359.46438657407</v>
      </c>
      <c r="C4203" s="1" t="n">
        <v>46086</v>
      </c>
      <c r="D4203" t="inlineStr">
        <is>
          <t>GÄVLEBORGS LÄN</t>
        </is>
      </c>
      <c r="E4203" t="inlineStr">
        <is>
          <t>HUDIKSVALL</t>
        </is>
      </c>
      <c r="F4203" t="inlineStr">
        <is>
          <t>Holmen skog AB</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43036-2025</t>
        </is>
      </c>
      <c r="B4204" s="1" t="n">
        <v>45909.54861111111</v>
      </c>
      <c r="C4204" s="1" t="n">
        <v>46086</v>
      </c>
      <c r="D4204" t="inlineStr">
        <is>
          <t>GÄVLEBORGS LÄN</t>
        </is>
      </c>
      <c r="E4204" t="inlineStr">
        <is>
          <t>SANDVIKEN</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32278-2024</t>
        </is>
      </c>
      <c r="B4205" s="1" t="n">
        <v>45512.37289351852</v>
      </c>
      <c r="C4205" s="1" t="n">
        <v>46086</v>
      </c>
      <c r="D4205" t="inlineStr">
        <is>
          <t>GÄVLEBORGS LÄN</t>
        </is>
      </c>
      <c r="E4205" t="inlineStr">
        <is>
          <t>HUDIKSVALL</t>
        </is>
      </c>
      <c r="F4205" t="inlineStr">
        <is>
          <t>Holmen skog AB</t>
        </is>
      </c>
      <c r="G4205" t="n">
        <v>7.4</v>
      </c>
      <c r="H4205" t="n">
        <v>0</v>
      </c>
      <c r="I4205" t="n">
        <v>0</v>
      </c>
      <c r="J4205" t="n">
        <v>0</v>
      </c>
      <c r="K4205" t="n">
        <v>0</v>
      </c>
      <c r="L4205" t="n">
        <v>0</v>
      </c>
      <c r="M4205" t="n">
        <v>0</v>
      </c>
      <c r="N4205" t="n">
        <v>0</v>
      </c>
      <c r="O4205" t="n">
        <v>0</v>
      </c>
      <c r="P4205" t="n">
        <v>0</v>
      </c>
      <c r="Q4205" t="n">
        <v>0</v>
      </c>
      <c r="R4205" s="2" t="inlineStr"/>
    </row>
    <row r="4206" ht="15" customHeight="1">
      <c r="A4206" t="inlineStr">
        <is>
          <t>A 43087-2025</t>
        </is>
      </c>
      <c r="B4206" s="1" t="n">
        <v>45909.62013888889</v>
      </c>
      <c r="C4206" s="1" t="n">
        <v>46086</v>
      </c>
      <c r="D4206" t="inlineStr">
        <is>
          <t>GÄVLEBORGS LÄN</t>
        </is>
      </c>
      <c r="E4206" t="inlineStr">
        <is>
          <t>GÄVLE</t>
        </is>
      </c>
      <c r="F4206" t="inlineStr">
        <is>
          <t>Bergvik skog väst AB</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54949-2022</t>
        </is>
      </c>
      <c r="B4207" s="1" t="n">
        <v>44886.469375</v>
      </c>
      <c r="C4207" s="1" t="n">
        <v>46086</v>
      </c>
      <c r="D4207" t="inlineStr">
        <is>
          <t>GÄVLEBORGS LÄN</t>
        </is>
      </c>
      <c r="E4207" t="inlineStr">
        <is>
          <t>BOLLNÄS</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54974-2022</t>
        </is>
      </c>
      <c r="B4208" s="1" t="n">
        <v>44886.48644675926</v>
      </c>
      <c r="C4208" s="1" t="n">
        <v>46086</v>
      </c>
      <c r="D4208" t="inlineStr">
        <is>
          <t>GÄVLEBORGS LÄN</t>
        </is>
      </c>
      <c r="E4208" t="inlineStr">
        <is>
          <t>BOLLNÄS</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43170-2025</t>
        </is>
      </c>
      <c r="B4209" s="1" t="n">
        <v>45910.38989583333</v>
      </c>
      <c r="C4209" s="1" t="n">
        <v>46086</v>
      </c>
      <c r="D4209" t="inlineStr">
        <is>
          <t>GÄVLEBORGS LÄN</t>
        </is>
      </c>
      <c r="E4209" t="inlineStr">
        <is>
          <t>HUDIKSVALL</t>
        </is>
      </c>
      <c r="F4209" t="inlineStr">
        <is>
          <t>Holmen skog AB</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30718-2023</t>
        </is>
      </c>
      <c r="B4210" s="1" t="n">
        <v>45112</v>
      </c>
      <c r="C4210" s="1" t="n">
        <v>46086</v>
      </c>
      <c r="D4210" t="inlineStr">
        <is>
          <t>GÄVLEBORGS LÄN</t>
        </is>
      </c>
      <c r="E4210" t="inlineStr">
        <is>
          <t>SANDVIKEN</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644-2026</t>
        </is>
      </c>
      <c r="B4211" s="1" t="n">
        <v>46029</v>
      </c>
      <c r="C4211" s="1" t="n">
        <v>46086</v>
      </c>
      <c r="D4211" t="inlineStr">
        <is>
          <t>GÄVLEBORGS LÄN</t>
        </is>
      </c>
      <c r="E4211" t="inlineStr">
        <is>
          <t>BOLLNÄS</t>
        </is>
      </c>
      <c r="G4211" t="n">
        <v>24.2</v>
      </c>
      <c r="H4211" t="n">
        <v>0</v>
      </c>
      <c r="I4211" t="n">
        <v>0</v>
      </c>
      <c r="J4211" t="n">
        <v>0</v>
      </c>
      <c r="K4211" t="n">
        <v>0</v>
      </c>
      <c r="L4211" t="n">
        <v>0</v>
      </c>
      <c r="M4211" t="n">
        <v>0</v>
      </c>
      <c r="N4211" t="n">
        <v>0</v>
      </c>
      <c r="O4211" t="n">
        <v>0</v>
      </c>
      <c r="P4211" t="n">
        <v>0</v>
      </c>
      <c r="Q4211" t="n">
        <v>0</v>
      </c>
      <c r="R4211" s="2" t="inlineStr"/>
    </row>
    <row r="4212" ht="15" customHeight="1">
      <c r="A4212" t="inlineStr">
        <is>
          <t>A 833-2026</t>
        </is>
      </c>
      <c r="B4212" s="1" t="n">
        <v>46030</v>
      </c>
      <c r="C4212" s="1" t="n">
        <v>46086</v>
      </c>
      <c r="D4212" t="inlineStr">
        <is>
          <t>GÄVLEBORGS LÄN</t>
        </is>
      </c>
      <c r="E4212" t="inlineStr">
        <is>
          <t>BOLLNÄS</t>
        </is>
      </c>
      <c r="G4212" t="n">
        <v>10.8</v>
      </c>
      <c r="H4212" t="n">
        <v>0</v>
      </c>
      <c r="I4212" t="n">
        <v>0</v>
      </c>
      <c r="J4212" t="n">
        <v>0</v>
      </c>
      <c r="K4212" t="n">
        <v>0</v>
      </c>
      <c r="L4212" t="n">
        <v>0</v>
      </c>
      <c r="M4212" t="n">
        <v>0</v>
      </c>
      <c r="N4212" t="n">
        <v>0</v>
      </c>
      <c r="O4212" t="n">
        <v>0</v>
      </c>
      <c r="P4212" t="n">
        <v>0</v>
      </c>
      <c r="Q4212" t="n">
        <v>0</v>
      </c>
      <c r="R4212" s="2" t="inlineStr"/>
    </row>
    <row r="4213" ht="15" customHeight="1">
      <c r="A4213" t="inlineStr">
        <is>
          <t>A 11423-2026</t>
        </is>
      </c>
      <c r="B4213" s="1" t="n">
        <v>46083.48043981481</v>
      </c>
      <c r="C4213" s="1" t="n">
        <v>46086</v>
      </c>
      <c r="D4213" t="inlineStr">
        <is>
          <t>GÄVLEBORGS LÄN</t>
        </is>
      </c>
      <c r="E4213" t="inlineStr">
        <is>
          <t>OCKELBO</t>
        </is>
      </c>
      <c r="F4213" t="inlineStr">
        <is>
          <t>Bergvik skog öst AB</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11432-2026</t>
        </is>
      </c>
      <c r="B4214" s="1" t="n">
        <v>46083.49320601852</v>
      </c>
      <c r="C4214" s="1" t="n">
        <v>46086</v>
      </c>
      <c r="D4214" t="inlineStr">
        <is>
          <t>GÄVLEBORGS LÄN</t>
        </is>
      </c>
      <c r="E4214" t="inlineStr">
        <is>
          <t>OCKELBO</t>
        </is>
      </c>
      <c r="F4214" t="inlineStr">
        <is>
          <t>Bergvik skog väst AB</t>
        </is>
      </c>
      <c r="G4214" t="n">
        <v>7.4</v>
      </c>
      <c r="H4214" t="n">
        <v>0</v>
      </c>
      <c r="I4214" t="n">
        <v>0</v>
      </c>
      <c r="J4214" t="n">
        <v>0</v>
      </c>
      <c r="K4214" t="n">
        <v>0</v>
      </c>
      <c r="L4214" t="n">
        <v>0</v>
      </c>
      <c r="M4214" t="n">
        <v>0</v>
      </c>
      <c r="N4214" t="n">
        <v>0</v>
      </c>
      <c r="O4214" t="n">
        <v>0</v>
      </c>
      <c r="P4214" t="n">
        <v>0</v>
      </c>
      <c r="Q4214" t="n">
        <v>0</v>
      </c>
      <c r="R4214" s="2" t="inlineStr"/>
    </row>
    <row r="4215" ht="15" customHeight="1">
      <c r="A4215" t="inlineStr">
        <is>
          <t>A 43199-2025</t>
        </is>
      </c>
      <c r="B4215" s="1" t="n">
        <v>45910.43589120371</v>
      </c>
      <c r="C4215" s="1" t="n">
        <v>46086</v>
      </c>
      <c r="D4215" t="inlineStr">
        <is>
          <t>GÄVLEBORGS LÄN</t>
        </is>
      </c>
      <c r="E4215" t="inlineStr">
        <is>
          <t>NORDANSTIG</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33254-2025</t>
        </is>
      </c>
      <c r="B4216" s="1" t="n">
        <v>45840.66467592592</v>
      </c>
      <c r="C4216" s="1" t="n">
        <v>46086</v>
      </c>
      <c r="D4216" t="inlineStr">
        <is>
          <t>GÄVLEBORGS LÄN</t>
        </is>
      </c>
      <c r="E4216" t="inlineStr">
        <is>
          <t>HUDIKSVALL</t>
        </is>
      </c>
      <c r="F4216" t="inlineStr">
        <is>
          <t>Holmen skog AB</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43230-2025</t>
        </is>
      </c>
      <c r="B4217" s="1" t="n">
        <v>45910.49741898148</v>
      </c>
      <c r="C4217" s="1" t="n">
        <v>46086</v>
      </c>
      <c r="D4217" t="inlineStr">
        <is>
          <t>GÄVLEBORGS LÄN</t>
        </is>
      </c>
      <c r="E4217" t="inlineStr">
        <is>
          <t>SANDVIKEN</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33153-2025</t>
        </is>
      </c>
      <c r="B4218" s="1" t="n">
        <v>45840.55234953704</v>
      </c>
      <c r="C4218" s="1" t="n">
        <v>46086</v>
      </c>
      <c r="D4218" t="inlineStr">
        <is>
          <t>GÄVLEBORGS LÄN</t>
        </is>
      </c>
      <c r="E4218" t="inlineStr">
        <is>
          <t>BOLLNÄS</t>
        </is>
      </c>
      <c r="F4218" t="inlineStr">
        <is>
          <t>Bergvik skog väst AB</t>
        </is>
      </c>
      <c r="G4218" t="n">
        <v>6.1</v>
      </c>
      <c r="H4218" t="n">
        <v>0</v>
      </c>
      <c r="I4218" t="n">
        <v>0</v>
      </c>
      <c r="J4218" t="n">
        <v>0</v>
      </c>
      <c r="K4218" t="n">
        <v>0</v>
      </c>
      <c r="L4218" t="n">
        <v>0</v>
      </c>
      <c r="M4218" t="n">
        <v>0</v>
      </c>
      <c r="N4218" t="n">
        <v>0</v>
      </c>
      <c r="O4218" t="n">
        <v>0</v>
      </c>
      <c r="P4218" t="n">
        <v>0</v>
      </c>
      <c r="Q4218" t="n">
        <v>0</v>
      </c>
      <c r="R4218" s="2" t="inlineStr"/>
    </row>
    <row r="4219" ht="15" customHeight="1">
      <c r="A4219" t="inlineStr">
        <is>
          <t>A 33427-2025</t>
        </is>
      </c>
      <c r="B4219" s="1" t="n">
        <v>45841.44578703704</v>
      </c>
      <c r="C4219" s="1" t="n">
        <v>46086</v>
      </c>
      <c r="D4219" t="inlineStr">
        <is>
          <t>GÄVLEBORGS LÄN</t>
        </is>
      </c>
      <c r="E4219" t="inlineStr">
        <is>
          <t>LJUSDAL</t>
        </is>
      </c>
      <c r="G4219" t="n">
        <v>8.199999999999999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33426-2025</t>
        </is>
      </c>
      <c r="B4220" s="1" t="n">
        <v>45841.44555555555</v>
      </c>
      <c r="C4220" s="1" t="n">
        <v>46086</v>
      </c>
      <c r="D4220" t="inlineStr">
        <is>
          <t>GÄVLEBORGS LÄN</t>
        </is>
      </c>
      <c r="E4220" t="inlineStr">
        <is>
          <t>OVANÅKER</t>
        </is>
      </c>
      <c r="F4220" t="inlineStr">
        <is>
          <t>Bergvik skog väst AB</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35523-2022</t>
        </is>
      </c>
      <c r="B4221" s="1" t="n">
        <v>44799</v>
      </c>
      <c r="C4221" s="1" t="n">
        <v>46086</v>
      </c>
      <c r="D4221" t="inlineStr">
        <is>
          <t>GÄVLEBORGS LÄN</t>
        </is>
      </c>
      <c r="E4221" t="inlineStr">
        <is>
          <t>SANDVIKEN</t>
        </is>
      </c>
      <c r="G4221" t="n">
        <v>2.1</v>
      </c>
      <c r="H4221" t="n">
        <v>0</v>
      </c>
      <c r="I4221" t="n">
        <v>0</v>
      </c>
      <c r="J4221" t="n">
        <v>0</v>
      </c>
      <c r="K4221" t="n">
        <v>0</v>
      </c>
      <c r="L4221" t="n">
        <v>0</v>
      </c>
      <c r="M4221" t="n">
        <v>0</v>
      </c>
      <c r="N4221" t="n">
        <v>0</v>
      </c>
      <c r="O4221" t="n">
        <v>0</v>
      </c>
      <c r="P4221" t="n">
        <v>0</v>
      </c>
      <c r="Q4221" t="n">
        <v>0</v>
      </c>
      <c r="R4221" s="2" t="inlineStr"/>
      <c r="U4221">
        <f>HYPERLINK("https://klasma.github.io/Logging_2181/knärot/A 35523-2022 karta knärot.png", "A 35523-2022")</f>
        <v/>
      </c>
      <c r="V4221">
        <f>HYPERLINK("https://klasma.github.io/Logging_2181/klagomål/A 35523-2022 FSC-klagomål.docx", "A 35523-2022")</f>
        <v/>
      </c>
      <c r="W4221">
        <f>HYPERLINK("https://klasma.github.io/Logging_2181/klagomålsmail/A 35523-2022 FSC-klagomål mail.docx", "A 35523-2022")</f>
        <v/>
      </c>
      <c r="X4221">
        <f>HYPERLINK("https://klasma.github.io/Logging_2181/tillsyn/A 35523-2022 tillsynsbegäran.docx", "A 35523-2022")</f>
        <v/>
      </c>
      <c r="Y4221">
        <f>HYPERLINK("https://klasma.github.io/Logging_2181/tillsynsmail/A 35523-2022 tillsynsbegäran mail.docx", "A 35523-2022")</f>
        <v/>
      </c>
    </row>
    <row r="4222" ht="15" customHeight="1">
      <c r="A4222" t="inlineStr">
        <is>
          <t>A 43436-2025</t>
        </is>
      </c>
      <c r="B4222" s="1" t="n">
        <v>45911.4297337963</v>
      </c>
      <c r="C4222" s="1" t="n">
        <v>46086</v>
      </c>
      <c r="D4222" t="inlineStr">
        <is>
          <t>GÄVLEBORGS LÄN</t>
        </is>
      </c>
      <c r="E4222" t="inlineStr">
        <is>
          <t>OCKELBO</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20892-2025</t>
        </is>
      </c>
      <c r="B4223" s="1" t="n">
        <v>45777.38662037037</v>
      </c>
      <c r="C4223" s="1" t="n">
        <v>46086</v>
      </c>
      <c r="D4223" t="inlineStr">
        <is>
          <t>GÄVLEBORGS LÄN</t>
        </is>
      </c>
      <c r="E4223" t="inlineStr">
        <is>
          <t>OCKELBO</t>
        </is>
      </c>
      <c r="F4223" t="inlineStr">
        <is>
          <t>Bergvik skog väst AB</t>
        </is>
      </c>
      <c r="G4223" t="n">
        <v>8</v>
      </c>
      <c r="H4223" t="n">
        <v>0</v>
      </c>
      <c r="I4223" t="n">
        <v>0</v>
      </c>
      <c r="J4223" t="n">
        <v>0</v>
      </c>
      <c r="K4223" t="n">
        <v>0</v>
      </c>
      <c r="L4223" t="n">
        <v>0</v>
      </c>
      <c r="M4223" t="n">
        <v>0</v>
      </c>
      <c r="N4223" t="n">
        <v>0</v>
      </c>
      <c r="O4223" t="n">
        <v>0</v>
      </c>
      <c r="P4223" t="n">
        <v>0</v>
      </c>
      <c r="Q4223" t="n">
        <v>0</v>
      </c>
      <c r="R4223" s="2" t="inlineStr"/>
    </row>
    <row r="4224" ht="15" customHeight="1">
      <c r="A4224" t="inlineStr">
        <is>
          <t>A 43472-2025</t>
        </is>
      </c>
      <c r="B4224" s="1" t="n">
        <v>45911.48361111111</v>
      </c>
      <c r="C4224" s="1" t="n">
        <v>46086</v>
      </c>
      <c r="D4224" t="inlineStr">
        <is>
          <t>GÄVLEBORGS LÄN</t>
        </is>
      </c>
      <c r="E4224" t="inlineStr">
        <is>
          <t>SANDVIKEN</t>
        </is>
      </c>
      <c r="G4224" t="n">
        <v>5.5</v>
      </c>
      <c r="H4224" t="n">
        <v>0</v>
      </c>
      <c r="I4224" t="n">
        <v>0</v>
      </c>
      <c r="J4224" t="n">
        <v>0</v>
      </c>
      <c r="K4224" t="n">
        <v>0</v>
      </c>
      <c r="L4224" t="n">
        <v>0</v>
      </c>
      <c r="M4224" t="n">
        <v>0</v>
      </c>
      <c r="N4224" t="n">
        <v>0</v>
      </c>
      <c r="O4224" t="n">
        <v>0</v>
      </c>
      <c r="P4224" t="n">
        <v>0</v>
      </c>
      <c r="Q4224" t="n">
        <v>0</v>
      </c>
      <c r="R4224" s="2" t="inlineStr"/>
    </row>
    <row r="4225" ht="15" customHeight="1">
      <c r="A4225" t="inlineStr">
        <is>
          <t>A 43499-2025</t>
        </is>
      </c>
      <c r="B4225" s="1" t="n">
        <v>45911.53071759259</v>
      </c>
      <c r="C4225" s="1" t="n">
        <v>46086</v>
      </c>
      <c r="D4225" t="inlineStr">
        <is>
          <t>GÄVLEBORGS LÄN</t>
        </is>
      </c>
      <c r="E4225" t="inlineStr">
        <is>
          <t>GÄVLE</t>
        </is>
      </c>
      <c r="F4225" t="inlineStr">
        <is>
          <t>Bergvik skog öst AB</t>
        </is>
      </c>
      <c r="G4225" t="n">
        <v>6.2</v>
      </c>
      <c r="H4225" t="n">
        <v>0</v>
      </c>
      <c r="I4225" t="n">
        <v>0</v>
      </c>
      <c r="J4225" t="n">
        <v>0</v>
      </c>
      <c r="K4225" t="n">
        <v>0</v>
      </c>
      <c r="L4225" t="n">
        <v>0</v>
      </c>
      <c r="M4225" t="n">
        <v>0</v>
      </c>
      <c r="N4225" t="n">
        <v>0</v>
      </c>
      <c r="O4225" t="n">
        <v>0</v>
      </c>
      <c r="P4225" t="n">
        <v>0</v>
      </c>
      <c r="Q4225" t="n">
        <v>0</v>
      </c>
      <c r="R4225" s="2" t="inlineStr"/>
    </row>
    <row r="4226" ht="15" customHeight="1">
      <c r="A4226" t="inlineStr">
        <is>
          <t>A 2232-2022</t>
        </is>
      </c>
      <c r="B4226" s="1" t="n">
        <v>44578</v>
      </c>
      <c r="C4226" s="1" t="n">
        <v>46086</v>
      </c>
      <c r="D4226" t="inlineStr">
        <is>
          <t>GÄVLEBORGS LÄN</t>
        </is>
      </c>
      <c r="E4226" t="inlineStr">
        <is>
          <t>HUDIKSVALL</t>
        </is>
      </c>
      <c r="F4226" t="inlineStr">
        <is>
          <t>Holmen skog AB</t>
        </is>
      </c>
      <c r="G4226" t="n">
        <v>8.699999999999999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33355-2025</t>
        </is>
      </c>
      <c r="B4227" s="1" t="n">
        <v>45841.37690972222</v>
      </c>
      <c r="C4227" s="1" t="n">
        <v>46086</v>
      </c>
      <c r="D4227" t="inlineStr">
        <is>
          <t>GÄVLEBORGS LÄN</t>
        </is>
      </c>
      <c r="E4227" t="inlineStr">
        <is>
          <t>NORDANSTIG</t>
        </is>
      </c>
      <c r="F4227" t="inlineStr">
        <is>
          <t>Holmen skog AB</t>
        </is>
      </c>
      <c r="G4227" t="n">
        <v>34.6</v>
      </c>
      <c r="H4227" t="n">
        <v>0</v>
      </c>
      <c r="I4227" t="n">
        <v>0</v>
      </c>
      <c r="J4227" t="n">
        <v>0</v>
      </c>
      <c r="K4227" t="n">
        <v>0</v>
      </c>
      <c r="L4227" t="n">
        <v>0</v>
      </c>
      <c r="M4227" t="n">
        <v>0</v>
      </c>
      <c r="N4227" t="n">
        <v>0</v>
      </c>
      <c r="O4227" t="n">
        <v>0</v>
      </c>
      <c r="P4227" t="n">
        <v>0</v>
      </c>
      <c r="Q4227" t="n">
        <v>0</v>
      </c>
      <c r="R4227" s="2" t="inlineStr"/>
    </row>
    <row r="4228" ht="15" customHeight="1">
      <c r="A4228" t="inlineStr">
        <is>
          <t>A 33395-2025</t>
        </is>
      </c>
      <c r="B4228" s="1" t="n">
        <v>45841.41876157407</v>
      </c>
      <c r="C4228" s="1" t="n">
        <v>46086</v>
      </c>
      <c r="D4228" t="inlineStr">
        <is>
          <t>GÄVLEBORGS LÄN</t>
        </is>
      </c>
      <c r="E4228" t="inlineStr">
        <is>
          <t>SÖDERHAMN</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43219-2025</t>
        </is>
      </c>
      <c r="B4229" s="1" t="n">
        <v>45910</v>
      </c>
      <c r="C4229" s="1" t="n">
        <v>46086</v>
      </c>
      <c r="D4229" t="inlineStr">
        <is>
          <t>GÄVLEBORGS LÄN</t>
        </is>
      </c>
      <c r="E4229" t="inlineStr">
        <is>
          <t>HUDIKSVALL</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33803-2025</t>
        </is>
      </c>
      <c r="B4230" s="1" t="n">
        <v>45842.44728009259</v>
      </c>
      <c r="C4230" s="1" t="n">
        <v>46086</v>
      </c>
      <c r="D4230" t="inlineStr">
        <is>
          <t>GÄVLEBORGS LÄN</t>
        </is>
      </c>
      <c r="E4230" t="inlineStr">
        <is>
          <t>LJUSDAL</t>
        </is>
      </c>
      <c r="F4230" t="inlineStr">
        <is>
          <t>Sveaskog</t>
        </is>
      </c>
      <c r="G4230" t="n">
        <v>5.7</v>
      </c>
      <c r="H4230" t="n">
        <v>0</v>
      </c>
      <c r="I4230" t="n">
        <v>0</v>
      </c>
      <c r="J4230" t="n">
        <v>0</v>
      </c>
      <c r="K4230" t="n">
        <v>0</v>
      </c>
      <c r="L4230" t="n">
        <v>0</v>
      </c>
      <c r="M4230" t="n">
        <v>0</v>
      </c>
      <c r="N4230" t="n">
        <v>0</v>
      </c>
      <c r="O4230" t="n">
        <v>0</v>
      </c>
      <c r="P4230" t="n">
        <v>0</v>
      </c>
      <c r="Q4230" t="n">
        <v>0</v>
      </c>
      <c r="R4230" s="2" t="inlineStr"/>
    </row>
    <row r="4231" ht="15" customHeight="1">
      <c r="A4231" t="inlineStr">
        <is>
          <t>A 63703-2023</t>
        </is>
      </c>
      <c r="B4231" s="1" t="n">
        <v>45275.92704861111</v>
      </c>
      <c r="C4231" s="1" t="n">
        <v>46086</v>
      </c>
      <c r="D4231" t="inlineStr">
        <is>
          <t>GÄVLEBORGS LÄN</t>
        </is>
      </c>
      <c r="E4231" t="inlineStr">
        <is>
          <t>OVANÅKER</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4803-2026</t>
        </is>
      </c>
      <c r="B4232" s="1" t="n">
        <v>46048</v>
      </c>
      <c r="C4232" s="1" t="n">
        <v>46086</v>
      </c>
      <c r="D4232" t="inlineStr">
        <is>
          <t>GÄVLEBORGS LÄN</t>
        </is>
      </c>
      <c r="E4232" t="inlineStr">
        <is>
          <t>LJUSDAL</t>
        </is>
      </c>
      <c r="G4232" t="n">
        <v>5.5</v>
      </c>
      <c r="H4232" t="n">
        <v>0</v>
      </c>
      <c r="I4232" t="n">
        <v>0</v>
      </c>
      <c r="J4232" t="n">
        <v>0</v>
      </c>
      <c r="K4232" t="n">
        <v>0</v>
      </c>
      <c r="L4232" t="n">
        <v>0</v>
      </c>
      <c r="M4232" t="n">
        <v>0</v>
      </c>
      <c r="N4232" t="n">
        <v>0</v>
      </c>
      <c r="O4232" t="n">
        <v>0</v>
      </c>
      <c r="P4232" t="n">
        <v>0</v>
      </c>
      <c r="Q4232" t="n">
        <v>0</v>
      </c>
      <c r="R4232" s="2" t="inlineStr"/>
    </row>
    <row r="4233" ht="15" customHeight="1">
      <c r="A4233" t="inlineStr">
        <is>
          <t>A 8746-2026</t>
        </is>
      </c>
      <c r="B4233" s="1" t="n">
        <v>46066</v>
      </c>
      <c r="C4233" s="1" t="n">
        <v>46086</v>
      </c>
      <c r="D4233" t="inlineStr">
        <is>
          <t>GÄVLEBORGS LÄN</t>
        </is>
      </c>
      <c r="E4233" t="inlineStr">
        <is>
          <t>LJUSDAL</t>
        </is>
      </c>
      <c r="F4233" t="inlineStr">
        <is>
          <t>Holmen skog AB</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8748-2026</t>
        </is>
      </c>
      <c r="B4234" s="1" t="n">
        <v>46066</v>
      </c>
      <c r="C4234" s="1" t="n">
        <v>46086</v>
      </c>
      <c r="D4234" t="inlineStr">
        <is>
          <t>GÄVLEBORGS LÄN</t>
        </is>
      </c>
      <c r="E4234" t="inlineStr">
        <is>
          <t>HOFORS</t>
        </is>
      </c>
      <c r="F4234" t="inlineStr">
        <is>
          <t>Sveaskog</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8786-2026</t>
        </is>
      </c>
      <c r="B4235" s="1" t="n">
        <v>46066</v>
      </c>
      <c r="C4235" s="1" t="n">
        <v>46086</v>
      </c>
      <c r="D4235" t="inlineStr">
        <is>
          <t>GÄVLEBORGS LÄN</t>
        </is>
      </c>
      <c r="E4235" t="inlineStr">
        <is>
          <t>OVANÅKER</t>
        </is>
      </c>
      <c r="F4235" t="inlineStr">
        <is>
          <t>Sveaskog</t>
        </is>
      </c>
      <c r="G4235" t="n">
        <v>8.5</v>
      </c>
      <c r="H4235" t="n">
        <v>0</v>
      </c>
      <c r="I4235" t="n">
        <v>0</v>
      </c>
      <c r="J4235" t="n">
        <v>0</v>
      </c>
      <c r="K4235" t="n">
        <v>0</v>
      </c>
      <c r="L4235" t="n">
        <v>0</v>
      </c>
      <c r="M4235" t="n">
        <v>0</v>
      </c>
      <c r="N4235" t="n">
        <v>0</v>
      </c>
      <c r="O4235" t="n">
        <v>0</v>
      </c>
      <c r="P4235" t="n">
        <v>0</v>
      </c>
      <c r="Q4235" t="n">
        <v>0</v>
      </c>
      <c r="R4235" s="2" t="inlineStr"/>
    </row>
    <row r="4236" ht="15" customHeight="1">
      <c r="A4236" t="inlineStr">
        <is>
          <t>A 43393-2025</t>
        </is>
      </c>
      <c r="B4236" s="1" t="n">
        <v>45911</v>
      </c>
      <c r="C4236" s="1" t="n">
        <v>46086</v>
      </c>
      <c r="D4236" t="inlineStr">
        <is>
          <t>GÄVLEBORGS LÄN</t>
        </is>
      </c>
      <c r="E4236" t="inlineStr">
        <is>
          <t>HUDIKSVALL</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43419-2025</t>
        </is>
      </c>
      <c r="B4237" s="1" t="n">
        <v>45911.40752314815</v>
      </c>
      <c r="C4237" s="1" t="n">
        <v>46086</v>
      </c>
      <c r="D4237" t="inlineStr">
        <is>
          <t>GÄVLEBORGS LÄN</t>
        </is>
      </c>
      <c r="E4237" t="inlineStr">
        <is>
          <t>HUDIKSVALL</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2584-2025</t>
        </is>
      </c>
      <c r="B4238" s="1" t="n">
        <v>45674</v>
      </c>
      <c r="C4238" s="1" t="n">
        <v>46086</v>
      </c>
      <c r="D4238" t="inlineStr">
        <is>
          <t>GÄVLEBORGS LÄN</t>
        </is>
      </c>
      <c r="E4238" t="inlineStr">
        <is>
          <t>LJUSDAL</t>
        </is>
      </c>
      <c r="F4238" t="inlineStr">
        <is>
          <t>Sveaskog</t>
        </is>
      </c>
      <c r="G4238" t="n">
        <v>4.1</v>
      </c>
      <c r="H4238" t="n">
        <v>0</v>
      </c>
      <c r="I4238" t="n">
        <v>0</v>
      </c>
      <c r="J4238" t="n">
        <v>0</v>
      </c>
      <c r="K4238" t="n">
        <v>0</v>
      </c>
      <c r="L4238" t="n">
        <v>0</v>
      </c>
      <c r="M4238" t="n">
        <v>0</v>
      </c>
      <c r="N4238" t="n">
        <v>0</v>
      </c>
      <c r="O4238" t="n">
        <v>0</v>
      </c>
      <c r="P4238" t="n">
        <v>0</v>
      </c>
      <c r="Q4238" t="n">
        <v>0</v>
      </c>
      <c r="R4238" s="2" t="inlineStr"/>
    </row>
    <row r="4239" ht="15" customHeight="1">
      <c r="A4239" t="inlineStr">
        <is>
          <t>A 24881-2021</t>
        </is>
      </c>
      <c r="B4239" s="1" t="n">
        <v>44341.32192129629</v>
      </c>
      <c r="C4239" s="1" t="n">
        <v>46086</v>
      </c>
      <c r="D4239" t="inlineStr">
        <is>
          <t>GÄVLEBORGS LÄN</t>
        </is>
      </c>
      <c r="E4239" t="inlineStr">
        <is>
          <t>LJUSDAL</t>
        </is>
      </c>
      <c r="F4239" t="inlineStr">
        <is>
          <t>Kommuner</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24655-2024</t>
        </is>
      </c>
      <c r="B4240" s="1" t="n">
        <v>45460.57638888889</v>
      </c>
      <c r="C4240" s="1" t="n">
        <v>46086</v>
      </c>
      <c r="D4240" t="inlineStr">
        <is>
          <t>GÄVLEBORGS LÄN</t>
        </is>
      </c>
      <c r="E4240" t="inlineStr">
        <is>
          <t>LJUSDAL</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30011-2023</t>
        </is>
      </c>
      <c r="B4241" s="1" t="n">
        <v>45109.84071759259</v>
      </c>
      <c r="C4241" s="1" t="n">
        <v>46086</v>
      </c>
      <c r="D4241" t="inlineStr">
        <is>
          <t>GÄVLEBORGS LÄN</t>
        </is>
      </c>
      <c r="E4241" t="inlineStr">
        <is>
          <t>OCKELBO</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24741-2024</t>
        </is>
      </c>
      <c r="B4242" s="1" t="n">
        <v>45460.66142361111</v>
      </c>
      <c r="C4242" s="1" t="n">
        <v>46086</v>
      </c>
      <c r="D4242" t="inlineStr">
        <is>
          <t>GÄVLEBORGS LÄN</t>
        </is>
      </c>
      <c r="E4242" t="inlineStr">
        <is>
          <t>BOLLNÄS</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1892-2024</t>
        </is>
      </c>
      <c r="B4243" s="1" t="n">
        <v>45308.30474537037</v>
      </c>
      <c r="C4243" s="1" t="n">
        <v>46086</v>
      </c>
      <c r="D4243" t="inlineStr">
        <is>
          <t>GÄVLEBORGS LÄN</t>
        </is>
      </c>
      <c r="E4243" t="inlineStr">
        <is>
          <t>OVANÅKER</t>
        </is>
      </c>
      <c r="G4243" t="n">
        <v>0.3</v>
      </c>
      <c r="H4243" t="n">
        <v>0</v>
      </c>
      <c r="I4243" t="n">
        <v>0</v>
      </c>
      <c r="J4243" t="n">
        <v>0</v>
      </c>
      <c r="K4243" t="n">
        <v>0</v>
      </c>
      <c r="L4243" t="n">
        <v>0</v>
      </c>
      <c r="M4243" t="n">
        <v>0</v>
      </c>
      <c r="N4243" t="n">
        <v>0</v>
      </c>
      <c r="O4243" t="n">
        <v>0</v>
      </c>
      <c r="P4243" t="n">
        <v>0</v>
      </c>
      <c r="Q4243" t="n">
        <v>0</v>
      </c>
      <c r="R4243" s="2" t="inlineStr"/>
    </row>
    <row r="4244" ht="15" customHeight="1">
      <c r="A4244" t="inlineStr">
        <is>
          <t>A 34240-2025</t>
        </is>
      </c>
      <c r="B4244" s="1" t="n">
        <v>45845.67427083333</v>
      </c>
      <c r="C4244" s="1" t="n">
        <v>46086</v>
      </c>
      <c r="D4244" t="inlineStr">
        <is>
          <t>GÄVLEBORGS LÄN</t>
        </is>
      </c>
      <c r="E4244" t="inlineStr">
        <is>
          <t>NORDANSTIG</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6115-2026</t>
        </is>
      </c>
      <c r="B4245" s="1" t="n">
        <v>46053</v>
      </c>
      <c r="C4245" s="1" t="n">
        <v>46086</v>
      </c>
      <c r="D4245" t="inlineStr">
        <is>
          <t>GÄVLEBORGS LÄN</t>
        </is>
      </c>
      <c r="E4245" t="inlineStr">
        <is>
          <t>OVANÅKER</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8885-2026</t>
        </is>
      </c>
      <c r="B4246" s="1" t="n">
        <v>46068</v>
      </c>
      <c r="C4246" s="1" t="n">
        <v>46086</v>
      </c>
      <c r="D4246" t="inlineStr">
        <is>
          <t>GÄVLEBORGS LÄN</t>
        </is>
      </c>
      <c r="E4246" t="inlineStr">
        <is>
          <t>BOLLNÄS</t>
        </is>
      </c>
      <c r="F4246" t="inlineStr">
        <is>
          <t>Bergvik skog väst AB</t>
        </is>
      </c>
      <c r="G4246" t="n">
        <v>5.1</v>
      </c>
      <c r="H4246" t="n">
        <v>0</v>
      </c>
      <c r="I4246" t="n">
        <v>0</v>
      </c>
      <c r="J4246" t="n">
        <v>0</v>
      </c>
      <c r="K4246" t="n">
        <v>0</v>
      </c>
      <c r="L4246" t="n">
        <v>0</v>
      </c>
      <c r="M4246" t="n">
        <v>0</v>
      </c>
      <c r="N4246" t="n">
        <v>0</v>
      </c>
      <c r="O4246" t="n">
        <v>0</v>
      </c>
      <c r="P4246" t="n">
        <v>0</v>
      </c>
      <c r="Q4246" t="n">
        <v>0</v>
      </c>
      <c r="R4246" s="2" t="inlineStr"/>
    </row>
    <row r="4247" ht="15" customHeight="1">
      <c r="A4247" t="inlineStr">
        <is>
          <t>A 8888-2026</t>
        </is>
      </c>
      <c r="B4247" s="1" t="n">
        <v>46068</v>
      </c>
      <c r="C4247" s="1" t="n">
        <v>46086</v>
      </c>
      <c r="D4247" t="inlineStr">
        <is>
          <t>GÄVLEBORGS LÄN</t>
        </is>
      </c>
      <c r="E4247" t="inlineStr">
        <is>
          <t>OVANÅKER</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9036-2026</t>
        </is>
      </c>
      <c r="B4248" s="1" t="n">
        <v>46069</v>
      </c>
      <c r="C4248" s="1" t="n">
        <v>46086</v>
      </c>
      <c r="D4248" t="inlineStr">
        <is>
          <t>GÄVLEBORGS LÄN</t>
        </is>
      </c>
      <c r="E4248" t="inlineStr">
        <is>
          <t>SÖDERHAMN</t>
        </is>
      </c>
      <c r="F4248" t="inlineStr">
        <is>
          <t>Kyrkan</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6369-2026</t>
        </is>
      </c>
      <c r="B4249" s="1" t="n">
        <v>46055</v>
      </c>
      <c r="C4249" s="1" t="n">
        <v>46086</v>
      </c>
      <c r="D4249" t="inlineStr">
        <is>
          <t>GÄVLEBORGS LÄN</t>
        </is>
      </c>
      <c r="E4249" t="inlineStr">
        <is>
          <t>HUDIKSVALL</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36090-2025</t>
        </is>
      </c>
      <c r="B4250" s="1" t="n">
        <v>45866.47789351852</v>
      </c>
      <c r="C4250" s="1" t="n">
        <v>46086</v>
      </c>
      <c r="D4250" t="inlineStr">
        <is>
          <t>GÄVLEBORGS LÄN</t>
        </is>
      </c>
      <c r="E4250" t="inlineStr">
        <is>
          <t>OVANÅKER</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10352-2025</t>
        </is>
      </c>
      <c r="B4251" s="1" t="n">
        <v>45720.51222222222</v>
      </c>
      <c r="C4251" s="1" t="n">
        <v>46086</v>
      </c>
      <c r="D4251" t="inlineStr">
        <is>
          <t>GÄVLEBORGS LÄN</t>
        </is>
      </c>
      <c r="E4251" t="inlineStr">
        <is>
          <t>GÄVLE</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43339-2025</t>
        </is>
      </c>
      <c r="B4252" s="1" t="n">
        <v>45910.74591435185</v>
      </c>
      <c r="C4252" s="1" t="n">
        <v>46086</v>
      </c>
      <c r="D4252" t="inlineStr">
        <is>
          <t>GÄVLEBORGS LÄN</t>
        </is>
      </c>
      <c r="E4252" t="inlineStr">
        <is>
          <t>HUDIKSVALL</t>
        </is>
      </c>
      <c r="F4252" t="inlineStr">
        <is>
          <t>Holmen skog AB</t>
        </is>
      </c>
      <c r="G4252" t="n">
        <v>7.4</v>
      </c>
      <c r="H4252" t="n">
        <v>0</v>
      </c>
      <c r="I4252" t="n">
        <v>0</v>
      </c>
      <c r="J4252" t="n">
        <v>0</v>
      </c>
      <c r="K4252" t="n">
        <v>0</v>
      </c>
      <c r="L4252" t="n">
        <v>0</v>
      </c>
      <c r="M4252" t="n">
        <v>0</v>
      </c>
      <c r="N4252" t="n">
        <v>0</v>
      </c>
      <c r="O4252" t="n">
        <v>0</v>
      </c>
      <c r="P4252" t="n">
        <v>0</v>
      </c>
      <c r="Q4252" t="n">
        <v>0</v>
      </c>
      <c r="R4252" s="2" t="inlineStr"/>
    </row>
    <row r="4253" ht="15" customHeight="1">
      <c r="A4253" t="inlineStr">
        <is>
          <t>A 43598-2025</t>
        </is>
      </c>
      <c r="B4253" s="1" t="n">
        <v>45911.66398148148</v>
      </c>
      <c r="C4253" s="1" t="n">
        <v>46086</v>
      </c>
      <c r="D4253" t="inlineStr">
        <is>
          <t>GÄVLEBORGS LÄN</t>
        </is>
      </c>
      <c r="E4253" t="inlineStr">
        <is>
          <t>SÖDERHAMN</t>
        </is>
      </c>
      <c r="G4253" t="n">
        <v>7.5</v>
      </c>
      <c r="H4253" t="n">
        <v>0</v>
      </c>
      <c r="I4253" t="n">
        <v>0</v>
      </c>
      <c r="J4253" t="n">
        <v>0</v>
      </c>
      <c r="K4253" t="n">
        <v>0</v>
      </c>
      <c r="L4253" t="n">
        <v>0</v>
      </c>
      <c r="M4253" t="n">
        <v>0</v>
      </c>
      <c r="N4253" t="n">
        <v>0</v>
      </c>
      <c r="O4253" t="n">
        <v>0</v>
      </c>
      <c r="P4253" t="n">
        <v>0</v>
      </c>
      <c r="Q4253" t="n">
        <v>0</v>
      </c>
      <c r="R4253" s="2" t="inlineStr"/>
    </row>
    <row r="4254" ht="15" customHeight="1">
      <c r="A4254" t="inlineStr">
        <is>
          <t>A 3262-2026</t>
        </is>
      </c>
      <c r="B4254" s="1" t="n">
        <v>46041.59528935186</v>
      </c>
      <c r="C4254" s="1" t="n">
        <v>46086</v>
      </c>
      <c r="D4254" t="inlineStr">
        <is>
          <t>GÄVLEBORGS LÄN</t>
        </is>
      </c>
      <c r="E4254" t="inlineStr">
        <is>
          <t>LJUSDAL</t>
        </is>
      </c>
      <c r="F4254" t="inlineStr">
        <is>
          <t>Holmen skog AB</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3265-2026</t>
        </is>
      </c>
      <c r="B4255" s="1" t="n">
        <v>46041</v>
      </c>
      <c r="C4255" s="1" t="n">
        <v>46086</v>
      </c>
      <c r="D4255" t="inlineStr">
        <is>
          <t>GÄVLEBORGS LÄN</t>
        </is>
      </c>
      <c r="E4255" t="inlineStr">
        <is>
          <t>OVANÅKER</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3268-2026</t>
        </is>
      </c>
      <c r="B4256" s="1" t="n">
        <v>46041.6021875</v>
      </c>
      <c r="C4256" s="1" t="n">
        <v>46086</v>
      </c>
      <c r="D4256" t="inlineStr">
        <is>
          <t>GÄVLEBORGS LÄN</t>
        </is>
      </c>
      <c r="E4256" t="inlineStr">
        <is>
          <t>OCKELBO</t>
        </is>
      </c>
      <c r="G4256" t="n">
        <v>5.7</v>
      </c>
      <c r="H4256" t="n">
        <v>0</v>
      </c>
      <c r="I4256" t="n">
        <v>0</v>
      </c>
      <c r="J4256" t="n">
        <v>0</v>
      </c>
      <c r="K4256" t="n">
        <v>0</v>
      </c>
      <c r="L4256" t="n">
        <v>0</v>
      </c>
      <c r="M4256" t="n">
        <v>0</v>
      </c>
      <c r="N4256" t="n">
        <v>0</v>
      </c>
      <c r="O4256" t="n">
        <v>0</v>
      </c>
      <c r="P4256" t="n">
        <v>0</v>
      </c>
      <c r="Q4256" t="n">
        <v>0</v>
      </c>
      <c r="R4256" s="2" t="inlineStr"/>
    </row>
    <row r="4257" ht="15" customHeight="1">
      <c r="A4257" t="inlineStr">
        <is>
          <t>A 3286-2026</t>
        </is>
      </c>
      <c r="B4257" s="1" t="n">
        <v>46041</v>
      </c>
      <c r="C4257" s="1" t="n">
        <v>46086</v>
      </c>
      <c r="D4257" t="inlineStr">
        <is>
          <t>GÄVLEBORGS LÄN</t>
        </is>
      </c>
      <c r="E4257" t="inlineStr">
        <is>
          <t>HUDIKSVALL</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3330-2026</t>
        </is>
      </c>
      <c r="B4258" s="1" t="n">
        <v>46041.73710648148</v>
      </c>
      <c r="C4258" s="1" t="n">
        <v>46086</v>
      </c>
      <c r="D4258" t="inlineStr">
        <is>
          <t>GÄVLEBORGS LÄN</t>
        </is>
      </c>
      <c r="E4258" t="inlineStr">
        <is>
          <t>HUDIKSVALL</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2847-2026</t>
        </is>
      </c>
      <c r="B4259" s="1" t="n">
        <v>46038.47703703704</v>
      </c>
      <c r="C4259" s="1" t="n">
        <v>46086</v>
      </c>
      <c r="D4259" t="inlineStr">
        <is>
          <t>GÄVLEBORGS LÄN</t>
        </is>
      </c>
      <c r="E4259" t="inlineStr">
        <is>
          <t>OVANÅKER</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2848-2026</t>
        </is>
      </c>
      <c r="B4260" s="1" t="n">
        <v>46038.47784722222</v>
      </c>
      <c r="C4260" s="1" t="n">
        <v>46086</v>
      </c>
      <c r="D4260" t="inlineStr">
        <is>
          <t>GÄVLEBORGS LÄN</t>
        </is>
      </c>
      <c r="E4260" t="inlineStr">
        <is>
          <t>OVANÅKER</t>
        </is>
      </c>
      <c r="G4260" t="n">
        <v>7.6</v>
      </c>
      <c r="H4260" t="n">
        <v>0</v>
      </c>
      <c r="I4260" t="n">
        <v>0</v>
      </c>
      <c r="J4260" t="n">
        <v>0</v>
      </c>
      <c r="K4260" t="n">
        <v>0</v>
      </c>
      <c r="L4260" t="n">
        <v>0</v>
      </c>
      <c r="M4260" t="n">
        <v>0</v>
      </c>
      <c r="N4260" t="n">
        <v>0</v>
      </c>
      <c r="O4260" t="n">
        <v>0</v>
      </c>
      <c r="P4260" t="n">
        <v>0</v>
      </c>
      <c r="Q4260" t="n">
        <v>0</v>
      </c>
      <c r="R4260" s="2" t="inlineStr"/>
    </row>
    <row r="4261" ht="15" customHeight="1">
      <c r="A4261" t="inlineStr">
        <is>
          <t>A 43210-2025</t>
        </is>
      </c>
      <c r="B4261" s="1" t="n">
        <v>45910.45524305556</v>
      </c>
      <c r="C4261" s="1" t="n">
        <v>46086</v>
      </c>
      <c r="D4261" t="inlineStr">
        <is>
          <t>GÄVLEBORGS LÄN</t>
        </is>
      </c>
      <c r="E4261" t="inlineStr">
        <is>
          <t>SANDVIKEN</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36170-2025</t>
        </is>
      </c>
      <c r="B4262" s="1" t="n">
        <v>45867.38659722222</v>
      </c>
      <c r="C4262" s="1" t="n">
        <v>46086</v>
      </c>
      <c r="D4262" t="inlineStr">
        <is>
          <t>GÄVLEBORGS LÄN</t>
        </is>
      </c>
      <c r="E4262" t="inlineStr">
        <is>
          <t>LJUSDAL</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36684-2025</t>
        </is>
      </c>
      <c r="B4263" s="1" t="n">
        <v>45873.41694444444</v>
      </c>
      <c r="C4263" s="1" t="n">
        <v>46086</v>
      </c>
      <c r="D4263" t="inlineStr">
        <is>
          <t>GÄVLEBORGS LÄN</t>
        </is>
      </c>
      <c r="E4263" t="inlineStr">
        <is>
          <t>OVANÅKER</t>
        </is>
      </c>
      <c r="F4263" t="inlineStr">
        <is>
          <t>Bergvik skog väst AB</t>
        </is>
      </c>
      <c r="G4263" t="n">
        <v>4.8</v>
      </c>
      <c r="H4263" t="n">
        <v>0</v>
      </c>
      <c r="I4263" t="n">
        <v>0</v>
      </c>
      <c r="J4263" t="n">
        <v>0</v>
      </c>
      <c r="K4263" t="n">
        <v>0</v>
      </c>
      <c r="L4263" t="n">
        <v>0</v>
      </c>
      <c r="M4263" t="n">
        <v>0</v>
      </c>
      <c r="N4263" t="n">
        <v>0</v>
      </c>
      <c r="O4263" t="n">
        <v>0</v>
      </c>
      <c r="P4263" t="n">
        <v>0</v>
      </c>
      <c r="Q4263" t="n">
        <v>0</v>
      </c>
      <c r="R4263" s="2" t="inlineStr"/>
    </row>
    <row r="4264" ht="15" customHeight="1">
      <c r="A4264" t="inlineStr">
        <is>
          <t>A 41415-2025</t>
        </is>
      </c>
      <c r="B4264" s="1" t="n">
        <v>45901</v>
      </c>
      <c r="C4264" s="1" t="n">
        <v>46086</v>
      </c>
      <c r="D4264" t="inlineStr">
        <is>
          <t>GÄVLEBORGS LÄN</t>
        </is>
      </c>
      <c r="E4264" t="inlineStr">
        <is>
          <t>OVANÅKER</t>
        </is>
      </c>
      <c r="G4264" t="n">
        <v>4.5</v>
      </c>
      <c r="H4264" t="n">
        <v>0</v>
      </c>
      <c r="I4264" t="n">
        <v>0</v>
      </c>
      <c r="J4264" t="n">
        <v>0</v>
      </c>
      <c r="K4264" t="n">
        <v>0</v>
      </c>
      <c r="L4264" t="n">
        <v>0</v>
      </c>
      <c r="M4264" t="n">
        <v>0</v>
      </c>
      <c r="N4264" t="n">
        <v>0</v>
      </c>
      <c r="O4264" t="n">
        <v>0</v>
      </c>
      <c r="P4264" t="n">
        <v>0</v>
      </c>
      <c r="Q4264" t="n">
        <v>0</v>
      </c>
      <c r="R4264" s="2" t="inlineStr"/>
    </row>
    <row r="4265" ht="15" customHeight="1">
      <c r="A4265" t="inlineStr">
        <is>
          <t>A 52091-2023</t>
        </is>
      </c>
      <c r="B4265" s="1" t="n">
        <v>45223.78762731481</v>
      </c>
      <c r="C4265" s="1" t="n">
        <v>46086</v>
      </c>
      <c r="D4265" t="inlineStr">
        <is>
          <t>GÄVLEBORGS LÄN</t>
        </is>
      </c>
      <c r="E4265" t="inlineStr">
        <is>
          <t>SÖDERHAMN</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20717-2024</t>
        </is>
      </c>
      <c r="B4266" s="1" t="n">
        <v>45436.6455324074</v>
      </c>
      <c r="C4266" s="1" t="n">
        <v>46086</v>
      </c>
      <c r="D4266" t="inlineStr">
        <is>
          <t>GÄVLEBORGS LÄN</t>
        </is>
      </c>
      <c r="E4266" t="inlineStr">
        <is>
          <t>SÖDERHAMN</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26180-2023</t>
        </is>
      </c>
      <c r="B4267" s="1" t="n">
        <v>45091.52903935185</v>
      </c>
      <c r="C4267" s="1" t="n">
        <v>46086</v>
      </c>
      <c r="D4267" t="inlineStr">
        <is>
          <t>GÄVLEBORGS LÄN</t>
        </is>
      </c>
      <c r="E4267" t="inlineStr">
        <is>
          <t>LJUSDAL</t>
        </is>
      </c>
      <c r="F4267" t="inlineStr">
        <is>
          <t>Sveaskog</t>
        </is>
      </c>
      <c r="G4267" t="n">
        <v>3.7</v>
      </c>
      <c r="H4267" t="n">
        <v>0</v>
      </c>
      <c r="I4267" t="n">
        <v>0</v>
      </c>
      <c r="J4267" t="n">
        <v>0</v>
      </c>
      <c r="K4267" t="n">
        <v>0</v>
      </c>
      <c r="L4267" t="n">
        <v>0</v>
      </c>
      <c r="M4267" t="n">
        <v>0</v>
      </c>
      <c r="N4267" t="n">
        <v>0</v>
      </c>
      <c r="O4267" t="n">
        <v>0</v>
      </c>
      <c r="P4267" t="n">
        <v>0</v>
      </c>
      <c r="Q4267" t="n">
        <v>0</v>
      </c>
      <c r="R4267" s="2" t="inlineStr"/>
    </row>
    <row r="4268" ht="15" customHeight="1">
      <c r="A4268" t="inlineStr">
        <is>
          <t>A 43197-2025</t>
        </is>
      </c>
      <c r="B4268" s="1" t="n">
        <v>45910</v>
      </c>
      <c r="C4268" s="1" t="n">
        <v>46086</v>
      </c>
      <c r="D4268" t="inlineStr">
        <is>
          <t>GÄVLEBORGS LÄN</t>
        </is>
      </c>
      <c r="E4268" t="inlineStr">
        <is>
          <t>HUDIKSVALL</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2869-2026</t>
        </is>
      </c>
      <c r="B4269" s="1" t="n">
        <v>46038</v>
      </c>
      <c r="C4269" s="1" t="n">
        <v>46086</v>
      </c>
      <c r="D4269" t="inlineStr">
        <is>
          <t>GÄVLEBORGS LÄN</t>
        </is>
      </c>
      <c r="E4269" t="inlineStr">
        <is>
          <t>LJUSDAL</t>
        </is>
      </c>
      <c r="G4269" t="n">
        <v>6.9</v>
      </c>
      <c r="H4269" t="n">
        <v>0</v>
      </c>
      <c r="I4269" t="n">
        <v>0</v>
      </c>
      <c r="J4269" t="n">
        <v>0</v>
      </c>
      <c r="K4269" t="n">
        <v>0</v>
      </c>
      <c r="L4269" t="n">
        <v>0</v>
      </c>
      <c r="M4269" t="n">
        <v>0</v>
      </c>
      <c r="N4269" t="n">
        <v>0</v>
      </c>
      <c r="O4269" t="n">
        <v>0</v>
      </c>
      <c r="P4269" t="n">
        <v>0</v>
      </c>
      <c r="Q4269" t="n">
        <v>0</v>
      </c>
      <c r="R4269" s="2" t="inlineStr"/>
    </row>
    <row r="4270" ht="15" customHeight="1">
      <c r="A4270" t="inlineStr">
        <is>
          <t>A 34089-2025</t>
        </is>
      </c>
      <c r="B4270" s="1" t="n">
        <v>45845.46960648148</v>
      </c>
      <c r="C4270" s="1" t="n">
        <v>46086</v>
      </c>
      <c r="D4270" t="inlineStr">
        <is>
          <t>GÄVLEBORGS LÄN</t>
        </is>
      </c>
      <c r="E4270" t="inlineStr">
        <is>
          <t>GÄVLE</t>
        </is>
      </c>
      <c r="F4270" t="inlineStr">
        <is>
          <t>Bergvik skog väst AB</t>
        </is>
      </c>
      <c r="G4270" t="n">
        <v>8.300000000000001</v>
      </c>
      <c r="H4270" t="n">
        <v>0</v>
      </c>
      <c r="I4270" t="n">
        <v>0</v>
      </c>
      <c r="J4270" t="n">
        <v>0</v>
      </c>
      <c r="K4270" t="n">
        <v>0</v>
      </c>
      <c r="L4270" t="n">
        <v>0</v>
      </c>
      <c r="M4270" t="n">
        <v>0</v>
      </c>
      <c r="N4270" t="n">
        <v>0</v>
      </c>
      <c r="O4270" t="n">
        <v>0</v>
      </c>
      <c r="P4270" t="n">
        <v>0</v>
      </c>
      <c r="Q4270" t="n">
        <v>0</v>
      </c>
      <c r="R4270" s="2" t="inlineStr"/>
    </row>
    <row r="4271" ht="15" customHeight="1">
      <c r="A4271" t="inlineStr">
        <is>
          <t>A 43460-2025</t>
        </is>
      </c>
      <c r="B4271" s="1" t="n">
        <v>45911.46778935185</v>
      </c>
      <c r="C4271" s="1" t="n">
        <v>46086</v>
      </c>
      <c r="D4271" t="inlineStr">
        <is>
          <t>GÄVLEBORGS LÄN</t>
        </is>
      </c>
      <c r="E4271" t="inlineStr">
        <is>
          <t>OCKELBO</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17230-2023</t>
        </is>
      </c>
      <c r="B4272" s="1" t="n">
        <v>45035.31333333333</v>
      </c>
      <c r="C4272" s="1" t="n">
        <v>46086</v>
      </c>
      <c r="D4272" t="inlineStr">
        <is>
          <t>GÄVLEBORGS LÄN</t>
        </is>
      </c>
      <c r="E4272" t="inlineStr">
        <is>
          <t>LJUSDAL</t>
        </is>
      </c>
      <c r="F4272" t="inlineStr">
        <is>
          <t>Holmen skog AB</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34239-2025</t>
        </is>
      </c>
      <c r="B4273" s="1" t="n">
        <v>45845.67314814815</v>
      </c>
      <c r="C4273" s="1" t="n">
        <v>46086</v>
      </c>
      <c r="D4273" t="inlineStr">
        <is>
          <t>GÄVLEBORGS LÄN</t>
        </is>
      </c>
      <c r="E4273" t="inlineStr">
        <is>
          <t>BOLLNÄS</t>
        </is>
      </c>
      <c r="G4273" t="n">
        <v>4.7</v>
      </c>
      <c r="H4273" t="n">
        <v>0</v>
      </c>
      <c r="I4273" t="n">
        <v>0</v>
      </c>
      <c r="J4273" t="n">
        <v>0</v>
      </c>
      <c r="K4273" t="n">
        <v>0</v>
      </c>
      <c r="L4273" t="n">
        <v>0</v>
      </c>
      <c r="M4273" t="n">
        <v>0</v>
      </c>
      <c r="N4273" t="n">
        <v>0</v>
      </c>
      <c r="O4273" t="n">
        <v>0</v>
      </c>
      <c r="P4273" t="n">
        <v>0</v>
      </c>
      <c r="Q4273" t="n">
        <v>0</v>
      </c>
      <c r="R4273" s="2" t="inlineStr"/>
    </row>
    <row r="4274" ht="15" customHeight="1">
      <c r="A4274" t="inlineStr">
        <is>
          <t>A 43282-2021</t>
        </is>
      </c>
      <c r="B4274" s="1" t="n">
        <v>44432.39119212963</v>
      </c>
      <c r="C4274" s="1" t="n">
        <v>46086</v>
      </c>
      <c r="D4274" t="inlineStr">
        <is>
          <t>GÄVLEBORGS LÄN</t>
        </is>
      </c>
      <c r="E4274" t="inlineStr">
        <is>
          <t>HOFORS</t>
        </is>
      </c>
      <c r="F4274" t="inlineStr">
        <is>
          <t>Sveaskog</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9936-2026</t>
        </is>
      </c>
      <c r="B4275" s="1" t="n">
        <v>46073</v>
      </c>
      <c r="C4275" s="1" t="n">
        <v>46086</v>
      </c>
      <c r="D4275" t="inlineStr">
        <is>
          <t>GÄVLEBORGS LÄN</t>
        </is>
      </c>
      <c r="E4275" t="inlineStr">
        <is>
          <t>BOLLNÄS</t>
        </is>
      </c>
      <c r="G4275" t="n">
        <v>5.3</v>
      </c>
      <c r="H4275" t="n">
        <v>0</v>
      </c>
      <c r="I4275" t="n">
        <v>0</v>
      </c>
      <c r="J4275" t="n">
        <v>0</v>
      </c>
      <c r="K4275" t="n">
        <v>0</v>
      </c>
      <c r="L4275" t="n">
        <v>0</v>
      </c>
      <c r="M4275" t="n">
        <v>0</v>
      </c>
      <c r="N4275" t="n">
        <v>0</v>
      </c>
      <c r="O4275" t="n">
        <v>0</v>
      </c>
      <c r="P4275" t="n">
        <v>0</v>
      </c>
      <c r="Q4275" t="n">
        <v>0</v>
      </c>
      <c r="R4275" s="2" t="inlineStr"/>
    </row>
    <row r="4276" ht="15" customHeight="1">
      <c r="A4276" t="inlineStr">
        <is>
          <t>A 43433-2025</t>
        </is>
      </c>
      <c r="B4276" s="1" t="n">
        <v>45911</v>
      </c>
      <c r="C4276" s="1" t="n">
        <v>46086</v>
      </c>
      <c r="D4276" t="inlineStr">
        <is>
          <t>GÄVLEBORGS LÄN</t>
        </is>
      </c>
      <c r="E4276" t="inlineStr">
        <is>
          <t>HUDIKSVALL</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24201-2023</t>
        </is>
      </c>
      <c r="B4277" s="1" t="n">
        <v>45079</v>
      </c>
      <c r="C4277" s="1" t="n">
        <v>46086</v>
      </c>
      <c r="D4277" t="inlineStr">
        <is>
          <t>GÄVLEBORGS LÄN</t>
        </is>
      </c>
      <c r="E4277" t="inlineStr">
        <is>
          <t>HUDIKSVALL</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4062-2025</t>
        </is>
      </c>
      <c r="B4278" s="1" t="n">
        <v>45684.63040509259</v>
      </c>
      <c r="C4278" s="1" t="n">
        <v>46086</v>
      </c>
      <c r="D4278" t="inlineStr">
        <is>
          <t>GÄVLEBORGS LÄN</t>
        </is>
      </c>
      <c r="E4278" t="inlineStr">
        <is>
          <t>HUDIKSVALL</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25665-2023</t>
        </is>
      </c>
      <c r="B4279" s="1" t="n">
        <v>45089</v>
      </c>
      <c r="C4279" s="1" t="n">
        <v>46086</v>
      </c>
      <c r="D4279" t="inlineStr">
        <is>
          <t>GÄVLEBORGS LÄN</t>
        </is>
      </c>
      <c r="E4279" t="inlineStr">
        <is>
          <t>NORDANSTIG</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43424-2025</t>
        </is>
      </c>
      <c r="B4280" s="1" t="n">
        <v>45911.41474537037</v>
      </c>
      <c r="C4280" s="1" t="n">
        <v>46086</v>
      </c>
      <c r="D4280" t="inlineStr">
        <is>
          <t>GÄVLEBORGS LÄN</t>
        </is>
      </c>
      <c r="E4280" t="inlineStr">
        <is>
          <t>OCKELBO</t>
        </is>
      </c>
      <c r="G4280" t="n">
        <v>4.4</v>
      </c>
      <c r="H4280" t="n">
        <v>0</v>
      </c>
      <c r="I4280" t="n">
        <v>0</v>
      </c>
      <c r="J4280" t="n">
        <v>0</v>
      </c>
      <c r="K4280" t="n">
        <v>0</v>
      </c>
      <c r="L4280" t="n">
        <v>0</v>
      </c>
      <c r="M4280" t="n">
        <v>0</v>
      </c>
      <c r="N4280" t="n">
        <v>0</v>
      </c>
      <c r="O4280" t="n">
        <v>0</v>
      </c>
      <c r="P4280" t="n">
        <v>0</v>
      </c>
      <c r="Q4280" t="n">
        <v>0</v>
      </c>
      <c r="R4280" s="2" t="inlineStr"/>
    </row>
    <row r="4281" ht="15" customHeight="1">
      <c r="A4281" t="inlineStr">
        <is>
          <t>A 35022-2025</t>
        </is>
      </c>
      <c r="B4281" s="1" t="n">
        <v>45851.95064814815</v>
      </c>
      <c r="C4281" s="1" t="n">
        <v>46086</v>
      </c>
      <c r="D4281" t="inlineStr">
        <is>
          <t>GÄVLEBORGS LÄN</t>
        </is>
      </c>
      <c r="E4281" t="inlineStr">
        <is>
          <t>LJUSDAL</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50271-2023</t>
        </is>
      </c>
      <c r="B4282" s="1" t="n">
        <v>45216.39822916667</v>
      </c>
      <c r="C4282" s="1" t="n">
        <v>46086</v>
      </c>
      <c r="D4282" t="inlineStr">
        <is>
          <t>GÄVLEBORGS LÄN</t>
        </is>
      </c>
      <c r="E4282" t="inlineStr">
        <is>
          <t>LJUSDAL</t>
        </is>
      </c>
      <c r="G4282" t="n">
        <v>27.4</v>
      </c>
      <c r="H4282" t="n">
        <v>0</v>
      </c>
      <c r="I4282" t="n">
        <v>0</v>
      </c>
      <c r="J4282" t="n">
        <v>0</v>
      </c>
      <c r="K4282" t="n">
        <v>0</v>
      </c>
      <c r="L4282" t="n">
        <v>0</v>
      </c>
      <c r="M4282" t="n">
        <v>0</v>
      </c>
      <c r="N4282" t="n">
        <v>0</v>
      </c>
      <c r="O4282" t="n">
        <v>0</v>
      </c>
      <c r="P4282" t="n">
        <v>0</v>
      </c>
      <c r="Q4282" t="n">
        <v>0</v>
      </c>
      <c r="R4282" s="2" t="inlineStr"/>
    </row>
    <row r="4283" ht="15" customHeight="1">
      <c r="A4283" t="inlineStr">
        <is>
          <t>A 2787-2026</t>
        </is>
      </c>
      <c r="B4283" s="1" t="n">
        <v>46038.39189814815</v>
      </c>
      <c r="C4283" s="1" t="n">
        <v>46086</v>
      </c>
      <c r="D4283" t="inlineStr">
        <is>
          <t>GÄVLEBORGS LÄN</t>
        </is>
      </c>
      <c r="E4283" t="inlineStr">
        <is>
          <t>LJUSDAL</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2792-2026</t>
        </is>
      </c>
      <c r="B4284" s="1" t="n">
        <v>46038.39768518518</v>
      </c>
      <c r="C4284" s="1" t="n">
        <v>46086</v>
      </c>
      <c r="D4284" t="inlineStr">
        <is>
          <t>GÄVLEBORGS LÄN</t>
        </is>
      </c>
      <c r="E4284" t="inlineStr">
        <is>
          <t>SANDVIKEN</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11335-2026</t>
        </is>
      </c>
      <c r="B4285" s="1" t="n">
        <v>46082.41400462963</v>
      </c>
      <c r="C4285" s="1" t="n">
        <v>46086</v>
      </c>
      <c r="D4285" t="inlineStr">
        <is>
          <t>GÄVLEBORGS LÄN</t>
        </is>
      </c>
      <c r="E4285" t="inlineStr">
        <is>
          <t>BOLLNÄS</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11354-2026</t>
        </is>
      </c>
      <c r="B4286" s="1" t="n">
        <v>46083.32228009259</v>
      </c>
      <c r="C4286" s="1" t="n">
        <v>46086</v>
      </c>
      <c r="D4286" t="inlineStr">
        <is>
          <t>GÄVLEBORGS LÄN</t>
        </is>
      </c>
      <c r="E4286" t="inlineStr">
        <is>
          <t>OCKELBO</t>
        </is>
      </c>
      <c r="F4286" t="inlineStr">
        <is>
          <t>Bergvik skog väst AB</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2815-2026</t>
        </is>
      </c>
      <c r="B4287" s="1" t="n">
        <v>46038.42555555556</v>
      </c>
      <c r="C4287" s="1" t="n">
        <v>46086</v>
      </c>
      <c r="D4287" t="inlineStr">
        <is>
          <t>GÄVLEBORGS LÄN</t>
        </is>
      </c>
      <c r="E4287" t="inlineStr">
        <is>
          <t>BOLLNÄS</t>
        </is>
      </c>
      <c r="G4287" t="n">
        <v>8.800000000000001</v>
      </c>
      <c r="H4287" t="n">
        <v>0</v>
      </c>
      <c r="I4287" t="n">
        <v>0</v>
      </c>
      <c r="J4287" t="n">
        <v>0</v>
      </c>
      <c r="K4287" t="n">
        <v>0</v>
      </c>
      <c r="L4287" t="n">
        <v>0</v>
      </c>
      <c r="M4287" t="n">
        <v>0</v>
      </c>
      <c r="N4287" t="n">
        <v>0</v>
      </c>
      <c r="O4287" t="n">
        <v>0</v>
      </c>
      <c r="P4287" t="n">
        <v>0</v>
      </c>
      <c r="Q4287" t="n">
        <v>0</v>
      </c>
      <c r="R4287" s="2" t="inlineStr"/>
    </row>
    <row r="4288" ht="15" customHeight="1">
      <c r="A4288" t="inlineStr">
        <is>
          <t>A 2942-2026</t>
        </is>
      </c>
      <c r="B4288" s="1" t="n">
        <v>46038</v>
      </c>
      <c r="C4288" s="1" t="n">
        <v>46086</v>
      </c>
      <c r="D4288" t="inlineStr">
        <is>
          <t>GÄVLEBORGS LÄN</t>
        </is>
      </c>
      <c r="E4288" t="inlineStr">
        <is>
          <t>NORDANSTIG</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37099-2025</t>
        </is>
      </c>
      <c r="B4289" s="1" t="n">
        <v>45875</v>
      </c>
      <c r="C4289" s="1" t="n">
        <v>46086</v>
      </c>
      <c r="D4289" t="inlineStr">
        <is>
          <t>GÄVLEBORGS LÄN</t>
        </is>
      </c>
      <c r="E4289" t="inlineStr">
        <is>
          <t>BOLLNÄS</t>
        </is>
      </c>
      <c r="F4289" t="inlineStr">
        <is>
          <t>Bergvik skog väst AB</t>
        </is>
      </c>
      <c r="G4289" t="n">
        <v>5</v>
      </c>
      <c r="H4289" t="n">
        <v>0</v>
      </c>
      <c r="I4289" t="n">
        <v>0</v>
      </c>
      <c r="J4289" t="n">
        <v>0</v>
      </c>
      <c r="K4289" t="n">
        <v>0</v>
      </c>
      <c r="L4289" t="n">
        <v>0</v>
      </c>
      <c r="M4289" t="n">
        <v>0</v>
      </c>
      <c r="N4289" t="n">
        <v>0</v>
      </c>
      <c r="O4289" t="n">
        <v>0</v>
      </c>
      <c r="P4289" t="n">
        <v>0</v>
      </c>
      <c r="Q4289" t="n">
        <v>0</v>
      </c>
      <c r="R4289" s="2" t="inlineStr"/>
    </row>
    <row r="4290" ht="15" customHeight="1">
      <c r="A4290" t="inlineStr">
        <is>
          <t>A 41825-2025</t>
        </is>
      </c>
      <c r="B4290" s="1" t="n">
        <v>45902.66770833333</v>
      </c>
      <c r="C4290" s="1" t="n">
        <v>46086</v>
      </c>
      <c r="D4290" t="inlineStr">
        <is>
          <t>GÄVLEBORGS LÄN</t>
        </is>
      </c>
      <c r="E4290" t="inlineStr">
        <is>
          <t>NORDANSTIG</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58166-2024</t>
        </is>
      </c>
      <c r="B4291" s="1" t="n">
        <v>45632.45820601852</v>
      </c>
      <c r="C4291" s="1" t="n">
        <v>46086</v>
      </c>
      <c r="D4291" t="inlineStr">
        <is>
          <t>GÄVLEBORGS LÄN</t>
        </is>
      </c>
      <c r="E4291" t="inlineStr">
        <is>
          <t>SÖDERHAMN</t>
        </is>
      </c>
      <c r="F4291" t="inlineStr">
        <is>
          <t>Bergvik skog väst AB</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43515-2025</t>
        </is>
      </c>
      <c r="B4292" s="1" t="n">
        <v>45911.56559027778</v>
      </c>
      <c r="C4292" s="1" t="n">
        <v>46086</v>
      </c>
      <c r="D4292" t="inlineStr">
        <is>
          <t>GÄVLEBORGS LÄN</t>
        </is>
      </c>
      <c r="E4292" t="inlineStr">
        <is>
          <t>HUDIKSVALL</t>
        </is>
      </c>
      <c r="F4292" t="inlineStr">
        <is>
          <t>Naturvårdsverket</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43413-2025</t>
        </is>
      </c>
      <c r="B4293" s="1" t="n">
        <v>45911.40479166667</v>
      </c>
      <c r="C4293" s="1" t="n">
        <v>46086</v>
      </c>
      <c r="D4293" t="inlineStr">
        <is>
          <t>GÄVLEBORGS LÄN</t>
        </is>
      </c>
      <c r="E4293" t="inlineStr">
        <is>
          <t>LJUSDAL</t>
        </is>
      </c>
      <c r="G4293" t="n">
        <v>0.2</v>
      </c>
      <c r="H4293" t="n">
        <v>0</v>
      </c>
      <c r="I4293" t="n">
        <v>0</v>
      </c>
      <c r="J4293" t="n">
        <v>0</v>
      </c>
      <c r="K4293" t="n">
        <v>0</v>
      </c>
      <c r="L4293" t="n">
        <v>0</v>
      </c>
      <c r="M4293" t="n">
        <v>0</v>
      </c>
      <c r="N4293" t="n">
        <v>0</v>
      </c>
      <c r="O4293" t="n">
        <v>0</v>
      </c>
      <c r="P4293" t="n">
        <v>0</v>
      </c>
      <c r="Q4293" t="n">
        <v>0</v>
      </c>
      <c r="R4293" s="2" t="inlineStr"/>
    </row>
    <row r="4294" ht="15" customHeight="1">
      <c r="A4294" t="inlineStr">
        <is>
          <t>A 58173-2024</t>
        </is>
      </c>
      <c r="B4294" s="1" t="n">
        <v>45632.46581018518</v>
      </c>
      <c r="C4294" s="1" t="n">
        <v>46086</v>
      </c>
      <c r="D4294" t="inlineStr">
        <is>
          <t>GÄVLEBORGS LÄN</t>
        </is>
      </c>
      <c r="E4294" t="inlineStr">
        <is>
          <t>LJUSDAL</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34202-2025</t>
        </is>
      </c>
      <c r="B4295" s="1" t="n">
        <v>45845.63385416667</v>
      </c>
      <c r="C4295" s="1" t="n">
        <v>46086</v>
      </c>
      <c r="D4295" t="inlineStr">
        <is>
          <t>GÄVLEBORGS LÄN</t>
        </is>
      </c>
      <c r="E4295" t="inlineStr">
        <is>
          <t>BOLLNÄS</t>
        </is>
      </c>
      <c r="G4295" t="n">
        <v>5.9</v>
      </c>
      <c r="H4295" t="n">
        <v>0</v>
      </c>
      <c r="I4295" t="n">
        <v>0</v>
      </c>
      <c r="J4295" t="n">
        <v>0</v>
      </c>
      <c r="K4295" t="n">
        <v>0</v>
      </c>
      <c r="L4295" t="n">
        <v>0</v>
      </c>
      <c r="M4295" t="n">
        <v>0</v>
      </c>
      <c r="N4295" t="n">
        <v>0</v>
      </c>
      <c r="O4295" t="n">
        <v>0</v>
      </c>
      <c r="P4295" t="n">
        <v>0</v>
      </c>
      <c r="Q4295" t="n">
        <v>0</v>
      </c>
      <c r="R4295" s="2" t="inlineStr"/>
    </row>
    <row r="4296" ht="15" customHeight="1">
      <c r="A4296" t="inlineStr">
        <is>
          <t>A 6724-2024</t>
        </is>
      </c>
      <c r="B4296" s="1" t="n">
        <v>45342.3765162037</v>
      </c>
      <c r="C4296" s="1" t="n">
        <v>46086</v>
      </c>
      <c r="D4296" t="inlineStr">
        <is>
          <t>GÄVLEBORGS LÄN</t>
        </is>
      </c>
      <c r="E4296" t="inlineStr">
        <is>
          <t>LJUSDAL</t>
        </is>
      </c>
      <c r="F4296" t="inlineStr">
        <is>
          <t>Bergvik skog väst AB</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32345-2024</t>
        </is>
      </c>
      <c r="B4297" s="1" t="n">
        <v>45512.52994212963</v>
      </c>
      <c r="C4297" s="1" t="n">
        <v>46086</v>
      </c>
      <c r="D4297" t="inlineStr">
        <is>
          <t>GÄVLEBORGS LÄN</t>
        </is>
      </c>
      <c r="E4297" t="inlineStr">
        <is>
          <t>OVANÅKER</t>
        </is>
      </c>
      <c r="F4297" t="inlineStr">
        <is>
          <t>Bergvik skog väst AB</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33942-2025</t>
        </is>
      </c>
      <c r="B4298" s="1" t="n">
        <v>45842.6433912037</v>
      </c>
      <c r="C4298" s="1" t="n">
        <v>46086</v>
      </c>
      <c r="D4298" t="inlineStr">
        <is>
          <t>GÄVLEBORGS LÄN</t>
        </is>
      </c>
      <c r="E4298" t="inlineStr">
        <is>
          <t>SÖDERHAMN</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37671-2025</t>
        </is>
      </c>
      <c r="B4299" s="1" t="n">
        <v>45880.52561342593</v>
      </c>
      <c r="C4299" s="1" t="n">
        <v>46086</v>
      </c>
      <c r="D4299" t="inlineStr">
        <is>
          <t>GÄVLEBORGS LÄN</t>
        </is>
      </c>
      <c r="E4299" t="inlineStr">
        <is>
          <t>NORDANSTIG</t>
        </is>
      </c>
      <c r="G4299" t="n">
        <v>3.9</v>
      </c>
      <c r="H4299" t="n">
        <v>0</v>
      </c>
      <c r="I4299" t="n">
        <v>0</v>
      </c>
      <c r="J4299" t="n">
        <v>0</v>
      </c>
      <c r="K4299" t="n">
        <v>0</v>
      </c>
      <c r="L4299" t="n">
        <v>0</v>
      </c>
      <c r="M4299" t="n">
        <v>0</v>
      </c>
      <c r="N4299" t="n">
        <v>0</v>
      </c>
      <c r="O4299" t="n">
        <v>0</v>
      </c>
      <c r="P4299" t="n">
        <v>0</v>
      </c>
      <c r="Q4299" t="n">
        <v>0</v>
      </c>
      <c r="R4299" s="2" t="inlineStr"/>
    </row>
    <row r="4300" ht="15" customHeight="1">
      <c r="A4300" t="inlineStr">
        <is>
          <t>A 43375-2025</t>
        </is>
      </c>
      <c r="B4300" s="1" t="n">
        <v>45911.35146990741</v>
      </c>
      <c r="C4300" s="1" t="n">
        <v>46086</v>
      </c>
      <c r="D4300" t="inlineStr">
        <is>
          <t>GÄVLEBORGS LÄN</t>
        </is>
      </c>
      <c r="E4300" t="inlineStr">
        <is>
          <t>SÖDERHAMN</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21978-2025</t>
        </is>
      </c>
      <c r="B4301" s="1" t="n">
        <v>45784.64991898148</v>
      </c>
      <c r="C4301" s="1" t="n">
        <v>46086</v>
      </c>
      <c r="D4301" t="inlineStr">
        <is>
          <t>GÄVLEBORGS LÄN</t>
        </is>
      </c>
      <c r="E4301" t="inlineStr">
        <is>
          <t>GÄVLE</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3036-2026</t>
        </is>
      </c>
      <c r="B4302" s="1" t="n">
        <v>46038.72555555555</v>
      </c>
      <c r="C4302" s="1" t="n">
        <v>46086</v>
      </c>
      <c r="D4302" t="inlineStr">
        <is>
          <t>GÄVLEBORGS LÄN</t>
        </is>
      </c>
      <c r="E4302" t="inlineStr">
        <is>
          <t>BOLLNÄS</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34216-2025</t>
        </is>
      </c>
      <c r="B4303" s="1" t="n">
        <v>45845.64680555555</v>
      </c>
      <c r="C4303" s="1" t="n">
        <v>46086</v>
      </c>
      <c r="D4303" t="inlineStr">
        <is>
          <t>GÄVLEBORGS LÄN</t>
        </is>
      </c>
      <c r="E4303" t="inlineStr">
        <is>
          <t>BOLLNÄS</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34219-2025</t>
        </is>
      </c>
      <c r="B4304" s="1" t="n">
        <v>45845.64947916667</v>
      </c>
      <c r="C4304" s="1" t="n">
        <v>46086</v>
      </c>
      <c r="D4304" t="inlineStr">
        <is>
          <t>GÄVLEBORGS LÄN</t>
        </is>
      </c>
      <c r="E4304" t="inlineStr">
        <is>
          <t>SANDVIKEN</t>
        </is>
      </c>
      <c r="F4304" t="inlineStr">
        <is>
          <t>Sveaskog</t>
        </is>
      </c>
      <c r="G4304" t="n">
        <v>4.4</v>
      </c>
      <c r="H4304" t="n">
        <v>0</v>
      </c>
      <c r="I4304" t="n">
        <v>0</v>
      </c>
      <c r="J4304" t="n">
        <v>0</v>
      </c>
      <c r="K4304" t="n">
        <v>0</v>
      </c>
      <c r="L4304" t="n">
        <v>0</v>
      </c>
      <c r="M4304" t="n">
        <v>0</v>
      </c>
      <c r="N4304" t="n">
        <v>0</v>
      </c>
      <c r="O4304" t="n">
        <v>0</v>
      </c>
      <c r="P4304" t="n">
        <v>0</v>
      </c>
      <c r="Q4304" t="n">
        <v>0</v>
      </c>
      <c r="R4304" s="2" t="inlineStr"/>
    </row>
    <row r="4305" ht="15" customHeight="1">
      <c r="A4305" t="inlineStr">
        <is>
          <t>A 34233-2025</t>
        </is>
      </c>
      <c r="B4305" s="1" t="n">
        <v>45845</v>
      </c>
      <c r="C4305" s="1" t="n">
        <v>46086</v>
      </c>
      <c r="D4305" t="inlineStr">
        <is>
          <t>GÄVLEBORGS LÄN</t>
        </is>
      </c>
      <c r="E4305" t="inlineStr">
        <is>
          <t>BOLLNÄS</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38355-2022</t>
        </is>
      </c>
      <c r="B4306" s="1" t="n">
        <v>44812</v>
      </c>
      <c r="C4306" s="1" t="n">
        <v>46086</v>
      </c>
      <c r="D4306" t="inlineStr">
        <is>
          <t>GÄVLEBORGS LÄN</t>
        </is>
      </c>
      <c r="E4306" t="inlineStr">
        <is>
          <t>SÖDERHAMN</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43356-2025</t>
        </is>
      </c>
      <c r="B4307" s="1" t="n">
        <v>45911.32895833333</v>
      </c>
      <c r="C4307" s="1" t="n">
        <v>46086</v>
      </c>
      <c r="D4307" t="inlineStr">
        <is>
          <t>GÄVLEBORGS LÄN</t>
        </is>
      </c>
      <c r="E4307" t="inlineStr">
        <is>
          <t>GÄVLE</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43506-2025</t>
        </is>
      </c>
      <c r="B4308" s="1" t="n">
        <v>45911.55394675926</v>
      </c>
      <c r="C4308" s="1" t="n">
        <v>46086</v>
      </c>
      <c r="D4308" t="inlineStr">
        <is>
          <t>GÄVLEBORGS LÄN</t>
        </is>
      </c>
      <c r="E4308" t="inlineStr">
        <is>
          <t>OCKELBO</t>
        </is>
      </c>
      <c r="G4308" t="n">
        <v>5.6</v>
      </c>
      <c r="H4308" t="n">
        <v>0</v>
      </c>
      <c r="I4308" t="n">
        <v>0</v>
      </c>
      <c r="J4308" t="n">
        <v>0</v>
      </c>
      <c r="K4308" t="n">
        <v>0</v>
      </c>
      <c r="L4308" t="n">
        <v>0</v>
      </c>
      <c r="M4308" t="n">
        <v>0</v>
      </c>
      <c r="N4308" t="n">
        <v>0</v>
      </c>
      <c r="O4308" t="n">
        <v>0</v>
      </c>
      <c r="P4308" t="n">
        <v>0</v>
      </c>
      <c r="Q4308" t="n">
        <v>0</v>
      </c>
      <c r="R4308" s="2" t="inlineStr"/>
    </row>
    <row r="4309" ht="15" customHeight="1">
      <c r="A4309" t="inlineStr">
        <is>
          <t>A 43507-2025</t>
        </is>
      </c>
      <c r="B4309" s="1" t="n">
        <v>45911.5544212963</v>
      </c>
      <c r="C4309" s="1" t="n">
        <v>46086</v>
      </c>
      <c r="D4309" t="inlineStr">
        <is>
          <t>GÄVLEBORGS LÄN</t>
        </is>
      </c>
      <c r="E4309" t="inlineStr">
        <is>
          <t>NORDANSTIG</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43509-2025</t>
        </is>
      </c>
      <c r="B4310" s="1" t="n">
        <v>45911.55607638889</v>
      </c>
      <c r="C4310" s="1" t="n">
        <v>46086</v>
      </c>
      <c r="D4310" t="inlineStr">
        <is>
          <t>GÄVLEBORGS LÄN</t>
        </is>
      </c>
      <c r="E4310" t="inlineStr">
        <is>
          <t>OCKELBO</t>
        </is>
      </c>
      <c r="G4310" t="n">
        <v>7.4</v>
      </c>
      <c r="H4310" t="n">
        <v>0</v>
      </c>
      <c r="I4310" t="n">
        <v>0</v>
      </c>
      <c r="J4310" t="n">
        <v>0</v>
      </c>
      <c r="K4310" t="n">
        <v>0</v>
      </c>
      <c r="L4310" t="n">
        <v>0</v>
      </c>
      <c r="M4310" t="n">
        <v>0</v>
      </c>
      <c r="N4310" t="n">
        <v>0</v>
      </c>
      <c r="O4310" t="n">
        <v>0</v>
      </c>
      <c r="P4310" t="n">
        <v>0</v>
      </c>
      <c r="Q4310" t="n">
        <v>0</v>
      </c>
      <c r="R4310" s="2" t="inlineStr"/>
    </row>
    <row r="4311" ht="15" customHeight="1">
      <c r="A4311" t="inlineStr">
        <is>
          <t>A 43512-2025</t>
        </is>
      </c>
      <c r="B4311" s="1" t="n">
        <v>45911.56153935185</v>
      </c>
      <c r="C4311" s="1" t="n">
        <v>46086</v>
      </c>
      <c r="D4311" t="inlineStr">
        <is>
          <t>GÄVLEBORGS LÄN</t>
        </is>
      </c>
      <c r="E4311" t="inlineStr">
        <is>
          <t>OCKELBO</t>
        </is>
      </c>
      <c r="G4311" t="n">
        <v>8.5</v>
      </c>
      <c r="H4311" t="n">
        <v>0</v>
      </c>
      <c r="I4311" t="n">
        <v>0</v>
      </c>
      <c r="J4311" t="n">
        <v>0</v>
      </c>
      <c r="K4311" t="n">
        <v>0</v>
      </c>
      <c r="L4311" t="n">
        <v>0</v>
      </c>
      <c r="M4311" t="n">
        <v>0</v>
      </c>
      <c r="N4311" t="n">
        <v>0</v>
      </c>
      <c r="O4311" t="n">
        <v>0</v>
      </c>
      <c r="P4311" t="n">
        <v>0</v>
      </c>
      <c r="Q4311" t="n">
        <v>0</v>
      </c>
      <c r="R4311" s="2" t="inlineStr"/>
    </row>
    <row r="4312" ht="15" customHeight="1">
      <c r="A4312" t="inlineStr">
        <is>
          <t>A 10149-2025</t>
        </is>
      </c>
      <c r="B4312" s="1" t="n">
        <v>45719.64081018518</v>
      </c>
      <c r="C4312" s="1" t="n">
        <v>46086</v>
      </c>
      <c r="D4312" t="inlineStr">
        <is>
          <t>GÄVLEBORGS LÄN</t>
        </is>
      </c>
      <c r="E4312" t="inlineStr">
        <is>
          <t>OCKELBO</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36118-2025</t>
        </is>
      </c>
      <c r="B4313" s="1" t="n">
        <v>45866.5916087963</v>
      </c>
      <c r="C4313" s="1" t="n">
        <v>46086</v>
      </c>
      <c r="D4313" t="inlineStr">
        <is>
          <t>GÄVLEBORGS LÄN</t>
        </is>
      </c>
      <c r="E4313" t="inlineStr">
        <is>
          <t>OVANÅKER</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43423-2025</t>
        </is>
      </c>
      <c r="B4314" s="1" t="n">
        <v>45911.41440972222</v>
      </c>
      <c r="C4314" s="1" t="n">
        <v>46086</v>
      </c>
      <c r="D4314" t="inlineStr">
        <is>
          <t>GÄVLEBORGS LÄN</t>
        </is>
      </c>
      <c r="E4314" t="inlineStr">
        <is>
          <t>OCKELBO</t>
        </is>
      </c>
      <c r="F4314" t="inlineStr">
        <is>
          <t>Bergvik skog väst AB</t>
        </is>
      </c>
      <c r="G4314" t="n">
        <v>24.8</v>
      </c>
      <c r="H4314" t="n">
        <v>0</v>
      </c>
      <c r="I4314" t="n">
        <v>0</v>
      </c>
      <c r="J4314" t="n">
        <v>0</v>
      </c>
      <c r="K4314" t="n">
        <v>0</v>
      </c>
      <c r="L4314" t="n">
        <v>0</v>
      </c>
      <c r="M4314" t="n">
        <v>0</v>
      </c>
      <c r="N4314" t="n">
        <v>0</v>
      </c>
      <c r="O4314" t="n">
        <v>0</v>
      </c>
      <c r="P4314" t="n">
        <v>0</v>
      </c>
      <c r="Q4314" t="n">
        <v>0</v>
      </c>
      <c r="R4314" s="2" t="inlineStr"/>
    </row>
    <row r="4315" ht="15" customHeight="1">
      <c r="A4315" t="inlineStr">
        <is>
          <t>A 42907-2025</t>
        </is>
      </c>
      <c r="B4315" s="1" t="n">
        <v>45908.68849537037</v>
      </c>
      <c r="C4315" s="1" t="n">
        <v>46086</v>
      </c>
      <c r="D4315" t="inlineStr">
        <is>
          <t>GÄVLEBORGS LÄN</t>
        </is>
      </c>
      <c r="E4315" t="inlineStr">
        <is>
          <t>GÄVLE</t>
        </is>
      </c>
      <c r="F4315" t="inlineStr">
        <is>
          <t>Bergvik skog väst AB</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43355-2025</t>
        </is>
      </c>
      <c r="B4316" s="1" t="n">
        <v>45911.32771990741</v>
      </c>
      <c r="C4316" s="1" t="n">
        <v>46086</v>
      </c>
      <c r="D4316" t="inlineStr">
        <is>
          <t>GÄVLEBORGS LÄN</t>
        </is>
      </c>
      <c r="E4316" t="inlineStr">
        <is>
          <t>SÖDERHAMN</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43369-2025</t>
        </is>
      </c>
      <c r="B4317" s="1" t="n">
        <v>45911.34876157407</v>
      </c>
      <c r="C4317" s="1" t="n">
        <v>46086</v>
      </c>
      <c r="D4317" t="inlineStr">
        <is>
          <t>GÄVLEBORGS LÄN</t>
        </is>
      </c>
      <c r="E4317" t="inlineStr">
        <is>
          <t>HUDIKSVALL</t>
        </is>
      </c>
      <c r="F4317" t="inlineStr">
        <is>
          <t>Naturvårdsverket</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33965-2025</t>
        </is>
      </c>
      <c r="B4318" s="1" t="n">
        <v>45842</v>
      </c>
      <c r="C4318" s="1" t="n">
        <v>46086</v>
      </c>
      <c r="D4318" t="inlineStr">
        <is>
          <t>GÄVLEBORGS LÄN</t>
        </is>
      </c>
      <c r="E4318" t="inlineStr">
        <is>
          <t>HUDIKSVALL</t>
        </is>
      </c>
      <c r="F4318" t="inlineStr">
        <is>
          <t>Holmen skog AB</t>
        </is>
      </c>
      <c r="G4318" t="n">
        <v>32.2</v>
      </c>
      <c r="H4318" t="n">
        <v>0</v>
      </c>
      <c r="I4318" t="n">
        <v>0</v>
      </c>
      <c r="J4318" t="n">
        <v>0</v>
      </c>
      <c r="K4318" t="n">
        <v>0</v>
      </c>
      <c r="L4318" t="n">
        <v>0</v>
      </c>
      <c r="M4318" t="n">
        <v>0</v>
      </c>
      <c r="N4318" t="n">
        <v>0</v>
      </c>
      <c r="O4318" t="n">
        <v>0</v>
      </c>
      <c r="P4318" t="n">
        <v>0</v>
      </c>
      <c r="Q4318" t="n">
        <v>0</v>
      </c>
      <c r="R4318" s="2" t="inlineStr"/>
    </row>
    <row r="4319" ht="15" customHeight="1">
      <c r="A4319" t="inlineStr">
        <is>
          <t>A 5462-2023</t>
        </is>
      </c>
      <c r="B4319" s="1" t="n">
        <v>44960.32700231481</v>
      </c>
      <c r="C4319" s="1" t="n">
        <v>46086</v>
      </c>
      <c r="D4319" t="inlineStr">
        <is>
          <t>GÄVLEBORGS LÄN</t>
        </is>
      </c>
      <c r="E4319" t="inlineStr">
        <is>
          <t>GÄVLE</t>
        </is>
      </c>
      <c r="F4319" t="inlineStr">
        <is>
          <t>Bergvik skog öst AB</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32342-2024</t>
        </is>
      </c>
      <c r="B4320" s="1" t="n">
        <v>45512.51696759259</v>
      </c>
      <c r="C4320" s="1" t="n">
        <v>46086</v>
      </c>
      <c r="D4320" t="inlineStr">
        <is>
          <t>GÄVLEBORGS LÄN</t>
        </is>
      </c>
      <c r="E4320" t="inlineStr">
        <is>
          <t>HUDIKSVALL</t>
        </is>
      </c>
      <c r="F4320" t="inlineStr">
        <is>
          <t>Holmen skog AB</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60822-2022</t>
        </is>
      </c>
      <c r="B4321" s="1" t="n">
        <v>44904</v>
      </c>
      <c r="C4321" s="1" t="n">
        <v>46086</v>
      </c>
      <c r="D4321" t="inlineStr">
        <is>
          <t>GÄVLEBORGS LÄN</t>
        </is>
      </c>
      <c r="E4321" t="inlineStr">
        <is>
          <t>LJUSDAL</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23006-2023</t>
        </is>
      </c>
      <c r="B4322" s="1" t="n">
        <v>45073</v>
      </c>
      <c r="C4322" s="1" t="n">
        <v>46086</v>
      </c>
      <c r="D4322" t="inlineStr">
        <is>
          <t>GÄVLEBORGS LÄN</t>
        </is>
      </c>
      <c r="E4322" t="inlineStr">
        <is>
          <t>OCKELBO</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34118-2025</t>
        </is>
      </c>
      <c r="B4323" s="1" t="n">
        <v>45845.51532407408</v>
      </c>
      <c r="C4323" s="1" t="n">
        <v>46086</v>
      </c>
      <c r="D4323" t="inlineStr">
        <is>
          <t>GÄVLEBORGS LÄN</t>
        </is>
      </c>
      <c r="E4323" t="inlineStr">
        <is>
          <t>GÄVLE</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33944-2025</t>
        </is>
      </c>
      <c r="B4324" s="1" t="n">
        <v>45842.64752314815</v>
      </c>
      <c r="C4324" s="1" t="n">
        <v>46086</v>
      </c>
      <c r="D4324" t="inlineStr">
        <is>
          <t>GÄVLEBORGS LÄN</t>
        </is>
      </c>
      <c r="E4324" t="inlineStr">
        <is>
          <t>BOLLNÄS</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43277-2025</t>
        </is>
      </c>
      <c r="B4325" s="1" t="n">
        <v>45910.59302083333</v>
      </c>
      <c r="C4325" s="1" t="n">
        <v>46086</v>
      </c>
      <c r="D4325" t="inlineStr">
        <is>
          <t>GÄVLEBORGS LÄN</t>
        </is>
      </c>
      <c r="E4325" t="inlineStr">
        <is>
          <t>LJUSDAL</t>
        </is>
      </c>
      <c r="F4325" t="inlineStr">
        <is>
          <t>Allmännings- och besparingsskogar</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29802-2023</t>
        </is>
      </c>
      <c r="B4326" s="1" t="n">
        <v>45107.54129629629</v>
      </c>
      <c r="C4326" s="1" t="n">
        <v>46086</v>
      </c>
      <c r="D4326" t="inlineStr">
        <is>
          <t>GÄVLEBORGS LÄN</t>
        </is>
      </c>
      <c r="E4326" t="inlineStr">
        <is>
          <t>SÖDERHAMN</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29807-2023</t>
        </is>
      </c>
      <c r="B4327" s="1" t="n">
        <v>45099</v>
      </c>
      <c r="C4327" s="1" t="n">
        <v>46086</v>
      </c>
      <c r="D4327" t="inlineStr">
        <is>
          <t>GÄVLEBORGS LÄN</t>
        </is>
      </c>
      <c r="E4327" t="inlineStr">
        <is>
          <t>LJUSDAL</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32058-2025</t>
        </is>
      </c>
      <c r="B4328" s="1" t="n">
        <v>45835.44465277778</v>
      </c>
      <c r="C4328" s="1" t="n">
        <v>46086</v>
      </c>
      <c r="D4328" t="inlineStr">
        <is>
          <t>GÄVLEBORGS LÄN</t>
        </is>
      </c>
      <c r="E4328" t="inlineStr">
        <is>
          <t>GÄVLE</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1075-2025</t>
        </is>
      </c>
      <c r="B4329" s="1" t="n">
        <v>45666</v>
      </c>
      <c r="C4329" s="1" t="n">
        <v>46086</v>
      </c>
      <c r="D4329" t="inlineStr">
        <is>
          <t>GÄVLEBORGS LÄN</t>
        </is>
      </c>
      <c r="E4329" t="inlineStr">
        <is>
          <t>SÖDERHAMN</t>
        </is>
      </c>
      <c r="F4329" t="inlineStr">
        <is>
          <t>Kommuner</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1111-2025</t>
        </is>
      </c>
      <c r="B4330" s="1" t="n">
        <v>45666.65288194444</v>
      </c>
      <c r="C4330" s="1" t="n">
        <v>46086</v>
      </c>
      <c r="D4330" t="inlineStr">
        <is>
          <t>GÄVLEBORGS LÄN</t>
        </is>
      </c>
      <c r="E4330" t="inlineStr">
        <is>
          <t>HUDIKSVALL</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43447-2025</t>
        </is>
      </c>
      <c r="B4331" s="1" t="n">
        <v>45911.45193287037</v>
      </c>
      <c r="C4331" s="1" t="n">
        <v>46086</v>
      </c>
      <c r="D4331" t="inlineStr">
        <is>
          <t>GÄVLEBORGS LÄN</t>
        </is>
      </c>
      <c r="E4331" t="inlineStr">
        <is>
          <t>OCKELBO</t>
        </is>
      </c>
      <c r="F4331" t="inlineStr">
        <is>
          <t>Bergvik skog väst AB</t>
        </is>
      </c>
      <c r="G4331" t="n">
        <v>4.9</v>
      </c>
      <c r="H4331" t="n">
        <v>0</v>
      </c>
      <c r="I4331" t="n">
        <v>0</v>
      </c>
      <c r="J4331" t="n">
        <v>0</v>
      </c>
      <c r="K4331" t="n">
        <v>0</v>
      </c>
      <c r="L4331" t="n">
        <v>0</v>
      </c>
      <c r="M4331" t="n">
        <v>0</v>
      </c>
      <c r="N4331" t="n">
        <v>0</v>
      </c>
      <c r="O4331" t="n">
        <v>0</v>
      </c>
      <c r="P4331" t="n">
        <v>0</v>
      </c>
      <c r="Q4331" t="n">
        <v>0</v>
      </c>
      <c r="R4331" s="2" t="inlineStr"/>
    </row>
    <row r="4332" ht="15" customHeight="1">
      <c r="A4332" t="inlineStr">
        <is>
          <t>A 43475-2025</t>
        </is>
      </c>
      <c r="B4332" s="1" t="n">
        <v>45911.48991898148</v>
      </c>
      <c r="C4332" s="1" t="n">
        <v>46086</v>
      </c>
      <c r="D4332" t="inlineStr">
        <is>
          <t>GÄVLEBORGS LÄN</t>
        </is>
      </c>
      <c r="E4332" t="inlineStr">
        <is>
          <t>HUDIKSVALL</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43476-2025</t>
        </is>
      </c>
      <c r="B4333" s="1" t="n">
        <v>45911.48994212963</v>
      </c>
      <c r="C4333" s="1" t="n">
        <v>46086</v>
      </c>
      <c r="D4333" t="inlineStr">
        <is>
          <t>GÄVLEBORGS LÄN</t>
        </is>
      </c>
      <c r="E4333" t="inlineStr">
        <is>
          <t>HUDIKSVALL</t>
        </is>
      </c>
      <c r="G4333" t="n">
        <v>5.4</v>
      </c>
      <c r="H4333" t="n">
        <v>0</v>
      </c>
      <c r="I4333" t="n">
        <v>0</v>
      </c>
      <c r="J4333" t="n">
        <v>0</v>
      </c>
      <c r="K4333" t="n">
        <v>0</v>
      </c>
      <c r="L4333" t="n">
        <v>0</v>
      </c>
      <c r="M4333" t="n">
        <v>0</v>
      </c>
      <c r="N4333" t="n">
        <v>0</v>
      </c>
      <c r="O4333" t="n">
        <v>0</v>
      </c>
      <c r="P4333" t="n">
        <v>0</v>
      </c>
      <c r="Q4333" t="n">
        <v>0</v>
      </c>
      <c r="R4333" s="2" t="inlineStr"/>
    </row>
    <row r="4334" ht="15" customHeight="1">
      <c r="A4334" t="inlineStr">
        <is>
          <t>A 55048-2022</t>
        </is>
      </c>
      <c r="B4334" s="1" t="n">
        <v>44886</v>
      </c>
      <c r="C4334" s="1" t="n">
        <v>46086</v>
      </c>
      <c r="D4334" t="inlineStr">
        <is>
          <t>GÄVLEBORGS LÄN</t>
        </is>
      </c>
      <c r="E4334" t="inlineStr">
        <is>
          <t>BOLLNÄS</t>
        </is>
      </c>
      <c r="F4334" t="inlineStr">
        <is>
          <t>Sveaskog</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37495-2024</t>
        </is>
      </c>
      <c r="B4335" s="1" t="n">
        <v>45541</v>
      </c>
      <c r="C4335" s="1" t="n">
        <v>46086</v>
      </c>
      <c r="D4335" t="inlineStr">
        <is>
          <t>GÄVLEBORGS LÄN</t>
        </is>
      </c>
      <c r="E4335" t="inlineStr">
        <is>
          <t>HUDIKSVALL</t>
        </is>
      </c>
      <c r="F4335" t="inlineStr">
        <is>
          <t>Naturvårdsverket</t>
        </is>
      </c>
      <c r="G4335" t="n">
        <v>5.8</v>
      </c>
      <c r="H4335" t="n">
        <v>0</v>
      </c>
      <c r="I4335" t="n">
        <v>0</v>
      </c>
      <c r="J4335" t="n">
        <v>0</v>
      </c>
      <c r="K4335" t="n">
        <v>0</v>
      </c>
      <c r="L4335" t="n">
        <v>0</v>
      </c>
      <c r="M4335" t="n">
        <v>0</v>
      </c>
      <c r="N4335" t="n">
        <v>0</v>
      </c>
      <c r="O4335" t="n">
        <v>0</v>
      </c>
      <c r="P4335" t="n">
        <v>0</v>
      </c>
      <c r="Q4335" t="n">
        <v>0</v>
      </c>
      <c r="R4335" s="2" t="inlineStr"/>
    </row>
    <row r="4336" ht="15" customHeight="1">
      <c r="A4336" t="inlineStr">
        <is>
          <t>A 18357-2025</t>
        </is>
      </c>
      <c r="B4336" s="1" t="n">
        <v>45762.55353009259</v>
      </c>
      <c r="C4336" s="1" t="n">
        <v>46086</v>
      </c>
      <c r="D4336" t="inlineStr">
        <is>
          <t>GÄVLEBORGS LÄN</t>
        </is>
      </c>
      <c r="E4336" t="inlineStr">
        <is>
          <t>SANDVIKEN</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1213-2025</t>
        </is>
      </c>
      <c r="B4337" s="1" t="n">
        <v>45667</v>
      </c>
      <c r="C4337" s="1" t="n">
        <v>46086</v>
      </c>
      <c r="D4337" t="inlineStr">
        <is>
          <t>GÄVLEBORGS LÄN</t>
        </is>
      </c>
      <c r="E4337" t="inlineStr">
        <is>
          <t>SANDVIKEN</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1221-2025</t>
        </is>
      </c>
      <c r="B4338" s="1" t="n">
        <v>45667.43208333333</v>
      </c>
      <c r="C4338" s="1" t="n">
        <v>46086</v>
      </c>
      <c r="D4338" t="inlineStr">
        <is>
          <t>GÄVLEBORGS LÄN</t>
        </is>
      </c>
      <c r="E4338" t="inlineStr">
        <is>
          <t>BOLLNÄS</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1226-2025</t>
        </is>
      </c>
      <c r="B4339" s="1" t="n">
        <v>45667.43862268519</v>
      </c>
      <c r="C4339" s="1" t="n">
        <v>46086</v>
      </c>
      <c r="D4339" t="inlineStr">
        <is>
          <t>GÄVLEBORGS LÄN</t>
        </is>
      </c>
      <c r="E4339" t="inlineStr">
        <is>
          <t>LJUSDAL</t>
        </is>
      </c>
      <c r="F4339" t="inlineStr">
        <is>
          <t>Bergvik skog väst AB</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43848-2025</t>
        </is>
      </c>
      <c r="B4340" s="1" t="n">
        <v>45912.63829861111</v>
      </c>
      <c r="C4340" s="1" t="n">
        <v>46086</v>
      </c>
      <c r="D4340" t="inlineStr">
        <is>
          <t>GÄVLEBORGS LÄN</t>
        </is>
      </c>
      <c r="E4340" t="inlineStr">
        <is>
          <t>LJUSDAL</t>
        </is>
      </c>
      <c r="F4340" t="inlineStr">
        <is>
          <t>Sveaskog</t>
        </is>
      </c>
      <c r="G4340" t="n">
        <v>4.4</v>
      </c>
      <c r="H4340" t="n">
        <v>0</v>
      </c>
      <c r="I4340" t="n">
        <v>0</v>
      </c>
      <c r="J4340" t="n">
        <v>0</v>
      </c>
      <c r="K4340" t="n">
        <v>0</v>
      </c>
      <c r="L4340" t="n">
        <v>0</v>
      </c>
      <c r="M4340" t="n">
        <v>0</v>
      </c>
      <c r="N4340" t="n">
        <v>0</v>
      </c>
      <c r="O4340" t="n">
        <v>0</v>
      </c>
      <c r="P4340" t="n">
        <v>0</v>
      </c>
      <c r="Q4340" t="n">
        <v>0</v>
      </c>
      <c r="R4340" s="2" t="inlineStr"/>
    </row>
    <row r="4341" ht="15" customHeight="1">
      <c r="A4341" t="inlineStr">
        <is>
          <t>A 43853-2025</t>
        </is>
      </c>
      <c r="B4341" s="1" t="n">
        <v>45912.64043981482</v>
      </c>
      <c r="C4341" s="1" t="n">
        <v>46086</v>
      </c>
      <c r="D4341" t="inlineStr">
        <is>
          <t>GÄVLEBORGS LÄN</t>
        </is>
      </c>
      <c r="E4341" t="inlineStr">
        <is>
          <t>LJUSDAL</t>
        </is>
      </c>
      <c r="F4341" t="inlineStr">
        <is>
          <t>Sveaskog</t>
        </is>
      </c>
      <c r="G4341" t="n">
        <v>10.3</v>
      </c>
      <c r="H4341" t="n">
        <v>0</v>
      </c>
      <c r="I4341" t="n">
        <v>0</v>
      </c>
      <c r="J4341" t="n">
        <v>0</v>
      </c>
      <c r="K4341" t="n">
        <v>0</v>
      </c>
      <c r="L4341" t="n">
        <v>0</v>
      </c>
      <c r="M4341" t="n">
        <v>0</v>
      </c>
      <c r="N4341" t="n">
        <v>0</v>
      </c>
      <c r="O4341" t="n">
        <v>0</v>
      </c>
      <c r="P4341" t="n">
        <v>0</v>
      </c>
      <c r="Q4341" t="n">
        <v>0</v>
      </c>
      <c r="R4341" s="2" t="inlineStr"/>
    </row>
    <row r="4342" ht="15" customHeight="1">
      <c r="A4342" t="inlineStr">
        <is>
          <t>A 1256-2025</t>
        </is>
      </c>
      <c r="B4342" s="1" t="n">
        <v>45667</v>
      </c>
      <c r="C4342" s="1" t="n">
        <v>46086</v>
      </c>
      <c r="D4342" t="inlineStr">
        <is>
          <t>GÄVLEBORGS LÄN</t>
        </is>
      </c>
      <c r="E4342" t="inlineStr">
        <is>
          <t>OVANÅKER</t>
        </is>
      </c>
      <c r="F4342" t="inlineStr">
        <is>
          <t>Bergvik skog väst AB</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11471-2026</t>
        </is>
      </c>
      <c r="B4343" s="1" t="n">
        <v>46083.59454861111</v>
      </c>
      <c r="C4343" s="1" t="n">
        <v>46086</v>
      </c>
      <c r="D4343" t="inlineStr">
        <is>
          <t>GÄVLEBORGS LÄN</t>
        </is>
      </c>
      <c r="E4343" t="inlineStr">
        <is>
          <t>OVANÅKER</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11479-2026</t>
        </is>
      </c>
      <c r="B4344" s="1" t="n">
        <v>46083.6</v>
      </c>
      <c r="C4344" s="1" t="n">
        <v>46086</v>
      </c>
      <c r="D4344" t="inlineStr">
        <is>
          <t>GÄVLEBORGS LÄN</t>
        </is>
      </c>
      <c r="E4344" t="inlineStr">
        <is>
          <t>BOLLNÄS</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63095-2025</t>
        </is>
      </c>
      <c r="B4345" s="1" t="n">
        <v>46009.68443287037</v>
      </c>
      <c r="C4345" s="1" t="n">
        <v>46086</v>
      </c>
      <c r="D4345" t="inlineStr">
        <is>
          <t>GÄVLEBORGS LÄN</t>
        </is>
      </c>
      <c r="E4345" t="inlineStr">
        <is>
          <t>LJUSDAL</t>
        </is>
      </c>
      <c r="F4345" t="inlineStr">
        <is>
          <t>Kommuner</t>
        </is>
      </c>
      <c r="G4345" t="n">
        <v>5.7</v>
      </c>
      <c r="H4345" t="n">
        <v>0</v>
      </c>
      <c r="I4345" t="n">
        <v>0</v>
      </c>
      <c r="J4345" t="n">
        <v>0</v>
      </c>
      <c r="K4345" t="n">
        <v>0</v>
      </c>
      <c r="L4345" t="n">
        <v>0</v>
      </c>
      <c r="M4345" t="n">
        <v>0</v>
      </c>
      <c r="N4345" t="n">
        <v>0</v>
      </c>
      <c r="O4345" t="n">
        <v>0</v>
      </c>
      <c r="P4345" t="n">
        <v>0</v>
      </c>
      <c r="Q4345" t="n">
        <v>0</v>
      </c>
      <c r="R4345" s="2" t="inlineStr"/>
    </row>
    <row r="4346" ht="15" customHeight="1">
      <c r="A4346" t="inlineStr">
        <is>
          <t>A 495-2026</t>
        </is>
      </c>
      <c r="B4346" s="1" t="n">
        <v>46029</v>
      </c>
      <c r="C4346" s="1" t="n">
        <v>46086</v>
      </c>
      <c r="D4346" t="inlineStr">
        <is>
          <t>GÄVLEBORGS LÄN</t>
        </is>
      </c>
      <c r="E4346" t="inlineStr">
        <is>
          <t>BOLLNÄS</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559-2026</t>
        </is>
      </c>
      <c r="B4347" s="1" t="n">
        <v>46029</v>
      </c>
      <c r="C4347" s="1" t="n">
        <v>46086</v>
      </c>
      <c r="D4347" t="inlineStr">
        <is>
          <t>GÄVLEBORGS LÄN</t>
        </is>
      </c>
      <c r="E4347" t="inlineStr">
        <is>
          <t>BOLLNÄS</t>
        </is>
      </c>
      <c r="G4347" t="n">
        <v>17.7</v>
      </c>
      <c r="H4347" t="n">
        <v>0</v>
      </c>
      <c r="I4347" t="n">
        <v>0</v>
      </c>
      <c r="J4347" t="n">
        <v>0</v>
      </c>
      <c r="K4347" t="n">
        <v>0</v>
      </c>
      <c r="L4347" t="n">
        <v>0</v>
      </c>
      <c r="M4347" t="n">
        <v>0</v>
      </c>
      <c r="N4347" t="n">
        <v>0</v>
      </c>
      <c r="O4347" t="n">
        <v>0</v>
      </c>
      <c r="P4347" t="n">
        <v>0</v>
      </c>
      <c r="Q4347" t="n">
        <v>0</v>
      </c>
      <c r="R4347" s="2" t="inlineStr"/>
    </row>
    <row r="4348" ht="15" customHeight="1">
      <c r="A4348" t="inlineStr">
        <is>
          <t>A 25724-2024</t>
        </is>
      </c>
      <c r="B4348" s="1" t="n">
        <v>45463.95799768518</v>
      </c>
      <c r="C4348" s="1" t="n">
        <v>46086</v>
      </c>
      <c r="D4348" t="inlineStr">
        <is>
          <t>GÄVLEBORGS LÄN</t>
        </is>
      </c>
      <c r="E4348" t="inlineStr">
        <is>
          <t>NORDANSTIG</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4843-2026</t>
        </is>
      </c>
      <c r="B4349" s="1" t="n">
        <v>46048</v>
      </c>
      <c r="C4349" s="1" t="n">
        <v>46086</v>
      </c>
      <c r="D4349" t="inlineStr">
        <is>
          <t>GÄVLEBORGS LÄN</t>
        </is>
      </c>
      <c r="E4349" t="inlineStr">
        <is>
          <t>HUDIKSVALL</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11257-2026</t>
        </is>
      </c>
      <c r="B4350" s="1" t="n">
        <v>46080.55276620371</v>
      </c>
      <c r="C4350" s="1" t="n">
        <v>46086</v>
      </c>
      <c r="D4350" t="inlineStr">
        <is>
          <t>GÄVLEBORGS LÄN</t>
        </is>
      </c>
      <c r="E4350" t="inlineStr">
        <is>
          <t>OCKELBO</t>
        </is>
      </c>
      <c r="F4350" t="inlineStr">
        <is>
          <t>Bergvik skog väst AB</t>
        </is>
      </c>
      <c r="G4350" t="n">
        <v>7.2</v>
      </c>
      <c r="H4350" t="n">
        <v>0</v>
      </c>
      <c r="I4350" t="n">
        <v>0</v>
      </c>
      <c r="J4350" t="n">
        <v>0</v>
      </c>
      <c r="K4350" t="n">
        <v>0</v>
      </c>
      <c r="L4350" t="n">
        <v>0</v>
      </c>
      <c r="M4350" t="n">
        <v>0</v>
      </c>
      <c r="N4350" t="n">
        <v>0</v>
      </c>
      <c r="O4350" t="n">
        <v>0</v>
      </c>
      <c r="P4350" t="n">
        <v>0</v>
      </c>
      <c r="Q4350" t="n">
        <v>0</v>
      </c>
      <c r="R4350" s="2" t="inlineStr"/>
    </row>
    <row r="4351" ht="15" customHeight="1">
      <c r="A4351" t="inlineStr">
        <is>
          <t>A 2837-2026</t>
        </is>
      </c>
      <c r="B4351" s="1" t="n">
        <v>46038.46219907407</v>
      </c>
      <c r="C4351" s="1" t="n">
        <v>46086</v>
      </c>
      <c r="D4351" t="inlineStr">
        <is>
          <t>GÄVLEBORGS LÄN</t>
        </is>
      </c>
      <c r="E4351" t="inlineStr">
        <is>
          <t>NORDANSTIG</t>
        </is>
      </c>
      <c r="G4351" t="n">
        <v>21.1</v>
      </c>
      <c r="H4351" t="n">
        <v>0</v>
      </c>
      <c r="I4351" t="n">
        <v>0</v>
      </c>
      <c r="J4351" t="n">
        <v>0</v>
      </c>
      <c r="K4351" t="n">
        <v>0</v>
      </c>
      <c r="L4351" t="n">
        <v>0</v>
      </c>
      <c r="M4351" t="n">
        <v>0</v>
      </c>
      <c r="N4351" t="n">
        <v>0</v>
      </c>
      <c r="O4351" t="n">
        <v>0</v>
      </c>
      <c r="P4351" t="n">
        <v>0</v>
      </c>
      <c r="Q4351" t="n">
        <v>0</v>
      </c>
      <c r="R4351" s="2" t="inlineStr"/>
    </row>
    <row r="4352" ht="15" customHeight="1">
      <c r="A4352" t="inlineStr">
        <is>
          <t>A 2872-2026</t>
        </is>
      </c>
      <c r="B4352" s="1" t="n">
        <v>46038</v>
      </c>
      <c r="C4352" s="1" t="n">
        <v>46086</v>
      </c>
      <c r="D4352" t="inlineStr">
        <is>
          <t>GÄVLEBORGS LÄN</t>
        </is>
      </c>
      <c r="E4352" t="inlineStr">
        <is>
          <t>OVANÅKER</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2881-2026</t>
        </is>
      </c>
      <c r="B4353" s="1" t="n">
        <v>46038.53582175926</v>
      </c>
      <c r="C4353" s="1" t="n">
        <v>46086</v>
      </c>
      <c r="D4353" t="inlineStr">
        <is>
          <t>GÄVLEBORGS LÄN</t>
        </is>
      </c>
      <c r="E4353" t="inlineStr">
        <is>
          <t>OVANÅKER</t>
        </is>
      </c>
      <c r="G4353" t="n">
        <v>22.3</v>
      </c>
      <c r="H4353" t="n">
        <v>0</v>
      </c>
      <c r="I4353" t="n">
        <v>0</v>
      </c>
      <c r="J4353" t="n">
        <v>0</v>
      </c>
      <c r="K4353" t="n">
        <v>0</v>
      </c>
      <c r="L4353" t="n">
        <v>0</v>
      </c>
      <c r="M4353" t="n">
        <v>0</v>
      </c>
      <c r="N4353" t="n">
        <v>0</v>
      </c>
      <c r="O4353" t="n">
        <v>0</v>
      </c>
      <c r="P4353" t="n">
        <v>0</v>
      </c>
      <c r="Q4353" t="n">
        <v>0</v>
      </c>
      <c r="R4353" s="2" t="inlineStr"/>
    </row>
    <row r="4354" ht="15" customHeight="1">
      <c r="A4354" t="inlineStr">
        <is>
          <t>A 24720-2023</t>
        </is>
      </c>
      <c r="B4354" s="1" t="n">
        <v>45084</v>
      </c>
      <c r="C4354" s="1" t="n">
        <v>46086</v>
      </c>
      <c r="D4354" t="inlineStr">
        <is>
          <t>GÄVLEBORGS LÄN</t>
        </is>
      </c>
      <c r="E4354" t="inlineStr">
        <is>
          <t>GÄVLE</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43969-2025</t>
        </is>
      </c>
      <c r="B4355" s="1" t="n">
        <v>45915.40497685185</v>
      </c>
      <c r="C4355" s="1" t="n">
        <v>46086</v>
      </c>
      <c r="D4355" t="inlineStr">
        <is>
          <t>GÄVLEBORGS LÄN</t>
        </is>
      </c>
      <c r="E4355" t="inlineStr">
        <is>
          <t>LJUSDAL</t>
        </is>
      </c>
      <c r="G4355" t="n">
        <v>7.1</v>
      </c>
      <c r="H4355" t="n">
        <v>0</v>
      </c>
      <c r="I4355" t="n">
        <v>0</v>
      </c>
      <c r="J4355" t="n">
        <v>0</v>
      </c>
      <c r="K4355" t="n">
        <v>0</v>
      </c>
      <c r="L4355" t="n">
        <v>0</v>
      </c>
      <c r="M4355" t="n">
        <v>0</v>
      </c>
      <c r="N4355" t="n">
        <v>0</v>
      </c>
      <c r="O4355" t="n">
        <v>0</v>
      </c>
      <c r="P4355" t="n">
        <v>0</v>
      </c>
      <c r="Q4355" t="n">
        <v>0</v>
      </c>
      <c r="R4355" s="2" t="inlineStr"/>
    </row>
    <row r="4356" ht="15" customHeight="1">
      <c r="A4356" t="inlineStr">
        <is>
          <t>A 43977-2025</t>
        </is>
      </c>
      <c r="B4356" s="1" t="n">
        <v>45915.415</v>
      </c>
      <c r="C4356" s="1" t="n">
        <v>46086</v>
      </c>
      <c r="D4356" t="inlineStr">
        <is>
          <t>GÄVLEBORGS LÄN</t>
        </is>
      </c>
      <c r="E4356" t="inlineStr">
        <is>
          <t>NORDANSTIG</t>
        </is>
      </c>
      <c r="F4356" t="inlineStr">
        <is>
          <t>Holmen skog AB</t>
        </is>
      </c>
      <c r="G4356" t="n">
        <v>6.2</v>
      </c>
      <c r="H4356" t="n">
        <v>0</v>
      </c>
      <c r="I4356" t="n">
        <v>0</v>
      </c>
      <c r="J4356" t="n">
        <v>0</v>
      </c>
      <c r="K4356" t="n">
        <v>0</v>
      </c>
      <c r="L4356" t="n">
        <v>0</v>
      </c>
      <c r="M4356" t="n">
        <v>0</v>
      </c>
      <c r="N4356" t="n">
        <v>0</v>
      </c>
      <c r="O4356" t="n">
        <v>0</v>
      </c>
      <c r="P4356" t="n">
        <v>0</v>
      </c>
      <c r="Q4356" t="n">
        <v>0</v>
      </c>
      <c r="R4356" s="2" t="inlineStr"/>
    </row>
    <row r="4357" ht="15" customHeight="1">
      <c r="A4357" t="inlineStr">
        <is>
          <t>A 24766-2023</t>
        </is>
      </c>
      <c r="B4357" s="1" t="n">
        <v>45084</v>
      </c>
      <c r="C4357" s="1" t="n">
        <v>46086</v>
      </c>
      <c r="D4357" t="inlineStr">
        <is>
          <t>GÄVLEBORGS LÄN</t>
        </is>
      </c>
      <c r="E4357" t="inlineStr">
        <is>
          <t>SÖDERHAMN</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44068-2025</t>
        </is>
      </c>
      <c r="B4358" s="1" t="n">
        <v>45915.54482638889</v>
      </c>
      <c r="C4358" s="1" t="n">
        <v>46086</v>
      </c>
      <c r="D4358" t="inlineStr">
        <is>
          <t>GÄVLEBORGS LÄN</t>
        </is>
      </c>
      <c r="E4358" t="inlineStr">
        <is>
          <t>NORDANSTIG</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29841-2023</t>
        </is>
      </c>
      <c r="B4359" s="1" t="n">
        <v>45099</v>
      </c>
      <c r="C4359" s="1" t="n">
        <v>46086</v>
      </c>
      <c r="D4359" t="inlineStr">
        <is>
          <t>GÄVLEBORGS LÄN</t>
        </is>
      </c>
      <c r="E4359" t="inlineStr">
        <is>
          <t>LJUSDAL</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43802-2025</t>
        </is>
      </c>
      <c r="B4360" s="1" t="n">
        <v>45912.57256944444</v>
      </c>
      <c r="C4360" s="1" t="n">
        <v>46086</v>
      </c>
      <c r="D4360" t="inlineStr">
        <is>
          <t>GÄVLEBORGS LÄN</t>
        </is>
      </c>
      <c r="E4360" t="inlineStr">
        <is>
          <t>OVANÅKER</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43808-2025</t>
        </is>
      </c>
      <c r="B4361" s="1" t="n">
        <v>45912.57952546296</v>
      </c>
      <c r="C4361" s="1" t="n">
        <v>46086</v>
      </c>
      <c r="D4361" t="inlineStr">
        <is>
          <t>GÄVLEBORGS LÄN</t>
        </is>
      </c>
      <c r="E4361" t="inlineStr">
        <is>
          <t>BOLLNÄS</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42495-2025</t>
        </is>
      </c>
      <c r="B4362" s="1" t="n">
        <v>45905.50623842593</v>
      </c>
      <c r="C4362" s="1" t="n">
        <v>46086</v>
      </c>
      <c r="D4362" t="inlineStr">
        <is>
          <t>GÄVLEBORGS LÄN</t>
        </is>
      </c>
      <c r="E4362" t="inlineStr">
        <is>
          <t>SANDVIKEN</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44024-2025</t>
        </is>
      </c>
      <c r="B4363" s="1" t="n">
        <v>45915</v>
      </c>
      <c r="C4363" s="1" t="n">
        <v>46086</v>
      </c>
      <c r="D4363" t="inlineStr">
        <is>
          <t>GÄVLEBORGS LÄN</t>
        </is>
      </c>
      <c r="E4363" t="inlineStr">
        <is>
          <t>BOLLNÄS</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7599-2026</t>
        </is>
      </c>
      <c r="B4364" s="1" t="n">
        <v>46061</v>
      </c>
      <c r="C4364" s="1" t="n">
        <v>46086</v>
      </c>
      <c r="D4364" t="inlineStr">
        <is>
          <t>GÄVLEBORGS LÄN</t>
        </is>
      </c>
      <c r="E4364" t="inlineStr">
        <is>
          <t>SANDVIKEN</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11150-2026</t>
        </is>
      </c>
      <c r="B4365" s="1" t="n">
        <v>46080.29954861111</v>
      </c>
      <c r="C4365" s="1" t="n">
        <v>46086</v>
      </c>
      <c r="D4365" t="inlineStr">
        <is>
          <t>GÄVLEBORGS LÄN</t>
        </is>
      </c>
      <c r="E4365" t="inlineStr">
        <is>
          <t>SANDVIKEN</t>
        </is>
      </c>
      <c r="F4365" t="inlineStr">
        <is>
          <t>Sveaskog</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11308-2026</t>
        </is>
      </c>
      <c r="B4366" s="1" t="n">
        <v>46080.65394675926</v>
      </c>
      <c r="C4366" s="1" t="n">
        <v>46086</v>
      </c>
      <c r="D4366" t="inlineStr">
        <is>
          <t>GÄVLEBORGS LÄN</t>
        </is>
      </c>
      <c r="E4366" t="inlineStr">
        <is>
          <t>BOLLNÄS</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44049-2025</t>
        </is>
      </c>
      <c r="B4367" s="1" t="n">
        <v>45915.49884259259</v>
      </c>
      <c r="C4367" s="1" t="n">
        <v>46086</v>
      </c>
      <c r="D4367" t="inlineStr">
        <is>
          <t>GÄVLEBORGS LÄN</t>
        </is>
      </c>
      <c r="E4367" t="inlineStr">
        <is>
          <t>NORDANSTIG</t>
        </is>
      </c>
      <c r="F4367" t="inlineStr">
        <is>
          <t>Holmen skog AB</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10458-2026</t>
        </is>
      </c>
      <c r="B4368" s="1" t="n">
        <v>46077</v>
      </c>
      <c r="C4368" s="1" t="n">
        <v>46086</v>
      </c>
      <c r="D4368" t="inlineStr">
        <is>
          <t>GÄVLEBORGS LÄN</t>
        </is>
      </c>
      <c r="E4368" t="inlineStr">
        <is>
          <t>BOLLNÄS</t>
        </is>
      </c>
      <c r="F4368" t="inlineStr">
        <is>
          <t>Kyrkan</t>
        </is>
      </c>
      <c r="G4368" t="n">
        <v>4.9</v>
      </c>
      <c r="H4368" t="n">
        <v>0</v>
      </c>
      <c r="I4368" t="n">
        <v>0</v>
      </c>
      <c r="J4368" t="n">
        <v>0</v>
      </c>
      <c r="K4368" t="n">
        <v>0</v>
      </c>
      <c r="L4368" t="n">
        <v>0</v>
      </c>
      <c r="M4368" t="n">
        <v>0</v>
      </c>
      <c r="N4368" t="n">
        <v>0</v>
      </c>
      <c r="O4368" t="n">
        <v>0</v>
      </c>
      <c r="P4368" t="n">
        <v>0</v>
      </c>
      <c r="Q4368" t="n">
        <v>0</v>
      </c>
      <c r="R4368" s="2" t="inlineStr"/>
    </row>
    <row r="4369" ht="15" customHeight="1">
      <c r="A4369" t="inlineStr">
        <is>
          <t>A 10660-2026</t>
        </is>
      </c>
      <c r="B4369" s="1" t="n">
        <v>46078</v>
      </c>
      <c r="C4369" s="1" t="n">
        <v>46086</v>
      </c>
      <c r="D4369" t="inlineStr">
        <is>
          <t>GÄVLEBORGS LÄN</t>
        </is>
      </c>
      <c r="E4369" t="inlineStr">
        <is>
          <t>LJUSDAL</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10663-2026</t>
        </is>
      </c>
      <c r="B4370" s="1" t="n">
        <v>46078</v>
      </c>
      <c r="C4370" s="1" t="n">
        <v>46086</v>
      </c>
      <c r="D4370" t="inlineStr">
        <is>
          <t>GÄVLEBORGS LÄN</t>
        </is>
      </c>
      <c r="E4370" t="inlineStr">
        <is>
          <t>LJUSDAL</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18681-2022</t>
        </is>
      </c>
      <c r="B4371" s="1" t="n">
        <v>44687.5766087963</v>
      </c>
      <c r="C4371" s="1" t="n">
        <v>46086</v>
      </c>
      <c r="D4371" t="inlineStr">
        <is>
          <t>GÄVLEBORGS LÄN</t>
        </is>
      </c>
      <c r="E4371" t="inlineStr">
        <is>
          <t>LJUSDAL</t>
        </is>
      </c>
      <c r="F4371" t="inlineStr">
        <is>
          <t>Bergvik skog väst AB</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43979-2025</t>
        </is>
      </c>
      <c r="B4372" s="1" t="n">
        <v>45915.42203703704</v>
      </c>
      <c r="C4372" s="1" t="n">
        <v>46086</v>
      </c>
      <c r="D4372" t="inlineStr">
        <is>
          <t>GÄVLEBORGS LÄN</t>
        </is>
      </c>
      <c r="E4372" t="inlineStr">
        <is>
          <t>BOLLNÄS</t>
        </is>
      </c>
      <c r="F4372" t="inlineStr">
        <is>
          <t>Kyrkan</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43796-2025</t>
        </is>
      </c>
      <c r="B4373" s="1" t="n">
        <v>45912.56341435185</v>
      </c>
      <c r="C4373" s="1" t="n">
        <v>46086</v>
      </c>
      <c r="D4373" t="inlineStr">
        <is>
          <t>GÄVLEBORGS LÄN</t>
        </is>
      </c>
      <c r="E4373" t="inlineStr">
        <is>
          <t>LJUSDAL</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43807-2025</t>
        </is>
      </c>
      <c r="B4374" s="1" t="n">
        <v>45912.5783912037</v>
      </c>
      <c r="C4374" s="1" t="n">
        <v>46086</v>
      </c>
      <c r="D4374" t="inlineStr">
        <is>
          <t>GÄVLEBORGS LÄN</t>
        </is>
      </c>
      <c r="E4374" t="inlineStr">
        <is>
          <t>OVANÅKER</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28062-2025</t>
        </is>
      </c>
      <c r="B4375" s="1" t="n">
        <v>45817</v>
      </c>
      <c r="C4375" s="1" t="n">
        <v>46086</v>
      </c>
      <c r="D4375" t="inlineStr">
        <is>
          <t>GÄVLEBORGS LÄN</t>
        </is>
      </c>
      <c r="E4375" t="inlineStr">
        <is>
          <t>SÖDERHAMN</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30009-2023</t>
        </is>
      </c>
      <c r="B4376" s="1" t="n">
        <v>45109.83574074074</v>
      </c>
      <c r="C4376" s="1" t="n">
        <v>46086</v>
      </c>
      <c r="D4376" t="inlineStr">
        <is>
          <t>GÄVLEBORGS LÄN</t>
        </is>
      </c>
      <c r="E4376" t="inlineStr">
        <is>
          <t>OCKELBO</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3074-2026</t>
        </is>
      </c>
      <c r="B4377" s="1" t="n">
        <v>46040.7550462963</v>
      </c>
      <c r="C4377" s="1" t="n">
        <v>46086</v>
      </c>
      <c r="D4377" t="inlineStr">
        <is>
          <t>GÄVLEBORGS LÄN</t>
        </is>
      </c>
      <c r="E4377" t="inlineStr">
        <is>
          <t>BOLLNÄS</t>
        </is>
      </c>
      <c r="G4377" t="n">
        <v>12.9</v>
      </c>
      <c r="H4377" t="n">
        <v>0</v>
      </c>
      <c r="I4377" t="n">
        <v>0</v>
      </c>
      <c r="J4377" t="n">
        <v>0</v>
      </c>
      <c r="K4377" t="n">
        <v>0</v>
      </c>
      <c r="L4377" t="n">
        <v>0</v>
      </c>
      <c r="M4377" t="n">
        <v>0</v>
      </c>
      <c r="N4377" t="n">
        <v>0</v>
      </c>
      <c r="O4377" t="n">
        <v>0</v>
      </c>
      <c r="P4377" t="n">
        <v>0</v>
      </c>
      <c r="Q4377" t="n">
        <v>0</v>
      </c>
      <c r="R4377" s="2" t="inlineStr"/>
    </row>
    <row r="4378" ht="15" customHeight="1">
      <c r="A4378" t="inlineStr">
        <is>
          <t>A 3216-2026</t>
        </is>
      </c>
      <c r="B4378" s="1" t="n">
        <v>46041.50413194444</v>
      </c>
      <c r="C4378" s="1" t="n">
        <v>46086</v>
      </c>
      <c r="D4378" t="inlineStr">
        <is>
          <t>GÄVLEBORGS LÄN</t>
        </is>
      </c>
      <c r="E4378" t="inlineStr">
        <is>
          <t>OCKELBO</t>
        </is>
      </c>
      <c r="G4378" t="n">
        <v>7.1</v>
      </c>
      <c r="H4378" t="n">
        <v>0</v>
      </c>
      <c r="I4378" t="n">
        <v>0</v>
      </c>
      <c r="J4378" t="n">
        <v>0</v>
      </c>
      <c r="K4378" t="n">
        <v>0</v>
      </c>
      <c r="L4378" t="n">
        <v>0</v>
      </c>
      <c r="M4378" t="n">
        <v>0</v>
      </c>
      <c r="N4378" t="n">
        <v>0</v>
      </c>
      <c r="O4378" t="n">
        <v>0</v>
      </c>
      <c r="P4378" t="n">
        <v>0</v>
      </c>
      <c r="Q4378" t="n">
        <v>0</v>
      </c>
      <c r="R4378" s="2" t="inlineStr"/>
    </row>
    <row r="4379" ht="15" customHeight="1">
      <c r="A4379" t="inlineStr">
        <is>
          <t>A 34105-2025</t>
        </is>
      </c>
      <c r="B4379" s="1" t="n">
        <v>45845</v>
      </c>
      <c r="C4379" s="1" t="n">
        <v>46086</v>
      </c>
      <c r="D4379" t="inlineStr">
        <is>
          <t>GÄVLEBORGS LÄN</t>
        </is>
      </c>
      <c r="E4379" t="inlineStr">
        <is>
          <t>GÄVLE</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1873-2025</t>
        </is>
      </c>
      <c r="B4380" s="1" t="n">
        <v>45671.61848379629</v>
      </c>
      <c r="C4380" s="1" t="n">
        <v>46086</v>
      </c>
      <c r="D4380" t="inlineStr">
        <is>
          <t>GÄVLEBORGS LÄN</t>
        </is>
      </c>
      <c r="E4380" t="inlineStr">
        <is>
          <t>NORDANSTIG</t>
        </is>
      </c>
      <c r="F4380" t="inlineStr">
        <is>
          <t>Holmen skog AB</t>
        </is>
      </c>
      <c r="G4380" t="n">
        <v>9.199999999999999</v>
      </c>
      <c r="H4380" t="n">
        <v>0</v>
      </c>
      <c r="I4380" t="n">
        <v>0</v>
      </c>
      <c r="J4380" t="n">
        <v>0</v>
      </c>
      <c r="K4380" t="n">
        <v>0</v>
      </c>
      <c r="L4380" t="n">
        <v>0</v>
      </c>
      <c r="M4380" t="n">
        <v>0</v>
      </c>
      <c r="N4380" t="n">
        <v>0</v>
      </c>
      <c r="O4380" t="n">
        <v>0</v>
      </c>
      <c r="P4380" t="n">
        <v>0</v>
      </c>
      <c r="Q4380" t="n">
        <v>0</v>
      </c>
      <c r="R4380" s="2" t="inlineStr"/>
    </row>
    <row r="4381" ht="15" customHeight="1">
      <c r="A4381" t="inlineStr">
        <is>
          <t>A 34224-2025</t>
        </is>
      </c>
      <c r="B4381" s="1" t="n">
        <v>45845.65662037037</v>
      </c>
      <c r="C4381" s="1" t="n">
        <v>46086</v>
      </c>
      <c r="D4381" t="inlineStr">
        <is>
          <t>GÄVLEBORGS LÄN</t>
        </is>
      </c>
      <c r="E4381" t="inlineStr">
        <is>
          <t>BOLLNÄS</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33757-2025</t>
        </is>
      </c>
      <c r="B4382" s="1" t="n">
        <v>45842.37846064815</v>
      </c>
      <c r="C4382" s="1" t="n">
        <v>46086</v>
      </c>
      <c r="D4382" t="inlineStr">
        <is>
          <t>GÄVLEBORGS LÄN</t>
        </is>
      </c>
      <c r="E4382" t="inlineStr">
        <is>
          <t>SANDVIKEN</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29821-2024</t>
        </is>
      </c>
      <c r="B4383" s="1" t="n">
        <v>45485.55846064815</v>
      </c>
      <c r="C4383" s="1" t="n">
        <v>46086</v>
      </c>
      <c r="D4383" t="inlineStr">
        <is>
          <t>GÄVLEBORGS LÄN</t>
        </is>
      </c>
      <c r="E4383" t="inlineStr">
        <is>
          <t>SÖDERHAMN</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33769-2025</t>
        </is>
      </c>
      <c r="B4384" s="1" t="n">
        <v>45842.39043981482</v>
      </c>
      <c r="C4384" s="1" t="n">
        <v>46086</v>
      </c>
      <c r="D4384" t="inlineStr">
        <is>
          <t>GÄVLEBORGS LÄN</t>
        </is>
      </c>
      <c r="E4384" t="inlineStr">
        <is>
          <t>OCKELBO</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44181-2025</t>
        </is>
      </c>
      <c r="B4385" s="1" t="n">
        <v>45915.60914351852</v>
      </c>
      <c r="C4385" s="1" t="n">
        <v>46086</v>
      </c>
      <c r="D4385" t="inlineStr">
        <is>
          <t>GÄVLEBORGS LÄN</t>
        </is>
      </c>
      <c r="E4385" t="inlineStr">
        <is>
          <t>SÖDERHAMN</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10062-2026</t>
        </is>
      </c>
      <c r="B4386" s="1" t="n">
        <v>46073</v>
      </c>
      <c r="C4386" s="1" t="n">
        <v>46086</v>
      </c>
      <c r="D4386" t="inlineStr">
        <is>
          <t>GÄVLEBORGS LÄN</t>
        </is>
      </c>
      <c r="E4386" t="inlineStr">
        <is>
          <t>BOLLNÄS</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10076-2026</t>
        </is>
      </c>
      <c r="B4387" s="1" t="n">
        <v>46073</v>
      </c>
      <c r="C4387" s="1" t="n">
        <v>46086</v>
      </c>
      <c r="D4387" t="inlineStr">
        <is>
          <t>GÄVLEBORGS LÄN</t>
        </is>
      </c>
      <c r="E4387" t="inlineStr">
        <is>
          <t>LJUSDAL</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11149-2026</t>
        </is>
      </c>
      <c r="B4388" s="1" t="n">
        <v>46080.28920138889</v>
      </c>
      <c r="C4388" s="1" t="n">
        <v>46086</v>
      </c>
      <c r="D4388" t="inlineStr">
        <is>
          <t>GÄVLEBORGS LÄN</t>
        </is>
      </c>
      <c r="E4388" t="inlineStr">
        <is>
          <t>BOLLNÄS</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11164-2026</t>
        </is>
      </c>
      <c r="B4389" s="1" t="n">
        <v>46080.34565972222</v>
      </c>
      <c r="C4389" s="1" t="n">
        <v>46086</v>
      </c>
      <c r="D4389" t="inlineStr">
        <is>
          <t>GÄVLEBORGS LÄN</t>
        </is>
      </c>
      <c r="E4389" t="inlineStr">
        <is>
          <t>BOLLNÄS</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11166-2026</t>
        </is>
      </c>
      <c r="B4390" s="1" t="n">
        <v>46080.35614583334</v>
      </c>
      <c r="C4390" s="1" t="n">
        <v>46086</v>
      </c>
      <c r="D4390" t="inlineStr">
        <is>
          <t>GÄVLEBORGS LÄN</t>
        </is>
      </c>
      <c r="E4390" t="inlineStr">
        <is>
          <t>BOLLNÄS</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9145-2026</t>
        </is>
      </c>
      <c r="B4391" s="1" t="n">
        <v>46070</v>
      </c>
      <c r="C4391" s="1" t="n">
        <v>46086</v>
      </c>
      <c r="D4391" t="inlineStr">
        <is>
          <t>GÄVLEBORGS LÄN</t>
        </is>
      </c>
      <c r="E4391" t="inlineStr">
        <is>
          <t>SANDVIKEN</t>
        </is>
      </c>
      <c r="F4391" t="inlineStr">
        <is>
          <t>Sveaskog</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9295-2026</t>
        </is>
      </c>
      <c r="B4392" s="1" t="n">
        <v>46070</v>
      </c>
      <c r="C4392" s="1" t="n">
        <v>46086</v>
      </c>
      <c r="D4392" t="inlineStr">
        <is>
          <t>GÄVLEBORGS LÄN</t>
        </is>
      </c>
      <c r="E4392" t="inlineStr">
        <is>
          <t>BOLLNÄS</t>
        </is>
      </c>
      <c r="F4392" t="inlineStr">
        <is>
          <t>Bergvik skog väst AB</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44211-2025</t>
        </is>
      </c>
      <c r="B4393" s="1" t="n">
        <v>45915</v>
      </c>
      <c r="C4393" s="1" t="n">
        <v>46086</v>
      </c>
      <c r="D4393" t="inlineStr">
        <is>
          <t>GÄVLEBORGS LÄN</t>
        </is>
      </c>
      <c r="E4393" t="inlineStr">
        <is>
          <t>BOLLNÄS</t>
        </is>
      </c>
      <c r="G4393" t="n">
        <v>4.2</v>
      </c>
      <c r="H4393" t="n">
        <v>0</v>
      </c>
      <c r="I4393" t="n">
        <v>0</v>
      </c>
      <c r="J4393" t="n">
        <v>0</v>
      </c>
      <c r="K4393" t="n">
        <v>0</v>
      </c>
      <c r="L4393" t="n">
        <v>0</v>
      </c>
      <c r="M4393" t="n">
        <v>0</v>
      </c>
      <c r="N4393" t="n">
        <v>0</v>
      </c>
      <c r="O4393" t="n">
        <v>0</v>
      </c>
      <c r="P4393" t="n">
        <v>0</v>
      </c>
      <c r="Q4393" t="n">
        <v>0</v>
      </c>
      <c r="R4393" s="2" t="inlineStr"/>
    </row>
    <row r="4394" ht="15" customHeight="1">
      <c r="A4394" t="inlineStr">
        <is>
          <t>A 44230-2025</t>
        </is>
      </c>
      <c r="B4394" s="1" t="n">
        <v>45915.64261574074</v>
      </c>
      <c r="C4394" s="1" t="n">
        <v>46086</v>
      </c>
      <c r="D4394" t="inlineStr">
        <is>
          <t>GÄVLEBORGS LÄN</t>
        </is>
      </c>
      <c r="E4394" t="inlineStr">
        <is>
          <t>BOLLNÄS</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2705-2025</t>
        </is>
      </c>
      <c r="B4395" s="1" t="n">
        <v>45677.41510416667</v>
      </c>
      <c r="C4395" s="1" t="n">
        <v>46086</v>
      </c>
      <c r="D4395" t="inlineStr">
        <is>
          <t>GÄVLEBORGS LÄN</t>
        </is>
      </c>
      <c r="E4395" t="inlineStr">
        <is>
          <t>NORDANSTIG</t>
        </is>
      </c>
      <c r="F4395" t="inlineStr">
        <is>
          <t>Holmen skog AB</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33941-2025</t>
        </is>
      </c>
      <c r="B4396" s="1" t="n">
        <v>45842.64204861111</v>
      </c>
      <c r="C4396" s="1" t="n">
        <v>46086</v>
      </c>
      <c r="D4396" t="inlineStr">
        <is>
          <t>GÄVLEBORGS LÄN</t>
        </is>
      </c>
      <c r="E4396" t="inlineStr">
        <is>
          <t>SÖDERHAMN</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34116-2025</t>
        </is>
      </c>
      <c r="B4397" s="1" t="n">
        <v>45845.51070601852</v>
      </c>
      <c r="C4397" s="1" t="n">
        <v>46086</v>
      </c>
      <c r="D4397" t="inlineStr">
        <is>
          <t>GÄVLEBORGS LÄN</t>
        </is>
      </c>
      <c r="E4397" t="inlineStr">
        <is>
          <t>GÄVLE</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58473-2024</t>
        </is>
      </c>
      <c r="B4398" s="1" t="n">
        <v>45635.37916666667</v>
      </c>
      <c r="C4398" s="1" t="n">
        <v>46086</v>
      </c>
      <c r="D4398" t="inlineStr">
        <is>
          <t>GÄVLEBORGS LÄN</t>
        </is>
      </c>
      <c r="E4398" t="inlineStr">
        <is>
          <t>HUDIKSVALL</t>
        </is>
      </c>
      <c r="G4398" t="n">
        <v>3.8</v>
      </c>
      <c r="H4398" t="n">
        <v>0</v>
      </c>
      <c r="I4398" t="n">
        <v>0</v>
      </c>
      <c r="J4398" t="n">
        <v>0</v>
      </c>
      <c r="K4398" t="n">
        <v>0</v>
      </c>
      <c r="L4398" t="n">
        <v>0</v>
      </c>
      <c r="M4398" t="n">
        <v>0</v>
      </c>
      <c r="N4398" t="n">
        <v>0</v>
      </c>
      <c r="O4398" t="n">
        <v>0</v>
      </c>
      <c r="P4398" t="n">
        <v>0</v>
      </c>
      <c r="Q4398" t="n">
        <v>0</v>
      </c>
      <c r="R4398" s="2" t="inlineStr"/>
    </row>
    <row r="4399" ht="15" customHeight="1">
      <c r="A4399" t="inlineStr">
        <is>
          <t>A 43949-2025</t>
        </is>
      </c>
      <c r="B4399" s="1" t="n">
        <v>45915.37743055556</v>
      </c>
      <c r="C4399" s="1" t="n">
        <v>46086</v>
      </c>
      <c r="D4399" t="inlineStr">
        <is>
          <t>GÄVLEBORGS LÄN</t>
        </is>
      </c>
      <c r="E4399" t="inlineStr">
        <is>
          <t>NORDANSTIG</t>
        </is>
      </c>
      <c r="F4399" t="inlineStr">
        <is>
          <t>Holmen skog AB</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44116-2025</t>
        </is>
      </c>
      <c r="B4400" s="1" t="n">
        <v>45915.57671296296</v>
      </c>
      <c r="C4400" s="1" t="n">
        <v>46086</v>
      </c>
      <c r="D4400" t="inlineStr">
        <is>
          <t>GÄVLEBORGS LÄN</t>
        </is>
      </c>
      <c r="E4400" t="inlineStr">
        <is>
          <t>BOLLNÄS</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2651-2024</t>
        </is>
      </c>
      <c r="B4401" s="1" t="n">
        <v>45314.37082175926</v>
      </c>
      <c r="C4401" s="1" t="n">
        <v>46086</v>
      </c>
      <c r="D4401" t="inlineStr">
        <is>
          <t>GÄVLEBORGS LÄN</t>
        </is>
      </c>
      <c r="E4401" t="inlineStr">
        <is>
          <t>HUDIKSVALL</t>
        </is>
      </c>
      <c r="F4401" t="inlineStr">
        <is>
          <t>Holmen skog AB</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44158-2025</t>
        </is>
      </c>
      <c r="B4402" s="1" t="n">
        <v>45915</v>
      </c>
      <c r="C4402" s="1" t="n">
        <v>46086</v>
      </c>
      <c r="D4402" t="inlineStr">
        <is>
          <t>GÄVLEBORGS LÄN</t>
        </is>
      </c>
      <c r="E4402" t="inlineStr">
        <is>
          <t>BOLLNÄS</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44052-2025</t>
        </is>
      </c>
      <c r="B4403" s="1" t="n">
        <v>45915.51091435185</v>
      </c>
      <c r="C4403" s="1" t="n">
        <v>46086</v>
      </c>
      <c r="D4403" t="inlineStr">
        <is>
          <t>GÄVLEBORGS LÄN</t>
        </is>
      </c>
      <c r="E4403" t="inlineStr">
        <is>
          <t>NORDANSTIG</t>
        </is>
      </c>
      <c r="F4403" t="inlineStr">
        <is>
          <t>Holmen skog AB</t>
        </is>
      </c>
      <c r="G4403" t="n">
        <v>4.3</v>
      </c>
      <c r="H4403" t="n">
        <v>0</v>
      </c>
      <c r="I4403" t="n">
        <v>0</v>
      </c>
      <c r="J4403" t="n">
        <v>0</v>
      </c>
      <c r="K4403" t="n">
        <v>0</v>
      </c>
      <c r="L4403" t="n">
        <v>0</v>
      </c>
      <c r="M4403" t="n">
        <v>0</v>
      </c>
      <c r="N4403" t="n">
        <v>0</v>
      </c>
      <c r="O4403" t="n">
        <v>0</v>
      </c>
      <c r="P4403" t="n">
        <v>0</v>
      </c>
      <c r="Q4403" t="n">
        <v>0</v>
      </c>
      <c r="R4403" s="2" t="inlineStr"/>
    </row>
    <row r="4404" ht="15" customHeight="1">
      <c r="A4404" t="inlineStr">
        <is>
          <t>A 44060-2025</t>
        </is>
      </c>
      <c r="B4404" s="1" t="n">
        <v>45915.53219907408</v>
      </c>
      <c r="C4404" s="1" t="n">
        <v>46086</v>
      </c>
      <c r="D4404" t="inlineStr">
        <is>
          <t>GÄVLEBORGS LÄN</t>
        </is>
      </c>
      <c r="E4404" t="inlineStr">
        <is>
          <t>GÄVLE</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44075-2025</t>
        </is>
      </c>
      <c r="B4405" s="1" t="n">
        <v>45915.54935185185</v>
      </c>
      <c r="C4405" s="1" t="n">
        <v>46086</v>
      </c>
      <c r="D4405" t="inlineStr">
        <is>
          <t>GÄVLEBORGS LÄN</t>
        </is>
      </c>
      <c r="E4405" t="inlineStr">
        <is>
          <t>NORDANSTIG</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9298-2026</t>
        </is>
      </c>
      <c r="B4406" s="1" t="n">
        <v>46070</v>
      </c>
      <c r="C4406" s="1" t="n">
        <v>46086</v>
      </c>
      <c r="D4406" t="inlineStr">
        <is>
          <t>GÄVLEBORGS LÄN</t>
        </is>
      </c>
      <c r="E4406" t="inlineStr">
        <is>
          <t>BOLLNÄS</t>
        </is>
      </c>
      <c r="F4406" t="inlineStr">
        <is>
          <t>Bergvik skog väst AB</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11209-2026</t>
        </is>
      </c>
      <c r="B4407" s="1" t="n">
        <v>46080.45927083334</v>
      </c>
      <c r="C4407" s="1" t="n">
        <v>46086</v>
      </c>
      <c r="D4407" t="inlineStr">
        <is>
          <t>GÄVLEBORGS LÄN</t>
        </is>
      </c>
      <c r="E4407" t="inlineStr">
        <is>
          <t>BOLLNÄS</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44108-2025</t>
        </is>
      </c>
      <c r="B4408" s="1" t="n">
        <v>45915.57190972222</v>
      </c>
      <c r="C4408" s="1" t="n">
        <v>46086</v>
      </c>
      <c r="D4408" t="inlineStr">
        <is>
          <t>GÄVLEBORGS LÄN</t>
        </is>
      </c>
      <c r="E4408" t="inlineStr">
        <is>
          <t>GÄVLE</t>
        </is>
      </c>
      <c r="F4408" t="inlineStr">
        <is>
          <t>Bergvik skog öst AB</t>
        </is>
      </c>
      <c r="G4408" t="n">
        <v>20.5</v>
      </c>
      <c r="H4408" t="n">
        <v>0</v>
      </c>
      <c r="I4408" t="n">
        <v>0</v>
      </c>
      <c r="J4408" t="n">
        <v>0</v>
      </c>
      <c r="K4408" t="n">
        <v>0</v>
      </c>
      <c r="L4408" t="n">
        <v>0</v>
      </c>
      <c r="M4408" t="n">
        <v>0</v>
      </c>
      <c r="N4408" t="n">
        <v>0</v>
      </c>
      <c r="O4408" t="n">
        <v>0</v>
      </c>
      <c r="P4408" t="n">
        <v>0</v>
      </c>
      <c r="Q4408" t="n">
        <v>0</v>
      </c>
      <c r="R4408" s="2" t="inlineStr"/>
    </row>
    <row r="4409" ht="15" customHeight="1">
      <c r="A4409" t="inlineStr">
        <is>
          <t>A 34113-2025</t>
        </is>
      </c>
      <c r="B4409" s="1" t="n">
        <v>45845.50296296296</v>
      </c>
      <c r="C4409" s="1" t="n">
        <v>46086</v>
      </c>
      <c r="D4409" t="inlineStr">
        <is>
          <t>GÄVLEBORGS LÄN</t>
        </is>
      </c>
      <c r="E4409" t="inlineStr">
        <is>
          <t>GÄVLE</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43661-2025</t>
        </is>
      </c>
      <c r="B4410" s="1" t="n">
        <v>45912.34427083333</v>
      </c>
      <c r="C4410" s="1" t="n">
        <v>46086</v>
      </c>
      <c r="D4410" t="inlineStr">
        <is>
          <t>GÄVLEBORGS LÄN</t>
        </is>
      </c>
      <c r="E4410" t="inlineStr">
        <is>
          <t>HUDIKSVALL</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43649-2025</t>
        </is>
      </c>
      <c r="B4411" s="1" t="n">
        <v>45912.32010416667</v>
      </c>
      <c r="C4411" s="1" t="n">
        <v>46086</v>
      </c>
      <c r="D4411" t="inlineStr">
        <is>
          <t>GÄVLEBORGS LÄN</t>
        </is>
      </c>
      <c r="E4411" t="inlineStr">
        <is>
          <t>BOLLNÄS</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43703-2025</t>
        </is>
      </c>
      <c r="B4412" s="1" t="n">
        <v>45912.40327546297</v>
      </c>
      <c r="C4412" s="1" t="n">
        <v>46086</v>
      </c>
      <c r="D4412" t="inlineStr">
        <is>
          <t>GÄVLEBORGS LÄN</t>
        </is>
      </c>
      <c r="E4412" t="inlineStr">
        <is>
          <t>GÄVLE</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60750-2023</t>
        </is>
      </c>
      <c r="B4413" s="1" t="n">
        <v>45260.5928587963</v>
      </c>
      <c r="C4413" s="1" t="n">
        <v>46086</v>
      </c>
      <c r="D4413" t="inlineStr">
        <is>
          <t>GÄVLEBORGS LÄN</t>
        </is>
      </c>
      <c r="E4413" t="inlineStr">
        <is>
          <t>HUDIKSVALL</t>
        </is>
      </c>
      <c r="F4413" t="inlineStr">
        <is>
          <t>Holmen skog AB</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44162-2025</t>
        </is>
      </c>
      <c r="B4414" s="1" t="n">
        <v>45915</v>
      </c>
      <c r="C4414" s="1" t="n">
        <v>46086</v>
      </c>
      <c r="D4414" t="inlineStr">
        <is>
          <t>GÄVLEBORGS LÄN</t>
        </is>
      </c>
      <c r="E4414" t="inlineStr">
        <is>
          <t>BOLLNÄS</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2826-2026</t>
        </is>
      </c>
      <c r="B4415" s="1" t="n">
        <v>46038.44782407407</v>
      </c>
      <c r="C4415" s="1" t="n">
        <v>46086</v>
      </c>
      <c r="D4415" t="inlineStr">
        <is>
          <t>GÄVLEBORGS LÄN</t>
        </is>
      </c>
      <c r="E4415" t="inlineStr">
        <is>
          <t>OCKELBO</t>
        </is>
      </c>
      <c r="G4415" t="n">
        <v>7.6</v>
      </c>
      <c r="H4415" t="n">
        <v>0</v>
      </c>
      <c r="I4415" t="n">
        <v>0</v>
      </c>
      <c r="J4415" t="n">
        <v>0</v>
      </c>
      <c r="K4415" t="n">
        <v>0</v>
      </c>
      <c r="L4415" t="n">
        <v>0</v>
      </c>
      <c r="M4415" t="n">
        <v>0</v>
      </c>
      <c r="N4415" t="n">
        <v>0</v>
      </c>
      <c r="O4415" t="n">
        <v>0</v>
      </c>
      <c r="P4415" t="n">
        <v>0</v>
      </c>
      <c r="Q4415" t="n">
        <v>0</v>
      </c>
      <c r="R4415" s="2" t="inlineStr"/>
    </row>
    <row r="4416" ht="15" customHeight="1">
      <c r="A4416" t="inlineStr">
        <is>
          <t>A 8840-2026</t>
        </is>
      </c>
      <c r="B4416" s="1" t="n">
        <v>46066</v>
      </c>
      <c r="C4416" s="1" t="n">
        <v>46086</v>
      </c>
      <c r="D4416" t="inlineStr">
        <is>
          <t>GÄVLEBORGS LÄN</t>
        </is>
      </c>
      <c r="E4416" t="inlineStr">
        <is>
          <t>BOLLNÄS</t>
        </is>
      </c>
      <c r="G4416" t="n">
        <v>16.7</v>
      </c>
      <c r="H4416" t="n">
        <v>0</v>
      </c>
      <c r="I4416" t="n">
        <v>0</v>
      </c>
      <c r="J4416" t="n">
        <v>0</v>
      </c>
      <c r="K4416" t="n">
        <v>0</v>
      </c>
      <c r="L4416" t="n">
        <v>0</v>
      </c>
      <c r="M4416" t="n">
        <v>0</v>
      </c>
      <c r="N4416" t="n">
        <v>0</v>
      </c>
      <c r="O4416" t="n">
        <v>0</v>
      </c>
      <c r="P4416" t="n">
        <v>0</v>
      </c>
      <c r="Q4416" t="n">
        <v>0</v>
      </c>
      <c r="R4416" s="2" t="inlineStr"/>
    </row>
    <row r="4417" ht="15" customHeight="1">
      <c r="A4417" t="inlineStr">
        <is>
          <t>A 40486-2024</t>
        </is>
      </c>
      <c r="B4417" s="1" t="n">
        <v>45555.5541087963</v>
      </c>
      <c r="C4417" s="1" t="n">
        <v>46086</v>
      </c>
      <c r="D4417" t="inlineStr">
        <is>
          <t>GÄVLEBORGS LÄN</t>
        </is>
      </c>
      <c r="E4417" t="inlineStr">
        <is>
          <t>BOLLNÄS</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40487-2024</t>
        </is>
      </c>
      <c r="B4418" s="1" t="n">
        <v>45555.55648148148</v>
      </c>
      <c r="C4418" s="1" t="n">
        <v>46086</v>
      </c>
      <c r="D4418" t="inlineStr">
        <is>
          <t>GÄVLEBORGS LÄN</t>
        </is>
      </c>
      <c r="E4418" t="inlineStr">
        <is>
          <t>BOLLNÄS</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3053-2026</t>
        </is>
      </c>
      <c r="B4419" s="1" t="n">
        <v>46039.34421296296</v>
      </c>
      <c r="C4419" s="1" t="n">
        <v>46086</v>
      </c>
      <c r="D4419" t="inlineStr">
        <is>
          <t>GÄVLEBORGS LÄN</t>
        </is>
      </c>
      <c r="E4419" t="inlineStr">
        <is>
          <t>NORDANSTIG</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3069-2026</t>
        </is>
      </c>
      <c r="B4420" s="1" t="n">
        <v>46040.71421296296</v>
      </c>
      <c r="C4420" s="1" t="n">
        <v>46086</v>
      </c>
      <c r="D4420" t="inlineStr">
        <is>
          <t>GÄVLEBORGS LÄN</t>
        </is>
      </c>
      <c r="E4420" t="inlineStr">
        <is>
          <t>BOLLNÄS</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3267-2026</t>
        </is>
      </c>
      <c r="B4421" s="1" t="n">
        <v>46041.60144675926</v>
      </c>
      <c r="C4421" s="1" t="n">
        <v>46086</v>
      </c>
      <c r="D4421" t="inlineStr">
        <is>
          <t>GÄVLEBORGS LÄN</t>
        </is>
      </c>
      <c r="E4421" t="inlineStr">
        <is>
          <t>OVANÅKER</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3277-2026</t>
        </is>
      </c>
      <c r="B4422" s="1" t="n">
        <v>46041.61865740741</v>
      </c>
      <c r="C4422" s="1" t="n">
        <v>46086</v>
      </c>
      <c r="D4422" t="inlineStr">
        <is>
          <t>GÄVLEBORGS LÄN</t>
        </is>
      </c>
      <c r="E4422" t="inlineStr">
        <is>
          <t>GÄVLE</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3283-2026</t>
        </is>
      </c>
      <c r="B4423" s="1" t="n">
        <v>46041</v>
      </c>
      <c r="C4423" s="1" t="n">
        <v>46086</v>
      </c>
      <c r="D4423" t="inlineStr">
        <is>
          <t>GÄVLEBORGS LÄN</t>
        </is>
      </c>
      <c r="E4423" t="inlineStr">
        <is>
          <t>HUDIKSVALL</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3285-2026</t>
        </is>
      </c>
      <c r="B4424" s="1" t="n">
        <v>46041.62581018519</v>
      </c>
      <c r="C4424" s="1" t="n">
        <v>46086</v>
      </c>
      <c r="D4424" t="inlineStr">
        <is>
          <t>GÄVLEBORGS LÄN</t>
        </is>
      </c>
      <c r="E4424" t="inlineStr">
        <is>
          <t>NORDANSTIG</t>
        </is>
      </c>
      <c r="G4424" t="n">
        <v>7.8</v>
      </c>
      <c r="H4424" t="n">
        <v>0</v>
      </c>
      <c r="I4424" t="n">
        <v>0</v>
      </c>
      <c r="J4424" t="n">
        <v>0</v>
      </c>
      <c r="K4424" t="n">
        <v>0</v>
      </c>
      <c r="L4424" t="n">
        <v>0</v>
      </c>
      <c r="M4424" t="n">
        <v>0</v>
      </c>
      <c r="N4424" t="n">
        <v>0</v>
      </c>
      <c r="O4424" t="n">
        <v>0</v>
      </c>
      <c r="P4424" t="n">
        <v>0</v>
      </c>
      <c r="Q4424" t="n">
        <v>0</v>
      </c>
      <c r="R4424" s="2" t="inlineStr"/>
    </row>
    <row r="4425" ht="15" customHeight="1">
      <c r="A4425" t="inlineStr">
        <is>
          <t>A 6039-2026</t>
        </is>
      </c>
      <c r="B4425" s="1" t="n">
        <v>46052</v>
      </c>
      <c r="C4425" s="1" t="n">
        <v>46086</v>
      </c>
      <c r="D4425" t="inlineStr">
        <is>
          <t>GÄVLEBORGS LÄN</t>
        </is>
      </c>
      <c r="E4425" t="inlineStr">
        <is>
          <t>GÄVLE</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11239-2026</t>
        </is>
      </c>
      <c r="B4426" s="1" t="n">
        <v>46080.51871527778</v>
      </c>
      <c r="C4426" s="1" t="n">
        <v>46086</v>
      </c>
      <c r="D4426" t="inlineStr">
        <is>
          <t>GÄVLEBORGS LÄN</t>
        </is>
      </c>
      <c r="E4426" t="inlineStr">
        <is>
          <t>SÖDERHAMN</t>
        </is>
      </c>
      <c r="G4426" t="n">
        <v>3.4</v>
      </c>
      <c r="H4426" t="n">
        <v>0</v>
      </c>
      <c r="I4426" t="n">
        <v>0</v>
      </c>
      <c r="J4426" t="n">
        <v>0</v>
      </c>
      <c r="K4426" t="n">
        <v>0</v>
      </c>
      <c r="L4426" t="n">
        <v>0</v>
      </c>
      <c r="M4426" t="n">
        <v>0</v>
      </c>
      <c r="N4426" t="n">
        <v>0</v>
      </c>
      <c r="O4426" t="n">
        <v>0</v>
      </c>
      <c r="P4426" t="n">
        <v>0</v>
      </c>
      <c r="Q4426" t="n">
        <v>0</v>
      </c>
      <c r="R4426" s="2" t="inlineStr"/>
    </row>
    <row r="4427" ht="15" customHeight="1">
      <c r="A4427" t="inlineStr">
        <is>
          <t>A 34342-2025</t>
        </is>
      </c>
      <c r="B4427" s="1" t="n">
        <v>45846.46015046296</v>
      </c>
      <c r="C4427" s="1" t="n">
        <v>46086</v>
      </c>
      <c r="D4427" t="inlineStr">
        <is>
          <t>GÄVLEBORGS LÄN</t>
        </is>
      </c>
      <c r="E4427" t="inlineStr">
        <is>
          <t>NORDANSTIG</t>
        </is>
      </c>
      <c r="F4427" t="inlineStr">
        <is>
          <t>Holmen skog AB</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43805-2025</t>
        </is>
      </c>
      <c r="B4428" s="1" t="n">
        <v>45912.57600694444</v>
      </c>
      <c r="C4428" s="1" t="n">
        <v>46086</v>
      </c>
      <c r="D4428" t="inlineStr">
        <is>
          <t>GÄVLEBORGS LÄN</t>
        </is>
      </c>
      <c r="E4428" t="inlineStr">
        <is>
          <t>OVANÅKER</t>
        </is>
      </c>
      <c r="G4428" t="n">
        <v>4.2</v>
      </c>
      <c r="H4428" t="n">
        <v>0</v>
      </c>
      <c r="I4428" t="n">
        <v>0</v>
      </c>
      <c r="J4428" t="n">
        <v>0</v>
      </c>
      <c r="K4428" t="n">
        <v>0</v>
      </c>
      <c r="L4428" t="n">
        <v>0</v>
      </c>
      <c r="M4428" t="n">
        <v>0</v>
      </c>
      <c r="N4428" t="n">
        <v>0</v>
      </c>
      <c r="O4428" t="n">
        <v>0</v>
      </c>
      <c r="P4428" t="n">
        <v>0</v>
      </c>
      <c r="Q4428" t="n">
        <v>0</v>
      </c>
      <c r="R4428" s="2" t="inlineStr"/>
    </row>
    <row r="4429" ht="15" customHeight="1">
      <c r="A4429" t="inlineStr">
        <is>
          <t>A 44085-2025</t>
        </is>
      </c>
      <c r="B4429" s="1" t="n">
        <v>45915.55561342592</v>
      </c>
      <c r="C4429" s="1" t="n">
        <v>46086</v>
      </c>
      <c r="D4429" t="inlineStr">
        <is>
          <t>GÄVLEBORGS LÄN</t>
        </is>
      </c>
      <c r="E4429" t="inlineStr">
        <is>
          <t>BOLLNÄS</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44110-2025</t>
        </is>
      </c>
      <c r="B4430" s="1" t="n">
        <v>45915.57398148148</v>
      </c>
      <c r="C4430" s="1" t="n">
        <v>46086</v>
      </c>
      <c r="D4430" t="inlineStr">
        <is>
          <t>GÄVLEBORGS LÄN</t>
        </is>
      </c>
      <c r="E4430" t="inlineStr">
        <is>
          <t>BOLLNÄS</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58885-2023</t>
        </is>
      </c>
      <c r="B4431" s="1" t="n">
        <v>45252.47675925926</v>
      </c>
      <c r="C4431" s="1" t="n">
        <v>46086</v>
      </c>
      <c r="D4431" t="inlineStr">
        <is>
          <t>GÄVLEBORGS LÄN</t>
        </is>
      </c>
      <c r="E4431" t="inlineStr">
        <is>
          <t>SANDVIKEN</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44136-2025</t>
        </is>
      </c>
      <c r="B4432" s="1" t="n">
        <v>45915.58728009259</v>
      </c>
      <c r="C4432" s="1" t="n">
        <v>46086</v>
      </c>
      <c r="D4432" t="inlineStr">
        <is>
          <t>GÄVLEBORGS LÄN</t>
        </is>
      </c>
      <c r="E4432" t="inlineStr">
        <is>
          <t>BOLLNÄS</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11409-2024</t>
        </is>
      </c>
      <c r="B4433" s="1" t="n">
        <v>45372.46600694444</v>
      </c>
      <c r="C4433" s="1" t="n">
        <v>46086</v>
      </c>
      <c r="D4433" t="inlineStr">
        <is>
          <t>GÄVLEBORGS LÄN</t>
        </is>
      </c>
      <c r="E4433" t="inlineStr">
        <is>
          <t>HUDIKSVALL</t>
        </is>
      </c>
      <c r="F4433" t="inlineStr">
        <is>
          <t>Holmen skog AB</t>
        </is>
      </c>
      <c r="G4433" t="n">
        <v>8.199999999999999</v>
      </c>
      <c r="H4433" t="n">
        <v>0</v>
      </c>
      <c r="I4433" t="n">
        <v>0</v>
      </c>
      <c r="J4433" t="n">
        <v>0</v>
      </c>
      <c r="K4433" t="n">
        <v>0</v>
      </c>
      <c r="L4433" t="n">
        <v>0</v>
      </c>
      <c r="M4433" t="n">
        <v>0</v>
      </c>
      <c r="N4433" t="n">
        <v>0</v>
      </c>
      <c r="O4433" t="n">
        <v>0</v>
      </c>
      <c r="P4433" t="n">
        <v>0</v>
      </c>
      <c r="Q4433" t="n">
        <v>0</v>
      </c>
      <c r="R4433" s="2" t="inlineStr"/>
    </row>
    <row r="4434" ht="15" customHeight="1">
      <c r="A4434" t="inlineStr">
        <is>
          <t>A 43946-2025</t>
        </is>
      </c>
      <c r="B4434" s="1" t="n">
        <v>45915.37418981481</v>
      </c>
      <c r="C4434" s="1" t="n">
        <v>46086</v>
      </c>
      <c r="D4434" t="inlineStr">
        <is>
          <t>GÄVLEBORGS LÄN</t>
        </is>
      </c>
      <c r="E4434" t="inlineStr">
        <is>
          <t>BOLLNÄS</t>
        </is>
      </c>
      <c r="F4434" t="inlineStr">
        <is>
          <t>Kyrkan</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64422-2023</t>
        </is>
      </c>
      <c r="B4435" s="1" t="n">
        <v>45280.65898148148</v>
      </c>
      <c r="C4435" s="1" t="n">
        <v>46086</v>
      </c>
      <c r="D4435" t="inlineStr">
        <is>
          <t>GÄVLEBORGS LÄN</t>
        </is>
      </c>
      <c r="E4435" t="inlineStr">
        <is>
          <t>BOLLNÄS</t>
        </is>
      </c>
      <c r="G4435" t="n">
        <v>6.2</v>
      </c>
      <c r="H4435" t="n">
        <v>0</v>
      </c>
      <c r="I4435" t="n">
        <v>0</v>
      </c>
      <c r="J4435" t="n">
        <v>0</v>
      </c>
      <c r="K4435" t="n">
        <v>0</v>
      </c>
      <c r="L4435" t="n">
        <v>0</v>
      </c>
      <c r="M4435" t="n">
        <v>0</v>
      </c>
      <c r="N4435" t="n">
        <v>0</v>
      </c>
      <c r="O4435" t="n">
        <v>0</v>
      </c>
      <c r="P4435" t="n">
        <v>0</v>
      </c>
      <c r="Q4435" t="n">
        <v>0</v>
      </c>
      <c r="R4435" s="2" t="inlineStr"/>
    </row>
    <row r="4436" ht="15" customHeight="1">
      <c r="A4436" t="inlineStr">
        <is>
          <t>A 10790-2026</t>
        </is>
      </c>
      <c r="B4436" s="1" t="n">
        <v>46078</v>
      </c>
      <c r="C4436" s="1" t="n">
        <v>46086</v>
      </c>
      <c r="D4436" t="inlineStr">
        <is>
          <t>GÄVLEBORGS LÄN</t>
        </is>
      </c>
      <c r="E4436" t="inlineStr">
        <is>
          <t>BOLLNÄS</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11356-2026</t>
        </is>
      </c>
      <c r="B4437" s="1" t="n">
        <v>46083.33765046296</v>
      </c>
      <c r="C4437" s="1" t="n">
        <v>46086</v>
      </c>
      <c r="D4437" t="inlineStr">
        <is>
          <t>GÄVLEBORGS LÄN</t>
        </is>
      </c>
      <c r="E4437" t="inlineStr">
        <is>
          <t>BOLLNÄS</t>
        </is>
      </c>
      <c r="F4437" t="inlineStr">
        <is>
          <t>Bergvik skog väst AB</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11254-2026</t>
        </is>
      </c>
      <c r="B4438" s="1" t="n">
        <v>46080.5508449074</v>
      </c>
      <c r="C4438" s="1" t="n">
        <v>46086</v>
      </c>
      <c r="D4438" t="inlineStr">
        <is>
          <t>GÄVLEBORGS LÄN</t>
        </is>
      </c>
      <c r="E4438" t="inlineStr">
        <is>
          <t>SANDVIKEN</t>
        </is>
      </c>
      <c r="G4438" t="n">
        <v>12.1</v>
      </c>
      <c r="H4438" t="n">
        <v>0</v>
      </c>
      <c r="I4438" t="n">
        <v>0</v>
      </c>
      <c r="J4438" t="n">
        <v>0</v>
      </c>
      <c r="K4438" t="n">
        <v>0</v>
      </c>
      <c r="L4438" t="n">
        <v>0</v>
      </c>
      <c r="M4438" t="n">
        <v>0</v>
      </c>
      <c r="N4438" t="n">
        <v>0</v>
      </c>
      <c r="O4438" t="n">
        <v>0</v>
      </c>
      <c r="P4438" t="n">
        <v>0</v>
      </c>
      <c r="Q4438" t="n">
        <v>0</v>
      </c>
      <c r="R4438" s="2" t="inlineStr"/>
    </row>
    <row r="4439" ht="15" customHeight="1">
      <c r="A4439" t="inlineStr">
        <is>
          <t>A 43844-2025</t>
        </is>
      </c>
      <c r="B4439" s="1" t="n">
        <v>45912.63609953703</v>
      </c>
      <c r="C4439" s="1" t="n">
        <v>46086</v>
      </c>
      <c r="D4439" t="inlineStr">
        <is>
          <t>GÄVLEBORGS LÄN</t>
        </is>
      </c>
      <c r="E4439" t="inlineStr">
        <is>
          <t>BOLLNÄS</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11279-2026</t>
        </is>
      </c>
      <c r="B4440" s="1" t="n">
        <v>46080.58584490741</v>
      </c>
      <c r="C4440" s="1" t="n">
        <v>46086</v>
      </c>
      <c r="D4440" t="inlineStr">
        <is>
          <t>GÄVLEBORGS LÄN</t>
        </is>
      </c>
      <c r="E4440" t="inlineStr">
        <is>
          <t>HOFORS</t>
        </is>
      </c>
      <c r="F4440" t="inlineStr">
        <is>
          <t>Sveaskog</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2880-2026</t>
        </is>
      </c>
      <c r="B4441" s="1" t="n">
        <v>46038.53583333334</v>
      </c>
      <c r="C4441" s="1" t="n">
        <v>46086</v>
      </c>
      <c r="D4441" t="inlineStr">
        <is>
          <t>GÄVLEBORGS LÄN</t>
        </is>
      </c>
      <c r="E4441" t="inlineStr">
        <is>
          <t>NORDANSTIG</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44021-2025</t>
        </is>
      </c>
      <c r="B4442" s="1" t="n">
        <v>45915</v>
      </c>
      <c r="C4442" s="1" t="n">
        <v>46086</v>
      </c>
      <c r="D4442" t="inlineStr">
        <is>
          <t>GÄVLEBORGS LÄN</t>
        </is>
      </c>
      <c r="E4442" t="inlineStr">
        <is>
          <t>BOLLNÄS</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43843-2025</t>
        </is>
      </c>
      <c r="B4443" s="1" t="n">
        <v>45912.63606481482</v>
      </c>
      <c r="C4443" s="1" t="n">
        <v>46086</v>
      </c>
      <c r="D4443" t="inlineStr">
        <is>
          <t>GÄVLEBORGS LÄN</t>
        </is>
      </c>
      <c r="E4443" t="inlineStr">
        <is>
          <t>BOLLNÄS</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34276-2025</t>
        </is>
      </c>
      <c r="B4444" s="1" t="n">
        <v>45845.9084375</v>
      </c>
      <c r="C4444" s="1" t="n">
        <v>46086</v>
      </c>
      <c r="D4444" t="inlineStr">
        <is>
          <t>GÄVLEBORGS LÄN</t>
        </is>
      </c>
      <c r="E4444" t="inlineStr">
        <is>
          <t>LJUSDAL</t>
        </is>
      </c>
      <c r="F4444" t="inlineStr">
        <is>
          <t>Holmen skog AB</t>
        </is>
      </c>
      <c r="G4444" t="n">
        <v>33.7</v>
      </c>
      <c r="H4444" t="n">
        <v>0</v>
      </c>
      <c r="I4444" t="n">
        <v>0</v>
      </c>
      <c r="J4444" t="n">
        <v>0</v>
      </c>
      <c r="K4444" t="n">
        <v>0</v>
      </c>
      <c r="L4444" t="n">
        <v>0</v>
      </c>
      <c r="M4444" t="n">
        <v>0</v>
      </c>
      <c r="N4444" t="n">
        <v>0</v>
      </c>
      <c r="O4444" t="n">
        <v>0</v>
      </c>
      <c r="P4444" t="n">
        <v>0</v>
      </c>
      <c r="Q4444" t="n">
        <v>0</v>
      </c>
      <c r="R4444" s="2" t="inlineStr"/>
    </row>
    <row r="4445" ht="15" customHeight="1">
      <c r="A4445" t="inlineStr">
        <is>
          <t>A 11260-2026</t>
        </is>
      </c>
      <c r="B4445" s="1" t="n">
        <v>46080.55755787037</v>
      </c>
      <c r="C4445" s="1" t="n">
        <v>46086</v>
      </c>
      <c r="D4445" t="inlineStr">
        <is>
          <t>GÄVLEBORGS LÄN</t>
        </is>
      </c>
      <c r="E4445" t="inlineStr">
        <is>
          <t>SANDVIKEN</t>
        </is>
      </c>
      <c r="G4445" t="n">
        <v>4.8</v>
      </c>
      <c r="H4445" t="n">
        <v>0</v>
      </c>
      <c r="I4445" t="n">
        <v>0</v>
      </c>
      <c r="J4445" t="n">
        <v>0</v>
      </c>
      <c r="K4445" t="n">
        <v>0</v>
      </c>
      <c r="L4445" t="n">
        <v>0</v>
      </c>
      <c r="M4445" t="n">
        <v>0</v>
      </c>
      <c r="N4445" t="n">
        <v>0</v>
      </c>
      <c r="O4445" t="n">
        <v>0</v>
      </c>
      <c r="P4445" t="n">
        <v>0</v>
      </c>
      <c r="Q4445" t="n">
        <v>0</v>
      </c>
      <c r="R4445" s="2" t="inlineStr"/>
    </row>
    <row r="4446" ht="15" customHeight="1">
      <c r="A4446" t="inlineStr">
        <is>
          <t>A 43964-2025</t>
        </is>
      </c>
      <c r="B4446" s="1" t="n">
        <v>45915.39278935185</v>
      </c>
      <c r="C4446" s="1" t="n">
        <v>46086</v>
      </c>
      <c r="D4446" t="inlineStr">
        <is>
          <t>GÄVLEBORGS LÄN</t>
        </is>
      </c>
      <c r="E4446" t="inlineStr">
        <is>
          <t>GÄVLE</t>
        </is>
      </c>
      <c r="G4446" t="n">
        <v>5.2</v>
      </c>
      <c r="H4446" t="n">
        <v>0</v>
      </c>
      <c r="I4446" t="n">
        <v>0</v>
      </c>
      <c r="J4446" t="n">
        <v>0</v>
      </c>
      <c r="K4446" t="n">
        <v>0</v>
      </c>
      <c r="L4446" t="n">
        <v>0</v>
      </c>
      <c r="M4446" t="n">
        <v>0</v>
      </c>
      <c r="N4446" t="n">
        <v>0</v>
      </c>
      <c r="O4446" t="n">
        <v>0</v>
      </c>
      <c r="P4446" t="n">
        <v>0</v>
      </c>
      <c r="Q4446" t="n">
        <v>0</v>
      </c>
      <c r="R4446" s="2" t="inlineStr"/>
    </row>
    <row r="4447" ht="15" customHeight="1">
      <c r="A4447" t="inlineStr">
        <is>
          <t>A 34280-2025</t>
        </is>
      </c>
      <c r="B4447" s="1" t="n">
        <v>45846.26282407407</v>
      </c>
      <c r="C4447" s="1" t="n">
        <v>46086</v>
      </c>
      <c r="D4447" t="inlineStr">
        <is>
          <t>GÄVLEBORGS LÄN</t>
        </is>
      </c>
      <c r="E4447" t="inlineStr">
        <is>
          <t>SÖDERHAMN</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44200-2025</t>
        </is>
      </c>
      <c r="B4448" s="1" t="n">
        <v>45915.62230324074</v>
      </c>
      <c r="C4448" s="1" t="n">
        <v>46086</v>
      </c>
      <c r="D4448" t="inlineStr">
        <is>
          <t>GÄVLEBORGS LÄN</t>
        </is>
      </c>
      <c r="E4448" t="inlineStr">
        <is>
          <t>BOLLNÄS</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44201-2025</t>
        </is>
      </c>
      <c r="B4449" s="1" t="n">
        <v>45915.62305555555</v>
      </c>
      <c r="C4449" s="1" t="n">
        <v>46086</v>
      </c>
      <c r="D4449" t="inlineStr">
        <is>
          <t>GÄVLEBORGS LÄN</t>
        </is>
      </c>
      <c r="E4449" t="inlineStr">
        <is>
          <t>LJUSDAL</t>
        </is>
      </c>
      <c r="F4449" t="inlineStr">
        <is>
          <t>Sveaskog</t>
        </is>
      </c>
      <c r="G4449" t="n">
        <v>4.3</v>
      </c>
      <c r="H4449" t="n">
        <v>0</v>
      </c>
      <c r="I4449" t="n">
        <v>0</v>
      </c>
      <c r="J4449" t="n">
        <v>0</v>
      </c>
      <c r="K4449" t="n">
        <v>0</v>
      </c>
      <c r="L4449" t="n">
        <v>0</v>
      </c>
      <c r="M4449" t="n">
        <v>0</v>
      </c>
      <c r="N4449" t="n">
        <v>0</v>
      </c>
      <c r="O4449" t="n">
        <v>0</v>
      </c>
      <c r="P4449" t="n">
        <v>0</v>
      </c>
      <c r="Q4449" t="n">
        <v>0</v>
      </c>
      <c r="R4449" s="2" t="inlineStr"/>
    </row>
    <row r="4450" ht="15" customHeight="1">
      <c r="A4450" t="inlineStr">
        <is>
          <t>A 44205-2025</t>
        </is>
      </c>
      <c r="B4450" s="1" t="n">
        <v>45915</v>
      </c>
      <c r="C4450" s="1" t="n">
        <v>46086</v>
      </c>
      <c r="D4450" t="inlineStr">
        <is>
          <t>GÄVLEBORGS LÄN</t>
        </is>
      </c>
      <c r="E4450" t="inlineStr">
        <is>
          <t>BOLLNÄS</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34321-2025</t>
        </is>
      </c>
      <c r="B4451" s="1" t="n">
        <v>45846.42568287037</v>
      </c>
      <c r="C4451" s="1" t="n">
        <v>46086</v>
      </c>
      <c r="D4451" t="inlineStr">
        <is>
          <t>GÄVLEBORGS LÄN</t>
        </is>
      </c>
      <c r="E4451" t="inlineStr">
        <is>
          <t>OVANÅKER</t>
        </is>
      </c>
      <c r="F4451" t="inlineStr">
        <is>
          <t>Sveaskog</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43801-2025</t>
        </is>
      </c>
      <c r="B4452" s="1" t="n">
        <v>45912.5725</v>
      </c>
      <c r="C4452" s="1" t="n">
        <v>46086</v>
      </c>
      <c r="D4452" t="inlineStr">
        <is>
          <t>GÄVLEBORGS LÄN</t>
        </is>
      </c>
      <c r="E4452" t="inlineStr">
        <is>
          <t>LJUSDAL</t>
        </is>
      </c>
      <c r="G4452" t="n">
        <v>4</v>
      </c>
      <c r="H4452" t="n">
        <v>0</v>
      </c>
      <c r="I4452" t="n">
        <v>0</v>
      </c>
      <c r="J4452" t="n">
        <v>0</v>
      </c>
      <c r="K4452" t="n">
        <v>0</v>
      </c>
      <c r="L4452" t="n">
        <v>0</v>
      </c>
      <c r="M4452" t="n">
        <v>0</v>
      </c>
      <c r="N4452" t="n">
        <v>0</v>
      </c>
      <c r="O4452" t="n">
        <v>0</v>
      </c>
      <c r="P4452" t="n">
        <v>0</v>
      </c>
      <c r="Q4452" t="n">
        <v>0</v>
      </c>
      <c r="R4452" s="2" t="inlineStr"/>
    </row>
    <row r="4453" ht="15" customHeight="1">
      <c r="A4453" t="inlineStr">
        <is>
          <t>A 34311-2025</t>
        </is>
      </c>
      <c r="B4453" s="1" t="n">
        <v>45846.39252314815</v>
      </c>
      <c r="C4453" s="1" t="n">
        <v>46086</v>
      </c>
      <c r="D4453" t="inlineStr">
        <is>
          <t>GÄVLEBORGS LÄN</t>
        </is>
      </c>
      <c r="E4453" t="inlineStr">
        <is>
          <t>NORDANSTIG</t>
        </is>
      </c>
      <c r="F4453" t="inlineStr">
        <is>
          <t>Holmen skog AB</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11359-2026</t>
        </is>
      </c>
      <c r="B4454" s="1" t="n">
        <v>46083.34322916667</v>
      </c>
      <c r="C4454" s="1" t="n">
        <v>46086</v>
      </c>
      <c r="D4454" t="inlineStr">
        <is>
          <t>GÄVLEBORGS LÄN</t>
        </is>
      </c>
      <c r="E4454" t="inlineStr">
        <is>
          <t>HUDIKSVALL</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43715-2025</t>
        </is>
      </c>
      <c r="B4455" s="1" t="n">
        <v>45912.41341435185</v>
      </c>
      <c r="C4455" s="1" t="n">
        <v>46086</v>
      </c>
      <c r="D4455" t="inlineStr">
        <is>
          <t>GÄVLEBORGS LÄN</t>
        </is>
      </c>
      <c r="E4455" t="inlineStr">
        <is>
          <t>HUDIKSVALL</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43733-2025</t>
        </is>
      </c>
      <c r="B4456" s="1" t="n">
        <v>45912.43981481482</v>
      </c>
      <c r="C4456" s="1" t="n">
        <v>46086</v>
      </c>
      <c r="D4456" t="inlineStr">
        <is>
          <t>GÄVLEBORGS LÄN</t>
        </is>
      </c>
      <c r="E4456" t="inlineStr">
        <is>
          <t>LJUSDAL</t>
        </is>
      </c>
      <c r="F4456" t="inlineStr">
        <is>
          <t>Sveaskog</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43678-2025</t>
        </is>
      </c>
      <c r="B4457" s="1" t="n">
        <v>45912.36591435185</v>
      </c>
      <c r="C4457" s="1" t="n">
        <v>46086</v>
      </c>
      <c r="D4457" t="inlineStr">
        <is>
          <t>GÄVLEBORGS LÄN</t>
        </is>
      </c>
      <c r="E4457" t="inlineStr">
        <is>
          <t>HUDIKSVALL</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43718-2023</t>
        </is>
      </c>
      <c r="B4458" s="1" t="n">
        <v>45187.44440972222</v>
      </c>
      <c r="C4458" s="1" t="n">
        <v>46086</v>
      </c>
      <c r="D4458" t="inlineStr">
        <is>
          <t>GÄVLEBORGS LÄN</t>
        </is>
      </c>
      <c r="E4458" t="inlineStr">
        <is>
          <t>LJUSDAL</t>
        </is>
      </c>
      <c r="F4458" t="inlineStr">
        <is>
          <t>Sveaskog</t>
        </is>
      </c>
      <c r="G4458" t="n">
        <v>4.4</v>
      </c>
      <c r="H4458" t="n">
        <v>0</v>
      </c>
      <c r="I4458" t="n">
        <v>0</v>
      </c>
      <c r="J4458" t="n">
        <v>0</v>
      </c>
      <c r="K4458" t="n">
        <v>0</v>
      </c>
      <c r="L4458" t="n">
        <v>0</v>
      </c>
      <c r="M4458" t="n">
        <v>0</v>
      </c>
      <c r="N4458" t="n">
        <v>0</v>
      </c>
      <c r="O4458" t="n">
        <v>0</v>
      </c>
      <c r="P4458" t="n">
        <v>0</v>
      </c>
      <c r="Q4458" t="n">
        <v>0</v>
      </c>
      <c r="R4458" s="2" t="inlineStr"/>
    </row>
    <row r="4459" ht="15" customHeight="1">
      <c r="A4459" t="inlineStr">
        <is>
          <t>A 44195-2025</t>
        </is>
      </c>
      <c r="B4459" s="1" t="n">
        <v>45915.61612268518</v>
      </c>
      <c r="C4459" s="1" t="n">
        <v>46086</v>
      </c>
      <c r="D4459" t="inlineStr">
        <is>
          <t>GÄVLEBORGS LÄN</t>
        </is>
      </c>
      <c r="E4459" t="inlineStr">
        <is>
          <t>BOLLNÄS</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44209-2025</t>
        </is>
      </c>
      <c r="B4460" s="1" t="n">
        <v>45915</v>
      </c>
      <c r="C4460" s="1" t="n">
        <v>46086</v>
      </c>
      <c r="D4460" t="inlineStr">
        <is>
          <t>GÄVLEBORGS LÄN</t>
        </is>
      </c>
      <c r="E4460" t="inlineStr">
        <is>
          <t>BOLLNÄS</t>
        </is>
      </c>
      <c r="G4460" t="n">
        <v>14.7</v>
      </c>
      <c r="H4460" t="n">
        <v>0</v>
      </c>
      <c r="I4460" t="n">
        <v>0</v>
      </c>
      <c r="J4460" t="n">
        <v>0</v>
      </c>
      <c r="K4460" t="n">
        <v>0</v>
      </c>
      <c r="L4460" t="n">
        <v>0</v>
      </c>
      <c r="M4460" t="n">
        <v>0</v>
      </c>
      <c r="N4460" t="n">
        <v>0</v>
      </c>
      <c r="O4460" t="n">
        <v>0</v>
      </c>
      <c r="P4460" t="n">
        <v>0</v>
      </c>
      <c r="Q4460" t="n">
        <v>0</v>
      </c>
      <c r="R4460" s="2" t="inlineStr"/>
    </row>
    <row r="4461" ht="15" customHeight="1">
      <c r="A4461" t="inlineStr">
        <is>
          <t>A 34330-2025</t>
        </is>
      </c>
      <c r="B4461" s="1" t="n">
        <v>45846.44659722222</v>
      </c>
      <c r="C4461" s="1" t="n">
        <v>46086</v>
      </c>
      <c r="D4461" t="inlineStr">
        <is>
          <t>GÄVLEBORGS LÄN</t>
        </is>
      </c>
      <c r="E4461" t="inlineStr">
        <is>
          <t>LJUSDAL</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43700-2025</t>
        </is>
      </c>
      <c r="B4462" s="1" t="n">
        <v>45912.40079861111</v>
      </c>
      <c r="C4462" s="1" t="n">
        <v>46086</v>
      </c>
      <c r="D4462" t="inlineStr">
        <is>
          <t>GÄVLEBORGS LÄN</t>
        </is>
      </c>
      <c r="E4462" t="inlineStr">
        <is>
          <t>GÄVLE</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2730-2026</t>
        </is>
      </c>
      <c r="B4463" s="1" t="n">
        <v>46037</v>
      </c>
      <c r="C4463" s="1" t="n">
        <v>46086</v>
      </c>
      <c r="D4463" t="inlineStr">
        <is>
          <t>GÄVLEBORGS LÄN</t>
        </is>
      </c>
      <c r="E4463" t="inlineStr">
        <is>
          <t>SANDVIKEN</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2738-2026</t>
        </is>
      </c>
      <c r="B4464" s="1" t="n">
        <v>46038.27115740741</v>
      </c>
      <c r="C4464" s="1" t="n">
        <v>46086</v>
      </c>
      <c r="D4464" t="inlineStr">
        <is>
          <t>GÄVLEBORGS LÄN</t>
        </is>
      </c>
      <c r="E4464" t="inlineStr">
        <is>
          <t>OVANÅKER</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11284-2026</t>
        </is>
      </c>
      <c r="B4465" s="1" t="n">
        <v>46080.60015046296</v>
      </c>
      <c r="C4465" s="1" t="n">
        <v>46086</v>
      </c>
      <c r="D4465" t="inlineStr">
        <is>
          <t>GÄVLEBORGS LÄN</t>
        </is>
      </c>
      <c r="E4465" t="inlineStr">
        <is>
          <t>HOFORS</t>
        </is>
      </c>
      <c r="F4465" t="inlineStr">
        <is>
          <t>Sveaskog</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2811-2026</t>
        </is>
      </c>
      <c r="B4466" s="1" t="n">
        <v>46038.41928240741</v>
      </c>
      <c r="C4466" s="1" t="n">
        <v>46086</v>
      </c>
      <c r="D4466" t="inlineStr">
        <is>
          <t>GÄVLEBORGS LÄN</t>
        </is>
      </c>
      <c r="E4466" t="inlineStr">
        <is>
          <t>BOLLNÄS</t>
        </is>
      </c>
      <c r="G4466" t="n">
        <v>8.6</v>
      </c>
      <c r="H4466" t="n">
        <v>0</v>
      </c>
      <c r="I4466" t="n">
        <v>0</v>
      </c>
      <c r="J4466" t="n">
        <v>0</v>
      </c>
      <c r="K4466" t="n">
        <v>0</v>
      </c>
      <c r="L4466" t="n">
        <v>0</v>
      </c>
      <c r="M4466" t="n">
        <v>0</v>
      </c>
      <c r="N4466" t="n">
        <v>0</v>
      </c>
      <c r="O4466" t="n">
        <v>0</v>
      </c>
      <c r="P4466" t="n">
        <v>0</v>
      </c>
      <c r="Q4466" t="n">
        <v>0</v>
      </c>
      <c r="R4466" s="2" t="inlineStr"/>
    </row>
    <row r="4467" ht="15" customHeight="1">
      <c r="A4467" t="inlineStr">
        <is>
          <t>A 2813-2026</t>
        </is>
      </c>
      <c r="B4467" s="1" t="n">
        <v>46038.42204861111</v>
      </c>
      <c r="C4467" s="1" t="n">
        <v>46086</v>
      </c>
      <c r="D4467" t="inlineStr">
        <is>
          <t>GÄVLEBORGS LÄN</t>
        </is>
      </c>
      <c r="E4467" t="inlineStr">
        <is>
          <t>BOLLNÄS</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32959-2024</t>
        </is>
      </c>
      <c r="B4468" s="1" t="n">
        <v>45517</v>
      </c>
      <c r="C4468" s="1" t="n">
        <v>46086</v>
      </c>
      <c r="D4468" t="inlineStr">
        <is>
          <t>GÄVLEBORGS LÄN</t>
        </is>
      </c>
      <c r="E4468" t="inlineStr">
        <is>
          <t>HUDIKSVALL</t>
        </is>
      </c>
      <c r="F4468" t="inlineStr">
        <is>
          <t>Holmen skog AB</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293-2026</t>
        </is>
      </c>
      <c r="B4469" s="1" t="n">
        <v>46027</v>
      </c>
      <c r="C4469" s="1" t="n">
        <v>46086</v>
      </c>
      <c r="D4469" t="inlineStr">
        <is>
          <t>GÄVLEBORGS LÄN</t>
        </is>
      </c>
      <c r="E4469" t="inlineStr">
        <is>
          <t>OVANÅKER</t>
        </is>
      </c>
      <c r="G4469" t="n">
        <v>27.8</v>
      </c>
      <c r="H4469" t="n">
        <v>0</v>
      </c>
      <c r="I4469" t="n">
        <v>0</v>
      </c>
      <c r="J4469" t="n">
        <v>0</v>
      </c>
      <c r="K4469" t="n">
        <v>0</v>
      </c>
      <c r="L4469" t="n">
        <v>0</v>
      </c>
      <c r="M4469" t="n">
        <v>0</v>
      </c>
      <c r="N4469" t="n">
        <v>0</v>
      </c>
      <c r="O4469" t="n">
        <v>0</v>
      </c>
      <c r="P4469" t="n">
        <v>0</v>
      </c>
      <c r="Q4469" t="n">
        <v>0</v>
      </c>
      <c r="R4469" s="2" t="inlineStr"/>
    </row>
    <row r="4470" ht="15" customHeight="1">
      <c r="A4470" t="inlineStr">
        <is>
          <t>A 1062-2026</t>
        </is>
      </c>
      <c r="B4470" s="1" t="n">
        <v>46030</v>
      </c>
      <c r="C4470" s="1" t="n">
        <v>46086</v>
      </c>
      <c r="D4470" t="inlineStr">
        <is>
          <t>GÄVLEBORGS LÄN</t>
        </is>
      </c>
      <c r="E4470" t="inlineStr">
        <is>
          <t>SANDVIKEN</t>
        </is>
      </c>
      <c r="G4470" t="n">
        <v>10.2</v>
      </c>
      <c r="H4470" t="n">
        <v>0</v>
      </c>
      <c r="I4470" t="n">
        <v>0</v>
      </c>
      <c r="J4470" t="n">
        <v>0</v>
      </c>
      <c r="K4470" t="n">
        <v>0</v>
      </c>
      <c r="L4470" t="n">
        <v>0</v>
      </c>
      <c r="M4470" t="n">
        <v>0</v>
      </c>
      <c r="N4470" t="n">
        <v>0</v>
      </c>
      <c r="O4470" t="n">
        <v>0</v>
      </c>
      <c r="P4470" t="n">
        <v>0</v>
      </c>
      <c r="Q4470" t="n">
        <v>0</v>
      </c>
      <c r="R4470" s="2" t="inlineStr"/>
    </row>
    <row r="4471" ht="15" customHeight="1">
      <c r="A4471" t="inlineStr">
        <is>
          <t>A 1074-2026</t>
        </is>
      </c>
      <c r="B4471" s="1" t="n">
        <v>46030</v>
      </c>
      <c r="C4471" s="1" t="n">
        <v>46086</v>
      </c>
      <c r="D4471" t="inlineStr">
        <is>
          <t>GÄVLEBORGS LÄN</t>
        </is>
      </c>
      <c r="E4471" t="inlineStr">
        <is>
          <t>HUDIKSVALL</t>
        </is>
      </c>
      <c r="G4471" t="n">
        <v>4.9</v>
      </c>
      <c r="H4471" t="n">
        <v>0</v>
      </c>
      <c r="I4471" t="n">
        <v>0</v>
      </c>
      <c r="J4471" t="n">
        <v>0</v>
      </c>
      <c r="K4471" t="n">
        <v>0</v>
      </c>
      <c r="L4471" t="n">
        <v>0</v>
      </c>
      <c r="M4471" t="n">
        <v>0</v>
      </c>
      <c r="N4471" t="n">
        <v>0</v>
      </c>
      <c r="O4471" t="n">
        <v>0</v>
      </c>
      <c r="P4471" t="n">
        <v>0</v>
      </c>
      <c r="Q4471" t="n">
        <v>0</v>
      </c>
      <c r="R4471" s="2" t="inlineStr"/>
    </row>
    <row r="4472" ht="15" customHeight="1">
      <c r="A4472" t="inlineStr">
        <is>
          <t>A 8693-2024</t>
        </is>
      </c>
      <c r="B4472" s="1" t="n">
        <v>45356.36994212963</v>
      </c>
      <c r="C4472" s="1" t="n">
        <v>46086</v>
      </c>
      <c r="D4472" t="inlineStr">
        <is>
          <t>GÄVLEBORGS LÄN</t>
        </is>
      </c>
      <c r="E4472" t="inlineStr">
        <is>
          <t>GÄVLE</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804-2026</t>
        </is>
      </c>
      <c r="B4473" s="1" t="n">
        <v>46030</v>
      </c>
      <c r="C4473" s="1" t="n">
        <v>46086</v>
      </c>
      <c r="D4473" t="inlineStr">
        <is>
          <t>GÄVLEBORGS LÄN</t>
        </is>
      </c>
      <c r="E4473" t="inlineStr">
        <is>
          <t>SÖDERHAMN</t>
        </is>
      </c>
      <c r="G4473" t="n">
        <v>9.199999999999999</v>
      </c>
      <c r="H4473" t="n">
        <v>0</v>
      </c>
      <c r="I4473" t="n">
        <v>0</v>
      </c>
      <c r="J4473" t="n">
        <v>0</v>
      </c>
      <c r="K4473" t="n">
        <v>0</v>
      </c>
      <c r="L4473" t="n">
        <v>0</v>
      </c>
      <c r="M4473" t="n">
        <v>0</v>
      </c>
      <c r="N4473" t="n">
        <v>0</v>
      </c>
      <c r="O4473" t="n">
        <v>0</v>
      </c>
      <c r="P4473" t="n">
        <v>0</v>
      </c>
      <c r="Q4473" t="n">
        <v>0</v>
      </c>
      <c r="R4473" s="2" t="inlineStr"/>
    </row>
    <row r="4474" ht="15" customHeight="1">
      <c r="A4474" t="inlineStr">
        <is>
          <t>A 6483-2026</t>
        </is>
      </c>
      <c r="B4474" s="1" t="n">
        <v>46056</v>
      </c>
      <c r="C4474" s="1" t="n">
        <v>46086</v>
      </c>
      <c r="D4474" t="inlineStr">
        <is>
          <t>GÄVLEBORGS LÄN</t>
        </is>
      </c>
      <c r="E4474" t="inlineStr">
        <is>
          <t>LJUSDAL</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44538-2025</t>
        </is>
      </c>
      <c r="B4475" s="1" t="n">
        <v>45917.28050925926</v>
      </c>
      <c r="C4475" s="1" t="n">
        <v>46086</v>
      </c>
      <c r="D4475" t="inlineStr">
        <is>
          <t>GÄVLEBORGS LÄN</t>
        </is>
      </c>
      <c r="E4475" t="inlineStr">
        <is>
          <t>OVANÅKER</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44548-2025</t>
        </is>
      </c>
      <c r="B4476" s="1" t="n">
        <v>45917.33304398148</v>
      </c>
      <c r="C4476" s="1" t="n">
        <v>46086</v>
      </c>
      <c r="D4476" t="inlineStr">
        <is>
          <t>GÄVLEBORGS LÄN</t>
        </is>
      </c>
      <c r="E4476" t="inlineStr">
        <is>
          <t>OCKELBO</t>
        </is>
      </c>
      <c r="F4476" t="inlineStr">
        <is>
          <t>Bergvik skog väst AB</t>
        </is>
      </c>
      <c r="G4476" t="n">
        <v>17.3</v>
      </c>
      <c r="H4476" t="n">
        <v>0</v>
      </c>
      <c r="I4476" t="n">
        <v>0</v>
      </c>
      <c r="J4476" t="n">
        <v>0</v>
      </c>
      <c r="K4476" t="n">
        <v>0</v>
      </c>
      <c r="L4476" t="n">
        <v>0</v>
      </c>
      <c r="M4476" t="n">
        <v>0</v>
      </c>
      <c r="N4476" t="n">
        <v>0</v>
      </c>
      <c r="O4476" t="n">
        <v>0</v>
      </c>
      <c r="P4476" t="n">
        <v>0</v>
      </c>
      <c r="Q4476" t="n">
        <v>0</v>
      </c>
      <c r="R4476" s="2" t="inlineStr"/>
    </row>
    <row r="4477" ht="15" customHeight="1">
      <c r="A4477" t="inlineStr">
        <is>
          <t>A 7938-2026</t>
        </is>
      </c>
      <c r="B4477" s="1" t="n">
        <v>46063</v>
      </c>
      <c r="C4477" s="1" t="n">
        <v>46086</v>
      </c>
      <c r="D4477" t="inlineStr">
        <is>
          <t>GÄVLEBORGS LÄN</t>
        </is>
      </c>
      <c r="E4477" t="inlineStr">
        <is>
          <t>BOLLNÄS</t>
        </is>
      </c>
      <c r="F4477" t="inlineStr">
        <is>
          <t>Bergvik skog väst AB</t>
        </is>
      </c>
      <c r="G4477" t="n">
        <v>13.9</v>
      </c>
      <c r="H4477" t="n">
        <v>0</v>
      </c>
      <c r="I4477" t="n">
        <v>0</v>
      </c>
      <c r="J4477" t="n">
        <v>0</v>
      </c>
      <c r="K4477" t="n">
        <v>0</v>
      </c>
      <c r="L4477" t="n">
        <v>0</v>
      </c>
      <c r="M4477" t="n">
        <v>0</v>
      </c>
      <c r="N4477" t="n">
        <v>0</v>
      </c>
      <c r="O4477" t="n">
        <v>0</v>
      </c>
      <c r="P4477" t="n">
        <v>0</v>
      </c>
      <c r="Q4477" t="n">
        <v>0</v>
      </c>
      <c r="R4477" s="2" t="inlineStr"/>
    </row>
    <row r="4478" ht="15" customHeight="1">
      <c r="A4478" t="inlineStr">
        <is>
          <t>A 4197-2026</t>
        </is>
      </c>
      <c r="B4478" s="1" t="n">
        <v>46044</v>
      </c>
      <c r="C4478" s="1" t="n">
        <v>46086</v>
      </c>
      <c r="D4478" t="inlineStr">
        <is>
          <t>GÄVLEBORGS LÄN</t>
        </is>
      </c>
      <c r="E4478" t="inlineStr">
        <is>
          <t>OVANÅKER</t>
        </is>
      </c>
      <c r="G4478" t="n">
        <v>9.1</v>
      </c>
      <c r="H4478" t="n">
        <v>0</v>
      </c>
      <c r="I4478" t="n">
        <v>0</v>
      </c>
      <c r="J4478" t="n">
        <v>0</v>
      </c>
      <c r="K4478" t="n">
        <v>0</v>
      </c>
      <c r="L4478" t="n">
        <v>0</v>
      </c>
      <c r="M4478" t="n">
        <v>0</v>
      </c>
      <c r="N4478" t="n">
        <v>0</v>
      </c>
      <c r="O4478" t="n">
        <v>0</v>
      </c>
      <c r="P4478" t="n">
        <v>0</v>
      </c>
      <c r="Q4478" t="n">
        <v>0</v>
      </c>
      <c r="R4478" s="2" t="inlineStr"/>
    </row>
    <row r="4479" ht="15" customHeight="1">
      <c r="A4479" t="inlineStr">
        <is>
          <t>A 8487-2026</t>
        </is>
      </c>
      <c r="B4479" s="1" t="n">
        <v>46065</v>
      </c>
      <c r="C4479" s="1" t="n">
        <v>46086</v>
      </c>
      <c r="D4479" t="inlineStr">
        <is>
          <t>GÄVLEBORGS LÄN</t>
        </is>
      </c>
      <c r="E4479" t="inlineStr">
        <is>
          <t>OCKELBO</t>
        </is>
      </c>
      <c r="F4479" t="inlineStr">
        <is>
          <t>Bergvik skog väst AB</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44631-2025</t>
        </is>
      </c>
      <c r="B4480" s="1" t="n">
        <v>45917.48472222222</v>
      </c>
      <c r="C4480" s="1" t="n">
        <v>46086</v>
      </c>
      <c r="D4480" t="inlineStr">
        <is>
          <t>GÄVLEBORGS LÄN</t>
        </is>
      </c>
      <c r="E4480" t="inlineStr">
        <is>
          <t>HUDIKSVALL</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11494-2026</t>
        </is>
      </c>
      <c r="B4481" s="1" t="n">
        <v>46083.63780092593</v>
      </c>
      <c r="C4481" s="1" t="n">
        <v>46086</v>
      </c>
      <c r="D4481" t="inlineStr">
        <is>
          <t>GÄVLEBORGS LÄN</t>
        </is>
      </c>
      <c r="E4481" t="inlineStr">
        <is>
          <t>SANDVIKEN</t>
        </is>
      </c>
      <c r="F4481" t="inlineStr">
        <is>
          <t>Bergvik skog öst AB</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11517-2026</t>
        </is>
      </c>
      <c r="B4482" s="1" t="n">
        <v>46083.66458333333</v>
      </c>
      <c r="C4482" s="1" t="n">
        <v>46086</v>
      </c>
      <c r="D4482" t="inlineStr">
        <is>
          <t>GÄVLEBORGS LÄN</t>
        </is>
      </c>
      <c r="E4482" t="inlineStr">
        <is>
          <t>NORDANSTIG</t>
        </is>
      </c>
      <c r="F4482" t="inlineStr">
        <is>
          <t>Holmen skog AB</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34481-2025</t>
        </is>
      </c>
      <c r="B4483" s="1" t="n">
        <v>45847.37819444444</v>
      </c>
      <c r="C4483" s="1" t="n">
        <v>46086</v>
      </c>
      <c r="D4483" t="inlineStr">
        <is>
          <t>GÄVLEBORGS LÄN</t>
        </is>
      </c>
      <c r="E4483" t="inlineStr">
        <is>
          <t>BOLLNÄS</t>
        </is>
      </c>
      <c r="G4483" t="n">
        <v>0.3</v>
      </c>
      <c r="H4483" t="n">
        <v>0</v>
      </c>
      <c r="I4483" t="n">
        <v>0</v>
      </c>
      <c r="J4483" t="n">
        <v>0</v>
      </c>
      <c r="K4483" t="n">
        <v>0</v>
      </c>
      <c r="L4483" t="n">
        <v>0</v>
      </c>
      <c r="M4483" t="n">
        <v>0</v>
      </c>
      <c r="N4483" t="n">
        <v>0</v>
      </c>
      <c r="O4483" t="n">
        <v>0</v>
      </c>
      <c r="P4483" t="n">
        <v>0</v>
      </c>
      <c r="Q4483" t="n">
        <v>0</v>
      </c>
      <c r="R4483" s="2" t="inlineStr"/>
    </row>
    <row r="4484" ht="15" customHeight="1">
      <c r="A4484" t="inlineStr">
        <is>
          <t>A 34622-2025</t>
        </is>
      </c>
      <c r="B4484" s="1" t="n">
        <v>45847.72927083333</v>
      </c>
      <c r="C4484" s="1" t="n">
        <v>46086</v>
      </c>
      <c r="D4484" t="inlineStr">
        <is>
          <t>GÄVLEBORGS LÄN</t>
        </is>
      </c>
      <c r="E4484" t="inlineStr">
        <is>
          <t>HUDIKSVALL</t>
        </is>
      </c>
      <c r="F4484" t="inlineStr">
        <is>
          <t>Holmen skog AB</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11525-2026</t>
        </is>
      </c>
      <c r="B4485" s="1" t="n">
        <v>46083.67991898148</v>
      </c>
      <c r="C4485" s="1" t="n">
        <v>46086</v>
      </c>
      <c r="D4485" t="inlineStr">
        <is>
          <t>GÄVLEBORGS LÄN</t>
        </is>
      </c>
      <c r="E4485" t="inlineStr">
        <is>
          <t>GÄVLE</t>
        </is>
      </c>
      <c r="F4485" t="inlineStr">
        <is>
          <t>Bergvik skog öst AB</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8964-2026</t>
        </is>
      </c>
      <c r="B4486" s="1" t="n">
        <v>46069</v>
      </c>
      <c r="C4486" s="1" t="n">
        <v>46086</v>
      </c>
      <c r="D4486" t="inlineStr">
        <is>
          <t>GÄVLEBORGS LÄN</t>
        </is>
      </c>
      <c r="E4486" t="inlineStr">
        <is>
          <t>OCKELBO</t>
        </is>
      </c>
      <c r="F4486" t="inlineStr">
        <is>
          <t>Bergvik skog väst AB</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11210-2026</t>
        </is>
      </c>
      <c r="B4487" s="1" t="n">
        <v>46080.46190972222</v>
      </c>
      <c r="C4487" s="1" t="n">
        <v>46086</v>
      </c>
      <c r="D4487" t="inlineStr">
        <is>
          <t>GÄVLEBORGS LÄN</t>
        </is>
      </c>
      <c r="E4487" t="inlineStr">
        <is>
          <t>BOLLNÄS</t>
        </is>
      </c>
      <c r="G4487" t="n">
        <v>3.6</v>
      </c>
      <c r="H4487" t="n">
        <v>0</v>
      </c>
      <c r="I4487" t="n">
        <v>0</v>
      </c>
      <c r="J4487" t="n">
        <v>0</v>
      </c>
      <c r="K4487" t="n">
        <v>0</v>
      </c>
      <c r="L4487" t="n">
        <v>0</v>
      </c>
      <c r="M4487" t="n">
        <v>0</v>
      </c>
      <c r="N4487" t="n">
        <v>0</v>
      </c>
      <c r="O4487" t="n">
        <v>0</v>
      </c>
      <c r="P4487" t="n">
        <v>0</v>
      </c>
      <c r="Q4487" t="n">
        <v>0</v>
      </c>
      <c r="R4487" s="2" t="inlineStr"/>
    </row>
    <row r="4488" ht="15" customHeight="1">
      <c r="A4488" t="inlineStr">
        <is>
          <t>A 44650-2025</t>
        </is>
      </c>
      <c r="B4488" s="1" t="n">
        <v>45917</v>
      </c>
      <c r="C4488" s="1" t="n">
        <v>46086</v>
      </c>
      <c r="D4488" t="inlineStr">
        <is>
          <t>GÄVLEBORGS LÄN</t>
        </is>
      </c>
      <c r="E4488" t="inlineStr">
        <is>
          <t>BOLLNÄS</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34525-2025</t>
        </is>
      </c>
      <c r="B4489" s="1" t="n">
        <v>45847.47710648148</v>
      </c>
      <c r="C4489" s="1" t="n">
        <v>46086</v>
      </c>
      <c r="D4489" t="inlineStr">
        <is>
          <t>GÄVLEBORGS LÄN</t>
        </is>
      </c>
      <c r="E4489" t="inlineStr">
        <is>
          <t>SÖDERHAMN</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1073-2026</t>
        </is>
      </c>
      <c r="B4490" s="1" t="n">
        <v>46030</v>
      </c>
      <c r="C4490" s="1" t="n">
        <v>46086</v>
      </c>
      <c r="D4490" t="inlineStr">
        <is>
          <t>GÄVLEBORGS LÄN</t>
        </is>
      </c>
      <c r="E4490" t="inlineStr">
        <is>
          <t>HUDIKSVALL</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5174-2026</t>
        </is>
      </c>
      <c r="B4491" s="1" t="n">
        <v>46049</v>
      </c>
      <c r="C4491" s="1" t="n">
        <v>46086</v>
      </c>
      <c r="D4491" t="inlineStr">
        <is>
          <t>GÄVLEBORGS LÄN</t>
        </is>
      </c>
      <c r="E4491" t="inlineStr">
        <is>
          <t>OVANÅKER</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5883-2026</t>
        </is>
      </c>
      <c r="B4492" s="1" t="n">
        <v>46052</v>
      </c>
      <c r="C4492" s="1" t="n">
        <v>46086</v>
      </c>
      <c r="D4492" t="inlineStr">
        <is>
          <t>GÄVLEBORGS LÄN</t>
        </is>
      </c>
      <c r="E4492" t="inlineStr">
        <is>
          <t>LJUSDAL</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44332-2025</t>
        </is>
      </c>
      <c r="B4493" s="1" t="n">
        <v>45916.42255787037</v>
      </c>
      <c r="C4493" s="1" t="n">
        <v>46086</v>
      </c>
      <c r="D4493" t="inlineStr">
        <is>
          <t>GÄVLEBORGS LÄN</t>
        </is>
      </c>
      <c r="E4493" t="inlineStr">
        <is>
          <t>GÄVLE</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2905-2026</t>
        </is>
      </c>
      <c r="B4494" s="1" t="n">
        <v>46038.55922453704</v>
      </c>
      <c r="C4494" s="1" t="n">
        <v>46086</v>
      </c>
      <c r="D4494" t="inlineStr">
        <is>
          <t>GÄVLEBORGS LÄN</t>
        </is>
      </c>
      <c r="E4494" t="inlineStr">
        <is>
          <t>SANDVIKEN</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2925-2026</t>
        </is>
      </c>
      <c r="B4495" s="1" t="n">
        <v>46038</v>
      </c>
      <c r="C4495" s="1" t="n">
        <v>46086</v>
      </c>
      <c r="D4495" t="inlineStr">
        <is>
          <t>GÄVLEBORGS LÄN</t>
        </is>
      </c>
      <c r="E4495" t="inlineStr">
        <is>
          <t>BOLLNÄS</t>
        </is>
      </c>
      <c r="F4495" t="inlineStr">
        <is>
          <t>Bergvik skog väst AB</t>
        </is>
      </c>
      <c r="G4495" t="n">
        <v>17.1</v>
      </c>
      <c r="H4495" t="n">
        <v>0</v>
      </c>
      <c r="I4495" t="n">
        <v>0</v>
      </c>
      <c r="J4495" t="n">
        <v>0</v>
      </c>
      <c r="K4495" t="n">
        <v>0</v>
      </c>
      <c r="L4495" t="n">
        <v>0</v>
      </c>
      <c r="M4495" t="n">
        <v>0</v>
      </c>
      <c r="N4495" t="n">
        <v>0</v>
      </c>
      <c r="O4495" t="n">
        <v>0</v>
      </c>
      <c r="P4495" t="n">
        <v>0</v>
      </c>
      <c r="Q4495" t="n">
        <v>0</v>
      </c>
      <c r="R4495" s="2" t="inlineStr"/>
    </row>
    <row r="4496" ht="15" customHeight="1">
      <c r="A4496" t="inlineStr">
        <is>
          <t>A 44460-2025</t>
        </is>
      </c>
      <c r="B4496" s="1" t="n">
        <v>45916.61855324074</v>
      </c>
      <c r="C4496" s="1" t="n">
        <v>46086</v>
      </c>
      <c r="D4496" t="inlineStr">
        <is>
          <t>GÄVLEBORGS LÄN</t>
        </is>
      </c>
      <c r="E4496" t="inlineStr">
        <is>
          <t>LJUSDAL</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34560-2025</t>
        </is>
      </c>
      <c r="B4497" s="1" t="n">
        <v>45847.57548611111</v>
      </c>
      <c r="C4497" s="1" t="n">
        <v>46086</v>
      </c>
      <c r="D4497" t="inlineStr">
        <is>
          <t>GÄVLEBORGS LÄN</t>
        </is>
      </c>
      <c r="E4497" t="inlineStr">
        <is>
          <t>BOLLNÄS</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2935-2026</t>
        </is>
      </c>
      <c r="B4498" s="1" t="n">
        <v>46038</v>
      </c>
      <c r="C4498" s="1" t="n">
        <v>46086</v>
      </c>
      <c r="D4498" t="inlineStr">
        <is>
          <t>GÄVLEBORGS LÄN</t>
        </is>
      </c>
      <c r="E4498" t="inlineStr">
        <is>
          <t>BOLLNÄS</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51989-2023</t>
        </is>
      </c>
      <c r="B4499" s="1" t="n">
        <v>45223.58224537037</v>
      </c>
      <c r="C4499" s="1" t="n">
        <v>46086</v>
      </c>
      <c r="D4499" t="inlineStr">
        <is>
          <t>GÄVLEBORGS LÄN</t>
        </is>
      </c>
      <c r="E4499" t="inlineStr">
        <is>
          <t>OCKELBO</t>
        </is>
      </c>
      <c r="F4499" t="inlineStr">
        <is>
          <t>Bergvik skog väst AB</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65879-2021</t>
        </is>
      </c>
      <c r="B4500" s="1" t="n">
        <v>44517</v>
      </c>
      <c r="C4500" s="1" t="n">
        <v>46086</v>
      </c>
      <c r="D4500" t="inlineStr">
        <is>
          <t>GÄVLEBORGS LÄN</t>
        </is>
      </c>
      <c r="E4500" t="inlineStr">
        <is>
          <t>GÄVLE</t>
        </is>
      </c>
      <c r="F4500" t="inlineStr">
        <is>
          <t>Kyrkan</t>
        </is>
      </c>
      <c r="G4500" t="n">
        <v>5.6</v>
      </c>
      <c r="H4500" t="n">
        <v>0</v>
      </c>
      <c r="I4500" t="n">
        <v>0</v>
      </c>
      <c r="J4500" t="n">
        <v>0</v>
      </c>
      <c r="K4500" t="n">
        <v>0</v>
      </c>
      <c r="L4500" t="n">
        <v>0</v>
      </c>
      <c r="M4500" t="n">
        <v>0</v>
      </c>
      <c r="N4500" t="n">
        <v>0</v>
      </c>
      <c r="O4500" t="n">
        <v>0</v>
      </c>
      <c r="P4500" t="n">
        <v>0</v>
      </c>
      <c r="Q4500" t="n">
        <v>0</v>
      </c>
      <c r="R4500" s="2" t="inlineStr"/>
    </row>
    <row r="4501" ht="15" customHeight="1">
      <c r="A4501" t="inlineStr">
        <is>
          <t>A 2858-2026</t>
        </is>
      </c>
      <c r="B4501" s="1" t="n">
        <v>46038.48903935185</v>
      </c>
      <c r="C4501" s="1" t="n">
        <v>46086</v>
      </c>
      <c r="D4501" t="inlineStr">
        <is>
          <t>GÄVLEBORGS LÄN</t>
        </is>
      </c>
      <c r="E4501" t="inlineStr">
        <is>
          <t>OCKELBO</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2862-2026</t>
        </is>
      </c>
      <c r="B4502" s="1" t="n">
        <v>46038</v>
      </c>
      <c r="C4502" s="1" t="n">
        <v>46086</v>
      </c>
      <c r="D4502" t="inlineStr">
        <is>
          <t>GÄVLEBORGS LÄN</t>
        </is>
      </c>
      <c r="E4502" t="inlineStr">
        <is>
          <t>NORDANSTIG</t>
        </is>
      </c>
      <c r="G4502" t="n">
        <v>4.4</v>
      </c>
      <c r="H4502" t="n">
        <v>0</v>
      </c>
      <c r="I4502" t="n">
        <v>0</v>
      </c>
      <c r="J4502" t="n">
        <v>0</v>
      </c>
      <c r="K4502" t="n">
        <v>0</v>
      </c>
      <c r="L4502" t="n">
        <v>0</v>
      </c>
      <c r="M4502" t="n">
        <v>0</v>
      </c>
      <c r="N4502" t="n">
        <v>0</v>
      </c>
      <c r="O4502" t="n">
        <v>0</v>
      </c>
      <c r="P4502" t="n">
        <v>0</v>
      </c>
      <c r="Q4502" t="n">
        <v>0</v>
      </c>
      <c r="R4502" s="2" t="inlineStr"/>
    </row>
    <row r="4503" ht="15" customHeight="1">
      <c r="A4503" t="inlineStr">
        <is>
          <t>A 2870-2026</t>
        </is>
      </c>
      <c r="B4503" s="1" t="n">
        <v>46038.50555555556</v>
      </c>
      <c r="C4503" s="1" t="n">
        <v>46086</v>
      </c>
      <c r="D4503" t="inlineStr">
        <is>
          <t>GÄVLEBORGS LÄN</t>
        </is>
      </c>
      <c r="E4503" t="inlineStr">
        <is>
          <t>OVANÅKER</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2875-2026</t>
        </is>
      </c>
      <c r="B4504" s="1" t="n">
        <v>46038</v>
      </c>
      <c r="C4504" s="1" t="n">
        <v>46086</v>
      </c>
      <c r="D4504" t="inlineStr">
        <is>
          <t>GÄVLEBORGS LÄN</t>
        </is>
      </c>
      <c r="E4504" t="inlineStr">
        <is>
          <t>OCKELBO</t>
        </is>
      </c>
      <c r="F4504" t="inlineStr">
        <is>
          <t>Bergvik skog väst AB</t>
        </is>
      </c>
      <c r="G4504" t="n">
        <v>11.4</v>
      </c>
      <c r="H4504" t="n">
        <v>0</v>
      </c>
      <c r="I4504" t="n">
        <v>0</v>
      </c>
      <c r="J4504" t="n">
        <v>0</v>
      </c>
      <c r="K4504" t="n">
        <v>0</v>
      </c>
      <c r="L4504" t="n">
        <v>0</v>
      </c>
      <c r="M4504" t="n">
        <v>0</v>
      </c>
      <c r="N4504" t="n">
        <v>0</v>
      </c>
      <c r="O4504" t="n">
        <v>0</v>
      </c>
      <c r="P4504" t="n">
        <v>0</v>
      </c>
      <c r="Q4504" t="n">
        <v>0</v>
      </c>
      <c r="R4504" s="2" t="inlineStr"/>
    </row>
    <row r="4505" ht="15" customHeight="1">
      <c r="A4505" t="inlineStr">
        <is>
          <t>A 44445-2025</t>
        </is>
      </c>
      <c r="B4505" s="1" t="n">
        <v>45916.59761574074</v>
      </c>
      <c r="C4505" s="1" t="n">
        <v>46086</v>
      </c>
      <c r="D4505" t="inlineStr">
        <is>
          <t>GÄVLEBORGS LÄN</t>
        </is>
      </c>
      <c r="E4505" t="inlineStr">
        <is>
          <t>LJUSDAL</t>
        </is>
      </c>
      <c r="F4505" t="inlineStr">
        <is>
          <t>Sveaskog</t>
        </is>
      </c>
      <c r="G4505" t="n">
        <v>4.4</v>
      </c>
      <c r="H4505" t="n">
        <v>0</v>
      </c>
      <c r="I4505" t="n">
        <v>0</v>
      </c>
      <c r="J4505" t="n">
        <v>0</v>
      </c>
      <c r="K4505" t="n">
        <v>0</v>
      </c>
      <c r="L4505" t="n">
        <v>0</v>
      </c>
      <c r="M4505" t="n">
        <v>0</v>
      </c>
      <c r="N4505" t="n">
        <v>0</v>
      </c>
      <c r="O4505" t="n">
        <v>0</v>
      </c>
      <c r="P4505" t="n">
        <v>0</v>
      </c>
      <c r="Q4505" t="n">
        <v>0</v>
      </c>
      <c r="R4505" s="2" t="inlineStr"/>
    </row>
    <row r="4506" ht="15" customHeight="1">
      <c r="A4506" t="inlineStr">
        <is>
          <t>A 2910-2026</t>
        </is>
      </c>
      <c r="B4506" s="1" t="n">
        <v>46038.56599537037</v>
      </c>
      <c r="C4506" s="1" t="n">
        <v>46086</v>
      </c>
      <c r="D4506" t="inlineStr">
        <is>
          <t>GÄVLEBORGS LÄN</t>
        </is>
      </c>
      <c r="E4506" t="inlineStr">
        <is>
          <t>BOLLNÄS</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2912-2026</t>
        </is>
      </c>
      <c r="B4507" s="1" t="n">
        <v>46038.56696759259</v>
      </c>
      <c r="C4507" s="1" t="n">
        <v>46086</v>
      </c>
      <c r="D4507" t="inlineStr">
        <is>
          <t>GÄVLEBORGS LÄN</t>
        </is>
      </c>
      <c r="E4507" t="inlineStr">
        <is>
          <t>OVANÅKER</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2923-2026</t>
        </is>
      </c>
      <c r="B4508" s="1" t="n">
        <v>46038.57928240741</v>
      </c>
      <c r="C4508" s="1" t="n">
        <v>46086</v>
      </c>
      <c r="D4508" t="inlineStr">
        <is>
          <t>GÄVLEBORGS LÄN</t>
        </is>
      </c>
      <c r="E4508" t="inlineStr">
        <is>
          <t>OCKELBO</t>
        </is>
      </c>
      <c r="G4508" t="n">
        <v>2.8</v>
      </c>
      <c r="H4508" t="n">
        <v>0</v>
      </c>
      <c r="I4508" t="n">
        <v>0</v>
      </c>
      <c r="J4508" t="n">
        <v>0</v>
      </c>
      <c r="K4508" t="n">
        <v>0</v>
      </c>
      <c r="L4508" t="n">
        <v>0</v>
      </c>
      <c r="M4508" t="n">
        <v>0</v>
      </c>
      <c r="N4508" t="n">
        <v>0</v>
      </c>
      <c r="O4508" t="n">
        <v>0</v>
      </c>
      <c r="P4508" t="n">
        <v>0</v>
      </c>
      <c r="Q4508" t="n">
        <v>0</v>
      </c>
      <c r="R4508" s="2" t="inlineStr"/>
      <c r="U4508">
        <f>HYPERLINK("https://klasma.github.io/Logging_2101/knärot/A 2923-2026 karta knärot.png", "A 2923-2026")</f>
        <v/>
      </c>
      <c r="V4508">
        <f>HYPERLINK("https://klasma.github.io/Logging_2101/klagomål/A 2923-2026 FSC-klagomål.docx", "A 2923-2026")</f>
        <v/>
      </c>
      <c r="W4508">
        <f>HYPERLINK("https://klasma.github.io/Logging_2101/klagomålsmail/A 2923-2026 FSC-klagomål mail.docx", "A 2923-2026")</f>
        <v/>
      </c>
      <c r="X4508">
        <f>HYPERLINK("https://klasma.github.io/Logging_2101/tillsyn/A 2923-2026 tillsynsbegäran.docx", "A 2923-2026")</f>
        <v/>
      </c>
      <c r="Y4508">
        <f>HYPERLINK("https://klasma.github.io/Logging_2101/tillsynsmail/A 2923-2026 tillsynsbegäran mail.docx", "A 2923-2026")</f>
        <v/>
      </c>
    </row>
    <row r="4509" ht="15" customHeight="1">
      <c r="A4509" t="inlineStr">
        <is>
          <t>A 2938-2026</t>
        </is>
      </c>
      <c r="B4509" s="1" t="n">
        <v>46038</v>
      </c>
      <c r="C4509" s="1" t="n">
        <v>46086</v>
      </c>
      <c r="D4509" t="inlineStr">
        <is>
          <t>GÄVLEBORGS LÄN</t>
        </is>
      </c>
      <c r="E4509" t="inlineStr">
        <is>
          <t>BOLLNÄS</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2940-2026</t>
        </is>
      </c>
      <c r="B4510" s="1" t="n">
        <v>46038.58991898148</v>
      </c>
      <c r="C4510" s="1" t="n">
        <v>46086</v>
      </c>
      <c r="D4510" t="inlineStr">
        <is>
          <t>GÄVLEBORGS LÄN</t>
        </is>
      </c>
      <c r="E4510" t="inlineStr">
        <is>
          <t>SANDVIKEN</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2984-2026</t>
        </is>
      </c>
      <c r="B4511" s="1" t="n">
        <v>46038</v>
      </c>
      <c r="C4511" s="1" t="n">
        <v>46086</v>
      </c>
      <c r="D4511" t="inlineStr">
        <is>
          <t>GÄVLEBORGS LÄN</t>
        </is>
      </c>
      <c r="E4511" t="inlineStr">
        <is>
          <t>BOLLNÄS</t>
        </is>
      </c>
      <c r="F4511" t="inlineStr">
        <is>
          <t>Bergvik skog väst AB</t>
        </is>
      </c>
      <c r="G4511" t="n">
        <v>37.5</v>
      </c>
      <c r="H4511" t="n">
        <v>0</v>
      </c>
      <c r="I4511" t="n">
        <v>0</v>
      </c>
      <c r="J4511" t="n">
        <v>0</v>
      </c>
      <c r="K4511" t="n">
        <v>0</v>
      </c>
      <c r="L4511" t="n">
        <v>0</v>
      </c>
      <c r="M4511" t="n">
        <v>0</v>
      </c>
      <c r="N4511" t="n">
        <v>0</v>
      </c>
      <c r="O4511" t="n">
        <v>0</v>
      </c>
      <c r="P4511" t="n">
        <v>0</v>
      </c>
      <c r="Q4511" t="n">
        <v>0</v>
      </c>
      <c r="R4511" s="2" t="inlineStr"/>
    </row>
    <row r="4512" ht="15" customHeight="1">
      <c r="A4512" t="inlineStr">
        <is>
          <t>A 2985-2026</t>
        </is>
      </c>
      <c r="B4512" s="1" t="n">
        <v>46038</v>
      </c>
      <c r="C4512" s="1" t="n">
        <v>46086</v>
      </c>
      <c r="D4512" t="inlineStr">
        <is>
          <t>GÄVLEBORGS LÄN</t>
        </is>
      </c>
      <c r="E4512" t="inlineStr">
        <is>
          <t>BOLLNÄS</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34287-2025</t>
        </is>
      </c>
      <c r="B4513" s="1" t="n">
        <v>45846.32989583333</v>
      </c>
      <c r="C4513" s="1" t="n">
        <v>46086</v>
      </c>
      <c r="D4513" t="inlineStr">
        <is>
          <t>GÄVLEBORGS LÄN</t>
        </is>
      </c>
      <c r="E4513" t="inlineStr">
        <is>
          <t>NORDANSTIG</t>
        </is>
      </c>
      <c r="F4513" t="inlineStr">
        <is>
          <t>Holmen skog AB</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3156-2026</t>
        </is>
      </c>
      <c r="B4514" s="1" t="n">
        <v>46041.42920138889</v>
      </c>
      <c r="C4514" s="1" t="n">
        <v>46086</v>
      </c>
      <c r="D4514" t="inlineStr">
        <is>
          <t>GÄVLEBORGS LÄN</t>
        </is>
      </c>
      <c r="E4514" t="inlineStr">
        <is>
          <t>GÄVLE</t>
        </is>
      </c>
      <c r="G4514" t="n">
        <v>9.699999999999999</v>
      </c>
      <c r="H4514" t="n">
        <v>0</v>
      </c>
      <c r="I4514" t="n">
        <v>0</v>
      </c>
      <c r="J4514" t="n">
        <v>0</v>
      </c>
      <c r="K4514" t="n">
        <v>0</v>
      </c>
      <c r="L4514" t="n">
        <v>0</v>
      </c>
      <c r="M4514" t="n">
        <v>0</v>
      </c>
      <c r="N4514" t="n">
        <v>0</v>
      </c>
      <c r="O4514" t="n">
        <v>0</v>
      </c>
      <c r="P4514" t="n">
        <v>0</v>
      </c>
      <c r="Q4514" t="n">
        <v>0</v>
      </c>
      <c r="R4514" s="2" t="inlineStr"/>
    </row>
    <row r="4515" ht="15" customHeight="1">
      <c r="A4515" t="inlineStr">
        <is>
          <t>A 3158-2026</t>
        </is>
      </c>
      <c r="B4515" s="1" t="n">
        <v>46041.43284722222</v>
      </c>
      <c r="C4515" s="1" t="n">
        <v>46086</v>
      </c>
      <c r="D4515" t="inlineStr">
        <is>
          <t>GÄVLEBORGS LÄN</t>
        </is>
      </c>
      <c r="E4515" t="inlineStr">
        <is>
          <t>GÄVLE</t>
        </is>
      </c>
      <c r="G4515" t="n">
        <v>15.3</v>
      </c>
      <c r="H4515" t="n">
        <v>0</v>
      </c>
      <c r="I4515" t="n">
        <v>0</v>
      </c>
      <c r="J4515" t="n">
        <v>0</v>
      </c>
      <c r="K4515" t="n">
        <v>0</v>
      </c>
      <c r="L4515" t="n">
        <v>0</v>
      </c>
      <c r="M4515" t="n">
        <v>0</v>
      </c>
      <c r="N4515" t="n">
        <v>0</v>
      </c>
      <c r="O4515" t="n">
        <v>0</v>
      </c>
      <c r="P4515" t="n">
        <v>0</v>
      </c>
      <c r="Q4515" t="n">
        <v>0</v>
      </c>
      <c r="R4515" s="2" t="inlineStr"/>
    </row>
    <row r="4516" ht="15" customHeight="1">
      <c r="A4516" t="inlineStr">
        <is>
          <t>A 3166-2026</t>
        </is>
      </c>
      <c r="B4516" s="1" t="n">
        <v>46041.43858796296</v>
      </c>
      <c r="C4516" s="1" t="n">
        <v>46086</v>
      </c>
      <c r="D4516" t="inlineStr">
        <is>
          <t>GÄVLEBORGS LÄN</t>
        </is>
      </c>
      <c r="E4516" t="inlineStr">
        <is>
          <t>OVANÅKER</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34553-2025</t>
        </is>
      </c>
      <c r="B4517" s="1" t="n">
        <v>45847.5684375</v>
      </c>
      <c r="C4517" s="1" t="n">
        <v>46086</v>
      </c>
      <c r="D4517" t="inlineStr">
        <is>
          <t>GÄVLEBORGS LÄN</t>
        </is>
      </c>
      <c r="E4517" t="inlineStr">
        <is>
          <t>BOLLNÄS</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34515-2025</t>
        </is>
      </c>
      <c r="B4518" s="1" t="n">
        <v>45847.46365740741</v>
      </c>
      <c r="C4518" s="1" t="n">
        <v>46086</v>
      </c>
      <c r="D4518" t="inlineStr">
        <is>
          <t>GÄVLEBORGS LÄN</t>
        </is>
      </c>
      <c r="E4518" t="inlineStr">
        <is>
          <t>BOLLNÄS</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3170-2026</t>
        </is>
      </c>
      <c r="B4519" s="1" t="n">
        <v>46041.44133101852</v>
      </c>
      <c r="C4519" s="1" t="n">
        <v>46086</v>
      </c>
      <c r="D4519" t="inlineStr">
        <is>
          <t>GÄVLEBORGS LÄN</t>
        </is>
      </c>
      <c r="E4519" t="inlineStr">
        <is>
          <t>HUDIKSVALL</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3221-2026</t>
        </is>
      </c>
      <c r="B4520" s="1" t="n">
        <v>46041.52872685185</v>
      </c>
      <c r="C4520" s="1" t="n">
        <v>46086</v>
      </c>
      <c r="D4520" t="inlineStr">
        <is>
          <t>GÄVLEBORGS LÄN</t>
        </is>
      </c>
      <c r="E4520" t="inlineStr">
        <is>
          <t>BOLLNÄS</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44550-2025</t>
        </is>
      </c>
      <c r="B4521" s="1" t="n">
        <v>45917.33612268518</v>
      </c>
      <c r="C4521" s="1" t="n">
        <v>46086</v>
      </c>
      <c r="D4521" t="inlineStr">
        <is>
          <t>GÄVLEBORGS LÄN</t>
        </is>
      </c>
      <c r="E4521" t="inlineStr">
        <is>
          <t>LJUSDAL</t>
        </is>
      </c>
      <c r="G4521" t="n">
        <v>4.7</v>
      </c>
      <c r="H4521" t="n">
        <v>0</v>
      </c>
      <c r="I4521" t="n">
        <v>0</v>
      </c>
      <c r="J4521" t="n">
        <v>0</v>
      </c>
      <c r="K4521" t="n">
        <v>0</v>
      </c>
      <c r="L4521" t="n">
        <v>0</v>
      </c>
      <c r="M4521" t="n">
        <v>0</v>
      </c>
      <c r="N4521" t="n">
        <v>0</v>
      </c>
      <c r="O4521" t="n">
        <v>0</v>
      </c>
      <c r="P4521" t="n">
        <v>0</v>
      </c>
      <c r="Q4521" t="n">
        <v>0</v>
      </c>
      <c r="R4521" s="2" t="inlineStr"/>
    </row>
    <row r="4522" ht="15" customHeight="1">
      <c r="A4522" t="inlineStr">
        <is>
          <t>A 12550-2025</t>
        </is>
      </c>
      <c r="B4522" s="1" t="n">
        <v>45731.31880787037</v>
      </c>
      <c r="C4522" s="1" t="n">
        <v>46086</v>
      </c>
      <c r="D4522" t="inlineStr">
        <is>
          <t>GÄVLEBORGS LÄN</t>
        </is>
      </c>
      <c r="E4522" t="inlineStr">
        <is>
          <t>OVANÅKER</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37367-2024</t>
        </is>
      </c>
      <c r="B4523" s="1" t="n">
        <v>45540.56363425926</v>
      </c>
      <c r="C4523" s="1" t="n">
        <v>46086</v>
      </c>
      <c r="D4523" t="inlineStr">
        <is>
          <t>GÄVLEBORGS LÄN</t>
        </is>
      </c>
      <c r="E4523" t="inlineStr">
        <is>
          <t>SANDVIKEN</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3329-2026</t>
        </is>
      </c>
      <c r="B4524" s="1" t="n">
        <v>46041</v>
      </c>
      <c r="C4524" s="1" t="n">
        <v>46086</v>
      </c>
      <c r="D4524" t="inlineStr">
        <is>
          <t>GÄVLEBORGS LÄN</t>
        </is>
      </c>
      <c r="E4524" t="inlineStr">
        <is>
          <t>SÖDERHAMN</t>
        </is>
      </c>
      <c r="G4524" t="n">
        <v>5.3</v>
      </c>
      <c r="H4524" t="n">
        <v>0</v>
      </c>
      <c r="I4524" t="n">
        <v>0</v>
      </c>
      <c r="J4524" t="n">
        <v>0</v>
      </c>
      <c r="K4524" t="n">
        <v>0</v>
      </c>
      <c r="L4524" t="n">
        <v>0</v>
      </c>
      <c r="M4524" t="n">
        <v>0</v>
      </c>
      <c r="N4524" t="n">
        <v>0</v>
      </c>
      <c r="O4524" t="n">
        <v>0</v>
      </c>
      <c r="P4524" t="n">
        <v>0</v>
      </c>
      <c r="Q4524" t="n">
        <v>0</v>
      </c>
      <c r="R4524" s="2" t="inlineStr"/>
    </row>
    <row r="4525" ht="15" customHeight="1">
      <c r="A4525" t="inlineStr">
        <is>
          <t>A 44591-2025</t>
        </is>
      </c>
      <c r="B4525" s="1" t="n">
        <v>45917.42732638889</v>
      </c>
      <c r="C4525" s="1" t="n">
        <v>46086</v>
      </c>
      <c r="D4525" t="inlineStr">
        <is>
          <t>GÄVLEBORGS LÄN</t>
        </is>
      </c>
      <c r="E4525" t="inlineStr">
        <is>
          <t>NORDANSTIG</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2863-2026</t>
        </is>
      </c>
      <c r="B4526" s="1" t="n">
        <v>46038.49546296296</v>
      </c>
      <c r="C4526" s="1" t="n">
        <v>46086</v>
      </c>
      <c r="D4526" t="inlineStr">
        <is>
          <t>GÄVLEBORGS LÄN</t>
        </is>
      </c>
      <c r="E4526" t="inlineStr">
        <is>
          <t>OVANÅKER</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2886-2026</t>
        </is>
      </c>
      <c r="B4527" s="1" t="n">
        <v>46038.5428125</v>
      </c>
      <c r="C4527" s="1" t="n">
        <v>46086</v>
      </c>
      <c r="D4527" t="inlineStr">
        <is>
          <t>GÄVLEBORGS LÄN</t>
        </is>
      </c>
      <c r="E4527" t="inlineStr">
        <is>
          <t>SANDVIKEN</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11332-2026</t>
        </is>
      </c>
      <c r="B4528" s="1" t="n">
        <v>46082.39565972222</v>
      </c>
      <c r="C4528" s="1" t="n">
        <v>46086</v>
      </c>
      <c r="D4528" t="inlineStr">
        <is>
          <t>GÄVLEBORGS LÄN</t>
        </is>
      </c>
      <c r="E4528" t="inlineStr">
        <is>
          <t>BOLLNÄS</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44398-2025</t>
        </is>
      </c>
      <c r="B4529" s="1" t="n">
        <v>45916.50204861111</v>
      </c>
      <c r="C4529" s="1" t="n">
        <v>46086</v>
      </c>
      <c r="D4529" t="inlineStr">
        <is>
          <t>GÄVLEBORGS LÄN</t>
        </is>
      </c>
      <c r="E4529" t="inlineStr">
        <is>
          <t>OVANÅKER</t>
        </is>
      </c>
      <c r="G4529" t="n">
        <v>9.199999999999999</v>
      </c>
      <c r="H4529" t="n">
        <v>0</v>
      </c>
      <c r="I4529" t="n">
        <v>0</v>
      </c>
      <c r="J4529" t="n">
        <v>0</v>
      </c>
      <c r="K4529" t="n">
        <v>0</v>
      </c>
      <c r="L4529" t="n">
        <v>0</v>
      </c>
      <c r="M4529" t="n">
        <v>0</v>
      </c>
      <c r="N4529" t="n">
        <v>0</v>
      </c>
      <c r="O4529" t="n">
        <v>0</v>
      </c>
      <c r="P4529" t="n">
        <v>0</v>
      </c>
      <c r="Q4529" t="n">
        <v>0</v>
      </c>
      <c r="R4529" s="2" t="inlineStr"/>
    </row>
    <row r="4530" ht="15" customHeight="1">
      <c r="A4530" t="inlineStr">
        <is>
          <t>A 34694-2025</t>
        </is>
      </c>
      <c r="B4530" s="1" t="n">
        <v>45848.45990740741</v>
      </c>
      <c r="C4530" s="1" t="n">
        <v>46086</v>
      </c>
      <c r="D4530" t="inlineStr">
        <is>
          <t>GÄVLEBORGS LÄN</t>
        </is>
      </c>
      <c r="E4530" t="inlineStr">
        <is>
          <t>NORDANSTIG</t>
        </is>
      </c>
      <c r="F4530" t="inlineStr">
        <is>
          <t>Holmen skog AB</t>
        </is>
      </c>
      <c r="G4530" t="n">
        <v>6</v>
      </c>
      <c r="H4530" t="n">
        <v>0</v>
      </c>
      <c r="I4530" t="n">
        <v>0</v>
      </c>
      <c r="J4530" t="n">
        <v>0</v>
      </c>
      <c r="K4530" t="n">
        <v>0</v>
      </c>
      <c r="L4530" t="n">
        <v>0</v>
      </c>
      <c r="M4530" t="n">
        <v>0</v>
      </c>
      <c r="N4530" t="n">
        <v>0</v>
      </c>
      <c r="O4530" t="n">
        <v>0</v>
      </c>
      <c r="P4530" t="n">
        <v>0</v>
      </c>
      <c r="Q4530" t="n">
        <v>0</v>
      </c>
      <c r="R4530" s="2" t="inlineStr"/>
    </row>
    <row r="4531" ht="15" customHeight="1">
      <c r="A4531" t="inlineStr">
        <is>
          <t>A 32420-2021</t>
        </is>
      </c>
      <c r="B4531" s="1" t="n">
        <v>44371.69201388889</v>
      </c>
      <c r="C4531" s="1" t="n">
        <v>46086</v>
      </c>
      <c r="D4531" t="inlineStr">
        <is>
          <t>GÄVLEBORGS LÄN</t>
        </is>
      </c>
      <c r="E4531" t="inlineStr">
        <is>
          <t>OVANÅKER</t>
        </is>
      </c>
      <c r="F4531" t="inlineStr">
        <is>
          <t>Bergvik skog väst AB</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3327-2026</t>
        </is>
      </c>
      <c r="B4532" s="1" t="n">
        <v>46041.72084490741</v>
      </c>
      <c r="C4532" s="1" t="n">
        <v>46086</v>
      </c>
      <c r="D4532" t="inlineStr">
        <is>
          <t>GÄVLEBORGS LÄN</t>
        </is>
      </c>
      <c r="E4532" t="inlineStr">
        <is>
          <t>BOLLNÄS</t>
        </is>
      </c>
      <c r="G4532" t="n">
        <v>5</v>
      </c>
      <c r="H4532" t="n">
        <v>0</v>
      </c>
      <c r="I4532" t="n">
        <v>0</v>
      </c>
      <c r="J4532" t="n">
        <v>0</v>
      </c>
      <c r="K4532" t="n">
        <v>0</v>
      </c>
      <c r="L4532" t="n">
        <v>0</v>
      </c>
      <c r="M4532" t="n">
        <v>0</v>
      </c>
      <c r="N4532" t="n">
        <v>0</v>
      </c>
      <c r="O4532" t="n">
        <v>0</v>
      </c>
      <c r="P4532" t="n">
        <v>0</v>
      </c>
      <c r="Q4532" t="n">
        <v>0</v>
      </c>
      <c r="R4532" s="2" t="inlineStr"/>
    </row>
    <row r="4533" ht="15" customHeight="1">
      <c r="A4533" t="inlineStr">
        <is>
          <t>A 3332-2026</t>
        </is>
      </c>
      <c r="B4533" s="1" t="n">
        <v>46041</v>
      </c>
      <c r="C4533" s="1" t="n">
        <v>46086</v>
      </c>
      <c r="D4533" t="inlineStr">
        <is>
          <t>GÄVLEBORGS LÄN</t>
        </is>
      </c>
      <c r="E4533" t="inlineStr">
        <is>
          <t>BOLLNÄS</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2734-2026</t>
        </is>
      </c>
      <c r="B4534" s="1" t="n">
        <v>46038.25835648148</v>
      </c>
      <c r="C4534" s="1" t="n">
        <v>46086</v>
      </c>
      <c r="D4534" t="inlineStr">
        <is>
          <t>GÄVLEBORGS LÄN</t>
        </is>
      </c>
      <c r="E4534" t="inlineStr">
        <is>
          <t>BOLLNÄS</t>
        </is>
      </c>
      <c r="G4534" t="n">
        <v>4.2</v>
      </c>
      <c r="H4534" t="n">
        <v>0</v>
      </c>
      <c r="I4534" t="n">
        <v>0</v>
      </c>
      <c r="J4534" t="n">
        <v>0</v>
      </c>
      <c r="K4534" t="n">
        <v>0</v>
      </c>
      <c r="L4534" t="n">
        <v>0</v>
      </c>
      <c r="M4534" t="n">
        <v>0</v>
      </c>
      <c r="N4534" t="n">
        <v>0</v>
      </c>
      <c r="O4534" t="n">
        <v>0</v>
      </c>
      <c r="P4534" t="n">
        <v>0</v>
      </c>
      <c r="Q4534" t="n">
        <v>0</v>
      </c>
      <c r="R4534" s="2" t="inlineStr"/>
    </row>
    <row r="4535" ht="15" customHeight="1">
      <c r="A4535" t="inlineStr">
        <is>
          <t>A 2735-2026</t>
        </is>
      </c>
      <c r="B4535" s="1" t="n">
        <v>46038.26375</v>
      </c>
      <c r="C4535" s="1" t="n">
        <v>46086</v>
      </c>
      <c r="D4535" t="inlineStr">
        <is>
          <t>GÄVLEBORGS LÄN</t>
        </is>
      </c>
      <c r="E4535" t="inlineStr">
        <is>
          <t>BOLLNÄS</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2736-2026</t>
        </is>
      </c>
      <c r="B4536" s="1" t="n">
        <v>46038.26732638889</v>
      </c>
      <c r="C4536" s="1" t="n">
        <v>46086</v>
      </c>
      <c r="D4536" t="inlineStr">
        <is>
          <t>GÄVLEBORGS LÄN</t>
        </is>
      </c>
      <c r="E4536" t="inlineStr">
        <is>
          <t>BOLLNÄS</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2744-2026</t>
        </is>
      </c>
      <c r="B4537" s="1" t="n">
        <v>46038.30748842593</v>
      </c>
      <c r="C4537" s="1" t="n">
        <v>46086</v>
      </c>
      <c r="D4537" t="inlineStr">
        <is>
          <t>GÄVLEBORGS LÄN</t>
        </is>
      </c>
      <c r="E4537" t="inlineStr">
        <is>
          <t>OVANÅKER</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2747-2026</t>
        </is>
      </c>
      <c r="B4538" s="1" t="n">
        <v>46038.31537037037</v>
      </c>
      <c r="C4538" s="1" t="n">
        <v>46086</v>
      </c>
      <c r="D4538" t="inlineStr">
        <is>
          <t>GÄVLEBORGS LÄN</t>
        </is>
      </c>
      <c r="E4538" t="inlineStr">
        <is>
          <t>BOLLNÄS</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2796-2026</t>
        </is>
      </c>
      <c r="B4539" s="1" t="n">
        <v>46038.40582175926</v>
      </c>
      <c r="C4539" s="1" t="n">
        <v>46086</v>
      </c>
      <c r="D4539" t="inlineStr">
        <is>
          <t>GÄVLEBORGS LÄN</t>
        </is>
      </c>
      <c r="E4539" t="inlineStr">
        <is>
          <t>SANDVIKEN</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2804-2026</t>
        </is>
      </c>
      <c r="B4540" s="1" t="n">
        <v>46038.41309027778</v>
      </c>
      <c r="C4540" s="1" t="n">
        <v>46086</v>
      </c>
      <c r="D4540" t="inlineStr">
        <is>
          <t>GÄVLEBORGS LÄN</t>
        </is>
      </c>
      <c r="E4540" t="inlineStr">
        <is>
          <t>LJUSDAL</t>
        </is>
      </c>
      <c r="G4540" t="n">
        <v>6</v>
      </c>
      <c r="H4540" t="n">
        <v>0</v>
      </c>
      <c r="I4540" t="n">
        <v>0</v>
      </c>
      <c r="J4540" t="n">
        <v>0</v>
      </c>
      <c r="K4540" t="n">
        <v>0</v>
      </c>
      <c r="L4540" t="n">
        <v>0</v>
      </c>
      <c r="M4540" t="n">
        <v>0</v>
      </c>
      <c r="N4540" t="n">
        <v>0</v>
      </c>
      <c r="O4540" t="n">
        <v>0</v>
      </c>
      <c r="P4540" t="n">
        <v>0</v>
      </c>
      <c r="Q4540" t="n">
        <v>0</v>
      </c>
      <c r="R4540" s="2" t="inlineStr"/>
    </row>
    <row r="4541" ht="15" customHeight="1">
      <c r="A4541" t="inlineStr">
        <is>
          <t>A 6364-2026</t>
        </is>
      </c>
      <c r="B4541" s="1" t="n">
        <v>46055</v>
      </c>
      <c r="C4541" s="1" t="n">
        <v>46086</v>
      </c>
      <c r="D4541" t="inlineStr">
        <is>
          <t>GÄVLEBORGS LÄN</t>
        </is>
      </c>
      <c r="E4541" t="inlineStr">
        <is>
          <t>OCKELBO</t>
        </is>
      </c>
      <c r="F4541" t="inlineStr">
        <is>
          <t>Bergvik skog väst AB</t>
        </is>
      </c>
      <c r="G4541" t="n">
        <v>5.1</v>
      </c>
      <c r="H4541" t="n">
        <v>0</v>
      </c>
      <c r="I4541" t="n">
        <v>0</v>
      </c>
      <c r="J4541" t="n">
        <v>0</v>
      </c>
      <c r="K4541" t="n">
        <v>0</v>
      </c>
      <c r="L4541" t="n">
        <v>0</v>
      </c>
      <c r="M4541" t="n">
        <v>0</v>
      </c>
      <c r="N4541" t="n">
        <v>0</v>
      </c>
      <c r="O4541" t="n">
        <v>0</v>
      </c>
      <c r="P4541" t="n">
        <v>0</v>
      </c>
      <c r="Q4541" t="n">
        <v>0</v>
      </c>
      <c r="R4541" s="2" t="inlineStr"/>
    </row>
    <row r="4542" ht="15" customHeight="1">
      <c r="A4542" t="inlineStr">
        <is>
          <t>A 8198-2026</t>
        </is>
      </c>
      <c r="B4542" s="1" t="n">
        <v>46064</v>
      </c>
      <c r="C4542" s="1" t="n">
        <v>46086</v>
      </c>
      <c r="D4542" t="inlineStr">
        <is>
          <t>GÄVLEBORGS LÄN</t>
        </is>
      </c>
      <c r="E4542" t="inlineStr">
        <is>
          <t>HUDIKSVALL</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8848-2026</t>
        </is>
      </c>
      <c r="B4543" s="1" t="n">
        <v>46066</v>
      </c>
      <c r="C4543" s="1" t="n">
        <v>46086</v>
      </c>
      <c r="D4543" t="inlineStr">
        <is>
          <t>GÄVLEBORGS LÄN</t>
        </is>
      </c>
      <c r="E4543" t="inlineStr">
        <is>
          <t>LJUSDAL</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3114-2026</t>
        </is>
      </c>
      <c r="B4544" s="1" t="n">
        <v>46041.36525462963</v>
      </c>
      <c r="C4544" s="1" t="n">
        <v>46086</v>
      </c>
      <c r="D4544" t="inlineStr">
        <is>
          <t>GÄVLEBORGS LÄN</t>
        </is>
      </c>
      <c r="E4544" t="inlineStr">
        <is>
          <t>LJUSDAL</t>
        </is>
      </c>
      <c r="F4544" t="inlineStr">
        <is>
          <t>Holmen skog AB</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3148-2026</t>
        </is>
      </c>
      <c r="B4545" s="1" t="n">
        <v>46041.42393518519</v>
      </c>
      <c r="C4545" s="1" t="n">
        <v>46086</v>
      </c>
      <c r="D4545" t="inlineStr">
        <is>
          <t>GÄVLEBORGS LÄN</t>
        </is>
      </c>
      <c r="E4545" t="inlineStr">
        <is>
          <t>OVANÅKER</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11338-2026</t>
        </is>
      </c>
      <c r="B4546" s="1" t="n">
        <v>46082.42638888889</v>
      </c>
      <c r="C4546" s="1" t="n">
        <v>46086</v>
      </c>
      <c r="D4546" t="inlineStr">
        <is>
          <t>GÄVLEBORGS LÄN</t>
        </is>
      </c>
      <c r="E4546" t="inlineStr">
        <is>
          <t>BOLLNÄS</t>
        </is>
      </c>
      <c r="G4546" t="n">
        <v>5.1</v>
      </c>
      <c r="H4546" t="n">
        <v>0</v>
      </c>
      <c r="I4546" t="n">
        <v>0</v>
      </c>
      <c r="J4546" t="n">
        <v>0</v>
      </c>
      <c r="K4546" t="n">
        <v>0</v>
      </c>
      <c r="L4546" t="n">
        <v>0</v>
      </c>
      <c r="M4546" t="n">
        <v>0</v>
      </c>
      <c r="N4546" t="n">
        <v>0</v>
      </c>
      <c r="O4546" t="n">
        <v>0</v>
      </c>
      <c r="P4546" t="n">
        <v>0</v>
      </c>
      <c r="Q4546" t="n">
        <v>0</v>
      </c>
      <c r="R4546" s="2" t="inlineStr"/>
    </row>
    <row r="4547" ht="15" customHeight="1">
      <c r="A4547" t="inlineStr">
        <is>
          <t>A 11345-2026</t>
        </is>
      </c>
      <c r="B4547" s="1" t="n">
        <v>46082.71079861111</v>
      </c>
      <c r="C4547" s="1" t="n">
        <v>46086</v>
      </c>
      <c r="D4547" t="inlineStr">
        <is>
          <t>GÄVLEBORGS LÄN</t>
        </is>
      </c>
      <c r="E4547" t="inlineStr">
        <is>
          <t>BOLLNÄS</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11371-2026</t>
        </is>
      </c>
      <c r="B4548" s="1" t="n">
        <v>46083.38614583333</v>
      </c>
      <c r="C4548" s="1" t="n">
        <v>46086</v>
      </c>
      <c r="D4548" t="inlineStr">
        <is>
          <t>GÄVLEBORGS LÄN</t>
        </is>
      </c>
      <c r="E4548" t="inlineStr">
        <is>
          <t>BOLLNÄS</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8606-2026</t>
        </is>
      </c>
      <c r="B4549" s="1" t="n">
        <v>46065</v>
      </c>
      <c r="C4549" s="1" t="n">
        <v>46086</v>
      </c>
      <c r="D4549" t="inlineStr">
        <is>
          <t>GÄVLEBORGS LÄN</t>
        </is>
      </c>
      <c r="E4549" t="inlineStr">
        <is>
          <t>SANDVIKEN</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44737-2025</t>
        </is>
      </c>
      <c r="B4550" s="1" t="n">
        <v>45917.65894675926</v>
      </c>
      <c r="C4550" s="1" t="n">
        <v>46086</v>
      </c>
      <c r="D4550" t="inlineStr">
        <is>
          <t>GÄVLEBORGS LÄN</t>
        </is>
      </c>
      <c r="E4550" t="inlineStr">
        <is>
          <t>LJUSDAL</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34725-2025</t>
        </is>
      </c>
      <c r="B4551" s="1" t="n">
        <v>45848.56725694444</v>
      </c>
      <c r="C4551" s="1" t="n">
        <v>46086</v>
      </c>
      <c r="D4551" t="inlineStr">
        <is>
          <t>GÄVLEBORGS LÄN</t>
        </is>
      </c>
      <c r="E4551" t="inlineStr">
        <is>
          <t>GÄVLE</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8407-2026</t>
        </is>
      </c>
      <c r="B4552" s="1" t="n">
        <v>46065</v>
      </c>
      <c r="C4552" s="1" t="n">
        <v>46086</v>
      </c>
      <c r="D4552" t="inlineStr">
        <is>
          <t>GÄVLEBORGS LÄN</t>
        </is>
      </c>
      <c r="E4552" t="inlineStr">
        <is>
          <t>NORDANSTIG</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11023-2026</t>
        </is>
      </c>
      <c r="B4553" s="1" t="n">
        <v>46079</v>
      </c>
      <c r="C4553" s="1" t="n">
        <v>46086</v>
      </c>
      <c r="D4553" t="inlineStr">
        <is>
          <t>GÄVLEBORGS LÄN</t>
        </is>
      </c>
      <c r="E4553" t="inlineStr">
        <is>
          <t>BOLLNÄS</t>
        </is>
      </c>
      <c r="G4553" t="n">
        <v>4.7</v>
      </c>
      <c r="H4553" t="n">
        <v>0</v>
      </c>
      <c r="I4553" t="n">
        <v>0</v>
      </c>
      <c r="J4553" t="n">
        <v>0</v>
      </c>
      <c r="K4553" t="n">
        <v>0</v>
      </c>
      <c r="L4553" t="n">
        <v>0</v>
      </c>
      <c r="M4553" t="n">
        <v>0</v>
      </c>
      <c r="N4553" t="n">
        <v>0</v>
      </c>
      <c r="O4553" t="n">
        <v>0</v>
      </c>
      <c r="P4553" t="n">
        <v>0</v>
      </c>
      <c r="Q4553" t="n">
        <v>0</v>
      </c>
      <c r="R4553" s="2" t="inlineStr"/>
    </row>
    <row r="4554" ht="15" customHeight="1">
      <c r="A4554" t="inlineStr">
        <is>
          <t>A 11068-2026</t>
        </is>
      </c>
      <c r="B4554" s="1" t="n">
        <v>46079.60975694445</v>
      </c>
      <c r="C4554" s="1" t="n">
        <v>46086</v>
      </c>
      <c r="D4554" t="inlineStr">
        <is>
          <t>GÄVLEBORGS LÄN</t>
        </is>
      </c>
      <c r="E4554" t="inlineStr">
        <is>
          <t>OVANÅKER</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9506-2026</t>
        </is>
      </c>
      <c r="B4555" s="1" t="n">
        <v>46071</v>
      </c>
      <c r="C4555" s="1" t="n">
        <v>46086</v>
      </c>
      <c r="D4555" t="inlineStr">
        <is>
          <t>GÄVLEBORGS LÄN</t>
        </is>
      </c>
      <c r="E4555" t="inlineStr">
        <is>
          <t>BOLLNÄS</t>
        </is>
      </c>
      <c r="G4555" t="n">
        <v>3.4</v>
      </c>
      <c r="H4555" t="n">
        <v>0</v>
      </c>
      <c r="I4555" t="n">
        <v>0</v>
      </c>
      <c r="J4555" t="n">
        <v>0</v>
      </c>
      <c r="K4555" t="n">
        <v>0</v>
      </c>
      <c r="L4555" t="n">
        <v>0</v>
      </c>
      <c r="M4555" t="n">
        <v>0</v>
      </c>
      <c r="N4555" t="n">
        <v>0</v>
      </c>
      <c r="O4555" t="n">
        <v>0</v>
      </c>
      <c r="P4555" t="n">
        <v>0</v>
      </c>
      <c r="Q4555" t="n">
        <v>0</v>
      </c>
      <c r="R4555" s="2" t="inlineStr"/>
    </row>
    <row r="4556" ht="15" customHeight="1">
      <c r="A4556" t="inlineStr">
        <is>
          <t>A 9555-2026</t>
        </is>
      </c>
      <c r="B4556" s="1" t="n">
        <v>46071</v>
      </c>
      <c r="C4556" s="1" t="n">
        <v>46086</v>
      </c>
      <c r="D4556" t="inlineStr">
        <is>
          <t>GÄVLEBORGS LÄN</t>
        </is>
      </c>
      <c r="E4556" t="inlineStr">
        <is>
          <t>BOLLNÄS</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34662-2025</t>
        </is>
      </c>
      <c r="B4557" s="1" t="n">
        <v>45848.37403935185</v>
      </c>
      <c r="C4557" s="1" t="n">
        <v>46086</v>
      </c>
      <c r="D4557" t="inlineStr">
        <is>
          <t>GÄVLEBORGS LÄN</t>
        </is>
      </c>
      <c r="E4557" t="inlineStr">
        <is>
          <t>SÖDERHAMN</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11458-2026</t>
        </is>
      </c>
      <c r="B4558" s="1" t="n">
        <v>46083.56730324074</v>
      </c>
      <c r="C4558" s="1" t="n">
        <v>46086</v>
      </c>
      <c r="D4558" t="inlineStr">
        <is>
          <t>GÄVLEBORGS LÄN</t>
        </is>
      </c>
      <c r="E4558" t="inlineStr">
        <is>
          <t>OCKELBO</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34699-2025</t>
        </is>
      </c>
      <c r="B4559" s="1" t="n">
        <v>45848.47416666667</v>
      </c>
      <c r="C4559" s="1" t="n">
        <v>46086</v>
      </c>
      <c r="D4559" t="inlineStr">
        <is>
          <t>GÄVLEBORGS LÄN</t>
        </is>
      </c>
      <c r="E4559" t="inlineStr">
        <is>
          <t>GÄVLE</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3131-2026</t>
        </is>
      </c>
      <c r="B4560" s="1" t="n">
        <v>46041.38591435185</v>
      </c>
      <c r="C4560" s="1" t="n">
        <v>46086</v>
      </c>
      <c r="D4560" t="inlineStr">
        <is>
          <t>GÄVLEBORGS LÄN</t>
        </is>
      </c>
      <c r="E4560" t="inlineStr">
        <is>
          <t>HUDIKSVALL</t>
        </is>
      </c>
      <c r="G4560" t="n">
        <v>7.7</v>
      </c>
      <c r="H4560" t="n">
        <v>0</v>
      </c>
      <c r="I4560" t="n">
        <v>0</v>
      </c>
      <c r="J4560" t="n">
        <v>0</v>
      </c>
      <c r="K4560" t="n">
        <v>0</v>
      </c>
      <c r="L4560" t="n">
        <v>0</v>
      </c>
      <c r="M4560" t="n">
        <v>0</v>
      </c>
      <c r="N4560" t="n">
        <v>0</v>
      </c>
      <c r="O4560" t="n">
        <v>0</v>
      </c>
      <c r="P4560" t="n">
        <v>0</v>
      </c>
      <c r="Q4560" t="n">
        <v>0</v>
      </c>
      <c r="R4560" s="2" t="inlineStr"/>
    </row>
    <row r="4561" ht="15" customHeight="1">
      <c r="A4561" t="inlineStr">
        <is>
          <t>A 2922-2026</t>
        </is>
      </c>
      <c r="B4561" s="1" t="n">
        <v>46038</v>
      </c>
      <c r="C4561" s="1" t="n">
        <v>46086</v>
      </c>
      <c r="D4561" t="inlineStr">
        <is>
          <t>GÄVLEBORGS LÄN</t>
        </is>
      </c>
      <c r="E4561" t="inlineStr">
        <is>
          <t>LJUSDAL</t>
        </is>
      </c>
      <c r="G4561" t="n">
        <v>4.2</v>
      </c>
      <c r="H4561" t="n">
        <v>0</v>
      </c>
      <c r="I4561" t="n">
        <v>0</v>
      </c>
      <c r="J4561" t="n">
        <v>0</v>
      </c>
      <c r="K4561" t="n">
        <v>0</v>
      </c>
      <c r="L4561" t="n">
        <v>0</v>
      </c>
      <c r="M4561" t="n">
        <v>0</v>
      </c>
      <c r="N4561" t="n">
        <v>0</v>
      </c>
      <c r="O4561" t="n">
        <v>0</v>
      </c>
      <c r="P4561" t="n">
        <v>0</v>
      </c>
      <c r="Q4561" t="n">
        <v>0</v>
      </c>
      <c r="R4561" s="2" t="inlineStr"/>
    </row>
    <row r="4562" ht="15" customHeight="1">
      <c r="A4562" t="inlineStr">
        <is>
          <t>A 2926-2026</t>
        </is>
      </c>
      <c r="B4562" s="1" t="n">
        <v>46038.58046296296</v>
      </c>
      <c r="C4562" s="1" t="n">
        <v>46086</v>
      </c>
      <c r="D4562" t="inlineStr">
        <is>
          <t>GÄVLEBORGS LÄN</t>
        </is>
      </c>
      <c r="E4562" t="inlineStr">
        <is>
          <t>OCKELBO</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4405-2025</t>
        </is>
      </c>
      <c r="B4563" s="1" t="n">
        <v>45686</v>
      </c>
      <c r="C4563" s="1" t="n">
        <v>46086</v>
      </c>
      <c r="D4563" t="inlineStr">
        <is>
          <t>GÄVLEBORGS LÄN</t>
        </is>
      </c>
      <c r="E4563" t="inlineStr">
        <is>
          <t>GÄVLE</t>
        </is>
      </c>
      <c r="F4563" t="inlineStr">
        <is>
          <t>Bergvik skog öst AB</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4409-2025</t>
        </is>
      </c>
      <c r="B4564" s="1" t="n">
        <v>45686.44449074074</v>
      </c>
      <c r="C4564" s="1" t="n">
        <v>46086</v>
      </c>
      <c r="D4564" t="inlineStr">
        <is>
          <t>GÄVLEBORGS LÄN</t>
        </is>
      </c>
      <c r="E4564" t="inlineStr">
        <is>
          <t>NORDANSTIG</t>
        </is>
      </c>
      <c r="F4564" t="inlineStr">
        <is>
          <t>Holmen skog AB</t>
        </is>
      </c>
      <c r="G4564" t="n">
        <v>5.4</v>
      </c>
      <c r="H4564" t="n">
        <v>0</v>
      </c>
      <c r="I4564" t="n">
        <v>0</v>
      </c>
      <c r="J4564" t="n">
        <v>0</v>
      </c>
      <c r="K4564" t="n">
        <v>0</v>
      </c>
      <c r="L4564" t="n">
        <v>0</v>
      </c>
      <c r="M4564" t="n">
        <v>0</v>
      </c>
      <c r="N4564" t="n">
        <v>0</v>
      </c>
      <c r="O4564" t="n">
        <v>0</v>
      </c>
      <c r="P4564" t="n">
        <v>0</v>
      </c>
      <c r="Q4564" t="n">
        <v>0</v>
      </c>
      <c r="R4564" s="2" t="inlineStr"/>
    </row>
    <row r="4565" ht="15" customHeight="1">
      <c r="A4565" t="inlineStr">
        <is>
          <t>A 2746-2026</t>
        </is>
      </c>
      <c r="B4565" s="1" t="n">
        <v>46038.31148148148</v>
      </c>
      <c r="C4565" s="1" t="n">
        <v>46086</v>
      </c>
      <c r="D4565" t="inlineStr">
        <is>
          <t>GÄVLEBORGS LÄN</t>
        </is>
      </c>
      <c r="E4565" t="inlineStr">
        <is>
          <t>BOLLNÄS</t>
        </is>
      </c>
      <c r="G4565" t="n">
        <v>6.5</v>
      </c>
      <c r="H4565" t="n">
        <v>0</v>
      </c>
      <c r="I4565" t="n">
        <v>0</v>
      </c>
      <c r="J4565" t="n">
        <v>0</v>
      </c>
      <c r="K4565" t="n">
        <v>0</v>
      </c>
      <c r="L4565" t="n">
        <v>0</v>
      </c>
      <c r="M4565" t="n">
        <v>0</v>
      </c>
      <c r="N4565" t="n">
        <v>0</v>
      </c>
      <c r="O4565" t="n">
        <v>0</v>
      </c>
      <c r="P4565" t="n">
        <v>0</v>
      </c>
      <c r="Q4565" t="n">
        <v>0</v>
      </c>
      <c r="R4565" s="2" t="inlineStr"/>
    </row>
    <row r="4566" ht="15" customHeight="1">
      <c r="A4566" t="inlineStr">
        <is>
          <t>A 2748-2026</t>
        </is>
      </c>
      <c r="B4566" s="1" t="n">
        <v>46038.31841435185</v>
      </c>
      <c r="C4566" s="1" t="n">
        <v>46086</v>
      </c>
      <c r="D4566" t="inlineStr">
        <is>
          <t>GÄVLEBORGS LÄN</t>
        </is>
      </c>
      <c r="E4566" t="inlineStr">
        <is>
          <t>BOLLNÄS</t>
        </is>
      </c>
      <c r="G4566" t="n">
        <v>6</v>
      </c>
      <c r="H4566" t="n">
        <v>0</v>
      </c>
      <c r="I4566" t="n">
        <v>0</v>
      </c>
      <c r="J4566" t="n">
        <v>0</v>
      </c>
      <c r="K4566" t="n">
        <v>0</v>
      </c>
      <c r="L4566" t="n">
        <v>0</v>
      </c>
      <c r="M4566" t="n">
        <v>0</v>
      </c>
      <c r="N4566" t="n">
        <v>0</v>
      </c>
      <c r="O4566" t="n">
        <v>0</v>
      </c>
      <c r="P4566" t="n">
        <v>0</v>
      </c>
      <c r="Q4566" t="n">
        <v>0</v>
      </c>
      <c r="R4566" s="2" t="inlineStr"/>
    </row>
    <row r="4567" ht="15" customHeight="1">
      <c r="A4567" t="inlineStr">
        <is>
          <t>A 2755-2026</t>
        </is>
      </c>
      <c r="B4567" s="1" t="n">
        <v>46038.34326388889</v>
      </c>
      <c r="C4567" s="1" t="n">
        <v>46086</v>
      </c>
      <c r="D4567" t="inlineStr">
        <is>
          <t>GÄVLEBORGS LÄN</t>
        </is>
      </c>
      <c r="E4567" t="inlineStr">
        <is>
          <t>OVANÅKER</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44557-2025</t>
        </is>
      </c>
      <c r="B4568" s="1" t="n">
        <v>45917.34443287037</v>
      </c>
      <c r="C4568" s="1" t="n">
        <v>46086</v>
      </c>
      <c r="D4568" t="inlineStr">
        <is>
          <t>GÄVLEBORGS LÄN</t>
        </is>
      </c>
      <c r="E4568" t="inlineStr">
        <is>
          <t>LJUSDAL</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44558-2025</t>
        </is>
      </c>
      <c r="B4569" s="1" t="n">
        <v>45917.34451388889</v>
      </c>
      <c r="C4569" s="1" t="n">
        <v>46086</v>
      </c>
      <c r="D4569" t="inlineStr">
        <is>
          <t>GÄVLEBORGS LÄN</t>
        </is>
      </c>
      <c r="E4569" t="inlineStr">
        <is>
          <t>HUDIKSVALL</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44559-2025</t>
        </is>
      </c>
      <c r="B4570" s="1" t="n">
        <v>45917.34458333333</v>
      </c>
      <c r="C4570" s="1" t="n">
        <v>46086</v>
      </c>
      <c r="D4570" t="inlineStr">
        <is>
          <t>GÄVLEBORGS LÄN</t>
        </is>
      </c>
      <c r="E4570" t="inlineStr">
        <is>
          <t>LJUSDAL</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11437-2026</t>
        </is>
      </c>
      <c r="B4571" s="1" t="n">
        <v>46083.50269675926</v>
      </c>
      <c r="C4571" s="1" t="n">
        <v>46086</v>
      </c>
      <c r="D4571" t="inlineStr">
        <is>
          <t>GÄVLEBORGS LÄN</t>
        </is>
      </c>
      <c r="E4571" t="inlineStr">
        <is>
          <t>OCKELBO</t>
        </is>
      </c>
      <c r="F4571" t="inlineStr">
        <is>
          <t>Bergvik skog väst AB</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11293-2026</t>
        </is>
      </c>
      <c r="B4572" s="1" t="n">
        <v>46080.61508101852</v>
      </c>
      <c r="C4572" s="1" t="n">
        <v>46086</v>
      </c>
      <c r="D4572" t="inlineStr">
        <is>
          <t>GÄVLEBORGS LÄN</t>
        </is>
      </c>
      <c r="E4572" t="inlineStr">
        <is>
          <t>BOLLNÄS</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9258-2026</t>
        </is>
      </c>
      <c r="B4573" s="1" t="n">
        <v>46070</v>
      </c>
      <c r="C4573" s="1" t="n">
        <v>46086</v>
      </c>
      <c r="D4573" t="inlineStr">
        <is>
          <t>GÄVLEBORGS LÄN</t>
        </is>
      </c>
      <c r="E4573" t="inlineStr">
        <is>
          <t>BOLLNÄS</t>
        </is>
      </c>
      <c r="G4573" t="n">
        <v>36.3</v>
      </c>
      <c r="H4573" t="n">
        <v>0</v>
      </c>
      <c r="I4573" t="n">
        <v>0</v>
      </c>
      <c r="J4573" t="n">
        <v>0</v>
      </c>
      <c r="K4573" t="n">
        <v>0</v>
      </c>
      <c r="L4573" t="n">
        <v>0</v>
      </c>
      <c r="M4573" t="n">
        <v>0</v>
      </c>
      <c r="N4573" t="n">
        <v>0</v>
      </c>
      <c r="O4573" t="n">
        <v>0</v>
      </c>
      <c r="P4573" t="n">
        <v>0</v>
      </c>
      <c r="Q4573" t="n">
        <v>0</v>
      </c>
      <c r="R4573" s="2" t="inlineStr"/>
    </row>
    <row r="4574" ht="15" customHeight="1">
      <c r="A4574" t="inlineStr">
        <is>
          <t>A 34625-2025</t>
        </is>
      </c>
      <c r="B4574" s="1" t="n">
        <v>45847.77689814815</v>
      </c>
      <c r="C4574" s="1" t="n">
        <v>46086</v>
      </c>
      <c r="D4574" t="inlineStr">
        <is>
          <t>GÄVLEBORGS LÄN</t>
        </is>
      </c>
      <c r="E4574" t="inlineStr">
        <is>
          <t>HUDIKSVALL</t>
        </is>
      </c>
      <c r="F4574" t="inlineStr">
        <is>
          <t>Holmen skog AB</t>
        </is>
      </c>
      <c r="G4574" t="n">
        <v>15.7</v>
      </c>
      <c r="H4574" t="n">
        <v>0</v>
      </c>
      <c r="I4574" t="n">
        <v>0</v>
      </c>
      <c r="J4574" t="n">
        <v>0</v>
      </c>
      <c r="K4574" t="n">
        <v>0</v>
      </c>
      <c r="L4574" t="n">
        <v>0</v>
      </c>
      <c r="M4574" t="n">
        <v>0</v>
      </c>
      <c r="N4574" t="n">
        <v>0</v>
      </c>
      <c r="O4574" t="n">
        <v>0</v>
      </c>
      <c r="P4574" t="n">
        <v>0</v>
      </c>
      <c r="Q4574" t="n">
        <v>0</v>
      </c>
      <c r="R4574" s="2" t="inlineStr"/>
    </row>
    <row r="4575" ht="15" customHeight="1">
      <c r="A4575" t="inlineStr">
        <is>
          <t>A 4475-2025</t>
        </is>
      </c>
      <c r="B4575" s="1" t="n">
        <v>45686.62489583333</v>
      </c>
      <c r="C4575" s="1" t="n">
        <v>46086</v>
      </c>
      <c r="D4575" t="inlineStr">
        <is>
          <t>GÄVLEBORGS LÄN</t>
        </is>
      </c>
      <c r="E4575" t="inlineStr">
        <is>
          <t>OVANÅKER</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44683-2025</t>
        </is>
      </c>
      <c r="B4576" s="1" t="n">
        <v>45917.581875</v>
      </c>
      <c r="C4576" s="1" t="n">
        <v>46086</v>
      </c>
      <c r="D4576" t="inlineStr">
        <is>
          <t>GÄVLEBORGS LÄN</t>
        </is>
      </c>
      <c r="E4576" t="inlineStr">
        <is>
          <t>OCKELBO</t>
        </is>
      </c>
      <c r="G4576" t="n">
        <v>5.4</v>
      </c>
      <c r="H4576" t="n">
        <v>0</v>
      </c>
      <c r="I4576" t="n">
        <v>0</v>
      </c>
      <c r="J4576" t="n">
        <v>0</v>
      </c>
      <c r="K4576" t="n">
        <v>0</v>
      </c>
      <c r="L4576" t="n">
        <v>0</v>
      </c>
      <c r="M4576" t="n">
        <v>0</v>
      </c>
      <c r="N4576" t="n">
        <v>0</v>
      </c>
      <c r="O4576" t="n">
        <v>0</v>
      </c>
      <c r="P4576" t="n">
        <v>0</v>
      </c>
      <c r="Q4576" t="n">
        <v>0</v>
      </c>
      <c r="R4576" s="2" t="inlineStr"/>
    </row>
    <row r="4577" ht="15" customHeight="1">
      <c r="A4577" t="inlineStr">
        <is>
          <t>A 44717-2025</t>
        </is>
      </c>
      <c r="B4577" s="1" t="n">
        <v>45917.63239583333</v>
      </c>
      <c r="C4577" s="1" t="n">
        <v>46086</v>
      </c>
      <c r="D4577" t="inlineStr">
        <is>
          <t>GÄVLEBORGS LÄN</t>
        </is>
      </c>
      <c r="E4577" t="inlineStr">
        <is>
          <t>SANDVIKEN</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60356-2024</t>
        </is>
      </c>
      <c r="B4578" s="1" t="n">
        <v>45643.44497685185</v>
      </c>
      <c r="C4578" s="1" t="n">
        <v>46086</v>
      </c>
      <c r="D4578" t="inlineStr">
        <is>
          <t>GÄVLEBORGS LÄN</t>
        </is>
      </c>
      <c r="E4578" t="inlineStr">
        <is>
          <t>HUDIKSVALL</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29930-2025</t>
        </is>
      </c>
      <c r="B4579" s="1" t="n">
        <v>45826.43805555555</v>
      </c>
      <c r="C4579" s="1" t="n">
        <v>46086</v>
      </c>
      <c r="D4579" t="inlineStr">
        <is>
          <t>GÄVLEBORGS LÄN</t>
        </is>
      </c>
      <c r="E4579" t="inlineStr">
        <is>
          <t>BOLLNÄS</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56150-2023</t>
        </is>
      </c>
      <c r="B4580" s="1" t="n">
        <v>45240.604375</v>
      </c>
      <c r="C4580" s="1" t="n">
        <v>46086</v>
      </c>
      <c r="D4580" t="inlineStr">
        <is>
          <t>GÄVLEBORGS LÄN</t>
        </is>
      </c>
      <c r="E4580" t="inlineStr">
        <is>
          <t>SANDVIKEN</t>
        </is>
      </c>
      <c r="F4580" t="inlineStr">
        <is>
          <t>Sveaskog</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32098-2023</t>
        </is>
      </c>
      <c r="B4581" s="1" t="n">
        <v>45119</v>
      </c>
      <c r="C4581" s="1" t="n">
        <v>46086</v>
      </c>
      <c r="D4581" t="inlineStr">
        <is>
          <t>GÄVLEBORGS LÄN</t>
        </is>
      </c>
      <c r="E4581" t="inlineStr">
        <is>
          <t>LJUSDAL</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34836-2025</t>
        </is>
      </c>
      <c r="B4582" s="1" t="n">
        <v>45849.39090277778</v>
      </c>
      <c r="C4582" s="1" t="n">
        <v>46086</v>
      </c>
      <c r="D4582" t="inlineStr">
        <is>
          <t>GÄVLEBORGS LÄN</t>
        </is>
      </c>
      <c r="E4582" t="inlineStr">
        <is>
          <t>HUDIKSVALL</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34837-2025</t>
        </is>
      </c>
      <c r="B4583" s="1" t="n">
        <v>45849</v>
      </c>
      <c r="C4583" s="1" t="n">
        <v>46086</v>
      </c>
      <c r="D4583" t="inlineStr">
        <is>
          <t>GÄVLEBORGS LÄN</t>
        </is>
      </c>
      <c r="E4583" t="inlineStr">
        <is>
          <t>HUDIKSVALL</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34952-2025</t>
        </is>
      </c>
      <c r="B4584" s="1" t="n">
        <v>45849.59908564815</v>
      </c>
      <c r="C4584" s="1" t="n">
        <v>46086</v>
      </c>
      <c r="D4584" t="inlineStr">
        <is>
          <t>GÄVLEBORGS LÄN</t>
        </is>
      </c>
      <c r="E4584" t="inlineStr">
        <is>
          <t>OCKELBO</t>
        </is>
      </c>
      <c r="G4584" t="n">
        <v>8.1</v>
      </c>
      <c r="H4584" t="n">
        <v>0</v>
      </c>
      <c r="I4584" t="n">
        <v>0</v>
      </c>
      <c r="J4584" t="n">
        <v>0</v>
      </c>
      <c r="K4584" t="n">
        <v>0</v>
      </c>
      <c r="L4584" t="n">
        <v>0</v>
      </c>
      <c r="M4584" t="n">
        <v>0</v>
      </c>
      <c r="N4584" t="n">
        <v>0</v>
      </c>
      <c r="O4584" t="n">
        <v>0</v>
      </c>
      <c r="P4584" t="n">
        <v>0</v>
      </c>
      <c r="Q4584" t="n">
        <v>0</v>
      </c>
      <c r="R4584" s="2" t="inlineStr"/>
    </row>
    <row r="4585" ht="15" customHeight="1">
      <c r="A4585" t="inlineStr">
        <is>
          <t>A 11818-2026</t>
        </is>
      </c>
      <c r="B4585" s="1" t="n">
        <v>46085.3865162037</v>
      </c>
      <c r="C4585" s="1" t="n">
        <v>46086</v>
      </c>
      <c r="D4585" t="inlineStr">
        <is>
          <t>GÄVLEBORGS LÄN</t>
        </is>
      </c>
      <c r="E4585" t="inlineStr">
        <is>
          <t>NORDANSTIG</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3840-2026</t>
        </is>
      </c>
      <c r="B4586" s="1" t="n">
        <v>46043</v>
      </c>
      <c r="C4586" s="1" t="n">
        <v>46086</v>
      </c>
      <c r="D4586" t="inlineStr">
        <is>
          <t>GÄVLEBORGS LÄN</t>
        </is>
      </c>
      <c r="E4586" t="inlineStr">
        <is>
          <t>SÖDERHAMN</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34652-2025</t>
        </is>
      </c>
      <c r="B4587" s="1" t="n">
        <v>45848.35363425926</v>
      </c>
      <c r="C4587" s="1" t="n">
        <v>46086</v>
      </c>
      <c r="D4587" t="inlineStr">
        <is>
          <t>GÄVLEBORGS LÄN</t>
        </is>
      </c>
      <c r="E4587" t="inlineStr">
        <is>
          <t>LJUSDAL</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34944-2025</t>
        </is>
      </c>
      <c r="B4588" s="1" t="n">
        <v>45849.5868287037</v>
      </c>
      <c r="C4588" s="1" t="n">
        <v>46086</v>
      </c>
      <c r="D4588" t="inlineStr">
        <is>
          <t>GÄVLEBORGS LÄN</t>
        </is>
      </c>
      <c r="E4588" t="inlineStr">
        <is>
          <t>NORDANSTIG</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9046-2026</t>
        </is>
      </c>
      <c r="B4589" s="1" t="n">
        <v>46069</v>
      </c>
      <c r="C4589" s="1" t="n">
        <v>46086</v>
      </c>
      <c r="D4589" t="inlineStr">
        <is>
          <t>GÄVLEBORGS LÄN</t>
        </is>
      </c>
      <c r="E4589" t="inlineStr">
        <is>
          <t>BOLLNÄS</t>
        </is>
      </c>
      <c r="G4589" t="n">
        <v>7.5</v>
      </c>
      <c r="H4589" t="n">
        <v>0</v>
      </c>
      <c r="I4589" t="n">
        <v>0</v>
      </c>
      <c r="J4589" t="n">
        <v>0</v>
      </c>
      <c r="K4589" t="n">
        <v>0</v>
      </c>
      <c r="L4589" t="n">
        <v>0</v>
      </c>
      <c r="M4589" t="n">
        <v>0</v>
      </c>
      <c r="N4589" t="n">
        <v>0</v>
      </c>
      <c r="O4589" t="n">
        <v>0</v>
      </c>
      <c r="P4589" t="n">
        <v>0</v>
      </c>
      <c r="Q4589" t="n">
        <v>0</v>
      </c>
      <c r="R4589" s="2" t="inlineStr"/>
    </row>
    <row r="4590" ht="15" customHeight="1">
      <c r="A4590" t="inlineStr">
        <is>
          <t>A 7364-2026</t>
        </is>
      </c>
      <c r="B4590" s="1" t="n">
        <v>46059</v>
      </c>
      <c r="C4590" s="1" t="n">
        <v>46086</v>
      </c>
      <c r="D4590" t="inlineStr">
        <is>
          <t>GÄVLEBORGS LÄN</t>
        </is>
      </c>
      <c r="E4590" t="inlineStr">
        <is>
          <t>HUDIKSVALL</t>
        </is>
      </c>
      <c r="F4590" t="inlineStr">
        <is>
          <t>Sveaskog</t>
        </is>
      </c>
      <c r="G4590" t="n">
        <v>9.6</v>
      </c>
      <c r="H4590" t="n">
        <v>0</v>
      </c>
      <c r="I4590" t="n">
        <v>0</v>
      </c>
      <c r="J4590" t="n">
        <v>0</v>
      </c>
      <c r="K4590" t="n">
        <v>0</v>
      </c>
      <c r="L4590" t="n">
        <v>0</v>
      </c>
      <c r="M4590" t="n">
        <v>0</v>
      </c>
      <c r="N4590" t="n">
        <v>0</v>
      </c>
      <c r="O4590" t="n">
        <v>0</v>
      </c>
      <c r="P4590" t="n">
        <v>0</v>
      </c>
      <c r="Q4590" t="n">
        <v>0</v>
      </c>
      <c r="R4590" s="2" t="inlineStr"/>
    </row>
    <row r="4591" ht="15" customHeight="1">
      <c r="A4591" t="inlineStr">
        <is>
          <t>A 8013-2026</t>
        </is>
      </c>
      <c r="B4591" s="1" t="n">
        <v>46063</v>
      </c>
      <c r="C4591" s="1" t="n">
        <v>46086</v>
      </c>
      <c r="D4591" t="inlineStr">
        <is>
          <t>GÄVLEBORGS LÄN</t>
        </is>
      </c>
      <c r="E4591" t="inlineStr">
        <is>
          <t>OVANÅKER</t>
        </is>
      </c>
      <c r="F4591" t="inlineStr">
        <is>
          <t>Sveaskog</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11815-2026</t>
        </is>
      </c>
      <c r="B4592" s="1" t="n">
        <v>46085.38271990741</v>
      </c>
      <c r="C4592" s="1" t="n">
        <v>46086</v>
      </c>
      <c r="D4592" t="inlineStr">
        <is>
          <t>GÄVLEBORGS LÄN</t>
        </is>
      </c>
      <c r="E4592" t="inlineStr">
        <is>
          <t>LJUSDAL</t>
        </is>
      </c>
      <c r="F4592" t="inlineStr">
        <is>
          <t>Holmen skog AB</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37202-2023</t>
        </is>
      </c>
      <c r="B4593" s="1" t="n">
        <v>45155</v>
      </c>
      <c r="C4593" s="1" t="n">
        <v>46086</v>
      </c>
      <c r="D4593" t="inlineStr">
        <is>
          <t>GÄVLEBORGS LÄN</t>
        </is>
      </c>
      <c r="E4593" t="inlineStr">
        <is>
          <t>LJUSDAL</t>
        </is>
      </c>
      <c r="F4593" t="inlineStr">
        <is>
          <t>Sveaskog</t>
        </is>
      </c>
      <c r="G4593" t="n">
        <v>7.1</v>
      </c>
      <c r="H4593" t="n">
        <v>0</v>
      </c>
      <c r="I4593" t="n">
        <v>0</v>
      </c>
      <c r="J4593" t="n">
        <v>0</v>
      </c>
      <c r="K4593" t="n">
        <v>0</v>
      </c>
      <c r="L4593" t="n">
        <v>0</v>
      </c>
      <c r="M4593" t="n">
        <v>0</v>
      </c>
      <c r="N4593" t="n">
        <v>0</v>
      </c>
      <c r="O4593" t="n">
        <v>0</v>
      </c>
      <c r="P4593" t="n">
        <v>0</v>
      </c>
      <c r="Q4593" t="n">
        <v>0</v>
      </c>
      <c r="R4593" s="2" t="inlineStr"/>
    </row>
    <row r="4594" ht="15" customHeight="1">
      <c r="A4594" t="inlineStr">
        <is>
          <t>A 42687-2024</t>
        </is>
      </c>
      <c r="B4594" s="1" t="n">
        <v>45566.39753472222</v>
      </c>
      <c r="C4594" s="1" t="n">
        <v>46086</v>
      </c>
      <c r="D4594" t="inlineStr">
        <is>
          <t>GÄVLEBORGS LÄN</t>
        </is>
      </c>
      <c r="E4594" t="inlineStr">
        <is>
          <t>HUDIKSVALL</t>
        </is>
      </c>
      <c r="F4594" t="inlineStr">
        <is>
          <t>Holmen skog AB</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34950-2025</t>
        </is>
      </c>
      <c r="B4595" s="1" t="n">
        <v>45849.59491898148</v>
      </c>
      <c r="C4595" s="1" t="n">
        <v>46086</v>
      </c>
      <c r="D4595" t="inlineStr">
        <is>
          <t>GÄVLEBORGS LÄN</t>
        </is>
      </c>
      <c r="E4595" t="inlineStr">
        <is>
          <t>OCKELBO</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34688-2025</t>
        </is>
      </c>
      <c r="B4596" s="1" t="n">
        <v>45848</v>
      </c>
      <c r="C4596" s="1" t="n">
        <v>46086</v>
      </c>
      <c r="D4596" t="inlineStr">
        <is>
          <t>GÄVLEBORGS LÄN</t>
        </is>
      </c>
      <c r="E4596" t="inlineStr">
        <is>
          <t>BOLLNÄS</t>
        </is>
      </c>
      <c r="F4596" t="inlineStr">
        <is>
          <t>Holmen skog AB</t>
        </is>
      </c>
      <c r="G4596" t="n">
        <v>32.6</v>
      </c>
      <c r="H4596" t="n">
        <v>0</v>
      </c>
      <c r="I4596" t="n">
        <v>0</v>
      </c>
      <c r="J4596" t="n">
        <v>0</v>
      </c>
      <c r="K4596" t="n">
        <v>0</v>
      </c>
      <c r="L4596" t="n">
        <v>0</v>
      </c>
      <c r="M4596" t="n">
        <v>0</v>
      </c>
      <c r="N4596" t="n">
        <v>0</v>
      </c>
      <c r="O4596" t="n">
        <v>0</v>
      </c>
      <c r="P4596" t="n">
        <v>0</v>
      </c>
      <c r="Q4596" t="n">
        <v>0</v>
      </c>
      <c r="R4596" s="2" t="inlineStr"/>
    </row>
    <row r="4597" ht="15" customHeight="1">
      <c r="A4597" t="inlineStr">
        <is>
          <t>A 11822-2026</t>
        </is>
      </c>
      <c r="B4597" s="1" t="n">
        <v>46085.39390046296</v>
      </c>
      <c r="C4597" s="1" t="n">
        <v>46086</v>
      </c>
      <c r="D4597" t="inlineStr">
        <is>
          <t>GÄVLEBORGS LÄN</t>
        </is>
      </c>
      <c r="E4597" t="inlineStr">
        <is>
          <t>OVANÅKER</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3632-2026</t>
        </is>
      </c>
      <c r="B4598" s="1" t="n">
        <v>46043.33771990741</v>
      </c>
      <c r="C4598" s="1" t="n">
        <v>46086</v>
      </c>
      <c r="D4598" t="inlineStr">
        <is>
          <t>GÄVLEBORGS LÄN</t>
        </is>
      </c>
      <c r="E4598" t="inlineStr">
        <is>
          <t>OVANÅKER</t>
        </is>
      </c>
      <c r="G4598" t="n">
        <v>17.3</v>
      </c>
      <c r="H4598" t="n">
        <v>0</v>
      </c>
      <c r="I4598" t="n">
        <v>0</v>
      </c>
      <c r="J4598" t="n">
        <v>0</v>
      </c>
      <c r="K4598" t="n">
        <v>0</v>
      </c>
      <c r="L4598" t="n">
        <v>0</v>
      </c>
      <c r="M4598" t="n">
        <v>0</v>
      </c>
      <c r="N4598" t="n">
        <v>0</v>
      </c>
      <c r="O4598" t="n">
        <v>0</v>
      </c>
      <c r="P4598" t="n">
        <v>0</v>
      </c>
      <c r="Q4598" t="n">
        <v>0</v>
      </c>
      <c r="R4598" s="2" t="inlineStr"/>
    </row>
    <row r="4599" ht="15" customHeight="1">
      <c r="A4599" t="inlineStr">
        <is>
          <t>A 11831-2026</t>
        </is>
      </c>
      <c r="B4599" s="1" t="n">
        <v>46085.42693287037</v>
      </c>
      <c r="C4599" s="1" t="n">
        <v>46086</v>
      </c>
      <c r="D4599" t="inlineStr">
        <is>
          <t>GÄVLEBORGS LÄN</t>
        </is>
      </c>
      <c r="E4599" t="inlineStr">
        <is>
          <t>OVANÅKER</t>
        </is>
      </c>
      <c r="F4599" t="inlineStr">
        <is>
          <t>Bergvik skog väst AB</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34728-2025</t>
        </is>
      </c>
      <c r="B4600" s="1" t="n">
        <v>45848.58239583333</v>
      </c>
      <c r="C4600" s="1" t="n">
        <v>46086</v>
      </c>
      <c r="D4600" t="inlineStr">
        <is>
          <t>GÄVLEBORGS LÄN</t>
        </is>
      </c>
      <c r="E4600" t="inlineStr">
        <is>
          <t>NORDANSTIG</t>
        </is>
      </c>
      <c r="F4600" t="inlineStr">
        <is>
          <t>Holmen skog AB</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34732-2025</t>
        </is>
      </c>
      <c r="B4601" s="1" t="n">
        <v>45848.59746527778</v>
      </c>
      <c r="C4601" s="1" t="n">
        <v>46086</v>
      </c>
      <c r="D4601" t="inlineStr">
        <is>
          <t>GÄVLEBORGS LÄN</t>
        </is>
      </c>
      <c r="E4601" t="inlineStr">
        <is>
          <t>NORDANSTIG</t>
        </is>
      </c>
      <c r="G4601" t="n">
        <v>4.3</v>
      </c>
      <c r="H4601" t="n">
        <v>0</v>
      </c>
      <c r="I4601" t="n">
        <v>0</v>
      </c>
      <c r="J4601" t="n">
        <v>0</v>
      </c>
      <c r="K4601" t="n">
        <v>0</v>
      </c>
      <c r="L4601" t="n">
        <v>0</v>
      </c>
      <c r="M4601" t="n">
        <v>0</v>
      </c>
      <c r="N4601" t="n">
        <v>0</v>
      </c>
      <c r="O4601" t="n">
        <v>0</v>
      </c>
      <c r="P4601" t="n">
        <v>0</v>
      </c>
      <c r="Q4601" t="n">
        <v>0</v>
      </c>
      <c r="R4601" s="2" t="inlineStr"/>
    </row>
    <row r="4602" ht="15" customHeight="1">
      <c r="A4602" t="inlineStr">
        <is>
          <t>A 42712-2024</t>
        </is>
      </c>
      <c r="B4602" s="1" t="n">
        <v>45566.44934027778</v>
      </c>
      <c r="C4602" s="1" t="n">
        <v>46086</v>
      </c>
      <c r="D4602" t="inlineStr">
        <is>
          <t>GÄVLEBORGS LÄN</t>
        </is>
      </c>
      <c r="E4602" t="inlineStr">
        <is>
          <t>LJUSDAL</t>
        </is>
      </c>
      <c r="F4602" t="inlineStr">
        <is>
          <t>Kommuner</t>
        </is>
      </c>
      <c r="G4602" t="n">
        <v>6.9</v>
      </c>
      <c r="H4602" t="n">
        <v>0</v>
      </c>
      <c r="I4602" t="n">
        <v>0</v>
      </c>
      <c r="J4602" t="n">
        <v>0</v>
      </c>
      <c r="K4602" t="n">
        <v>0</v>
      </c>
      <c r="L4602" t="n">
        <v>0</v>
      </c>
      <c r="M4602" t="n">
        <v>0</v>
      </c>
      <c r="N4602" t="n">
        <v>0</v>
      </c>
      <c r="O4602" t="n">
        <v>0</v>
      </c>
      <c r="P4602" t="n">
        <v>0</v>
      </c>
      <c r="Q4602" t="n">
        <v>0</v>
      </c>
      <c r="R4602" s="2" t="inlineStr"/>
    </row>
    <row r="4603" ht="15" customHeight="1">
      <c r="A4603" t="inlineStr">
        <is>
          <t>A 42720-2024</t>
        </is>
      </c>
      <c r="B4603" s="1" t="n">
        <v>45566.459375</v>
      </c>
      <c r="C4603" s="1" t="n">
        <v>46086</v>
      </c>
      <c r="D4603" t="inlineStr">
        <is>
          <t>GÄVLEBORGS LÄN</t>
        </is>
      </c>
      <c r="E4603" t="inlineStr">
        <is>
          <t>LJUSDAL</t>
        </is>
      </c>
      <c r="F4603" t="inlineStr">
        <is>
          <t>Kommuner</t>
        </is>
      </c>
      <c r="G4603" t="n">
        <v>5.9</v>
      </c>
      <c r="H4603" t="n">
        <v>0</v>
      </c>
      <c r="I4603" t="n">
        <v>0</v>
      </c>
      <c r="J4603" t="n">
        <v>0</v>
      </c>
      <c r="K4603" t="n">
        <v>0</v>
      </c>
      <c r="L4603" t="n">
        <v>0</v>
      </c>
      <c r="M4603" t="n">
        <v>0</v>
      </c>
      <c r="N4603" t="n">
        <v>0</v>
      </c>
      <c r="O4603" t="n">
        <v>0</v>
      </c>
      <c r="P4603" t="n">
        <v>0</v>
      </c>
      <c r="Q4603" t="n">
        <v>0</v>
      </c>
      <c r="R4603" s="2" t="inlineStr"/>
    </row>
    <row r="4604" ht="15" customHeight="1">
      <c r="A4604" t="inlineStr">
        <is>
          <t>A 34658-2025</t>
        </is>
      </c>
      <c r="B4604" s="1" t="n">
        <v>45848.36520833334</v>
      </c>
      <c r="C4604" s="1" t="n">
        <v>46086</v>
      </c>
      <c r="D4604" t="inlineStr">
        <is>
          <t>GÄVLEBORGS LÄN</t>
        </is>
      </c>
      <c r="E4604" t="inlineStr">
        <is>
          <t>LJUSDAL</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34669-2025</t>
        </is>
      </c>
      <c r="B4605" s="1" t="n">
        <v>45848.393125</v>
      </c>
      <c r="C4605" s="1" t="n">
        <v>46086</v>
      </c>
      <c r="D4605" t="inlineStr">
        <is>
          <t>GÄVLEBORGS LÄN</t>
        </is>
      </c>
      <c r="E4605" t="inlineStr">
        <is>
          <t>SÖDERHAMN</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42726-2024</t>
        </is>
      </c>
      <c r="B4606" s="1" t="n">
        <v>45566</v>
      </c>
      <c r="C4606" s="1" t="n">
        <v>46086</v>
      </c>
      <c r="D4606" t="inlineStr">
        <is>
          <t>GÄVLEBORGS LÄN</t>
        </is>
      </c>
      <c r="E4606" t="inlineStr">
        <is>
          <t>LJUSDAL</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11887-2026</t>
        </is>
      </c>
      <c r="B4607" s="1" t="n">
        <v>46085.51407407408</v>
      </c>
      <c r="C4607" s="1" t="n">
        <v>46086</v>
      </c>
      <c r="D4607" t="inlineStr">
        <is>
          <t>GÄVLEBORGS LÄN</t>
        </is>
      </c>
      <c r="E4607" t="inlineStr">
        <is>
          <t>LJUSDAL</t>
        </is>
      </c>
      <c r="F4607" t="inlineStr">
        <is>
          <t>Bergvik skog väst AB</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3469-2026</t>
        </is>
      </c>
      <c r="B4608" s="1" t="n">
        <v>46042.53480324074</v>
      </c>
      <c r="C4608" s="1" t="n">
        <v>46086</v>
      </c>
      <c r="D4608" t="inlineStr">
        <is>
          <t>GÄVLEBORGS LÄN</t>
        </is>
      </c>
      <c r="E4608" t="inlineStr">
        <is>
          <t>OCKELBO</t>
        </is>
      </c>
      <c r="F4608" t="inlineStr">
        <is>
          <t>Bergvik skog väst AB</t>
        </is>
      </c>
      <c r="G4608" t="n">
        <v>45.4</v>
      </c>
      <c r="H4608" t="n">
        <v>0</v>
      </c>
      <c r="I4608" t="n">
        <v>0</v>
      </c>
      <c r="J4608" t="n">
        <v>0</v>
      </c>
      <c r="K4608" t="n">
        <v>0</v>
      </c>
      <c r="L4608" t="n">
        <v>0</v>
      </c>
      <c r="M4608" t="n">
        <v>0</v>
      </c>
      <c r="N4608" t="n">
        <v>0</v>
      </c>
      <c r="O4608" t="n">
        <v>0</v>
      </c>
      <c r="P4608" t="n">
        <v>0</v>
      </c>
      <c r="Q4608" t="n">
        <v>0</v>
      </c>
      <c r="R4608" s="2" t="inlineStr"/>
    </row>
    <row r="4609" ht="15" customHeight="1">
      <c r="A4609" t="inlineStr">
        <is>
          <t>A 3477-2026</t>
        </is>
      </c>
      <c r="B4609" s="1" t="n">
        <v>46042</v>
      </c>
      <c r="C4609" s="1" t="n">
        <v>46086</v>
      </c>
      <c r="D4609" t="inlineStr">
        <is>
          <t>GÄVLEBORGS LÄN</t>
        </is>
      </c>
      <c r="E4609" t="inlineStr">
        <is>
          <t>BOLLNÄS</t>
        </is>
      </c>
      <c r="F4609" t="inlineStr">
        <is>
          <t>Bergvik skog väst AB</t>
        </is>
      </c>
      <c r="G4609" t="n">
        <v>14.9</v>
      </c>
      <c r="H4609" t="n">
        <v>0</v>
      </c>
      <c r="I4609" t="n">
        <v>0</v>
      </c>
      <c r="J4609" t="n">
        <v>0</v>
      </c>
      <c r="K4609" t="n">
        <v>0</v>
      </c>
      <c r="L4609" t="n">
        <v>0</v>
      </c>
      <c r="M4609" t="n">
        <v>0</v>
      </c>
      <c r="N4609" t="n">
        <v>0</v>
      </c>
      <c r="O4609" t="n">
        <v>0</v>
      </c>
      <c r="P4609" t="n">
        <v>0</v>
      </c>
      <c r="Q4609" t="n">
        <v>0</v>
      </c>
      <c r="R4609" s="2" t="inlineStr"/>
    </row>
    <row r="4610" ht="15" customHeight="1">
      <c r="A4610" t="inlineStr">
        <is>
          <t>A 34722-2025</t>
        </is>
      </c>
      <c r="B4610" s="1" t="n">
        <v>45848.53870370371</v>
      </c>
      <c r="C4610" s="1" t="n">
        <v>46086</v>
      </c>
      <c r="D4610" t="inlineStr">
        <is>
          <t>GÄVLEBORGS LÄN</t>
        </is>
      </c>
      <c r="E4610" t="inlineStr">
        <is>
          <t>GÄVLE</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11898-2026</t>
        </is>
      </c>
      <c r="B4611" s="1" t="n">
        <v>46085.53741898148</v>
      </c>
      <c r="C4611" s="1" t="n">
        <v>46086</v>
      </c>
      <c r="D4611" t="inlineStr">
        <is>
          <t>GÄVLEBORGS LÄN</t>
        </is>
      </c>
      <c r="E4611" t="inlineStr">
        <is>
          <t>SANDVIKEN</t>
        </is>
      </c>
      <c r="F4611" t="inlineStr">
        <is>
          <t>Bergvik skog öst AB</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44392-2025</t>
        </is>
      </c>
      <c r="B4612" s="1" t="n">
        <v>45916.49335648148</v>
      </c>
      <c r="C4612" s="1" t="n">
        <v>46086</v>
      </c>
      <c r="D4612" t="inlineStr">
        <is>
          <t>GÄVLEBORGS LÄN</t>
        </is>
      </c>
      <c r="E4612" t="inlineStr">
        <is>
          <t>BOLLNÄS</t>
        </is>
      </c>
      <c r="F4612" t="inlineStr">
        <is>
          <t>Sveaskog</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61422-2024</t>
        </is>
      </c>
      <c r="B4613" s="1" t="n">
        <v>45646.45193287037</v>
      </c>
      <c r="C4613" s="1" t="n">
        <v>46086</v>
      </c>
      <c r="D4613" t="inlineStr">
        <is>
          <t>GÄVLEBORGS LÄN</t>
        </is>
      </c>
      <c r="E4613" t="inlineStr">
        <is>
          <t>NORDANSTIG</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44599-2025</t>
        </is>
      </c>
      <c r="B4614" s="1" t="n">
        <v>45917.43070601852</v>
      </c>
      <c r="C4614" s="1" t="n">
        <v>46086</v>
      </c>
      <c r="D4614" t="inlineStr">
        <is>
          <t>GÄVLEBORGS LÄN</t>
        </is>
      </c>
      <c r="E4614" t="inlineStr">
        <is>
          <t>NORDANSTIG</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53167-2024</t>
        </is>
      </c>
      <c r="B4615" s="1" t="n">
        <v>45611.65372685185</v>
      </c>
      <c r="C4615" s="1" t="n">
        <v>46086</v>
      </c>
      <c r="D4615" t="inlineStr">
        <is>
          <t>GÄVLEBORGS LÄN</t>
        </is>
      </c>
      <c r="E4615" t="inlineStr">
        <is>
          <t>NORDANSTIG</t>
        </is>
      </c>
      <c r="F4615" t="inlineStr">
        <is>
          <t>Holmen skog AB</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44694-2025</t>
        </is>
      </c>
      <c r="B4616" s="1" t="n">
        <v>45917.59674768519</v>
      </c>
      <c r="C4616" s="1" t="n">
        <v>46086</v>
      </c>
      <c r="D4616" t="inlineStr">
        <is>
          <t>GÄVLEBORGS LÄN</t>
        </is>
      </c>
      <c r="E4616" t="inlineStr">
        <is>
          <t>HOFORS</t>
        </is>
      </c>
      <c r="F4616" t="inlineStr">
        <is>
          <t>Sveaskog</t>
        </is>
      </c>
      <c r="G4616" t="n">
        <v>12.1</v>
      </c>
      <c r="H4616" t="n">
        <v>0</v>
      </c>
      <c r="I4616" t="n">
        <v>0</v>
      </c>
      <c r="J4616" t="n">
        <v>0</v>
      </c>
      <c r="K4616" t="n">
        <v>0</v>
      </c>
      <c r="L4616" t="n">
        <v>0</v>
      </c>
      <c r="M4616" t="n">
        <v>0</v>
      </c>
      <c r="N4616" t="n">
        <v>0</v>
      </c>
      <c r="O4616" t="n">
        <v>0</v>
      </c>
      <c r="P4616" t="n">
        <v>0</v>
      </c>
      <c r="Q4616" t="n">
        <v>0</v>
      </c>
      <c r="R4616" s="2" t="inlineStr"/>
    </row>
    <row r="4617" ht="15" customHeight="1">
      <c r="A4617" t="inlineStr">
        <is>
          <t>A 34845-2025</t>
        </is>
      </c>
      <c r="B4617" s="1" t="n">
        <v>45849.41206018518</v>
      </c>
      <c r="C4617" s="1" t="n">
        <v>46086</v>
      </c>
      <c r="D4617" t="inlineStr">
        <is>
          <t>GÄVLEBORGS LÄN</t>
        </is>
      </c>
      <c r="E4617" t="inlineStr">
        <is>
          <t>SANDVIKEN</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11902-2026</t>
        </is>
      </c>
      <c r="B4618" s="1" t="n">
        <v>46085.54236111111</v>
      </c>
      <c r="C4618" s="1" t="n">
        <v>46086</v>
      </c>
      <c r="D4618" t="inlineStr">
        <is>
          <t>GÄVLEBORGS LÄN</t>
        </is>
      </c>
      <c r="E4618" t="inlineStr">
        <is>
          <t>SANDVIKEN</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11911-2026</t>
        </is>
      </c>
      <c r="B4619" s="1" t="n">
        <v>46085.55052083333</v>
      </c>
      <c r="C4619" s="1" t="n">
        <v>46086</v>
      </c>
      <c r="D4619" t="inlineStr">
        <is>
          <t>GÄVLEBORGS LÄN</t>
        </is>
      </c>
      <c r="E4619" t="inlineStr">
        <is>
          <t>SANDVIKEN</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44450-2025</t>
        </is>
      </c>
      <c r="B4620" s="1" t="n">
        <v>45916.6016087963</v>
      </c>
      <c r="C4620" s="1" t="n">
        <v>46086</v>
      </c>
      <c r="D4620" t="inlineStr">
        <is>
          <t>GÄVLEBORGS LÄN</t>
        </is>
      </c>
      <c r="E4620" t="inlineStr">
        <is>
          <t>SANDVIKEN</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2280-2022</t>
        </is>
      </c>
      <c r="B4621" s="1" t="n">
        <v>44578</v>
      </c>
      <c r="C4621" s="1" t="n">
        <v>46086</v>
      </c>
      <c r="D4621" t="inlineStr">
        <is>
          <t>GÄVLEBORGS LÄN</t>
        </is>
      </c>
      <c r="E4621" t="inlineStr">
        <is>
          <t>HUDIKSVALL</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44561-2025</t>
        </is>
      </c>
      <c r="B4622" s="1" t="n">
        <v>45917.34569444445</v>
      </c>
      <c r="C4622" s="1" t="n">
        <v>46086</v>
      </c>
      <c r="D4622" t="inlineStr">
        <is>
          <t>GÄVLEBORGS LÄN</t>
        </is>
      </c>
      <c r="E4622" t="inlineStr">
        <is>
          <t>OCKELBO</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3653-2026</t>
        </is>
      </c>
      <c r="B4623" s="1" t="n">
        <v>46043.37221064815</v>
      </c>
      <c r="C4623" s="1" t="n">
        <v>46086</v>
      </c>
      <c r="D4623" t="inlineStr">
        <is>
          <t>GÄVLEBORGS LÄN</t>
        </is>
      </c>
      <c r="E4623" t="inlineStr">
        <is>
          <t>OCKELBO</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3664-2026</t>
        </is>
      </c>
      <c r="B4624" s="1" t="n">
        <v>46043.40189814815</v>
      </c>
      <c r="C4624" s="1" t="n">
        <v>46086</v>
      </c>
      <c r="D4624" t="inlineStr">
        <is>
          <t>GÄVLEBORGS LÄN</t>
        </is>
      </c>
      <c r="E4624" t="inlineStr">
        <is>
          <t>OCKELBO</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3665-2026</t>
        </is>
      </c>
      <c r="B4625" s="1" t="n">
        <v>46043.40673611111</v>
      </c>
      <c r="C4625" s="1" t="n">
        <v>46086</v>
      </c>
      <c r="D4625" t="inlineStr">
        <is>
          <t>GÄVLEBORGS LÄN</t>
        </is>
      </c>
      <c r="E4625" t="inlineStr">
        <is>
          <t>OCKELBO</t>
        </is>
      </c>
      <c r="G4625" t="n">
        <v>6.9</v>
      </c>
      <c r="H4625" t="n">
        <v>0</v>
      </c>
      <c r="I4625" t="n">
        <v>0</v>
      </c>
      <c r="J4625" t="n">
        <v>0</v>
      </c>
      <c r="K4625" t="n">
        <v>0</v>
      </c>
      <c r="L4625" t="n">
        <v>0</v>
      </c>
      <c r="M4625" t="n">
        <v>0</v>
      </c>
      <c r="N4625" t="n">
        <v>0</v>
      </c>
      <c r="O4625" t="n">
        <v>0</v>
      </c>
      <c r="P4625" t="n">
        <v>0</v>
      </c>
      <c r="Q4625" t="n">
        <v>0</v>
      </c>
      <c r="R4625" s="2" t="inlineStr"/>
    </row>
    <row r="4626" ht="15" customHeight="1">
      <c r="A4626" t="inlineStr">
        <is>
          <t>A 44348-2025</t>
        </is>
      </c>
      <c r="B4626" s="1" t="n">
        <v>45916.43898148148</v>
      </c>
      <c r="C4626" s="1" t="n">
        <v>46086</v>
      </c>
      <c r="D4626" t="inlineStr">
        <is>
          <t>GÄVLEBORGS LÄN</t>
        </is>
      </c>
      <c r="E4626" t="inlineStr">
        <is>
          <t>HUDIKSVALL</t>
        </is>
      </c>
      <c r="F4626" t="inlineStr">
        <is>
          <t>Holmen skog AB</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44603-2025</t>
        </is>
      </c>
      <c r="B4627" s="1" t="n">
        <v>45917.44409722222</v>
      </c>
      <c r="C4627" s="1" t="n">
        <v>46086</v>
      </c>
      <c r="D4627" t="inlineStr">
        <is>
          <t>GÄVLEBORGS LÄN</t>
        </is>
      </c>
      <c r="E4627" t="inlineStr">
        <is>
          <t>NORDANSTIG</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56958-2022</t>
        </is>
      </c>
      <c r="B4628" s="1" t="n">
        <v>44894.66045138889</v>
      </c>
      <c r="C4628" s="1" t="n">
        <v>46086</v>
      </c>
      <c r="D4628" t="inlineStr">
        <is>
          <t>GÄVLEBORGS LÄN</t>
        </is>
      </c>
      <c r="E4628" t="inlineStr">
        <is>
          <t>SANDVIKEN</t>
        </is>
      </c>
      <c r="G4628" t="n">
        <v>5.7</v>
      </c>
      <c r="H4628" t="n">
        <v>0</v>
      </c>
      <c r="I4628" t="n">
        <v>0</v>
      </c>
      <c r="J4628" t="n">
        <v>0</v>
      </c>
      <c r="K4628" t="n">
        <v>0</v>
      </c>
      <c r="L4628" t="n">
        <v>0</v>
      </c>
      <c r="M4628" t="n">
        <v>0</v>
      </c>
      <c r="N4628" t="n">
        <v>0</v>
      </c>
      <c r="O4628" t="n">
        <v>0</v>
      </c>
      <c r="P4628" t="n">
        <v>0</v>
      </c>
      <c r="Q4628" t="n">
        <v>0</v>
      </c>
      <c r="R4628" s="2" t="inlineStr"/>
    </row>
    <row r="4629" ht="15" customHeight="1">
      <c r="A4629" t="inlineStr">
        <is>
          <t>A 44641-2025</t>
        </is>
      </c>
      <c r="B4629" s="1" t="n">
        <v>45917.52512731482</v>
      </c>
      <c r="C4629" s="1" t="n">
        <v>46086</v>
      </c>
      <c r="D4629" t="inlineStr">
        <is>
          <t>GÄVLEBORGS LÄN</t>
        </is>
      </c>
      <c r="E4629" t="inlineStr">
        <is>
          <t>LJUSDAL</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44643-2025</t>
        </is>
      </c>
      <c r="B4630" s="1" t="n">
        <v>45917</v>
      </c>
      <c r="C4630" s="1" t="n">
        <v>46086</v>
      </c>
      <c r="D4630" t="inlineStr">
        <is>
          <t>GÄVLEBORGS LÄN</t>
        </is>
      </c>
      <c r="E4630" t="inlineStr">
        <is>
          <t>BOLLNÄS</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44692-2025</t>
        </is>
      </c>
      <c r="B4631" s="1" t="n">
        <v>45917.59540509259</v>
      </c>
      <c r="C4631" s="1" t="n">
        <v>46086</v>
      </c>
      <c r="D4631" t="inlineStr">
        <is>
          <t>GÄVLEBORGS LÄN</t>
        </is>
      </c>
      <c r="E4631" t="inlineStr">
        <is>
          <t>HOFORS</t>
        </is>
      </c>
      <c r="F4631" t="inlineStr">
        <is>
          <t>Sveaskog</t>
        </is>
      </c>
      <c r="G4631" t="n">
        <v>5.4</v>
      </c>
      <c r="H4631" t="n">
        <v>0</v>
      </c>
      <c r="I4631" t="n">
        <v>0</v>
      </c>
      <c r="J4631" t="n">
        <v>0</v>
      </c>
      <c r="K4631" t="n">
        <v>0</v>
      </c>
      <c r="L4631" t="n">
        <v>0</v>
      </c>
      <c r="M4631" t="n">
        <v>0</v>
      </c>
      <c r="N4631" t="n">
        <v>0</v>
      </c>
      <c r="O4631" t="n">
        <v>0</v>
      </c>
      <c r="P4631" t="n">
        <v>0</v>
      </c>
      <c r="Q4631" t="n">
        <v>0</v>
      </c>
      <c r="R4631" s="2" t="inlineStr"/>
    </row>
    <row r="4632" ht="15" customHeight="1">
      <c r="A4632" t="inlineStr">
        <is>
          <t>A 34788-2025</t>
        </is>
      </c>
      <c r="B4632" s="1" t="n">
        <v>45848.6784837963</v>
      </c>
      <c r="C4632" s="1" t="n">
        <v>46086</v>
      </c>
      <c r="D4632" t="inlineStr">
        <is>
          <t>GÄVLEBORGS LÄN</t>
        </is>
      </c>
      <c r="E4632" t="inlineStr">
        <is>
          <t>NORDANSTIG</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47495-2024</t>
        </is>
      </c>
      <c r="B4633" s="1" t="n">
        <v>45587.59559027778</v>
      </c>
      <c r="C4633" s="1" t="n">
        <v>46086</v>
      </c>
      <c r="D4633" t="inlineStr">
        <is>
          <t>GÄVLEBORGS LÄN</t>
        </is>
      </c>
      <c r="E4633" t="inlineStr">
        <is>
          <t>HOFORS</t>
        </is>
      </c>
      <c r="F4633" t="inlineStr">
        <is>
          <t>Sveaskog</t>
        </is>
      </c>
      <c r="G4633" t="n">
        <v>5.2</v>
      </c>
      <c r="H4633" t="n">
        <v>0</v>
      </c>
      <c r="I4633" t="n">
        <v>0</v>
      </c>
      <c r="J4633" t="n">
        <v>0</v>
      </c>
      <c r="K4633" t="n">
        <v>0</v>
      </c>
      <c r="L4633" t="n">
        <v>0</v>
      </c>
      <c r="M4633" t="n">
        <v>0</v>
      </c>
      <c r="N4633" t="n">
        <v>0</v>
      </c>
      <c r="O4633" t="n">
        <v>0</v>
      </c>
      <c r="P4633" t="n">
        <v>0</v>
      </c>
      <c r="Q4633" t="n">
        <v>0</v>
      </c>
      <c r="R4633" s="2" t="inlineStr"/>
    </row>
    <row r="4634" ht="15" customHeight="1">
      <c r="A4634" t="inlineStr">
        <is>
          <t>A 44844-2025</t>
        </is>
      </c>
      <c r="B4634" s="1" t="n">
        <v>45918.43725694445</v>
      </c>
      <c r="C4634" s="1" t="n">
        <v>46086</v>
      </c>
      <c r="D4634" t="inlineStr">
        <is>
          <t>GÄVLEBORGS LÄN</t>
        </is>
      </c>
      <c r="E4634" t="inlineStr">
        <is>
          <t>LJUSDAL</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45058-2025</t>
        </is>
      </c>
      <c r="B4635" s="1" t="n">
        <v>45919.34226851852</v>
      </c>
      <c r="C4635" s="1" t="n">
        <v>46086</v>
      </c>
      <c r="D4635" t="inlineStr">
        <is>
          <t>GÄVLEBORGS LÄN</t>
        </is>
      </c>
      <c r="E4635" t="inlineStr">
        <is>
          <t>NORDANSTIG</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35037-2025</t>
        </is>
      </c>
      <c r="B4636" s="1" t="n">
        <v>45852</v>
      </c>
      <c r="C4636" s="1" t="n">
        <v>46086</v>
      </c>
      <c r="D4636" t="inlineStr">
        <is>
          <t>GÄVLEBORGS LÄN</t>
        </is>
      </c>
      <c r="E4636" t="inlineStr">
        <is>
          <t>LJUSDAL</t>
        </is>
      </c>
      <c r="F4636" t="inlineStr">
        <is>
          <t>Bergvik skog väst AB</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45189-2025</t>
        </is>
      </c>
      <c r="B4637" s="1" t="n">
        <v>45919.54337962963</v>
      </c>
      <c r="C4637" s="1" t="n">
        <v>46086</v>
      </c>
      <c r="D4637" t="inlineStr">
        <is>
          <t>GÄVLEBORGS LÄN</t>
        </is>
      </c>
      <c r="E4637" t="inlineStr">
        <is>
          <t>LJUSDAL</t>
        </is>
      </c>
      <c r="F4637" t="inlineStr">
        <is>
          <t>Sveaskog</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45194-2025</t>
        </is>
      </c>
      <c r="B4638" s="1" t="n">
        <v>45919.55409722222</v>
      </c>
      <c r="C4638" s="1" t="n">
        <v>46086</v>
      </c>
      <c r="D4638" t="inlineStr">
        <is>
          <t>GÄVLEBORGS LÄN</t>
        </is>
      </c>
      <c r="E4638" t="inlineStr">
        <is>
          <t>SÖDERHAMN</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45198-2025</t>
        </is>
      </c>
      <c r="B4639" s="1" t="n">
        <v>45919.56082175926</v>
      </c>
      <c r="C4639" s="1" t="n">
        <v>46086</v>
      </c>
      <c r="D4639" t="inlineStr">
        <is>
          <t>GÄVLEBORGS LÄN</t>
        </is>
      </c>
      <c r="E4639" t="inlineStr">
        <is>
          <t>LJUSDAL</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37253-2024</t>
        </is>
      </c>
      <c r="B4640" s="1" t="n">
        <v>45540.36526620371</v>
      </c>
      <c r="C4640" s="1" t="n">
        <v>46086</v>
      </c>
      <c r="D4640" t="inlineStr">
        <is>
          <t>GÄVLEBORGS LÄN</t>
        </is>
      </c>
      <c r="E4640" t="inlineStr">
        <is>
          <t>GÄVLE</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45272-2025</t>
        </is>
      </c>
      <c r="B4641" s="1" t="n">
        <v>45919.69231481481</v>
      </c>
      <c r="C4641" s="1" t="n">
        <v>46086</v>
      </c>
      <c r="D4641" t="inlineStr">
        <is>
          <t>GÄVLEBORGS LÄN</t>
        </is>
      </c>
      <c r="E4641" t="inlineStr">
        <is>
          <t>LJUSDAL</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35017-2025</t>
        </is>
      </c>
      <c r="B4642" s="1" t="n">
        <v>45851</v>
      </c>
      <c r="C4642" s="1" t="n">
        <v>46086</v>
      </c>
      <c r="D4642" t="inlineStr">
        <is>
          <t>GÄVLEBORGS LÄN</t>
        </is>
      </c>
      <c r="E4642" t="inlineStr">
        <is>
          <t>OCKELBO</t>
        </is>
      </c>
      <c r="F4642" t="inlineStr">
        <is>
          <t>Bergvik skog väst AB</t>
        </is>
      </c>
      <c r="G4642" t="n">
        <v>27.8</v>
      </c>
      <c r="H4642" t="n">
        <v>0</v>
      </c>
      <c r="I4642" t="n">
        <v>0</v>
      </c>
      <c r="J4642" t="n">
        <v>0</v>
      </c>
      <c r="K4642" t="n">
        <v>0</v>
      </c>
      <c r="L4642" t="n">
        <v>0</v>
      </c>
      <c r="M4642" t="n">
        <v>0</v>
      </c>
      <c r="N4642" t="n">
        <v>0</v>
      </c>
      <c r="O4642" t="n">
        <v>0</v>
      </c>
      <c r="P4642" t="n">
        <v>0</v>
      </c>
      <c r="Q4642" t="n">
        <v>0</v>
      </c>
      <c r="R4642" s="2" t="inlineStr"/>
    </row>
    <row r="4643" ht="15" customHeight="1">
      <c r="A4643" t="inlineStr">
        <is>
          <t>A 46075-2024</t>
        </is>
      </c>
      <c r="B4643" s="1" t="n">
        <v>45581.32696759259</v>
      </c>
      <c r="C4643" s="1" t="n">
        <v>46086</v>
      </c>
      <c r="D4643" t="inlineStr">
        <is>
          <t>GÄVLEBORGS LÄN</t>
        </is>
      </c>
      <c r="E4643" t="inlineStr">
        <is>
          <t>LJUSDAL</t>
        </is>
      </c>
      <c r="F4643" t="inlineStr">
        <is>
          <t>Bergvik skog väst AB</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35075-2025</t>
        </is>
      </c>
      <c r="B4644" s="1" t="n">
        <v>45852.48225694444</v>
      </c>
      <c r="C4644" s="1" t="n">
        <v>46086</v>
      </c>
      <c r="D4644" t="inlineStr">
        <is>
          <t>GÄVLEBORGS LÄN</t>
        </is>
      </c>
      <c r="E4644" t="inlineStr">
        <is>
          <t>OVANÅKER</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35100-2025</t>
        </is>
      </c>
      <c r="B4645" s="1" t="n">
        <v>45852.56472222223</v>
      </c>
      <c r="C4645" s="1" t="n">
        <v>46086</v>
      </c>
      <c r="D4645" t="inlineStr">
        <is>
          <t>GÄVLEBORGS LÄN</t>
        </is>
      </c>
      <c r="E4645" t="inlineStr">
        <is>
          <t>HUDIKSVALL</t>
        </is>
      </c>
      <c r="F4645" t="inlineStr">
        <is>
          <t>Holmen skog AB</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19605-2025</t>
        </is>
      </c>
      <c r="B4646" s="1" t="n">
        <v>45770.59724537037</v>
      </c>
      <c r="C4646" s="1" t="n">
        <v>46086</v>
      </c>
      <c r="D4646" t="inlineStr">
        <is>
          <t>GÄVLEBORGS LÄN</t>
        </is>
      </c>
      <c r="E4646" t="inlineStr">
        <is>
          <t>HUDIKSVALL</t>
        </is>
      </c>
      <c r="F4646" t="inlineStr">
        <is>
          <t>Holmen skog AB</t>
        </is>
      </c>
      <c r="G4646" t="n">
        <v>9.5</v>
      </c>
      <c r="H4646" t="n">
        <v>0</v>
      </c>
      <c r="I4646" t="n">
        <v>0</v>
      </c>
      <c r="J4646" t="n">
        <v>0</v>
      </c>
      <c r="K4646" t="n">
        <v>0</v>
      </c>
      <c r="L4646" t="n">
        <v>0</v>
      </c>
      <c r="M4646" t="n">
        <v>0</v>
      </c>
      <c r="N4646" t="n">
        <v>0</v>
      </c>
      <c r="O4646" t="n">
        <v>0</v>
      </c>
      <c r="P4646" t="n">
        <v>0</v>
      </c>
      <c r="Q4646" t="n">
        <v>0</v>
      </c>
      <c r="R4646" s="2" t="inlineStr"/>
    </row>
    <row r="4647" ht="15" customHeight="1">
      <c r="A4647" t="inlineStr">
        <is>
          <t>A 3823-2026</t>
        </is>
      </c>
      <c r="B4647" s="1" t="n">
        <v>46043</v>
      </c>
      <c r="C4647" s="1" t="n">
        <v>46086</v>
      </c>
      <c r="D4647" t="inlineStr">
        <is>
          <t>GÄVLEBORGS LÄN</t>
        </is>
      </c>
      <c r="E4647" t="inlineStr">
        <is>
          <t>HUDIKSVALL</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11017-2025</t>
        </is>
      </c>
      <c r="B4648" s="1" t="n">
        <v>45723</v>
      </c>
      <c r="C4648" s="1" t="n">
        <v>46086</v>
      </c>
      <c r="D4648" t="inlineStr">
        <is>
          <t>GÄVLEBORGS LÄN</t>
        </is>
      </c>
      <c r="E4648" t="inlineStr">
        <is>
          <t>HUDIKSVALL</t>
        </is>
      </c>
      <c r="G4648" t="n">
        <v>6.8</v>
      </c>
      <c r="H4648" t="n">
        <v>0</v>
      </c>
      <c r="I4648" t="n">
        <v>0</v>
      </c>
      <c r="J4648" t="n">
        <v>0</v>
      </c>
      <c r="K4648" t="n">
        <v>0</v>
      </c>
      <c r="L4648" t="n">
        <v>0</v>
      </c>
      <c r="M4648" t="n">
        <v>0</v>
      </c>
      <c r="N4648" t="n">
        <v>0</v>
      </c>
      <c r="O4648" t="n">
        <v>0</v>
      </c>
      <c r="P4648" t="n">
        <v>0</v>
      </c>
      <c r="Q4648" t="n">
        <v>0</v>
      </c>
      <c r="R4648" s="2" t="inlineStr"/>
    </row>
    <row r="4649" ht="15" customHeight="1">
      <c r="A4649" t="inlineStr">
        <is>
          <t>A 35357-2025</t>
        </is>
      </c>
      <c r="B4649" s="1" t="n">
        <v>45853</v>
      </c>
      <c r="C4649" s="1" t="n">
        <v>46086</v>
      </c>
      <c r="D4649" t="inlineStr">
        <is>
          <t>GÄVLEBORGS LÄN</t>
        </is>
      </c>
      <c r="E4649" t="inlineStr">
        <is>
          <t>LJUSDAL</t>
        </is>
      </c>
      <c r="F4649" t="inlineStr">
        <is>
          <t>Sveaskog</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45239-2025</t>
        </is>
      </c>
      <c r="B4650" s="1" t="n">
        <v>45919.59678240741</v>
      </c>
      <c r="C4650" s="1" t="n">
        <v>46086</v>
      </c>
      <c r="D4650" t="inlineStr">
        <is>
          <t>GÄVLEBORGS LÄN</t>
        </is>
      </c>
      <c r="E4650" t="inlineStr">
        <is>
          <t>BOLLNÄS</t>
        </is>
      </c>
      <c r="F4650" t="inlineStr">
        <is>
          <t>Bergvik skog väst AB</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71645-2021</t>
        </is>
      </c>
      <c r="B4651" s="1" t="n">
        <v>44543.34858796297</v>
      </c>
      <c r="C4651" s="1" t="n">
        <v>46086</v>
      </c>
      <c r="D4651" t="inlineStr">
        <is>
          <t>GÄVLEBORGS LÄN</t>
        </is>
      </c>
      <c r="E4651" t="inlineStr">
        <is>
          <t>SÖDERHAMN</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35169-2025</t>
        </is>
      </c>
      <c r="B4652" s="1" t="n">
        <v>45852</v>
      </c>
      <c r="C4652" s="1" t="n">
        <v>46086</v>
      </c>
      <c r="D4652" t="inlineStr">
        <is>
          <t>GÄVLEBORGS LÄN</t>
        </is>
      </c>
      <c r="E4652" t="inlineStr">
        <is>
          <t>BOLLNÄS</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70043-2021</t>
        </is>
      </c>
      <c r="B4653" s="1" t="n">
        <v>44533</v>
      </c>
      <c r="C4653" s="1" t="n">
        <v>46086</v>
      </c>
      <c r="D4653" t="inlineStr">
        <is>
          <t>GÄVLEBORGS LÄN</t>
        </is>
      </c>
      <c r="E4653" t="inlineStr">
        <is>
          <t>GÄVLE</t>
        </is>
      </c>
      <c r="F4653" t="inlineStr">
        <is>
          <t>Bergvik skog öst AB</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35128-2025</t>
        </is>
      </c>
      <c r="B4654" s="1" t="n">
        <v>45852.62730324074</v>
      </c>
      <c r="C4654" s="1" t="n">
        <v>46086</v>
      </c>
      <c r="D4654" t="inlineStr">
        <is>
          <t>GÄVLEBORGS LÄN</t>
        </is>
      </c>
      <c r="E4654" t="inlineStr">
        <is>
          <t>HUDIKSVALL</t>
        </is>
      </c>
      <c r="F4654" t="inlineStr">
        <is>
          <t>Holmen skog AB</t>
        </is>
      </c>
      <c r="G4654" t="n">
        <v>4.8</v>
      </c>
      <c r="H4654" t="n">
        <v>0</v>
      </c>
      <c r="I4654" t="n">
        <v>0</v>
      </c>
      <c r="J4654" t="n">
        <v>0</v>
      </c>
      <c r="K4654" t="n">
        <v>0</v>
      </c>
      <c r="L4654" t="n">
        <v>0</v>
      </c>
      <c r="M4654" t="n">
        <v>0</v>
      </c>
      <c r="N4654" t="n">
        <v>0</v>
      </c>
      <c r="O4654" t="n">
        <v>0</v>
      </c>
      <c r="P4654" t="n">
        <v>0</v>
      </c>
      <c r="Q4654" t="n">
        <v>0</v>
      </c>
      <c r="R4654" s="2" t="inlineStr"/>
    </row>
    <row r="4655" ht="15" customHeight="1">
      <c r="A4655" t="inlineStr">
        <is>
          <t>A 42217-2024</t>
        </is>
      </c>
      <c r="B4655" s="1" t="n">
        <v>45562.54127314815</v>
      </c>
      <c r="C4655" s="1" t="n">
        <v>46086</v>
      </c>
      <c r="D4655" t="inlineStr">
        <is>
          <t>GÄVLEBORGS LÄN</t>
        </is>
      </c>
      <c r="E4655" t="inlineStr">
        <is>
          <t>HUDIKSVALL</t>
        </is>
      </c>
      <c r="F4655" t="inlineStr">
        <is>
          <t>Holmen skog AB</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35069-2025</t>
        </is>
      </c>
      <c r="B4656" s="1" t="n">
        <v>45852.46069444445</v>
      </c>
      <c r="C4656" s="1" t="n">
        <v>46086</v>
      </c>
      <c r="D4656" t="inlineStr">
        <is>
          <t>GÄVLEBORGS LÄN</t>
        </is>
      </c>
      <c r="E4656" t="inlineStr">
        <is>
          <t>OVANÅKER</t>
        </is>
      </c>
      <c r="F4656" t="inlineStr">
        <is>
          <t>Bergvik skog väst AB</t>
        </is>
      </c>
      <c r="G4656" t="n">
        <v>5.6</v>
      </c>
      <c r="H4656" t="n">
        <v>0</v>
      </c>
      <c r="I4656" t="n">
        <v>0</v>
      </c>
      <c r="J4656" t="n">
        <v>0</v>
      </c>
      <c r="K4656" t="n">
        <v>0</v>
      </c>
      <c r="L4656" t="n">
        <v>0</v>
      </c>
      <c r="M4656" t="n">
        <v>0</v>
      </c>
      <c r="N4656" t="n">
        <v>0</v>
      </c>
      <c r="O4656" t="n">
        <v>0</v>
      </c>
      <c r="P4656" t="n">
        <v>0</v>
      </c>
      <c r="Q4656" t="n">
        <v>0</v>
      </c>
      <c r="R4656" s="2" t="inlineStr"/>
    </row>
    <row r="4657" ht="15" customHeight="1">
      <c r="A4657" t="inlineStr">
        <is>
          <t>A 3843-2026</t>
        </is>
      </c>
      <c r="B4657" s="1" t="n">
        <v>46043.60003472222</v>
      </c>
      <c r="C4657" s="1" t="n">
        <v>46086</v>
      </c>
      <c r="D4657" t="inlineStr">
        <is>
          <t>GÄVLEBORGS LÄN</t>
        </is>
      </c>
      <c r="E4657" t="inlineStr">
        <is>
          <t>NORDANSTIG</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3864-2026</t>
        </is>
      </c>
      <c r="B4658" s="1" t="n">
        <v>46043</v>
      </c>
      <c r="C4658" s="1" t="n">
        <v>46086</v>
      </c>
      <c r="D4658" t="inlineStr">
        <is>
          <t>GÄVLEBORGS LÄN</t>
        </is>
      </c>
      <c r="E4658" t="inlineStr">
        <is>
          <t>BOLLNÄS</t>
        </is>
      </c>
      <c r="F4658" t="inlineStr">
        <is>
          <t>Bergvik skog väst AB</t>
        </is>
      </c>
      <c r="G4658" t="n">
        <v>5</v>
      </c>
      <c r="H4658" t="n">
        <v>0</v>
      </c>
      <c r="I4658" t="n">
        <v>0</v>
      </c>
      <c r="J4658" t="n">
        <v>0</v>
      </c>
      <c r="K4658" t="n">
        <v>0</v>
      </c>
      <c r="L4658" t="n">
        <v>0</v>
      </c>
      <c r="M4658" t="n">
        <v>0</v>
      </c>
      <c r="N4658" t="n">
        <v>0</v>
      </c>
      <c r="O4658" t="n">
        <v>0</v>
      </c>
      <c r="P4658" t="n">
        <v>0</v>
      </c>
      <c r="Q4658" t="n">
        <v>0</v>
      </c>
      <c r="R4658" s="2" t="inlineStr"/>
    </row>
    <row r="4659" ht="15" customHeight="1">
      <c r="A4659" t="inlineStr">
        <is>
          <t>A 35088-2025</t>
        </is>
      </c>
      <c r="B4659" s="1" t="n">
        <v>45852.51938657407</v>
      </c>
      <c r="C4659" s="1" t="n">
        <v>46086</v>
      </c>
      <c r="D4659" t="inlineStr">
        <is>
          <t>GÄVLEBORGS LÄN</t>
        </is>
      </c>
      <c r="E4659" t="inlineStr">
        <is>
          <t>LJUSDAL</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35222-2025</t>
        </is>
      </c>
      <c r="B4660" s="1" t="n">
        <v>45853.54243055556</v>
      </c>
      <c r="C4660" s="1" t="n">
        <v>46086</v>
      </c>
      <c r="D4660" t="inlineStr">
        <is>
          <t>GÄVLEBORGS LÄN</t>
        </is>
      </c>
      <c r="E4660" t="inlineStr">
        <is>
          <t>LJUSDAL</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45224-2025</t>
        </is>
      </c>
      <c r="B4661" s="1" t="n">
        <v>45919.58016203704</v>
      </c>
      <c r="C4661" s="1" t="n">
        <v>46086</v>
      </c>
      <c r="D4661" t="inlineStr">
        <is>
          <t>GÄVLEBORGS LÄN</t>
        </is>
      </c>
      <c r="E4661" t="inlineStr">
        <is>
          <t>BOLLNÄS</t>
        </is>
      </c>
      <c r="F4661" t="inlineStr">
        <is>
          <t>Bergvik skog väst AB</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45069-2025</t>
        </is>
      </c>
      <c r="B4662" s="1" t="n">
        <v>45919</v>
      </c>
      <c r="C4662" s="1" t="n">
        <v>46086</v>
      </c>
      <c r="D4662" t="inlineStr">
        <is>
          <t>GÄVLEBORGS LÄN</t>
        </is>
      </c>
      <c r="E4662" t="inlineStr">
        <is>
          <t>OVANÅKER</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45075-2025</t>
        </is>
      </c>
      <c r="B4663" s="1" t="n">
        <v>45919.36184027778</v>
      </c>
      <c r="C4663" s="1" t="n">
        <v>46086</v>
      </c>
      <c r="D4663" t="inlineStr">
        <is>
          <t>GÄVLEBORGS LÄN</t>
        </is>
      </c>
      <c r="E4663" t="inlineStr">
        <is>
          <t>HUDIKSVALL</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32577-2021</t>
        </is>
      </c>
      <c r="B4664" s="1" t="n">
        <v>44375.35237268519</v>
      </c>
      <c r="C4664" s="1" t="n">
        <v>46086</v>
      </c>
      <c r="D4664" t="inlineStr">
        <is>
          <t>GÄVLEBORGS LÄN</t>
        </is>
      </c>
      <c r="E4664" t="inlineStr">
        <is>
          <t>HUDIKSVALL</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41221-2022</t>
        </is>
      </c>
      <c r="B4665" s="1" t="n">
        <v>44826</v>
      </c>
      <c r="C4665" s="1" t="n">
        <v>46086</v>
      </c>
      <c r="D4665" t="inlineStr">
        <is>
          <t>GÄVLEBORGS LÄN</t>
        </is>
      </c>
      <c r="E4665" t="inlineStr">
        <is>
          <t>SÖDERHAMN</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35255-2025</t>
        </is>
      </c>
      <c r="B4666" s="1" t="n">
        <v>45853</v>
      </c>
      <c r="C4666" s="1" t="n">
        <v>46086</v>
      </c>
      <c r="D4666" t="inlineStr">
        <is>
          <t>GÄVLEBORGS LÄN</t>
        </is>
      </c>
      <c r="E4666" t="inlineStr">
        <is>
          <t>LJUSDAL</t>
        </is>
      </c>
      <c r="F4666" t="inlineStr">
        <is>
          <t>Sveaskog</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45136-2025</t>
        </is>
      </c>
      <c r="B4667" s="1" t="n">
        <v>45919.45300925926</v>
      </c>
      <c r="C4667" s="1" t="n">
        <v>46086</v>
      </c>
      <c r="D4667" t="inlineStr">
        <is>
          <t>GÄVLEBORGS LÄN</t>
        </is>
      </c>
      <c r="E4667" t="inlineStr">
        <is>
          <t>HUDIKSVALL</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3447-2026</t>
        </is>
      </c>
      <c r="B4668" s="1" t="n">
        <v>46042.48484953704</v>
      </c>
      <c r="C4668" s="1" t="n">
        <v>46086</v>
      </c>
      <c r="D4668" t="inlineStr">
        <is>
          <t>GÄVLEBORGS LÄN</t>
        </is>
      </c>
      <c r="E4668" t="inlineStr">
        <is>
          <t>NORDANSTIG</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3405-2026</t>
        </is>
      </c>
      <c r="B4669" s="1" t="n">
        <v>46042</v>
      </c>
      <c r="C4669" s="1" t="n">
        <v>46086</v>
      </c>
      <c r="D4669" t="inlineStr">
        <is>
          <t>GÄVLEBORGS LÄN</t>
        </is>
      </c>
      <c r="E4669" t="inlineStr">
        <is>
          <t>BOLLNÄS</t>
        </is>
      </c>
      <c r="G4669" t="n">
        <v>4.7</v>
      </c>
      <c r="H4669" t="n">
        <v>0</v>
      </c>
      <c r="I4669" t="n">
        <v>0</v>
      </c>
      <c r="J4669" t="n">
        <v>0</v>
      </c>
      <c r="K4669" t="n">
        <v>0</v>
      </c>
      <c r="L4669" t="n">
        <v>0</v>
      </c>
      <c r="M4669" t="n">
        <v>0</v>
      </c>
      <c r="N4669" t="n">
        <v>0</v>
      </c>
      <c r="O4669" t="n">
        <v>0</v>
      </c>
      <c r="P4669" t="n">
        <v>0</v>
      </c>
      <c r="Q4669" t="n">
        <v>0</v>
      </c>
      <c r="R4669" s="2" t="inlineStr"/>
    </row>
    <row r="4670" ht="15" customHeight="1">
      <c r="A4670" t="inlineStr">
        <is>
          <t>A 4196-2026</t>
        </is>
      </c>
      <c r="B4670" s="1" t="n">
        <v>46044</v>
      </c>
      <c r="C4670" s="1" t="n">
        <v>46086</v>
      </c>
      <c r="D4670" t="inlineStr">
        <is>
          <t>GÄVLEBORGS LÄN</t>
        </is>
      </c>
      <c r="E4670" t="inlineStr">
        <is>
          <t>OVANÅKER</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4844-2026</t>
        </is>
      </c>
      <c r="B4671" s="1" t="n">
        <v>46048</v>
      </c>
      <c r="C4671" s="1" t="n">
        <v>46086</v>
      </c>
      <c r="D4671" t="inlineStr">
        <is>
          <t>GÄVLEBORGS LÄN</t>
        </is>
      </c>
      <c r="E4671" t="inlineStr">
        <is>
          <t>HUDIKSVALL</t>
        </is>
      </c>
      <c r="G4671" t="n">
        <v>9.1</v>
      </c>
      <c r="H4671" t="n">
        <v>0</v>
      </c>
      <c r="I4671" t="n">
        <v>0</v>
      </c>
      <c r="J4671" t="n">
        <v>0</v>
      </c>
      <c r="K4671" t="n">
        <v>0</v>
      </c>
      <c r="L4671" t="n">
        <v>0</v>
      </c>
      <c r="M4671" t="n">
        <v>0</v>
      </c>
      <c r="N4671" t="n">
        <v>0</v>
      </c>
      <c r="O4671" t="n">
        <v>0</v>
      </c>
      <c r="P4671" t="n">
        <v>0</v>
      </c>
      <c r="Q4671" t="n">
        <v>0</v>
      </c>
      <c r="R4671" s="2" t="inlineStr"/>
    </row>
    <row r="4672" ht="15" customHeight="1">
      <c r="A4672" t="inlineStr">
        <is>
          <t>A 3909-2026</t>
        </is>
      </c>
      <c r="B4672" s="1" t="n">
        <v>46043.70579861111</v>
      </c>
      <c r="C4672" s="1" t="n">
        <v>46086</v>
      </c>
      <c r="D4672" t="inlineStr">
        <is>
          <t>GÄVLEBORGS LÄN</t>
        </is>
      </c>
      <c r="E4672" t="inlineStr">
        <is>
          <t>SANDVIKEN</t>
        </is>
      </c>
      <c r="G4672" t="n">
        <v>4.8</v>
      </c>
      <c r="H4672" t="n">
        <v>0</v>
      </c>
      <c r="I4672" t="n">
        <v>0</v>
      </c>
      <c r="J4672" t="n">
        <v>0</v>
      </c>
      <c r="K4672" t="n">
        <v>0</v>
      </c>
      <c r="L4672" t="n">
        <v>0</v>
      </c>
      <c r="M4672" t="n">
        <v>0</v>
      </c>
      <c r="N4672" t="n">
        <v>0</v>
      </c>
      <c r="O4672" t="n">
        <v>0</v>
      </c>
      <c r="P4672" t="n">
        <v>0</v>
      </c>
      <c r="Q4672" t="n">
        <v>0</v>
      </c>
      <c r="R4672" s="2" t="inlineStr"/>
    </row>
    <row r="4673" ht="15" customHeight="1">
      <c r="A4673" t="inlineStr">
        <is>
          <t>A 10469-2026</t>
        </is>
      </c>
      <c r="B4673" s="1" t="n">
        <v>46077</v>
      </c>
      <c r="C4673" s="1" t="n">
        <v>46086</v>
      </c>
      <c r="D4673" t="inlineStr">
        <is>
          <t>GÄVLEBORGS LÄN</t>
        </is>
      </c>
      <c r="E4673" t="inlineStr">
        <is>
          <t>BOLLNÄS</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3907-2026</t>
        </is>
      </c>
      <c r="B4674" s="1" t="n">
        <v>46043.70402777778</v>
      </c>
      <c r="C4674" s="1" t="n">
        <v>46086</v>
      </c>
      <c r="D4674" t="inlineStr">
        <is>
          <t>GÄVLEBORGS LÄN</t>
        </is>
      </c>
      <c r="E4674" t="inlineStr">
        <is>
          <t>BOLLNÄS</t>
        </is>
      </c>
      <c r="G4674" t="n">
        <v>11.7</v>
      </c>
      <c r="H4674" t="n">
        <v>0</v>
      </c>
      <c r="I4674" t="n">
        <v>0</v>
      </c>
      <c r="J4674" t="n">
        <v>0</v>
      </c>
      <c r="K4674" t="n">
        <v>0</v>
      </c>
      <c r="L4674" t="n">
        <v>0</v>
      </c>
      <c r="M4674" t="n">
        <v>0</v>
      </c>
      <c r="N4674" t="n">
        <v>0</v>
      </c>
      <c r="O4674" t="n">
        <v>0</v>
      </c>
      <c r="P4674" t="n">
        <v>0</v>
      </c>
      <c r="Q4674" t="n">
        <v>0</v>
      </c>
      <c r="R4674" s="2" t="inlineStr"/>
    </row>
    <row r="4675" ht="15" customHeight="1">
      <c r="A4675" t="inlineStr">
        <is>
          <t>A 3908-2026</t>
        </is>
      </c>
      <c r="B4675" s="1" t="n">
        <v>46043.70530092593</v>
      </c>
      <c r="C4675" s="1" t="n">
        <v>46086</v>
      </c>
      <c r="D4675" t="inlineStr">
        <is>
          <t>GÄVLEBORGS LÄN</t>
        </is>
      </c>
      <c r="E4675" t="inlineStr">
        <is>
          <t>BOLLNÄS</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35095-2025</t>
        </is>
      </c>
      <c r="B4676" s="1" t="n">
        <v>45852.5432175926</v>
      </c>
      <c r="C4676" s="1" t="n">
        <v>46086</v>
      </c>
      <c r="D4676" t="inlineStr">
        <is>
          <t>GÄVLEBORGS LÄN</t>
        </is>
      </c>
      <c r="E4676" t="inlineStr">
        <is>
          <t>BOLLNÄS</t>
        </is>
      </c>
      <c r="F4676" t="inlineStr">
        <is>
          <t>Bergvik skog väst AB</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8611-2026</t>
        </is>
      </c>
      <c r="B4677" s="1" t="n">
        <v>46065</v>
      </c>
      <c r="C4677" s="1" t="n">
        <v>46086</v>
      </c>
      <c r="D4677" t="inlineStr">
        <is>
          <t>GÄVLEBORGS LÄN</t>
        </is>
      </c>
      <c r="E4677" t="inlineStr">
        <is>
          <t>SANDVIKEN</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8646-2026</t>
        </is>
      </c>
      <c r="B4678" s="1" t="n">
        <v>46066</v>
      </c>
      <c r="C4678" s="1" t="n">
        <v>46086</v>
      </c>
      <c r="D4678" t="inlineStr">
        <is>
          <t>GÄVLEBORGS LÄN</t>
        </is>
      </c>
      <c r="E4678" t="inlineStr">
        <is>
          <t>NORDANSTIG</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8718-2026</t>
        </is>
      </c>
      <c r="B4679" s="1" t="n">
        <v>46066</v>
      </c>
      <c r="C4679" s="1" t="n">
        <v>46086</v>
      </c>
      <c r="D4679" t="inlineStr">
        <is>
          <t>GÄVLEBORGS LÄN</t>
        </is>
      </c>
      <c r="E4679" t="inlineStr">
        <is>
          <t>BOLLNÄS</t>
        </is>
      </c>
      <c r="F4679" t="inlineStr">
        <is>
          <t>Bergvik skog väst AB</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11695-2026</t>
        </is>
      </c>
      <c r="B4680" s="1" t="n">
        <v>46084.60431712963</v>
      </c>
      <c r="C4680" s="1" t="n">
        <v>46086</v>
      </c>
      <c r="D4680" t="inlineStr">
        <is>
          <t>GÄVLEBORGS LÄN</t>
        </is>
      </c>
      <c r="E4680" t="inlineStr">
        <is>
          <t>OVANÅKER</t>
        </is>
      </c>
      <c r="F4680" t="inlineStr">
        <is>
          <t>Bergvik skog öst AB</t>
        </is>
      </c>
      <c r="G4680" t="n">
        <v>13.9</v>
      </c>
      <c r="H4680" t="n">
        <v>0</v>
      </c>
      <c r="I4680" t="n">
        <v>0</v>
      </c>
      <c r="J4680" t="n">
        <v>0</v>
      </c>
      <c r="K4680" t="n">
        <v>0</v>
      </c>
      <c r="L4680" t="n">
        <v>0</v>
      </c>
      <c r="M4680" t="n">
        <v>0</v>
      </c>
      <c r="N4680" t="n">
        <v>0</v>
      </c>
      <c r="O4680" t="n">
        <v>0</v>
      </c>
      <c r="P4680" t="n">
        <v>0</v>
      </c>
      <c r="Q4680" t="n">
        <v>0</v>
      </c>
      <c r="R4680" s="2" t="inlineStr"/>
    </row>
    <row r="4681" ht="15" customHeight="1">
      <c r="A4681" t="inlineStr">
        <is>
          <t>A 8749-2026</t>
        </is>
      </c>
      <c r="B4681" s="1" t="n">
        <v>46066</v>
      </c>
      <c r="C4681" s="1" t="n">
        <v>46086</v>
      </c>
      <c r="D4681" t="inlineStr">
        <is>
          <t>GÄVLEBORGS LÄN</t>
        </is>
      </c>
      <c r="E4681" t="inlineStr">
        <is>
          <t>HOFORS</t>
        </is>
      </c>
      <c r="F4681" t="inlineStr">
        <is>
          <t>Sveaskog</t>
        </is>
      </c>
      <c r="G4681" t="n">
        <v>4.4</v>
      </c>
      <c r="H4681" t="n">
        <v>0</v>
      </c>
      <c r="I4681" t="n">
        <v>0</v>
      </c>
      <c r="J4681" t="n">
        <v>0</v>
      </c>
      <c r="K4681" t="n">
        <v>0</v>
      </c>
      <c r="L4681" t="n">
        <v>0</v>
      </c>
      <c r="M4681" t="n">
        <v>0</v>
      </c>
      <c r="N4681" t="n">
        <v>0</v>
      </c>
      <c r="O4681" t="n">
        <v>0</v>
      </c>
      <c r="P4681" t="n">
        <v>0</v>
      </c>
      <c r="Q4681" t="n">
        <v>0</v>
      </c>
      <c r="R4681" s="2" t="inlineStr"/>
    </row>
    <row r="4682" ht="15" customHeight="1">
      <c r="A4682" t="inlineStr">
        <is>
          <t>A 9382-2026</t>
        </is>
      </c>
      <c r="B4682" s="1" t="n">
        <v>46071</v>
      </c>
      <c r="C4682" s="1" t="n">
        <v>46086</v>
      </c>
      <c r="D4682" t="inlineStr">
        <is>
          <t>GÄVLEBORGS LÄN</t>
        </is>
      </c>
      <c r="E4682" t="inlineStr">
        <is>
          <t>HUDIKSVALL</t>
        </is>
      </c>
      <c r="F4682" t="inlineStr">
        <is>
          <t>Sveaskog</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9472-2026</t>
        </is>
      </c>
      <c r="B4683" s="1" t="n">
        <v>46071.51751157407</v>
      </c>
      <c r="C4683" s="1" t="n">
        <v>46086</v>
      </c>
      <c r="D4683" t="inlineStr">
        <is>
          <t>GÄVLEBORGS LÄN</t>
        </is>
      </c>
      <c r="E4683" t="inlineStr">
        <is>
          <t>SANDVIKEN</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11217-2026</t>
        </is>
      </c>
      <c r="B4684" s="1" t="n">
        <v>46080</v>
      </c>
      <c r="C4684" s="1" t="n">
        <v>46086</v>
      </c>
      <c r="D4684" t="inlineStr">
        <is>
          <t>GÄVLEBORGS LÄN</t>
        </is>
      </c>
      <c r="E4684" t="inlineStr">
        <is>
          <t>BOLLNÄS</t>
        </is>
      </c>
      <c r="F4684" t="inlineStr">
        <is>
          <t>Bergvik skog väst AB</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11218-2026</t>
        </is>
      </c>
      <c r="B4685" s="1" t="n">
        <v>46080</v>
      </c>
      <c r="C4685" s="1" t="n">
        <v>46086</v>
      </c>
      <c r="D4685" t="inlineStr">
        <is>
          <t>GÄVLEBORGS LÄN</t>
        </is>
      </c>
      <c r="E4685" t="inlineStr">
        <is>
          <t>BOLLNÄS</t>
        </is>
      </c>
      <c r="F4685" t="inlineStr">
        <is>
          <t>Bergvik skog väst AB</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21880-2023</t>
        </is>
      </c>
      <c r="B4686" s="1" t="n">
        <v>45068</v>
      </c>
      <c r="C4686" s="1" t="n">
        <v>46086</v>
      </c>
      <c r="D4686" t="inlineStr">
        <is>
          <t>GÄVLEBORGS LÄN</t>
        </is>
      </c>
      <c r="E4686" t="inlineStr">
        <is>
          <t>HUDIKSVALL</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43539-2023</t>
        </is>
      </c>
      <c r="B4687" s="1" t="n">
        <v>45184.54789351852</v>
      </c>
      <c r="C4687" s="1" t="n">
        <v>46086</v>
      </c>
      <c r="D4687" t="inlineStr">
        <is>
          <t>GÄVLEBORGS LÄN</t>
        </is>
      </c>
      <c r="E4687" t="inlineStr">
        <is>
          <t>NORDANSTIG</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3544-2026</t>
        </is>
      </c>
      <c r="B4688" s="1" t="n">
        <v>46042.64138888889</v>
      </c>
      <c r="C4688" s="1" t="n">
        <v>46086</v>
      </c>
      <c r="D4688" t="inlineStr">
        <is>
          <t>GÄVLEBORGS LÄN</t>
        </is>
      </c>
      <c r="E4688" t="inlineStr">
        <is>
          <t>OCKELBO</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3546-2026</t>
        </is>
      </c>
      <c r="B4689" s="1" t="n">
        <v>46042</v>
      </c>
      <c r="C4689" s="1" t="n">
        <v>46086</v>
      </c>
      <c r="D4689" t="inlineStr">
        <is>
          <t>GÄVLEBORGS LÄN</t>
        </is>
      </c>
      <c r="E4689" t="inlineStr">
        <is>
          <t>NORDANSTIG</t>
        </is>
      </c>
      <c r="F4689" t="inlineStr">
        <is>
          <t>Holmen skog AB</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44182-2023</t>
        </is>
      </c>
      <c r="B4690" s="1" t="n">
        <v>45188.52214120371</v>
      </c>
      <c r="C4690" s="1" t="n">
        <v>46086</v>
      </c>
      <c r="D4690" t="inlineStr">
        <is>
          <t>GÄVLEBORGS LÄN</t>
        </is>
      </c>
      <c r="E4690" t="inlineStr">
        <is>
          <t>HUDIKSVALL</t>
        </is>
      </c>
      <c r="F4690" t="inlineStr">
        <is>
          <t>Holmen skog AB</t>
        </is>
      </c>
      <c r="G4690" t="n">
        <v>14.6</v>
      </c>
      <c r="H4690" t="n">
        <v>0</v>
      </c>
      <c r="I4690" t="n">
        <v>0</v>
      </c>
      <c r="J4690" t="n">
        <v>0</v>
      </c>
      <c r="K4690" t="n">
        <v>0</v>
      </c>
      <c r="L4690" t="n">
        <v>0</v>
      </c>
      <c r="M4690" t="n">
        <v>0</v>
      </c>
      <c r="N4690" t="n">
        <v>0</v>
      </c>
      <c r="O4690" t="n">
        <v>0</v>
      </c>
      <c r="P4690" t="n">
        <v>0</v>
      </c>
      <c r="Q4690" t="n">
        <v>0</v>
      </c>
      <c r="R4690" s="2" t="inlineStr"/>
    </row>
    <row r="4691" ht="15" customHeight="1">
      <c r="A4691" t="inlineStr">
        <is>
          <t>A 3566-2026</t>
        </is>
      </c>
      <c r="B4691" s="1" t="n">
        <v>46042.67555555556</v>
      </c>
      <c r="C4691" s="1" t="n">
        <v>46086</v>
      </c>
      <c r="D4691" t="inlineStr">
        <is>
          <t>GÄVLEBORGS LÄN</t>
        </is>
      </c>
      <c r="E4691" t="inlineStr">
        <is>
          <t>SANDVIKEN</t>
        </is>
      </c>
      <c r="G4691" t="n">
        <v>5.3</v>
      </c>
      <c r="H4691" t="n">
        <v>0</v>
      </c>
      <c r="I4691" t="n">
        <v>0</v>
      </c>
      <c r="J4691" t="n">
        <v>0</v>
      </c>
      <c r="K4691" t="n">
        <v>0</v>
      </c>
      <c r="L4691" t="n">
        <v>0</v>
      </c>
      <c r="M4691" t="n">
        <v>0</v>
      </c>
      <c r="N4691" t="n">
        <v>0</v>
      </c>
      <c r="O4691" t="n">
        <v>0</v>
      </c>
      <c r="P4691" t="n">
        <v>0</v>
      </c>
      <c r="Q4691" t="n">
        <v>0</v>
      </c>
      <c r="R4691" s="2" t="inlineStr"/>
    </row>
    <row r="4692" ht="15" customHeight="1">
      <c r="A4692" t="inlineStr">
        <is>
          <t>A 11226-2026</t>
        </is>
      </c>
      <c r="B4692" s="1" t="n">
        <v>46080</v>
      </c>
      <c r="C4692" s="1" t="n">
        <v>46086</v>
      </c>
      <c r="D4692" t="inlineStr">
        <is>
          <t>GÄVLEBORGS LÄN</t>
        </is>
      </c>
      <c r="E4692" t="inlineStr">
        <is>
          <t>BOLLNÄS</t>
        </is>
      </c>
      <c r="F4692" t="inlineStr">
        <is>
          <t>Bergvik skog väst AB</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11894-2026</t>
        </is>
      </c>
      <c r="B4693" s="1" t="n">
        <v>46085.52964120371</v>
      </c>
      <c r="C4693" s="1" t="n">
        <v>46086</v>
      </c>
      <c r="D4693" t="inlineStr">
        <is>
          <t>GÄVLEBORGS LÄN</t>
        </is>
      </c>
      <c r="E4693" t="inlineStr">
        <is>
          <t>SANDVIKEN</t>
        </is>
      </c>
      <c r="G4693" t="n">
        <v>8.199999999999999</v>
      </c>
      <c r="H4693" t="n">
        <v>0</v>
      </c>
      <c r="I4693" t="n">
        <v>0</v>
      </c>
      <c r="J4693" t="n">
        <v>0</v>
      </c>
      <c r="K4693" t="n">
        <v>0</v>
      </c>
      <c r="L4693" t="n">
        <v>0</v>
      </c>
      <c r="M4693" t="n">
        <v>0</v>
      </c>
      <c r="N4693" t="n">
        <v>0</v>
      </c>
      <c r="O4693" t="n">
        <v>0</v>
      </c>
      <c r="P4693" t="n">
        <v>0</v>
      </c>
      <c r="Q4693" t="n">
        <v>0</v>
      </c>
      <c r="R4693" s="2" t="inlineStr"/>
    </row>
    <row r="4694" ht="15" customHeight="1">
      <c r="A4694" t="inlineStr">
        <is>
          <t>A 11895-2026</t>
        </is>
      </c>
      <c r="B4694" s="1" t="n">
        <v>46085.53181712963</v>
      </c>
      <c r="C4694" s="1" t="n">
        <v>46086</v>
      </c>
      <c r="D4694" t="inlineStr">
        <is>
          <t>GÄVLEBORGS LÄN</t>
        </is>
      </c>
      <c r="E4694" t="inlineStr">
        <is>
          <t>NORDANSTIG</t>
        </is>
      </c>
      <c r="G4694" t="n">
        <v>21.2</v>
      </c>
      <c r="H4694" t="n">
        <v>0</v>
      </c>
      <c r="I4694" t="n">
        <v>0</v>
      </c>
      <c r="J4694" t="n">
        <v>0</v>
      </c>
      <c r="K4694" t="n">
        <v>0</v>
      </c>
      <c r="L4694" t="n">
        <v>0</v>
      </c>
      <c r="M4694" t="n">
        <v>0</v>
      </c>
      <c r="N4694" t="n">
        <v>0</v>
      </c>
      <c r="O4694" t="n">
        <v>0</v>
      </c>
      <c r="P4694" t="n">
        <v>0</v>
      </c>
      <c r="Q4694" t="n">
        <v>0</v>
      </c>
      <c r="R4694" s="2" t="inlineStr"/>
    </row>
    <row r="4695" ht="15" customHeight="1">
      <c r="A4695" t="inlineStr">
        <is>
          <t>A 11899-2026</t>
        </is>
      </c>
      <c r="B4695" s="1" t="n">
        <v>46085.53903935185</v>
      </c>
      <c r="C4695" s="1" t="n">
        <v>46086</v>
      </c>
      <c r="D4695" t="inlineStr">
        <is>
          <t>GÄVLEBORGS LÄN</t>
        </is>
      </c>
      <c r="E4695" t="inlineStr">
        <is>
          <t>SANDVIKEN</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11905-2026</t>
        </is>
      </c>
      <c r="B4696" s="1" t="n">
        <v>46085.54347222222</v>
      </c>
      <c r="C4696" s="1" t="n">
        <v>46086</v>
      </c>
      <c r="D4696" t="inlineStr">
        <is>
          <t>GÄVLEBORGS LÄN</t>
        </is>
      </c>
      <c r="E4696" t="inlineStr">
        <is>
          <t>SANDVIKEN</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11906-2026</t>
        </is>
      </c>
      <c r="B4697" s="1" t="n">
        <v>46085.54364583334</v>
      </c>
      <c r="C4697" s="1" t="n">
        <v>46086</v>
      </c>
      <c r="D4697" t="inlineStr">
        <is>
          <t>GÄVLEBORGS LÄN</t>
        </is>
      </c>
      <c r="E4697" t="inlineStr">
        <is>
          <t>BOLLNÄS</t>
        </is>
      </c>
      <c r="F4697" t="inlineStr">
        <is>
          <t>Bergvik skog väst AB</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11206-2026</t>
        </is>
      </c>
      <c r="B4698" s="1" t="n">
        <v>46080</v>
      </c>
      <c r="C4698" s="1" t="n">
        <v>46086</v>
      </c>
      <c r="D4698" t="inlineStr">
        <is>
          <t>GÄVLEBORGS LÄN</t>
        </is>
      </c>
      <c r="E4698" t="inlineStr">
        <is>
          <t>BOLLNÄS</t>
        </is>
      </c>
      <c r="F4698" t="inlineStr">
        <is>
          <t>Bergvik skog väst AB</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11989-2026</t>
        </is>
      </c>
      <c r="B4699" s="1" t="n">
        <v>46085.65552083333</v>
      </c>
      <c r="C4699" s="1" t="n">
        <v>46086</v>
      </c>
      <c r="D4699" t="inlineStr">
        <is>
          <t>GÄVLEBORGS LÄN</t>
        </is>
      </c>
      <c r="E4699" t="inlineStr">
        <is>
          <t>BOLLNÄS</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12013-2026</t>
        </is>
      </c>
      <c r="B4700" s="1" t="n">
        <v>46085.69461805555</v>
      </c>
      <c r="C4700" s="1" t="n">
        <v>46086</v>
      </c>
      <c r="D4700" t="inlineStr">
        <is>
          <t>GÄVLEBORGS LÄN</t>
        </is>
      </c>
      <c r="E4700" t="inlineStr">
        <is>
          <t>BOLLNÄS</t>
        </is>
      </c>
      <c r="F4700" t="inlineStr">
        <is>
          <t>Kyrkan</t>
        </is>
      </c>
      <c r="G4700" t="n">
        <v>4.7</v>
      </c>
      <c r="H4700" t="n">
        <v>0</v>
      </c>
      <c r="I4700" t="n">
        <v>0</v>
      </c>
      <c r="J4700" t="n">
        <v>0</v>
      </c>
      <c r="K4700" t="n">
        <v>0</v>
      </c>
      <c r="L4700" t="n">
        <v>0</v>
      </c>
      <c r="M4700" t="n">
        <v>0</v>
      </c>
      <c r="N4700" t="n">
        <v>0</v>
      </c>
      <c r="O4700" t="n">
        <v>0</v>
      </c>
      <c r="P4700" t="n">
        <v>0</v>
      </c>
      <c r="Q4700" t="n">
        <v>0</v>
      </c>
      <c r="R4700" s="2" t="inlineStr"/>
    </row>
    <row r="4701" ht="15" customHeight="1">
      <c r="A4701" t="inlineStr">
        <is>
          <t>A 52221-2024</t>
        </is>
      </c>
      <c r="B4701" s="1" t="n">
        <v>45608.6054050926</v>
      </c>
      <c r="C4701" s="1" t="n">
        <v>46086</v>
      </c>
      <c r="D4701" t="inlineStr">
        <is>
          <t>GÄVLEBORGS LÄN</t>
        </is>
      </c>
      <c r="E4701" t="inlineStr">
        <is>
          <t>HUDIKSVALL</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3718-2025</t>
        </is>
      </c>
      <c r="B4702" s="1" t="n">
        <v>45681.5280787037</v>
      </c>
      <c r="C4702" s="1" t="n">
        <v>46086</v>
      </c>
      <c r="D4702" t="inlineStr">
        <is>
          <t>GÄVLEBORGS LÄN</t>
        </is>
      </c>
      <c r="E4702" t="inlineStr">
        <is>
          <t>GÄVLE</t>
        </is>
      </c>
      <c r="F4702" t="inlineStr">
        <is>
          <t>Bergvik skog öst AB</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1192-2026</t>
        </is>
      </c>
      <c r="B4703" s="1" t="n">
        <v>46031</v>
      </c>
      <c r="C4703" s="1" t="n">
        <v>46086</v>
      </c>
      <c r="D4703" t="inlineStr">
        <is>
          <t>GÄVLEBORGS LÄN</t>
        </is>
      </c>
      <c r="E4703" t="inlineStr">
        <is>
          <t>HUDIKSVALL</t>
        </is>
      </c>
      <c r="F4703" t="inlineStr">
        <is>
          <t>Holmen skog AB</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2731-2026</t>
        </is>
      </c>
      <c r="B4704" s="1" t="n">
        <v>46037</v>
      </c>
      <c r="C4704" s="1" t="n">
        <v>46086</v>
      </c>
      <c r="D4704" t="inlineStr">
        <is>
          <t>GÄVLEBORGS LÄN</t>
        </is>
      </c>
      <c r="E4704" t="inlineStr">
        <is>
          <t>SANDVIKEN</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3581-2026</t>
        </is>
      </c>
      <c r="B4705" s="1" t="n">
        <v>46042.72135416666</v>
      </c>
      <c r="C4705" s="1" t="n">
        <v>46086</v>
      </c>
      <c r="D4705" t="inlineStr">
        <is>
          <t>GÄVLEBORGS LÄN</t>
        </is>
      </c>
      <c r="E4705" t="inlineStr">
        <is>
          <t>SANDVIKEN</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10726-2026</t>
        </is>
      </c>
      <c r="B4706" s="1" t="n">
        <v>46078</v>
      </c>
      <c r="C4706" s="1" t="n">
        <v>46086</v>
      </c>
      <c r="D4706" t="inlineStr">
        <is>
          <t>GÄVLEBORGS LÄN</t>
        </is>
      </c>
      <c r="E4706" t="inlineStr">
        <is>
          <t>OVANÅKER</t>
        </is>
      </c>
      <c r="F4706" t="inlineStr">
        <is>
          <t>Bergvik skog väst AB</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10735-2026</t>
        </is>
      </c>
      <c r="B4707" s="1" t="n">
        <v>46078</v>
      </c>
      <c r="C4707" s="1" t="n">
        <v>46086</v>
      </c>
      <c r="D4707" t="inlineStr">
        <is>
          <t>GÄVLEBORGS LÄN</t>
        </is>
      </c>
      <c r="E4707" t="inlineStr">
        <is>
          <t>BOLLNÄS</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10765-2026</t>
        </is>
      </c>
      <c r="B4708" s="1" t="n">
        <v>46078</v>
      </c>
      <c r="C4708" s="1" t="n">
        <v>46086</v>
      </c>
      <c r="D4708" t="inlineStr">
        <is>
          <t>GÄVLEBORGS LÄN</t>
        </is>
      </c>
      <c r="E4708" t="inlineStr">
        <is>
          <t>OVANÅKER</t>
        </is>
      </c>
      <c r="F4708" t="inlineStr">
        <is>
          <t>Bergvik skog väst AB</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11572-2026</t>
        </is>
      </c>
      <c r="B4709" s="1" t="n">
        <v>46084.38159722222</v>
      </c>
      <c r="C4709" s="1" t="n">
        <v>46086</v>
      </c>
      <c r="D4709" t="inlineStr">
        <is>
          <t>GÄVLEBORGS LÄN</t>
        </is>
      </c>
      <c r="E4709" t="inlineStr">
        <is>
          <t>GÄVLE</t>
        </is>
      </c>
      <c r="F4709" t="inlineStr">
        <is>
          <t>Bergvik skog öst AB</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11620-2026</t>
        </is>
      </c>
      <c r="B4710" s="1" t="n">
        <v>46084.46612268518</v>
      </c>
      <c r="C4710" s="1" t="n">
        <v>46086</v>
      </c>
      <c r="D4710" t="inlineStr">
        <is>
          <t>GÄVLEBORGS LÄN</t>
        </is>
      </c>
      <c r="E4710" t="inlineStr">
        <is>
          <t>SÖDERHAMN</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11742-2026</t>
        </is>
      </c>
      <c r="B4711" s="1" t="n">
        <v>46084.65491898148</v>
      </c>
      <c r="C4711" s="1" t="n">
        <v>46086</v>
      </c>
      <c r="D4711" t="inlineStr">
        <is>
          <t>GÄVLEBORGS LÄN</t>
        </is>
      </c>
      <c r="E4711" t="inlineStr">
        <is>
          <t>BOLLNÄS</t>
        </is>
      </c>
      <c r="F4711" t="inlineStr">
        <is>
          <t>Bergvik skog väst AB</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3730-2026</t>
        </is>
      </c>
      <c r="B4712" s="1" t="n">
        <v>46043.50856481482</v>
      </c>
      <c r="C4712" s="1" t="n">
        <v>46086</v>
      </c>
      <c r="D4712" t="inlineStr">
        <is>
          <t>GÄVLEBORGS LÄN</t>
        </is>
      </c>
      <c r="E4712" t="inlineStr">
        <is>
          <t>NORDANSTIG</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3613-2026</t>
        </is>
      </c>
      <c r="B4713" s="1" t="n">
        <v>46042</v>
      </c>
      <c r="C4713" s="1" t="n">
        <v>46086</v>
      </c>
      <c r="D4713" t="inlineStr">
        <is>
          <t>GÄVLEBORGS LÄN</t>
        </is>
      </c>
      <c r="E4713" t="inlineStr">
        <is>
          <t>LJUSDAL</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3615-2026</t>
        </is>
      </c>
      <c r="B4714" s="1" t="n">
        <v>46042.94633101852</v>
      </c>
      <c r="C4714" s="1" t="n">
        <v>46086</v>
      </c>
      <c r="D4714" t="inlineStr">
        <is>
          <t>GÄVLEBORGS LÄN</t>
        </is>
      </c>
      <c r="E4714" t="inlineStr">
        <is>
          <t>HOFORS</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3616-2026</t>
        </is>
      </c>
      <c r="B4715" s="1" t="n">
        <v>46042.95599537037</v>
      </c>
      <c r="C4715" s="1" t="n">
        <v>46086</v>
      </c>
      <c r="D4715" t="inlineStr">
        <is>
          <t>GÄVLEBORGS LÄN</t>
        </is>
      </c>
      <c r="E4715" t="inlineStr">
        <is>
          <t>SANDVIKEN</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3618-2026</t>
        </is>
      </c>
      <c r="B4716" s="1" t="n">
        <v>46042.98135416667</v>
      </c>
      <c r="C4716" s="1" t="n">
        <v>46086</v>
      </c>
      <c r="D4716" t="inlineStr">
        <is>
          <t>GÄVLEBORGS LÄN</t>
        </is>
      </c>
      <c r="E4716" t="inlineStr">
        <is>
          <t>LJUSDAL</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4169-2026</t>
        </is>
      </c>
      <c r="B4717" s="1" t="n">
        <v>46044</v>
      </c>
      <c r="C4717" s="1" t="n">
        <v>46086</v>
      </c>
      <c r="D4717" t="inlineStr">
        <is>
          <t>GÄVLEBORGS LÄN</t>
        </is>
      </c>
      <c r="E4717" t="inlineStr">
        <is>
          <t>SANDVIKEN</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39022-2025</t>
        </is>
      </c>
      <c r="B4718" s="1" t="n">
        <v>45888.37780092593</v>
      </c>
      <c r="C4718" s="1" t="n">
        <v>46086</v>
      </c>
      <c r="D4718" t="inlineStr">
        <is>
          <t>GÄVLEBORGS LÄN</t>
        </is>
      </c>
      <c r="E4718" t="inlineStr">
        <is>
          <t>GÄVLE</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44966-2025</t>
        </is>
      </c>
      <c r="B4719" s="1" t="n">
        <v>45918.62673611111</v>
      </c>
      <c r="C4719" s="1" t="n">
        <v>46086</v>
      </c>
      <c r="D4719" t="inlineStr">
        <is>
          <t>GÄVLEBORGS LÄN</t>
        </is>
      </c>
      <c r="E4719" t="inlineStr">
        <is>
          <t>HUDIKSVALL</t>
        </is>
      </c>
      <c r="G4719" t="n">
        <v>17.2</v>
      </c>
      <c r="H4719" t="n">
        <v>0</v>
      </c>
      <c r="I4719" t="n">
        <v>0</v>
      </c>
      <c r="J4719" t="n">
        <v>0</v>
      </c>
      <c r="K4719" t="n">
        <v>0</v>
      </c>
      <c r="L4719" t="n">
        <v>0</v>
      </c>
      <c r="M4719" t="n">
        <v>0</v>
      </c>
      <c r="N4719" t="n">
        <v>0</v>
      </c>
      <c r="O4719" t="n">
        <v>0</v>
      </c>
      <c r="P4719" t="n">
        <v>0</v>
      </c>
      <c r="Q4719" t="n">
        <v>0</v>
      </c>
      <c r="R4719" s="2" t="inlineStr"/>
    </row>
    <row r="4720" ht="15" customHeight="1">
      <c r="A4720" t="inlineStr">
        <is>
          <t>A 30562-2024</t>
        </is>
      </c>
      <c r="B4720" s="1" t="n">
        <v>45492.92842592593</v>
      </c>
      <c r="C4720" s="1" t="n">
        <v>46086</v>
      </c>
      <c r="D4720" t="inlineStr">
        <is>
          <t>GÄVLEBORGS LÄN</t>
        </is>
      </c>
      <c r="E4720" t="inlineStr">
        <is>
          <t>LJUSDAL</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35052-2025</t>
        </is>
      </c>
      <c r="B4721" s="1" t="n">
        <v>45852.36641203704</v>
      </c>
      <c r="C4721" s="1" t="n">
        <v>46086</v>
      </c>
      <c r="D4721" t="inlineStr">
        <is>
          <t>GÄVLEBORGS LÄN</t>
        </is>
      </c>
      <c r="E4721" t="inlineStr">
        <is>
          <t>LJUSDAL</t>
        </is>
      </c>
      <c r="F4721" t="inlineStr">
        <is>
          <t>Bergvik skog väst AB</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3736-2026</t>
        </is>
      </c>
      <c r="B4722" s="1" t="n">
        <v>46043.52200231481</v>
      </c>
      <c r="C4722" s="1" t="n">
        <v>46086</v>
      </c>
      <c r="D4722" t="inlineStr">
        <is>
          <t>GÄVLEBORGS LÄN</t>
        </is>
      </c>
      <c r="E4722" t="inlineStr">
        <is>
          <t>NORDANSTIG</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35029-2025</t>
        </is>
      </c>
      <c r="B4723" s="1" t="n">
        <v>45852.30025462963</v>
      </c>
      <c r="C4723" s="1" t="n">
        <v>46086</v>
      </c>
      <c r="D4723" t="inlineStr">
        <is>
          <t>GÄVLEBORGS LÄN</t>
        </is>
      </c>
      <c r="E4723" t="inlineStr">
        <is>
          <t>OVANÅKER</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45193-2025</t>
        </is>
      </c>
      <c r="B4724" s="1" t="n">
        <v>45919.55265046296</v>
      </c>
      <c r="C4724" s="1" t="n">
        <v>46086</v>
      </c>
      <c r="D4724" t="inlineStr">
        <is>
          <t>GÄVLEBORGS LÄN</t>
        </is>
      </c>
      <c r="E4724" t="inlineStr">
        <is>
          <t>OVANÅKER</t>
        </is>
      </c>
      <c r="F4724" t="inlineStr">
        <is>
          <t>Holmen skog AB</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57673-2024</t>
        </is>
      </c>
      <c r="B4725" s="1" t="n">
        <v>45630.62938657407</v>
      </c>
      <c r="C4725" s="1" t="n">
        <v>46086</v>
      </c>
      <c r="D4725" t="inlineStr">
        <is>
          <t>GÄVLEBORGS LÄN</t>
        </is>
      </c>
      <c r="E4725" t="inlineStr">
        <is>
          <t>LJUSDAL</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44986-2025</t>
        </is>
      </c>
      <c r="B4726" s="1" t="n">
        <v>45918.65396990741</v>
      </c>
      <c r="C4726" s="1" t="n">
        <v>46086</v>
      </c>
      <c r="D4726" t="inlineStr">
        <is>
          <t>GÄVLEBORGS LÄN</t>
        </is>
      </c>
      <c r="E4726" t="inlineStr">
        <is>
          <t>HUDIKSVALL</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3818-2026</t>
        </is>
      </c>
      <c r="B4727" s="1" t="n">
        <v>46043.58498842592</v>
      </c>
      <c r="C4727" s="1" t="n">
        <v>46086</v>
      </c>
      <c r="D4727" t="inlineStr">
        <is>
          <t>GÄVLEBORGS LÄN</t>
        </is>
      </c>
      <c r="E4727" t="inlineStr">
        <is>
          <t>NORDANSTIG</t>
        </is>
      </c>
      <c r="G4727" t="n">
        <v>12.3</v>
      </c>
      <c r="H4727" t="n">
        <v>0</v>
      </c>
      <c r="I4727" t="n">
        <v>0</v>
      </c>
      <c r="J4727" t="n">
        <v>0</v>
      </c>
      <c r="K4727" t="n">
        <v>0</v>
      </c>
      <c r="L4727" t="n">
        <v>0</v>
      </c>
      <c r="M4727" t="n">
        <v>0</v>
      </c>
      <c r="N4727" t="n">
        <v>0</v>
      </c>
      <c r="O4727" t="n">
        <v>0</v>
      </c>
      <c r="P4727" t="n">
        <v>0</v>
      </c>
      <c r="Q4727" t="n">
        <v>0</v>
      </c>
      <c r="R4727" s="2" t="inlineStr"/>
      <c r="U4727">
        <f>HYPERLINK("https://klasma.github.io/Logging_2132/knärot/A 3818-2026 karta knärot.png", "A 3818-2026")</f>
        <v/>
      </c>
      <c r="V4727">
        <f>HYPERLINK("https://klasma.github.io/Logging_2132/klagomål/A 3818-2026 FSC-klagomål.docx", "A 3818-2026")</f>
        <v/>
      </c>
      <c r="W4727">
        <f>HYPERLINK("https://klasma.github.io/Logging_2132/klagomålsmail/A 3818-2026 FSC-klagomål mail.docx", "A 3818-2026")</f>
        <v/>
      </c>
      <c r="X4727">
        <f>HYPERLINK("https://klasma.github.io/Logging_2132/tillsyn/A 3818-2026 tillsynsbegäran.docx", "A 3818-2026")</f>
        <v/>
      </c>
      <c r="Y4727">
        <f>HYPERLINK("https://klasma.github.io/Logging_2132/tillsynsmail/A 3818-2026 tillsynsbegäran mail.docx", "A 3818-2026")</f>
        <v/>
      </c>
    </row>
    <row r="4728" ht="15" customHeight="1">
      <c r="A4728" t="inlineStr">
        <is>
          <t>A 3803-2026</t>
        </is>
      </c>
      <c r="B4728" s="1" t="n">
        <v>46043.583125</v>
      </c>
      <c r="C4728" s="1" t="n">
        <v>46086</v>
      </c>
      <c r="D4728" t="inlineStr">
        <is>
          <t>GÄVLEBORGS LÄN</t>
        </is>
      </c>
      <c r="E4728" t="inlineStr">
        <is>
          <t>SANDVIKEN</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3848-2026</t>
        </is>
      </c>
      <c r="B4729" s="1" t="n">
        <v>46043.60334490741</v>
      </c>
      <c r="C4729" s="1" t="n">
        <v>46086</v>
      </c>
      <c r="D4729" t="inlineStr">
        <is>
          <t>GÄVLEBORGS LÄN</t>
        </is>
      </c>
      <c r="E4729" t="inlineStr">
        <is>
          <t>NORDANSTIG</t>
        </is>
      </c>
      <c r="G4729" t="n">
        <v>4.1</v>
      </c>
      <c r="H4729" t="n">
        <v>0</v>
      </c>
      <c r="I4729" t="n">
        <v>0</v>
      </c>
      <c r="J4729" t="n">
        <v>0</v>
      </c>
      <c r="K4729" t="n">
        <v>0</v>
      </c>
      <c r="L4729" t="n">
        <v>0</v>
      </c>
      <c r="M4729" t="n">
        <v>0</v>
      </c>
      <c r="N4729" t="n">
        <v>0</v>
      </c>
      <c r="O4729" t="n">
        <v>0</v>
      </c>
      <c r="P4729" t="n">
        <v>0</v>
      </c>
      <c r="Q4729" t="n">
        <v>0</v>
      </c>
      <c r="R4729" s="2" t="inlineStr"/>
    </row>
    <row r="4730" ht="15" customHeight="1">
      <c r="A4730" t="inlineStr">
        <is>
          <t>A 45103-2025</t>
        </is>
      </c>
      <c r="B4730" s="1" t="n">
        <v>45919.3984837963</v>
      </c>
      <c r="C4730" s="1" t="n">
        <v>46086</v>
      </c>
      <c r="D4730" t="inlineStr">
        <is>
          <t>GÄVLEBORGS LÄN</t>
        </is>
      </c>
      <c r="E4730" t="inlineStr">
        <is>
          <t>SANDVIKEN</t>
        </is>
      </c>
      <c r="F4730" t="inlineStr">
        <is>
          <t>Kyrkan</t>
        </is>
      </c>
      <c r="G4730" t="n">
        <v>3.4</v>
      </c>
      <c r="H4730" t="n">
        <v>0</v>
      </c>
      <c r="I4730" t="n">
        <v>0</v>
      </c>
      <c r="J4730" t="n">
        <v>0</v>
      </c>
      <c r="K4730" t="n">
        <v>0</v>
      </c>
      <c r="L4730" t="n">
        <v>0</v>
      </c>
      <c r="M4730" t="n">
        <v>0</v>
      </c>
      <c r="N4730" t="n">
        <v>0</v>
      </c>
      <c r="O4730" t="n">
        <v>0</v>
      </c>
      <c r="P4730" t="n">
        <v>0</v>
      </c>
      <c r="Q4730" t="n">
        <v>0</v>
      </c>
      <c r="R4730" s="2" t="inlineStr"/>
    </row>
    <row r="4731" ht="15" customHeight="1">
      <c r="A4731" t="inlineStr">
        <is>
          <t>A 3753-2026</t>
        </is>
      </c>
      <c r="B4731" s="1" t="n">
        <v>46043.5499537037</v>
      </c>
      <c r="C4731" s="1" t="n">
        <v>46086</v>
      </c>
      <c r="D4731" t="inlineStr">
        <is>
          <t>GÄVLEBORGS LÄN</t>
        </is>
      </c>
      <c r="E4731" t="inlineStr">
        <is>
          <t>SÖDERHAMN</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3758-2026</t>
        </is>
      </c>
      <c r="B4732" s="1" t="n">
        <v>46043.55298611111</v>
      </c>
      <c r="C4732" s="1" t="n">
        <v>46086</v>
      </c>
      <c r="D4732" t="inlineStr">
        <is>
          <t>GÄVLEBORGS LÄN</t>
        </is>
      </c>
      <c r="E4732" t="inlineStr">
        <is>
          <t>OVANÅKER</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3768-2026</t>
        </is>
      </c>
      <c r="B4733" s="1" t="n">
        <v>46043</v>
      </c>
      <c r="C4733" s="1" t="n">
        <v>46086</v>
      </c>
      <c r="D4733" t="inlineStr">
        <is>
          <t>GÄVLEBORGS LÄN</t>
        </is>
      </c>
      <c r="E4733" t="inlineStr">
        <is>
          <t>NORDANSTIG</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10075-2026</t>
        </is>
      </c>
      <c r="B4734" s="1" t="n">
        <v>46073</v>
      </c>
      <c r="C4734" s="1" t="n">
        <v>46086</v>
      </c>
      <c r="D4734" t="inlineStr">
        <is>
          <t>GÄVLEBORGS LÄN</t>
        </is>
      </c>
      <c r="E4734" t="inlineStr">
        <is>
          <t>SANDVIKEN</t>
        </is>
      </c>
      <c r="F4734" t="inlineStr">
        <is>
          <t>Sveaskog</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10085-2026</t>
        </is>
      </c>
      <c r="B4735" s="1" t="n">
        <v>46073</v>
      </c>
      <c r="C4735" s="1" t="n">
        <v>46086</v>
      </c>
      <c r="D4735" t="inlineStr">
        <is>
          <t>GÄVLEBORGS LÄN</t>
        </is>
      </c>
      <c r="E4735" t="inlineStr">
        <is>
          <t>SÖDERHAMN</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10127-2026</t>
        </is>
      </c>
      <c r="B4736" s="1" t="n">
        <v>46075.84412037037</v>
      </c>
      <c r="C4736" s="1" t="n">
        <v>46086</v>
      </c>
      <c r="D4736" t="inlineStr">
        <is>
          <t>GÄVLEBORGS LÄN</t>
        </is>
      </c>
      <c r="E4736" t="inlineStr">
        <is>
          <t>BOLLNÄS</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10379-2026</t>
        </is>
      </c>
      <c r="B4737" s="1" t="n">
        <v>46076</v>
      </c>
      <c r="C4737" s="1" t="n">
        <v>46086</v>
      </c>
      <c r="D4737" t="inlineStr">
        <is>
          <t>GÄVLEBORGS LÄN</t>
        </is>
      </c>
      <c r="E4737" t="inlineStr">
        <is>
          <t>HUDIKSVALL</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10413-2026</t>
        </is>
      </c>
      <c r="B4738" s="1" t="n">
        <v>46077</v>
      </c>
      <c r="C4738" s="1" t="n">
        <v>46086</v>
      </c>
      <c r="D4738" t="inlineStr">
        <is>
          <t>GÄVLEBORGS LÄN</t>
        </is>
      </c>
      <c r="E4738" t="inlineStr">
        <is>
          <t>BOLLNÄS</t>
        </is>
      </c>
      <c r="G4738" t="n">
        <v>11.6</v>
      </c>
      <c r="H4738" t="n">
        <v>0</v>
      </c>
      <c r="I4738" t="n">
        <v>0</v>
      </c>
      <c r="J4738" t="n">
        <v>0</v>
      </c>
      <c r="K4738" t="n">
        <v>0</v>
      </c>
      <c r="L4738" t="n">
        <v>0</v>
      </c>
      <c r="M4738" t="n">
        <v>0</v>
      </c>
      <c r="N4738" t="n">
        <v>0</v>
      </c>
      <c r="O4738" t="n">
        <v>0</v>
      </c>
      <c r="P4738" t="n">
        <v>0</v>
      </c>
      <c r="Q4738" t="n">
        <v>0</v>
      </c>
      <c r="R4738" s="2" t="inlineStr"/>
    </row>
    <row r="4739" ht="15" customHeight="1">
      <c r="A4739" t="inlineStr">
        <is>
          <t>A 3356-2026</t>
        </is>
      </c>
      <c r="B4739" s="1" t="n">
        <v>46042.24870370371</v>
      </c>
      <c r="C4739" s="1" t="n">
        <v>46086</v>
      </c>
      <c r="D4739" t="inlineStr">
        <is>
          <t>GÄVLEBORGS LÄN</t>
        </is>
      </c>
      <c r="E4739" t="inlineStr">
        <is>
          <t>BOLLNÄS</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3358-2026</t>
        </is>
      </c>
      <c r="B4740" s="1" t="n">
        <v>46042.28265046296</v>
      </c>
      <c r="C4740" s="1" t="n">
        <v>46086</v>
      </c>
      <c r="D4740" t="inlineStr">
        <is>
          <t>GÄVLEBORGS LÄN</t>
        </is>
      </c>
      <c r="E4740" t="inlineStr">
        <is>
          <t>OVANÅKER</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10912-2026</t>
        </is>
      </c>
      <c r="B4741" s="1" t="n">
        <v>46079</v>
      </c>
      <c r="C4741" s="1" t="n">
        <v>46086</v>
      </c>
      <c r="D4741" t="inlineStr">
        <is>
          <t>GÄVLEBORGS LÄN</t>
        </is>
      </c>
      <c r="E4741" t="inlineStr">
        <is>
          <t>BOLLNÄS</t>
        </is>
      </c>
      <c r="F4741" t="inlineStr">
        <is>
          <t>Bergvik skog väst AB</t>
        </is>
      </c>
      <c r="G4741" t="n">
        <v>16.8</v>
      </c>
      <c r="H4741" t="n">
        <v>0</v>
      </c>
      <c r="I4741" t="n">
        <v>0</v>
      </c>
      <c r="J4741" t="n">
        <v>0</v>
      </c>
      <c r="K4741" t="n">
        <v>0</v>
      </c>
      <c r="L4741" t="n">
        <v>0</v>
      </c>
      <c r="M4741" t="n">
        <v>0</v>
      </c>
      <c r="N4741" t="n">
        <v>0</v>
      </c>
      <c r="O4741" t="n">
        <v>0</v>
      </c>
      <c r="P4741" t="n">
        <v>0</v>
      </c>
      <c r="Q4741" t="n">
        <v>0</v>
      </c>
      <c r="R4741" s="2" t="inlineStr"/>
    </row>
    <row r="4742" ht="15" customHeight="1">
      <c r="A4742" t="inlineStr">
        <is>
          <t>A 3707-2026</t>
        </is>
      </c>
      <c r="B4742" s="1" t="n">
        <v>46043</v>
      </c>
      <c r="C4742" s="1" t="n">
        <v>46086</v>
      </c>
      <c r="D4742" t="inlineStr">
        <is>
          <t>GÄVLEBORGS LÄN</t>
        </is>
      </c>
      <c r="E4742" t="inlineStr">
        <is>
          <t>OCKELBO</t>
        </is>
      </c>
      <c r="F4742" t="inlineStr">
        <is>
          <t>Bergvik skog väst AB</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3690-2026</t>
        </is>
      </c>
      <c r="B4743" s="1" t="n">
        <v>46043</v>
      </c>
      <c r="C4743" s="1" t="n">
        <v>46086</v>
      </c>
      <c r="D4743" t="inlineStr">
        <is>
          <t>GÄVLEBORGS LÄN</t>
        </is>
      </c>
      <c r="E4743" t="inlineStr">
        <is>
          <t>SANDVIKEN</t>
        </is>
      </c>
      <c r="G4743" t="n">
        <v>10.2</v>
      </c>
      <c r="H4743" t="n">
        <v>0</v>
      </c>
      <c r="I4743" t="n">
        <v>0</v>
      </c>
      <c r="J4743" t="n">
        <v>0</v>
      </c>
      <c r="K4743" t="n">
        <v>0</v>
      </c>
      <c r="L4743" t="n">
        <v>0</v>
      </c>
      <c r="M4743" t="n">
        <v>0</v>
      </c>
      <c r="N4743" t="n">
        <v>0</v>
      </c>
      <c r="O4743" t="n">
        <v>0</v>
      </c>
      <c r="P4743" t="n">
        <v>0</v>
      </c>
      <c r="Q4743" t="n">
        <v>0</v>
      </c>
      <c r="R4743" s="2" t="inlineStr"/>
    </row>
    <row r="4744" ht="15" customHeight="1">
      <c r="A4744" t="inlineStr">
        <is>
          <t>A 3605-2026</t>
        </is>
      </c>
      <c r="B4744" s="1" t="n">
        <v>46042</v>
      </c>
      <c r="C4744" s="1" t="n">
        <v>46086</v>
      </c>
      <c r="D4744" t="inlineStr">
        <is>
          <t>GÄVLEBORGS LÄN</t>
        </is>
      </c>
      <c r="E4744" t="inlineStr">
        <is>
          <t>HUDIKSVALL</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9007-2026</t>
        </is>
      </c>
      <c r="B4745" s="1" t="n">
        <v>46069</v>
      </c>
      <c r="C4745" s="1" t="n">
        <v>46086</v>
      </c>
      <c r="D4745" t="inlineStr">
        <is>
          <t>GÄVLEBORGS LÄN</t>
        </is>
      </c>
      <c r="E4745" t="inlineStr">
        <is>
          <t>NORDANSTIG</t>
        </is>
      </c>
      <c r="G4745" t="n">
        <v>4.4</v>
      </c>
      <c r="H4745" t="n">
        <v>0</v>
      </c>
      <c r="I4745" t="n">
        <v>0</v>
      </c>
      <c r="J4745" t="n">
        <v>0</v>
      </c>
      <c r="K4745" t="n">
        <v>0</v>
      </c>
      <c r="L4745" t="n">
        <v>0</v>
      </c>
      <c r="M4745" t="n">
        <v>0</v>
      </c>
      <c r="N4745" t="n">
        <v>0</v>
      </c>
      <c r="O4745" t="n">
        <v>0</v>
      </c>
      <c r="P4745" t="n">
        <v>0</v>
      </c>
      <c r="Q4745" t="n">
        <v>0</v>
      </c>
      <c r="R4745" s="2" t="inlineStr"/>
    </row>
    <row r="4746" ht="15" customHeight="1">
      <c r="A4746" t="inlineStr">
        <is>
          <t>A 10917-2026</t>
        </is>
      </c>
      <c r="B4746" s="1" t="n">
        <v>46079</v>
      </c>
      <c r="C4746" s="1" t="n">
        <v>46086</v>
      </c>
      <c r="D4746" t="inlineStr">
        <is>
          <t>GÄVLEBORGS LÄN</t>
        </is>
      </c>
      <c r="E4746" t="inlineStr">
        <is>
          <t>BOLLNÄS</t>
        </is>
      </c>
      <c r="F4746" t="inlineStr">
        <is>
          <t>Bergvik skog väst AB</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10918-2026</t>
        </is>
      </c>
      <c r="B4747" s="1" t="n">
        <v>46079</v>
      </c>
      <c r="C4747" s="1" t="n">
        <v>46086</v>
      </c>
      <c r="D4747" t="inlineStr">
        <is>
          <t>GÄVLEBORGS LÄN</t>
        </is>
      </c>
      <c r="E4747" t="inlineStr">
        <is>
          <t>BOLLNÄS</t>
        </is>
      </c>
      <c r="F4747" t="inlineStr">
        <is>
          <t>Bergvik skog väst AB</t>
        </is>
      </c>
      <c r="G4747" t="n">
        <v>11.5</v>
      </c>
      <c r="H4747" t="n">
        <v>0</v>
      </c>
      <c r="I4747" t="n">
        <v>0</v>
      </c>
      <c r="J4747" t="n">
        <v>0</v>
      </c>
      <c r="K4747" t="n">
        <v>0</v>
      </c>
      <c r="L4747" t="n">
        <v>0</v>
      </c>
      <c r="M4747" t="n">
        <v>0</v>
      </c>
      <c r="N4747" t="n">
        <v>0</v>
      </c>
      <c r="O4747" t="n">
        <v>0</v>
      </c>
      <c r="P4747" t="n">
        <v>0</v>
      </c>
      <c r="Q4747" t="n">
        <v>0</v>
      </c>
      <c r="R4747" s="2" t="inlineStr"/>
    </row>
    <row r="4748" ht="15" customHeight="1">
      <c r="A4748" t="inlineStr">
        <is>
          <t>A 32360-2024</t>
        </is>
      </c>
      <c r="B4748" s="1" t="n">
        <v>45512.56657407407</v>
      </c>
      <c r="C4748" s="1" t="n">
        <v>46086</v>
      </c>
      <c r="D4748" t="inlineStr">
        <is>
          <t>GÄVLEBORGS LÄN</t>
        </is>
      </c>
      <c r="E4748" t="inlineStr">
        <is>
          <t>LJUSDAL</t>
        </is>
      </c>
      <c r="F4748" t="inlineStr">
        <is>
          <t>Sveaskog</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11676-2026</t>
        </is>
      </c>
      <c r="B4749" s="1" t="n">
        <v>46084.56399305556</v>
      </c>
      <c r="C4749" s="1" t="n">
        <v>46086</v>
      </c>
      <c r="D4749" t="inlineStr">
        <is>
          <t>GÄVLEBORGS LÄN</t>
        </is>
      </c>
      <c r="E4749" t="inlineStr">
        <is>
          <t>NORDANSTIG</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11873-2026</t>
        </is>
      </c>
      <c r="B4750" s="1" t="n">
        <v>46085.49292824074</v>
      </c>
      <c r="C4750" s="1" t="n">
        <v>46086</v>
      </c>
      <c r="D4750" t="inlineStr">
        <is>
          <t>GÄVLEBORGS LÄN</t>
        </is>
      </c>
      <c r="E4750" t="inlineStr">
        <is>
          <t>HOFORS</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3355-2026</t>
        </is>
      </c>
      <c r="B4751" s="1" t="n">
        <v>46042.24715277777</v>
      </c>
      <c r="C4751" s="1" t="n">
        <v>46086</v>
      </c>
      <c r="D4751" t="inlineStr">
        <is>
          <t>GÄVLEBORGS LÄN</t>
        </is>
      </c>
      <c r="E4751" t="inlineStr">
        <is>
          <t>BOLLNÄS</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3361-2026</t>
        </is>
      </c>
      <c r="B4752" s="1" t="n">
        <v>46042</v>
      </c>
      <c r="C4752" s="1" t="n">
        <v>46086</v>
      </c>
      <c r="D4752" t="inlineStr">
        <is>
          <t>GÄVLEBORGS LÄN</t>
        </is>
      </c>
      <c r="E4752" t="inlineStr">
        <is>
          <t>NORDANSTIG</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3700-2026</t>
        </is>
      </c>
      <c r="B4753" s="1" t="n">
        <v>46043</v>
      </c>
      <c r="C4753" s="1" t="n">
        <v>46086</v>
      </c>
      <c r="D4753" t="inlineStr">
        <is>
          <t>GÄVLEBORGS LÄN</t>
        </is>
      </c>
      <c r="E4753" t="inlineStr">
        <is>
          <t>OCKELBO</t>
        </is>
      </c>
      <c r="F4753" t="inlineStr">
        <is>
          <t>Bergvik skog väst AB</t>
        </is>
      </c>
      <c r="G4753" t="n">
        <v>4.1</v>
      </c>
      <c r="H4753" t="n">
        <v>0</v>
      </c>
      <c r="I4753" t="n">
        <v>0</v>
      </c>
      <c r="J4753" t="n">
        <v>0</v>
      </c>
      <c r="K4753" t="n">
        <v>0</v>
      </c>
      <c r="L4753" t="n">
        <v>0</v>
      </c>
      <c r="M4753" t="n">
        <v>0</v>
      </c>
      <c r="N4753" t="n">
        <v>0</v>
      </c>
      <c r="O4753" t="n">
        <v>0</v>
      </c>
      <c r="P4753" t="n">
        <v>0</v>
      </c>
      <c r="Q4753" t="n">
        <v>0</v>
      </c>
      <c r="R4753" s="2" t="inlineStr"/>
    </row>
    <row r="4754" ht="15" customHeight="1">
      <c r="A4754" t="inlineStr">
        <is>
          <t>A 3487-2026</t>
        </is>
      </c>
      <c r="B4754" s="1" t="n">
        <v>46042</v>
      </c>
      <c r="C4754" s="1" t="n">
        <v>46086</v>
      </c>
      <c r="D4754" t="inlineStr">
        <is>
          <t>GÄVLEBORGS LÄN</t>
        </is>
      </c>
      <c r="E4754" t="inlineStr">
        <is>
          <t>BOLLNÄS</t>
        </is>
      </c>
      <c r="G4754" t="n">
        <v>18.3</v>
      </c>
      <c r="H4754" t="n">
        <v>0</v>
      </c>
      <c r="I4754" t="n">
        <v>0</v>
      </c>
      <c r="J4754" t="n">
        <v>0</v>
      </c>
      <c r="K4754" t="n">
        <v>0</v>
      </c>
      <c r="L4754" t="n">
        <v>0</v>
      </c>
      <c r="M4754" t="n">
        <v>0</v>
      </c>
      <c r="N4754" t="n">
        <v>0</v>
      </c>
      <c r="O4754" t="n">
        <v>0</v>
      </c>
      <c r="P4754" t="n">
        <v>0</v>
      </c>
      <c r="Q4754" t="n">
        <v>0</v>
      </c>
      <c r="R4754" s="2" t="inlineStr"/>
    </row>
    <row r="4755" ht="15" customHeight="1">
      <c r="A4755" t="inlineStr">
        <is>
          <t>A 11578-2026</t>
        </is>
      </c>
      <c r="B4755" s="1" t="n">
        <v>46084.39612268518</v>
      </c>
      <c r="C4755" s="1" t="n">
        <v>46086</v>
      </c>
      <c r="D4755" t="inlineStr">
        <is>
          <t>GÄVLEBORGS LÄN</t>
        </is>
      </c>
      <c r="E4755" t="inlineStr">
        <is>
          <t>NORDANSTIG</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11614-2026</t>
        </is>
      </c>
      <c r="B4756" s="1" t="n">
        <v>46084.44930555556</v>
      </c>
      <c r="C4756" s="1" t="n">
        <v>46086</v>
      </c>
      <c r="D4756" t="inlineStr">
        <is>
          <t>GÄVLEBORGS LÄN</t>
        </is>
      </c>
      <c r="E4756" t="inlineStr">
        <is>
          <t>NORDANSTIG</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11262-2026</t>
        </is>
      </c>
      <c r="B4757" s="1" t="n">
        <v>46080</v>
      </c>
      <c r="C4757" s="1" t="n">
        <v>46086</v>
      </c>
      <c r="D4757" t="inlineStr">
        <is>
          <t>GÄVLEBORGS LÄN</t>
        </is>
      </c>
      <c r="E4757" t="inlineStr">
        <is>
          <t>BOLLNÄS</t>
        </is>
      </c>
      <c r="F4757" t="inlineStr">
        <is>
          <t>Bergvik skog väst AB</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44955-2025</t>
        </is>
      </c>
      <c r="B4758" s="1" t="n">
        <v>45918.61378472222</v>
      </c>
      <c r="C4758" s="1" t="n">
        <v>46086</v>
      </c>
      <c r="D4758" t="inlineStr">
        <is>
          <t>GÄVLEBORGS LÄN</t>
        </is>
      </c>
      <c r="E4758" t="inlineStr">
        <is>
          <t>LJUSDAL</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3816-2026</t>
        </is>
      </c>
      <c r="B4759" s="1" t="n">
        <v>46043.58469907408</v>
      </c>
      <c r="C4759" s="1" t="n">
        <v>46086</v>
      </c>
      <c r="D4759" t="inlineStr">
        <is>
          <t>GÄVLEBORGS LÄN</t>
        </is>
      </c>
      <c r="E4759" t="inlineStr">
        <is>
          <t>HUDIKSVALL</t>
        </is>
      </c>
      <c r="G4759" t="n">
        <v>6.5</v>
      </c>
      <c r="H4759" t="n">
        <v>0</v>
      </c>
      <c r="I4759" t="n">
        <v>0</v>
      </c>
      <c r="J4759" t="n">
        <v>0</v>
      </c>
      <c r="K4759" t="n">
        <v>0</v>
      </c>
      <c r="L4759" t="n">
        <v>0</v>
      </c>
      <c r="M4759" t="n">
        <v>0</v>
      </c>
      <c r="N4759" t="n">
        <v>0</v>
      </c>
      <c r="O4759" t="n">
        <v>0</v>
      </c>
      <c r="P4759" t="n">
        <v>0</v>
      </c>
      <c r="Q4759" t="n">
        <v>0</v>
      </c>
      <c r="R4759" s="2" t="inlineStr"/>
    </row>
    <row r="4760" ht="15" customHeight="1">
      <c r="A4760" t="inlineStr">
        <is>
          <t>A 1072-2026</t>
        </is>
      </c>
      <c r="B4760" s="1" t="n">
        <v>46030</v>
      </c>
      <c r="C4760" s="1" t="n">
        <v>46086</v>
      </c>
      <c r="D4760" t="inlineStr">
        <is>
          <t>GÄVLEBORGS LÄN</t>
        </is>
      </c>
      <c r="E4760" t="inlineStr">
        <is>
          <t>HUDIKSVALL</t>
        </is>
      </c>
      <c r="G4760" t="n">
        <v>8.6</v>
      </c>
      <c r="H4760" t="n">
        <v>0</v>
      </c>
      <c r="I4760" t="n">
        <v>0</v>
      </c>
      <c r="J4760" t="n">
        <v>0</v>
      </c>
      <c r="K4760" t="n">
        <v>0</v>
      </c>
      <c r="L4760" t="n">
        <v>0</v>
      </c>
      <c r="M4760" t="n">
        <v>0</v>
      </c>
      <c r="N4760" t="n">
        <v>0</v>
      </c>
      <c r="O4760" t="n">
        <v>0</v>
      </c>
      <c r="P4760" t="n">
        <v>0</v>
      </c>
      <c r="Q4760" t="n">
        <v>0</v>
      </c>
      <c r="R4760" s="2" t="inlineStr"/>
    </row>
    <row r="4761" ht="15" customHeight="1">
      <c r="A4761" t="inlineStr">
        <is>
          <t>A 9737-2026</t>
        </is>
      </c>
      <c r="B4761" s="1" t="n">
        <v>46072</v>
      </c>
      <c r="C4761" s="1" t="n">
        <v>46086</v>
      </c>
      <c r="D4761" t="inlineStr">
        <is>
          <t>GÄVLEBORGS LÄN</t>
        </is>
      </c>
      <c r="E4761" t="inlineStr">
        <is>
          <t>HUDIKSVALL</t>
        </is>
      </c>
      <c r="F4761" t="inlineStr">
        <is>
          <t>Kyrkan</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9758-2026</t>
        </is>
      </c>
      <c r="B4762" s="1" t="n">
        <v>46072</v>
      </c>
      <c r="C4762" s="1" t="n">
        <v>46086</v>
      </c>
      <c r="D4762" t="inlineStr">
        <is>
          <t>GÄVLEBORGS LÄN</t>
        </is>
      </c>
      <c r="E4762" t="inlineStr">
        <is>
          <t>BOLLNÄS</t>
        </is>
      </c>
      <c r="F4762" t="inlineStr">
        <is>
          <t>Sveaskog</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9816-2026</t>
        </is>
      </c>
      <c r="B4763" s="1" t="n">
        <v>46072</v>
      </c>
      <c r="C4763" s="1" t="n">
        <v>46086</v>
      </c>
      <c r="D4763" t="inlineStr">
        <is>
          <t>GÄVLEBORGS LÄN</t>
        </is>
      </c>
      <c r="E4763" t="inlineStr">
        <is>
          <t>BOLLNÄS</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10556-2026</t>
        </is>
      </c>
      <c r="B4764" s="1" t="n">
        <v>46077</v>
      </c>
      <c r="C4764" s="1" t="n">
        <v>46086</v>
      </c>
      <c r="D4764" t="inlineStr">
        <is>
          <t>GÄVLEBORGS LÄN</t>
        </is>
      </c>
      <c r="E4764" t="inlineStr">
        <is>
          <t>BOLLNÄS</t>
        </is>
      </c>
      <c r="G4764" t="n">
        <v>8.199999999999999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9940-2026</t>
        </is>
      </c>
      <c r="B4765" s="1" t="n">
        <v>46073.46564814815</v>
      </c>
      <c r="C4765" s="1" t="n">
        <v>46086</v>
      </c>
      <c r="D4765" t="inlineStr">
        <is>
          <t>GÄVLEBORGS LÄN</t>
        </is>
      </c>
      <c r="E4765" t="inlineStr">
        <is>
          <t>OVANÅKER</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9953-2026</t>
        </is>
      </c>
      <c r="B4766" s="1" t="n">
        <v>46073</v>
      </c>
      <c r="C4766" s="1" t="n">
        <v>46086</v>
      </c>
      <c r="D4766" t="inlineStr">
        <is>
          <t>GÄVLEBORGS LÄN</t>
        </is>
      </c>
      <c r="E4766" t="inlineStr">
        <is>
          <t>SANDVIKEN</t>
        </is>
      </c>
      <c r="F4766" t="inlineStr">
        <is>
          <t>Sveaskog</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9955-2026</t>
        </is>
      </c>
      <c r="B4767" s="1" t="n">
        <v>46073</v>
      </c>
      <c r="C4767" s="1" t="n">
        <v>46086</v>
      </c>
      <c r="D4767" t="inlineStr">
        <is>
          <t>GÄVLEBORGS LÄN</t>
        </is>
      </c>
      <c r="E4767" t="inlineStr">
        <is>
          <t>BOLLNÄS</t>
        </is>
      </c>
      <c r="F4767" t="inlineStr">
        <is>
          <t>Bergvik skog väst AB</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38557-2025</t>
        </is>
      </c>
      <c r="B4768" s="1" t="n">
        <v>45884.44524305555</v>
      </c>
      <c r="C4768" s="1" t="n">
        <v>46086</v>
      </c>
      <c r="D4768" t="inlineStr">
        <is>
          <t>GÄVLEBORGS LÄN</t>
        </is>
      </c>
      <c r="E4768" t="inlineStr">
        <is>
          <t>LJUSDAL</t>
        </is>
      </c>
      <c r="F4768" t="inlineStr">
        <is>
          <t>Sveaskog</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38608-2025</t>
        </is>
      </c>
      <c r="B4769" s="1" t="n">
        <v>45884.53402777778</v>
      </c>
      <c r="C4769" s="1" t="n">
        <v>46086</v>
      </c>
      <c r="D4769" t="inlineStr">
        <is>
          <t>GÄVLEBORGS LÄN</t>
        </is>
      </c>
      <c r="E4769" t="inlineStr">
        <is>
          <t>GÄVLE</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44994-2025</t>
        </is>
      </c>
      <c r="B4770" s="1" t="n">
        <v>45918.65791666666</v>
      </c>
      <c r="C4770" s="1" t="n">
        <v>46086</v>
      </c>
      <c r="D4770" t="inlineStr">
        <is>
          <t>GÄVLEBORGS LÄN</t>
        </is>
      </c>
      <c r="E4770" t="inlineStr">
        <is>
          <t>LJUSDAL</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45044-2025</t>
        </is>
      </c>
      <c r="B4771" s="1" t="n">
        <v>45919.23412037037</v>
      </c>
      <c r="C4771" s="1" t="n">
        <v>46086</v>
      </c>
      <c r="D4771" t="inlineStr">
        <is>
          <t>GÄVLEBORGS LÄN</t>
        </is>
      </c>
      <c r="E4771" t="inlineStr">
        <is>
          <t>BOLLNÄS</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45050-2025</t>
        </is>
      </c>
      <c r="B4772" s="1" t="n">
        <v>45919.29921296296</v>
      </c>
      <c r="C4772" s="1" t="n">
        <v>46086</v>
      </c>
      <c r="D4772" t="inlineStr">
        <is>
          <t>GÄVLEBORGS LÄN</t>
        </is>
      </c>
      <c r="E4772" t="inlineStr">
        <is>
          <t>BOLLNÄS</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44972-2025</t>
        </is>
      </c>
      <c r="B4773" s="1" t="n">
        <v>45918.63663194444</v>
      </c>
      <c r="C4773" s="1" t="n">
        <v>46086</v>
      </c>
      <c r="D4773" t="inlineStr">
        <is>
          <t>GÄVLEBORGS LÄN</t>
        </is>
      </c>
      <c r="E4773" t="inlineStr">
        <is>
          <t>NORDANSTIG</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44978-2025</t>
        </is>
      </c>
      <c r="B4774" s="1" t="n">
        <v>45918.64543981481</v>
      </c>
      <c r="C4774" s="1" t="n">
        <v>46086</v>
      </c>
      <c r="D4774" t="inlineStr">
        <is>
          <t>GÄVLEBORGS LÄN</t>
        </is>
      </c>
      <c r="E4774" t="inlineStr">
        <is>
          <t>NORDANSTIG</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44980-2025</t>
        </is>
      </c>
      <c r="B4775" s="1" t="n">
        <v>45918.64856481482</v>
      </c>
      <c r="C4775" s="1" t="n">
        <v>46086</v>
      </c>
      <c r="D4775" t="inlineStr">
        <is>
          <t>GÄVLEBORGS LÄN</t>
        </is>
      </c>
      <c r="E4775" t="inlineStr">
        <is>
          <t>HUDIKSVALL</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45204-2025</t>
        </is>
      </c>
      <c r="B4776" s="1" t="n">
        <v>45919.56417824074</v>
      </c>
      <c r="C4776" s="1" t="n">
        <v>46086</v>
      </c>
      <c r="D4776" t="inlineStr">
        <is>
          <t>GÄVLEBORGS LÄN</t>
        </is>
      </c>
      <c r="E4776" t="inlineStr">
        <is>
          <t>OVANÅKER</t>
        </is>
      </c>
      <c r="F4776" t="inlineStr">
        <is>
          <t>Holmen skog AB</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30007-2024</t>
        </is>
      </c>
      <c r="B4777" s="1" t="n">
        <v>45488.60150462963</v>
      </c>
      <c r="C4777" s="1" t="n">
        <v>46086</v>
      </c>
      <c r="D4777" t="inlineStr">
        <is>
          <t>GÄVLEBORGS LÄN</t>
        </is>
      </c>
      <c r="E4777" t="inlineStr">
        <is>
          <t>HOFORS</t>
        </is>
      </c>
      <c r="F4777" t="inlineStr">
        <is>
          <t>Sveaskog</t>
        </is>
      </c>
      <c r="G4777" t="n">
        <v>11.5</v>
      </c>
      <c r="H4777" t="n">
        <v>0</v>
      </c>
      <c r="I4777" t="n">
        <v>0</v>
      </c>
      <c r="J4777" t="n">
        <v>0</v>
      </c>
      <c r="K4777" t="n">
        <v>0</v>
      </c>
      <c r="L4777" t="n">
        <v>0</v>
      </c>
      <c r="M4777" t="n">
        <v>0</v>
      </c>
      <c r="N4777" t="n">
        <v>0</v>
      </c>
      <c r="O4777" t="n">
        <v>0</v>
      </c>
      <c r="P4777" t="n">
        <v>0</v>
      </c>
      <c r="Q4777" t="n">
        <v>0</v>
      </c>
      <c r="R4777" s="2" t="inlineStr"/>
    </row>
    <row r="4778" ht="15" customHeight="1">
      <c r="A4778" t="inlineStr">
        <is>
          <t>A 45142-2025</t>
        </is>
      </c>
      <c r="B4778" s="1" t="n">
        <v>45919.45673611111</v>
      </c>
      <c r="C4778" s="1" t="n">
        <v>46086</v>
      </c>
      <c r="D4778" t="inlineStr">
        <is>
          <t>GÄVLEBORGS LÄN</t>
        </is>
      </c>
      <c r="E4778" t="inlineStr">
        <is>
          <t>LJUSDAL</t>
        </is>
      </c>
      <c r="G4778" t="n">
        <v>3.8</v>
      </c>
      <c r="H4778" t="n">
        <v>0</v>
      </c>
      <c r="I4778" t="n">
        <v>0</v>
      </c>
      <c r="J4778" t="n">
        <v>0</v>
      </c>
      <c r="K4778" t="n">
        <v>0</v>
      </c>
      <c r="L4778" t="n">
        <v>0</v>
      </c>
      <c r="M4778" t="n">
        <v>0</v>
      </c>
      <c r="N4778" t="n">
        <v>0</v>
      </c>
      <c r="O4778" t="n">
        <v>0</v>
      </c>
      <c r="P4778" t="n">
        <v>0</v>
      </c>
      <c r="Q4778" t="n">
        <v>0</v>
      </c>
      <c r="R4778" s="2" t="inlineStr"/>
    </row>
    <row r="4779" ht="15" customHeight="1">
      <c r="A4779" t="inlineStr">
        <is>
          <t>A 45090-2025</t>
        </is>
      </c>
      <c r="B4779" s="1" t="n">
        <v>45919.37730324074</v>
      </c>
      <c r="C4779" s="1" t="n">
        <v>46086</v>
      </c>
      <c r="D4779" t="inlineStr">
        <is>
          <t>GÄVLEBORGS LÄN</t>
        </is>
      </c>
      <c r="E4779" t="inlineStr">
        <is>
          <t>SANDVIKEN</t>
        </is>
      </c>
      <c r="F4779" t="inlineStr">
        <is>
          <t>Kyrkan</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41962-2022</t>
        </is>
      </c>
      <c r="B4780" s="1" t="n">
        <v>44830</v>
      </c>
      <c r="C4780" s="1" t="n">
        <v>46086</v>
      </c>
      <c r="D4780" t="inlineStr">
        <is>
          <t>GÄVLEBORGS LÄN</t>
        </is>
      </c>
      <c r="E4780" t="inlineStr">
        <is>
          <t>BOLLNÄS</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30009-2024</t>
        </is>
      </c>
      <c r="B4781" s="1" t="n">
        <v>45488.60546296297</v>
      </c>
      <c r="C4781" s="1" t="n">
        <v>46086</v>
      </c>
      <c r="D4781" t="inlineStr">
        <is>
          <t>GÄVLEBORGS LÄN</t>
        </is>
      </c>
      <c r="E4781" t="inlineStr">
        <is>
          <t>HOFORS</t>
        </is>
      </c>
      <c r="F4781" t="inlineStr">
        <is>
          <t>Sveaskog</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35336-2025</t>
        </is>
      </c>
      <c r="B4782" s="1" t="n">
        <v>45854.58572916667</v>
      </c>
      <c r="C4782" s="1" t="n">
        <v>46086</v>
      </c>
      <c r="D4782" t="inlineStr">
        <is>
          <t>GÄVLEBORGS LÄN</t>
        </is>
      </c>
      <c r="E4782" t="inlineStr">
        <is>
          <t>GÄVLE</t>
        </is>
      </c>
      <c r="G4782" t="n">
        <v>10</v>
      </c>
      <c r="H4782" t="n">
        <v>0</v>
      </c>
      <c r="I4782" t="n">
        <v>0</v>
      </c>
      <c r="J4782" t="n">
        <v>0</v>
      </c>
      <c r="K4782" t="n">
        <v>0</v>
      </c>
      <c r="L4782" t="n">
        <v>0</v>
      </c>
      <c r="M4782" t="n">
        <v>0</v>
      </c>
      <c r="N4782" t="n">
        <v>0</v>
      </c>
      <c r="O4782" t="n">
        <v>0</v>
      </c>
      <c r="P4782" t="n">
        <v>0</v>
      </c>
      <c r="Q4782" t="n">
        <v>0</v>
      </c>
      <c r="R4782" s="2" t="inlineStr"/>
    </row>
    <row r="4783" ht="15" customHeight="1">
      <c r="A4783" t="inlineStr">
        <is>
          <t>A 44983-2025</t>
        </is>
      </c>
      <c r="B4783" s="1" t="n">
        <v>45918.65190972222</v>
      </c>
      <c r="C4783" s="1" t="n">
        <v>46086</v>
      </c>
      <c r="D4783" t="inlineStr">
        <is>
          <t>GÄVLEBORGS LÄN</t>
        </is>
      </c>
      <c r="E4783" t="inlineStr">
        <is>
          <t>NORDANSTIG</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1162-2024</t>
        </is>
      </c>
      <c r="B4784" s="1" t="n">
        <v>45302</v>
      </c>
      <c r="C4784" s="1" t="n">
        <v>46086</v>
      </c>
      <c r="D4784" t="inlineStr">
        <is>
          <t>GÄVLEBORGS LÄN</t>
        </is>
      </c>
      <c r="E4784" t="inlineStr">
        <is>
          <t>SANDVIKEN</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7483-2026</t>
        </is>
      </c>
      <c r="B4785" s="1" t="n">
        <v>46059</v>
      </c>
      <c r="C4785" s="1" t="n">
        <v>46086</v>
      </c>
      <c r="D4785" t="inlineStr">
        <is>
          <t>GÄVLEBORGS LÄN</t>
        </is>
      </c>
      <c r="E4785" t="inlineStr">
        <is>
          <t>OVANÅKER</t>
        </is>
      </c>
      <c r="F4785" t="inlineStr">
        <is>
          <t>Sveaskog</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10026-2026</t>
        </is>
      </c>
      <c r="B4786" s="1" t="n">
        <v>46073</v>
      </c>
      <c r="C4786" s="1" t="n">
        <v>46086</v>
      </c>
      <c r="D4786" t="inlineStr">
        <is>
          <t>GÄVLEBORGS LÄN</t>
        </is>
      </c>
      <c r="E4786" t="inlineStr">
        <is>
          <t>BOLLNÄS</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10034-2026</t>
        </is>
      </c>
      <c r="B4787" s="1" t="n">
        <v>46073</v>
      </c>
      <c r="C4787" s="1" t="n">
        <v>46086</v>
      </c>
      <c r="D4787" t="inlineStr">
        <is>
          <t>GÄVLEBORGS LÄN</t>
        </is>
      </c>
      <c r="E4787" t="inlineStr">
        <is>
          <t>SANDVIKEN</t>
        </is>
      </c>
      <c r="F4787" t="inlineStr">
        <is>
          <t>Sveaskog</t>
        </is>
      </c>
      <c r="G4787" t="n">
        <v>3.8</v>
      </c>
      <c r="H4787" t="n">
        <v>0</v>
      </c>
      <c r="I4787" t="n">
        <v>0</v>
      </c>
      <c r="J4787" t="n">
        <v>0</v>
      </c>
      <c r="K4787" t="n">
        <v>0</v>
      </c>
      <c r="L4787" t="n">
        <v>0</v>
      </c>
      <c r="M4787" t="n">
        <v>0</v>
      </c>
      <c r="N4787" t="n">
        <v>0</v>
      </c>
      <c r="O4787" t="n">
        <v>0</v>
      </c>
      <c r="P4787" t="n">
        <v>0</v>
      </c>
      <c r="Q4787" t="n">
        <v>0</v>
      </c>
      <c r="R4787" s="2" t="inlineStr"/>
    </row>
    <row r="4788" ht="15" customHeight="1">
      <c r="A4788" t="inlineStr">
        <is>
          <t>A 10038-2026</t>
        </is>
      </c>
      <c r="B4788" s="1" t="n">
        <v>46073</v>
      </c>
      <c r="C4788" s="1" t="n">
        <v>46086</v>
      </c>
      <c r="D4788" t="inlineStr">
        <is>
          <t>GÄVLEBORGS LÄN</t>
        </is>
      </c>
      <c r="E4788" t="inlineStr">
        <is>
          <t>OVANÅKER</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10063-2026</t>
        </is>
      </c>
      <c r="B4789" s="1" t="n">
        <v>46073.62988425926</v>
      </c>
      <c r="C4789" s="1" t="n">
        <v>46086</v>
      </c>
      <c r="D4789" t="inlineStr">
        <is>
          <t>GÄVLEBORGS LÄN</t>
        </is>
      </c>
      <c r="E4789" t="inlineStr">
        <is>
          <t>GÄVLE</t>
        </is>
      </c>
      <c r="F4789" t="inlineStr">
        <is>
          <t>Bergvik skog öst AB</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10107-2026</t>
        </is>
      </c>
      <c r="B4790" s="1" t="n">
        <v>46074.55253472222</v>
      </c>
      <c r="C4790" s="1" t="n">
        <v>46086</v>
      </c>
      <c r="D4790" t="inlineStr">
        <is>
          <t>GÄVLEBORGS LÄN</t>
        </is>
      </c>
      <c r="E4790" t="inlineStr">
        <is>
          <t>SANDVIKEN</t>
        </is>
      </c>
      <c r="G4790" t="n">
        <v>7.6</v>
      </c>
      <c r="H4790" t="n">
        <v>0</v>
      </c>
      <c r="I4790" t="n">
        <v>0</v>
      </c>
      <c r="J4790" t="n">
        <v>0</v>
      </c>
      <c r="K4790" t="n">
        <v>0</v>
      </c>
      <c r="L4790" t="n">
        <v>0</v>
      </c>
      <c r="M4790" t="n">
        <v>0</v>
      </c>
      <c r="N4790" t="n">
        <v>0</v>
      </c>
      <c r="O4790" t="n">
        <v>0</v>
      </c>
      <c r="P4790" t="n">
        <v>0</v>
      </c>
      <c r="Q4790" t="n">
        <v>0</v>
      </c>
      <c r="R4790" s="2" t="inlineStr"/>
    </row>
    <row r="4791" ht="15" customHeight="1">
      <c r="A4791" t="inlineStr">
        <is>
          <t>A 10920-2026</t>
        </is>
      </c>
      <c r="B4791" s="1" t="n">
        <v>46079</v>
      </c>
      <c r="C4791" s="1" t="n">
        <v>46086</v>
      </c>
      <c r="D4791" t="inlineStr">
        <is>
          <t>GÄVLEBORGS LÄN</t>
        </is>
      </c>
      <c r="E4791" t="inlineStr">
        <is>
          <t>BOLLNÄS</t>
        </is>
      </c>
      <c r="F4791" t="inlineStr">
        <is>
          <t>Bergvik skog väst AB</t>
        </is>
      </c>
      <c r="G4791" t="n">
        <v>5</v>
      </c>
      <c r="H4791" t="n">
        <v>0</v>
      </c>
      <c r="I4791" t="n">
        <v>0</v>
      </c>
      <c r="J4791" t="n">
        <v>0</v>
      </c>
      <c r="K4791" t="n">
        <v>0</v>
      </c>
      <c r="L4791" t="n">
        <v>0</v>
      </c>
      <c r="M4791" t="n">
        <v>0</v>
      </c>
      <c r="N4791" t="n">
        <v>0</v>
      </c>
      <c r="O4791" t="n">
        <v>0</v>
      </c>
      <c r="P4791" t="n">
        <v>0</v>
      </c>
      <c r="Q4791" t="n">
        <v>0</v>
      </c>
      <c r="R4791" s="2" t="inlineStr"/>
    </row>
    <row r="4792" ht="15" customHeight="1">
      <c r="A4792" t="inlineStr">
        <is>
          <t>A 11943-2026</t>
        </is>
      </c>
      <c r="B4792" s="1" t="n">
        <v>46085.59423611111</v>
      </c>
      <c r="C4792" s="1" t="n">
        <v>46086</v>
      </c>
      <c r="D4792" t="inlineStr">
        <is>
          <t>GÄVLEBORGS LÄN</t>
        </is>
      </c>
      <c r="E4792" t="inlineStr">
        <is>
          <t>NORDANSTIG</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7831-2026</t>
        </is>
      </c>
      <c r="B4793" s="1" t="n">
        <v>46062</v>
      </c>
      <c r="C4793" s="1" t="n">
        <v>46086</v>
      </c>
      <c r="D4793" t="inlineStr">
        <is>
          <t>GÄVLEBORGS LÄN</t>
        </is>
      </c>
      <c r="E4793" t="inlineStr">
        <is>
          <t>NORDANSTIG</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9603-2026</t>
        </is>
      </c>
      <c r="B4794" s="1" t="n">
        <v>46071</v>
      </c>
      <c r="C4794" s="1" t="n">
        <v>46086</v>
      </c>
      <c r="D4794" t="inlineStr">
        <is>
          <t>GÄVLEBORGS LÄN</t>
        </is>
      </c>
      <c r="E4794" t="inlineStr">
        <is>
          <t>SANDVIKEN</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5077-2026</t>
        </is>
      </c>
      <c r="B4795" s="1" t="n">
        <v>46048</v>
      </c>
      <c r="C4795" s="1" t="n">
        <v>46086</v>
      </c>
      <c r="D4795" t="inlineStr">
        <is>
          <t>GÄVLEBORGS LÄN</t>
        </is>
      </c>
      <c r="E4795" t="inlineStr">
        <is>
          <t>SÖDERHAMN</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8017-2026</t>
        </is>
      </c>
      <c r="B4796" s="1" t="n">
        <v>46063</v>
      </c>
      <c r="C4796" s="1" t="n">
        <v>46086</v>
      </c>
      <c r="D4796" t="inlineStr">
        <is>
          <t>GÄVLEBORGS LÄN</t>
        </is>
      </c>
      <c r="E4796" t="inlineStr">
        <is>
          <t>OVANÅKER</t>
        </is>
      </c>
      <c r="F4796" t="inlineStr">
        <is>
          <t>Sveaskog</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9491-2026</t>
        </is>
      </c>
      <c r="B4797" s="1" t="n">
        <v>46071</v>
      </c>
      <c r="C4797" s="1" t="n">
        <v>46086</v>
      </c>
      <c r="D4797" t="inlineStr">
        <is>
          <t>GÄVLEBORGS LÄN</t>
        </is>
      </c>
      <c r="E4797" t="inlineStr">
        <is>
          <t>NORDANSTIG</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9495-2026</t>
        </is>
      </c>
      <c r="B4798" s="1" t="n">
        <v>46071</v>
      </c>
      <c r="C4798" s="1" t="n">
        <v>46086</v>
      </c>
      <c r="D4798" t="inlineStr">
        <is>
          <t>GÄVLEBORGS LÄN</t>
        </is>
      </c>
      <c r="E4798" t="inlineStr">
        <is>
          <t>BOLLNÄS</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10059-2026</t>
        </is>
      </c>
      <c r="B4799" s="1" t="n">
        <v>46073</v>
      </c>
      <c r="C4799" s="1" t="n">
        <v>46086</v>
      </c>
      <c r="D4799" t="inlineStr">
        <is>
          <t>GÄVLEBORGS LÄN</t>
        </is>
      </c>
      <c r="E4799" t="inlineStr">
        <is>
          <t>HUDIKSVALL</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10255-2026</t>
        </is>
      </c>
      <c r="B4800" s="1" t="n">
        <v>46076</v>
      </c>
      <c r="C4800" s="1" t="n">
        <v>46086</v>
      </c>
      <c r="D4800" t="inlineStr">
        <is>
          <t>GÄVLEBORGS LÄN</t>
        </is>
      </c>
      <c r="E4800" t="inlineStr">
        <is>
          <t>LJUSDAL</t>
        </is>
      </c>
      <c r="F4800" t="inlineStr">
        <is>
          <t>Bergvik skog väst AB</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10911-2026</t>
        </is>
      </c>
      <c r="B4801" s="1" t="n">
        <v>46079</v>
      </c>
      <c r="C4801" s="1" t="n">
        <v>46086</v>
      </c>
      <c r="D4801" t="inlineStr">
        <is>
          <t>GÄVLEBORGS LÄN</t>
        </is>
      </c>
      <c r="E4801" t="inlineStr">
        <is>
          <t>BOLLNÄS</t>
        </is>
      </c>
      <c r="F4801" t="inlineStr">
        <is>
          <t>Bergvik skog väst AB</t>
        </is>
      </c>
      <c r="G4801" t="n">
        <v>18.2</v>
      </c>
      <c r="H4801" t="n">
        <v>0</v>
      </c>
      <c r="I4801" t="n">
        <v>0</v>
      </c>
      <c r="J4801" t="n">
        <v>0</v>
      </c>
      <c r="K4801" t="n">
        <v>0</v>
      </c>
      <c r="L4801" t="n">
        <v>0</v>
      </c>
      <c r="M4801" t="n">
        <v>0</v>
      </c>
      <c r="N4801" t="n">
        <v>0</v>
      </c>
      <c r="O4801" t="n">
        <v>0</v>
      </c>
      <c r="P4801" t="n">
        <v>0</v>
      </c>
      <c r="Q4801" t="n">
        <v>0</v>
      </c>
      <c r="R4801" s="2" t="inlineStr"/>
    </row>
    <row r="4802" ht="15" customHeight="1">
      <c r="A4802" t="inlineStr">
        <is>
          <t>A 15973-2022</t>
        </is>
      </c>
      <c r="B4802" s="1" t="n">
        <v>44664.94773148148</v>
      </c>
      <c r="C4802" s="1" t="n">
        <v>46086</v>
      </c>
      <c r="D4802" t="inlineStr">
        <is>
          <t>GÄVLEBORGS LÄN</t>
        </is>
      </c>
      <c r="E4802" t="inlineStr">
        <is>
          <t>NORDANSTIG</t>
        </is>
      </c>
      <c r="F4802" t="inlineStr">
        <is>
          <t>SCA</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11222-2026</t>
        </is>
      </c>
      <c r="B4803" s="1" t="n">
        <v>46080</v>
      </c>
      <c r="C4803" s="1" t="n">
        <v>46086</v>
      </c>
      <c r="D4803" t="inlineStr">
        <is>
          <t>GÄVLEBORGS LÄN</t>
        </is>
      </c>
      <c r="E4803" t="inlineStr">
        <is>
          <t>BOLLNÄS</t>
        </is>
      </c>
      <c r="F4803" t="inlineStr">
        <is>
          <t>Bergvik skog väst AB</t>
        </is>
      </c>
      <c r="G4803" t="n">
        <v>14.5</v>
      </c>
      <c r="H4803" t="n">
        <v>0</v>
      </c>
      <c r="I4803" t="n">
        <v>0</v>
      </c>
      <c r="J4803" t="n">
        <v>0</v>
      </c>
      <c r="K4803" t="n">
        <v>0</v>
      </c>
      <c r="L4803" t="n">
        <v>0</v>
      </c>
      <c r="M4803" t="n">
        <v>0</v>
      </c>
      <c r="N4803" t="n">
        <v>0</v>
      </c>
      <c r="O4803" t="n">
        <v>0</v>
      </c>
      <c r="P4803" t="n">
        <v>0</v>
      </c>
      <c r="Q4803" t="n">
        <v>0</v>
      </c>
      <c r="R4803" s="2" t="inlineStr"/>
    </row>
    <row r="4804" ht="15" customHeight="1">
      <c r="A4804" t="inlineStr">
        <is>
          <t>A 12024-2026</t>
        </is>
      </c>
      <c r="B4804" s="1" t="n">
        <v>46085.81827546296</v>
      </c>
      <c r="C4804" s="1" t="n">
        <v>46086</v>
      </c>
      <c r="D4804" t="inlineStr">
        <is>
          <t>GÄVLEBORGS LÄN</t>
        </is>
      </c>
      <c r="E4804" t="inlineStr">
        <is>
          <t>HUDIKSVALL</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3706-2026</t>
        </is>
      </c>
      <c r="B4805" s="1" t="n">
        <v>46043</v>
      </c>
      <c r="C4805" s="1" t="n">
        <v>46086</v>
      </c>
      <c r="D4805" t="inlineStr">
        <is>
          <t>GÄVLEBORGS LÄN</t>
        </is>
      </c>
      <c r="E4805" t="inlineStr">
        <is>
          <t>OCKELBO</t>
        </is>
      </c>
      <c r="F4805" t="inlineStr">
        <is>
          <t>Bergvik skog väst AB</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3709-2026</t>
        </is>
      </c>
      <c r="B4806" s="1" t="n">
        <v>46043</v>
      </c>
      <c r="C4806" s="1" t="n">
        <v>46086</v>
      </c>
      <c r="D4806" t="inlineStr">
        <is>
          <t>GÄVLEBORGS LÄN</t>
        </is>
      </c>
      <c r="E4806" t="inlineStr">
        <is>
          <t>OCKELBO</t>
        </is>
      </c>
      <c r="F4806" t="inlineStr">
        <is>
          <t>Bergvik skog väst AB</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3719-2026</t>
        </is>
      </c>
      <c r="B4807" s="1" t="n">
        <v>46043.49481481482</v>
      </c>
      <c r="C4807" s="1" t="n">
        <v>46086</v>
      </c>
      <c r="D4807" t="inlineStr">
        <is>
          <t>GÄVLEBORGS LÄN</t>
        </is>
      </c>
      <c r="E4807" t="inlineStr">
        <is>
          <t>OCKELBO</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3745-2026</t>
        </is>
      </c>
      <c r="B4808" s="1" t="n">
        <v>46043.53938657408</v>
      </c>
      <c r="C4808" s="1" t="n">
        <v>46086</v>
      </c>
      <c r="D4808" t="inlineStr">
        <is>
          <t>GÄVLEBORGS LÄN</t>
        </is>
      </c>
      <c r="E4808" t="inlineStr">
        <is>
          <t>NORDANSTIG</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3762-2026</t>
        </is>
      </c>
      <c r="B4809" s="1" t="n">
        <v>46043.55668981482</v>
      </c>
      <c r="C4809" s="1" t="n">
        <v>46086</v>
      </c>
      <c r="D4809" t="inlineStr">
        <is>
          <t>GÄVLEBORGS LÄN</t>
        </is>
      </c>
      <c r="E4809" t="inlineStr">
        <is>
          <t>NORDANSTIG</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8955-2026</t>
        </is>
      </c>
      <c r="B4810" s="1" t="n">
        <v>46069.40528935185</v>
      </c>
      <c r="C4810" s="1" t="n">
        <v>46086</v>
      </c>
      <c r="D4810" t="inlineStr">
        <is>
          <t>GÄVLEBORGS LÄN</t>
        </is>
      </c>
      <c r="E4810" t="inlineStr">
        <is>
          <t>BOLLNÄS</t>
        </is>
      </c>
      <c r="F4810" t="inlineStr">
        <is>
          <t>Bergvik skog väst AB</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8957-2026</t>
        </is>
      </c>
      <c r="B4811" s="1" t="n">
        <v>46069.40770833333</v>
      </c>
      <c r="C4811" s="1" t="n">
        <v>46086</v>
      </c>
      <c r="D4811" t="inlineStr">
        <is>
          <t>GÄVLEBORGS LÄN</t>
        </is>
      </c>
      <c r="E4811" t="inlineStr">
        <is>
          <t>BOLLNÄS</t>
        </is>
      </c>
      <c r="F4811" t="inlineStr">
        <is>
          <t>Bergvik skog väst AB</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8973-2026</t>
        </is>
      </c>
      <c r="B4812" s="1" t="n">
        <v>46069</v>
      </c>
      <c r="C4812" s="1" t="n">
        <v>46086</v>
      </c>
      <c r="D4812" t="inlineStr">
        <is>
          <t>GÄVLEBORGS LÄN</t>
        </is>
      </c>
      <c r="E4812" t="inlineStr">
        <is>
          <t>OCKELBO</t>
        </is>
      </c>
      <c r="F4812" t="inlineStr">
        <is>
          <t>Bergvik skog väst AB</t>
        </is>
      </c>
      <c r="G4812" t="n">
        <v>17.6</v>
      </c>
      <c r="H4812" t="n">
        <v>0</v>
      </c>
      <c r="I4812" t="n">
        <v>0</v>
      </c>
      <c r="J4812" t="n">
        <v>0</v>
      </c>
      <c r="K4812" t="n">
        <v>0</v>
      </c>
      <c r="L4812" t="n">
        <v>0</v>
      </c>
      <c r="M4812" t="n">
        <v>0</v>
      </c>
      <c r="N4812" t="n">
        <v>0</v>
      </c>
      <c r="O4812" t="n">
        <v>0</v>
      </c>
      <c r="P4812" t="n">
        <v>0</v>
      </c>
      <c r="Q4812" t="n">
        <v>0</v>
      </c>
      <c r="R4812" s="2" t="inlineStr"/>
    </row>
    <row r="4813" ht="15" customHeight="1">
      <c r="A4813" t="inlineStr">
        <is>
          <t>A 9043-2026</t>
        </is>
      </c>
      <c r="B4813" s="1" t="n">
        <v>46069</v>
      </c>
      <c r="C4813" s="1" t="n">
        <v>46086</v>
      </c>
      <c r="D4813" t="inlineStr">
        <is>
          <t>GÄVLEBORGS LÄN</t>
        </is>
      </c>
      <c r="E4813" t="inlineStr">
        <is>
          <t>BOLLNÄS</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10281-2026</t>
        </is>
      </c>
      <c r="B4814" s="1" t="n">
        <v>46076</v>
      </c>
      <c r="C4814" s="1" t="n">
        <v>46086</v>
      </c>
      <c r="D4814" t="inlineStr">
        <is>
          <t>GÄVLEBORGS LÄN</t>
        </is>
      </c>
      <c r="E4814" t="inlineStr">
        <is>
          <t>OVANÅKER</t>
        </is>
      </c>
      <c r="F4814" t="inlineStr">
        <is>
          <t>Bergvik skog väst AB</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10351-2026</t>
        </is>
      </c>
      <c r="B4815" s="1" t="n">
        <v>46076</v>
      </c>
      <c r="C4815" s="1" t="n">
        <v>46086</v>
      </c>
      <c r="D4815" t="inlineStr">
        <is>
          <t>GÄVLEBORGS LÄN</t>
        </is>
      </c>
      <c r="E4815" t="inlineStr">
        <is>
          <t>HUDIKSVALL</t>
        </is>
      </c>
      <c r="G4815" t="n">
        <v>4.9</v>
      </c>
      <c r="H4815" t="n">
        <v>0</v>
      </c>
      <c r="I4815" t="n">
        <v>0</v>
      </c>
      <c r="J4815" t="n">
        <v>0</v>
      </c>
      <c r="K4815" t="n">
        <v>0</v>
      </c>
      <c r="L4815" t="n">
        <v>0</v>
      </c>
      <c r="M4815" t="n">
        <v>0</v>
      </c>
      <c r="N4815" t="n">
        <v>0</v>
      </c>
      <c r="O4815" t="n">
        <v>0</v>
      </c>
      <c r="P4815" t="n">
        <v>0</v>
      </c>
      <c r="Q4815" t="n">
        <v>0</v>
      </c>
      <c r="R4815" s="2" t="inlineStr"/>
    </row>
    <row r="4816" ht="15" customHeight="1">
      <c r="A4816" t="inlineStr">
        <is>
          <t>A 10356-2026</t>
        </is>
      </c>
      <c r="B4816" s="1" t="n">
        <v>46076</v>
      </c>
      <c r="C4816" s="1" t="n">
        <v>46086</v>
      </c>
      <c r="D4816" t="inlineStr">
        <is>
          <t>GÄVLEBORGS LÄN</t>
        </is>
      </c>
      <c r="E4816" t="inlineStr">
        <is>
          <t>SÖDERHAMN</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11974-2026</t>
        </is>
      </c>
      <c r="B4817" s="1" t="n">
        <v>46085.62712962963</v>
      </c>
      <c r="C4817" s="1" t="n">
        <v>46086</v>
      </c>
      <c r="D4817" t="inlineStr">
        <is>
          <t>GÄVLEBORGS LÄN</t>
        </is>
      </c>
      <c r="E4817" t="inlineStr">
        <is>
          <t>OCKELBO</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11986-2026</t>
        </is>
      </c>
      <c r="B4818" s="1" t="n">
        <v>46085.65211805556</v>
      </c>
      <c r="C4818" s="1" t="n">
        <v>46086</v>
      </c>
      <c r="D4818" t="inlineStr">
        <is>
          <t>GÄVLEBORGS LÄN</t>
        </is>
      </c>
      <c r="E4818" t="inlineStr">
        <is>
          <t>OVANÅKER</t>
        </is>
      </c>
      <c r="F4818" t="inlineStr">
        <is>
          <t>Bergvik skog öst AB</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12001-2026</t>
        </is>
      </c>
      <c r="B4819" s="1" t="n">
        <v>46085.66960648148</v>
      </c>
      <c r="C4819" s="1" t="n">
        <v>46086</v>
      </c>
      <c r="D4819" t="inlineStr">
        <is>
          <t>GÄVLEBORGS LÄN</t>
        </is>
      </c>
      <c r="E4819" t="inlineStr">
        <is>
          <t>BOLLNÄS</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12007-2026</t>
        </is>
      </c>
      <c r="B4820" s="1" t="n">
        <v>46085.68770833333</v>
      </c>
      <c r="C4820" s="1" t="n">
        <v>46086</v>
      </c>
      <c r="D4820" t="inlineStr">
        <is>
          <t>GÄVLEBORGS LÄN</t>
        </is>
      </c>
      <c r="E4820" t="inlineStr">
        <is>
          <t>BOLLNÄS</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12015-2026</t>
        </is>
      </c>
      <c r="B4821" s="1" t="n">
        <v>46085.75361111111</v>
      </c>
      <c r="C4821" s="1" t="n">
        <v>46086</v>
      </c>
      <c r="D4821" t="inlineStr">
        <is>
          <t>GÄVLEBORGS LÄN</t>
        </is>
      </c>
      <c r="E4821" t="inlineStr">
        <is>
          <t>GÄVLE</t>
        </is>
      </c>
      <c r="G4821" t="n">
        <v>3.9</v>
      </c>
      <c r="H4821" t="n">
        <v>0</v>
      </c>
      <c r="I4821" t="n">
        <v>0</v>
      </c>
      <c r="J4821" t="n">
        <v>0</v>
      </c>
      <c r="K4821" t="n">
        <v>0</v>
      </c>
      <c r="L4821" t="n">
        <v>0</v>
      </c>
      <c r="M4821" t="n">
        <v>0</v>
      </c>
      <c r="N4821" t="n">
        <v>0</v>
      </c>
      <c r="O4821" t="n">
        <v>0</v>
      </c>
      <c r="P4821" t="n">
        <v>0</v>
      </c>
      <c r="Q4821" t="n">
        <v>0</v>
      </c>
      <c r="R4821" s="2" t="inlineStr"/>
    </row>
    <row r="4822" ht="15" customHeight="1">
      <c r="A4822" t="inlineStr">
        <is>
          <t>A 11914-2026</t>
        </is>
      </c>
      <c r="B4822" s="1" t="n">
        <v>46085.55413194445</v>
      </c>
      <c r="C4822" s="1" t="n">
        <v>46086</v>
      </c>
      <c r="D4822" t="inlineStr">
        <is>
          <t>GÄVLEBORGS LÄN</t>
        </is>
      </c>
      <c r="E4822" t="inlineStr">
        <is>
          <t>SANDVIKEN</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11926-2026</t>
        </is>
      </c>
      <c r="B4823" s="1" t="n">
        <v>46085.57392361111</v>
      </c>
      <c r="C4823" s="1" t="n">
        <v>46086</v>
      </c>
      <c r="D4823" t="inlineStr">
        <is>
          <t>GÄVLEBORGS LÄN</t>
        </is>
      </c>
      <c r="E4823" t="inlineStr">
        <is>
          <t>GÄVLE</t>
        </is>
      </c>
      <c r="F4823" t="inlineStr">
        <is>
          <t>Bergvik skog öst AB</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11932-2026</t>
        </is>
      </c>
      <c r="B4824" s="1" t="n">
        <v>46085.58724537037</v>
      </c>
      <c r="C4824" s="1" t="n">
        <v>46086</v>
      </c>
      <c r="D4824" t="inlineStr">
        <is>
          <t>GÄVLEBORGS LÄN</t>
        </is>
      </c>
      <c r="E4824" t="inlineStr">
        <is>
          <t>HUDIKSVALL</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3354-2026</t>
        </is>
      </c>
      <c r="B4825" s="1" t="n">
        <v>46042.2458449074</v>
      </c>
      <c r="C4825" s="1" t="n">
        <v>46086</v>
      </c>
      <c r="D4825" t="inlineStr">
        <is>
          <t>GÄVLEBORGS LÄN</t>
        </is>
      </c>
      <c r="E4825" t="inlineStr">
        <is>
          <t>BOLLNÄS</t>
        </is>
      </c>
      <c r="G4825" t="n">
        <v>8.9</v>
      </c>
      <c r="H4825" t="n">
        <v>0</v>
      </c>
      <c r="I4825" t="n">
        <v>0</v>
      </c>
      <c r="J4825" t="n">
        <v>0</v>
      </c>
      <c r="K4825" t="n">
        <v>0</v>
      </c>
      <c r="L4825" t="n">
        <v>0</v>
      </c>
      <c r="M4825" t="n">
        <v>0</v>
      </c>
      <c r="N4825" t="n">
        <v>0</v>
      </c>
      <c r="O4825" t="n">
        <v>0</v>
      </c>
      <c r="P4825" t="n">
        <v>0</v>
      </c>
      <c r="Q4825" t="n">
        <v>0</v>
      </c>
      <c r="R4825" s="2" t="inlineStr"/>
    </row>
    <row r="4826" ht="15" customHeight="1">
      <c r="A4826" t="inlineStr">
        <is>
          <t>A 45847-2025</t>
        </is>
      </c>
      <c r="B4826" s="1" t="n">
        <v>45923.6159837963</v>
      </c>
      <c r="C4826" s="1" t="n">
        <v>46086</v>
      </c>
      <c r="D4826" t="inlineStr">
        <is>
          <t>GÄVLEBORGS LÄN</t>
        </is>
      </c>
      <c r="E4826" t="inlineStr">
        <is>
          <t>LJUSDAL</t>
        </is>
      </c>
      <c r="F4826" t="inlineStr">
        <is>
          <t>Allmännings- och besparingsskogar</t>
        </is>
      </c>
      <c r="G4826" t="n">
        <v>16.4</v>
      </c>
      <c r="H4826" t="n">
        <v>0</v>
      </c>
      <c r="I4826" t="n">
        <v>0</v>
      </c>
      <c r="J4826" t="n">
        <v>0</v>
      </c>
      <c r="K4826" t="n">
        <v>0</v>
      </c>
      <c r="L4826" t="n">
        <v>0</v>
      </c>
      <c r="M4826" t="n">
        <v>0</v>
      </c>
      <c r="N4826" t="n">
        <v>0</v>
      </c>
      <c r="O4826" t="n">
        <v>0</v>
      </c>
      <c r="P4826" t="n">
        <v>0</v>
      </c>
      <c r="Q4826" t="n">
        <v>0</v>
      </c>
      <c r="R4826" s="2" t="inlineStr"/>
    </row>
    <row r="4827" ht="15" customHeight="1">
      <c r="A4827" t="inlineStr">
        <is>
          <t>A 45850-2025</t>
        </is>
      </c>
      <c r="B4827" s="1" t="n">
        <v>45923</v>
      </c>
      <c r="C4827" s="1" t="n">
        <v>46086</v>
      </c>
      <c r="D4827" t="inlineStr">
        <is>
          <t>GÄVLEBORGS LÄN</t>
        </is>
      </c>
      <c r="E4827" t="inlineStr">
        <is>
          <t>GÄVLE</t>
        </is>
      </c>
      <c r="G4827" t="n">
        <v>5</v>
      </c>
      <c r="H4827" t="n">
        <v>0</v>
      </c>
      <c r="I4827" t="n">
        <v>0</v>
      </c>
      <c r="J4827" t="n">
        <v>0</v>
      </c>
      <c r="K4827" t="n">
        <v>0</v>
      </c>
      <c r="L4827" t="n">
        <v>0</v>
      </c>
      <c r="M4827" t="n">
        <v>0</v>
      </c>
      <c r="N4827" t="n">
        <v>0</v>
      </c>
      <c r="O4827" t="n">
        <v>0</v>
      </c>
      <c r="P4827" t="n">
        <v>0</v>
      </c>
      <c r="Q4827" t="n">
        <v>0</v>
      </c>
      <c r="R4827" s="2" t="inlineStr"/>
    </row>
    <row r="4828" ht="15" customHeight="1">
      <c r="A4828" t="inlineStr">
        <is>
          <t>A 40530-2025</t>
        </is>
      </c>
      <c r="B4828" s="1" t="n">
        <v>45896.38710648148</v>
      </c>
      <c r="C4828" s="1" t="n">
        <v>46086</v>
      </c>
      <c r="D4828" t="inlineStr">
        <is>
          <t>GÄVLEBORGS LÄN</t>
        </is>
      </c>
      <c r="E4828" t="inlineStr">
        <is>
          <t>GÄVLE</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3614-2026</t>
        </is>
      </c>
      <c r="B4829" s="1" t="n">
        <v>46042.94263888889</v>
      </c>
      <c r="C4829" s="1" t="n">
        <v>46086</v>
      </c>
      <c r="D4829" t="inlineStr">
        <is>
          <t>GÄVLEBORGS LÄN</t>
        </is>
      </c>
      <c r="E4829" t="inlineStr">
        <is>
          <t>HOFORS</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3621-2026</t>
        </is>
      </c>
      <c r="B4830" s="1" t="n">
        <v>46043.04653935185</v>
      </c>
      <c r="C4830" s="1" t="n">
        <v>46086</v>
      </c>
      <c r="D4830" t="inlineStr">
        <is>
          <t>GÄVLEBORGS LÄN</t>
        </is>
      </c>
      <c r="E4830" t="inlineStr">
        <is>
          <t>LJUSDAL</t>
        </is>
      </c>
      <c r="G4830" t="n">
        <v>5.7</v>
      </c>
      <c r="H4830" t="n">
        <v>0</v>
      </c>
      <c r="I4830" t="n">
        <v>0</v>
      </c>
      <c r="J4830" t="n">
        <v>0</v>
      </c>
      <c r="K4830" t="n">
        <v>0</v>
      </c>
      <c r="L4830" t="n">
        <v>0</v>
      </c>
      <c r="M4830" t="n">
        <v>0</v>
      </c>
      <c r="N4830" t="n">
        <v>0</v>
      </c>
      <c r="O4830" t="n">
        <v>0</v>
      </c>
      <c r="P4830" t="n">
        <v>0</v>
      </c>
      <c r="Q4830" t="n">
        <v>0</v>
      </c>
      <c r="R4830" s="2" t="inlineStr"/>
    </row>
    <row r="4831" ht="15" customHeight="1">
      <c r="A4831" t="inlineStr">
        <is>
          <t>A 3622-2026</t>
        </is>
      </c>
      <c r="B4831" s="1" t="n">
        <v>46043.26456018518</v>
      </c>
      <c r="C4831" s="1" t="n">
        <v>46086</v>
      </c>
      <c r="D4831" t="inlineStr">
        <is>
          <t>GÄVLEBORGS LÄN</t>
        </is>
      </c>
      <c r="E4831" t="inlineStr">
        <is>
          <t>BOLLNÄS</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10913-2026</t>
        </is>
      </c>
      <c r="B4832" s="1" t="n">
        <v>46079</v>
      </c>
      <c r="C4832" s="1" t="n">
        <v>46086</v>
      </c>
      <c r="D4832" t="inlineStr">
        <is>
          <t>GÄVLEBORGS LÄN</t>
        </is>
      </c>
      <c r="E4832" t="inlineStr">
        <is>
          <t>BOLLNÄS</t>
        </is>
      </c>
      <c r="F4832" t="inlineStr">
        <is>
          <t>Bergvik skog väst AB</t>
        </is>
      </c>
      <c r="G4832" t="n">
        <v>4.4</v>
      </c>
      <c r="H4832" t="n">
        <v>0</v>
      </c>
      <c r="I4832" t="n">
        <v>0</v>
      </c>
      <c r="J4832" t="n">
        <v>0</v>
      </c>
      <c r="K4832" t="n">
        <v>0</v>
      </c>
      <c r="L4832" t="n">
        <v>0</v>
      </c>
      <c r="M4832" t="n">
        <v>0</v>
      </c>
      <c r="N4832" t="n">
        <v>0</v>
      </c>
      <c r="O4832" t="n">
        <v>0</v>
      </c>
      <c r="P4832" t="n">
        <v>0</v>
      </c>
      <c r="Q4832" t="n">
        <v>0</v>
      </c>
      <c r="R4832" s="2" t="inlineStr"/>
    </row>
    <row r="4833" ht="15" customHeight="1">
      <c r="A4833" t="inlineStr">
        <is>
          <t>A 10916-2026</t>
        </is>
      </c>
      <c r="B4833" s="1" t="n">
        <v>46079</v>
      </c>
      <c r="C4833" s="1" t="n">
        <v>46086</v>
      </c>
      <c r="D4833" t="inlineStr">
        <is>
          <t>GÄVLEBORGS LÄN</t>
        </is>
      </c>
      <c r="E4833" t="inlineStr">
        <is>
          <t>BOLLNÄS</t>
        </is>
      </c>
      <c r="F4833" t="inlineStr">
        <is>
          <t>Bergvik skog väst AB</t>
        </is>
      </c>
      <c r="G4833" t="n">
        <v>4.2</v>
      </c>
      <c r="H4833" t="n">
        <v>0</v>
      </c>
      <c r="I4833" t="n">
        <v>0</v>
      </c>
      <c r="J4833" t="n">
        <v>0</v>
      </c>
      <c r="K4833" t="n">
        <v>0</v>
      </c>
      <c r="L4833" t="n">
        <v>0</v>
      </c>
      <c r="M4833" t="n">
        <v>0</v>
      </c>
      <c r="N4833" t="n">
        <v>0</v>
      </c>
      <c r="O4833" t="n">
        <v>0</v>
      </c>
      <c r="P4833" t="n">
        <v>0</v>
      </c>
      <c r="Q4833" t="n">
        <v>0</v>
      </c>
      <c r="R4833" s="2" t="inlineStr"/>
    </row>
    <row r="4834" ht="15" customHeight="1">
      <c r="A4834" t="inlineStr">
        <is>
          <t>A 11547-2026</t>
        </is>
      </c>
      <c r="B4834" s="1" t="n">
        <v>46084.25488425926</v>
      </c>
      <c r="C4834" s="1" t="n">
        <v>46086</v>
      </c>
      <c r="D4834" t="inlineStr">
        <is>
          <t>GÄVLEBORGS LÄN</t>
        </is>
      </c>
      <c r="E4834" t="inlineStr">
        <is>
          <t>BOLLNÄS</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11552-2026</t>
        </is>
      </c>
      <c r="B4835" s="1" t="n">
        <v>46084.31731481481</v>
      </c>
      <c r="C4835" s="1" t="n">
        <v>46086</v>
      </c>
      <c r="D4835" t="inlineStr">
        <is>
          <t>GÄVLEBORGS LÄN</t>
        </is>
      </c>
      <c r="E4835" t="inlineStr">
        <is>
          <t>BOLLNÄS</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11582-2026</t>
        </is>
      </c>
      <c r="B4836" s="1" t="n">
        <v>46084.39797453704</v>
      </c>
      <c r="C4836" s="1" t="n">
        <v>46086</v>
      </c>
      <c r="D4836" t="inlineStr">
        <is>
          <t>GÄVLEBORGS LÄN</t>
        </is>
      </c>
      <c r="E4836" t="inlineStr">
        <is>
          <t>NORDANSTIG</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11585-2026</t>
        </is>
      </c>
      <c r="B4837" s="1" t="n">
        <v>46084.40939814815</v>
      </c>
      <c r="C4837" s="1" t="n">
        <v>46086</v>
      </c>
      <c r="D4837" t="inlineStr">
        <is>
          <t>GÄVLEBORGS LÄN</t>
        </is>
      </c>
      <c r="E4837" t="inlineStr">
        <is>
          <t>OVANÅKER</t>
        </is>
      </c>
      <c r="F4837" t="inlineStr">
        <is>
          <t>Bergvik skog öst AB</t>
        </is>
      </c>
      <c r="G4837" t="n">
        <v>9.5</v>
      </c>
      <c r="H4837" t="n">
        <v>0</v>
      </c>
      <c r="I4837" t="n">
        <v>0</v>
      </c>
      <c r="J4837" t="n">
        <v>0</v>
      </c>
      <c r="K4837" t="n">
        <v>0</v>
      </c>
      <c r="L4837" t="n">
        <v>0</v>
      </c>
      <c r="M4837" t="n">
        <v>0</v>
      </c>
      <c r="N4837" t="n">
        <v>0</v>
      </c>
      <c r="O4837" t="n">
        <v>0</v>
      </c>
      <c r="P4837" t="n">
        <v>0</v>
      </c>
      <c r="Q4837" t="n">
        <v>0</v>
      </c>
      <c r="R4837" s="2" t="inlineStr"/>
    </row>
    <row r="4838" ht="15" customHeight="1">
      <c r="A4838" t="inlineStr">
        <is>
          <t>A 45723-2025</t>
        </is>
      </c>
      <c r="B4838" s="1" t="n">
        <v>45923.45673611111</v>
      </c>
      <c r="C4838" s="1" t="n">
        <v>46086</v>
      </c>
      <c r="D4838" t="inlineStr">
        <is>
          <t>GÄVLEBORGS LÄN</t>
        </is>
      </c>
      <c r="E4838" t="inlineStr">
        <is>
          <t>HUDIKSVALL</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11613-2026</t>
        </is>
      </c>
      <c r="B4839" s="1" t="n">
        <v>46084.44259259259</v>
      </c>
      <c r="C4839" s="1" t="n">
        <v>46086</v>
      </c>
      <c r="D4839" t="inlineStr">
        <is>
          <t>GÄVLEBORGS LÄN</t>
        </is>
      </c>
      <c r="E4839" t="inlineStr">
        <is>
          <t>BOLLNÄS</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11635-2026</t>
        </is>
      </c>
      <c r="B4840" s="1" t="n">
        <v>46084.48663194444</v>
      </c>
      <c r="C4840" s="1" t="n">
        <v>46086</v>
      </c>
      <c r="D4840" t="inlineStr">
        <is>
          <t>GÄVLEBORGS LÄN</t>
        </is>
      </c>
      <c r="E4840" t="inlineStr">
        <is>
          <t>NORDANSTIG</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11651-2026</t>
        </is>
      </c>
      <c r="B4841" s="1" t="n">
        <v>46084.52521990741</v>
      </c>
      <c r="C4841" s="1" t="n">
        <v>46086</v>
      </c>
      <c r="D4841" t="inlineStr">
        <is>
          <t>GÄVLEBORGS LÄN</t>
        </is>
      </c>
      <c r="E4841" t="inlineStr">
        <is>
          <t>OVANÅKER</t>
        </is>
      </c>
      <c r="F4841" t="inlineStr">
        <is>
          <t>Bergvik skog öst AB</t>
        </is>
      </c>
      <c r="G4841" t="n">
        <v>8.9</v>
      </c>
      <c r="H4841" t="n">
        <v>0</v>
      </c>
      <c r="I4841" t="n">
        <v>0</v>
      </c>
      <c r="J4841" t="n">
        <v>0</v>
      </c>
      <c r="K4841" t="n">
        <v>0</v>
      </c>
      <c r="L4841" t="n">
        <v>0</v>
      </c>
      <c r="M4841" t="n">
        <v>0</v>
      </c>
      <c r="N4841" t="n">
        <v>0</v>
      </c>
      <c r="O4841" t="n">
        <v>0</v>
      </c>
      <c r="P4841" t="n">
        <v>0</v>
      </c>
      <c r="Q4841" t="n">
        <v>0</v>
      </c>
      <c r="R4841" s="2" t="inlineStr"/>
    </row>
    <row r="4842" ht="15" customHeight="1">
      <c r="A4842" t="inlineStr">
        <is>
          <t>A 11656-2026</t>
        </is>
      </c>
      <c r="B4842" s="1" t="n">
        <v>46084.53690972222</v>
      </c>
      <c r="C4842" s="1" t="n">
        <v>46086</v>
      </c>
      <c r="D4842" t="inlineStr">
        <is>
          <t>GÄVLEBORGS LÄN</t>
        </is>
      </c>
      <c r="E4842" t="inlineStr">
        <is>
          <t>BOLLNÄS</t>
        </is>
      </c>
      <c r="G4842" t="n">
        <v>7.1</v>
      </c>
      <c r="H4842" t="n">
        <v>0</v>
      </c>
      <c r="I4842" t="n">
        <v>0</v>
      </c>
      <c r="J4842" t="n">
        <v>0</v>
      </c>
      <c r="K4842" t="n">
        <v>0</v>
      </c>
      <c r="L4842" t="n">
        <v>0</v>
      </c>
      <c r="M4842" t="n">
        <v>0</v>
      </c>
      <c r="N4842" t="n">
        <v>0</v>
      </c>
      <c r="O4842" t="n">
        <v>0</v>
      </c>
      <c r="P4842" t="n">
        <v>0</v>
      </c>
      <c r="Q4842" t="n">
        <v>0</v>
      </c>
      <c r="R4842" s="2" t="inlineStr"/>
    </row>
    <row r="4843" ht="15" customHeight="1">
      <c r="A4843" t="inlineStr">
        <is>
          <t>A 11661-2026</t>
        </is>
      </c>
      <c r="B4843" s="1" t="n">
        <v>46084</v>
      </c>
      <c r="C4843" s="1" t="n">
        <v>46086</v>
      </c>
      <c r="D4843" t="inlineStr">
        <is>
          <t>GÄVLEBORGS LÄN</t>
        </is>
      </c>
      <c r="E4843" t="inlineStr">
        <is>
          <t>NORDANSTIG</t>
        </is>
      </c>
      <c r="G4843" t="n">
        <v>5.2</v>
      </c>
      <c r="H4843" t="n">
        <v>0</v>
      </c>
      <c r="I4843" t="n">
        <v>0</v>
      </c>
      <c r="J4843" t="n">
        <v>0</v>
      </c>
      <c r="K4843" t="n">
        <v>0</v>
      </c>
      <c r="L4843" t="n">
        <v>0</v>
      </c>
      <c r="M4843" t="n">
        <v>0</v>
      </c>
      <c r="N4843" t="n">
        <v>0</v>
      </c>
      <c r="O4843" t="n">
        <v>0</v>
      </c>
      <c r="P4843" t="n">
        <v>0</v>
      </c>
      <c r="Q4843" t="n">
        <v>0</v>
      </c>
      <c r="R4843" s="2" t="inlineStr"/>
    </row>
    <row r="4844" ht="15" customHeight="1">
      <c r="A4844" t="inlineStr">
        <is>
          <t>A 53179-2024</t>
        </is>
      </c>
      <c r="B4844" s="1" t="n">
        <v>45611.66996527778</v>
      </c>
      <c r="C4844" s="1" t="n">
        <v>46086</v>
      </c>
      <c r="D4844" t="inlineStr">
        <is>
          <t>GÄVLEBORGS LÄN</t>
        </is>
      </c>
      <c r="E4844" t="inlineStr">
        <is>
          <t>NORDANSTIG</t>
        </is>
      </c>
      <c r="F4844" t="inlineStr">
        <is>
          <t>Holmen skog AB</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11679-2026</t>
        </is>
      </c>
      <c r="B4845" s="1" t="n">
        <v>46084.57226851852</v>
      </c>
      <c r="C4845" s="1" t="n">
        <v>46086</v>
      </c>
      <c r="D4845" t="inlineStr">
        <is>
          <t>GÄVLEBORGS LÄN</t>
        </is>
      </c>
      <c r="E4845" t="inlineStr">
        <is>
          <t>BOLLNÄS</t>
        </is>
      </c>
      <c r="G4845" t="n">
        <v>11.9</v>
      </c>
      <c r="H4845" t="n">
        <v>0</v>
      </c>
      <c r="I4845" t="n">
        <v>0</v>
      </c>
      <c r="J4845" t="n">
        <v>0</v>
      </c>
      <c r="K4845" t="n">
        <v>0</v>
      </c>
      <c r="L4845" t="n">
        <v>0</v>
      </c>
      <c r="M4845" t="n">
        <v>0</v>
      </c>
      <c r="N4845" t="n">
        <v>0</v>
      </c>
      <c r="O4845" t="n">
        <v>0</v>
      </c>
      <c r="P4845" t="n">
        <v>0</v>
      </c>
      <c r="Q4845" t="n">
        <v>0</v>
      </c>
      <c r="R4845" s="2" t="inlineStr"/>
    </row>
    <row r="4846" ht="15" customHeight="1">
      <c r="A4846" t="inlineStr">
        <is>
          <t>A 11709-2026</t>
        </is>
      </c>
      <c r="B4846" s="1" t="n">
        <v>46084.62069444444</v>
      </c>
      <c r="C4846" s="1" t="n">
        <v>46086</v>
      </c>
      <c r="D4846" t="inlineStr">
        <is>
          <t>GÄVLEBORGS LÄN</t>
        </is>
      </c>
      <c r="E4846" t="inlineStr">
        <is>
          <t>SANDVIKEN</t>
        </is>
      </c>
      <c r="F4846" t="inlineStr">
        <is>
          <t>Kommuner</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41701-2023</t>
        </is>
      </c>
      <c r="B4847" s="1" t="n">
        <v>45176.37850694444</v>
      </c>
      <c r="C4847" s="1" t="n">
        <v>46086</v>
      </c>
      <c r="D4847" t="inlineStr">
        <is>
          <t>GÄVLEBORGS LÄN</t>
        </is>
      </c>
      <c r="E4847" t="inlineStr">
        <is>
          <t>NORDANSTIG</t>
        </is>
      </c>
      <c r="F4847" t="inlineStr">
        <is>
          <t>Holmen skog AB</t>
        </is>
      </c>
      <c r="G4847" t="n">
        <v>5.6</v>
      </c>
      <c r="H4847" t="n">
        <v>0</v>
      </c>
      <c r="I4847" t="n">
        <v>0</v>
      </c>
      <c r="J4847" t="n">
        <v>0</v>
      </c>
      <c r="K4847" t="n">
        <v>0</v>
      </c>
      <c r="L4847" t="n">
        <v>0</v>
      </c>
      <c r="M4847" t="n">
        <v>0</v>
      </c>
      <c r="N4847" t="n">
        <v>0</v>
      </c>
      <c r="O4847" t="n">
        <v>0</v>
      </c>
      <c r="P4847" t="n">
        <v>0</v>
      </c>
      <c r="Q4847" t="n">
        <v>0</v>
      </c>
      <c r="R4847" s="2" t="inlineStr"/>
    </row>
    <row r="4848" ht="15" customHeight="1">
      <c r="A4848" t="inlineStr">
        <is>
          <t>A 45400-2025</t>
        </is>
      </c>
      <c r="B4848" s="1" t="n">
        <v>45922.4216087963</v>
      </c>
      <c r="C4848" s="1" t="n">
        <v>46086</v>
      </c>
      <c r="D4848" t="inlineStr">
        <is>
          <t>GÄVLEBORGS LÄN</t>
        </is>
      </c>
      <c r="E4848" t="inlineStr">
        <is>
          <t>SANDVIKEN</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3698-2026</t>
        </is>
      </c>
      <c r="B4849" s="1" t="n">
        <v>46043.46753472222</v>
      </c>
      <c r="C4849" s="1" t="n">
        <v>46086</v>
      </c>
      <c r="D4849" t="inlineStr">
        <is>
          <t>GÄVLEBORGS LÄN</t>
        </is>
      </c>
      <c r="E4849" t="inlineStr">
        <is>
          <t>SÖDERHAMN</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3699-2026</t>
        </is>
      </c>
      <c r="B4850" s="1" t="n">
        <v>46043</v>
      </c>
      <c r="C4850" s="1" t="n">
        <v>46086</v>
      </c>
      <c r="D4850" t="inlineStr">
        <is>
          <t>GÄVLEBORGS LÄN</t>
        </is>
      </c>
      <c r="E4850" t="inlineStr">
        <is>
          <t>OCKELBO</t>
        </is>
      </c>
      <c r="F4850" t="inlineStr">
        <is>
          <t>Bergvik skog väst AB</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3702-2026</t>
        </is>
      </c>
      <c r="B4851" s="1" t="n">
        <v>46043</v>
      </c>
      <c r="C4851" s="1" t="n">
        <v>46086</v>
      </c>
      <c r="D4851" t="inlineStr">
        <is>
          <t>GÄVLEBORGS LÄN</t>
        </is>
      </c>
      <c r="E4851" t="inlineStr">
        <is>
          <t>OCKELBO</t>
        </is>
      </c>
      <c r="F4851" t="inlineStr">
        <is>
          <t>Bergvik skog väst AB</t>
        </is>
      </c>
      <c r="G4851" t="n">
        <v>4.1</v>
      </c>
      <c r="H4851" t="n">
        <v>0</v>
      </c>
      <c r="I4851" t="n">
        <v>0</v>
      </c>
      <c r="J4851" t="n">
        <v>0</v>
      </c>
      <c r="K4851" t="n">
        <v>0</v>
      </c>
      <c r="L4851" t="n">
        <v>0</v>
      </c>
      <c r="M4851" t="n">
        <v>0</v>
      </c>
      <c r="N4851" t="n">
        <v>0</v>
      </c>
      <c r="O4851" t="n">
        <v>0</v>
      </c>
      <c r="P4851" t="n">
        <v>0</v>
      </c>
      <c r="Q4851" t="n">
        <v>0</v>
      </c>
      <c r="R4851" s="2" t="inlineStr"/>
    </row>
    <row r="4852" ht="15" customHeight="1">
      <c r="A4852" t="inlineStr">
        <is>
          <t>A 3747-2026</t>
        </is>
      </c>
      <c r="B4852" s="1" t="n">
        <v>46043.54212962963</v>
      </c>
      <c r="C4852" s="1" t="n">
        <v>46086</v>
      </c>
      <c r="D4852" t="inlineStr">
        <is>
          <t>GÄVLEBORGS LÄN</t>
        </is>
      </c>
      <c r="E4852" t="inlineStr">
        <is>
          <t>NORDANSTIG</t>
        </is>
      </c>
      <c r="G4852" t="n">
        <v>24.7</v>
      </c>
      <c r="H4852" t="n">
        <v>0</v>
      </c>
      <c r="I4852" t="n">
        <v>0</v>
      </c>
      <c r="J4852" t="n">
        <v>0</v>
      </c>
      <c r="K4852" t="n">
        <v>0</v>
      </c>
      <c r="L4852" t="n">
        <v>0</v>
      </c>
      <c r="M4852" t="n">
        <v>0</v>
      </c>
      <c r="N4852" t="n">
        <v>0</v>
      </c>
      <c r="O4852" t="n">
        <v>0</v>
      </c>
      <c r="P4852" t="n">
        <v>0</v>
      </c>
      <c r="Q4852" t="n">
        <v>0</v>
      </c>
      <c r="R4852" s="2" t="inlineStr"/>
    </row>
    <row r="4853" ht="15" customHeight="1">
      <c r="A4853" t="inlineStr">
        <is>
          <t>A 3750-2026</t>
        </is>
      </c>
      <c r="B4853" s="1" t="n">
        <v>46043.54959490741</v>
      </c>
      <c r="C4853" s="1" t="n">
        <v>46086</v>
      </c>
      <c r="D4853" t="inlineStr">
        <is>
          <t>GÄVLEBORGS LÄN</t>
        </is>
      </c>
      <c r="E4853" t="inlineStr">
        <is>
          <t>NORDANSTIG</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3782-2026</t>
        </is>
      </c>
      <c r="B4854" s="1" t="n">
        <v>46043.57074074074</v>
      </c>
      <c r="C4854" s="1" t="n">
        <v>46086</v>
      </c>
      <c r="D4854" t="inlineStr">
        <is>
          <t>GÄVLEBORGS LÄN</t>
        </is>
      </c>
      <c r="E4854" t="inlineStr">
        <is>
          <t>OVANÅKER</t>
        </is>
      </c>
      <c r="G4854" t="n">
        <v>3.9</v>
      </c>
      <c r="H4854" t="n">
        <v>0</v>
      </c>
      <c r="I4854" t="n">
        <v>0</v>
      </c>
      <c r="J4854" t="n">
        <v>0</v>
      </c>
      <c r="K4854" t="n">
        <v>0</v>
      </c>
      <c r="L4854" t="n">
        <v>0</v>
      </c>
      <c r="M4854" t="n">
        <v>0</v>
      </c>
      <c r="N4854" t="n">
        <v>0</v>
      </c>
      <c r="O4854" t="n">
        <v>0</v>
      </c>
      <c r="P4854" t="n">
        <v>0</v>
      </c>
      <c r="Q4854" t="n">
        <v>0</v>
      </c>
      <c r="R4854" s="2" t="inlineStr"/>
    </row>
    <row r="4855" ht="15" customHeight="1">
      <c r="A4855" t="inlineStr">
        <is>
          <t>A 3786-2026</t>
        </is>
      </c>
      <c r="B4855" s="1" t="n">
        <v>46043.57211805556</v>
      </c>
      <c r="C4855" s="1" t="n">
        <v>46086</v>
      </c>
      <c r="D4855" t="inlineStr">
        <is>
          <t>GÄVLEBORGS LÄN</t>
        </is>
      </c>
      <c r="E4855" t="inlineStr">
        <is>
          <t>OVANÅKER</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3790-2026</t>
        </is>
      </c>
      <c r="B4856" s="1" t="n">
        <v>46043.5737962963</v>
      </c>
      <c r="C4856" s="1" t="n">
        <v>46086</v>
      </c>
      <c r="D4856" t="inlineStr">
        <is>
          <t>GÄVLEBORGS LÄN</t>
        </is>
      </c>
      <c r="E4856" t="inlineStr">
        <is>
          <t>NORDANSTIG</t>
        </is>
      </c>
      <c r="G4856" t="n">
        <v>10.1</v>
      </c>
      <c r="H4856" t="n">
        <v>0</v>
      </c>
      <c r="I4856" t="n">
        <v>0</v>
      </c>
      <c r="J4856" t="n">
        <v>0</v>
      </c>
      <c r="K4856" t="n">
        <v>0</v>
      </c>
      <c r="L4856" t="n">
        <v>0</v>
      </c>
      <c r="M4856" t="n">
        <v>0</v>
      </c>
      <c r="N4856" t="n">
        <v>0</v>
      </c>
      <c r="O4856" t="n">
        <v>0</v>
      </c>
      <c r="P4856" t="n">
        <v>0</v>
      </c>
      <c r="Q4856" t="n">
        <v>0</v>
      </c>
      <c r="R4856" s="2" t="inlineStr"/>
    </row>
    <row r="4857" ht="15" customHeight="1">
      <c r="A4857" t="inlineStr">
        <is>
          <t>A 11726-2026</t>
        </is>
      </c>
      <c r="B4857" s="1" t="n">
        <v>46084.63476851852</v>
      </c>
      <c r="C4857" s="1" t="n">
        <v>46086</v>
      </c>
      <c r="D4857" t="inlineStr">
        <is>
          <t>GÄVLEBORGS LÄN</t>
        </is>
      </c>
      <c r="E4857" t="inlineStr">
        <is>
          <t>SANDVIKEN</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35311-2025</t>
        </is>
      </c>
      <c r="B4858" s="1" t="n">
        <v>45854.45430555556</v>
      </c>
      <c r="C4858" s="1" t="n">
        <v>46086</v>
      </c>
      <c r="D4858" t="inlineStr">
        <is>
          <t>GÄVLEBORGS LÄN</t>
        </is>
      </c>
      <c r="E4858" t="inlineStr">
        <is>
          <t>OVANÅKER</t>
        </is>
      </c>
      <c r="F4858" t="inlineStr">
        <is>
          <t>Bergvik skog väst AB</t>
        </is>
      </c>
      <c r="G4858" t="n">
        <v>4.2</v>
      </c>
      <c r="H4858" t="n">
        <v>0</v>
      </c>
      <c r="I4858" t="n">
        <v>0</v>
      </c>
      <c r="J4858" t="n">
        <v>0</v>
      </c>
      <c r="K4858" t="n">
        <v>0</v>
      </c>
      <c r="L4858" t="n">
        <v>0</v>
      </c>
      <c r="M4858" t="n">
        <v>0</v>
      </c>
      <c r="N4858" t="n">
        <v>0</v>
      </c>
      <c r="O4858" t="n">
        <v>0</v>
      </c>
      <c r="P4858" t="n">
        <v>0</v>
      </c>
      <c r="Q4858" t="n">
        <v>0</v>
      </c>
      <c r="R4858" s="2" t="inlineStr"/>
    </row>
    <row r="4859" ht="15" customHeight="1">
      <c r="A4859" t="inlineStr">
        <is>
          <t>A 11731-2026</t>
        </is>
      </c>
      <c r="B4859" s="1" t="n">
        <v>46084.63625</v>
      </c>
      <c r="C4859" s="1" t="n">
        <v>46086</v>
      </c>
      <c r="D4859" t="inlineStr">
        <is>
          <t>GÄVLEBORGS LÄN</t>
        </is>
      </c>
      <c r="E4859" t="inlineStr">
        <is>
          <t>SANDVIKEN</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35443-2025</t>
        </is>
      </c>
      <c r="B4860" s="1" t="n">
        <v>45855.52385416667</v>
      </c>
      <c r="C4860" s="1" t="n">
        <v>46086</v>
      </c>
      <c r="D4860" t="inlineStr">
        <is>
          <t>GÄVLEBORGS LÄN</t>
        </is>
      </c>
      <c r="E4860" t="inlineStr">
        <is>
          <t>SANDVIKEN</t>
        </is>
      </c>
      <c r="G4860" t="n">
        <v>3.8</v>
      </c>
      <c r="H4860" t="n">
        <v>0</v>
      </c>
      <c r="I4860" t="n">
        <v>0</v>
      </c>
      <c r="J4860" t="n">
        <v>0</v>
      </c>
      <c r="K4860" t="n">
        <v>0</v>
      </c>
      <c r="L4860" t="n">
        <v>0</v>
      </c>
      <c r="M4860" t="n">
        <v>0</v>
      </c>
      <c r="N4860" t="n">
        <v>0</v>
      </c>
      <c r="O4860" t="n">
        <v>0</v>
      </c>
      <c r="P4860" t="n">
        <v>0</v>
      </c>
      <c r="Q4860" t="n">
        <v>0</v>
      </c>
      <c r="R4860" s="2" t="inlineStr"/>
    </row>
    <row r="4861" ht="15" customHeight="1">
      <c r="A4861" t="inlineStr">
        <is>
          <t>A 11778-2026</t>
        </is>
      </c>
      <c r="B4861" s="1" t="n">
        <v>46084.80835648148</v>
      </c>
      <c r="C4861" s="1" t="n">
        <v>46086</v>
      </c>
      <c r="D4861" t="inlineStr">
        <is>
          <t>GÄVLEBORGS LÄN</t>
        </is>
      </c>
      <c r="E4861" t="inlineStr">
        <is>
          <t>HUDIKSVALL</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11779-2026</t>
        </is>
      </c>
      <c r="B4862" s="1" t="n">
        <v>46084.87247685185</v>
      </c>
      <c r="C4862" s="1" t="n">
        <v>46086</v>
      </c>
      <c r="D4862" t="inlineStr">
        <is>
          <t>GÄVLEBORGS LÄN</t>
        </is>
      </c>
      <c r="E4862" t="inlineStr">
        <is>
          <t>SANDVIKEN</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11800-2026</t>
        </is>
      </c>
      <c r="B4863" s="1" t="n">
        <v>46085.34717592593</v>
      </c>
      <c r="C4863" s="1" t="n">
        <v>46086</v>
      </c>
      <c r="D4863" t="inlineStr">
        <is>
          <t>GÄVLEBORGS LÄN</t>
        </is>
      </c>
      <c r="E4863" t="inlineStr">
        <is>
          <t>SANDVIKEN</t>
        </is>
      </c>
      <c r="F4863" t="inlineStr">
        <is>
          <t>Naturvårdsverket</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45738-2025</t>
        </is>
      </c>
      <c r="B4864" s="1" t="n">
        <v>45923.46806712963</v>
      </c>
      <c r="C4864" s="1" t="n">
        <v>46086</v>
      </c>
      <c r="D4864" t="inlineStr">
        <is>
          <t>GÄVLEBORGS LÄN</t>
        </is>
      </c>
      <c r="E4864" t="inlineStr">
        <is>
          <t>HUDIKSVALL</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7844-2026</t>
        </is>
      </c>
      <c r="B4865" s="1" t="n">
        <v>46062</v>
      </c>
      <c r="C4865" s="1" t="n">
        <v>46086</v>
      </c>
      <c r="D4865" t="inlineStr">
        <is>
          <t>GÄVLEBORGS LÄN</t>
        </is>
      </c>
      <c r="E4865" t="inlineStr">
        <is>
          <t>OVANÅKER</t>
        </is>
      </c>
      <c r="F4865" t="inlineStr">
        <is>
          <t>Sveaskog</t>
        </is>
      </c>
      <c r="G4865" t="n">
        <v>4</v>
      </c>
      <c r="H4865" t="n">
        <v>0</v>
      </c>
      <c r="I4865" t="n">
        <v>0</v>
      </c>
      <c r="J4865" t="n">
        <v>0</v>
      </c>
      <c r="K4865" t="n">
        <v>0</v>
      </c>
      <c r="L4865" t="n">
        <v>0</v>
      </c>
      <c r="M4865" t="n">
        <v>0</v>
      </c>
      <c r="N4865" t="n">
        <v>0</v>
      </c>
      <c r="O4865" t="n">
        <v>0</v>
      </c>
      <c r="P4865" t="n">
        <v>0</v>
      </c>
      <c r="Q4865" t="n">
        <v>0</v>
      </c>
      <c r="R4865" s="2" t="inlineStr"/>
    </row>
    <row r="4866" ht="15" customHeight="1">
      <c r="A4866" t="inlineStr">
        <is>
          <t>A 8594-2026</t>
        </is>
      </c>
      <c r="B4866" s="1" t="n">
        <v>46065</v>
      </c>
      <c r="C4866" s="1" t="n">
        <v>46086</v>
      </c>
      <c r="D4866" t="inlineStr">
        <is>
          <t>GÄVLEBORGS LÄN</t>
        </is>
      </c>
      <c r="E4866" t="inlineStr">
        <is>
          <t>BOLLNÄS</t>
        </is>
      </c>
      <c r="G4866" t="n">
        <v>17.2</v>
      </c>
      <c r="H4866" t="n">
        <v>0</v>
      </c>
      <c r="I4866" t="n">
        <v>0</v>
      </c>
      <c r="J4866" t="n">
        <v>0</v>
      </c>
      <c r="K4866" t="n">
        <v>0</v>
      </c>
      <c r="L4866" t="n">
        <v>0</v>
      </c>
      <c r="M4866" t="n">
        <v>0</v>
      </c>
      <c r="N4866" t="n">
        <v>0</v>
      </c>
      <c r="O4866" t="n">
        <v>0</v>
      </c>
      <c r="P4866" t="n">
        <v>0</v>
      </c>
      <c r="Q4866" t="n">
        <v>0</v>
      </c>
      <c r="R4866" s="2" t="inlineStr"/>
    </row>
    <row r="4867" ht="15" customHeight="1">
      <c r="A4867" t="inlineStr">
        <is>
          <t>A 8605-2026</t>
        </is>
      </c>
      <c r="B4867" s="1" t="n">
        <v>46065</v>
      </c>
      <c r="C4867" s="1" t="n">
        <v>46086</v>
      </c>
      <c r="D4867" t="inlineStr">
        <is>
          <t>GÄVLEBORGS LÄN</t>
        </is>
      </c>
      <c r="E4867" t="inlineStr">
        <is>
          <t>SANDVIKEN</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9293-2026</t>
        </is>
      </c>
      <c r="B4868" s="1" t="n">
        <v>46070</v>
      </c>
      <c r="C4868" s="1" t="n">
        <v>46086</v>
      </c>
      <c r="D4868" t="inlineStr">
        <is>
          <t>GÄVLEBORGS LÄN</t>
        </is>
      </c>
      <c r="E4868" t="inlineStr">
        <is>
          <t>OVANÅKER</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9349-2026</t>
        </is>
      </c>
      <c r="B4869" s="1" t="n">
        <v>46070</v>
      </c>
      <c r="C4869" s="1" t="n">
        <v>46086</v>
      </c>
      <c r="D4869" t="inlineStr">
        <is>
          <t>GÄVLEBORGS LÄN</t>
        </is>
      </c>
      <c r="E4869" t="inlineStr">
        <is>
          <t>SANDVIKEN</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10700-2026</t>
        </is>
      </c>
      <c r="B4870" s="1" t="n">
        <v>46078</v>
      </c>
      <c r="C4870" s="1" t="n">
        <v>46086</v>
      </c>
      <c r="D4870" t="inlineStr">
        <is>
          <t>GÄVLEBORGS LÄN</t>
        </is>
      </c>
      <c r="E4870" t="inlineStr">
        <is>
          <t>OVANÅKER</t>
        </is>
      </c>
      <c r="F4870" t="inlineStr">
        <is>
          <t>Bergvik skog väst AB</t>
        </is>
      </c>
      <c r="G4870" t="n">
        <v>11.2</v>
      </c>
      <c r="H4870" t="n">
        <v>0</v>
      </c>
      <c r="I4870" t="n">
        <v>0</v>
      </c>
      <c r="J4870" t="n">
        <v>0</v>
      </c>
      <c r="K4870" t="n">
        <v>0</v>
      </c>
      <c r="L4870" t="n">
        <v>0</v>
      </c>
      <c r="M4870" t="n">
        <v>0</v>
      </c>
      <c r="N4870" t="n">
        <v>0</v>
      </c>
      <c r="O4870" t="n">
        <v>0</v>
      </c>
      <c r="P4870" t="n">
        <v>0</v>
      </c>
      <c r="Q4870" t="n">
        <v>0</v>
      </c>
      <c r="R4870" s="2" t="inlineStr"/>
    </row>
    <row r="4871" ht="15" customHeight="1">
      <c r="A4871" t="inlineStr">
        <is>
          <t>A 11581-2026</t>
        </is>
      </c>
      <c r="B4871" s="1" t="n">
        <v>46084.39756944445</v>
      </c>
      <c r="C4871" s="1" t="n">
        <v>46086</v>
      </c>
      <c r="D4871" t="inlineStr">
        <is>
          <t>GÄVLEBORGS LÄN</t>
        </is>
      </c>
      <c r="E4871" t="inlineStr">
        <is>
          <t>NORDANSTIG</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45287-2025</t>
        </is>
      </c>
      <c r="B4872" s="1" t="n">
        <v>45919.92555555556</v>
      </c>
      <c r="C4872" s="1" t="n">
        <v>46086</v>
      </c>
      <c r="D4872" t="inlineStr">
        <is>
          <t>GÄVLEBORGS LÄN</t>
        </is>
      </c>
      <c r="E4872" t="inlineStr">
        <is>
          <t>OCKELBO</t>
        </is>
      </c>
      <c r="F4872" t="inlineStr">
        <is>
          <t>Bergvik skog väst AB</t>
        </is>
      </c>
      <c r="G4872" t="n">
        <v>7.2</v>
      </c>
      <c r="H4872" t="n">
        <v>0</v>
      </c>
      <c r="I4872" t="n">
        <v>0</v>
      </c>
      <c r="J4872" t="n">
        <v>0</v>
      </c>
      <c r="K4872" t="n">
        <v>0</v>
      </c>
      <c r="L4872" t="n">
        <v>0</v>
      </c>
      <c r="M4872" t="n">
        <v>0</v>
      </c>
      <c r="N4872" t="n">
        <v>0</v>
      </c>
      <c r="O4872" t="n">
        <v>0</v>
      </c>
      <c r="P4872" t="n">
        <v>0</v>
      </c>
      <c r="Q4872" t="n">
        <v>0</v>
      </c>
      <c r="R4872" s="2" t="inlineStr"/>
    </row>
    <row r="4873" ht="15" customHeight="1">
      <c r="A4873" t="inlineStr">
        <is>
          <t>A 11605-2026</t>
        </is>
      </c>
      <c r="B4873" s="1" t="n">
        <v>46084.43363425926</v>
      </c>
      <c r="C4873" s="1" t="n">
        <v>46086</v>
      </c>
      <c r="D4873" t="inlineStr">
        <is>
          <t>GÄVLEBORGS LÄN</t>
        </is>
      </c>
      <c r="E4873" t="inlineStr">
        <is>
          <t>HUDIKSVALL</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48765-2021</t>
        </is>
      </c>
      <c r="B4874" s="1" t="n">
        <v>44452.65006944445</v>
      </c>
      <c r="C4874" s="1" t="n">
        <v>46086</v>
      </c>
      <c r="D4874" t="inlineStr">
        <is>
          <t>GÄVLEBORGS LÄN</t>
        </is>
      </c>
      <c r="E4874" t="inlineStr">
        <is>
          <t>SANDVIKEN</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55201-2023</t>
        </is>
      </c>
      <c r="B4875" s="1" t="n">
        <v>45237.58758101852</v>
      </c>
      <c r="C4875" s="1" t="n">
        <v>46086</v>
      </c>
      <c r="D4875" t="inlineStr">
        <is>
          <t>GÄVLEBORGS LÄN</t>
        </is>
      </c>
      <c r="E4875" t="inlineStr">
        <is>
          <t>HUDIKSVALL</t>
        </is>
      </c>
      <c r="F4875" t="inlineStr">
        <is>
          <t>Holmen skog AB</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2350-2026</t>
        </is>
      </c>
      <c r="B4876" s="1" t="n">
        <v>46036.63386574074</v>
      </c>
      <c r="C4876" s="1" t="n">
        <v>46086</v>
      </c>
      <c r="D4876" t="inlineStr">
        <is>
          <t>GÄVLEBORGS LÄN</t>
        </is>
      </c>
      <c r="E4876" t="inlineStr">
        <is>
          <t>BOLLNÄS</t>
        </is>
      </c>
      <c r="G4876" t="n">
        <v>27.6</v>
      </c>
      <c r="H4876" t="n">
        <v>0</v>
      </c>
      <c r="I4876" t="n">
        <v>0</v>
      </c>
      <c r="J4876" t="n">
        <v>0</v>
      </c>
      <c r="K4876" t="n">
        <v>0</v>
      </c>
      <c r="L4876" t="n">
        <v>0</v>
      </c>
      <c r="M4876" t="n">
        <v>0</v>
      </c>
      <c r="N4876" t="n">
        <v>0</v>
      </c>
      <c r="O4876" t="n">
        <v>0</v>
      </c>
      <c r="P4876" t="n">
        <v>0</v>
      </c>
      <c r="Q4876" t="n">
        <v>0</v>
      </c>
      <c r="R4876" s="2" t="inlineStr"/>
    </row>
    <row r="4877" ht="15" customHeight="1">
      <c r="A4877" t="inlineStr">
        <is>
          <t>A 18763-2025</t>
        </is>
      </c>
      <c r="B4877" s="1" t="n">
        <v>45764.29385416667</v>
      </c>
      <c r="C4877" s="1" t="n">
        <v>46086</v>
      </c>
      <c r="D4877" t="inlineStr">
        <is>
          <t>GÄVLEBORGS LÄN</t>
        </is>
      </c>
      <c r="E4877" t="inlineStr">
        <is>
          <t>LJUSDAL</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3705-2026</t>
        </is>
      </c>
      <c r="B4878" s="1" t="n">
        <v>46043</v>
      </c>
      <c r="C4878" s="1" t="n">
        <v>46086</v>
      </c>
      <c r="D4878" t="inlineStr">
        <is>
          <t>GÄVLEBORGS LÄN</t>
        </is>
      </c>
      <c r="E4878" t="inlineStr">
        <is>
          <t>OCKELBO</t>
        </is>
      </c>
      <c r="F4878" t="inlineStr">
        <is>
          <t>Bergvik skog väst AB</t>
        </is>
      </c>
      <c r="G4878" t="n">
        <v>4.5</v>
      </c>
      <c r="H4878" t="n">
        <v>0</v>
      </c>
      <c r="I4878" t="n">
        <v>0</v>
      </c>
      <c r="J4878" t="n">
        <v>0</v>
      </c>
      <c r="K4878" t="n">
        <v>0</v>
      </c>
      <c r="L4878" t="n">
        <v>0</v>
      </c>
      <c r="M4878" t="n">
        <v>0</v>
      </c>
      <c r="N4878" t="n">
        <v>0</v>
      </c>
      <c r="O4878" t="n">
        <v>0</v>
      </c>
      <c r="P4878" t="n">
        <v>0</v>
      </c>
      <c r="Q4878" t="n">
        <v>0</v>
      </c>
      <c r="R4878" s="2" t="inlineStr"/>
    </row>
    <row r="4879" ht="15" customHeight="1">
      <c r="A4879" t="inlineStr">
        <is>
          <t>A 3720-2026</t>
        </is>
      </c>
      <c r="B4879" s="1" t="n">
        <v>46043.49569444444</v>
      </c>
      <c r="C4879" s="1" t="n">
        <v>46086</v>
      </c>
      <c r="D4879" t="inlineStr">
        <is>
          <t>GÄVLEBORGS LÄN</t>
        </is>
      </c>
      <c r="E4879" t="inlineStr">
        <is>
          <t>OCKELBO</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3760-2026</t>
        </is>
      </c>
      <c r="B4880" s="1" t="n">
        <v>46043.5546412037</v>
      </c>
      <c r="C4880" s="1" t="n">
        <v>46086</v>
      </c>
      <c r="D4880" t="inlineStr">
        <is>
          <t>GÄVLEBORGS LÄN</t>
        </is>
      </c>
      <c r="E4880" t="inlineStr">
        <is>
          <t>NORDANSTIG</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3766-2026</t>
        </is>
      </c>
      <c r="B4881" s="1" t="n">
        <v>46043.55819444444</v>
      </c>
      <c r="C4881" s="1" t="n">
        <v>46086</v>
      </c>
      <c r="D4881" t="inlineStr">
        <is>
          <t>GÄVLEBORGS LÄN</t>
        </is>
      </c>
      <c r="E4881" t="inlineStr">
        <is>
          <t>NORDANSTIG</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3771-2026</t>
        </is>
      </c>
      <c r="B4882" s="1" t="n">
        <v>46043.5621875</v>
      </c>
      <c r="C4882" s="1" t="n">
        <v>46086</v>
      </c>
      <c r="D4882" t="inlineStr">
        <is>
          <t>GÄVLEBORGS LÄN</t>
        </is>
      </c>
      <c r="E4882" t="inlineStr">
        <is>
          <t>NORDANSTIG</t>
        </is>
      </c>
      <c r="G4882" t="n">
        <v>5.6</v>
      </c>
      <c r="H4882" t="n">
        <v>0</v>
      </c>
      <c r="I4882" t="n">
        <v>0</v>
      </c>
      <c r="J4882" t="n">
        <v>0</v>
      </c>
      <c r="K4882" t="n">
        <v>0</v>
      </c>
      <c r="L4882" t="n">
        <v>0</v>
      </c>
      <c r="M4882" t="n">
        <v>0</v>
      </c>
      <c r="N4882" t="n">
        <v>0</v>
      </c>
      <c r="O4882" t="n">
        <v>0</v>
      </c>
      <c r="P4882" t="n">
        <v>0</v>
      </c>
      <c r="Q4882" t="n">
        <v>0</v>
      </c>
      <c r="R4882" s="2" t="inlineStr"/>
    </row>
    <row r="4883" ht="15" customHeight="1">
      <c r="A4883" t="inlineStr">
        <is>
          <t>A 3855-2026</t>
        </is>
      </c>
      <c r="B4883" s="1" t="n">
        <v>46043.61354166667</v>
      </c>
      <c r="C4883" s="1" t="n">
        <v>46086</v>
      </c>
      <c r="D4883" t="inlineStr">
        <is>
          <t>GÄVLEBORGS LÄN</t>
        </is>
      </c>
      <c r="E4883" t="inlineStr">
        <is>
          <t>SÖDERHAMN</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3885-2026</t>
        </is>
      </c>
      <c r="B4884" s="1" t="n">
        <v>46043</v>
      </c>
      <c r="C4884" s="1" t="n">
        <v>46086</v>
      </c>
      <c r="D4884" t="inlineStr">
        <is>
          <t>GÄVLEBORGS LÄN</t>
        </is>
      </c>
      <c r="E4884" t="inlineStr">
        <is>
          <t>BOLLNÄS</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8751-2026</t>
        </is>
      </c>
      <c r="B4885" s="1" t="n">
        <v>46066</v>
      </c>
      <c r="C4885" s="1" t="n">
        <v>46086</v>
      </c>
      <c r="D4885" t="inlineStr">
        <is>
          <t>GÄVLEBORGS LÄN</t>
        </is>
      </c>
      <c r="E4885" t="inlineStr">
        <is>
          <t>HOFORS</t>
        </is>
      </c>
      <c r="F4885" t="inlineStr">
        <is>
          <t>Sveaskog</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10107-2025</t>
        </is>
      </c>
      <c r="B4886" s="1" t="n">
        <v>45719.58622685185</v>
      </c>
      <c r="C4886" s="1" t="n">
        <v>46086</v>
      </c>
      <c r="D4886" t="inlineStr">
        <is>
          <t>GÄVLEBORGS LÄN</t>
        </is>
      </c>
      <c r="E4886" t="inlineStr">
        <is>
          <t>OVANÅKER</t>
        </is>
      </c>
      <c r="F4886" t="inlineStr">
        <is>
          <t>Bergvik skog väst AB</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9387-2026</t>
        </is>
      </c>
      <c r="B4887" s="1" t="n">
        <v>46071</v>
      </c>
      <c r="C4887" s="1" t="n">
        <v>46086</v>
      </c>
      <c r="D4887" t="inlineStr">
        <is>
          <t>GÄVLEBORGS LÄN</t>
        </is>
      </c>
      <c r="E4887" t="inlineStr">
        <is>
          <t>SÖDERHAMN</t>
        </is>
      </c>
      <c r="G4887" t="n">
        <v>6.5</v>
      </c>
      <c r="H4887" t="n">
        <v>0</v>
      </c>
      <c r="I4887" t="n">
        <v>0</v>
      </c>
      <c r="J4887" t="n">
        <v>0</v>
      </c>
      <c r="K4887" t="n">
        <v>0</v>
      </c>
      <c r="L4887" t="n">
        <v>0</v>
      </c>
      <c r="M4887" t="n">
        <v>0</v>
      </c>
      <c r="N4887" t="n">
        <v>0</v>
      </c>
      <c r="O4887" t="n">
        <v>0</v>
      </c>
      <c r="P4887" t="n">
        <v>0</v>
      </c>
      <c r="Q4887" t="n">
        <v>0</v>
      </c>
      <c r="R4887" s="2" t="inlineStr"/>
    </row>
    <row r="4888" ht="15" customHeight="1">
      <c r="A4888" t="inlineStr">
        <is>
          <t>A 10373-2026</t>
        </is>
      </c>
      <c r="B4888" s="1" t="n">
        <v>46076</v>
      </c>
      <c r="C4888" s="1" t="n">
        <v>46086</v>
      </c>
      <c r="D4888" t="inlineStr">
        <is>
          <t>GÄVLEBORGS LÄN</t>
        </is>
      </c>
      <c r="E4888" t="inlineStr">
        <is>
          <t>HUDIKSVALL</t>
        </is>
      </c>
      <c r="F4888" t="inlineStr">
        <is>
          <t>Holmen skog AB</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3502-2026</t>
        </is>
      </c>
      <c r="B4889" s="1" t="n">
        <v>46042</v>
      </c>
      <c r="C4889" s="1" t="n">
        <v>46086</v>
      </c>
      <c r="D4889" t="inlineStr">
        <is>
          <t>GÄVLEBORGS LÄN</t>
        </is>
      </c>
      <c r="E4889" t="inlineStr">
        <is>
          <t>BOLLNÄS</t>
        </is>
      </c>
      <c r="G4889" t="n">
        <v>4</v>
      </c>
      <c r="H4889" t="n">
        <v>0</v>
      </c>
      <c r="I4889" t="n">
        <v>0</v>
      </c>
      <c r="J4889" t="n">
        <v>0</v>
      </c>
      <c r="K4889" t="n">
        <v>0</v>
      </c>
      <c r="L4889" t="n">
        <v>0</v>
      </c>
      <c r="M4889" t="n">
        <v>0</v>
      </c>
      <c r="N4889" t="n">
        <v>0</v>
      </c>
      <c r="O4889" t="n">
        <v>0</v>
      </c>
      <c r="P4889" t="n">
        <v>0</v>
      </c>
      <c r="Q4889" t="n">
        <v>0</v>
      </c>
      <c r="R4889" s="2" t="inlineStr"/>
    </row>
    <row r="4890" ht="15" customHeight="1">
      <c r="A4890" t="inlineStr">
        <is>
          <t>A 3507-2026</t>
        </is>
      </c>
      <c r="B4890" s="1" t="n">
        <v>46042.58122685185</v>
      </c>
      <c r="C4890" s="1" t="n">
        <v>46086</v>
      </c>
      <c r="D4890" t="inlineStr">
        <is>
          <t>GÄVLEBORGS LÄN</t>
        </is>
      </c>
      <c r="E4890" t="inlineStr">
        <is>
          <t>SANDVIKEN</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11586-2026</t>
        </is>
      </c>
      <c r="B4891" s="1" t="n">
        <v>46084.41074074074</v>
      </c>
      <c r="C4891" s="1" t="n">
        <v>46086</v>
      </c>
      <c r="D4891" t="inlineStr">
        <is>
          <t>GÄVLEBORGS LÄN</t>
        </is>
      </c>
      <c r="E4891" t="inlineStr">
        <is>
          <t>NORDANSTIG</t>
        </is>
      </c>
      <c r="G4891" t="n">
        <v>10</v>
      </c>
      <c r="H4891" t="n">
        <v>0</v>
      </c>
      <c r="I4891" t="n">
        <v>0</v>
      </c>
      <c r="J4891" t="n">
        <v>0</v>
      </c>
      <c r="K4891" t="n">
        <v>0</v>
      </c>
      <c r="L4891" t="n">
        <v>0</v>
      </c>
      <c r="M4891" t="n">
        <v>0</v>
      </c>
      <c r="N4891" t="n">
        <v>0</v>
      </c>
      <c r="O4891" t="n">
        <v>0</v>
      </c>
      <c r="P4891" t="n">
        <v>0</v>
      </c>
      <c r="Q4891" t="n">
        <v>0</v>
      </c>
      <c r="R4891" s="2" t="inlineStr"/>
    </row>
    <row r="4892" ht="15" customHeight="1">
      <c r="A4892" t="inlineStr">
        <is>
          <t>A 11591-2026</t>
        </is>
      </c>
      <c r="B4892" s="1" t="n">
        <v>46084.41716435185</v>
      </c>
      <c r="C4892" s="1" t="n">
        <v>46086</v>
      </c>
      <c r="D4892" t="inlineStr">
        <is>
          <t>GÄVLEBORGS LÄN</t>
        </is>
      </c>
      <c r="E4892" t="inlineStr">
        <is>
          <t>BOLLNÄS</t>
        </is>
      </c>
      <c r="F4892" t="inlineStr">
        <is>
          <t>Bergvik skog väst AB</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8774-2025</t>
        </is>
      </c>
      <c r="B4893" s="1" t="n">
        <v>45712.61496527777</v>
      </c>
      <c r="C4893" s="1" t="n">
        <v>46086</v>
      </c>
      <c r="D4893" t="inlineStr">
        <is>
          <t>GÄVLEBORGS LÄN</t>
        </is>
      </c>
      <c r="E4893" t="inlineStr">
        <is>
          <t>BOLLNÄS</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11592-2026</t>
        </is>
      </c>
      <c r="B4894" s="1" t="n">
        <v>46084.41909722222</v>
      </c>
      <c r="C4894" s="1" t="n">
        <v>46086</v>
      </c>
      <c r="D4894" t="inlineStr">
        <is>
          <t>GÄVLEBORGS LÄN</t>
        </is>
      </c>
      <c r="E4894" t="inlineStr">
        <is>
          <t>NORDANSTIG</t>
        </is>
      </c>
      <c r="G4894" t="n">
        <v>8.6</v>
      </c>
      <c r="H4894" t="n">
        <v>0</v>
      </c>
      <c r="I4894" t="n">
        <v>0</v>
      </c>
      <c r="J4894" t="n">
        <v>0</v>
      </c>
      <c r="K4894" t="n">
        <v>0</v>
      </c>
      <c r="L4894" t="n">
        <v>0</v>
      </c>
      <c r="M4894" t="n">
        <v>0</v>
      </c>
      <c r="N4894" t="n">
        <v>0</v>
      </c>
      <c r="O4894" t="n">
        <v>0</v>
      </c>
      <c r="P4894" t="n">
        <v>0</v>
      </c>
      <c r="Q4894" t="n">
        <v>0</v>
      </c>
      <c r="R4894" s="2" t="inlineStr"/>
    </row>
    <row r="4895" ht="15" customHeight="1">
      <c r="A4895" t="inlineStr">
        <is>
          <t>A 3427-2026</t>
        </is>
      </c>
      <c r="B4895" s="1" t="n">
        <v>46042</v>
      </c>
      <c r="C4895" s="1" t="n">
        <v>46086</v>
      </c>
      <c r="D4895" t="inlineStr">
        <is>
          <t>GÄVLEBORGS LÄN</t>
        </is>
      </c>
      <c r="E4895" t="inlineStr">
        <is>
          <t>OVANÅKER</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35380-2025</t>
        </is>
      </c>
      <c r="B4896" s="1" t="n">
        <v>45855.3087962963</v>
      </c>
      <c r="C4896" s="1" t="n">
        <v>46086</v>
      </c>
      <c r="D4896" t="inlineStr">
        <is>
          <t>GÄVLEBORGS LÄN</t>
        </is>
      </c>
      <c r="E4896" t="inlineStr">
        <is>
          <t>BOLLNÄS</t>
        </is>
      </c>
      <c r="F4896" t="inlineStr">
        <is>
          <t>Bergvik skog väst AB</t>
        </is>
      </c>
      <c r="G4896" t="n">
        <v>13.2</v>
      </c>
      <c r="H4896" t="n">
        <v>0</v>
      </c>
      <c r="I4896" t="n">
        <v>0</v>
      </c>
      <c r="J4896" t="n">
        <v>0</v>
      </c>
      <c r="K4896" t="n">
        <v>0</v>
      </c>
      <c r="L4896" t="n">
        <v>0</v>
      </c>
      <c r="M4896" t="n">
        <v>0</v>
      </c>
      <c r="N4896" t="n">
        <v>0</v>
      </c>
      <c r="O4896" t="n">
        <v>0</v>
      </c>
      <c r="P4896" t="n">
        <v>0</v>
      </c>
      <c r="Q4896" t="n">
        <v>0</v>
      </c>
      <c r="R4896" s="2" t="inlineStr"/>
    </row>
    <row r="4897" ht="15" customHeight="1">
      <c r="A4897" t="inlineStr">
        <is>
          <t>A 11673-2026</t>
        </is>
      </c>
      <c r="B4897" s="1" t="n">
        <v>46084.5603587963</v>
      </c>
      <c r="C4897" s="1" t="n">
        <v>46086</v>
      </c>
      <c r="D4897" t="inlineStr">
        <is>
          <t>GÄVLEBORGS LÄN</t>
        </is>
      </c>
      <c r="E4897" t="inlineStr">
        <is>
          <t>OVANÅKER</t>
        </is>
      </c>
      <c r="F4897" t="inlineStr">
        <is>
          <t>Bergvik skog väst AB</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11678-2026</t>
        </is>
      </c>
      <c r="B4898" s="1" t="n">
        <v>46084.56773148148</v>
      </c>
      <c r="C4898" s="1" t="n">
        <v>46086</v>
      </c>
      <c r="D4898" t="inlineStr">
        <is>
          <t>GÄVLEBORGS LÄN</t>
        </is>
      </c>
      <c r="E4898" t="inlineStr">
        <is>
          <t>HUDIKSVALL</t>
        </is>
      </c>
      <c r="F4898" t="inlineStr">
        <is>
          <t>Sveaskog</t>
        </is>
      </c>
      <c r="G4898" t="n">
        <v>6.2</v>
      </c>
      <c r="H4898" t="n">
        <v>0</v>
      </c>
      <c r="I4898" t="n">
        <v>0</v>
      </c>
      <c r="J4898" t="n">
        <v>0</v>
      </c>
      <c r="K4898" t="n">
        <v>0</v>
      </c>
      <c r="L4898" t="n">
        <v>0</v>
      </c>
      <c r="M4898" t="n">
        <v>0</v>
      </c>
      <c r="N4898" t="n">
        <v>0</v>
      </c>
      <c r="O4898" t="n">
        <v>0</v>
      </c>
      <c r="P4898" t="n">
        <v>0</v>
      </c>
      <c r="Q4898" t="n">
        <v>0</v>
      </c>
      <c r="R4898" s="2" t="inlineStr"/>
    </row>
    <row r="4899" ht="15" customHeight="1">
      <c r="A4899" t="inlineStr">
        <is>
          <t>A 11680-2026</t>
        </is>
      </c>
      <c r="B4899" s="1" t="n">
        <v>46084.57291666666</v>
      </c>
      <c r="C4899" s="1" t="n">
        <v>46086</v>
      </c>
      <c r="D4899" t="inlineStr">
        <is>
          <t>GÄVLEBORGS LÄN</t>
        </is>
      </c>
      <c r="E4899" t="inlineStr">
        <is>
          <t>BOLLNÄS</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11686-2026</t>
        </is>
      </c>
      <c r="B4900" s="1" t="n">
        <v>46084.58460648148</v>
      </c>
      <c r="C4900" s="1" t="n">
        <v>46086</v>
      </c>
      <c r="D4900" t="inlineStr">
        <is>
          <t>GÄVLEBORGS LÄN</t>
        </is>
      </c>
      <c r="E4900" t="inlineStr">
        <is>
          <t>OVANÅKER</t>
        </is>
      </c>
      <c r="F4900" t="inlineStr">
        <is>
          <t>Bergvik skog väst AB</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11688-2026</t>
        </is>
      </c>
      <c r="B4901" s="1" t="n">
        <v>46084.5862037037</v>
      </c>
      <c r="C4901" s="1" t="n">
        <v>46086</v>
      </c>
      <c r="D4901" t="inlineStr">
        <is>
          <t>GÄVLEBORGS LÄN</t>
        </is>
      </c>
      <c r="E4901" t="inlineStr">
        <is>
          <t>NORDANSTIG</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3352-2026</t>
        </is>
      </c>
      <c r="B4902" s="1" t="n">
        <v>46041.96070601852</v>
      </c>
      <c r="C4902" s="1" t="n">
        <v>46086</v>
      </c>
      <c r="D4902" t="inlineStr">
        <is>
          <t>GÄVLEBORGS LÄN</t>
        </is>
      </c>
      <c r="E4902" t="inlineStr">
        <is>
          <t>LJUSDAL</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10044-2026</t>
        </is>
      </c>
      <c r="B4903" s="1" t="n">
        <v>46073</v>
      </c>
      <c r="C4903" s="1" t="n">
        <v>46086</v>
      </c>
      <c r="D4903" t="inlineStr">
        <is>
          <t>GÄVLEBORGS LÄN</t>
        </is>
      </c>
      <c r="E4903" t="inlineStr">
        <is>
          <t>BOLLNÄS</t>
        </is>
      </c>
      <c r="F4903" t="inlineStr">
        <is>
          <t>Bergvik skog väst AB</t>
        </is>
      </c>
      <c r="G4903" t="n">
        <v>5.5</v>
      </c>
      <c r="H4903" t="n">
        <v>0</v>
      </c>
      <c r="I4903" t="n">
        <v>0</v>
      </c>
      <c r="J4903" t="n">
        <v>0</v>
      </c>
      <c r="K4903" t="n">
        <v>0</v>
      </c>
      <c r="L4903" t="n">
        <v>0</v>
      </c>
      <c r="M4903" t="n">
        <v>0</v>
      </c>
      <c r="N4903" t="n">
        <v>0</v>
      </c>
      <c r="O4903" t="n">
        <v>0</v>
      </c>
      <c r="P4903" t="n">
        <v>0</v>
      </c>
      <c r="Q4903" t="n">
        <v>0</v>
      </c>
      <c r="R4903" s="2" t="inlineStr"/>
    </row>
    <row r="4904" ht="15" customHeight="1">
      <c r="A4904" t="inlineStr">
        <is>
          <t>A 10082-2026</t>
        </is>
      </c>
      <c r="B4904" s="1" t="n">
        <v>46073</v>
      </c>
      <c r="C4904" s="1" t="n">
        <v>46086</v>
      </c>
      <c r="D4904" t="inlineStr">
        <is>
          <t>GÄVLEBORGS LÄN</t>
        </is>
      </c>
      <c r="E4904" t="inlineStr">
        <is>
          <t>LJUSDAL</t>
        </is>
      </c>
      <c r="F4904" t="inlineStr">
        <is>
          <t>Bergvik skog väst AB</t>
        </is>
      </c>
      <c r="G4904" t="n">
        <v>6.2</v>
      </c>
      <c r="H4904" t="n">
        <v>0</v>
      </c>
      <c r="I4904" t="n">
        <v>0</v>
      </c>
      <c r="J4904" t="n">
        <v>0</v>
      </c>
      <c r="K4904" t="n">
        <v>0</v>
      </c>
      <c r="L4904" t="n">
        <v>0</v>
      </c>
      <c r="M4904" t="n">
        <v>0</v>
      </c>
      <c r="N4904" t="n">
        <v>0</v>
      </c>
      <c r="O4904" t="n">
        <v>0</v>
      </c>
      <c r="P4904" t="n">
        <v>0</v>
      </c>
      <c r="Q4904" t="n">
        <v>0</v>
      </c>
      <c r="R4904" s="2" t="inlineStr"/>
    </row>
    <row r="4905" ht="15" customHeight="1">
      <c r="A4905" t="inlineStr">
        <is>
          <t>A 54961-2025</t>
        </is>
      </c>
      <c r="B4905" s="1" t="n">
        <v>45967</v>
      </c>
      <c r="C4905" s="1" t="n">
        <v>46086</v>
      </c>
      <c r="D4905" t="inlineStr">
        <is>
          <t>GÄVLEBORGS LÄN</t>
        </is>
      </c>
      <c r="E4905" t="inlineStr">
        <is>
          <t>BOLLNÄS</t>
        </is>
      </c>
      <c r="G4905" t="n">
        <v>9.1</v>
      </c>
      <c r="H4905" t="n">
        <v>0</v>
      </c>
      <c r="I4905" t="n">
        <v>0</v>
      </c>
      <c r="J4905" t="n">
        <v>0</v>
      </c>
      <c r="K4905" t="n">
        <v>0</v>
      </c>
      <c r="L4905" t="n">
        <v>0</v>
      </c>
      <c r="M4905" t="n">
        <v>0</v>
      </c>
      <c r="N4905" t="n">
        <v>0</v>
      </c>
      <c r="O4905" t="n">
        <v>0</v>
      </c>
      <c r="P4905" t="n">
        <v>0</v>
      </c>
      <c r="Q4905" t="n">
        <v>0</v>
      </c>
      <c r="R4905" s="2" t="inlineStr"/>
    </row>
    <row r="4906" ht="15" customHeight="1">
      <c r="A4906" t="inlineStr">
        <is>
          <t>A 7378-2026</t>
        </is>
      </c>
      <c r="B4906" s="1" t="n">
        <v>46059</v>
      </c>
      <c r="C4906" s="1" t="n">
        <v>46086</v>
      </c>
      <c r="D4906" t="inlineStr">
        <is>
          <t>GÄVLEBORGS LÄN</t>
        </is>
      </c>
      <c r="E4906" t="inlineStr">
        <is>
          <t>SÖDERHAMN</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9478-2026</t>
        </is>
      </c>
      <c r="B4907" s="1" t="n">
        <v>46071</v>
      </c>
      <c r="C4907" s="1" t="n">
        <v>46086</v>
      </c>
      <c r="D4907" t="inlineStr">
        <is>
          <t>GÄVLEBORGS LÄN</t>
        </is>
      </c>
      <c r="E4907" t="inlineStr">
        <is>
          <t>SANDVIKEN</t>
        </is>
      </c>
      <c r="F4907" t="inlineStr">
        <is>
          <t>Sveaskog</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9608-2026</t>
        </is>
      </c>
      <c r="B4908" s="1" t="n">
        <v>46071</v>
      </c>
      <c r="C4908" s="1" t="n">
        <v>46086</v>
      </c>
      <c r="D4908" t="inlineStr">
        <is>
          <t>GÄVLEBORGS LÄN</t>
        </is>
      </c>
      <c r="E4908" t="inlineStr">
        <is>
          <t>BOLLNÄS</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45823-2025</t>
        </is>
      </c>
      <c r="B4909" s="1" t="n">
        <v>45923</v>
      </c>
      <c r="C4909" s="1" t="n">
        <v>46086</v>
      </c>
      <c r="D4909" t="inlineStr">
        <is>
          <t>GÄVLEBORGS LÄN</t>
        </is>
      </c>
      <c r="E4909" t="inlineStr">
        <is>
          <t>BOLLNÄS</t>
        </is>
      </c>
      <c r="G4909" t="n">
        <v>6</v>
      </c>
      <c r="H4909" t="n">
        <v>0</v>
      </c>
      <c r="I4909" t="n">
        <v>0</v>
      </c>
      <c r="J4909" t="n">
        <v>0</v>
      </c>
      <c r="K4909" t="n">
        <v>0</v>
      </c>
      <c r="L4909" t="n">
        <v>0</v>
      </c>
      <c r="M4909" t="n">
        <v>0</v>
      </c>
      <c r="N4909" t="n">
        <v>0</v>
      </c>
      <c r="O4909" t="n">
        <v>0</v>
      </c>
      <c r="P4909" t="n">
        <v>0</v>
      </c>
      <c r="Q4909" t="n">
        <v>0</v>
      </c>
      <c r="R4909" s="2" t="inlineStr"/>
    </row>
    <row r="4910" ht="15" customHeight="1">
      <c r="A4910" t="inlineStr">
        <is>
          <t>A 3335-2026</t>
        </is>
      </c>
      <c r="B4910" s="1" t="n">
        <v>46041</v>
      </c>
      <c r="C4910" s="1" t="n">
        <v>46086</v>
      </c>
      <c r="D4910" t="inlineStr">
        <is>
          <t>GÄVLEBORGS LÄN</t>
        </is>
      </c>
      <c r="E4910" t="inlineStr">
        <is>
          <t>HUDIKSVALL</t>
        </is>
      </c>
      <c r="F4910" t="inlineStr">
        <is>
          <t>Holmen skog AB</t>
        </is>
      </c>
      <c r="G4910" t="n">
        <v>4.3</v>
      </c>
      <c r="H4910" t="n">
        <v>0</v>
      </c>
      <c r="I4910" t="n">
        <v>0</v>
      </c>
      <c r="J4910" t="n">
        <v>0</v>
      </c>
      <c r="K4910" t="n">
        <v>0</v>
      </c>
      <c r="L4910" t="n">
        <v>0</v>
      </c>
      <c r="M4910" t="n">
        <v>0</v>
      </c>
      <c r="N4910" t="n">
        <v>0</v>
      </c>
      <c r="O4910" t="n">
        <v>0</v>
      </c>
      <c r="P4910" t="n">
        <v>0</v>
      </c>
      <c r="Q4910" t="n">
        <v>0</v>
      </c>
      <c r="R4910" s="2" t="inlineStr"/>
    </row>
    <row r="4911" ht="15" customHeight="1">
      <c r="A4911" t="inlineStr">
        <is>
          <t>A 3349-2026</t>
        </is>
      </c>
      <c r="B4911" s="1" t="n">
        <v>46041.94484953704</v>
      </c>
      <c r="C4911" s="1" t="n">
        <v>46086</v>
      </c>
      <c r="D4911" t="inlineStr">
        <is>
          <t>GÄVLEBORGS LÄN</t>
        </is>
      </c>
      <c r="E4911" t="inlineStr">
        <is>
          <t>LJUSDAL</t>
        </is>
      </c>
      <c r="G4911" t="n">
        <v>9.300000000000001</v>
      </c>
      <c r="H4911" t="n">
        <v>0</v>
      </c>
      <c r="I4911" t="n">
        <v>0</v>
      </c>
      <c r="J4911" t="n">
        <v>0</v>
      </c>
      <c r="K4911" t="n">
        <v>0</v>
      </c>
      <c r="L4911" t="n">
        <v>0</v>
      </c>
      <c r="M4911" t="n">
        <v>0</v>
      </c>
      <c r="N4911" t="n">
        <v>0</v>
      </c>
      <c r="O4911" t="n">
        <v>0</v>
      </c>
      <c r="P4911" t="n">
        <v>0</v>
      </c>
      <c r="Q4911" t="n">
        <v>0</v>
      </c>
      <c r="R4911" s="2" t="inlineStr"/>
    </row>
    <row r="4912" ht="15" customHeight="1">
      <c r="A4912" t="inlineStr">
        <is>
          <t>A 3353-2026</t>
        </is>
      </c>
      <c r="B4912" s="1" t="n">
        <v>46042.24451388889</v>
      </c>
      <c r="C4912" s="1" t="n">
        <v>46086</v>
      </c>
      <c r="D4912" t="inlineStr">
        <is>
          <t>GÄVLEBORGS LÄN</t>
        </is>
      </c>
      <c r="E4912" t="inlineStr">
        <is>
          <t>BOLLNÄS</t>
        </is>
      </c>
      <c r="G4912" t="n">
        <v>5.5</v>
      </c>
      <c r="H4912" t="n">
        <v>0</v>
      </c>
      <c r="I4912" t="n">
        <v>0</v>
      </c>
      <c r="J4912" t="n">
        <v>0</v>
      </c>
      <c r="K4912" t="n">
        <v>0</v>
      </c>
      <c r="L4912" t="n">
        <v>0</v>
      </c>
      <c r="M4912" t="n">
        <v>0</v>
      </c>
      <c r="N4912" t="n">
        <v>0</v>
      </c>
      <c r="O4912" t="n">
        <v>0</v>
      </c>
      <c r="P4912" t="n">
        <v>0</v>
      </c>
      <c r="Q4912" t="n">
        <v>0</v>
      </c>
      <c r="R4912" s="2" t="inlineStr"/>
    </row>
    <row r="4913" ht="15" customHeight="1">
      <c r="A4913" t="inlineStr">
        <is>
          <t>A 3357-2026</t>
        </is>
      </c>
      <c r="B4913" s="1" t="n">
        <v>46042</v>
      </c>
      <c r="C4913" s="1" t="n">
        <v>46086</v>
      </c>
      <c r="D4913" t="inlineStr">
        <is>
          <t>GÄVLEBORGS LÄN</t>
        </is>
      </c>
      <c r="E4913" t="inlineStr">
        <is>
          <t>OVANÅKER</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3370-2026</t>
        </is>
      </c>
      <c r="B4914" s="1" t="n">
        <v>46042</v>
      </c>
      <c r="C4914" s="1" t="n">
        <v>46086</v>
      </c>
      <c r="D4914" t="inlineStr">
        <is>
          <t>GÄVLEBORGS LÄN</t>
        </is>
      </c>
      <c r="E4914" t="inlineStr">
        <is>
          <t>SÖDERHAMN</t>
        </is>
      </c>
      <c r="G4914" t="n">
        <v>9</v>
      </c>
      <c r="H4914" t="n">
        <v>0</v>
      </c>
      <c r="I4914" t="n">
        <v>0</v>
      </c>
      <c r="J4914" t="n">
        <v>0</v>
      </c>
      <c r="K4914" t="n">
        <v>0</v>
      </c>
      <c r="L4914" t="n">
        <v>0</v>
      </c>
      <c r="M4914" t="n">
        <v>0</v>
      </c>
      <c r="N4914" t="n">
        <v>0</v>
      </c>
      <c r="O4914" t="n">
        <v>0</v>
      </c>
      <c r="P4914" t="n">
        <v>0</v>
      </c>
      <c r="Q4914" t="n">
        <v>0</v>
      </c>
      <c r="R4914" s="2" t="inlineStr"/>
    </row>
    <row r="4915" ht="15" customHeight="1">
      <c r="A4915" t="inlineStr">
        <is>
          <t>A 45902-2025</t>
        </is>
      </c>
      <c r="B4915" s="1" t="n">
        <v>45923.69837962963</v>
      </c>
      <c r="C4915" s="1" t="n">
        <v>46086</v>
      </c>
      <c r="D4915" t="inlineStr">
        <is>
          <t>GÄVLEBORGS LÄN</t>
        </is>
      </c>
      <c r="E4915" t="inlineStr">
        <is>
          <t>NORDANSTIG</t>
        </is>
      </c>
      <c r="F4915" t="inlineStr">
        <is>
          <t>SCA</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35447-2025</t>
        </is>
      </c>
      <c r="B4916" s="1" t="n">
        <v>45855.54505787037</v>
      </c>
      <c r="C4916" s="1" t="n">
        <v>46086</v>
      </c>
      <c r="D4916" t="inlineStr">
        <is>
          <t>GÄVLEBORGS LÄN</t>
        </is>
      </c>
      <c r="E4916" t="inlineStr">
        <is>
          <t>BOLLNÄS</t>
        </is>
      </c>
      <c r="F4916" t="inlineStr">
        <is>
          <t>Bergvik skog väst AB</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3608-2026</t>
        </is>
      </c>
      <c r="B4917" s="1" t="n">
        <v>46042</v>
      </c>
      <c r="C4917" s="1" t="n">
        <v>46086</v>
      </c>
      <c r="D4917" t="inlineStr">
        <is>
          <t>GÄVLEBORGS LÄN</t>
        </is>
      </c>
      <c r="E4917" t="inlineStr">
        <is>
          <t>BOLLNÄS</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3650-2026</t>
        </is>
      </c>
      <c r="B4918" s="1" t="n">
        <v>46043.37112268519</v>
      </c>
      <c r="C4918" s="1" t="n">
        <v>46086</v>
      </c>
      <c r="D4918" t="inlineStr">
        <is>
          <t>GÄVLEBORGS LÄN</t>
        </is>
      </c>
      <c r="E4918" t="inlineStr">
        <is>
          <t>OCKELBO</t>
        </is>
      </c>
      <c r="G4918" t="n">
        <v>10.3</v>
      </c>
      <c r="H4918" t="n">
        <v>0</v>
      </c>
      <c r="I4918" t="n">
        <v>0</v>
      </c>
      <c r="J4918" t="n">
        <v>0</v>
      </c>
      <c r="K4918" t="n">
        <v>0</v>
      </c>
      <c r="L4918" t="n">
        <v>0</v>
      </c>
      <c r="M4918" t="n">
        <v>0</v>
      </c>
      <c r="N4918" t="n">
        <v>0</v>
      </c>
      <c r="O4918" t="n">
        <v>0</v>
      </c>
      <c r="P4918" t="n">
        <v>0</v>
      </c>
      <c r="Q4918" t="n">
        <v>0</v>
      </c>
      <c r="R4918" s="2" t="inlineStr"/>
    </row>
    <row r="4919" ht="15" customHeight="1">
      <c r="A4919" t="inlineStr">
        <is>
          <t>A 3656-2026</t>
        </is>
      </c>
      <c r="B4919" s="1" t="n">
        <v>46043.37753472223</v>
      </c>
      <c r="C4919" s="1" t="n">
        <v>46086</v>
      </c>
      <c r="D4919" t="inlineStr">
        <is>
          <t>GÄVLEBORGS LÄN</t>
        </is>
      </c>
      <c r="E4919" t="inlineStr">
        <is>
          <t>SANDVIKEN</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3717-2026</t>
        </is>
      </c>
      <c r="B4920" s="1" t="n">
        <v>46043</v>
      </c>
      <c r="C4920" s="1" t="n">
        <v>46086</v>
      </c>
      <c r="D4920" t="inlineStr">
        <is>
          <t>GÄVLEBORGS LÄN</t>
        </is>
      </c>
      <c r="E4920" t="inlineStr">
        <is>
          <t>SANDVIKEN</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3755-2026</t>
        </is>
      </c>
      <c r="B4921" s="1" t="n">
        <v>46043.55116898148</v>
      </c>
      <c r="C4921" s="1" t="n">
        <v>46086</v>
      </c>
      <c r="D4921" t="inlineStr">
        <is>
          <t>GÄVLEBORGS LÄN</t>
        </is>
      </c>
      <c r="E4921" t="inlineStr">
        <is>
          <t>OVANÅKER</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3764-2026</t>
        </is>
      </c>
      <c r="B4922" s="1" t="n">
        <v>46043</v>
      </c>
      <c r="C4922" s="1" t="n">
        <v>46086</v>
      </c>
      <c r="D4922" t="inlineStr">
        <is>
          <t>GÄVLEBORGS LÄN</t>
        </is>
      </c>
      <c r="E4922" t="inlineStr">
        <is>
          <t>NORDANSTIG</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11627-2026</t>
        </is>
      </c>
      <c r="B4923" s="1" t="n">
        <v>46084.47737268519</v>
      </c>
      <c r="C4923" s="1" t="n">
        <v>46086</v>
      </c>
      <c r="D4923" t="inlineStr">
        <is>
          <t>GÄVLEBORGS LÄN</t>
        </is>
      </c>
      <c r="E4923" t="inlineStr">
        <is>
          <t>NORDANSTIG</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11649-2026</t>
        </is>
      </c>
      <c r="B4924" s="1" t="n">
        <v>46084.5159375</v>
      </c>
      <c r="C4924" s="1" t="n">
        <v>46086</v>
      </c>
      <c r="D4924" t="inlineStr">
        <is>
          <t>GÄVLEBORGS LÄN</t>
        </is>
      </c>
      <c r="E4924" t="inlineStr">
        <is>
          <t>OVANÅKER</t>
        </is>
      </c>
      <c r="F4924" t="inlineStr">
        <is>
          <t>Bergvik skog öst AB</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11699-2026</t>
        </is>
      </c>
      <c r="B4925" s="1" t="n">
        <v>46084.61137731482</v>
      </c>
      <c r="C4925" s="1" t="n">
        <v>46086</v>
      </c>
      <c r="D4925" t="inlineStr">
        <is>
          <t>GÄVLEBORGS LÄN</t>
        </is>
      </c>
      <c r="E4925" t="inlineStr">
        <is>
          <t>OVANÅKER</t>
        </is>
      </c>
      <c r="F4925" t="inlineStr">
        <is>
          <t>Bergvik skog väst AB</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10695-2026</t>
        </is>
      </c>
      <c r="B4926" s="1" t="n">
        <v>46078</v>
      </c>
      <c r="C4926" s="1" t="n">
        <v>46086</v>
      </c>
      <c r="D4926" t="inlineStr">
        <is>
          <t>GÄVLEBORGS LÄN</t>
        </is>
      </c>
      <c r="E4926" t="inlineStr">
        <is>
          <t>OVANÅKER</t>
        </is>
      </c>
      <c r="F4926" t="inlineStr">
        <is>
          <t>Bergvik skog väst AB</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9588-2026</t>
        </is>
      </c>
      <c r="B4927" s="1" t="n">
        <v>46071</v>
      </c>
      <c r="C4927" s="1" t="n">
        <v>46086</v>
      </c>
      <c r="D4927" t="inlineStr">
        <is>
          <t>GÄVLEBORGS LÄN</t>
        </is>
      </c>
      <c r="E4927" t="inlineStr">
        <is>
          <t>BOLLNÄS</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60705-2025</t>
        </is>
      </c>
      <c r="B4928" s="1" t="n">
        <v>45996.60818287037</v>
      </c>
      <c r="C4928" s="1" t="n">
        <v>46086</v>
      </c>
      <c r="D4928" t="inlineStr">
        <is>
          <t>GÄVLEBORGS LÄN</t>
        </is>
      </c>
      <c r="E4928" t="inlineStr">
        <is>
          <t>SANDVIKEN</t>
        </is>
      </c>
      <c r="G4928" t="n">
        <v>10.1</v>
      </c>
      <c r="H4928" t="n">
        <v>0</v>
      </c>
      <c r="I4928" t="n">
        <v>0</v>
      </c>
      <c r="J4928" t="n">
        <v>0</v>
      </c>
      <c r="K4928" t="n">
        <v>0</v>
      </c>
      <c r="L4928" t="n">
        <v>0</v>
      </c>
      <c r="M4928" t="n">
        <v>0</v>
      </c>
      <c r="N4928" t="n">
        <v>0</v>
      </c>
      <c r="O4928" t="n">
        <v>0</v>
      </c>
      <c r="P4928" t="n">
        <v>0</v>
      </c>
      <c r="Q4928" t="n">
        <v>0</v>
      </c>
      <c r="R4928" s="2" t="inlineStr"/>
    </row>
    <row r="4929" ht="15" customHeight="1">
      <c r="A4929" t="inlineStr">
        <is>
          <t>A 39382-2025</t>
        </is>
      </c>
      <c r="B4929" s="1" t="n">
        <v>45889.60938657408</v>
      </c>
      <c r="C4929" s="1" t="n">
        <v>46086</v>
      </c>
      <c r="D4929" t="inlineStr">
        <is>
          <t>GÄVLEBORGS LÄN</t>
        </is>
      </c>
      <c r="E4929" t="inlineStr">
        <is>
          <t>GÄVLE</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11776-2026</t>
        </is>
      </c>
      <c r="B4930" s="1" t="n">
        <v>46084.77028935185</v>
      </c>
      <c r="C4930" s="1" t="n">
        <v>46086</v>
      </c>
      <c r="D4930" t="inlineStr">
        <is>
          <t>GÄVLEBORGS LÄN</t>
        </is>
      </c>
      <c r="E4930" t="inlineStr">
        <is>
          <t>HUDIKSVALL</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3883-2026</t>
        </is>
      </c>
      <c r="B4931" s="1" t="n">
        <v>46043</v>
      </c>
      <c r="C4931" s="1" t="n">
        <v>46086</v>
      </c>
      <c r="D4931" t="inlineStr">
        <is>
          <t>GÄVLEBORGS LÄN</t>
        </is>
      </c>
      <c r="E4931" t="inlineStr">
        <is>
          <t>OCKELBO</t>
        </is>
      </c>
      <c r="F4931" t="inlineStr">
        <is>
          <t>Bergvik skog väst AB</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3886-2026</t>
        </is>
      </c>
      <c r="B4932" s="1" t="n">
        <v>46043</v>
      </c>
      <c r="C4932" s="1" t="n">
        <v>46086</v>
      </c>
      <c r="D4932" t="inlineStr">
        <is>
          <t>GÄVLEBORGS LÄN</t>
        </is>
      </c>
      <c r="E4932" t="inlineStr">
        <is>
          <t>BOLLNÄS</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3898-2026</t>
        </is>
      </c>
      <c r="B4933" s="1" t="n">
        <v>46043</v>
      </c>
      <c r="C4933" s="1" t="n">
        <v>46086</v>
      </c>
      <c r="D4933" t="inlineStr">
        <is>
          <t>GÄVLEBORGS LÄN</t>
        </is>
      </c>
      <c r="E4933" t="inlineStr">
        <is>
          <t>BOLLNÄS</t>
        </is>
      </c>
      <c r="G4933" t="n">
        <v>3.6</v>
      </c>
      <c r="H4933" t="n">
        <v>0</v>
      </c>
      <c r="I4933" t="n">
        <v>0</v>
      </c>
      <c r="J4933" t="n">
        <v>0</v>
      </c>
      <c r="K4933" t="n">
        <v>0</v>
      </c>
      <c r="L4933" t="n">
        <v>0</v>
      </c>
      <c r="M4933" t="n">
        <v>0</v>
      </c>
      <c r="N4933" t="n">
        <v>0</v>
      </c>
      <c r="O4933" t="n">
        <v>0</v>
      </c>
      <c r="P4933" t="n">
        <v>0</v>
      </c>
      <c r="Q4933" t="n">
        <v>0</v>
      </c>
      <c r="R4933" s="2" t="inlineStr"/>
    </row>
    <row r="4934" ht="15" customHeight="1">
      <c r="A4934" t="inlineStr">
        <is>
          <t>A 3902-2026</t>
        </is>
      </c>
      <c r="B4934" s="1" t="n">
        <v>46043</v>
      </c>
      <c r="C4934" s="1" t="n">
        <v>46086</v>
      </c>
      <c r="D4934" t="inlineStr">
        <is>
          <t>GÄVLEBORGS LÄN</t>
        </is>
      </c>
      <c r="E4934" t="inlineStr">
        <is>
          <t>BOLLNÄS</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34600-2024</t>
        </is>
      </c>
      <c r="B4935" s="1" t="n">
        <v>45526.39949074074</v>
      </c>
      <c r="C4935" s="1" t="n">
        <v>46086</v>
      </c>
      <c r="D4935" t="inlineStr">
        <is>
          <t>GÄVLEBORGS LÄN</t>
        </is>
      </c>
      <c r="E4935" t="inlineStr">
        <is>
          <t>GÄVLE</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34613-2024</t>
        </is>
      </c>
      <c r="B4936" s="1" t="n">
        <v>45526.41092592593</v>
      </c>
      <c r="C4936" s="1" t="n">
        <v>46086</v>
      </c>
      <c r="D4936" t="inlineStr">
        <is>
          <t>GÄVLEBORGS LÄN</t>
        </is>
      </c>
      <c r="E4936" t="inlineStr">
        <is>
          <t>BOLLNÄS</t>
        </is>
      </c>
      <c r="F4936" t="inlineStr">
        <is>
          <t>Sveaskog</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11893-2026</t>
        </is>
      </c>
      <c r="B4937" s="1" t="n">
        <v>46085.52510416666</v>
      </c>
      <c r="C4937" s="1" t="n">
        <v>46086</v>
      </c>
      <c r="D4937" t="inlineStr">
        <is>
          <t>GÄVLEBORGS LÄN</t>
        </is>
      </c>
      <c r="E4937" t="inlineStr">
        <is>
          <t>SANDVIKEN</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11904-2026</t>
        </is>
      </c>
      <c r="B4938" s="1" t="n">
        <v>46085.54293981481</v>
      </c>
      <c r="C4938" s="1" t="n">
        <v>46086</v>
      </c>
      <c r="D4938" t="inlineStr">
        <is>
          <t>GÄVLEBORGS LÄN</t>
        </is>
      </c>
      <c r="E4938" t="inlineStr">
        <is>
          <t>SANDVIKEN</t>
        </is>
      </c>
      <c r="G4938" t="n">
        <v>5.3</v>
      </c>
      <c r="H4938" t="n">
        <v>0</v>
      </c>
      <c r="I4938" t="n">
        <v>0</v>
      </c>
      <c r="J4938" t="n">
        <v>0</v>
      </c>
      <c r="K4938" t="n">
        <v>0</v>
      </c>
      <c r="L4938" t="n">
        <v>0</v>
      </c>
      <c r="M4938" t="n">
        <v>0</v>
      </c>
      <c r="N4938" t="n">
        <v>0</v>
      </c>
      <c r="O4938" t="n">
        <v>0</v>
      </c>
      <c r="P4938" t="n">
        <v>0</v>
      </c>
      <c r="Q4938" t="n">
        <v>0</v>
      </c>
      <c r="R4938" s="2" t="inlineStr"/>
    </row>
    <row r="4939" ht="15" customHeight="1">
      <c r="A4939" t="inlineStr">
        <is>
          <t>A 11907-2026</t>
        </is>
      </c>
      <c r="B4939" s="1" t="n">
        <v>46085.54407407407</v>
      </c>
      <c r="C4939" s="1" t="n">
        <v>46086</v>
      </c>
      <c r="D4939" t="inlineStr">
        <is>
          <t>GÄVLEBORGS LÄN</t>
        </is>
      </c>
      <c r="E4939" t="inlineStr">
        <is>
          <t>SANDVIKEN</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11781-2026</t>
        </is>
      </c>
      <c r="B4940" s="1" t="n">
        <v>46084.87905092593</v>
      </c>
      <c r="C4940" s="1" t="n">
        <v>46086</v>
      </c>
      <c r="D4940" t="inlineStr">
        <is>
          <t>GÄVLEBORGS LÄN</t>
        </is>
      </c>
      <c r="E4940" t="inlineStr">
        <is>
          <t>SANDVIKEN</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11784-2026</t>
        </is>
      </c>
      <c r="B4941" s="1" t="n">
        <v>46084.91299768518</v>
      </c>
      <c r="C4941" s="1" t="n">
        <v>46086</v>
      </c>
      <c r="D4941" t="inlineStr">
        <is>
          <t>GÄVLEBORGS LÄN</t>
        </is>
      </c>
      <c r="E4941" t="inlineStr">
        <is>
          <t>SANDVIKEN</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10620-2026</t>
        </is>
      </c>
      <c r="B4942" s="1" t="n">
        <v>46077</v>
      </c>
      <c r="C4942" s="1" t="n">
        <v>46086</v>
      </c>
      <c r="D4942" t="inlineStr">
        <is>
          <t>GÄVLEBORGS LÄN</t>
        </is>
      </c>
      <c r="E4942" t="inlineStr">
        <is>
          <t>BOLLNÄS</t>
        </is>
      </c>
      <c r="G4942" t="n">
        <v>7</v>
      </c>
      <c r="H4942" t="n">
        <v>0</v>
      </c>
      <c r="I4942" t="n">
        <v>0</v>
      </c>
      <c r="J4942" t="n">
        <v>0</v>
      </c>
      <c r="K4942" t="n">
        <v>0</v>
      </c>
      <c r="L4942" t="n">
        <v>0</v>
      </c>
      <c r="M4942" t="n">
        <v>0</v>
      </c>
      <c r="N4942" t="n">
        <v>0</v>
      </c>
      <c r="O4942" t="n">
        <v>0</v>
      </c>
      <c r="P4942" t="n">
        <v>0</v>
      </c>
      <c r="Q4942" t="n">
        <v>0</v>
      </c>
      <c r="R4942" s="2" t="inlineStr"/>
    </row>
    <row r="4943" ht="15" customHeight="1">
      <c r="A4943" t="inlineStr">
        <is>
          <t>A 35473-2025</t>
        </is>
      </c>
      <c r="B4943" s="1" t="n">
        <v>45855.66804398148</v>
      </c>
      <c r="C4943" s="1" t="n">
        <v>46086</v>
      </c>
      <c r="D4943" t="inlineStr">
        <is>
          <t>GÄVLEBORGS LÄN</t>
        </is>
      </c>
      <c r="E4943" t="inlineStr">
        <is>
          <t>HOFORS</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11975-2026</t>
        </is>
      </c>
      <c r="B4944" s="1" t="n">
        <v>46085.62763888889</v>
      </c>
      <c r="C4944" s="1" t="n">
        <v>46086</v>
      </c>
      <c r="D4944" t="inlineStr">
        <is>
          <t>GÄVLEBORGS LÄN</t>
        </is>
      </c>
      <c r="E4944" t="inlineStr">
        <is>
          <t>LJUSDAL</t>
        </is>
      </c>
      <c r="F4944" t="inlineStr">
        <is>
          <t>Bergvik skog väst AB</t>
        </is>
      </c>
      <c r="G4944" t="n">
        <v>5.2</v>
      </c>
      <c r="H4944" t="n">
        <v>0</v>
      </c>
      <c r="I4944" t="n">
        <v>0</v>
      </c>
      <c r="J4944" t="n">
        <v>0</v>
      </c>
      <c r="K4944" t="n">
        <v>0</v>
      </c>
      <c r="L4944" t="n">
        <v>0</v>
      </c>
      <c r="M4944" t="n">
        <v>0</v>
      </c>
      <c r="N4944" t="n">
        <v>0</v>
      </c>
      <c r="O4944" t="n">
        <v>0</v>
      </c>
      <c r="P4944" t="n">
        <v>0</v>
      </c>
      <c r="Q4944" t="n">
        <v>0</v>
      </c>
      <c r="R4944" s="2" t="inlineStr"/>
    </row>
    <row r="4945" ht="15" customHeight="1">
      <c r="A4945" t="inlineStr">
        <is>
          <t>A 11980-2026</t>
        </is>
      </c>
      <c r="B4945" s="1" t="n">
        <v>46085.63982638889</v>
      </c>
      <c r="C4945" s="1" t="n">
        <v>46086</v>
      </c>
      <c r="D4945" t="inlineStr">
        <is>
          <t>GÄVLEBORGS LÄN</t>
        </is>
      </c>
      <c r="E4945" t="inlineStr">
        <is>
          <t>SANDVIKEN</t>
        </is>
      </c>
      <c r="F4945" t="inlineStr">
        <is>
          <t>Bergvik skog öst AB</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11994-2026</t>
        </is>
      </c>
      <c r="B4946" s="1" t="n">
        <v>46085.65723379629</v>
      </c>
      <c r="C4946" s="1" t="n">
        <v>46086</v>
      </c>
      <c r="D4946" t="inlineStr">
        <is>
          <t>GÄVLEBORGS LÄN</t>
        </is>
      </c>
      <c r="E4946" t="inlineStr">
        <is>
          <t>BOLLNÄS</t>
        </is>
      </c>
      <c r="G4946" t="n">
        <v>4.2</v>
      </c>
      <c r="H4946" t="n">
        <v>0</v>
      </c>
      <c r="I4946" t="n">
        <v>0</v>
      </c>
      <c r="J4946" t="n">
        <v>0</v>
      </c>
      <c r="K4946" t="n">
        <v>0</v>
      </c>
      <c r="L4946" t="n">
        <v>0</v>
      </c>
      <c r="M4946" t="n">
        <v>0</v>
      </c>
      <c r="N4946" t="n">
        <v>0</v>
      </c>
      <c r="O4946" t="n">
        <v>0</v>
      </c>
      <c r="P4946" t="n">
        <v>0</v>
      </c>
      <c r="Q4946" t="n">
        <v>0</v>
      </c>
      <c r="R4946" s="2" t="inlineStr"/>
    </row>
    <row r="4947" ht="15" customHeight="1">
      <c r="A4947" t="inlineStr">
        <is>
          <t>A 9601-2026</t>
        </is>
      </c>
      <c r="B4947" s="1" t="n">
        <v>46071</v>
      </c>
      <c r="C4947" s="1" t="n">
        <v>46086</v>
      </c>
      <c r="D4947" t="inlineStr">
        <is>
          <t>GÄVLEBORGS LÄN</t>
        </is>
      </c>
      <c r="E4947" t="inlineStr">
        <is>
          <t>SANDVIKEN</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11204-2026</t>
        </is>
      </c>
      <c r="B4948" s="1" t="n">
        <v>46080</v>
      </c>
      <c r="C4948" s="1" t="n">
        <v>46086</v>
      </c>
      <c r="D4948" t="inlineStr">
        <is>
          <t>GÄVLEBORGS LÄN</t>
        </is>
      </c>
      <c r="E4948" t="inlineStr">
        <is>
          <t>BOLLNÄS</t>
        </is>
      </c>
      <c r="F4948" t="inlineStr">
        <is>
          <t>Bergvik skog väst AB</t>
        </is>
      </c>
      <c r="G4948" t="n">
        <v>12.9</v>
      </c>
      <c r="H4948" t="n">
        <v>0</v>
      </c>
      <c r="I4948" t="n">
        <v>0</v>
      </c>
      <c r="J4948" t="n">
        <v>0</v>
      </c>
      <c r="K4948" t="n">
        <v>0</v>
      </c>
      <c r="L4948" t="n">
        <v>0</v>
      </c>
      <c r="M4948" t="n">
        <v>0</v>
      </c>
      <c r="N4948" t="n">
        <v>0</v>
      </c>
      <c r="O4948" t="n">
        <v>0</v>
      </c>
      <c r="P4948" t="n">
        <v>0</v>
      </c>
      <c r="Q4948" t="n">
        <v>0</v>
      </c>
      <c r="R4948" s="2" t="inlineStr"/>
    </row>
    <row r="4949" ht="15" customHeight="1">
      <c r="A4949" t="inlineStr">
        <is>
          <t>A 11545-2026</t>
        </is>
      </c>
      <c r="B4949" s="1" t="n">
        <v>46084.23214120371</v>
      </c>
      <c r="C4949" s="1" t="n">
        <v>46086</v>
      </c>
      <c r="D4949" t="inlineStr">
        <is>
          <t>GÄVLEBORGS LÄN</t>
        </is>
      </c>
      <c r="E4949" t="inlineStr">
        <is>
          <t>BOLLNÄS</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11561-2026</t>
        </is>
      </c>
      <c r="B4950" s="1" t="n">
        <v>46084.35042824074</v>
      </c>
      <c r="C4950" s="1" t="n">
        <v>46086</v>
      </c>
      <c r="D4950" t="inlineStr">
        <is>
          <t>GÄVLEBORGS LÄN</t>
        </is>
      </c>
      <c r="E4950" t="inlineStr">
        <is>
          <t>BOLLNÄS</t>
        </is>
      </c>
      <c r="G4950" t="n">
        <v>8.199999999999999</v>
      </c>
      <c r="H4950" t="n">
        <v>0</v>
      </c>
      <c r="I4950" t="n">
        <v>0</v>
      </c>
      <c r="J4950" t="n">
        <v>0</v>
      </c>
      <c r="K4950" t="n">
        <v>0</v>
      </c>
      <c r="L4950" t="n">
        <v>0</v>
      </c>
      <c r="M4950" t="n">
        <v>0</v>
      </c>
      <c r="N4950" t="n">
        <v>0</v>
      </c>
      <c r="O4950" t="n">
        <v>0</v>
      </c>
      <c r="P4950" t="n">
        <v>0</v>
      </c>
      <c r="Q4950" t="n">
        <v>0</v>
      </c>
      <c r="R4950" s="2" t="inlineStr"/>
    </row>
    <row r="4951" ht="15" customHeight="1">
      <c r="A4951" t="inlineStr">
        <is>
          <t>A 11568-2026</t>
        </is>
      </c>
      <c r="B4951" s="1" t="n">
        <v>46084.37357638889</v>
      </c>
      <c r="C4951" s="1" t="n">
        <v>46086</v>
      </c>
      <c r="D4951" t="inlineStr">
        <is>
          <t>GÄVLEBORGS LÄN</t>
        </is>
      </c>
      <c r="E4951" t="inlineStr">
        <is>
          <t>OCKELBO</t>
        </is>
      </c>
      <c r="F4951" t="inlineStr">
        <is>
          <t>Bergvik skog öst AB</t>
        </is>
      </c>
      <c r="G4951" t="n">
        <v>5.1</v>
      </c>
      <c r="H4951" t="n">
        <v>0</v>
      </c>
      <c r="I4951" t="n">
        <v>0</v>
      </c>
      <c r="J4951" t="n">
        <v>0</v>
      </c>
      <c r="K4951" t="n">
        <v>0</v>
      </c>
      <c r="L4951" t="n">
        <v>0</v>
      </c>
      <c r="M4951" t="n">
        <v>0</v>
      </c>
      <c r="N4951" t="n">
        <v>0</v>
      </c>
      <c r="O4951" t="n">
        <v>0</v>
      </c>
      <c r="P4951" t="n">
        <v>0</v>
      </c>
      <c r="Q4951" t="n">
        <v>0</v>
      </c>
      <c r="R4951" s="2" t="inlineStr"/>
    </row>
    <row r="4952" ht="15" customHeight="1">
      <c r="A4952" t="inlineStr">
        <is>
          <t>A 11580-2026</t>
        </is>
      </c>
      <c r="B4952" s="1" t="n">
        <v>46084.39722222222</v>
      </c>
      <c r="C4952" s="1" t="n">
        <v>46086</v>
      </c>
      <c r="D4952" t="inlineStr">
        <is>
          <t>GÄVLEBORGS LÄN</t>
        </is>
      </c>
      <c r="E4952" t="inlineStr">
        <is>
          <t>OCKELBO</t>
        </is>
      </c>
      <c r="F4952" t="inlineStr">
        <is>
          <t>Bergvik skog öst AB</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11588-2026</t>
        </is>
      </c>
      <c r="B4953" s="1" t="n">
        <v>46084.4159375</v>
      </c>
      <c r="C4953" s="1" t="n">
        <v>46086</v>
      </c>
      <c r="D4953" t="inlineStr">
        <is>
          <t>GÄVLEBORGS LÄN</t>
        </is>
      </c>
      <c r="E4953" t="inlineStr">
        <is>
          <t>OCKELBO</t>
        </is>
      </c>
      <c r="F4953" t="inlineStr">
        <is>
          <t>Bergvik skog öst AB</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11590-2026</t>
        </is>
      </c>
      <c r="B4954" s="1" t="n">
        <v>46084.41621527778</v>
      </c>
      <c r="C4954" s="1" t="n">
        <v>46086</v>
      </c>
      <c r="D4954" t="inlineStr">
        <is>
          <t>GÄVLEBORGS LÄN</t>
        </is>
      </c>
      <c r="E4954" t="inlineStr">
        <is>
          <t>OCKELBO</t>
        </is>
      </c>
      <c r="F4954" t="inlineStr">
        <is>
          <t>Bergvik skog väst AB</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11599-2026</t>
        </is>
      </c>
      <c r="B4955" s="1" t="n">
        <v>46084.42773148148</v>
      </c>
      <c r="C4955" s="1" t="n">
        <v>46086</v>
      </c>
      <c r="D4955" t="inlineStr">
        <is>
          <t>GÄVLEBORGS LÄN</t>
        </is>
      </c>
      <c r="E4955" t="inlineStr">
        <is>
          <t>OCKELBO</t>
        </is>
      </c>
      <c r="F4955" t="inlineStr">
        <is>
          <t>Bergvik skog öst AB</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11615-2026</t>
        </is>
      </c>
      <c r="B4956" s="1" t="n">
        <v>46084.45050925926</v>
      </c>
      <c r="C4956" s="1" t="n">
        <v>46086</v>
      </c>
      <c r="D4956" t="inlineStr">
        <is>
          <t>GÄVLEBORGS LÄN</t>
        </is>
      </c>
      <c r="E4956" t="inlineStr">
        <is>
          <t>GÄVLE</t>
        </is>
      </c>
      <c r="F4956" t="inlineStr">
        <is>
          <t>Bergvik skog öst AB</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11624-2026</t>
        </is>
      </c>
      <c r="B4957" s="1" t="n">
        <v>46084.47243055556</v>
      </c>
      <c r="C4957" s="1" t="n">
        <v>46086</v>
      </c>
      <c r="D4957" t="inlineStr">
        <is>
          <t>GÄVLEBORGS LÄN</t>
        </is>
      </c>
      <c r="E4957" t="inlineStr">
        <is>
          <t>LJUSDAL</t>
        </is>
      </c>
      <c r="F4957" t="inlineStr">
        <is>
          <t>Sveaskog</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11626-2026</t>
        </is>
      </c>
      <c r="B4958" s="1" t="n">
        <v>46084.47678240741</v>
      </c>
      <c r="C4958" s="1" t="n">
        <v>46086</v>
      </c>
      <c r="D4958" t="inlineStr">
        <is>
          <t>GÄVLEBORGS LÄN</t>
        </is>
      </c>
      <c r="E4958" t="inlineStr">
        <is>
          <t>LJUSDAL</t>
        </is>
      </c>
      <c r="F4958" t="inlineStr">
        <is>
          <t>Sveaskog</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11643-2026</t>
        </is>
      </c>
      <c r="B4959" s="1" t="n">
        <v>46084.50520833334</v>
      </c>
      <c r="C4959" s="1" t="n">
        <v>46086</v>
      </c>
      <c r="D4959" t="inlineStr">
        <is>
          <t>GÄVLEBORGS LÄN</t>
        </is>
      </c>
      <c r="E4959" t="inlineStr">
        <is>
          <t>GÄVLE</t>
        </is>
      </c>
      <c r="F4959" t="inlineStr">
        <is>
          <t>Bergvik skog öst AB</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11646-2026</t>
        </is>
      </c>
      <c r="B4960" s="1" t="n">
        <v>46084.51125</v>
      </c>
      <c r="C4960" s="1" t="n">
        <v>46086</v>
      </c>
      <c r="D4960" t="inlineStr">
        <is>
          <t>GÄVLEBORGS LÄN</t>
        </is>
      </c>
      <c r="E4960" t="inlineStr">
        <is>
          <t>OVANÅKER</t>
        </is>
      </c>
      <c r="F4960" t="inlineStr">
        <is>
          <t>Bergvik skog öst AB</t>
        </is>
      </c>
      <c r="G4960" t="n">
        <v>4.5</v>
      </c>
      <c r="H4960" t="n">
        <v>0</v>
      </c>
      <c r="I4960" t="n">
        <v>0</v>
      </c>
      <c r="J4960" t="n">
        <v>0</v>
      </c>
      <c r="K4960" t="n">
        <v>0</v>
      </c>
      <c r="L4960" t="n">
        <v>0</v>
      </c>
      <c r="M4960" t="n">
        <v>0</v>
      </c>
      <c r="N4960" t="n">
        <v>0</v>
      </c>
      <c r="O4960" t="n">
        <v>0</v>
      </c>
      <c r="P4960" t="n">
        <v>0</v>
      </c>
      <c r="Q4960" t="n">
        <v>0</v>
      </c>
      <c r="R4960" s="2" t="inlineStr"/>
    </row>
    <row r="4961" ht="15" customHeight="1">
      <c r="A4961" t="inlineStr">
        <is>
          <t>A 11658-2026</t>
        </is>
      </c>
      <c r="B4961" s="1" t="n">
        <v>46084.53973379629</v>
      </c>
      <c r="C4961" s="1" t="n">
        <v>46086</v>
      </c>
      <c r="D4961" t="inlineStr">
        <is>
          <t>GÄVLEBORGS LÄN</t>
        </is>
      </c>
      <c r="E4961" t="inlineStr">
        <is>
          <t>BOLLNÄS</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7752-2026</t>
        </is>
      </c>
      <c r="B4962" s="1" t="n">
        <v>46062</v>
      </c>
      <c r="C4962" s="1" t="n">
        <v>46086</v>
      </c>
      <c r="D4962" t="inlineStr">
        <is>
          <t>GÄVLEBORGS LÄN</t>
        </is>
      </c>
      <c r="E4962" t="inlineStr">
        <is>
          <t>OVANÅKER</t>
        </is>
      </c>
      <c r="F4962" t="inlineStr">
        <is>
          <t>Sveaskog</t>
        </is>
      </c>
      <c r="G4962" t="n">
        <v>3.3</v>
      </c>
      <c r="H4962" t="n">
        <v>0</v>
      </c>
      <c r="I4962" t="n">
        <v>0</v>
      </c>
      <c r="J4962" t="n">
        <v>0</v>
      </c>
      <c r="K4962" t="n">
        <v>0</v>
      </c>
      <c r="L4962" t="n">
        <v>0</v>
      </c>
      <c r="M4962" t="n">
        <v>0</v>
      </c>
      <c r="N4962" t="n">
        <v>0</v>
      </c>
      <c r="O4962" t="n">
        <v>0</v>
      </c>
      <c r="P4962" t="n">
        <v>0</v>
      </c>
      <c r="Q4962" t="n">
        <v>0</v>
      </c>
      <c r="R4962" s="2" t="inlineStr"/>
    </row>
    <row r="4963" ht="15" customHeight="1">
      <c r="A4963" t="inlineStr">
        <is>
          <t>A 11706-2026</t>
        </is>
      </c>
      <c r="B4963" s="1" t="n">
        <v>46084.61797453704</v>
      </c>
      <c r="C4963" s="1" t="n">
        <v>46086</v>
      </c>
      <c r="D4963" t="inlineStr">
        <is>
          <t>GÄVLEBORGS LÄN</t>
        </is>
      </c>
      <c r="E4963" t="inlineStr">
        <is>
          <t>OVANÅKER</t>
        </is>
      </c>
      <c r="F4963" t="inlineStr">
        <is>
          <t>Bergvik skog väst AB</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11720-2026</t>
        </is>
      </c>
      <c r="B4964" s="1" t="n">
        <v>46084.62954861111</v>
      </c>
      <c r="C4964" s="1" t="n">
        <v>46086</v>
      </c>
      <c r="D4964" t="inlineStr">
        <is>
          <t>GÄVLEBORGS LÄN</t>
        </is>
      </c>
      <c r="E4964" t="inlineStr">
        <is>
          <t>GÄVLE</t>
        </is>
      </c>
      <c r="F4964" t="inlineStr">
        <is>
          <t>Bergvik skog väst AB</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11725-2026</t>
        </is>
      </c>
      <c r="B4965" s="1" t="n">
        <v>46084.63327546296</v>
      </c>
      <c r="C4965" s="1" t="n">
        <v>46086</v>
      </c>
      <c r="D4965" t="inlineStr">
        <is>
          <t>GÄVLEBORGS LÄN</t>
        </is>
      </c>
      <c r="E4965" t="inlineStr">
        <is>
          <t>SANDVIKEN</t>
        </is>
      </c>
      <c r="F4965" t="inlineStr">
        <is>
          <t>Bergvik skog öst AB</t>
        </is>
      </c>
      <c r="G4965" t="n">
        <v>10.5</v>
      </c>
      <c r="H4965" t="n">
        <v>0</v>
      </c>
      <c r="I4965" t="n">
        <v>0</v>
      </c>
      <c r="J4965" t="n">
        <v>0</v>
      </c>
      <c r="K4965" t="n">
        <v>0</v>
      </c>
      <c r="L4965" t="n">
        <v>0</v>
      </c>
      <c r="M4965" t="n">
        <v>0</v>
      </c>
      <c r="N4965" t="n">
        <v>0</v>
      </c>
      <c r="O4965" t="n">
        <v>0</v>
      </c>
      <c r="P4965" t="n">
        <v>0</v>
      </c>
      <c r="Q4965" t="n">
        <v>0</v>
      </c>
      <c r="R4965" s="2" t="inlineStr"/>
    </row>
    <row r="4966" ht="15" customHeight="1">
      <c r="A4966" t="inlineStr">
        <is>
          <t>A 11729-2026</t>
        </is>
      </c>
      <c r="B4966" s="1" t="n">
        <v>46084.63584490741</v>
      </c>
      <c r="C4966" s="1" t="n">
        <v>46086</v>
      </c>
      <c r="D4966" t="inlineStr">
        <is>
          <t>GÄVLEBORGS LÄN</t>
        </is>
      </c>
      <c r="E4966" t="inlineStr">
        <is>
          <t>BOLLNÄS</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60188-2023</t>
        </is>
      </c>
      <c r="B4967" s="1" t="n">
        <v>45258.57871527778</v>
      </c>
      <c r="C4967" s="1" t="n">
        <v>46086</v>
      </c>
      <c r="D4967" t="inlineStr">
        <is>
          <t>GÄVLEBORGS LÄN</t>
        </is>
      </c>
      <c r="E4967" t="inlineStr">
        <is>
          <t>HUDIKSVALL</t>
        </is>
      </c>
      <c r="F4967" t="inlineStr">
        <is>
          <t>Holmen skog AB</t>
        </is>
      </c>
      <c r="G4967" t="n">
        <v>0.2</v>
      </c>
      <c r="H4967" t="n">
        <v>0</v>
      </c>
      <c r="I4967" t="n">
        <v>0</v>
      </c>
      <c r="J4967" t="n">
        <v>0</v>
      </c>
      <c r="K4967" t="n">
        <v>0</v>
      </c>
      <c r="L4967" t="n">
        <v>0</v>
      </c>
      <c r="M4967" t="n">
        <v>0</v>
      </c>
      <c r="N4967" t="n">
        <v>0</v>
      </c>
      <c r="O4967" t="n">
        <v>0</v>
      </c>
      <c r="P4967" t="n">
        <v>0</v>
      </c>
      <c r="Q4967" t="n">
        <v>0</v>
      </c>
      <c r="R4967" s="2" t="inlineStr"/>
    </row>
    <row r="4968" ht="15" customHeight="1">
      <c r="A4968" t="inlineStr">
        <is>
          <t>A 35475-2025</t>
        </is>
      </c>
      <c r="B4968" s="1" t="n">
        <v>45855.67001157408</v>
      </c>
      <c r="C4968" s="1" t="n">
        <v>46086</v>
      </c>
      <c r="D4968" t="inlineStr">
        <is>
          <t>GÄVLEBORGS LÄN</t>
        </is>
      </c>
      <c r="E4968" t="inlineStr">
        <is>
          <t>HOFORS</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11811-2026</t>
        </is>
      </c>
      <c r="B4969" s="1" t="n">
        <v>46085.37091435185</v>
      </c>
      <c r="C4969" s="1" t="n">
        <v>46086</v>
      </c>
      <c r="D4969" t="inlineStr">
        <is>
          <t>GÄVLEBORGS LÄN</t>
        </is>
      </c>
      <c r="E4969" t="inlineStr">
        <is>
          <t>OVANÅKER</t>
        </is>
      </c>
      <c r="F4969" t="inlineStr">
        <is>
          <t>Bergvik skog väst AB</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3857-2026</t>
        </is>
      </c>
      <c r="B4970" s="1" t="n">
        <v>46043.61600694444</v>
      </c>
      <c r="C4970" s="1" t="n">
        <v>46086</v>
      </c>
      <c r="D4970" t="inlineStr">
        <is>
          <t>GÄVLEBORGS LÄN</t>
        </is>
      </c>
      <c r="E4970" t="inlineStr">
        <is>
          <t>SÖDERHAMN</t>
        </is>
      </c>
      <c r="G4970" t="n">
        <v>3.6</v>
      </c>
      <c r="H4970" t="n">
        <v>0</v>
      </c>
      <c r="I4970" t="n">
        <v>0</v>
      </c>
      <c r="J4970" t="n">
        <v>0</v>
      </c>
      <c r="K4970" t="n">
        <v>0</v>
      </c>
      <c r="L4970" t="n">
        <v>0</v>
      </c>
      <c r="M4970" t="n">
        <v>0</v>
      </c>
      <c r="N4970" t="n">
        <v>0</v>
      </c>
      <c r="O4970" t="n">
        <v>0</v>
      </c>
      <c r="P4970" t="n">
        <v>0</v>
      </c>
      <c r="Q4970" t="n">
        <v>0</v>
      </c>
      <c r="R4970" s="2" t="inlineStr"/>
    </row>
    <row r="4971" ht="15" customHeight="1">
      <c r="A4971" t="inlineStr">
        <is>
          <t>A 3860-2026</t>
        </is>
      </c>
      <c r="B4971" s="1" t="n">
        <v>46043</v>
      </c>
      <c r="C4971" s="1" t="n">
        <v>46086</v>
      </c>
      <c r="D4971" t="inlineStr">
        <is>
          <t>GÄVLEBORGS LÄN</t>
        </is>
      </c>
      <c r="E4971" t="inlineStr">
        <is>
          <t>HUDIKSVALL</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45327-2025</t>
        </is>
      </c>
      <c r="B4972" s="1" t="n">
        <v>45922.32622685185</v>
      </c>
      <c r="C4972" s="1" t="n">
        <v>46086</v>
      </c>
      <c r="D4972" t="inlineStr">
        <is>
          <t>GÄVLEBORGS LÄN</t>
        </is>
      </c>
      <c r="E4972" t="inlineStr">
        <is>
          <t>BOLLNÄS</t>
        </is>
      </c>
      <c r="F4972" t="inlineStr">
        <is>
          <t>Sveaskog</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3893-2026</t>
        </is>
      </c>
      <c r="B4973" s="1" t="n">
        <v>46043</v>
      </c>
      <c r="C4973" s="1" t="n">
        <v>46086</v>
      </c>
      <c r="D4973" t="inlineStr">
        <is>
          <t>GÄVLEBORGS LÄN</t>
        </is>
      </c>
      <c r="E4973" t="inlineStr">
        <is>
          <t>BOLLNÄS</t>
        </is>
      </c>
      <c r="G4973" t="n">
        <v>5.4</v>
      </c>
      <c r="H4973" t="n">
        <v>0</v>
      </c>
      <c r="I4973" t="n">
        <v>0</v>
      </c>
      <c r="J4973" t="n">
        <v>0</v>
      </c>
      <c r="K4973" t="n">
        <v>0</v>
      </c>
      <c r="L4973" t="n">
        <v>0</v>
      </c>
      <c r="M4973" t="n">
        <v>0</v>
      </c>
      <c r="N4973" t="n">
        <v>0</v>
      </c>
      <c r="O4973" t="n">
        <v>0</v>
      </c>
      <c r="P4973" t="n">
        <v>0</v>
      </c>
      <c r="Q4973" t="n">
        <v>0</v>
      </c>
      <c r="R4973" s="2" t="inlineStr"/>
    </row>
    <row r="4974" ht="15" customHeight="1">
      <c r="A4974" t="inlineStr">
        <is>
          <t>A 3913-2026</t>
        </is>
      </c>
      <c r="B4974" s="1" t="n">
        <v>46043</v>
      </c>
      <c r="C4974" s="1" t="n">
        <v>46086</v>
      </c>
      <c r="D4974" t="inlineStr">
        <is>
          <t>GÄVLEBORGS LÄN</t>
        </is>
      </c>
      <c r="E4974" t="inlineStr">
        <is>
          <t>BOLLNÄS</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3916-2026</t>
        </is>
      </c>
      <c r="B4975" s="1" t="n">
        <v>46043.73804398148</v>
      </c>
      <c r="C4975" s="1" t="n">
        <v>46086</v>
      </c>
      <c r="D4975" t="inlineStr">
        <is>
          <t>GÄVLEBORGS LÄN</t>
        </is>
      </c>
      <c r="E4975" t="inlineStr">
        <is>
          <t>BOLLNÄS</t>
        </is>
      </c>
      <c r="G4975" t="n">
        <v>7.5</v>
      </c>
      <c r="H4975" t="n">
        <v>0</v>
      </c>
      <c r="I4975" t="n">
        <v>0</v>
      </c>
      <c r="J4975" t="n">
        <v>0</v>
      </c>
      <c r="K4975" t="n">
        <v>0</v>
      </c>
      <c r="L4975" t="n">
        <v>0</v>
      </c>
      <c r="M4975" t="n">
        <v>0</v>
      </c>
      <c r="N4975" t="n">
        <v>0</v>
      </c>
      <c r="O4975" t="n">
        <v>0</v>
      </c>
      <c r="P4975" t="n">
        <v>0</v>
      </c>
      <c r="Q4975" t="n">
        <v>0</v>
      </c>
      <c r="R4975" s="2" t="inlineStr"/>
    </row>
    <row r="4976" ht="15" customHeight="1">
      <c r="A4976" t="inlineStr">
        <is>
          <t>A 31269-2025</t>
        </is>
      </c>
      <c r="B4976" s="1" t="n">
        <v>45833.33678240741</v>
      </c>
      <c r="C4976" s="1" t="n">
        <v>46086</v>
      </c>
      <c r="D4976" t="inlineStr">
        <is>
          <t>GÄVLEBORGS LÄN</t>
        </is>
      </c>
      <c r="E4976" t="inlineStr">
        <is>
          <t>OVANÅKER</t>
        </is>
      </c>
      <c r="G4976" t="n">
        <v>3.7</v>
      </c>
      <c r="H4976" t="n">
        <v>0</v>
      </c>
      <c r="I4976" t="n">
        <v>0</v>
      </c>
      <c r="J4976" t="n">
        <v>0</v>
      </c>
      <c r="K4976" t="n">
        <v>0</v>
      </c>
      <c r="L4976" t="n">
        <v>0</v>
      </c>
      <c r="M4976" t="n">
        <v>0</v>
      </c>
      <c r="N4976" t="n">
        <v>0</v>
      </c>
      <c r="O4976" t="n">
        <v>0</v>
      </c>
      <c r="P4976" t="n">
        <v>0</v>
      </c>
      <c r="Q4976" t="n">
        <v>0</v>
      </c>
      <c r="R4976" s="2" t="inlineStr"/>
    </row>
    <row r="4977" ht="15" customHeight="1">
      <c r="A4977" t="inlineStr">
        <is>
          <t>A 45284-2025</t>
        </is>
      </c>
      <c r="B4977" s="1" t="n">
        <v>45919.86157407407</v>
      </c>
      <c r="C4977" s="1" t="n">
        <v>46086</v>
      </c>
      <c r="D4977" t="inlineStr">
        <is>
          <t>GÄVLEBORGS LÄN</t>
        </is>
      </c>
      <c r="E4977" t="inlineStr">
        <is>
          <t>HUDIKSVALL</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11925-2026</t>
        </is>
      </c>
      <c r="B4978" s="1" t="n">
        <v>46085.5738425926</v>
      </c>
      <c r="C4978" s="1" t="n">
        <v>46086</v>
      </c>
      <c r="D4978" t="inlineStr">
        <is>
          <t>GÄVLEBORGS LÄN</t>
        </is>
      </c>
      <c r="E4978" t="inlineStr">
        <is>
          <t>OVANÅKER</t>
        </is>
      </c>
      <c r="F4978" t="inlineStr">
        <is>
          <t>Bergvik skog väst AB</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11952-2026</t>
        </is>
      </c>
      <c r="B4979" s="1" t="n">
        <v>46085.60223379629</v>
      </c>
      <c r="C4979" s="1" t="n">
        <v>46086</v>
      </c>
      <c r="D4979" t="inlineStr">
        <is>
          <t>GÄVLEBORGS LÄN</t>
        </is>
      </c>
      <c r="E4979" t="inlineStr">
        <is>
          <t>NORDANSTIG</t>
        </is>
      </c>
      <c r="F4979" t="inlineStr">
        <is>
          <t>Holmen skog AB</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11955-2026</t>
        </is>
      </c>
      <c r="B4980" s="1" t="n">
        <v>46085.60450231482</v>
      </c>
      <c r="C4980" s="1" t="n">
        <v>46086</v>
      </c>
      <c r="D4980" t="inlineStr">
        <is>
          <t>GÄVLEBORGS LÄN</t>
        </is>
      </c>
      <c r="E4980" t="inlineStr">
        <is>
          <t>OCKELBO</t>
        </is>
      </c>
      <c r="F4980" t="inlineStr">
        <is>
          <t>Bergvik skog väst AB</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11959-2026</t>
        </is>
      </c>
      <c r="B4981" s="1" t="n">
        <v>46085.61</v>
      </c>
      <c r="C4981" s="1" t="n">
        <v>46086</v>
      </c>
      <c r="D4981" t="inlineStr">
        <is>
          <t>GÄVLEBORGS LÄN</t>
        </is>
      </c>
      <c r="E4981" t="inlineStr">
        <is>
          <t>BOLLNÄS</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11970-2026</t>
        </is>
      </c>
      <c r="B4982" s="1" t="n">
        <v>46085.62180555556</v>
      </c>
      <c r="C4982" s="1" t="n">
        <v>46086</v>
      </c>
      <c r="D4982" t="inlineStr">
        <is>
          <t>GÄVLEBORGS LÄN</t>
        </is>
      </c>
      <c r="E4982" t="inlineStr">
        <is>
          <t>OCKELBO</t>
        </is>
      </c>
      <c r="F4982" t="inlineStr">
        <is>
          <t>Bergvik skog väst AB</t>
        </is>
      </c>
      <c r="G4982" t="n">
        <v>10.9</v>
      </c>
      <c r="H4982" t="n">
        <v>0</v>
      </c>
      <c r="I4982" t="n">
        <v>0</v>
      </c>
      <c r="J4982" t="n">
        <v>0</v>
      </c>
      <c r="K4982" t="n">
        <v>0</v>
      </c>
      <c r="L4982" t="n">
        <v>0</v>
      </c>
      <c r="M4982" t="n">
        <v>0</v>
      </c>
      <c r="N4982" t="n">
        <v>0</v>
      </c>
      <c r="O4982" t="n">
        <v>0</v>
      </c>
      <c r="P4982" t="n">
        <v>0</v>
      </c>
      <c r="Q4982" t="n">
        <v>0</v>
      </c>
      <c r="R4982" s="2" t="inlineStr"/>
    </row>
    <row r="4983" ht="15" customHeight="1">
      <c r="A4983" t="inlineStr">
        <is>
          <t>A 11976-2026</t>
        </is>
      </c>
      <c r="B4983" s="1" t="n">
        <v>46085.62782407407</v>
      </c>
      <c r="C4983" s="1" t="n">
        <v>46086</v>
      </c>
      <c r="D4983" t="inlineStr">
        <is>
          <t>GÄVLEBORGS LÄN</t>
        </is>
      </c>
      <c r="E4983" t="inlineStr">
        <is>
          <t>SANDVIKEN</t>
        </is>
      </c>
      <c r="F4983" t="inlineStr">
        <is>
          <t>Naturvårdsverket</t>
        </is>
      </c>
      <c r="G4983" t="n">
        <v>5.2</v>
      </c>
      <c r="H4983" t="n">
        <v>0</v>
      </c>
      <c r="I4983" t="n">
        <v>0</v>
      </c>
      <c r="J4983" t="n">
        <v>0</v>
      </c>
      <c r="K4983" t="n">
        <v>0</v>
      </c>
      <c r="L4983" t="n">
        <v>0</v>
      </c>
      <c r="M4983" t="n">
        <v>0</v>
      </c>
      <c r="N4983" t="n">
        <v>0</v>
      </c>
      <c r="O4983" t="n">
        <v>0</v>
      </c>
      <c r="P4983" t="n">
        <v>0</v>
      </c>
      <c r="Q4983" t="n">
        <v>0</v>
      </c>
      <c r="R4983" s="2" t="inlineStr"/>
    </row>
    <row r="4984" ht="15" customHeight="1">
      <c r="A4984" t="inlineStr">
        <is>
          <t>A 11977-2026</t>
        </is>
      </c>
      <c r="B4984" s="1" t="n">
        <v>46085.634375</v>
      </c>
      <c r="C4984" s="1" t="n">
        <v>46086</v>
      </c>
      <c r="D4984" t="inlineStr">
        <is>
          <t>GÄVLEBORGS LÄN</t>
        </is>
      </c>
      <c r="E4984" t="inlineStr">
        <is>
          <t>OCKELBO</t>
        </is>
      </c>
      <c r="F4984" t="inlineStr">
        <is>
          <t>Bergvik skog väst AB</t>
        </is>
      </c>
      <c r="G4984" t="n">
        <v>17.1</v>
      </c>
      <c r="H4984" t="n">
        <v>0</v>
      </c>
      <c r="I4984" t="n">
        <v>0</v>
      </c>
      <c r="J4984" t="n">
        <v>0</v>
      </c>
      <c r="K4984" t="n">
        <v>0</v>
      </c>
      <c r="L4984" t="n">
        <v>0</v>
      </c>
      <c r="M4984" t="n">
        <v>0</v>
      </c>
      <c r="N4984" t="n">
        <v>0</v>
      </c>
      <c r="O4984" t="n">
        <v>0</v>
      </c>
      <c r="P4984" t="n">
        <v>0</v>
      </c>
      <c r="Q4984" t="n">
        <v>0</v>
      </c>
      <c r="R4984" s="2" t="inlineStr"/>
    </row>
    <row r="4985" ht="15" customHeight="1">
      <c r="A4985" t="inlineStr">
        <is>
          <t>A 11984-2026</t>
        </is>
      </c>
      <c r="B4985" s="1" t="n">
        <v>46085.65010416666</v>
      </c>
      <c r="C4985" s="1" t="n">
        <v>46086</v>
      </c>
      <c r="D4985" t="inlineStr">
        <is>
          <t>GÄVLEBORGS LÄN</t>
        </is>
      </c>
      <c r="E4985" t="inlineStr">
        <is>
          <t>SANDVIKEN</t>
        </is>
      </c>
      <c r="F4985" t="inlineStr">
        <is>
          <t>Kommuner</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45334-2025</t>
        </is>
      </c>
      <c r="B4986" s="1" t="n">
        <v>45922.34092592593</v>
      </c>
      <c r="C4986" s="1" t="n">
        <v>46086</v>
      </c>
      <c r="D4986" t="inlineStr">
        <is>
          <t>GÄVLEBORGS LÄN</t>
        </is>
      </c>
      <c r="E4986" t="inlineStr">
        <is>
          <t>BOLLNÄS</t>
        </is>
      </c>
      <c r="F4986" t="inlineStr">
        <is>
          <t>Sveaskog</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9050-2026</t>
        </is>
      </c>
      <c r="B4987" s="1" t="n">
        <v>46069</v>
      </c>
      <c r="C4987" s="1" t="n">
        <v>46086</v>
      </c>
      <c r="D4987" t="inlineStr">
        <is>
          <t>GÄVLEBORGS LÄN</t>
        </is>
      </c>
      <c r="E4987" t="inlineStr">
        <is>
          <t>BOLLNÄS</t>
        </is>
      </c>
      <c r="F4987" t="inlineStr">
        <is>
          <t>Bergvik skog väst AB</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11786-2026</t>
        </is>
      </c>
      <c r="B4988" s="1" t="n">
        <v>46084.9371875</v>
      </c>
      <c r="C4988" s="1" t="n">
        <v>46086</v>
      </c>
      <c r="D4988" t="inlineStr">
        <is>
          <t>GÄVLEBORGS LÄN</t>
        </is>
      </c>
      <c r="E4988" t="inlineStr">
        <is>
          <t>SANDVIKEN</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11805-2026</t>
        </is>
      </c>
      <c r="B4989" s="1" t="n">
        <v>46085.35973379629</v>
      </c>
      <c r="C4989" s="1" t="n">
        <v>46086</v>
      </c>
      <c r="D4989" t="inlineStr">
        <is>
          <t>GÄVLEBORGS LÄN</t>
        </is>
      </c>
      <c r="E4989" t="inlineStr">
        <is>
          <t>BOLLNÄS</t>
        </is>
      </c>
      <c r="F4989" t="inlineStr">
        <is>
          <t>Bergvik skog väst AB</t>
        </is>
      </c>
      <c r="G4989" t="n">
        <v>5.1</v>
      </c>
      <c r="H4989" t="n">
        <v>0</v>
      </c>
      <c r="I4989" t="n">
        <v>0</v>
      </c>
      <c r="J4989" t="n">
        <v>0</v>
      </c>
      <c r="K4989" t="n">
        <v>0</v>
      </c>
      <c r="L4989" t="n">
        <v>0</v>
      </c>
      <c r="M4989" t="n">
        <v>0</v>
      </c>
      <c r="N4989" t="n">
        <v>0</v>
      </c>
      <c r="O4989" t="n">
        <v>0</v>
      </c>
      <c r="P4989" t="n">
        <v>0</v>
      </c>
      <c r="Q4989" t="n">
        <v>0</v>
      </c>
      <c r="R4989" s="2" t="inlineStr"/>
    </row>
    <row r="4990" ht="15" customHeight="1">
      <c r="A4990" t="inlineStr">
        <is>
          <t>A 3545-2026</t>
        </is>
      </c>
      <c r="B4990" s="1" t="n">
        <v>46042</v>
      </c>
      <c r="C4990" s="1" t="n">
        <v>46086</v>
      </c>
      <c r="D4990" t="inlineStr">
        <is>
          <t>GÄVLEBORGS LÄN</t>
        </is>
      </c>
      <c r="E4990" t="inlineStr">
        <is>
          <t>BOLLNÄS</t>
        </is>
      </c>
      <c r="F4990" t="inlineStr">
        <is>
          <t>Bergvik skog väst AB</t>
        </is>
      </c>
      <c r="G4990" t="n">
        <v>6.1</v>
      </c>
      <c r="H4990" t="n">
        <v>0</v>
      </c>
      <c r="I4990" t="n">
        <v>0</v>
      </c>
      <c r="J4990" t="n">
        <v>0</v>
      </c>
      <c r="K4990" t="n">
        <v>0</v>
      </c>
      <c r="L4990" t="n">
        <v>0</v>
      </c>
      <c r="M4990" t="n">
        <v>0</v>
      </c>
      <c r="N4990" t="n">
        <v>0</v>
      </c>
      <c r="O4990" t="n">
        <v>0</v>
      </c>
      <c r="P4990" t="n">
        <v>0</v>
      </c>
      <c r="Q4990" t="n">
        <v>0</v>
      </c>
      <c r="R4990" s="2" t="inlineStr"/>
    </row>
    <row r="4991" ht="15" customHeight="1">
      <c r="A4991" t="inlineStr">
        <is>
          <t>A 3595-2026</t>
        </is>
      </c>
      <c r="B4991" s="1" t="n">
        <v>46042.77957175926</v>
      </c>
      <c r="C4991" s="1" t="n">
        <v>46086</v>
      </c>
      <c r="D4991" t="inlineStr">
        <is>
          <t>GÄVLEBORGS LÄN</t>
        </is>
      </c>
      <c r="E4991" t="inlineStr">
        <is>
          <t>BOLLNÄS</t>
        </is>
      </c>
      <c r="G4991" t="n">
        <v>36.1</v>
      </c>
      <c r="H4991" t="n">
        <v>0</v>
      </c>
      <c r="I4991" t="n">
        <v>0</v>
      </c>
      <c r="J4991" t="n">
        <v>0</v>
      </c>
      <c r="K4991" t="n">
        <v>0</v>
      </c>
      <c r="L4991" t="n">
        <v>0</v>
      </c>
      <c r="M4991" t="n">
        <v>0</v>
      </c>
      <c r="N4991" t="n">
        <v>0</v>
      </c>
      <c r="O4991" t="n">
        <v>0</v>
      </c>
      <c r="P4991" t="n">
        <v>0</v>
      </c>
      <c r="Q4991" t="n">
        <v>0</v>
      </c>
      <c r="R4991" s="2" t="inlineStr"/>
    </row>
    <row r="4992" ht="15" customHeight="1">
      <c r="A4992" t="inlineStr">
        <is>
          <t>A 3612-2026</t>
        </is>
      </c>
      <c r="B4992" s="1" t="n">
        <v>46042</v>
      </c>
      <c r="C4992" s="1" t="n">
        <v>46086</v>
      </c>
      <c r="D4992" t="inlineStr">
        <is>
          <t>GÄVLEBORGS LÄN</t>
        </is>
      </c>
      <c r="E4992" t="inlineStr">
        <is>
          <t>OVANÅKER</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3617-2026</t>
        </is>
      </c>
      <c r="B4993" s="1" t="n">
        <v>46042.95703703703</v>
      </c>
      <c r="C4993" s="1" t="n">
        <v>46086</v>
      </c>
      <c r="D4993" t="inlineStr">
        <is>
          <t>GÄVLEBORGS LÄN</t>
        </is>
      </c>
      <c r="E4993" t="inlineStr">
        <is>
          <t>SANDVIKEN</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3626-2026</t>
        </is>
      </c>
      <c r="B4994" s="1" t="n">
        <v>46043</v>
      </c>
      <c r="C4994" s="1" t="n">
        <v>46086</v>
      </c>
      <c r="D4994" t="inlineStr">
        <is>
          <t>GÄVLEBORGS LÄN</t>
        </is>
      </c>
      <c r="E4994" t="inlineStr">
        <is>
          <t>BOLLNÄS</t>
        </is>
      </c>
      <c r="F4994" t="inlineStr">
        <is>
          <t>Bergvik skog väst AB</t>
        </is>
      </c>
      <c r="G4994" t="n">
        <v>3.9</v>
      </c>
      <c r="H4994" t="n">
        <v>0</v>
      </c>
      <c r="I4994" t="n">
        <v>0</v>
      </c>
      <c r="J4994" t="n">
        <v>0</v>
      </c>
      <c r="K4994" t="n">
        <v>0</v>
      </c>
      <c r="L4994" t="n">
        <v>0</v>
      </c>
      <c r="M4994" t="n">
        <v>0</v>
      </c>
      <c r="N4994" t="n">
        <v>0</v>
      </c>
      <c r="O4994" t="n">
        <v>0</v>
      </c>
      <c r="P4994" t="n">
        <v>0</v>
      </c>
      <c r="Q4994" t="n">
        <v>0</v>
      </c>
      <c r="R4994" s="2" t="inlineStr"/>
    </row>
    <row r="4995" ht="15" customHeight="1">
      <c r="A4995" t="inlineStr">
        <is>
          <t>A 3635-2026</t>
        </is>
      </c>
      <c r="B4995" s="1" t="n">
        <v>46043</v>
      </c>
      <c r="C4995" s="1" t="n">
        <v>46086</v>
      </c>
      <c r="D4995" t="inlineStr">
        <is>
          <t>GÄVLEBORGS LÄN</t>
        </is>
      </c>
      <c r="E4995" t="inlineStr">
        <is>
          <t>SANDVIKEN</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11802-2026</t>
        </is>
      </c>
      <c r="B4996" s="1" t="n">
        <v>46085.35403935185</v>
      </c>
      <c r="C4996" s="1" t="n">
        <v>46086</v>
      </c>
      <c r="D4996" t="inlineStr">
        <is>
          <t>GÄVLEBORGS LÄN</t>
        </is>
      </c>
      <c r="E4996" t="inlineStr">
        <is>
          <t>SANDVIKEN</t>
        </is>
      </c>
      <c r="F4996" t="inlineStr">
        <is>
          <t>Naturvårdsverket</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11840-2026</t>
        </is>
      </c>
      <c r="B4997" s="1" t="n">
        <v>46085.44568287037</v>
      </c>
      <c r="C4997" s="1" t="n">
        <v>46086</v>
      </c>
      <c r="D4997" t="inlineStr">
        <is>
          <t>GÄVLEBORGS LÄN</t>
        </is>
      </c>
      <c r="E4997" t="inlineStr">
        <is>
          <t>BOLLNÄS</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60517-2022</t>
        </is>
      </c>
      <c r="B4998" s="1" t="n">
        <v>44911</v>
      </c>
      <c r="C4998" s="1" t="n">
        <v>46086</v>
      </c>
      <c r="D4998" t="inlineStr">
        <is>
          <t>GÄVLEBORGS LÄN</t>
        </is>
      </c>
      <c r="E4998" t="inlineStr">
        <is>
          <t>HUDIKSVALL</t>
        </is>
      </c>
      <c r="F4998" t="inlineStr">
        <is>
          <t>Holmen skog AB</t>
        </is>
      </c>
      <c r="G4998" t="n">
        <v>3.8</v>
      </c>
      <c r="H4998" t="n">
        <v>0</v>
      </c>
      <c r="I4998" t="n">
        <v>0</v>
      </c>
      <c r="J4998" t="n">
        <v>0</v>
      </c>
      <c r="K4998" t="n">
        <v>0</v>
      </c>
      <c r="L4998" t="n">
        <v>0</v>
      </c>
      <c r="M4998" t="n">
        <v>0</v>
      </c>
      <c r="N4998" t="n">
        <v>0</v>
      </c>
      <c r="O4998" t="n">
        <v>0</v>
      </c>
      <c r="P4998" t="n">
        <v>0</v>
      </c>
      <c r="Q4998" t="n">
        <v>0</v>
      </c>
      <c r="R4998" s="2" t="inlineStr"/>
    </row>
    <row r="4999" ht="15" customHeight="1">
      <c r="A4999" t="inlineStr">
        <is>
          <t>A 11871-2026</t>
        </is>
      </c>
      <c r="B4999" s="1" t="n">
        <v>46085.49053240741</v>
      </c>
      <c r="C4999" s="1" t="n">
        <v>46086</v>
      </c>
      <c r="D4999" t="inlineStr">
        <is>
          <t>GÄVLEBORGS LÄN</t>
        </is>
      </c>
      <c r="E4999" t="inlineStr">
        <is>
          <t>HOFORS</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11881-2026</t>
        </is>
      </c>
      <c r="B5000" s="1" t="n">
        <v>46085.50344907407</v>
      </c>
      <c r="C5000" s="1" t="n">
        <v>46086</v>
      </c>
      <c r="D5000" t="inlineStr">
        <is>
          <t>GÄVLEBORGS LÄN</t>
        </is>
      </c>
      <c r="E5000" t="inlineStr">
        <is>
          <t>BOLLNÄS</t>
        </is>
      </c>
      <c r="F5000" t="inlineStr">
        <is>
          <t>Bergvik skog väst AB</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11883-2026</t>
        </is>
      </c>
      <c r="B5001" s="1" t="n">
        <v>46085.50563657407</v>
      </c>
      <c r="C5001" s="1" t="n">
        <v>46086</v>
      </c>
      <c r="D5001" t="inlineStr">
        <is>
          <t>GÄVLEBORGS LÄN</t>
        </is>
      </c>
      <c r="E5001" t="inlineStr">
        <is>
          <t>BOLLNÄS</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11836-2026</t>
        </is>
      </c>
      <c r="B5002" s="1" t="n">
        <v>46085.43155092592</v>
      </c>
      <c r="C5002" s="1" t="n">
        <v>46086</v>
      </c>
      <c r="D5002" t="inlineStr">
        <is>
          <t>GÄVLEBORGS LÄN</t>
        </is>
      </c>
      <c r="E5002" t="inlineStr">
        <is>
          <t>OVANÅKER</t>
        </is>
      </c>
      <c r="F5002" t="inlineStr">
        <is>
          <t>Bergvik skog väst AB</t>
        </is>
      </c>
      <c r="G5002" t="n">
        <v>19.2</v>
      </c>
      <c r="H5002" t="n">
        <v>0</v>
      </c>
      <c r="I5002" t="n">
        <v>0</v>
      </c>
      <c r="J5002" t="n">
        <v>0</v>
      </c>
      <c r="K5002" t="n">
        <v>0</v>
      </c>
      <c r="L5002" t="n">
        <v>0</v>
      </c>
      <c r="M5002" t="n">
        <v>0</v>
      </c>
      <c r="N5002" t="n">
        <v>0</v>
      </c>
      <c r="O5002" t="n">
        <v>0</v>
      </c>
      <c r="P5002" t="n">
        <v>0</v>
      </c>
      <c r="Q5002" t="n">
        <v>0</v>
      </c>
      <c r="R5002" s="2" t="inlineStr"/>
    </row>
    <row r="5003" ht="15" customHeight="1">
      <c r="A5003" t="inlineStr">
        <is>
          <t>A 54578-2024</t>
        </is>
      </c>
      <c r="B5003" s="1" t="n">
        <v>45617.65644675926</v>
      </c>
      <c r="C5003" s="1" t="n">
        <v>46086</v>
      </c>
      <c r="D5003" t="inlineStr">
        <is>
          <t>GÄVLEBORGS LÄN</t>
        </is>
      </c>
      <c r="E5003" t="inlineStr">
        <is>
          <t>HOFORS</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11844-2026</t>
        </is>
      </c>
      <c r="B5004" s="1" t="n">
        <v>46085.45496527778</v>
      </c>
      <c r="C5004" s="1" t="n">
        <v>46086</v>
      </c>
      <c r="D5004" t="inlineStr">
        <is>
          <t>GÄVLEBORGS LÄN</t>
        </is>
      </c>
      <c r="E5004" t="inlineStr">
        <is>
          <t>BOLLNÄS</t>
        </is>
      </c>
      <c r="F5004" t="inlineStr">
        <is>
          <t>Bergvik skog väst AB</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11847-2026</t>
        </is>
      </c>
      <c r="B5005" s="1" t="n">
        <v>46085.45813657407</v>
      </c>
      <c r="C5005" s="1" t="n">
        <v>46086</v>
      </c>
      <c r="D5005" t="inlineStr">
        <is>
          <t>GÄVLEBORGS LÄN</t>
        </is>
      </c>
      <c r="E5005" t="inlineStr">
        <is>
          <t>HOFORS</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11860-2026</t>
        </is>
      </c>
      <c r="B5006" s="1" t="n">
        <v>46085.47163194444</v>
      </c>
      <c r="C5006" s="1" t="n">
        <v>46086</v>
      </c>
      <c r="D5006" t="inlineStr">
        <is>
          <t>GÄVLEBORGS LÄN</t>
        </is>
      </c>
      <c r="E5006" t="inlineStr">
        <is>
          <t>OVANÅKER</t>
        </is>
      </c>
      <c r="F5006" t="inlineStr">
        <is>
          <t>Bergvik skog väst AB</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3387-2026</t>
        </is>
      </c>
      <c r="B5007" s="1" t="n">
        <v>46042</v>
      </c>
      <c r="C5007" s="1" t="n">
        <v>46086</v>
      </c>
      <c r="D5007" t="inlineStr">
        <is>
          <t>GÄVLEBORGS LÄN</t>
        </is>
      </c>
      <c r="E5007" t="inlineStr">
        <is>
          <t>NORDANSTIG</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3401-2026</t>
        </is>
      </c>
      <c r="B5008" s="1" t="n">
        <v>46042.39015046296</v>
      </c>
      <c r="C5008" s="1" t="n">
        <v>46086</v>
      </c>
      <c r="D5008" t="inlineStr">
        <is>
          <t>GÄVLEBORGS LÄN</t>
        </is>
      </c>
      <c r="E5008" t="inlineStr">
        <is>
          <t>NORDANSTIG</t>
        </is>
      </c>
      <c r="G5008" t="n">
        <v>4.9</v>
      </c>
      <c r="H5008" t="n">
        <v>0</v>
      </c>
      <c r="I5008" t="n">
        <v>0</v>
      </c>
      <c r="J5008" t="n">
        <v>0</v>
      </c>
      <c r="K5008" t="n">
        <v>0</v>
      </c>
      <c r="L5008" t="n">
        <v>0</v>
      </c>
      <c r="M5008" t="n">
        <v>0</v>
      </c>
      <c r="N5008" t="n">
        <v>0</v>
      </c>
      <c r="O5008" t="n">
        <v>0</v>
      </c>
      <c r="P5008" t="n">
        <v>0</v>
      </c>
      <c r="Q5008" t="n">
        <v>0</v>
      </c>
      <c r="R5008" s="2" t="inlineStr"/>
    </row>
    <row r="5009" ht="15" customHeight="1">
      <c r="A5009" t="inlineStr">
        <is>
          <t>A 10310-2026</t>
        </is>
      </c>
      <c r="B5009" s="1" t="n">
        <v>46076.64454861111</v>
      </c>
      <c r="C5009" s="1" t="n">
        <v>46086</v>
      </c>
      <c r="D5009" t="inlineStr">
        <is>
          <t>GÄVLEBORGS LÄN</t>
        </is>
      </c>
      <c r="E5009" t="inlineStr">
        <is>
          <t>NORDANSTIG</t>
        </is>
      </c>
      <c r="G5009" t="n">
        <v>7.8</v>
      </c>
      <c r="H5009" t="n">
        <v>0</v>
      </c>
      <c r="I5009" t="n">
        <v>0</v>
      </c>
      <c r="J5009" t="n">
        <v>0</v>
      </c>
      <c r="K5009" t="n">
        <v>0</v>
      </c>
      <c r="L5009" t="n">
        <v>0</v>
      </c>
      <c r="M5009" t="n">
        <v>0</v>
      </c>
      <c r="N5009" t="n">
        <v>0</v>
      </c>
      <c r="O5009" t="n">
        <v>0</v>
      </c>
      <c r="P5009" t="n">
        <v>0</v>
      </c>
      <c r="Q5009" t="n">
        <v>0</v>
      </c>
      <c r="R5009" s="2" t="inlineStr"/>
    </row>
    <row r="5010" ht="15" customHeight="1">
      <c r="A5010" t="inlineStr">
        <is>
          <t>A 9681-2026</t>
        </is>
      </c>
      <c r="B5010" s="1" t="n">
        <v>46072.38490740741</v>
      </c>
      <c r="C5010" s="1" t="n">
        <v>46086</v>
      </c>
      <c r="D5010" t="inlineStr">
        <is>
          <t>GÄVLEBORGS LÄN</t>
        </is>
      </c>
      <c r="E5010" t="inlineStr">
        <is>
          <t>OCKELBO</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11550-2026</t>
        </is>
      </c>
      <c r="B5011" s="1" t="n">
        <v>46084.31346064815</v>
      </c>
      <c r="C5011" s="1" t="n">
        <v>46086</v>
      </c>
      <c r="D5011" t="inlineStr">
        <is>
          <t>GÄVLEBORGS LÄN</t>
        </is>
      </c>
      <c r="E5011" t="inlineStr">
        <is>
          <t>BOLLNÄS</t>
        </is>
      </c>
      <c r="G5011" t="n">
        <v>14.1</v>
      </c>
      <c r="H5011" t="n">
        <v>0</v>
      </c>
      <c r="I5011" t="n">
        <v>0</v>
      </c>
      <c r="J5011" t="n">
        <v>0</v>
      </c>
      <c r="K5011" t="n">
        <v>0</v>
      </c>
      <c r="L5011" t="n">
        <v>0</v>
      </c>
      <c r="M5011" t="n">
        <v>0</v>
      </c>
      <c r="N5011" t="n">
        <v>0</v>
      </c>
      <c r="O5011" t="n">
        <v>0</v>
      </c>
      <c r="P5011" t="n">
        <v>0</v>
      </c>
      <c r="Q5011" t="n">
        <v>0</v>
      </c>
      <c r="R5011" s="2" t="inlineStr"/>
    </row>
    <row r="5012" ht="15" customHeight="1">
      <c r="A5012" t="inlineStr">
        <is>
          <t>A 51238-2023</t>
        </is>
      </c>
      <c r="B5012" s="1" t="n">
        <v>45219.46576388889</v>
      </c>
      <c r="C5012" s="1" t="n">
        <v>46086</v>
      </c>
      <c r="D5012" t="inlineStr">
        <is>
          <t>GÄVLEBORGS LÄN</t>
        </is>
      </c>
      <c r="E5012" t="inlineStr">
        <is>
          <t>LJUSDAL</t>
        </is>
      </c>
      <c r="F5012" t="inlineStr">
        <is>
          <t>Sveaskog</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11576-2026</t>
        </is>
      </c>
      <c r="B5013" s="1" t="n">
        <v>46084.39034722222</v>
      </c>
      <c r="C5013" s="1" t="n">
        <v>46086</v>
      </c>
      <c r="D5013" t="inlineStr">
        <is>
          <t>GÄVLEBORGS LÄN</t>
        </is>
      </c>
      <c r="E5013" t="inlineStr">
        <is>
          <t>GÄVLE</t>
        </is>
      </c>
      <c r="F5013" t="inlineStr">
        <is>
          <t>Bergvik skog öst AB</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11594-2026</t>
        </is>
      </c>
      <c r="B5014" s="1" t="n">
        <v>46084.42109953704</v>
      </c>
      <c r="C5014" s="1" t="n">
        <v>46086</v>
      </c>
      <c r="D5014" t="inlineStr">
        <is>
          <t>GÄVLEBORGS LÄN</t>
        </is>
      </c>
      <c r="E5014" t="inlineStr">
        <is>
          <t>BOLLNÄS</t>
        </is>
      </c>
      <c r="F5014" t="inlineStr">
        <is>
          <t>Bergvik skog väst AB</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11608-2026</t>
        </is>
      </c>
      <c r="B5015" s="1" t="n">
        <v>46084.43680555555</v>
      </c>
      <c r="C5015" s="1" t="n">
        <v>46086</v>
      </c>
      <c r="D5015" t="inlineStr">
        <is>
          <t>GÄVLEBORGS LÄN</t>
        </is>
      </c>
      <c r="E5015" t="inlineStr">
        <is>
          <t>OVANÅKER</t>
        </is>
      </c>
      <c r="F5015" t="inlineStr">
        <is>
          <t>Bergvik skog öst AB</t>
        </is>
      </c>
      <c r="G5015" t="n">
        <v>6.1</v>
      </c>
      <c r="H5015" t="n">
        <v>0</v>
      </c>
      <c r="I5015" t="n">
        <v>0</v>
      </c>
      <c r="J5015" t="n">
        <v>0</v>
      </c>
      <c r="K5015" t="n">
        <v>0</v>
      </c>
      <c r="L5015" t="n">
        <v>0</v>
      </c>
      <c r="M5015" t="n">
        <v>0</v>
      </c>
      <c r="N5015" t="n">
        <v>0</v>
      </c>
      <c r="O5015" t="n">
        <v>0</v>
      </c>
      <c r="P5015" t="n">
        <v>0</v>
      </c>
      <c r="Q5015" t="n">
        <v>0</v>
      </c>
      <c r="R5015" s="2" t="inlineStr"/>
    </row>
    <row r="5016" ht="15" customHeight="1">
      <c r="A5016" t="inlineStr">
        <is>
          <t>A 51259-2023</t>
        </is>
      </c>
      <c r="B5016" s="1" t="n">
        <v>45219</v>
      </c>
      <c r="C5016" s="1" t="n">
        <v>46086</v>
      </c>
      <c r="D5016" t="inlineStr">
        <is>
          <t>GÄVLEBORGS LÄN</t>
        </is>
      </c>
      <c r="E5016" t="inlineStr">
        <is>
          <t>BOLLNÄS</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51261-2023</t>
        </is>
      </c>
      <c r="B5017" s="1" t="n">
        <v>45219</v>
      </c>
      <c r="C5017" s="1" t="n">
        <v>46086</v>
      </c>
      <c r="D5017" t="inlineStr">
        <is>
          <t>GÄVLEBORGS LÄN</t>
        </is>
      </c>
      <c r="E5017" t="inlineStr">
        <is>
          <t>BOLLNÄS</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11639-2026</t>
        </is>
      </c>
      <c r="B5018" s="1" t="n">
        <v>46084.49383101852</v>
      </c>
      <c r="C5018" s="1" t="n">
        <v>46086</v>
      </c>
      <c r="D5018" t="inlineStr">
        <is>
          <t>GÄVLEBORGS LÄN</t>
        </is>
      </c>
      <c r="E5018" t="inlineStr">
        <is>
          <t>HUDIKSVALL</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45832-2025</t>
        </is>
      </c>
      <c r="B5019" s="1" t="n">
        <v>45923</v>
      </c>
      <c r="C5019" s="1" t="n">
        <v>46086</v>
      </c>
      <c r="D5019" t="inlineStr">
        <is>
          <t>GÄVLEBORGS LÄN</t>
        </is>
      </c>
      <c r="E5019" t="inlineStr">
        <is>
          <t>BOLLNÄS</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45851-2025</t>
        </is>
      </c>
      <c r="B5020" s="1" t="n">
        <v>45923.62560185185</v>
      </c>
      <c r="C5020" s="1" t="n">
        <v>46086</v>
      </c>
      <c r="D5020" t="inlineStr">
        <is>
          <t>GÄVLEBORGS LÄN</t>
        </is>
      </c>
      <c r="E5020" t="inlineStr">
        <is>
          <t>HUDIKSVALL</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45529-2025</t>
        </is>
      </c>
      <c r="B5021" s="1" t="n">
        <v>45922.59997685185</v>
      </c>
      <c r="C5021" s="1" t="n">
        <v>46086</v>
      </c>
      <c r="D5021" t="inlineStr">
        <is>
          <t>GÄVLEBORGS LÄN</t>
        </is>
      </c>
      <c r="E5021" t="inlineStr">
        <is>
          <t>OCKELBO</t>
        </is>
      </c>
      <c r="G5021" t="n">
        <v>13.6</v>
      </c>
      <c r="H5021" t="n">
        <v>0</v>
      </c>
      <c r="I5021" t="n">
        <v>0</v>
      </c>
      <c r="J5021" t="n">
        <v>0</v>
      </c>
      <c r="K5021" t="n">
        <v>0</v>
      </c>
      <c r="L5021" t="n">
        <v>0</v>
      </c>
      <c r="M5021" t="n">
        <v>0</v>
      </c>
      <c r="N5021" t="n">
        <v>0</v>
      </c>
      <c r="O5021" t="n">
        <v>0</v>
      </c>
      <c r="P5021" t="n">
        <v>0</v>
      </c>
      <c r="Q5021" t="n">
        <v>0</v>
      </c>
      <c r="R5021" s="2" t="inlineStr"/>
    </row>
    <row r="5022" ht="15" customHeight="1">
      <c r="A5022" t="inlineStr">
        <is>
          <t>A 39869-2025</t>
        </is>
      </c>
      <c r="B5022" s="1" t="n">
        <v>45891.60927083333</v>
      </c>
      <c r="C5022" s="1" t="n">
        <v>46086</v>
      </c>
      <c r="D5022" t="inlineStr">
        <is>
          <t>GÄVLEBORGS LÄN</t>
        </is>
      </c>
      <c r="E5022" t="inlineStr">
        <is>
          <t>SÖDERHAMN</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45889-2025</t>
        </is>
      </c>
      <c r="B5023" s="1" t="n">
        <v>45923.67244212963</v>
      </c>
      <c r="C5023" s="1" t="n">
        <v>46086</v>
      </c>
      <c r="D5023" t="inlineStr">
        <is>
          <t>GÄVLEBORGS LÄN</t>
        </is>
      </c>
      <c r="E5023" t="inlineStr">
        <is>
          <t>BOLLNÄS</t>
        </is>
      </c>
      <c r="F5023" t="inlineStr">
        <is>
          <t>Bergvik skog väst AB</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3523-2026</t>
        </is>
      </c>
      <c r="B5024" s="1" t="n">
        <v>46042.60207175926</v>
      </c>
      <c r="C5024" s="1" t="n">
        <v>46086</v>
      </c>
      <c r="D5024" t="inlineStr">
        <is>
          <t>GÄVLEBORGS LÄN</t>
        </is>
      </c>
      <c r="E5024" t="inlineStr">
        <is>
          <t>SANDVIKEN</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3547-2026</t>
        </is>
      </c>
      <c r="B5025" s="1" t="n">
        <v>46042.64209490741</v>
      </c>
      <c r="C5025" s="1" t="n">
        <v>46086</v>
      </c>
      <c r="D5025" t="inlineStr">
        <is>
          <t>GÄVLEBORGS LÄN</t>
        </is>
      </c>
      <c r="E5025" t="inlineStr">
        <is>
          <t>NORDANSTIG</t>
        </is>
      </c>
      <c r="G5025" t="n">
        <v>7.5</v>
      </c>
      <c r="H5025" t="n">
        <v>0</v>
      </c>
      <c r="I5025" t="n">
        <v>0</v>
      </c>
      <c r="J5025" t="n">
        <v>0</v>
      </c>
      <c r="K5025" t="n">
        <v>0</v>
      </c>
      <c r="L5025" t="n">
        <v>0</v>
      </c>
      <c r="M5025" t="n">
        <v>0</v>
      </c>
      <c r="N5025" t="n">
        <v>0</v>
      </c>
      <c r="O5025" t="n">
        <v>0</v>
      </c>
      <c r="P5025" t="n">
        <v>0</v>
      </c>
      <c r="Q5025" t="n">
        <v>0</v>
      </c>
      <c r="R5025" s="2" t="inlineStr"/>
    </row>
    <row r="5026" ht="15" customHeight="1">
      <c r="A5026" t="inlineStr">
        <is>
          <t>A 3155-2026</t>
        </is>
      </c>
      <c r="B5026" s="1" t="n">
        <v>46041.42849537037</v>
      </c>
      <c r="C5026" s="1" t="n">
        <v>46086</v>
      </c>
      <c r="D5026" t="inlineStr">
        <is>
          <t>GÄVLEBORGS LÄN</t>
        </is>
      </c>
      <c r="E5026" t="inlineStr">
        <is>
          <t>BOLLNÄS</t>
        </is>
      </c>
      <c r="G5026" t="n">
        <v>6.6</v>
      </c>
      <c r="H5026" t="n">
        <v>0</v>
      </c>
      <c r="I5026" t="n">
        <v>0</v>
      </c>
      <c r="J5026" t="n">
        <v>0</v>
      </c>
      <c r="K5026" t="n">
        <v>0</v>
      </c>
      <c r="L5026" t="n">
        <v>0</v>
      </c>
      <c r="M5026" t="n">
        <v>0</v>
      </c>
      <c r="N5026" t="n">
        <v>0</v>
      </c>
      <c r="O5026" t="n">
        <v>0</v>
      </c>
      <c r="P5026" t="n">
        <v>0</v>
      </c>
      <c r="Q5026" t="n">
        <v>0</v>
      </c>
      <c r="R5026" s="2" t="inlineStr"/>
    </row>
    <row r="5027" ht="15" customHeight="1">
      <c r="A5027" t="inlineStr">
        <is>
          <t>A 3351-2026</t>
        </is>
      </c>
      <c r="B5027" s="1" t="n">
        <v>46041.95627314815</v>
      </c>
      <c r="C5027" s="1" t="n">
        <v>46086</v>
      </c>
      <c r="D5027" t="inlineStr">
        <is>
          <t>GÄVLEBORGS LÄN</t>
        </is>
      </c>
      <c r="E5027" t="inlineStr">
        <is>
          <t>LJUSDAL</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3366-2026</t>
        </is>
      </c>
      <c r="B5028" s="1" t="n">
        <v>46042</v>
      </c>
      <c r="C5028" s="1" t="n">
        <v>46086</v>
      </c>
      <c r="D5028" t="inlineStr">
        <is>
          <t>GÄVLEBORGS LÄN</t>
        </is>
      </c>
      <c r="E5028" t="inlineStr">
        <is>
          <t>BOLLNÄS</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3374-2026</t>
        </is>
      </c>
      <c r="B5029" s="1" t="n">
        <v>46042</v>
      </c>
      <c r="C5029" s="1" t="n">
        <v>46086</v>
      </c>
      <c r="D5029" t="inlineStr">
        <is>
          <t>GÄVLEBORGS LÄN</t>
        </is>
      </c>
      <c r="E5029" t="inlineStr">
        <is>
          <t>LJUSDAL</t>
        </is>
      </c>
      <c r="G5029" t="n">
        <v>4.5</v>
      </c>
      <c r="H5029" t="n">
        <v>0</v>
      </c>
      <c r="I5029" t="n">
        <v>0</v>
      </c>
      <c r="J5029" t="n">
        <v>0</v>
      </c>
      <c r="K5029" t="n">
        <v>0</v>
      </c>
      <c r="L5029" t="n">
        <v>0</v>
      </c>
      <c r="M5029" t="n">
        <v>0</v>
      </c>
      <c r="N5029" t="n">
        <v>0</v>
      </c>
      <c r="O5029" t="n">
        <v>0</v>
      </c>
      <c r="P5029" t="n">
        <v>0</v>
      </c>
      <c r="Q5029" t="n">
        <v>0</v>
      </c>
      <c r="R5029" s="2" t="inlineStr"/>
    </row>
    <row r="5030" ht="15" customHeight="1">
      <c r="A5030" t="inlineStr">
        <is>
          <t>A 6023-2026</t>
        </is>
      </c>
      <c r="B5030" s="1" t="n">
        <v>46052</v>
      </c>
      <c r="C5030" s="1" t="n">
        <v>46086</v>
      </c>
      <c r="D5030" t="inlineStr">
        <is>
          <t>GÄVLEBORGS LÄN</t>
        </is>
      </c>
      <c r="E5030" t="inlineStr">
        <is>
          <t>BOLLNÄS</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6764-2026</t>
        </is>
      </c>
      <c r="B5031" s="1" t="n">
        <v>46056</v>
      </c>
      <c r="C5031" s="1" t="n">
        <v>46086</v>
      </c>
      <c r="D5031" t="inlineStr">
        <is>
          <t>GÄVLEBORGS LÄN</t>
        </is>
      </c>
      <c r="E5031" t="inlineStr">
        <is>
          <t>OCKELBO</t>
        </is>
      </c>
      <c r="F5031" t="inlineStr">
        <is>
          <t>Bergvik skog väst AB</t>
        </is>
      </c>
      <c r="G5031" t="n">
        <v>13.1</v>
      </c>
      <c r="H5031" t="n">
        <v>0</v>
      </c>
      <c r="I5031" t="n">
        <v>0</v>
      </c>
      <c r="J5031" t="n">
        <v>0</v>
      </c>
      <c r="K5031" t="n">
        <v>0</v>
      </c>
      <c r="L5031" t="n">
        <v>0</v>
      </c>
      <c r="M5031" t="n">
        <v>0</v>
      </c>
      <c r="N5031" t="n">
        <v>0</v>
      </c>
      <c r="O5031" t="n">
        <v>0</v>
      </c>
      <c r="P5031" t="n">
        <v>0</v>
      </c>
      <c r="Q5031" t="n">
        <v>0</v>
      </c>
      <c r="R5031" s="2" t="inlineStr"/>
    </row>
    <row r="5032" ht="15" customHeight="1">
      <c r="A5032" t="inlineStr">
        <is>
          <t>A 9119-2026</t>
        </is>
      </c>
      <c r="B5032" s="1" t="n">
        <v>46069</v>
      </c>
      <c r="C5032" s="1" t="n">
        <v>46086</v>
      </c>
      <c r="D5032" t="inlineStr">
        <is>
          <t>GÄVLEBORGS LÄN</t>
        </is>
      </c>
      <c r="E5032" t="inlineStr">
        <is>
          <t>NORDANSTIG</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9120-2026</t>
        </is>
      </c>
      <c r="B5033" s="1" t="n">
        <v>46069</v>
      </c>
      <c r="C5033" s="1" t="n">
        <v>46086</v>
      </c>
      <c r="D5033" t="inlineStr">
        <is>
          <t>GÄVLEBORGS LÄN</t>
        </is>
      </c>
      <c r="E5033" t="inlineStr">
        <is>
          <t>NORDANSTIG</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9138-2026</t>
        </is>
      </c>
      <c r="B5034" s="1" t="n">
        <v>46069</v>
      </c>
      <c r="C5034" s="1" t="n">
        <v>46086</v>
      </c>
      <c r="D5034" t="inlineStr">
        <is>
          <t>GÄVLEBORGS LÄN</t>
        </is>
      </c>
      <c r="E5034" t="inlineStr">
        <is>
          <t>HUDIKSVALL</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9209-2026</t>
        </is>
      </c>
      <c r="B5035" s="1" t="n">
        <v>46070</v>
      </c>
      <c r="C5035" s="1" t="n">
        <v>46086</v>
      </c>
      <c r="D5035" t="inlineStr">
        <is>
          <t>GÄVLEBORGS LÄN</t>
        </is>
      </c>
      <c r="E5035" t="inlineStr">
        <is>
          <t>OVANÅKER</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9763-2026</t>
        </is>
      </c>
      <c r="B5036" s="1" t="n">
        <v>46072</v>
      </c>
      <c r="C5036" s="1" t="n">
        <v>46086</v>
      </c>
      <c r="D5036" t="inlineStr">
        <is>
          <t>GÄVLEBORGS LÄN</t>
        </is>
      </c>
      <c r="E5036" t="inlineStr">
        <is>
          <t>HUDIKSVALL</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9800-2026</t>
        </is>
      </c>
      <c r="B5037" s="1" t="n">
        <v>46072</v>
      </c>
      <c r="C5037" s="1" t="n">
        <v>46086</v>
      </c>
      <c r="D5037" t="inlineStr">
        <is>
          <t>GÄVLEBORGS LÄN</t>
        </is>
      </c>
      <c r="E5037" t="inlineStr">
        <is>
          <t>HUDIKSVALL</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9809-2026</t>
        </is>
      </c>
      <c r="B5038" s="1" t="n">
        <v>46072</v>
      </c>
      <c r="C5038" s="1" t="n">
        <v>46086</v>
      </c>
      <c r="D5038" t="inlineStr">
        <is>
          <t>GÄVLEBORGS LÄN</t>
        </is>
      </c>
      <c r="E5038" t="inlineStr">
        <is>
          <t>OVANÅKER</t>
        </is>
      </c>
      <c r="G5038" t="n">
        <v>3.4</v>
      </c>
      <c r="H5038" t="n">
        <v>0</v>
      </c>
      <c r="I5038" t="n">
        <v>0</v>
      </c>
      <c r="J5038" t="n">
        <v>0</v>
      </c>
      <c r="K5038" t="n">
        <v>0</v>
      </c>
      <c r="L5038" t="n">
        <v>0</v>
      </c>
      <c r="M5038" t="n">
        <v>0</v>
      </c>
      <c r="N5038" t="n">
        <v>0</v>
      </c>
      <c r="O5038" t="n">
        <v>0</v>
      </c>
      <c r="P5038" t="n">
        <v>0</v>
      </c>
      <c r="Q5038" t="n">
        <v>0</v>
      </c>
      <c r="R5038" s="2" t="inlineStr"/>
    </row>
    <row r="5039" ht="15" customHeight="1">
      <c r="A5039" t="inlineStr">
        <is>
          <t>A 45713-2025</t>
        </is>
      </c>
      <c r="B5039" s="1" t="n">
        <v>45923.43292824074</v>
      </c>
      <c r="C5039" s="1" t="n">
        <v>46086</v>
      </c>
      <c r="D5039" t="inlineStr">
        <is>
          <t>GÄVLEBORGS LÄN</t>
        </is>
      </c>
      <c r="E5039" t="inlineStr">
        <is>
          <t>BOLLNÄS</t>
        </is>
      </c>
      <c r="F5039" t="inlineStr">
        <is>
          <t>Kyrkan</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9876-2026</t>
        </is>
      </c>
      <c r="B5040" s="1" t="n">
        <v>46073</v>
      </c>
      <c r="C5040" s="1" t="n">
        <v>46086</v>
      </c>
      <c r="D5040" t="inlineStr">
        <is>
          <t>GÄVLEBORGS LÄN</t>
        </is>
      </c>
      <c r="E5040" t="inlineStr">
        <is>
          <t>OVANÅKER</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10529-2026</t>
        </is>
      </c>
      <c r="B5041" s="1" t="n">
        <v>46077</v>
      </c>
      <c r="C5041" s="1" t="n">
        <v>46086</v>
      </c>
      <c r="D5041" t="inlineStr">
        <is>
          <t>GÄVLEBORGS LÄN</t>
        </is>
      </c>
      <c r="E5041" t="inlineStr">
        <is>
          <t>OCKELBO</t>
        </is>
      </c>
      <c r="F5041" t="inlineStr">
        <is>
          <t>Bergvik skog öst AB</t>
        </is>
      </c>
      <c r="G5041" t="n">
        <v>5.9</v>
      </c>
      <c r="H5041" t="n">
        <v>0</v>
      </c>
      <c r="I5041" t="n">
        <v>0</v>
      </c>
      <c r="J5041" t="n">
        <v>0</v>
      </c>
      <c r="K5041" t="n">
        <v>0</v>
      </c>
      <c r="L5041" t="n">
        <v>0</v>
      </c>
      <c r="M5041" t="n">
        <v>0</v>
      </c>
      <c r="N5041" t="n">
        <v>0</v>
      </c>
      <c r="O5041" t="n">
        <v>0</v>
      </c>
      <c r="P5041" t="n">
        <v>0</v>
      </c>
      <c r="Q5041" t="n">
        <v>0</v>
      </c>
      <c r="R5041" s="2" t="inlineStr"/>
    </row>
    <row r="5042" ht="15" customHeight="1">
      <c r="A5042" t="inlineStr">
        <is>
          <t>A 11153-2026</t>
        </is>
      </c>
      <c r="B5042" s="1" t="n">
        <v>46080</v>
      </c>
      <c r="C5042" s="1" t="n">
        <v>46086</v>
      </c>
      <c r="D5042" t="inlineStr">
        <is>
          <t>GÄVLEBORGS LÄN</t>
        </is>
      </c>
      <c r="E5042" t="inlineStr">
        <is>
          <t>BOLLNÄS</t>
        </is>
      </c>
      <c r="F5042" t="inlineStr">
        <is>
          <t>Bergvik skog väst AB</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11828-2026</t>
        </is>
      </c>
      <c r="B5043" s="1" t="n">
        <v>46085.42038194444</v>
      </c>
      <c r="C5043" s="1" t="n">
        <v>46086</v>
      </c>
      <c r="D5043" t="inlineStr">
        <is>
          <t>GÄVLEBORGS LÄN</t>
        </is>
      </c>
      <c r="E5043" t="inlineStr">
        <is>
          <t>OVANÅKER</t>
        </is>
      </c>
      <c r="F5043" t="inlineStr">
        <is>
          <t>Bergvik skog väst AB</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11829-2026</t>
        </is>
      </c>
      <c r="B5044" s="1" t="n">
        <v>46085.42278935185</v>
      </c>
      <c r="C5044" s="1" t="n">
        <v>46086</v>
      </c>
      <c r="D5044" t="inlineStr">
        <is>
          <t>GÄVLEBORGS LÄN</t>
        </is>
      </c>
      <c r="E5044" t="inlineStr">
        <is>
          <t>SANDVIKEN</t>
        </is>
      </c>
      <c r="F5044" t="inlineStr">
        <is>
          <t>Kommuner</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11858-2026</t>
        </is>
      </c>
      <c r="B5045" s="1" t="n">
        <v>46085.47041666666</v>
      </c>
      <c r="C5045" s="1" t="n">
        <v>46086</v>
      </c>
      <c r="D5045" t="inlineStr">
        <is>
          <t>GÄVLEBORGS LÄN</t>
        </is>
      </c>
      <c r="E5045" t="inlineStr">
        <is>
          <t>SÖDERHAMN</t>
        </is>
      </c>
      <c r="G5045" t="n">
        <v>4.8</v>
      </c>
      <c r="H5045" t="n">
        <v>0</v>
      </c>
      <c r="I5045" t="n">
        <v>0</v>
      </c>
      <c r="J5045" t="n">
        <v>0</v>
      </c>
      <c r="K5045" t="n">
        <v>0</v>
      </c>
      <c r="L5045" t="n">
        <v>0</v>
      </c>
      <c r="M5045" t="n">
        <v>0</v>
      </c>
      <c r="N5045" t="n">
        <v>0</v>
      </c>
      <c r="O5045" t="n">
        <v>0</v>
      </c>
      <c r="P5045" t="n">
        <v>0</v>
      </c>
      <c r="Q5045" t="n">
        <v>0</v>
      </c>
      <c r="R5045" s="2" t="inlineStr"/>
    </row>
    <row r="5046" ht="15" customHeight="1">
      <c r="A5046" t="inlineStr">
        <is>
          <t>A 11713-2026</t>
        </is>
      </c>
      <c r="B5046" s="1" t="n">
        <v>46084.62359953704</v>
      </c>
      <c r="C5046" s="1" t="n">
        <v>46086</v>
      </c>
      <c r="D5046" t="inlineStr">
        <is>
          <t>GÄVLEBORGS LÄN</t>
        </is>
      </c>
      <c r="E5046" t="inlineStr">
        <is>
          <t>NORDANSTIG</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11546-2026</t>
        </is>
      </c>
      <c r="B5047" s="1" t="n">
        <v>46084.24528935185</v>
      </c>
      <c r="C5047" s="1" t="n">
        <v>46086</v>
      </c>
      <c r="D5047" t="inlineStr">
        <is>
          <t>GÄVLEBORGS LÄN</t>
        </is>
      </c>
      <c r="E5047" t="inlineStr">
        <is>
          <t>BOLLNÄS</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3851-2026</t>
        </is>
      </c>
      <c r="B5048" s="1" t="n">
        <v>46043</v>
      </c>
      <c r="C5048" s="1" t="n">
        <v>46086</v>
      </c>
      <c r="D5048" t="inlineStr">
        <is>
          <t>GÄVLEBORGS LÄN</t>
        </is>
      </c>
      <c r="E5048" t="inlineStr">
        <is>
          <t>OVANÅKER</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3852-2026</t>
        </is>
      </c>
      <c r="B5049" s="1" t="n">
        <v>46043.60782407408</v>
      </c>
      <c r="C5049" s="1" t="n">
        <v>46086</v>
      </c>
      <c r="D5049" t="inlineStr">
        <is>
          <t>GÄVLEBORGS LÄN</t>
        </is>
      </c>
      <c r="E5049" t="inlineStr">
        <is>
          <t>NORDANSTIG</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3888-2026</t>
        </is>
      </c>
      <c r="B5050" s="1" t="n">
        <v>46043</v>
      </c>
      <c r="C5050" s="1" t="n">
        <v>46086</v>
      </c>
      <c r="D5050" t="inlineStr">
        <is>
          <t>GÄVLEBORGS LÄN</t>
        </is>
      </c>
      <c r="E5050" t="inlineStr">
        <is>
          <t>BOLLNÄS</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3899-2026</t>
        </is>
      </c>
      <c r="B5051" s="1" t="n">
        <v>46043</v>
      </c>
      <c r="C5051" s="1" t="n">
        <v>46086</v>
      </c>
      <c r="D5051" t="inlineStr">
        <is>
          <t>GÄVLEBORGS LÄN</t>
        </is>
      </c>
      <c r="E5051" t="inlineStr">
        <is>
          <t>BOLLNÄS</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3901-2026</t>
        </is>
      </c>
      <c r="B5052" s="1" t="n">
        <v>46043</v>
      </c>
      <c r="C5052" s="1" t="n">
        <v>46086</v>
      </c>
      <c r="D5052" t="inlineStr">
        <is>
          <t>GÄVLEBORGS LÄN</t>
        </is>
      </c>
      <c r="E5052" t="inlineStr">
        <is>
          <t>BOLLNÄS</t>
        </is>
      </c>
      <c r="G5052" t="n">
        <v>8.9</v>
      </c>
      <c r="H5052" t="n">
        <v>0</v>
      </c>
      <c r="I5052" t="n">
        <v>0</v>
      </c>
      <c r="J5052" t="n">
        <v>0</v>
      </c>
      <c r="K5052" t="n">
        <v>0</v>
      </c>
      <c r="L5052" t="n">
        <v>0</v>
      </c>
      <c r="M5052" t="n">
        <v>0</v>
      </c>
      <c r="N5052" t="n">
        <v>0</v>
      </c>
      <c r="O5052" t="n">
        <v>0</v>
      </c>
      <c r="P5052" t="n">
        <v>0</v>
      </c>
      <c r="Q5052" t="n">
        <v>0</v>
      </c>
      <c r="R5052" s="2" t="inlineStr"/>
    </row>
    <row r="5053" ht="15" customHeight="1">
      <c r="A5053" t="inlineStr">
        <is>
          <t>A 6758-2026</t>
        </is>
      </c>
      <c r="B5053" s="1" t="n">
        <v>46056.79032407407</v>
      </c>
      <c r="C5053" s="1" t="n">
        <v>46086</v>
      </c>
      <c r="D5053" t="inlineStr">
        <is>
          <t>GÄVLEBORGS LÄN</t>
        </is>
      </c>
      <c r="E5053" t="inlineStr">
        <is>
          <t>BOLLNÄS</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40236-2025</t>
        </is>
      </c>
      <c r="B5054" s="1" t="n">
        <v>45894.748125</v>
      </c>
      <c r="C5054" s="1" t="n">
        <v>46086</v>
      </c>
      <c r="D5054" t="inlineStr">
        <is>
          <t>GÄVLEBORGS LÄN</t>
        </is>
      </c>
      <c r="E5054" t="inlineStr">
        <is>
          <t>SANDVIKEN</t>
        </is>
      </c>
      <c r="G5054" t="n">
        <v>12.6</v>
      </c>
      <c r="H5054" t="n">
        <v>0</v>
      </c>
      <c r="I5054" t="n">
        <v>0</v>
      </c>
      <c r="J5054" t="n">
        <v>0</v>
      </c>
      <c r="K5054" t="n">
        <v>0</v>
      </c>
      <c r="L5054" t="n">
        <v>0</v>
      </c>
      <c r="M5054" t="n">
        <v>0</v>
      </c>
      <c r="N5054" t="n">
        <v>0</v>
      </c>
      <c r="O5054" t="n">
        <v>0</v>
      </c>
      <c r="P5054" t="n">
        <v>0</v>
      </c>
      <c r="Q5054" t="n">
        <v>0</v>
      </c>
      <c r="R5054" s="2" t="inlineStr"/>
    </row>
    <row r="5055" ht="15" customHeight="1">
      <c r="A5055" t="inlineStr">
        <is>
          <t>A 8020-2026</t>
        </is>
      </c>
      <c r="B5055" s="1" t="n">
        <v>46063</v>
      </c>
      <c r="C5055" s="1" t="n">
        <v>46086</v>
      </c>
      <c r="D5055" t="inlineStr">
        <is>
          <t>GÄVLEBORGS LÄN</t>
        </is>
      </c>
      <c r="E5055" t="inlineStr">
        <is>
          <t>NORDANSTIG</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8044-2026</t>
        </is>
      </c>
      <c r="B5056" s="1" t="n">
        <v>46063</v>
      </c>
      <c r="C5056" s="1" t="n">
        <v>46086</v>
      </c>
      <c r="D5056" t="inlineStr">
        <is>
          <t>GÄVLEBORGS LÄN</t>
        </is>
      </c>
      <c r="E5056" t="inlineStr">
        <is>
          <t>BOLLNÄS</t>
        </is>
      </c>
      <c r="F5056" t="inlineStr">
        <is>
          <t>Sveaskog</t>
        </is>
      </c>
      <c r="G5056" t="n">
        <v>8.699999999999999</v>
      </c>
      <c r="H5056" t="n">
        <v>0</v>
      </c>
      <c r="I5056" t="n">
        <v>0</v>
      </c>
      <c r="J5056" t="n">
        <v>0</v>
      </c>
      <c r="K5056" t="n">
        <v>0</v>
      </c>
      <c r="L5056" t="n">
        <v>0</v>
      </c>
      <c r="M5056" t="n">
        <v>0</v>
      </c>
      <c r="N5056" t="n">
        <v>0</v>
      </c>
      <c r="O5056" t="n">
        <v>0</v>
      </c>
      <c r="P5056" t="n">
        <v>0</v>
      </c>
      <c r="Q5056" t="n">
        <v>0</v>
      </c>
      <c r="R5056" s="2" t="inlineStr"/>
    </row>
    <row r="5057" ht="15" customHeight="1">
      <c r="A5057" t="inlineStr">
        <is>
          <t>A 49455-2024</t>
        </is>
      </c>
      <c r="B5057" s="1" t="n">
        <v>45596.27561342593</v>
      </c>
      <c r="C5057" s="1" t="n">
        <v>46086</v>
      </c>
      <c r="D5057" t="inlineStr">
        <is>
          <t>GÄVLEBORGS LÄN</t>
        </is>
      </c>
      <c r="E5057" t="inlineStr">
        <is>
          <t>NORDANSTIG</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3082-2026</t>
        </is>
      </c>
      <c r="B5058" s="1" t="n">
        <v>46040</v>
      </c>
      <c r="C5058" s="1" t="n">
        <v>46086</v>
      </c>
      <c r="D5058" t="inlineStr">
        <is>
          <t>GÄVLEBORGS LÄN</t>
        </is>
      </c>
      <c r="E5058" t="inlineStr">
        <is>
          <t>SANDVIKEN</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3906-2026</t>
        </is>
      </c>
      <c r="B5059" s="1" t="n">
        <v>46043</v>
      </c>
      <c r="C5059" s="1" t="n">
        <v>46086</v>
      </c>
      <c r="D5059" t="inlineStr">
        <is>
          <t>GÄVLEBORGS LÄN</t>
        </is>
      </c>
      <c r="E5059" t="inlineStr">
        <is>
          <t>BOLLNÄS</t>
        </is>
      </c>
      <c r="F5059" t="inlineStr">
        <is>
          <t>Bergvik skog väst AB</t>
        </is>
      </c>
      <c r="G5059" t="n">
        <v>4.8</v>
      </c>
      <c r="H5059" t="n">
        <v>0</v>
      </c>
      <c r="I5059" t="n">
        <v>0</v>
      </c>
      <c r="J5059" t="n">
        <v>0</v>
      </c>
      <c r="K5059" t="n">
        <v>0</v>
      </c>
      <c r="L5059" t="n">
        <v>0</v>
      </c>
      <c r="M5059" t="n">
        <v>0</v>
      </c>
      <c r="N5059" t="n">
        <v>0</v>
      </c>
      <c r="O5059" t="n">
        <v>0</v>
      </c>
      <c r="P5059" t="n">
        <v>0</v>
      </c>
      <c r="Q5059" t="n">
        <v>0</v>
      </c>
      <c r="R5059" s="2" t="inlineStr"/>
    </row>
    <row r="5060" ht="15" customHeight="1">
      <c r="A5060" t="inlineStr">
        <is>
          <t>A 3919-2026</t>
        </is>
      </c>
      <c r="B5060" s="1" t="n">
        <v>46043</v>
      </c>
      <c r="C5060" s="1" t="n">
        <v>46086</v>
      </c>
      <c r="D5060" t="inlineStr">
        <is>
          <t>GÄVLEBORGS LÄN</t>
        </is>
      </c>
      <c r="E5060" t="inlineStr">
        <is>
          <t>BOLLNÄS</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39669-2022</t>
        </is>
      </c>
      <c r="B5061" s="1" t="n">
        <v>44818</v>
      </c>
      <c r="C5061" s="1" t="n">
        <v>46086</v>
      </c>
      <c r="D5061" t="inlineStr">
        <is>
          <t>GÄVLEBORGS LÄN</t>
        </is>
      </c>
      <c r="E5061" t="inlineStr">
        <is>
          <t>HUDIKSVALL</t>
        </is>
      </c>
      <c r="F5061" t="inlineStr">
        <is>
          <t>Holmen skog AB</t>
        </is>
      </c>
      <c r="G5061" t="n">
        <v>5.9</v>
      </c>
      <c r="H5061" t="n">
        <v>0</v>
      </c>
      <c r="I5061" t="n">
        <v>0</v>
      </c>
      <c r="J5061" t="n">
        <v>0</v>
      </c>
      <c r="K5061" t="n">
        <v>0</v>
      </c>
      <c r="L5061" t="n">
        <v>0</v>
      </c>
      <c r="M5061" t="n">
        <v>0</v>
      </c>
      <c r="N5061" t="n">
        <v>0</v>
      </c>
      <c r="O5061" t="n">
        <v>0</v>
      </c>
      <c r="P5061" t="n">
        <v>0</v>
      </c>
      <c r="Q5061" t="n">
        <v>0</v>
      </c>
      <c r="R5061" s="2" t="inlineStr"/>
    </row>
    <row r="5062" ht="15" customHeight="1">
      <c r="A5062" t="inlineStr">
        <is>
          <t>A 4044-2026</t>
        </is>
      </c>
      <c r="B5062" s="1" t="n">
        <v>46044</v>
      </c>
      <c r="C5062" s="1" t="n">
        <v>46086</v>
      </c>
      <c r="D5062" t="inlineStr">
        <is>
          <t>GÄVLEBORGS LÄN</t>
        </is>
      </c>
      <c r="E5062" t="inlineStr">
        <is>
          <t>OCKELBO</t>
        </is>
      </c>
      <c r="F5062" t="inlineStr">
        <is>
          <t>Bergvik skog väst AB</t>
        </is>
      </c>
      <c r="G5062" t="n">
        <v>7.5</v>
      </c>
      <c r="H5062" t="n">
        <v>0</v>
      </c>
      <c r="I5062" t="n">
        <v>0</v>
      </c>
      <c r="J5062" t="n">
        <v>0</v>
      </c>
      <c r="K5062" t="n">
        <v>0</v>
      </c>
      <c r="L5062" t="n">
        <v>0</v>
      </c>
      <c r="M5062" t="n">
        <v>0</v>
      </c>
      <c r="N5062" t="n">
        <v>0</v>
      </c>
      <c r="O5062" t="n">
        <v>0</v>
      </c>
      <c r="P5062" t="n">
        <v>0</v>
      </c>
      <c r="Q5062" t="n">
        <v>0</v>
      </c>
      <c r="R5062" s="2" t="inlineStr"/>
    </row>
    <row r="5063" ht="15" customHeight="1">
      <c r="A5063" t="inlineStr">
        <is>
          <t>A 48516-2025</t>
        </is>
      </c>
      <c r="B5063" s="1" t="n">
        <v>45936.39462962963</v>
      </c>
      <c r="C5063" s="1" t="n">
        <v>46086</v>
      </c>
      <c r="D5063" t="inlineStr">
        <is>
          <t>GÄVLEBORGS LÄN</t>
        </is>
      </c>
      <c r="E5063" t="inlineStr">
        <is>
          <t>SANDVIKEN</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3636-2026</t>
        </is>
      </c>
      <c r="B5064" s="1" t="n">
        <v>46043.34400462963</v>
      </c>
      <c r="C5064" s="1" t="n">
        <v>46086</v>
      </c>
      <c r="D5064" t="inlineStr">
        <is>
          <t>GÄVLEBORGS LÄN</t>
        </is>
      </c>
      <c r="E5064" t="inlineStr">
        <is>
          <t>HUDIKSVALL</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3639-2026</t>
        </is>
      </c>
      <c r="B5065" s="1" t="n">
        <v>46043</v>
      </c>
      <c r="C5065" s="1" t="n">
        <v>46086</v>
      </c>
      <c r="D5065" t="inlineStr">
        <is>
          <t>GÄVLEBORGS LÄN</t>
        </is>
      </c>
      <c r="E5065" t="inlineStr">
        <is>
          <t>BOLLNÄS</t>
        </is>
      </c>
      <c r="F5065" t="inlineStr">
        <is>
          <t>Kyrkan</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35302-2025</t>
        </is>
      </c>
      <c r="B5066" s="1" t="n">
        <v>45854.42663194444</v>
      </c>
      <c r="C5066" s="1" t="n">
        <v>46086</v>
      </c>
      <c r="D5066" t="inlineStr">
        <is>
          <t>GÄVLEBORGS LÄN</t>
        </is>
      </c>
      <c r="E5066" t="inlineStr">
        <is>
          <t>OVANÅKER</t>
        </is>
      </c>
      <c r="F5066" t="inlineStr">
        <is>
          <t>Bergvik skog väst AB</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35337-2025</t>
        </is>
      </c>
      <c r="B5067" s="1" t="n">
        <v>45854.58831018519</v>
      </c>
      <c r="C5067" s="1" t="n">
        <v>46086</v>
      </c>
      <c r="D5067" t="inlineStr">
        <is>
          <t>GÄVLEBORGS LÄN</t>
        </is>
      </c>
      <c r="E5067" t="inlineStr">
        <is>
          <t>GÄVLE</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10020-2026</t>
        </is>
      </c>
      <c r="B5068" s="1" t="n">
        <v>46073</v>
      </c>
      <c r="C5068" s="1" t="n">
        <v>46086</v>
      </c>
      <c r="D5068" t="inlineStr">
        <is>
          <t>GÄVLEBORGS LÄN</t>
        </is>
      </c>
      <c r="E5068" t="inlineStr">
        <is>
          <t>SANDVIKEN</t>
        </is>
      </c>
      <c r="F5068" t="inlineStr">
        <is>
          <t>Sveaskog</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10130-2026</t>
        </is>
      </c>
      <c r="B5069" s="1" t="n">
        <v>46076</v>
      </c>
      <c r="C5069" s="1" t="n">
        <v>46086</v>
      </c>
      <c r="D5069" t="inlineStr">
        <is>
          <t>GÄVLEBORGS LÄN</t>
        </is>
      </c>
      <c r="E5069" t="inlineStr">
        <is>
          <t>SÖDERHAMN</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2397-2025</t>
        </is>
      </c>
      <c r="B5070" s="1" t="n">
        <v>45674.34046296297</v>
      </c>
      <c r="C5070" s="1" t="n">
        <v>46086</v>
      </c>
      <c r="D5070" t="inlineStr">
        <is>
          <t>GÄVLEBORGS LÄN</t>
        </is>
      </c>
      <c r="E5070" t="inlineStr">
        <is>
          <t>GÄVLE</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8403-2026</t>
        </is>
      </c>
      <c r="B5071" s="1" t="n">
        <v>46065</v>
      </c>
      <c r="C5071" s="1" t="n">
        <v>46086</v>
      </c>
      <c r="D5071" t="inlineStr">
        <is>
          <t>GÄVLEBORGS LÄN</t>
        </is>
      </c>
      <c r="E5071" t="inlineStr">
        <is>
          <t>OVANÅKER</t>
        </is>
      </c>
      <c r="G5071" t="n">
        <v>6.3</v>
      </c>
      <c r="H5071" t="n">
        <v>0</v>
      </c>
      <c r="I5071" t="n">
        <v>0</v>
      </c>
      <c r="J5071" t="n">
        <v>0</v>
      </c>
      <c r="K5071" t="n">
        <v>0</v>
      </c>
      <c r="L5071" t="n">
        <v>0</v>
      </c>
      <c r="M5071" t="n">
        <v>0</v>
      </c>
      <c r="N5071" t="n">
        <v>0</v>
      </c>
      <c r="O5071" t="n">
        <v>0</v>
      </c>
      <c r="P5071" t="n">
        <v>0</v>
      </c>
      <c r="Q5071" t="n">
        <v>0</v>
      </c>
      <c r="R5071" s="2" t="inlineStr"/>
    </row>
    <row r="5072" ht="15" customHeight="1">
      <c r="A5072" t="inlineStr">
        <is>
          <t>A 11793-2026</t>
        </is>
      </c>
      <c r="B5072" s="1" t="n">
        <v>46085.31236111111</v>
      </c>
      <c r="C5072" s="1" t="n">
        <v>46086</v>
      </c>
      <c r="D5072" t="inlineStr">
        <is>
          <t>GÄVLEBORGS LÄN</t>
        </is>
      </c>
      <c r="E5072" t="inlineStr">
        <is>
          <t>SÖDERHAMN</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11794-2026</t>
        </is>
      </c>
      <c r="B5073" s="1" t="n">
        <v>46085.3227662037</v>
      </c>
      <c r="C5073" s="1" t="n">
        <v>46086</v>
      </c>
      <c r="D5073" t="inlineStr">
        <is>
          <t>GÄVLEBORGS LÄN</t>
        </is>
      </c>
      <c r="E5073" t="inlineStr">
        <is>
          <t>SÖDERHAMN</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48834-2024</t>
        </is>
      </c>
      <c r="B5074" s="1" t="n">
        <v>45593.71982638889</v>
      </c>
      <c r="C5074" s="1" t="n">
        <v>46086</v>
      </c>
      <c r="D5074" t="inlineStr">
        <is>
          <t>GÄVLEBORGS LÄN</t>
        </is>
      </c>
      <c r="E5074" t="inlineStr">
        <is>
          <t>GÄVLE</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49815-2024</t>
        </is>
      </c>
      <c r="B5075" s="1" t="n">
        <v>45597.39709490741</v>
      </c>
      <c r="C5075" s="1" t="n">
        <v>46086</v>
      </c>
      <c r="D5075" t="inlineStr">
        <is>
          <t>GÄVLEBORGS LÄN</t>
        </is>
      </c>
      <c r="E5075" t="inlineStr">
        <is>
          <t>HOFORS</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11795-2026</t>
        </is>
      </c>
      <c r="B5076" s="1" t="n">
        <v>46085.32547453704</v>
      </c>
      <c r="C5076" s="1" t="n">
        <v>46086</v>
      </c>
      <c r="D5076" t="inlineStr">
        <is>
          <t>GÄVLEBORGS LÄN</t>
        </is>
      </c>
      <c r="E5076" t="inlineStr">
        <is>
          <t>SÖDERHAMN</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50066-2022</t>
        </is>
      </c>
      <c r="B5077" s="1" t="n">
        <v>44865.47965277778</v>
      </c>
      <c r="C5077" s="1" t="n">
        <v>46086</v>
      </c>
      <c r="D5077" t="inlineStr">
        <is>
          <t>GÄVLEBORGS LÄN</t>
        </is>
      </c>
      <c r="E5077" t="inlineStr">
        <is>
          <t>BOLLNÄS</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11806-2026</t>
        </is>
      </c>
      <c r="B5078" s="1" t="n">
        <v>46085.36200231482</v>
      </c>
      <c r="C5078" s="1" t="n">
        <v>46086</v>
      </c>
      <c r="D5078" t="inlineStr">
        <is>
          <t>GÄVLEBORGS LÄN</t>
        </is>
      </c>
      <c r="E5078" t="inlineStr">
        <is>
          <t>SANDVIKEN</t>
        </is>
      </c>
      <c r="F5078" t="inlineStr">
        <is>
          <t>Bergvik skog öst AB</t>
        </is>
      </c>
      <c r="G5078" t="n">
        <v>4.5</v>
      </c>
      <c r="H5078" t="n">
        <v>0</v>
      </c>
      <c r="I5078" t="n">
        <v>0</v>
      </c>
      <c r="J5078" t="n">
        <v>0</v>
      </c>
      <c r="K5078" t="n">
        <v>0</v>
      </c>
      <c r="L5078" t="n">
        <v>0</v>
      </c>
      <c r="M5078" t="n">
        <v>0</v>
      </c>
      <c r="N5078" t="n">
        <v>0</v>
      </c>
      <c r="O5078" t="n">
        <v>0</v>
      </c>
      <c r="P5078" t="n">
        <v>0</v>
      </c>
      <c r="Q5078" t="n">
        <v>0</v>
      </c>
      <c r="R5078" s="2" t="inlineStr"/>
    </row>
    <row r="5079" ht="15" customHeight="1">
      <c r="A5079" t="inlineStr">
        <is>
          <t>A 11810-2026</t>
        </is>
      </c>
      <c r="B5079" s="1" t="n">
        <v>46085.36938657407</v>
      </c>
      <c r="C5079" s="1" t="n">
        <v>46086</v>
      </c>
      <c r="D5079" t="inlineStr">
        <is>
          <t>GÄVLEBORGS LÄN</t>
        </is>
      </c>
      <c r="E5079" t="inlineStr">
        <is>
          <t>OCKELBO</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45737-2025</t>
        </is>
      </c>
      <c r="B5080" s="1" t="n">
        <v>45923.46788194445</v>
      </c>
      <c r="C5080" s="1" t="n">
        <v>46086</v>
      </c>
      <c r="D5080" t="inlineStr">
        <is>
          <t>GÄVLEBORGS LÄN</t>
        </is>
      </c>
      <c r="E5080" t="inlineStr">
        <is>
          <t>BOLLNÄS</t>
        </is>
      </c>
      <c r="F5080" t="inlineStr">
        <is>
          <t>Kyrkan</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11920-2026</t>
        </is>
      </c>
      <c r="B5081" s="1" t="n">
        <v>46085.57052083333</v>
      </c>
      <c r="C5081" s="1" t="n">
        <v>46086</v>
      </c>
      <c r="D5081" t="inlineStr">
        <is>
          <t>GÄVLEBORGS LÄN</t>
        </is>
      </c>
      <c r="E5081" t="inlineStr">
        <is>
          <t>OVANÅKER</t>
        </is>
      </c>
      <c r="F5081" t="inlineStr">
        <is>
          <t>Bergvik skog öst AB</t>
        </is>
      </c>
      <c r="G5081" t="n">
        <v>19.1</v>
      </c>
      <c r="H5081" t="n">
        <v>0</v>
      </c>
      <c r="I5081" t="n">
        <v>0</v>
      </c>
      <c r="J5081" t="n">
        <v>0</v>
      </c>
      <c r="K5081" t="n">
        <v>0</v>
      </c>
      <c r="L5081" t="n">
        <v>0</v>
      </c>
      <c r="M5081" t="n">
        <v>0</v>
      </c>
      <c r="N5081" t="n">
        <v>0</v>
      </c>
      <c r="O5081" t="n">
        <v>0</v>
      </c>
      <c r="P5081" t="n">
        <v>0</v>
      </c>
      <c r="Q5081" t="n">
        <v>0</v>
      </c>
      <c r="R5081" s="2" t="inlineStr"/>
    </row>
    <row r="5082" ht="15" customHeight="1">
      <c r="A5082" t="inlineStr">
        <is>
          <t>A 5968-2025</t>
        </is>
      </c>
      <c r="B5082" s="1" t="n">
        <v>45695.49866898148</v>
      </c>
      <c r="C5082" s="1" t="n">
        <v>46086</v>
      </c>
      <c r="D5082" t="inlineStr">
        <is>
          <t>GÄVLEBORGS LÄN</t>
        </is>
      </c>
      <c r="E5082" t="inlineStr">
        <is>
          <t>NORDANSTIG</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182-2024</t>
        </is>
      </c>
      <c r="B5083" s="1" t="n">
        <v>45294.59164351852</v>
      </c>
      <c r="C5083" s="1" t="n">
        <v>46086</v>
      </c>
      <c r="D5083" t="inlineStr">
        <is>
          <t>GÄVLEBORGS LÄN</t>
        </is>
      </c>
      <c r="E5083" t="inlineStr">
        <is>
          <t>HUDIKSVALL</t>
        </is>
      </c>
      <c r="F5083" t="inlineStr">
        <is>
          <t>Holmen skog AB</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11936-2026</t>
        </is>
      </c>
      <c r="B5084" s="1" t="n">
        <v>46085.58751157407</v>
      </c>
      <c r="C5084" s="1" t="n">
        <v>46086</v>
      </c>
      <c r="D5084" t="inlineStr">
        <is>
          <t>GÄVLEBORGS LÄN</t>
        </is>
      </c>
      <c r="E5084" t="inlineStr">
        <is>
          <t>BOLLNÄS</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1144-2026</t>
        </is>
      </c>
      <c r="B5085" s="1" t="n">
        <v>46030</v>
      </c>
      <c r="C5085" s="1" t="n">
        <v>46086</v>
      </c>
      <c r="D5085" t="inlineStr">
        <is>
          <t>GÄVLEBORGS LÄN</t>
        </is>
      </c>
      <c r="E5085" t="inlineStr">
        <is>
          <t>SANDVIKEN</t>
        </is>
      </c>
      <c r="G5085" t="n">
        <v>5.8</v>
      </c>
      <c r="H5085" t="n">
        <v>0</v>
      </c>
      <c r="I5085" t="n">
        <v>0</v>
      </c>
      <c r="J5085" t="n">
        <v>0</v>
      </c>
      <c r="K5085" t="n">
        <v>0</v>
      </c>
      <c r="L5085" t="n">
        <v>0</v>
      </c>
      <c r="M5085" t="n">
        <v>0</v>
      </c>
      <c r="N5085" t="n">
        <v>0</v>
      </c>
      <c r="O5085" t="n">
        <v>0</v>
      </c>
      <c r="P5085" t="n">
        <v>0</v>
      </c>
      <c r="Q5085" t="n">
        <v>0</v>
      </c>
      <c r="R5085" s="2" t="inlineStr"/>
    </row>
    <row r="5086" ht="15" customHeight="1">
      <c r="A5086" t="inlineStr">
        <is>
          <t>A 9866-2026</t>
        </is>
      </c>
      <c r="B5086" s="1" t="n">
        <v>46073</v>
      </c>
      <c r="C5086" s="1" t="n">
        <v>46086</v>
      </c>
      <c r="D5086" t="inlineStr">
        <is>
          <t>GÄVLEBORGS LÄN</t>
        </is>
      </c>
      <c r="E5086" t="inlineStr">
        <is>
          <t>HUDIKSVALL</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3484-2026</t>
        </is>
      </c>
      <c r="B5087" s="1" t="n">
        <v>46042</v>
      </c>
      <c r="C5087" s="1" t="n">
        <v>46086</v>
      </c>
      <c r="D5087" t="inlineStr">
        <is>
          <t>GÄVLEBORGS LÄN</t>
        </is>
      </c>
      <c r="E5087" t="inlineStr">
        <is>
          <t>OCKELBO</t>
        </is>
      </c>
      <c r="F5087" t="inlineStr">
        <is>
          <t>Bergvik skog väst AB</t>
        </is>
      </c>
      <c r="G5087" t="n">
        <v>5.5</v>
      </c>
      <c r="H5087" t="n">
        <v>0</v>
      </c>
      <c r="I5087" t="n">
        <v>0</v>
      </c>
      <c r="J5087" t="n">
        <v>0</v>
      </c>
      <c r="K5087" t="n">
        <v>0</v>
      </c>
      <c r="L5087" t="n">
        <v>0</v>
      </c>
      <c r="M5087" t="n">
        <v>0</v>
      </c>
      <c r="N5087" t="n">
        <v>0</v>
      </c>
      <c r="O5087" t="n">
        <v>0</v>
      </c>
      <c r="P5087" t="n">
        <v>0</v>
      </c>
      <c r="Q5087" t="n">
        <v>0</v>
      </c>
      <c r="R5087" s="2" t="inlineStr"/>
    </row>
    <row r="5088" ht="15" customHeight="1">
      <c r="A5088" t="inlineStr">
        <is>
          <t>A 3489-2026</t>
        </is>
      </c>
      <c r="B5088" s="1" t="n">
        <v>46042</v>
      </c>
      <c r="C5088" s="1" t="n">
        <v>46086</v>
      </c>
      <c r="D5088" t="inlineStr">
        <is>
          <t>GÄVLEBORGS LÄN</t>
        </is>
      </c>
      <c r="E5088" t="inlineStr">
        <is>
          <t>BOLLNÄS</t>
        </is>
      </c>
      <c r="F5088" t="inlineStr">
        <is>
          <t>Bergvik skog väst AB</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3492-2026</t>
        </is>
      </c>
      <c r="B5089" s="1" t="n">
        <v>46042</v>
      </c>
      <c r="C5089" s="1" t="n">
        <v>46086</v>
      </c>
      <c r="D5089" t="inlineStr">
        <is>
          <t>GÄVLEBORGS LÄN</t>
        </is>
      </c>
      <c r="E5089" t="inlineStr">
        <is>
          <t>NORDANSTIG</t>
        </is>
      </c>
      <c r="F5089" t="inlineStr">
        <is>
          <t>Holmen skog AB</t>
        </is>
      </c>
      <c r="G5089" t="n">
        <v>4.5</v>
      </c>
      <c r="H5089" t="n">
        <v>0</v>
      </c>
      <c r="I5089" t="n">
        <v>0</v>
      </c>
      <c r="J5089" t="n">
        <v>0</v>
      </c>
      <c r="K5089" t="n">
        <v>0</v>
      </c>
      <c r="L5089" t="n">
        <v>0</v>
      </c>
      <c r="M5089" t="n">
        <v>0</v>
      </c>
      <c r="N5089" t="n">
        <v>0</v>
      </c>
      <c r="O5089" t="n">
        <v>0</v>
      </c>
      <c r="P5089" t="n">
        <v>0</v>
      </c>
      <c r="Q5089" t="n">
        <v>0</v>
      </c>
      <c r="R5089" s="2" t="inlineStr"/>
    </row>
    <row r="5090" ht="15" customHeight="1">
      <c r="A5090" t="inlineStr">
        <is>
          <t>A 11707-2026</t>
        </is>
      </c>
      <c r="B5090" s="1" t="n">
        <v>46084.61798611111</v>
      </c>
      <c r="C5090" s="1" t="n">
        <v>46086</v>
      </c>
      <c r="D5090" t="inlineStr">
        <is>
          <t>GÄVLEBORGS LÄN</t>
        </is>
      </c>
      <c r="E5090" t="inlineStr">
        <is>
          <t>SANDVIKEN</t>
        </is>
      </c>
      <c r="F5090" t="inlineStr">
        <is>
          <t>Bergvik skog öst AB</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11718-2026</t>
        </is>
      </c>
      <c r="B5091" s="1" t="n">
        <v>46084.62829861111</v>
      </c>
      <c r="C5091" s="1" t="n">
        <v>46086</v>
      </c>
      <c r="D5091" t="inlineStr">
        <is>
          <t>GÄVLEBORGS LÄN</t>
        </is>
      </c>
      <c r="E5091" t="inlineStr">
        <is>
          <t>OVANÅKER</t>
        </is>
      </c>
      <c r="G5091" t="n">
        <v>27.3</v>
      </c>
      <c r="H5091" t="n">
        <v>0</v>
      </c>
      <c r="I5091" t="n">
        <v>0</v>
      </c>
      <c r="J5091" t="n">
        <v>0</v>
      </c>
      <c r="K5091" t="n">
        <v>0</v>
      </c>
      <c r="L5091" t="n">
        <v>0</v>
      </c>
      <c r="M5091" t="n">
        <v>0</v>
      </c>
      <c r="N5091" t="n">
        <v>0</v>
      </c>
      <c r="O5091" t="n">
        <v>0</v>
      </c>
      <c r="P5091" t="n">
        <v>0</v>
      </c>
      <c r="Q5091" t="n">
        <v>0</v>
      </c>
      <c r="R5091" s="2" t="inlineStr"/>
    </row>
    <row r="5092" ht="15" customHeight="1">
      <c r="A5092" t="inlineStr">
        <is>
          <t>A 11735-2026</t>
        </is>
      </c>
      <c r="B5092" s="1" t="n">
        <v>46084.64927083333</v>
      </c>
      <c r="C5092" s="1" t="n">
        <v>46086</v>
      </c>
      <c r="D5092" t="inlineStr">
        <is>
          <t>GÄVLEBORGS LÄN</t>
        </is>
      </c>
      <c r="E5092" t="inlineStr">
        <is>
          <t>HUDIKSVALL</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11913-2026</t>
        </is>
      </c>
      <c r="B5093" s="1" t="n">
        <v>46085.55284722222</v>
      </c>
      <c r="C5093" s="1" t="n">
        <v>46086</v>
      </c>
      <c r="D5093" t="inlineStr">
        <is>
          <t>GÄVLEBORGS LÄN</t>
        </is>
      </c>
      <c r="E5093" t="inlineStr">
        <is>
          <t>SANDVIKEN</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3548-2026</t>
        </is>
      </c>
      <c r="B5094" s="1" t="n">
        <v>46042.64344907407</v>
      </c>
      <c r="C5094" s="1" t="n">
        <v>46086</v>
      </c>
      <c r="D5094" t="inlineStr">
        <is>
          <t>GÄVLEBORGS LÄN</t>
        </is>
      </c>
      <c r="E5094" t="inlineStr">
        <is>
          <t>NORDANSTIG</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11912-2026</t>
        </is>
      </c>
      <c r="B5095" s="1" t="n">
        <v>46085.55259259259</v>
      </c>
      <c r="C5095" s="1" t="n">
        <v>46086</v>
      </c>
      <c r="D5095" t="inlineStr">
        <is>
          <t>GÄVLEBORGS LÄN</t>
        </is>
      </c>
      <c r="E5095" t="inlineStr">
        <is>
          <t>SÖDERHAMN</t>
        </is>
      </c>
      <c r="G5095" t="n">
        <v>10.3</v>
      </c>
      <c r="H5095" t="n">
        <v>0</v>
      </c>
      <c r="I5095" t="n">
        <v>0</v>
      </c>
      <c r="J5095" t="n">
        <v>0</v>
      </c>
      <c r="K5095" t="n">
        <v>0</v>
      </c>
      <c r="L5095" t="n">
        <v>0</v>
      </c>
      <c r="M5095" t="n">
        <v>0</v>
      </c>
      <c r="N5095" t="n">
        <v>0</v>
      </c>
      <c r="O5095" t="n">
        <v>0</v>
      </c>
      <c r="P5095" t="n">
        <v>0</v>
      </c>
      <c r="Q5095" t="n">
        <v>0</v>
      </c>
      <c r="R5095" s="2" t="inlineStr"/>
    </row>
    <row r="5096" ht="15" customHeight="1">
      <c r="A5096" t="inlineStr">
        <is>
          <t>A 3505-2026</t>
        </is>
      </c>
      <c r="B5096" s="1" t="n">
        <v>46042</v>
      </c>
      <c r="C5096" s="1" t="n">
        <v>46086</v>
      </c>
      <c r="D5096" t="inlineStr">
        <is>
          <t>GÄVLEBORGS LÄN</t>
        </is>
      </c>
      <c r="E5096" t="inlineStr">
        <is>
          <t>BOLLNÄS</t>
        </is>
      </c>
      <c r="F5096" t="inlineStr">
        <is>
          <t>Bergvik skog väst AB</t>
        </is>
      </c>
      <c r="G5096" t="n">
        <v>7.9</v>
      </c>
      <c r="H5096" t="n">
        <v>0</v>
      </c>
      <c r="I5096" t="n">
        <v>0</v>
      </c>
      <c r="J5096" t="n">
        <v>0</v>
      </c>
      <c r="K5096" t="n">
        <v>0</v>
      </c>
      <c r="L5096" t="n">
        <v>0</v>
      </c>
      <c r="M5096" t="n">
        <v>0</v>
      </c>
      <c r="N5096" t="n">
        <v>0</v>
      </c>
      <c r="O5096" t="n">
        <v>0</v>
      </c>
      <c r="P5096" t="n">
        <v>0</v>
      </c>
      <c r="Q5096" t="n">
        <v>0</v>
      </c>
      <c r="R5096" s="2" t="inlineStr"/>
    </row>
    <row r="5097" ht="15" customHeight="1">
      <c r="A5097" t="inlineStr">
        <is>
          <t>A 12005-2026</t>
        </is>
      </c>
      <c r="B5097" s="1" t="n">
        <v>46085.67776620371</v>
      </c>
      <c r="C5097" s="1" t="n">
        <v>46086</v>
      </c>
      <c r="D5097" t="inlineStr">
        <is>
          <t>GÄVLEBORGS LÄN</t>
        </is>
      </c>
      <c r="E5097" t="inlineStr">
        <is>
          <t>BOLLNÄS</t>
        </is>
      </c>
      <c r="G5097" t="n">
        <v>5.6</v>
      </c>
      <c r="H5097" t="n">
        <v>0</v>
      </c>
      <c r="I5097" t="n">
        <v>0</v>
      </c>
      <c r="J5097" t="n">
        <v>0</v>
      </c>
      <c r="K5097" t="n">
        <v>0</v>
      </c>
      <c r="L5097" t="n">
        <v>0</v>
      </c>
      <c r="M5097" t="n">
        <v>0</v>
      </c>
      <c r="N5097" t="n">
        <v>0</v>
      </c>
      <c r="O5097" t="n">
        <v>0</v>
      </c>
      <c r="P5097" t="n">
        <v>0</v>
      </c>
      <c r="Q5097" t="n">
        <v>0</v>
      </c>
      <c r="R5097" s="2" t="inlineStr"/>
    </row>
    <row r="5098" ht="15" customHeight="1">
      <c r="A5098" t="inlineStr">
        <is>
          <t>A 12016-2026</t>
        </is>
      </c>
      <c r="B5098" s="1" t="n">
        <v>46085.76004629629</v>
      </c>
      <c r="C5098" s="1" t="n">
        <v>46086</v>
      </c>
      <c r="D5098" t="inlineStr">
        <is>
          <t>GÄVLEBORGS LÄN</t>
        </is>
      </c>
      <c r="E5098" t="inlineStr">
        <is>
          <t>OVANÅKER</t>
        </is>
      </c>
      <c r="G5098" t="n">
        <v>9.199999999999999</v>
      </c>
      <c r="H5098" t="n">
        <v>0</v>
      </c>
      <c r="I5098" t="n">
        <v>0</v>
      </c>
      <c r="J5098" t="n">
        <v>0</v>
      </c>
      <c r="K5098" t="n">
        <v>0</v>
      </c>
      <c r="L5098" t="n">
        <v>0</v>
      </c>
      <c r="M5098" t="n">
        <v>0</v>
      </c>
      <c r="N5098" t="n">
        <v>0</v>
      </c>
      <c r="O5098" t="n">
        <v>0</v>
      </c>
      <c r="P5098" t="n">
        <v>0</v>
      </c>
      <c r="Q5098" t="n">
        <v>0</v>
      </c>
      <c r="R5098" s="2" t="inlineStr"/>
    </row>
    <row r="5099" ht="15" customHeight="1">
      <c r="A5099" t="inlineStr">
        <is>
          <t>A 47415-2023</t>
        </is>
      </c>
      <c r="B5099" s="1" t="n">
        <v>45202.65471064814</v>
      </c>
      <c r="C5099" s="1" t="n">
        <v>46086</v>
      </c>
      <c r="D5099" t="inlineStr">
        <is>
          <t>GÄVLEBORGS LÄN</t>
        </is>
      </c>
      <c r="E5099" t="inlineStr">
        <is>
          <t>HUDIKSVALL</t>
        </is>
      </c>
      <c r="F5099" t="inlineStr">
        <is>
          <t>Holmen skog AB</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11918-2026</t>
        </is>
      </c>
      <c r="B5100" s="1" t="n">
        <v>46085.565</v>
      </c>
      <c r="C5100" s="1" t="n">
        <v>46086</v>
      </c>
      <c r="D5100" t="inlineStr">
        <is>
          <t>GÄVLEBORGS LÄN</t>
        </is>
      </c>
      <c r="E5100" t="inlineStr">
        <is>
          <t>OVANÅKER</t>
        </is>
      </c>
      <c r="F5100" t="inlineStr">
        <is>
          <t>Bergvik skog väst AB</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11940-2026</t>
        </is>
      </c>
      <c r="B5101" s="1" t="n">
        <v>46085.59216435185</v>
      </c>
      <c r="C5101" s="1" t="n">
        <v>46086</v>
      </c>
      <c r="D5101" t="inlineStr">
        <is>
          <t>GÄVLEBORGS LÄN</t>
        </is>
      </c>
      <c r="E5101" t="inlineStr">
        <is>
          <t>SANDVIKEN</t>
        </is>
      </c>
      <c r="F5101" t="inlineStr">
        <is>
          <t>Naturvårdsverket</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11947-2026</t>
        </is>
      </c>
      <c r="B5102" s="1" t="n">
        <v>46085.60072916667</v>
      </c>
      <c r="C5102" s="1" t="n">
        <v>46086</v>
      </c>
      <c r="D5102" t="inlineStr">
        <is>
          <t>GÄVLEBORGS LÄN</t>
        </is>
      </c>
      <c r="E5102" t="inlineStr">
        <is>
          <t>BOLLNÄS</t>
        </is>
      </c>
      <c r="G5102" t="n">
        <v>5.8</v>
      </c>
      <c r="H5102" t="n">
        <v>0</v>
      </c>
      <c r="I5102" t="n">
        <v>0</v>
      </c>
      <c r="J5102" t="n">
        <v>0</v>
      </c>
      <c r="K5102" t="n">
        <v>0</v>
      </c>
      <c r="L5102" t="n">
        <v>0</v>
      </c>
      <c r="M5102" t="n">
        <v>0</v>
      </c>
      <c r="N5102" t="n">
        <v>0</v>
      </c>
      <c r="O5102" t="n">
        <v>0</v>
      </c>
      <c r="P5102" t="n">
        <v>0</v>
      </c>
      <c r="Q5102" t="n">
        <v>0</v>
      </c>
      <c r="R5102" s="2" t="inlineStr"/>
    </row>
    <row r="5103" ht="15" customHeight="1">
      <c r="A5103" t="inlineStr">
        <is>
          <t>A 11961-2026</t>
        </is>
      </c>
      <c r="B5103" s="1" t="n">
        <v>46085.61282407407</v>
      </c>
      <c r="C5103" s="1" t="n">
        <v>46086</v>
      </c>
      <c r="D5103" t="inlineStr">
        <is>
          <t>GÄVLEBORGS LÄN</t>
        </is>
      </c>
      <c r="E5103" t="inlineStr">
        <is>
          <t>SANDVIKEN</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11967-2026</t>
        </is>
      </c>
      <c r="B5104" s="1" t="n">
        <v>46085.61600694444</v>
      </c>
      <c r="C5104" s="1" t="n">
        <v>46086</v>
      </c>
      <c r="D5104" t="inlineStr">
        <is>
          <t>GÄVLEBORGS LÄN</t>
        </is>
      </c>
      <c r="E5104" t="inlineStr">
        <is>
          <t>OCKELBO</t>
        </is>
      </c>
      <c r="F5104" t="inlineStr">
        <is>
          <t>Bergvik skog väst AB</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34562-2021</t>
        </is>
      </c>
      <c r="B5105" s="1" t="n">
        <v>44382</v>
      </c>
      <c r="C5105" s="1" t="n">
        <v>46086</v>
      </c>
      <c r="D5105" t="inlineStr">
        <is>
          <t>GÄVLEBORGS LÄN</t>
        </is>
      </c>
      <c r="E5105" t="inlineStr">
        <is>
          <t>BOLLNÄS</t>
        </is>
      </c>
      <c r="F5105" t="inlineStr">
        <is>
          <t>Bergvik skog väst AB</t>
        </is>
      </c>
      <c r="G5105" t="n">
        <v>8.800000000000001</v>
      </c>
      <c r="H5105" t="n">
        <v>0</v>
      </c>
      <c r="I5105" t="n">
        <v>0</v>
      </c>
      <c r="J5105" t="n">
        <v>0</v>
      </c>
      <c r="K5105" t="n">
        <v>0</v>
      </c>
      <c r="L5105" t="n">
        <v>0</v>
      </c>
      <c r="M5105" t="n">
        <v>0</v>
      </c>
      <c r="N5105" t="n">
        <v>0</v>
      </c>
      <c r="O5105" t="n">
        <v>0</v>
      </c>
      <c r="P5105" t="n">
        <v>0</v>
      </c>
      <c r="Q5105" t="n">
        <v>0</v>
      </c>
      <c r="R5105" s="2" t="inlineStr"/>
    </row>
    <row r="5106" ht="15" customHeight="1">
      <c r="A5106" t="inlineStr">
        <is>
          <t>A 9283-2026</t>
        </is>
      </c>
      <c r="B5106" s="1" t="n">
        <v>46070</v>
      </c>
      <c r="C5106" s="1" t="n">
        <v>46086</v>
      </c>
      <c r="D5106" t="inlineStr">
        <is>
          <t>GÄVLEBORGS LÄN</t>
        </is>
      </c>
      <c r="E5106" t="inlineStr">
        <is>
          <t>BOLLNÄS</t>
        </is>
      </c>
      <c r="G5106" t="n">
        <v>9.9</v>
      </c>
      <c r="H5106" t="n">
        <v>0</v>
      </c>
      <c r="I5106" t="n">
        <v>0</v>
      </c>
      <c r="J5106" t="n">
        <v>0</v>
      </c>
      <c r="K5106" t="n">
        <v>0</v>
      </c>
      <c r="L5106" t="n">
        <v>0</v>
      </c>
      <c r="M5106" t="n">
        <v>0</v>
      </c>
      <c r="N5106" t="n">
        <v>0</v>
      </c>
      <c r="O5106" t="n">
        <v>0</v>
      </c>
      <c r="P5106" t="n">
        <v>0</v>
      </c>
      <c r="Q5106" t="n">
        <v>0</v>
      </c>
      <c r="R5106" s="2" t="inlineStr"/>
    </row>
    <row r="5107" ht="15" customHeight="1">
      <c r="A5107" t="inlineStr">
        <is>
          <t>A 3403-2026</t>
        </is>
      </c>
      <c r="B5107" s="1" t="n">
        <v>46042.39686342593</v>
      </c>
      <c r="C5107" s="1" t="n">
        <v>46086</v>
      </c>
      <c r="D5107" t="inlineStr">
        <is>
          <t>GÄVLEBORGS LÄN</t>
        </is>
      </c>
      <c r="E5107" t="inlineStr">
        <is>
          <t>NORDANSTIG</t>
        </is>
      </c>
      <c r="G5107" t="n">
        <v>4.9</v>
      </c>
      <c r="H5107" t="n">
        <v>0</v>
      </c>
      <c r="I5107" t="n">
        <v>0</v>
      </c>
      <c r="J5107" t="n">
        <v>0</v>
      </c>
      <c r="K5107" t="n">
        <v>0</v>
      </c>
      <c r="L5107" t="n">
        <v>0</v>
      </c>
      <c r="M5107" t="n">
        <v>0</v>
      </c>
      <c r="N5107" t="n">
        <v>0</v>
      </c>
      <c r="O5107" t="n">
        <v>0</v>
      </c>
      <c r="P5107" t="n">
        <v>0</v>
      </c>
      <c r="Q5107" t="n">
        <v>0</v>
      </c>
      <c r="R5107" s="2" t="inlineStr"/>
    </row>
    <row r="5108" ht="15" customHeight="1">
      <c r="A5108" t="inlineStr">
        <is>
          <t>A 3420-2026</t>
        </is>
      </c>
      <c r="B5108" s="1" t="n">
        <v>46042.42766203704</v>
      </c>
      <c r="C5108" s="1" t="n">
        <v>46086</v>
      </c>
      <c r="D5108" t="inlineStr">
        <is>
          <t>GÄVLEBORGS LÄN</t>
        </is>
      </c>
      <c r="E5108" t="inlineStr">
        <is>
          <t>BOLLNÄS</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35615-2025</t>
        </is>
      </c>
      <c r="B5109" s="1" t="n">
        <v>45859.38130787037</v>
      </c>
      <c r="C5109" s="1" t="n">
        <v>46086</v>
      </c>
      <c r="D5109" t="inlineStr">
        <is>
          <t>GÄVLEBORGS LÄN</t>
        </is>
      </c>
      <c r="E5109" t="inlineStr">
        <is>
          <t>LJUSDAL</t>
        </is>
      </c>
      <c r="F5109" t="inlineStr">
        <is>
          <t>Bergvik skog väst AB</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3451-2026</t>
        </is>
      </c>
      <c r="B5110" s="1" t="n">
        <v>46042</v>
      </c>
      <c r="C5110" s="1" t="n">
        <v>46086</v>
      </c>
      <c r="D5110" t="inlineStr">
        <is>
          <t>GÄVLEBORGS LÄN</t>
        </is>
      </c>
      <c r="E5110" t="inlineStr">
        <is>
          <t>BOLLNÄS</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3468-2026</t>
        </is>
      </c>
      <c r="B5111" s="1" t="n">
        <v>46042</v>
      </c>
      <c r="C5111" s="1" t="n">
        <v>46086</v>
      </c>
      <c r="D5111" t="inlineStr">
        <is>
          <t>GÄVLEBORGS LÄN</t>
        </is>
      </c>
      <c r="E5111" t="inlineStr">
        <is>
          <t>BOLLNÄS</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3478-2026</t>
        </is>
      </c>
      <c r="B5112" s="1" t="n">
        <v>46042.55055555556</v>
      </c>
      <c r="C5112" s="1" t="n">
        <v>46086</v>
      </c>
      <c r="D5112" t="inlineStr">
        <is>
          <t>GÄVLEBORGS LÄN</t>
        </is>
      </c>
      <c r="E5112" t="inlineStr">
        <is>
          <t>OCKELBO</t>
        </is>
      </c>
      <c r="F5112" t="inlineStr">
        <is>
          <t>Bergvik skog väst AB</t>
        </is>
      </c>
      <c r="G5112" t="n">
        <v>15.5</v>
      </c>
      <c r="H5112" t="n">
        <v>0</v>
      </c>
      <c r="I5112" t="n">
        <v>0</v>
      </c>
      <c r="J5112" t="n">
        <v>0</v>
      </c>
      <c r="K5112" t="n">
        <v>0</v>
      </c>
      <c r="L5112" t="n">
        <v>0</v>
      </c>
      <c r="M5112" t="n">
        <v>0</v>
      </c>
      <c r="N5112" t="n">
        <v>0</v>
      </c>
      <c r="O5112" t="n">
        <v>0</v>
      </c>
      <c r="P5112" t="n">
        <v>0</v>
      </c>
      <c r="Q5112" t="n">
        <v>0</v>
      </c>
      <c r="R5112" s="2" t="inlineStr"/>
    </row>
    <row r="5113" ht="15" customHeight="1">
      <c r="A5113" t="inlineStr">
        <is>
          <t>A 3481-2026</t>
        </is>
      </c>
      <c r="B5113" s="1" t="n">
        <v>46042</v>
      </c>
      <c r="C5113" s="1" t="n">
        <v>46086</v>
      </c>
      <c r="D5113" t="inlineStr">
        <is>
          <t>GÄVLEBORGS LÄN</t>
        </is>
      </c>
      <c r="E5113" t="inlineStr">
        <is>
          <t>OVANÅKER</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9303-2026</t>
        </is>
      </c>
      <c r="B5114" s="1" t="n">
        <v>46070</v>
      </c>
      <c r="C5114" s="1" t="n">
        <v>46086</v>
      </c>
      <c r="D5114" t="inlineStr">
        <is>
          <t>GÄVLEBORGS LÄN</t>
        </is>
      </c>
      <c r="E5114" t="inlineStr">
        <is>
          <t>BOLLNÄS</t>
        </is>
      </c>
      <c r="F5114" t="inlineStr">
        <is>
          <t>Bergvik skog väst AB</t>
        </is>
      </c>
      <c r="G5114" t="n">
        <v>6.5</v>
      </c>
      <c r="H5114" t="n">
        <v>0</v>
      </c>
      <c r="I5114" t="n">
        <v>0</v>
      </c>
      <c r="J5114" t="n">
        <v>0</v>
      </c>
      <c r="K5114" t="n">
        <v>0</v>
      </c>
      <c r="L5114" t="n">
        <v>0</v>
      </c>
      <c r="M5114" t="n">
        <v>0</v>
      </c>
      <c r="N5114" t="n">
        <v>0</v>
      </c>
      <c r="O5114" t="n">
        <v>0</v>
      </c>
      <c r="P5114" t="n">
        <v>0</v>
      </c>
      <c r="Q5114" t="n">
        <v>0</v>
      </c>
      <c r="R5114" s="2" t="inlineStr"/>
    </row>
    <row r="5115" ht="15" customHeight="1">
      <c r="A5115" t="inlineStr">
        <is>
          <t>A 9347-2026</t>
        </is>
      </c>
      <c r="B5115" s="1" t="n">
        <v>46070</v>
      </c>
      <c r="C5115" s="1" t="n">
        <v>46086</v>
      </c>
      <c r="D5115" t="inlineStr">
        <is>
          <t>GÄVLEBORGS LÄN</t>
        </is>
      </c>
      <c r="E5115" t="inlineStr">
        <is>
          <t>SANDVIKEN</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3694-2026</t>
        </is>
      </c>
      <c r="B5116" s="1" t="n">
        <v>46043</v>
      </c>
      <c r="C5116" s="1" t="n">
        <v>46086</v>
      </c>
      <c r="D5116" t="inlineStr">
        <is>
          <t>GÄVLEBORGS LÄN</t>
        </is>
      </c>
      <c r="E5116" t="inlineStr">
        <is>
          <t>SANDVIKEN</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3697-2026</t>
        </is>
      </c>
      <c r="B5117" s="1" t="n">
        <v>46043.46627314815</v>
      </c>
      <c r="C5117" s="1" t="n">
        <v>46086</v>
      </c>
      <c r="D5117" t="inlineStr">
        <is>
          <t>GÄVLEBORGS LÄN</t>
        </is>
      </c>
      <c r="E5117" t="inlineStr">
        <is>
          <t>OCKELBO</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3740-2026</t>
        </is>
      </c>
      <c r="B5118" s="1" t="n">
        <v>46043.53222222222</v>
      </c>
      <c r="C5118" s="1" t="n">
        <v>46086</v>
      </c>
      <c r="D5118" t="inlineStr">
        <is>
          <t>GÄVLEBORGS LÄN</t>
        </is>
      </c>
      <c r="E5118" t="inlineStr">
        <is>
          <t>NORDANSTIG</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9764-2026</t>
        </is>
      </c>
      <c r="B5119" s="1" t="n">
        <v>46072</v>
      </c>
      <c r="C5119" s="1" t="n">
        <v>46086</v>
      </c>
      <c r="D5119" t="inlineStr">
        <is>
          <t>GÄVLEBORGS LÄN</t>
        </is>
      </c>
      <c r="E5119" t="inlineStr">
        <is>
          <t>HUDIKSVALL</t>
        </is>
      </c>
      <c r="F5119" t="inlineStr">
        <is>
          <t>Sveaskog</t>
        </is>
      </c>
      <c r="G5119" t="n">
        <v>14.3</v>
      </c>
      <c r="H5119" t="n">
        <v>0</v>
      </c>
      <c r="I5119" t="n">
        <v>0</v>
      </c>
      <c r="J5119" t="n">
        <v>0</v>
      </c>
      <c r="K5119" t="n">
        <v>0</v>
      </c>
      <c r="L5119" t="n">
        <v>0</v>
      </c>
      <c r="M5119" t="n">
        <v>0</v>
      </c>
      <c r="N5119" t="n">
        <v>0</v>
      </c>
      <c r="O5119" t="n">
        <v>0</v>
      </c>
      <c r="P5119" t="n">
        <v>0</v>
      </c>
      <c r="Q5119" t="n">
        <v>0</v>
      </c>
      <c r="R5119" s="2" t="inlineStr"/>
    </row>
    <row r="5120" ht="15" customHeight="1">
      <c r="A5120" t="inlineStr">
        <is>
          <t>A 11664-2026</t>
        </is>
      </c>
      <c r="B5120" s="1" t="n">
        <v>46084.55239583334</v>
      </c>
      <c r="C5120" s="1" t="n">
        <v>46086</v>
      </c>
      <c r="D5120" t="inlineStr">
        <is>
          <t>GÄVLEBORGS LÄN</t>
        </is>
      </c>
      <c r="E5120" t="inlineStr">
        <is>
          <t>OVANÅKER</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3441-2026</t>
        </is>
      </c>
      <c r="B5121" s="1" t="n">
        <v>46042</v>
      </c>
      <c r="C5121" s="1" t="n">
        <v>46086</v>
      </c>
      <c r="D5121" t="inlineStr">
        <is>
          <t>GÄVLEBORGS LÄN</t>
        </is>
      </c>
      <c r="E5121" t="inlineStr">
        <is>
          <t>OCKELBO</t>
        </is>
      </c>
      <c r="F5121" t="inlineStr">
        <is>
          <t>Bergvik skog väst AB</t>
        </is>
      </c>
      <c r="G5121" t="n">
        <v>7.5</v>
      </c>
      <c r="H5121" t="n">
        <v>0</v>
      </c>
      <c r="I5121" t="n">
        <v>0</v>
      </c>
      <c r="J5121" t="n">
        <v>0</v>
      </c>
      <c r="K5121" t="n">
        <v>0</v>
      </c>
      <c r="L5121" t="n">
        <v>0</v>
      </c>
      <c r="M5121" t="n">
        <v>0</v>
      </c>
      <c r="N5121" t="n">
        <v>0</v>
      </c>
      <c r="O5121" t="n">
        <v>0</v>
      </c>
      <c r="P5121" t="n">
        <v>0</v>
      </c>
      <c r="Q5121" t="n">
        <v>0</v>
      </c>
      <c r="R5121" s="2" t="inlineStr"/>
    </row>
    <row r="5122" ht="15" customHeight="1">
      <c r="A5122" t="inlineStr">
        <is>
          <t>A 28680-2023</t>
        </is>
      </c>
      <c r="B5122" s="1" t="n">
        <v>45103.67951388889</v>
      </c>
      <c r="C5122" s="1" t="n">
        <v>46086</v>
      </c>
      <c r="D5122" t="inlineStr">
        <is>
          <t>GÄVLEBORGS LÄN</t>
        </is>
      </c>
      <c r="E5122" t="inlineStr">
        <is>
          <t>NORDANSTIG</t>
        </is>
      </c>
      <c r="F5122" t="inlineStr">
        <is>
          <t>Holmen skog AB</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3485-2026</t>
        </is>
      </c>
      <c r="B5123" s="1" t="n">
        <v>46042</v>
      </c>
      <c r="C5123" s="1" t="n">
        <v>46086</v>
      </c>
      <c r="D5123" t="inlineStr">
        <is>
          <t>GÄVLEBORGS LÄN</t>
        </is>
      </c>
      <c r="E5123" t="inlineStr">
        <is>
          <t>OVANÅKER</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45830-2025</t>
        </is>
      </c>
      <c r="B5124" s="1" t="n">
        <v>45923</v>
      </c>
      <c r="C5124" s="1" t="n">
        <v>46086</v>
      </c>
      <c r="D5124" t="inlineStr">
        <is>
          <t>GÄVLEBORGS LÄN</t>
        </is>
      </c>
      <c r="E5124" t="inlineStr">
        <is>
          <t>BOLLNÄS</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45838-2025</t>
        </is>
      </c>
      <c r="B5125" s="1" t="n">
        <v>45923</v>
      </c>
      <c r="C5125" s="1" t="n">
        <v>46086</v>
      </c>
      <c r="D5125" t="inlineStr">
        <is>
          <t>GÄVLEBORGS LÄN</t>
        </is>
      </c>
      <c r="E5125" t="inlineStr">
        <is>
          <t>BOLLNÄS</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11846-2026</t>
        </is>
      </c>
      <c r="B5126" s="1" t="n">
        <v>46085.45711805556</v>
      </c>
      <c r="C5126" s="1" t="n">
        <v>46086</v>
      </c>
      <c r="D5126" t="inlineStr">
        <is>
          <t>GÄVLEBORGS LÄN</t>
        </is>
      </c>
      <c r="E5126" t="inlineStr">
        <is>
          <t>OVANÅKER</t>
        </is>
      </c>
      <c r="F5126" t="inlineStr">
        <is>
          <t>Bergvik skog väst AB</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3528-2026</t>
        </is>
      </c>
      <c r="B5127" s="1" t="n">
        <v>46042</v>
      </c>
      <c r="C5127" s="1" t="n">
        <v>46086</v>
      </c>
      <c r="D5127" t="inlineStr">
        <is>
          <t>GÄVLEBORGS LÄN</t>
        </is>
      </c>
      <c r="E5127" t="inlineStr">
        <is>
          <t>OCKELBO</t>
        </is>
      </c>
      <c r="F5127" t="inlineStr">
        <is>
          <t>Bergvik skog väst AB</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3533-2026</t>
        </is>
      </c>
      <c r="B5128" s="1" t="n">
        <v>46042.61956018519</v>
      </c>
      <c r="C5128" s="1" t="n">
        <v>46086</v>
      </c>
      <c r="D5128" t="inlineStr">
        <is>
          <t>GÄVLEBORGS LÄN</t>
        </is>
      </c>
      <c r="E5128" t="inlineStr">
        <is>
          <t>BOLLNÄS</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766-2025</t>
        </is>
      </c>
      <c r="B5129" s="1" t="n">
        <v>45665.45438657407</v>
      </c>
      <c r="C5129" s="1" t="n">
        <v>46086</v>
      </c>
      <c r="D5129" t="inlineStr">
        <is>
          <t>GÄVLEBORGS LÄN</t>
        </is>
      </c>
      <c r="E5129" t="inlineStr">
        <is>
          <t>SANDVIKEN</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3793-2026</t>
        </is>
      </c>
      <c r="B5130" s="1" t="n">
        <v>46043</v>
      </c>
      <c r="C5130" s="1" t="n">
        <v>46086</v>
      </c>
      <c r="D5130" t="inlineStr">
        <is>
          <t>GÄVLEBORGS LÄN</t>
        </is>
      </c>
      <c r="E5130" t="inlineStr">
        <is>
          <t>SÖDERHAMN</t>
        </is>
      </c>
      <c r="G5130" t="n">
        <v>20.9</v>
      </c>
      <c r="H5130" t="n">
        <v>0</v>
      </c>
      <c r="I5130" t="n">
        <v>0</v>
      </c>
      <c r="J5130" t="n">
        <v>0</v>
      </c>
      <c r="K5130" t="n">
        <v>0</v>
      </c>
      <c r="L5130" t="n">
        <v>0</v>
      </c>
      <c r="M5130" t="n">
        <v>0</v>
      </c>
      <c r="N5130" t="n">
        <v>0</v>
      </c>
      <c r="O5130" t="n">
        <v>0</v>
      </c>
      <c r="P5130" t="n">
        <v>0</v>
      </c>
      <c r="Q5130" t="n">
        <v>0</v>
      </c>
      <c r="R5130" s="2" t="inlineStr"/>
    </row>
    <row r="5131" ht="15" customHeight="1">
      <c r="A5131" t="inlineStr">
        <is>
          <t>A 3825-2026</t>
        </is>
      </c>
      <c r="B5131" s="1" t="n">
        <v>46043</v>
      </c>
      <c r="C5131" s="1" t="n">
        <v>46086</v>
      </c>
      <c r="D5131" t="inlineStr">
        <is>
          <t>GÄVLEBORGS LÄN</t>
        </is>
      </c>
      <c r="E5131" t="inlineStr">
        <is>
          <t>BOLLNÄS</t>
        </is>
      </c>
      <c r="G5131" t="n">
        <v>8</v>
      </c>
      <c r="H5131" t="n">
        <v>0</v>
      </c>
      <c r="I5131" t="n">
        <v>0</v>
      </c>
      <c r="J5131" t="n">
        <v>0</v>
      </c>
      <c r="K5131" t="n">
        <v>0</v>
      </c>
      <c r="L5131" t="n">
        <v>0</v>
      </c>
      <c r="M5131" t="n">
        <v>0</v>
      </c>
      <c r="N5131" t="n">
        <v>0</v>
      </c>
      <c r="O5131" t="n">
        <v>0</v>
      </c>
      <c r="P5131" t="n">
        <v>0</v>
      </c>
      <c r="Q5131" t="n">
        <v>0</v>
      </c>
      <c r="R5131" s="2" t="inlineStr"/>
    </row>
    <row r="5132" ht="15" customHeight="1">
      <c r="A5132" t="inlineStr">
        <is>
          <t>A 3828-2026</t>
        </is>
      </c>
      <c r="B5132" s="1" t="n">
        <v>46043.58690972222</v>
      </c>
      <c r="C5132" s="1" t="n">
        <v>46086</v>
      </c>
      <c r="D5132" t="inlineStr">
        <is>
          <t>GÄVLEBORGS LÄN</t>
        </is>
      </c>
      <c r="E5132" t="inlineStr">
        <is>
          <t>NORDANSTIG</t>
        </is>
      </c>
      <c r="G5132" t="n">
        <v>11.3</v>
      </c>
      <c r="H5132" t="n">
        <v>0</v>
      </c>
      <c r="I5132" t="n">
        <v>0</v>
      </c>
      <c r="J5132" t="n">
        <v>0</v>
      </c>
      <c r="K5132" t="n">
        <v>0</v>
      </c>
      <c r="L5132" t="n">
        <v>0</v>
      </c>
      <c r="M5132" t="n">
        <v>0</v>
      </c>
      <c r="N5132" t="n">
        <v>0</v>
      </c>
      <c r="O5132" t="n">
        <v>0</v>
      </c>
      <c r="P5132" t="n">
        <v>0</v>
      </c>
      <c r="Q5132" t="n">
        <v>0</v>
      </c>
      <c r="R5132" s="2" t="inlineStr"/>
    </row>
    <row r="5133" ht="15" customHeight="1">
      <c r="A5133" t="inlineStr">
        <is>
          <t>A 10366-2026</t>
        </is>
      </c>
      <c r="B5133" s="1" t="n">
        <v>46076</v>
      </c>
      <c r="C5133" s="1" t="n">
        <v>46086</v>
      </c>
      <c r="D5133" t="inlineStr">
        <is>
          <t>GÄVLEBORGS LÄN</t>
        </is>
      </c>
      <c r="E5133" t="inlineStr">
        <is>
          <t>SÖDERHAMN</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42187-2025</t>
        </is>
      </c>
      <c r="B5134" s="1" t="n">
        <v>45904</v>
      </c>
      <c r="C5134" s="1" t="n">
        <v>46086</v>
      </c>
      <c r="D5134" t="inlineStr">
        <is>
          <t>GÄVLEBORGS LÄN</t>
        </is>
      </c>
      <c r="E5134" t="inlineStr">
        <is>
          <t>BOLLNÄS</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10134-2026</t>
        </is>
      </c>
      <c r="B5135" s="1" t="n">
        <v>46076.33246527778</v>
      </c>
      <c r="C5135" s="1" t="n">
        <v>46086</v>
      </c>
      <c r="D5135" t="inlineStr">
        <is>
          <t>GÄVLEBORGS LÄN</t>
        </is>
      </c>
      <c r="E5135" t="inlineStr">
        <is>
          <t>BOLLNÄS</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10734-2026</t>
        </is>
      </c>
      <c r="B5136" s="1" t="n">
        <v>46078</v>
      </c>
      <c r="C5136" s="1" t="n">
        <v>46086</v>
      </c>
      <c r="D5136" t="inlineStr">
        <is>
          <t>GÄVLEBORGS LÄN</t>
        </is>
      </c>
      <c r="E5136" t="inlineStr">
        <is>
          <t>OVANÅKER</t>
        </is>
      </c>
      <c r="F5136" t="inlineStr">
        <is>
          <t>Bergvik skog väst AB</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10736-2026</t>
        </is>
      </c>
      <c r="B5137" s="1" t="n">
        <v>46078</v>
      </c>
      <c r="C5137" s="1" t="n">
        <v>46086</v>
      </c>
      <c r="D5137" t="inlineStr">
        <is>
          <t>GÄVLEBORGS LÄN</t>
        </is>
      </c>
      <c r="E5137" t="inlineStr">
        <is>
          <t>BOLLNÄS</t>
        </is>
      </c>
      <c r="G5137" t="n">
        <v>3.1</v>
      </c>
      <c r="H5137" t="n">
        <v>0</v>
      </c>
      <c r="I5137" t="n">
        <v>0</v>
      </c>
      <c r="J5137" t="n">
        <v>0</v>
      </c>
      <c r="K5137" t="n">
        <v>0</v>
      </c>
      <c r="L5137" t="n">
        <v>0</v>
      </c>
      <c r="M5137" t="n">
        <v>0</v>
      </c>
      <c r="N5137" t="n">
        <v>0</v>
      </c>
      <c r="O5137" t="n">
        <v>0</v>
      </c>
      <c r="P5137" t="n">
        <v>0</v>
      </c>
      <c r="Q5137" t="n">
        <v>0</v>
      </c>
      <c r="R5137" s="2" t="inlineStr"/>
    </row>
    <row r="5138" ht="15" customHeight="1">
      <c r="A5138" t="inlineStr">
        <is>
          <t>A 3819-2026</t>
        </is>
      </c>
      <c r="B5138" s="1" t="n">
        <v>46043.58519675926</v>
      </c>
      <c r="C5138" s="1" t="n">
        <v>46086</v>
      </c>
      <c r="D5138" t="inlineStr">
        <is>
          <t>GÄVLEBORGS LÄN</t>
        </is>
      </c>
      <c r="E5138" t="inlineStr">
        <is>
          <t>NORDANSTIG</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3820-2026</t>
        </is>
      </c>
      <c r="B5139" s="1" t="n">
        <v>46043.58523148148</v>
      </c>
      <c r="C5139" s="1" t="n">
        <v>46086</v>
      </c>
      <c r="D5139" t="inlineStr">
        <is>
          <t>GÄVLEBORGS LÄN</t>
        </is>
      </c>
      <c r="E5139" t="inlineStr">
        <is>
          <t>NORDANSTIG</t>
        </is>
      </c>
      <c r="G5139" t="n">
        <v>8.4</v>
      </c>
      <c r="H5139" t="n">
        <v>0</v>
      </c>
      <c r="I5139" t="n">
        <v>0</v>
      </c>
      <c r="J5139" t="n">
        <v>0</v>
      </c>
      <c r="K5139" t="n">
        <v>0</v>
      </c>
      <c r="L5139" t="n">
        <v>0</v>
      </c>
      <c r="M5139" t="n">
        <v>0</v>
      </c>
      <c r="N5139" t="n">
        <v>0</v>
      </c>
      <c r="O5139" t="n">
        <v>0</v>
      </c>
      <c r="P5139" t="n">
        <v>0</v>
      </c>
      <c r="Q5139" t="n">
        <v>0</v>
      </c>
      <c r="R5139" s="2" t="inlineStr"/>
    </row>
    <row r="5140" ht="15" customHeight="1">
      <c r="A5140" t="inlineStr">
        <is>
          <t>A 3835-2026</t>
        </is>
      </c>
      <c r="B5140" s="1" t="n">
        <v>46043</v>
      </c>
      <c r="C5140" s="1" t="n">
        <v>46086</v>
      </c>
      <c r="D5140" t="inlineStr">
        <is>
          <t>GÄVLEBORGS LÄN</t>
        </is>
      </c>
      <c r="E5140" t="inlineStr">
        <is>
          <t>BOLLNÄS</t>
        </is>
      </c>
      <c r="F5140" t="inlineStr">
        <is>
          <t>Bergvik skog väst AB</t>
        </is>
      </c>
      <c r="G5140" t="n">
        <v>9.699999999999999</v>
      </c>
      <c r="H5140" t="n">
        <v>0</v>
      </c>
      <c r="I5140" t="n">
        <v>0</v>
      </c>
      <c r="J5140" t="n">
        <v>0</v>
      </c>
      <c r="K5140" t="n">
        <v>0</v>
      </c>
      <c r="L5140" t="n">
        <v>0</v>
      </c>
      <c r="M5140" t="n">
        <v>0</v>
      </c>
      <c r="N5140" t="n">
        <v>0</v>
      </c>
      <c r="O5140" t="n">
        <v>0</v>
      </c>
      <c r="P5140" t="n">
        <v>0</v>
      </c>
      <c r="Q5140" t="n">
        <v>0</v>
      </c>
      <c r="R5140" s="2" t="inlineStr"/>
    </row>
    <row r="5141" ht="15" customHeight="1">
      <c r="A5141" t="inlineStr">
        <is>
          <t>A 3870-2026</t>
        </is>
      </c>
      <c r="B5141" s="1" t="n">
        <v>46043.64090277778</v>
      </c>
      <c r="C5141" s="1" t="n">
        <v>46086</v>
      </c>
      <c r="D5141" t="inlineStr">
        <is>
          <t>GÄVLEBORGS LÄN</t>
        </is>
      </c>
      <c r="E5141" t="inlineStr">
        <is>
          <t>HOFORS</t>
        </is>
      </c>
      <c r="F5141" t="inlineStr">
        <is>
          <t>Sveaskog</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45701-2025</t>
        </is>
      </c>
      <c r="B5142" s="1" t="n">
        <v>45923.4074537037</v>
      </c>
      <c r="C5142" s="1" t="n">
        <v>46086</v>
      </c>
      <c r="D5142" t="inlineStr">
        <is>
          <t>GÄVLEBORGS LÄN</t>
        </is>
      </c>
      <c r="E5142" t="inlineStr">
        <is>
          <t>OVANÅKER</t>
        </is>
      </c>
      <c r="G5142" t="n">
        <v>6.3</v>
      </c>
      <c r="H5142" t="n">
        <v>0</v>
      </c>
      <c r="I5142" t="n">
        <v>0</v>
      </c>
      <c r="J5142" t="n">
        <v>0</v>
      </c>
      <c r="K5142" t="n">
        <v>0</v>
      </c>
      <c r="L5142" t="n">
        <v>0</v>
      </c>
      <c r="M5142" t="n">
        <v>0</v>
      </c>
      <c r="N5142" t="n">
        <v>0</v>
      </c>
      <c r="O5142" t="n">
        <v>0</v>
      </c>
      <c r="P5142" t="n">
        <v>0</v>
      </c>
      <c r="Q5142" t="n">
        <v>0</v>
      </c>
      <c r="R5142" s="2" t="inlineStr"/>
    </row>
    <row r="5143" ht="15" customHeight="1">
      <c r="A5143" t="inlineStr">
        <is>
          <t>A 10287-2026</t>
        </is>
      </c>
      <c r="B5143" s="1" t="n">
        <v>46076.60237268519</v>
      </c>
      <c r="C5143" s="1" t="n">
        <v>46086</v>
      </c>
      <c r="D5143" t="inlineStr">
        <is>
          <t>GÄVLEBORGS LÄN</t>
        </is>
      </c>
      <c r="E5143" t="inlineStr">
        <is>
          <t>OVANÅKER</t>
        </is>
      </c>
      <c r="F5143" t="inlineStr">
        <is>
          <t>Bergvik skog väst AB</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3369-2026</t>
        </is>
      </c>
      <c r="B5144" s="1" t="n">
        <v>46042</v>
      </c>
      <c r="C5144" s="1" t="n">
        <v>46086</v>
      </c>
      <c r="D5144" t="inlineStr">
        <is>
          <t>GÄVLEBORGS LÄN</t>
        </is>
      </c>
      <c r="E5144" t="inlineStr">
        <is>
          <t>SÖDERHAMN</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3377-2026</t>
        </is>
      </c>
      <c r="B5145" s="1" t="n">
        <v>46042.35134259259</v>
      </c>
      <c r="C5145" s="1" t="n">
        <v>46086</v>
      </c>
      <c r="D5145" t="inlineStr">
        <is>
          <t>GÄVLEBORGS LÄN</t>
        </is>
      </c>
      <c r="E5145" t="inlineStr">
        <is>
          <t>OCKELBO</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12017-2026</t>
        </is>
      </c>
      <c r="B5146" s="1" t="n">
        <v>46085.79275462963</v>
      </c>
      <c r="C5146" s="1" t="n">
        <v>46086</v>
      </c>
      <c r="D5146" t="inlineStr">
        <is>
          <t>GÄVLEBORGS LÄN</t>
        </is>
      </c>
      <c r="E5146" t="inlineStr">
        <is>
          <t>OVANÅKER</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15985-2025</t>
        </is>
      </c>
      <c r="B5147" s="1" t="n">
        <v>45749.57207175926</v>
      </c>
      <c r="C5147" s="1" t="n">
        <v>46086</v>
      </c>
      <c r="D5147" t="inlineStr">
        <is>
          <t>GÄVLEBORGS LÄN</t>
        </is>
      </c>
      <c r="E5147" t="inlineStr">
        <is>
          <t>HUDIKSVALL</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45280-2025</t>
        </is>
      </c>
      <c r="B5148" s="1" t="n">
        <v>45919</v>
      </c>
      <c r="C5148" s="1" t="n">
        <v>46086</v>
      </c>
      <c r="D5148" t="inlineStr">
        <is>
          <t>GÄVLEBORGS LÄN</t>
        </is>
      </c>
      <c r="E5148" t="inlineStr">
        <is>
          <t>BOLLNÄS</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45901-2025</t>
        </is>
      </c>
      <c r="B5149" s="1" t="n">
        <v>45923.68782407408</v>
      </c>
      <c r="C5149" s="1" t="n">
        <v>46086</v>
      </c>
      <c r="D5149" t="inlineStr">
        <is>
          <t>GÄVLEBORGS LÄN</t>
        </is>
      </c>
      <c r="E5149" t="inlineStr">
        <is>
          <t>BOLLNÄS</t>
        </is>
      </c>
      <c r="F5149" t="inlineStr">
        <is>
          <t>Bergvik skog väst AB</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10914-2026</t>
        </is>
      </c>
      <c r="B5150" s="1" t="n">
        <v>46079</v>
      </c>
      <c r="C5150" s="1" t="n">
        <v>46086</v>
      </c>
      <c r="D5150" t="inlineStr">
        <is>
          <t>GÄVLEBORGS LÄN</t>
        </is>
      </c>
      <c r="E5150" t="inlineStr">
        <is>
          <t>BOLLNÄS</t>
        </is>
      </c>
      <c r="F5150" t="inlineStr">
        <is>
          <t>Bergvik skog väst AB</t>
        </is>
      </c>
      <c r="G5150" t="n">
        <v>46.5</v>
      </c>
      <c r="H5150" t="n">
        <v>0</v>
      </c>
      <c r="I5150" t="n">
        <v>0</v>
      </c>
      <c r="J5150" t="n">
        <v>0</v>
      </c>
      <c r="K5150" t="n">
        <v>0</v>
      </c>
      <c r="L5150" t="n">
        <v>0</v>
      </c>
      <c r="M5150" t="n">
        <v>0</v>
      </c>
      <c r="N5150" t="n">
        <v>0</v>
      </c>
      <c r="O5150" t="n">
        <v>0</v>
      </c>
      <c r="P5150" t="n">
        <v>0</v>
      </c>
      <c r="Q5150" t="n">
        <v>0</v>
      </c>
      <c r="R5150" s="2" t="inlineStr"/>
    </row>
    <row r="5151" ht="15" customHeight="1">
      <c r="A5151" t="inlineStr">
        <is>
          <t>A 3609-2026</t>
        </is>
      </c>
      <c r="B5151" s="1" t="n">
        <v>46042</v>
      </c>
      <c r="C5151" s="1" t="n">
        <v>46086</v>
      </c>
      <c r="D5151" t="inlineStr">
        <is>
          <t>GÄVLEBORGS LÄN</t>
        </is>
      </c>
      <c r="E5151" t="inlineStr">
        <is>
          <t>BOLLNÄS</t>
        </is>
      </c>
      <c r="G5151" t="n">
        <v>4.3</v>
      </c>
      <c r="H5151" t="n">
        <v>0</v>
      </c>
      <c r="I5151" t="n">
        <v>0</v>
      </c>
      <c r="J5151" t="n">
        <v>0</v>
      </c>
      <c r="K5151" t="n">
        <v>0</v>
      </c>
      <c r="L5151" t="n">
        <v>0</v>
      </c>
      <c r="M5151" t="n">
        <v>0</v>
      </c>
      <c r="N5151" t="n">
        <v>0</v>
      </c>
      <c r="O5151" t="n">
        <v>0</v>
      </c>
      <c r="P5151" t="n">
        <v>0</v>
      </c>
      <c r="Q5151" t="n">
        <v>0</v>
      </c>
      <c r="R5151" s="2" t="inlineStr"/>
    </row>
    <row r="5152" ht="15" customHeight="1">
      <c r="A5152" t="inlineStr">
        <is>
          <t>A 3611-2026</t>
        </is>
      </c>
      <c r="B5152" s="1" t="n">
        <v>46042</v>
      </c>
      <c r="C5152" s="1" t="n">
        <v>46086</v>
      </c>
      <c r="D5152" t="inlineStr">
        <is>
          <t>GÄVLEBORGS LÄN</t>
        </is>
      </c>
      <c r="E5152" t="inlineStr">
        <is>
          <t>OVANÅKER</t>
        </is>
      </c>
      <c r="G5152" t="n">
        <v>4.6</v>
      </c>
      <c r="H5152" t="n">
        <v>0</v>
      </c>
      <c r="I5152" t="n">
        <v>0</v>
      </c>
      <c r="J5152" t="n">
        <v>0</v>
      </c>
      <c r="K5152" t="n">
        <v>0</v>
      </c>
      <c r="L5152" t="n">
        <v>0</v>
      </c>
      <c r="M5152" t="n">
        <v>0</v>
      </c>
      <c r="N5152" t="n">
        <v>0</v>
      </c>
      <c r="O5152" t="n">
        <v>0</v>
      </c>
      <c r="P5152" t="n">
        <v>0</v>
      </c>
      <c r="Q5152" t="n">
        <v>0</v>
      </c>
      <c r="R5152" s="2" t="inlineStr"/>
    </row>
    <row r="5153" ht="15" customHeight="1">
      <c r="A5153" t="inlineStr">
        <is>
          <t>A 3625-2026</t>
        </is>
      </c>
      <c r="B5153" s="1" t="n">
        <v>46043.31989583333</v>
      </c>
      <c r="C5153" s="1" t="n">
        <v>46086</v>
      </c>
      <c r="D5153" t="inlineStr">
        <is>
          <t>GÄVLEBORGS LÄN</t>
        </is>
      </c>
      <c r="E5153" t="inlineStr">
        <is>
          <t>BOLLNÄS</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5485-2026</t>
        </is>
      </c>
      <c r="B5154" s="1" t="n">
        <v>46050</v>
      </c>
      <c r="C5154" s="1" t="n">
        <v>46086</v>
      </c>
      <c r="D5154" t="inlineStr">
        <is>
          <t>GÄVLEBORGS LÄN</t>
        </is>
      </c>
      <c r="E5154" t="inlineStr">
        <is>
          <t>HUDIKSVALL</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9229-2026</t>
        </is>
      </c>
      <c r="B5155" s="1" t="n">
        <v>46070</v>
      </c>
      <c r="C5155" s="1" t="n">
        <v>46086</v>
      </c>
      <c r="D5155" t="inlineStr">
        <is>
          <t>GÄVLEBORGS LÄN</t>
        </is>
      </c>
      <c r="E5155" t="inlineStr">
        <is>
          <t>BOLLNÄS</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10511-2026</t>
        </is>
      </c>
      <c r="B5156" s="1" t="n">
        <v>46077</v>
      </c>
      <c r="C5156" s="1" t="n">
        <v>46086</v>
      </c>
      <c r="D5156" t="inlineStr">
        <is>
          <t>GÄVLEBORGS LÄN</t>
        </is>
      </c>
      <c r="E5156" t="inlineStr">
        <is>
          <t>SÖDERHAMN</t>
        </is>
      </c>
      <c r="F5156" t="inlineStr">
        <is>
          <t>Kyrkan</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10516-2026</t>
        </is>
      </c>
      <c r="B5157" s="1" t="n">
        <v>46077</v>
      </c>
      <c r="C5157" s="1" t="n">
        <v>46086</v>
      </c>
      <c r="D5157" t="inlineStr">
        <is>
          <t>GÄVLEBORGS LÄN</t>
        </is>
      </c>
      <c r="E5157" t="inlineStr">
        <is>
          <t>BOLLNÄS</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41750-2024</t>
        </is>
      </c>
      <c r="B5158" s="1" t="n">
        <v>45561</v>
      </c>
      <c r="C5158" s="1" t="n">
        <v>46086</v>
      </c>
      <c r="D5158" t="inlineStr">
        <is>
          <t>GÄVLEBORGS LÄN</t>
        </is>
      </c>
      <c r="E5158" t="inlineStr">
        <is>
          <t>HUDIKSVALL</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3163-2026</t>
        </is>
      </c>
      <c r="B5159" s="1" t="n">
        <v>46041.43717592592</v>
      </c>
      <c r="C5159" s="1" t="n">
        <v>46086</v>
      </c>
      <c r="D5159" t="inlineStr">
        <is>
          <t>GÄVLEBORGS LÄN</t>
        </is>
      </c>
      <c r="E5159" t="inlineStr">
        <is>
          <t>BOLLNÄS</t>
        </is>
      </c>
      <c r="G5159" t="n">
        <v>6.7</v>
      </c>
      <c r="H5159" t="n">
        <v>0</v>
      </c>
      <c r="I5159" t="n">
        <v>0</v>
      </c>
      <c r="J5159" t="n">
        <v>0</v>
      </c>
      <c r="K5159" t="n">
        <v>0</v>
      </c>
      <c r="L5159" t="n">
        <v>0</v>
      </c>
      <c r="M5159" t="n">
        <v>0</v>
      </c>
      <c r="N5159" t="n">
        <v>0</v>
      </c>
      <c r="O5159" t="n">
        <v>0</v>
      </c>
      <c r="P5159" t="n">
        <v>0</v>
      </c>
      <c r="Q5159" t="n">
        <v>0</v>
      </c>
      <c r="R5159" s="2" t="inlineStr"/>
    </row>
    <row r="5160" ht="15" customHeight="1">
      <c r="A5160" t="inlineStr">
        <is>
          <t>A 3619-2026</t>
        </is>
      </c>
      <c r="B5160" s="1" t="n">
        <v>46043</v>
      </c>
      <c r="C5160" s="1" t="n">
        <v>46086</v>
      </c>
      <c r="D5160" t="inlineStr">
        <is>
          <t>GÄVLEBORGS LÄN</t>
        </is>
      </c>
      <c r="E5160" t="inlineStr">
        <is>
          <t>LJUSDAL</t>
        </is>
      </c>
      <c r="G5160" t="n">
        <v>6.4</v>
      </c>
      <c r="H5160" t="n">
        <v>0</v>
      </c>
      <c r="I5160" t="n">
        <v>0</v>
      </c>
      <c r="J5160" t="n">
        <v>0</v>
      </c>
      <c r="K5160" t="n">
        <v>0</v>
      </c>
      <c r="L5160" t="n">
        <v>0</v>
      </c>
      <c r="M5160" t="n">
        <v>0</v>
      </c>
      <c r="N5160" t="n">
        <v>0</v>
      </c>
      <c r="O5160" t="n">
        <v>0</v>
      </c>
      <c r="P5160" t="n">
        <v>0</v>
      </c>
      <c r="Q5160" t="n">
        <v>0</v>
      </c>
      <c r="R5160" s="2" t="inlineStr"/>
    </row>
    <row r="5161" ht="15" customHeight="1">
      <c r="A5161" t="inlineStr">
        <is>
          <t>A 3620-2026</t>
        </is>
      </c>
      <c r="B5161" s="1" t="n">
        <v>46043</v>
      </c>
      <c r="C5161" s="1" t="n">
        <v>46086</v>
      </c>
      <c r="D5161" t="inlineStr">
        <is>
          <t>GÄVLEBORGS LÄN</t>
        </is>
      </c>
      <c r="E5161" t="inlineStr">
        <is>
          <t>LJUSDAL</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11854-2026</t>
        </is>
      </c>
      <c r="B5162" s="1" t="n">
        <v>46085.46924768519</v>
      </c>
      <c r="C5162" s="1" t="n">
        <v>46086</v>
      </c>
      <c r="D5162" t="inlineStr">
        <is>
          <t>GÄVLEBORGS LÄN</t>
        </is>
      </c>
      <c r="E5162" t="inlineStr">
        <is>
          <t>BOLLNÄS</t>
        </is>
      </c>
      <c r="F5162" t="inlineStr">
        <is>
          <t>Bergvik skog väst AB</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11857-2026</t>
        </is>
      </c>
      <c r="B5163" s="1" t="n">
        <v>46085.46957175926</v>
      </c>
      <c r="C5163" s="1" t="n">
        <v>46086</v>
      </c>
      <c r="D5163" t="inlineStr">
        <is>
          <t>GÄVLEBORGS LÄN</t>
        </is>
      </c>
      <c r="E5163" t="inlineStr">
        <is>
          <t>BOLLNÄS</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11859-2026</t>
        </is>
      </c>
      <c r="B5164" s="1" t="n">
        <v>46085.47145833333</v>
      </c>
      <c r="C5164" s="1" t="n">
        <v>46086</v>
      </c>
      <c r="D5164" t="inlineStr">
        <is>
          <t>GÄVLEBORGS LÄN</t>
        </is>
      </c>
      <c r="E5164" t="inlineStr">
        <is>
          <t>SANDVIKEN</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3391-2026</t>
        </is>
      </c>
      <c r="B5165" s="1" t="n">
        <v>46042</v>
      </c>
      <c r="C5165" s="1" t="n">
        <v>46086</v>
      </c>
      <c r="D5165" t="inlineStr">
        <is>
          <t>GÄVLEBORGS LÄN</t>
        </is>
      </c>
      <c r="E5165" t="inlineStr">
        <is>
          <t>HOFORS</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37763-2023</t>
        </is>
      </c>
      <c r="B5166" s="1" t="n">
        <v>45156</v>
      </c>
      <c r="C5166" s="1" t="n">
        <v>46086</v>
      </c>
      <c r="D5166" t="inlineStr">
        <is>
          <t>GÄVLEBORGS LÄN</t>
        </is>
      </c>
      <c r="E5166" t="inlineStr">
        <is>
          <t>HOFORS</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9801-2026</t>
        </is>
      </c>
      <c r="B5167" s="1" t="n">
        <v>46072</v>
      </c>
      <c r="C5167" s="1" t="n">
        <v>46086</v>
      </c>
      <c r="D5167" t="inlineStr">
        <is>
          <t>GÄVLEBORGS LÄN</t>
        </is>
      </c>
      <c r="E5167" t="inlineStr">
        <is>
          <t>BOLLNÄS</t>
        </is>
      </c>
      <c r="F5167" t="inlineStr">
        <is>
          <t>Sveaskog</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9827-2026</t>
        </is>
      </c>
      <c r="B5168" s="1" t="n">
        <v>46072</v>
      </c>
      <c r="C5168" s="1" t="n">
        <v>46086</v>
      </c>
      <c r="D5168" t="inlineStr">
        <is>
          <t>GÄVLEBORGS LÄN</t>
        </is>
      </c>
      <c r="E5168" t="inlineStr">
        <is>
          <t>BOLLNÄS</t>
        </is>
      </c>
      <c r="F5168" t="inlineStr">
        <is>
          <t>Sveaskog</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9947-2026</t>
        </is>
      </c>
      <c r="B5169" s="1" t="n">
        <v>46073</v>
      </c>
      <c r="C5169" s="1" t="n">
        <v>46086</v>
      </c>
      <c r="D5169" t="inlineStr">
        <is>
          <t>GÄVLEBORGS LÄN</t>
        </is>
      </c>
      <c r="E5169" t="inlineStr">
        <is>
          <t>BOLLNÄS</t>
        </is>
      </c>
      <c r="F5169" t="inlineStr">
        <is>
          <t>Bergvik skog väst AB</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11866-2026</t>
        </is>
      </c>
      <c r="B5170" s="1" t="n">
        <v>46085.48005787037</v>
      </c>
      <c r="C5170" s="1" t="n">
        <v>46086</v>
      </c>
      <c r="D5170" t="inlineStr">
        <is>
          <t>GÄVLEBORGS LÄN</t>
        </is>
      </c>
      <c r="E5170" t="inlineStr">
        <is>
          <t>BOLLNÄS</t>
        </is>
      </c>
      <c r="F5170" t="inlineStr">
        <is>
          <t>Bergvik skog väst AB</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35625-2025</t>
        </is>
      </c>
      <c r="B5171" s="1" t="n">
        <v>45859.4297337963</v>
      </c>
      <c r="C5171" s="1" t="n">
        <v>46086</v>
      </c>
      <c r="D5171" t="inlineStr">
        <is>
          <t>GÄVLEBORGS LÄN</t>
        </is>
      </c>
      <c r="E5171" t="inlineStr">
        <is>
          <t>OCKELBO</t>
        </is>
      </c>
      <c r="F5171" t="inlineStr">
        <is>
          <t>Bergvik skog väst AB</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206-2025</t>
        </is>
      </c>
      <c r="B5172" s="1" t="n">
        <v>45660.3234837963</v>
      </c>
      <c r="C5172" s="1" t="n">
        <v>46086</v>
      </c>
      <c r="D5172" t="inlineStr">
        <is>
          <t>GÄVLEBORGS LÄN</t>
        </is>
      </c>
      <c r="E5172" t="inlineStr">
        <is>
          <t>LJUSDAL</t>
        </is>
      </c>
      <c r="G5172" t="n">
        <v>5.8</v>
      </c>
      <c r="H5172" t="n">
        <v>0</v>
      </c>
      <c r="I5172" t="n">
        <v>0</v>
      </c>
      <c r="J5172" t="n">
        <v>0</v>
      </c>
      <c r="K5172" t="n">
        <v>0</v>
      </c>
      <c r="L5172" t="n">
        <v>0</v>
      </c>
      <c r="M5172" t="n">
        <v>0</v>
      </c>
      <c r="N5172" t="n">
        <v>0</v>
      </c>
      <c r="O5172" t="n">
        <v>0</v>
      </c>
      <c r="P5172" t="n">
        <v>0</v>
      </c>
      <c r="Q5172" t="n">
        <v>0</v>
      </c>
      <c r="R5172" s="2" t="inlineStr"/>
    </row>
    <row r="5173" ht="15" customHeight="1">
      <c r="A5173" t="inlineStr">
        <is>
          <t>A 209-2025</t>
        </is>
      </c>
      <c r="B5173" s="1" t="n">
        <v>45660.33010416666</v>
      </c>
      <c r="C5173" s="1" t="n">
        <v>46086</v>
      </c>
      <c r="D5173" t="inlineStr">
        <is>
          <t>GÄVLEBORGS LÄN</t>
        </is>
      </c>
      <c r="E5173" t="inlineStr">
        <is>
          <t>LJUSDAL</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268-2025</t>
        </is>
      </c>
      <c r="B5174" s="1" t="n">
        <v>45660</v>
      </c>
      <c r="C5174" s="1" t="n">
        <v>46086</v>
      </c>
      <c r="D5174" t="inlineStr">
        <is>
          <t>GÄVLEBORGS LÄN</t>
        </is>
      </c>
      <c r="E5174" t="inlineStr">
        <is>
          <t>LJUSDAL</t>
        </is>
      </c>
      <c r="G5174" t="n">
        <v>4</v>
      </c>
      <c r="H5174" t="n">
        <v>0</v>
      </c>
      <c r="I5174" t="n">
        <v>0</v>
      </c>
      <c r="J5174" t="n">
        <v>0</v>
      </c>
      <c r="K5174" t="n">
        <v>0</v>
      </c>
      <c r="L5174" t="n">
        <v>0</v>
      </c>
      <c r="M5174" t="n">
        <v>0</v>
      </c>
      <c r="N5174" t="n">
        <v>0</v>
      </c>
      <c r="O5174" t="n">
        <v>0</v>
      </c>
      <c r="P5174" t="n">
        <v>0</v>
      </c>
      <c r="Q5174" t="n">
        <v>0</v>
      </c>
      <c r="R5174" s="2" t="inlineStr"/>
    </row>
    <row r="5175" ht="15" customHeight="1">
      <c r="A5175" t="inlineStr">
        <is>
          <t>A 11929-2026</t>
        </is>
      </c>
      <c r="B5175" s="1" t="n">
        <v>46085.58497685185</v>
      </c>
      <c r="C5175" s="1" t="n">
        <v>46086</v>
      </c>
      <c r="D5175" t="inlineStr">
        <is>
          <t>GÄVLEBORGS LÄN</t>
        </is>
      </c>
      <c r="E5175" t="inlineStr">
        <is>
          <t>BOLLNÄS</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11931-2026</t>
        </is>
      </c>
      <c r="B5176" s="1" t="n">
        <v>46085.58605324074</v>
      </c>
      <c r="C5176" s="1" t="n">
        <v>46086</v>
      </c>
      <c r="D5176" t="inlineStr">
        <is>
          <t>GÄVLEBORGS LÄN</t>
        </is>
      </c>
      <c r="E5176" t="inlineStr">
        <is>
          <t>BOLLNÄS</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10715-2026</t>
        </is>
      </c>
      <c r="B5177" s="1" t="n">
        <v>46078</v>
      </c>
      <c r="C5177" s="1" t="n">
        <v>46086</v>
      </c>
      <c r="D5177" t="inlineStr">
        <is>
          <t>GÄVLEBORGS LÄN</t>
        </is>
      </c>
      <c r="E5177" t="inlineStr">
        <is>
          <t>OVANÅKER</t>
        </is>
      </c>
      <c r="F5177" t="inlineStr">
        <is>
          <t>Bergvik skog väst AB</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10774-2026</t>
        </is>
      </c>
      <c r="B5178" s="1" t="n">
        <v>46078</v>
      </c>
      <c r="C5178" s="1" t="n">
        <v>46086</v>
      </c>
      <c r="D5178" t="inlineStr">
        <is>
          <t>GÄVLEBORGS LÄN</t>
        </is>
      </c>
      <c r="E5178" t="inlineStr">
        <is>
          <t>OVANÅKER</t>
        </is>
      </c>
      <c r="F5178" t="inlineStr">
        <is>
          <t>Bergvik skog väst AB</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11329-2026</t>
        </is>
      </c>
      <c r="B5179" s="1" t="n">
        <v>46081</v>
      </c>
      <c r="C5179" s="1" t="n">
        <v>46086</v>
      </c>
      <c r="D5179" t="inlineStr">
        <is>
          <t>GÄVLEBORGS LÄN</t>
        </is>
      </c>
      <c r="E5179" t="inlineStr">
        <is>
          <t>OCKELBO</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2281-2026</t>
        </is>
      </c>
      <c r="B5180" s="1" t="n">
        <v>46036</v>
      </c>
      <c r="C5180" s="1" t="n">
        <v>46086</v>
      </c>
      <c r="D5180" t="inlineStr">
        <is>
          <t>GÄVLEBORGS LÄN</t>
        </is>
      </c>
      <c r="E5180" t="inlineStr">
        <is>
          <t>HUDIKSVALL</t>
        </is>
      </c>
      <c r="F5180" t="inlineStr">
        <is>
          <t>Holmen skog AB</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3146-2026</t>
        </is>
      </c>
      <c r="B5181" s="1" t="n">
        <v>46041</v>
      </c>
      <c r="C5181" s="1" t="n">
        <v>46086</v>
      </c>
      <c r="D5181" t="inlineStr">
        <is>
          <t>GÄVLEBORGS LÄN</t>
        </is>
      </c>
      <c r="E5181" t="inlineStr">
        <is>
          <t>BOLLNÄS</t>
        </is>
      </c>
      <c r="G5181" t="n">
        <v>6.6</v>
      </c>
      <c r="H5181" t="n">
        <v>0</v>
      </c>
      <c r="I5181" t="n">
        <v>0</v>
      </c>
      <c r="J5181" t="n">
        <v>0</v>
      </c>
      <c r="K5181" t="n">
        <v>0</v>
      </c>
      <c r="L5181" t="n">
        <v>0</v>
      </c>
      <c r="M5181" t="n">
        <v>0</v>
      </c>
      <c r="N5181" t="n">
        <v>0</v>
      </c>
      <c r="O5181" t="n">
        <v>0</v>
      </c>
      <c r="P5181" t="n">
        <v>0</v>
      </c>
      <c r="Q5181" t="n">
        <v>0</v>
      </c>
      <c r="R5181" s="2" t="inlineStr"/>
    </row>
    <row r="5182" ht="15" customHeight="1">
      <c r="A5182" t="inlineStr">
        <is>
          <t>A 10018-2026</t>
        </is>
      </c>
      <c r="B5182" s="1" t="n">
        <v>46073</v>
      </c>
      <c r="C5182" s="1" t="n">
        <v>46086</v>
      </c>
      <c r="D5182" t="inlineStr">
        <is>
          <t>GÄVLEBORGS LÄN</t>
        </is>
      </c>
      <c r="E5182" t="inlineStr">
        <is>
          <t>BOLLNÄS</t>
        </is>
      </c>
      <c r="F5182" t="inlineStr">
        <is>
          <t>Bergvik skog väst AB</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35614-2025</t>
        </is>
      </c>
      <c r="B5183" s="1" t="n">
        <v>45859.376875</v>
      </c>
      <c r="C5183" s="1" t="n">
        <v>46086</v>
      </c>
      <c r="D5183" t="inlineStr">
        <is>
          <t>GÄVLEBORGS LÄN</t>
        </is>
      </c>
      <c r="E5183" t="inlineStr">
        <is>
          <t>OCKELBO</t>
        </is>
      </c>
      <c r="F5183" t="inlineStr">
        <is>
          <t>Bergvik skog väst AB</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10028-2026</t>
        </is>
      </c>
      <c r="B5184" s="1" t="n">
        <v>46073</v>
      </c>
      <c r="C5184" s="1" t="n">
        <v>46086</v>
      </c>
      <c r="D5184" t="inlineStr">
        <is>
          <t>GÄVLEBORGS LÄN</t>
        </is>
      </c>
      <c r="E5184" t="inlineStr">
        <is>
          <t>BOLLNÄS</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45819-2025</t>
        </is>
      </c>
      <c r="B5185" s="1" t="n">
        <v>45923.59686342593</v>
      </c>
      <c r="C5185" s="1" t="n">
        <v>46086</v>
      </c>
      <c r="D5185" t="inlineStr">
        <is>
          <t>GÄVLEBORGS LÄN</t>
        </is>
      </c>
      <c r="E5185" t="inlineStr">
        <is>
          <t>LJUSDAL</t>
        </is>
      </c>
      <c r="G5185" t="n">
        <v>6.5</v>
      </c>
      <c r="H5185" t="n">
        <v>0</v>
      </c>
      <c r="I5185" t="n">
        <v>0</v>
      </c>
      <c r="J5185" t="n">
        <v>0</v>
      </c>
      <c r="K5185" t="n">
        <v>0</v>
      </c>
      <c r="L5185" t="n">
        <v>0</v>
      </c>
      <c r="M5185" t="n">
        <v>0</v>
      </c>
      <c r="N5185" t="n">
        <v>0</v>
      </c>
      <c r="O5185" t="n">
        <v>0</v>
      </c>
      <c r="P5185" t="n">
        <v>0</v>
      </c>
      <c r="Q5185" t="n">
        <v>0</v>
      </c>
      <c r="R5185" s="2" t="inlineStr"/>
    </row>
    <row r="5186" ht="15" customHeight="1">
      <c r="A5186" t="inlineStr">
        <is>
          <t>A 19456-2025</t>
        </is>
      </c>
      <c r="B5186" s="1" t="n">
        <v>45770.36226851852</v>
      </c>
      <c r="C5186" s="1" t="n">
        <v>46086</v>
      </c>
      <c r="D5186" t="inlineStr">
        <is>
          <t>GÄVLEBORGS LÄN</t>
        </is>
      </c>
      <c r="E5186" t="inlineStr">
        <is>
          <t>HUDIKSVALL</t>
        </is>
      </c>
      <c r="G5186" t="n">
        <v>5.2</v>
      </c>
      <c r="H5186" t="n">
        <v>0</v>
      </c>
      <c r="I5186" t="n">
        <v>0</v>
      </c>
      <c r="J5186" t="n">
        <v>0</v>
      </c>
      <c r="K5186" t="n">
        <v>0</v>
      </c>
      <c r="L5186" t="n">
        <v>0</v>
      </c>
      <c r="M5186" t="n">
        <v>0</v>
      </c>
      <c r="N5186" t="n">
        <v>0</v>
      </c>
      <c r="O5186" t="n">
        <v>0</v>
      </c>
      <c r="P5186" t="n">
        <v>0</v>
      </c>
      <c r="Q5186" t="n">
        <v>0</v>
      </c>
      <c r="R5186" s="2" t="inlineStr"/>
    </row>
    <row r="5187" ht="15" customHeight="1">
      <c r="A5187" t="inlineStr">
        <is>
          <t>A 45450-2025</t>
        </is>
      </c>
      <c r="B5187" s="1" t="n">
        <v>45922</v>
      </c>
      <c r="C5187" s="1" t="n">
        <v>46086</v>
      </c>
      <c r="D5187" t="inlineStr">
        <is>
          <t>GÄVLEBORGS LÄN</t>
        </is>
      </c>
      <c r="E5187" t="inlineStr">
        <is>
          <t>LJUSDAL</t>
        </is>
      </c>
      <c r="F5187" t="inlineStr">
        <is>
          <t>Sveaskog</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19235-2025</t>
        </is>
      </c>
      <c r="B5188" s="1" t="n">
        <v>45769.46902777778</v>
      </c>
      <c r="C5188" s="1" t="n">
        <v>46086</v>
      </c>
      <c r="D5188" t="inlineStr">
        <is>
          <t>GÄVLEBORGS LÄN</t>
        </is>
      </c>
      <c r="E5188" t="inlineStr">
        <is>
          <t>OVANÅKER</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45917-2025</t>
        </is>
      </c>
      <c r="B5189" s="1" t="n">
        <v>45923.83880787037</v>
      </c>
      <c r="C5189" s="1" t="n">
        <v>46086</v>
      </c>
      <c r="D5189" t="inlineStr">
        <is>
          <t>GÄVLEBORGS LÄN</t>
        </is>
      </c>
      <c r="E5189" t="inlineStr">
        <is>
          <t>GÄVLE</t>
        </is>
      </c>
      <c r="F5189" t="inlineStr">
        <is>
          <t>Bergvik skog öst AB</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45918-2025</t>
        </is>
      </c>
      <c r="B5190" s="1" t="n">
        <v>45923.84063657407</v>
      </c>
      <c r="C5190" s="1" t="n">
        <v>46086</v>
      </c>
      <c r="D5190" t="inlineStr">
        <is>
          <t>GÄVLEBORGS LÄN</t>
        </is>
      </c>
      <c r="E5190" t="inlineStr">
        <is>
          <t>GÄVLE</t>
        </is>
      </c>
      <c r="F5190" t="inlineStr">
        <is>
          <t>Bergvik skog öst AB</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45919-2025</t>
        </is>
      </c>
      <c r="B5191" s="1" t="n">
        <v>45923.84163194444</v>
      </c>
      <c r="C5191" s="1" t="n">
        <v>46086</v>
      </c>
      <c r="D5191" t="inlineStr">
        <is>
          <t>GÄVLEBORGS LÄN</t>
        </is>
      </c>
      <c r="E5191" t="inlineStr">
        <is>
          <t>GÄVLE</t>
        </is>
      </c>
      <c r="F5191" t="inlineStr">
        <is>
          <t>Bergvik skog öst AB</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46142-2025</t>
        </is>
      </c>
      <c r="B5192" s="1" t="n">
        <v>45924.60533564815</v>
      </c>
      <c r="C5192" s="1" t="n">
        <v>46086</v>
      </c>
      <c r="D5192" t="inlineStr">
        <is>
          <t>GÄVLEBORGS LÄN</t>
        </is>
      </c>
      <c r="E5192" t="inlineStr">
        <is>
          <t>HUDIKSVALL</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25093-2024</t>
        </is>
      </c>
      <c r="B5193" s="1" t="n">
        <v>45462</v>
      </c>
      <c r="C5193" s="1" t="n">
        <v>46086</v>
      </c>
      <c r="D5193" t="inlineStr">
        <is>
          <t>GÄVLEBORGS LÄN</t>
        </is>
      </c>
      <c r="E5193" t="inlineStr">
        <is>
          <t>LJUSDAL</t>
        </is>
      </c>
      <c r="F5193" t="inlineStr">
        <is>
          <t>Bergvik skog väst AB</t>
        </is>
      </c>
      <c r="G5193" t="n">
        <v>10.6</v>
      </c>
      <c r="H5193" t="n">
        <v>0</v>
      </c>
      <c r="I5193" t="n">
        <v>0</v>
      </c>
      <c r="J5193" t="n">
        <v>0</v>
      </c>
      <c r="K5193" t="n">
        <v>0</v>
      </c>
      <c r="L5193" t="n">
        <v>0</v>
      </c>
      <c r="M5193" t="n">
        <v>0</v>
      </c>
      <c r="N5193" t="n">
        <v>0</v>
      </c>
      <c r="O5193" t="n">
        <v>0</v>
      </c>
      <c r="P5193" t="n">
        <v>0</v>
      </c>
      <c r="Q5193" t="n">
        <v>0</v>
      </c>
      <c r="R5193" s="2" t="inlineStr"/>
    </row>
    <row r="5194" ht="15" customHeight="1">
      <c r="A5194" t="inlineStr">
        <is>
          <t>A 46185-2025</t>
        </is>
      </c>
      <c r="B5194" s="1" t="n">
        <v>45924.6600462963</v>
      </c>
      <c r="C5194" s="1" t="n">
        <v>46086</v>
      </c>
      <c r="D5194" t="inlineStr">
        <is>
          <t>GÄVLEBORGS LÄN</t>
        </is>
      </c>
      <c r="E5194" t="inlineStr">
        <is>
          <t>BOLLNÄS</t>
        </is>
      </c>
      <c r="G5194" t="n">
        <v>7.2</v>
      </c>
      <c r="H5194" t="n">
        <v>0</v>
      </c>
      <c r="I5194" t="n">
        <v>0</v>
      </c>
      <c r="J5194" t="n">
        <v>0</v>
      </c>
      <c r="K5194" t="n">
        <v>0</v>
      </c>
      <c r="L5194" t="n">
        <v>0</v>
      </c>
      <c r="M5194" t="n">
        <v>0</v>
      </c>
      <c r="N5194" t="n">
        <v>0</v>
      </c>
      <c r="O5194" t="n">
        <v>0</v>
      </c>
      <c r="P5194" t="n">
        <v>0</v>
      </c>
      <c r="Q5194" t="n">
        <v>0</v>
      </c>
      <c r="R5194" s="2" t="inlineStr"/>
    </row>
    <row r="5195" ht="15" customHeight="1">
      <c r="A5195" t="inlineStr">
        <is>
          <t>A 35821-2025</t>
        </is>
      </c>
      <c r="B5195" s="1" t="n">
        <v>45861.46443287037</v>
      </c>
      <c r="C5195" s="1" t="n">
        <v>46086</v>
      </c>
      <c r="D5195" t="inlineStr">
        <is>
          <t>GÄVLEBORGS LÄN</t>
        </is>
      </c>
      <c r="E5195" t="inlineStr">
        <is>
          <t>NORDANSTIG</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26131-2024</t>
        </is>
      </c>
      <c r="B5196" s="1" t="n">
        <v>45468.47575231481</v>
      </c>
      <c r="C5196" s="1" t="n">
        <v>46086</v>
      </c>
      <c r="D5196" t="inlineStr">
        <is>
          <t>GÄVLEBORGS LÄN</t>
        </is>
      </c>
      <c r="E5196" t="inlineStr">
        <is>
          <t>GÄVLE</t>
        </is>
      </c>
      <c r="F5196" t="inlineStr">
        <is>
          <t>Bergvik skog väst AB</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26149-2024</t>
        </is>
      </c>
      <c r="B5197" s="1" t="n">
        <v>45468.50820601852</v>
      </c>
      <c r="C5197" s="1" t="n">
        <v>46086</v>
      </c>
      <c r="D5197" t="inlineStr">
        <is>
          <t>GÄVLEBORGS LÄN</t>
        </is>
      </c>
      <c r="E5197" t="inlineStr">
        <is>
          <t>SANDVIKEN</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46257-2025</t>
        </is>
      </c>
      <c r="B5198" s="1" t="n">
        <v>45925.3475925926</v>
      </c>
      <c r="C5198" s="1" t="n">
        <v>46086</v>
      </c>
      <c r="D5198" t="inlineStr">
        <is>
          <t>GÄVLEBORGS LÄN</t>
        </is>
      </c>
      <c r="E5198" t="inlineStr">
        <is>
          <t>HUDIKSVALL</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45921-2025</t>
        </is>
      </c>
      <c r="B5199" s="1" t="n">
        <v>45923.84267361111</v>
      </c>
      <c r="C5199" s="1" t="n">
        <v>46086</v>
      </c>
      <c r="D5199" t="inlineStr">
        <is>
          <t>GÄVLEBORGS LÄN</t>
        </is>
      </c>
      <c r="E5199" t="inlineStr">
        <is>
          <t>GÄVLE</t>
        </is>
      </c>
      <c r="F5199" t="inlineStr">
        <is>
          <t>Bergvik skog öst AB</t>
        </is>
      </c>
      <c r="G5199" t="n">
        <v>5.6</v>
      </c>
      <c r="H5199" t="n">
        <v>0</v>
      </c>
      <c r="I5199" t="n">
        <v>0</v>
      </c>
      <c r="J5199" t="n">
        <v>0</v>
      </c>
      <c r="K5199" t="n">
        <v>0</v>
      </c>
      <c r="L5199" t="n">
        <v>0</v>
      </c>
      <c r="M5199" t="n">
        <v>0</v>
      </c>
      <c r="N5199" t="n">
        <v>0</v>
      </c>
      <c r="O5199" t="n">
        <v>0</v>
      </c>
      <c r="P5199" t="n">
        <v>0</v>
      </c>
      <c r="Q5199" t="n">
        <v>0</v>
      </c>
      <c r="R5199" s="2" t="inlineStr"/>
    </row>
    <row r="5200" ht="15" customHeight="1">
      <c r="A5200" t="inlineStr">
        <is>
          <t>A 19179-2025</t>
        </is>
      </c>
      <c r="B5200" s="1" t="n">
        <v>45767</v>
      </c>
      <c r="C5200" s="1" t="n">
        <v>46086</v>
      </c>
      <c r="D5200" t="inlineStr">
        <is>
          <t>GÄVLEBORGS LÄN</t>
        </is>
      </c>
      <c r="E5200" t="inlineStr">
        <is>
          <t>HUDIKSVALL</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45995-2025</t>
        </is>
      </c>
      <c r="B5201" s="1" t="n">
        <v>45924.39846064815</v>
      </c>
      <c r="C5201" s="1" t="n">
        <v>46086</v>
      </c>
      <c r="D5201" t="inlineStr">
        <is>
          <t>GÄVLEBORGS LÄN</t>
        </is>
      </c>
      <c r="E5201" t="inlineStr">
        <is>
          <t>GÄVLE</t>
        </is>
      </c>
      <c r="F5201" t="inlineStr">
        <is>
          <t>Bergvik skog väst AB</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35707-2025</t>
        </is>
      </c>
      <c r="B5202" s="1" t="n">
        <v>45860.37251157407</v>
      </c>
      <c r="C5202" s="1" t="n">
        <v>46086</v>
      </c>
      <c r="D5202" t="inlineStr">
        <is>
          <t>GÄVLEBORGS LÄN</t>
        </is>
      </c>
      <c r="E5202" t="inlineStr">
        <is>
          <t>NORDANSTIG</t>
        </is>
      </c>
      <c r="F5202" t="inlineStr">
        <is>
          <t>Holmen skog AB</t>
        </is>
      </c>
      <c r="G5202" t="n">
        <v>4.2</v>
      </c>
      <c r="H5202" t="n">
        <v>0</v>
      </c>
      <c r="I5202" t="n">
        <v>0</v>
      </c>
      <c r="J5202" t="n">
        <v>0</v>
      </c>
      <c r="K5202" t="n">
        <v>0</v>
      </c>
      <c r="L5202" t="n">
        <v>0</v>
      </c>
      <c r="M5202" t="n">
        <v>0</v>
      </c>
      <c r="N5202" t="n">
        <v>0</v>
      </c>
      <c r="O5202" t="n">
        <v>0</v>
      </c>
      <c r="P5202" t="n">
        <v>0</v>
      </c>
      <c r="Q5202" t="n">
        <v>0</v>
      </c>
      <c r="R5202" s="2" t="inlineStr"/>
    </row>
    <row r="5203" ht="15" customHeight="1">
      <c r="A5203" t="inlineStr">
        <is>
          <t>A 35650-2025</t>
        </is>
      </c>
      <c r="B5203" s="1" t="n">
        <v>45859.51940972222</v>
      </c>
      <c r="C5203" s="1" t="n">
        <v>46086</v>
      </c>
      <c r="D5203" t="inlineStr">
        <is>
          <t>GÄVLEBORGS LÄN</t>
        </is>
      </c>
      <c r="E5203" t="inlineStr">
        <is>
          <t>GÄVLE</t>
        </is>
      </c>
      <c r="F5203" t="inlineStr">
        <is>
          <t>Bergvik skog väst AB</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45939-2025</t>
        </is>
      </c>
      <c r="B5204" s="1" t="n">
        <v>45924.30354166667</v>
      </c>
      <c r="C5204" s="1" t="n">
        <v>46086</v>
      </c>
      <c r="D5204" t="inlineStr">
        <is>
          <t>GÄVLEBORGS LÄN</t>
        </is>
      </c>
      <c r="E5204" t="inlineStr">
        <is>
          <t>OVANÅKER</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35812-2025</t>
        </is>
      </c>
      <c r="B5205" s="1" t="n">
        <v>45861.43253472223</v>
      </c>
      <c r="C5205" s="1" t="n">
        <v>46086</v>
      </c>
      <c r="D5205" t="inlineStr">
        <is>
          <t>GÄVLEBORGS LÄN</t>
        </is>
      </c>
      <c r="E5205" t="inlineStr">
        <is>
          <t>OVANÅKER</t>
        </is>
      </c>
      <c r="F5205" t="inlineStr">
        <is>
          <t>Bergvik skog väst AB</t>
        </is>
      </c>
      <c r="G5205" t="n">
        <v>7</v>
      </c>
      <c r="H5205" t="n">
        <v>0</v>
      </c>
      <c r="I5205" t="n">
        <v>0</v>
      </c>
      <c r="J5205" t="n">
        <v>0</v>
      </c>
      <c r="K5205" t="n">
        <v>0</v>
      </c>
      <c r="L5205" t="n">
        <v>0</v>
      </c>
      <c r="M5205" t="n">
        <v>0</v>
      </c>
      <c r="N5205" t="n">
        <v>0</v>
      </c>
      <c r="O5205" t="n">
        <v>0</v>
      </c>
      <c r="P5205" t="n">
        <v>0</v>
      </c>
      <c r="Q5205" t="n">
        <v>0</v>
      </c>
      <c r="R5205" s="2" t="inlineStr"/>
    </row>
    <row r="5206" ht="15" customHeight="1">
      <c r="A5206" t="inlineStr">
        <is>
          <t>A 35823-2025</t>
        </is>
      </c>
      <c r="B5206" s="1" t="n">
        <v>45861.47555555555</v>
      </c>
      <c r="C5206" s="1" t="n">
        <v>46086</v>
      </c>
      <c r="D5206" t="inlineStr">
        <is>
          <t>GÄVLEBORGS LÄN</t>
        </is>
      </c>
      <c r="E5206" t="inlineStr">
        <is>
          <t>OVANÅKER</t>
        </is>
      </c>
      <c r="F5206" t="inlineStr">
        <is>
          <t>Bergvik skog väst AB</t>
        </is>
      </c>
      <c r="G5206" t="n">
        <v>6.9</v>
      </c>
      <c r="H5206" t="n">
        <v>0</v>
      </c>
      <c r="I5206" t="n">
        <v>0</v>
      </c>
      <c r="J5206" t="n">
        <v>0</v>
      </c>
      <c r="K5206" t="n">
        <v>0</v>
      </c>
      <c r="L5206" t="n">
        <v>0</v>
      </c>
      <c r="M5206" t="n">
        <v>0</v>
      </c>
      <c r="N5206" t="n">
        <v>0</v>
      </c>
      <c r="O5206" t="n">
        <v>0</v>
      </c>
      <c r="P5206" t="n">
        <v>0</v>
      </c>
      <c r="Q5206" t="n">
        <v>0</v>
      </c>
      <c r="R5206" s="2" t="inlineStr"/>
    </row>
    <row r="5207" ht="15" customHeight="1">
      <c r="A5207" t="inlineStr">
        <is>
          <t>A 35849-2025</t>
        </is>
      </c>
      <c r="B5207" s="1" t="n">
        <v>45861.590625</v>
      </c>
      <c r="C5207" s="1" t="n">
        <v>46086</v>
      </c>
      <c r="D5207" t="inlineStr">
        <is>
          <t>GÄVLEBORGS LÄN</t>
        </is>
      </c>
      <c r="E5207" t="inlineStr">
        <is>
          <t>OVANÅKER</t>
        </is>
      </c>
      <c r="F5207" t="inlineStr">
        <is>
          <t>Bergvik skog väst AB</t>
        </is>
      </c>
      <c r="G5207" t="n">
        <v>9.9</v>
      </c>
      <c r="H5207" t="n">
        <v>0</v>
      </c>
      <c r="I5207" t="n">
        <v>0</v>
      </c>
      <c r="J5207" t="n">
        <v>0</v>
      </c>
      <c r="K5207" t="n">
        <v>0</v>
      </c>
      <c r="L5207" t="n">
        <v>0</v>
      </c>
      <c r="M5207" t="n">
        <v>0</v>
      </c>
      <c r="N5207" t="n">
        <v>0</v>
      </c>
      <c r="O5207" t="n">
        <v>0</v>
      </c>
      <c r="P5207" t="n">
        <v>0</v>
      </c>
      <c r="Q5207" t="n">
        <v>0</v>
      </c>
      <c r="R5207" s="2" t="inlineStr"/>
    </row>
    <row r="5208" ht="15" customHeight="1">
      <c r="A5208" t="inlineStr">
        <is>
          <t>A 46188-2025</t>
        </is>
      </c>
      <c r="B5208" s="1" t="n">
        <v>45924.66311342592</v>
      </c>
      <c r="C5208" s="1" t="n">
        <v>46086</v>
      </c>
      <c r="D5208" t="inlineStr">
        <is>
          <t>GÄVLEBORGS LÄN</t>
        </is>
      </c>
      <c r="E5208" t="inlineStr">
        <is>
          <t>OVANÅKER</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46076-2025</t>
        </is>
      </c>
      <c r="B5209" s="1" t="n">
        <v>45924.50258101852</v>
      </c>
      <c r="C5209" s="1" t="n">
        <v>46086</v>
      </c>
      <c r="D5209" t="inlineStr">
        <is>
          <t>GÄVLEBORGS LÄN</t>
        </is>
      </c>
      <c r="E5209" t="inlineStr">
        <is>
          <t>HUDIKSVALL</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46431-2025</t>
        </is>
      </c>
      <c r="B5210" s="1" t="n">
        <v>45925.61696759259</v>
      </c>
      <c r="C5210" s="1" t="n">
        <v>46086</v>
      </c>
      <c r="D5210" t="inlineStr">
        <is>
          <t>GÄVLEBORGS LÄN</t>
        </is>
      </c>
      <c r="E5210" t="inlineStr">
        <is>
          <t>GÄVLE</t>
        </is>
      </c>
      <c r="F5210" t="inlineStr">
        <is>
          <t>Bergvik skog öst AB</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35804-2025</t>
        </is>
      </c>
      <c r="B5211" s="1" t="n">
        <v>45861.39952546296</v>
      </c>
      <c r="C5211" s="1" t="n">
        <v>46086</v>
      </c>
      <c r="D5211" t="inlineStr">
        <is>
          <t>GÄVLEBORGS LÄN</t>
        </is>
      </c>
      <c r="E5211" t="inlineStr">
        <is>
          <t>LJUSDAL</t>
        </is>
      </c>
      <c r="G5211" t="n">
        <v>15.3</v>
      </c>
      <c r="H5211" t="n">
        <v>0</v>
      </c>
      <c r="I5211" t="n">
        <v>0</v>
      </c>
      <c r="J5211" t="n">
        <v>0</v>
      </c>
      <c r="K5211" t="n">
        <v>0</v>
      </c>
      <c r="L5211" t="n">
        <v>0</v>
      </c>
      <c r="M5211" t="n">
        <v>0</v>
      </c>
      <c r="N5211" t="n">
        <v>0</v>
      </c>
      <c r="O5211" t="n">
        <v>0</v>
      </c>
      <c r="P5211" t="n">
        <v>0</v>
      </c>
      <c r="Q5211" t="n">
        <v>0</v>
      </c>
      <c r="R5211" s="2" t="inlineStr"/>
    </row>
    <row r="5212" ht="15" customHeight="1">
      <c r="A5212" t="inlineStr">
        <is>
          <t>A 16627-2025</t>
        </is>
      </c>
      <c r="B5212" s="1" t="n">
        <v>45754.35082175926</v>
      </c>
      <c r="C5212" s="1" t="n">
        <v>46086</v>
      </c>
      <c r="D5212" t="inlineStr">
        <is>
          <t>GÄVLEBORGS LÄN</t>
        </is>
      </c>
      <c r="E5212" t="inlineStr">
        <is>
          <t>BOLLNÄS</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46463-2025</t>
        </is>
      </c>
      <c r="B5213" s="1" t="n">
        <v>45925.66907407407</v>
      </c>
      <c r="C5213" s="1" t="n">
        <v>46086</v>
      </c>
      <c r="D5213" t="inlineStr">
        <is>
          <t>GÄVLEBORGS LÄN</t>
        </is>
      </c>
      <c r="E5213" t="inlineStr">
        <is>
          <t>OVANÅKER</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18800-2025</t>
        </is>
      </c>
      <c r="B5214" s="1" t="n">
        <v>45764.34707175926</v>
      </c>
      <c r="C5214" s="1" t="n">
        <v>46086</v>
      </c>
      <c r="D5214" t="inlineStr">
        <is>
          <t>GÄVLEBORGS LÄN</t>
        </is>
      </c>
      <c r="E5214" t="inlineStr">
        <is>
          <t>LJUSDAL</t>
        </is>
      </c>
      <c r="F5214" t="inlineStr">
        <is>
          <t>Sveaskog</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17208-2025</t>
        </is>
      </c>
      <c r="B5215" s="1" t="n">
        <v>45756.43231481482</v>
      </c>
      <c r="C5215" s="1" t="n">
        <v>46086</v>
      </c>
      <c r="D5215" t="inlineStr">
        <is>
          <t>GÄVLEBORGS LÄN</t>
        </is>
      </c>
      <c r="E5215" t="inlineStr">
        <is>
          <t>OCKELBO</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28024-2024</t>
        </is>
      </c>
      <c r="B5216" s="1" t="n">
        <v>45476.48216435185</v>
      </c>
      <c r="C5216" s="1" t="n">
        <v>46086</v>
      </c>
      <c r="D5216" t="inlineStr">
        <is>
          <t>GÄVLEBORGS LÄN</t>
        </is>
      </c>
      <c r="E5216" t="inlineStr">
        <is>
          <t>LJUSDAL</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46027-2025</t>
        </is>
      </c>
      <c r="B5217" s="1" t="n">
        <v>45924.43771990741</v>
      </c>
      <c r="C5217" s="1" t="n">
        <v>46086</v>
      </c>
      <c r="D5217" t="inlineStr">
        <is>
          <t>GÄVLEBORGS LÄN</t>
        </is>
      </c>
      <c r="E5217" t="inlineStr">
        <is>
          <t>NORDANSTIG</t>
        </is>
      </c>
      <c r="F5217" t="inlineStr">
        <is>
          <t>Holmen skog AB</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46399-2025</t>
        </is>
      </c>
      <c r="B5218" s="1" t="n">
        <v>45925.55168981481</v>
      </c>
      <c r="C5218" s="1" t="n">
        <v>46086</v>
      </c>
      <c r="D5218" t="inlineStr">
        <is>
          <t>GÄVLEBORGS LÄN</t>
        </is>
      </c>
      <c r="E5218" t="inlineStr">
        <is>
          <t>OVANÅKER</t>
        </is>
      </c>
      <c r="G5218" t="n">
        <v>6</v>
      </c>
      <c r="H5218" t="n">
        <v>0</v>
      </c>
      <c r="I5218" t="n">
        <v>0</v>
      </c>
      <c r="J5218" t="n">
        <v>0</v>
      </c>
      <c r="K5218" t="n">
        <v>0</v>
      </c>
      <c r="L5218" t="n">
        <v>0</v>
      </c>
      <c r="M5218" t="n">
        <v>0</v>
      </c>
      <c r="N5218" t="n">
        <v>0</v>
      </c>
      <c r="O5218" t="n">
        <v>0</v>
      </c>
      <c r="P5218" t="n">
        <v>0</v>
      </c>
      <c r="Q5218" t="n">
        <v>0</v>
      </c>
      <c r="R5218" s="2" t="inlineStr"/>
    </row>
    <row r="5219" ht="15" customHeight="1">
      <c r="A5219" t="inlineStr">
        <is>
          <t>A 46351-2025</t>
        </is>
      </c>
      <c r="B5219" s="1" t="n">
        <v>45925</v>
      </c>
      <c r="C5219" s="1" t="n">
        <v>46086</v>
      </c>
      <c r="D5219" t="inlineStr">
        <is>
          <t>GÄVLEBORGS LÄN</t>
        </is>
      </c>
      <c r="E5219" t="inlineStr">
        <is>
          <t>HUDIKSVALL</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35733-2025</t>
        </is>
      </c>
      <c r="B5220" s="1" t="n">
        <v>45860.47178240741</v>
      </c>
      <c r="C5220" s="1" t="n">
        <v>46086</v>
      </c>
      <c r="D5220" t="inlineStr">
        <is>
          <t>GÄVLEBORGS LÄN</t>
        </is>
      </c>
      <c r="E5220" t="inlineStr">
        <is>
          <t>NORDANSTIG</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46133-2025</t>
        </is>
      </c>
      <c r="B5221" s="1" t="n">
        <v>45924.59583333333</v>
      </c>
      <c r="C5221" s="1" t="n">
        <v>46086</v>
      </c>
      <c r="D5221" t="inlineStr">
        <is>
          <t>GÄVLEBORGS LÄN</t>
        </is>
      </c>
      <c r="E5221" t="inlineStr">
        <is>
          <t>GÄVLE</t>
        </is>
      </c>
      <c r="F5221" t="inlineStr">
        <is>
          <t>Bergvik skog öst AB</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35714-2025</t>
        </is>
      </c>
      <c r="B5222" s="1" t="n">
        <v>45860.41956018518</v>
      </c>
      <c r="C5222" s="1" t="n">
        <v>46086</v>
      </c>
      <c r="D5222" t="inlineStr">
        <is>
          <t>GÄVLEBORGS LÄN</t>
        </is>
      </c>
      <c r="E5222" t="inlineStr">
        <is>
          <t>NORDANSTIG</t>
        </is>
      </c>
      <c r="F5222" t="inlineStr">
        <is>
          <t>Holmen skog AB</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64344-2021</t>
        </is>
      </c>
      <c r="B5223" s="1" t="n">
        <v>44511</v>
      </c>
      <c r="C5223" s="1" t="n">
        <v>46086</v>
      </c>
      <c r="D5223" t="inlineStr">
        <is>
          <t>GÄVLEBORGS LÄN</t>
        </is>
      </c>
      <c r="E5223" t="inlineStr">
        <is>
          <t>HUDIKSVALL</t>
        </is>
      </c>
      <c r="G5223" t="n">
        <v>5.2</v>
      </c>
      <c r="H5223" t="n">
        <v>0</v>
      </c>
      <c r="I5223" t="n">
        <v>0</v>
      </c>
      <c r="J5223" t="n">
        <v>0</v>
      </c>
      <c r="K5223" t="n">
        <v>0</v>
      </c>
      <c r="L5223" t="n">
        <v>0</v>
      </c>
      <c r="M5223" t="n">
        <v>0</v>
      </c>
      <c r="N5223" t="n">
        <v>0</v>
      </c>
      <c r="O5223" t="n">
        <v>0</v>
      </c>
      <c r="P5223" t="n">
        <v>0</v>
      </c>
      <c r="Q5223" t="n">
        <v>0</v>
      </c>
      <c r="R5223" s="2" t="inlineStr"/>
    </row>
    <row r="5224" ht="15" customHeight="1">
      <c r="A5224" t="inlineStr">
        <is>
          <t>A 35505-2024</t>
        </is>
      </c>
      <c r="B5224" s="1" t="n">
        <v>45531.53869212963</v>
      </c>
      <c r="C5224" s="1" t="n">
        <v>46086</v>
      </c>
      <c r="D5224" t="inlineStr">
        <is>
          <t>GÄVLEBORGS LÄN</t>
        </is>
      </c>
      <c r="E5224" t="inlineStr">
        <is>
          <t>HOFORS</t>
        </is>
      </c>
      <c r="F5224" t="inlineStr">
        <is>
          <t>Sveaskog</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35514-2024</t>
        </is>
      </c>
      <c r="B5225" s="1" t="n">
        <v>45531.56472222223</v>
      </c>
      <c r="C5225" s="1" t="n">
        <v>46086</v>
      </c>
      <c r="D5225" t="inlineStr">
        <is>
          <t>GÄVLEBORGS LÄN</t>
        </is>
      </c>
      <c r="E5225" t="inlineStr">
        <is>
          <t>HOFORS</t>
        </is>
      </c>
      <c r="F5225" t="inlineStr">
        <is>
          <t>Sveaskog</t>
        </is>
      </c>
      <c r="G5225" t="n">
        <v>6.5</v>
      </c>
      <c r="H5225" t="n">
        <v>0</v>
      </c>
      <c r="I5225" t="n">
        <v>0</v>
      </c>
      <c r="J5225" t="n">
        <v>0</v>
      </c>
      <c r="K5225" t="n">
        <v>0</v>
      </c>
      <c r="L5225" t="n">
        <v>0</v>
      </c>
      <c r="M5225" t="n">
        <v>0</v>
      </c>
      <c r="N5225" t="n">
        <v>0</v>
      </c>
      <c r="O5225" t="n">
        <v>0</v>
      </c>
      <c r="P5225" t="n">
        <v>0</v>
      </c>
      <c r="Q5225" t="n">
        <v>0</v>
      </c>
      <c r="R5225" s="2" t="inlineStr"/>
    </row>
    <row r="5226" ht="15" customHeight="1">
      <c r="A5226" t="inlineStr">
        <is>
          <t>A 33386-2024</t>
        </is>
      </c>
      <c r="B5226" s="1" t="n">
        <v>45519.47221064815</v>
      </c>
      <c r="C5226" s="1" t="n">
        <v>46086</v>
      </c>
      <c r="D5226" t="inlineStr">
        <is>
          <t>GÄVLEBORGS LÄN</t>
        </is>
      </c>
      <c r="E5226" t="inlineStr">
        <is>
          <t>LJUSDAL</t>
        </is>
      </c>
      <c r="F5226" t="inlineStr">
        <is>
          <t>Sveaskog</t>
        </is>
      </c>
      <c r="G5226" t="n">
        <v>3.3</v>
      </c>
      <c r="H5226" t="n">
        <v>0</v>
      </c>
      <c r="I5226" t="n">
        <v>0</v>
      </c>
      <c r="J5226" t="n">
        <v>0</v>
      </c>
      <c r="K5226" t="n">
        <v>0</v>
      </c>
      <c r="L5226" t="n">
        <v>0</v>
      </c>
      <c r="M5226" t="n">
        <v>0</v>
      </c>
      <c r="N5226" t="n">
        <v>0</v>
      </c>
      <c r="O5226" t="n">
        <v>0</v>
      </c>
      <c r="P5226" t="n">
        <v>0</v>
      </c>
      <c r="Q5226" t="n">
        <v>0</v>
      </c>
      <c r="R5226" s="2" t="inlineStr"/>
    </row>
    <row r="5227" ht="15" customHeight="1">
      <c r="A5227" t="inlineStr">
        <is>
          <t>A 12474-2021</t>
        </is>
      </c>
      <c r="B5227" s="1" t="n">
        <v>44267</v>
      </c>
      <c r="C5227" s="1" t="n">
        <v>46086</v>
      </c>
      <c r="D5227" t="inlineStr">
        <is>
          <t>GÄVLEBORGS LÄN</t>
        </is>
      </c>
      <c r="E5227" t="inlineStr">
        <is>
          <t>BOLLNÄS</t>
        </is>
      </c>
      <c r="G5227" t="n">
        <v>0.1</v>
      </c>
      <c r="H5227" t="n">
        <v>0</v>
      </c>
      <c r="I5227" t="n">
        <v>0</v>
      </c>
      <c r="J5227" t="n">
        <v>0</v>
      </c>
      <c r="K5227" t="n">
        <v>0</v>
      </c>
      <c r="L5227" t="n">
        <v>0</v>
      </c>
      <c r="M5227" t="n">
        <v>0</v>
      </c>
      <c r="N5227" t="n">
        <v>0</v>
      </c>
      <c r="O5227" t="n">
        <v>0</v>
      </c>
      <c r="P5227" t="n">
        <v>0</v>
      </c>
      <c r="Q5227" t="n">
        <v>0</v>
      </c>
      <c r="R5227" s="2" t="inlineStr"/>
    </row>
    <row r="5228" ht="15" customHeight="1">
      <c r="A5228" t="inlineStr">
        <is>
          <t>A 12886-2025</t>
        </is>
      </c>
      <c r="B5228" s="1" t="n">
        <v>45733.69862268519</v>
      </c>
      <c r="C5228" s="1" t="n">
        <v>46086</v>
      </c>
      <c r="D5228" t="inlineStr">
        <is>
          <t>GÄVLEBORGS LÄN</t>
        </is>
      </c>
      <c r="E5228" t="inlineStr">
        <is>
          <t>LJUSDAL</t>
        </is>
      </c>
      <c r="F5228" t="inlineStr">
        <is>
          <t>SCA</t>
        </is>
      </c>
      <c r="G5228" t="n">
        <v>9.199999999999999</v>
      </c>
      <c r="H5228" t="n">
        <v>0</v>
      </c>
      <c r="I5228" t="n">
        <v>0</v>
      </c>
      <c r="J5228" t="n">
        <v>0</v>
      </c>
      <c r="K5228" t="n">
        <v>0</v>
      </c>
      <c r="L5228" t="n">
        <v>0</v>
      </c>
      <c r="M5228" t="n">
        <v>0</v>
      </c>
      <c r="N5228" t="n">
        <v>0</v>
      </c>
      <c r="O5228" t="n">
        <v>0</v>
      </c>
      <c r="P5228" t="n">
        <v>0</v>
      </c>
      <c r="Q5228" t="n">
        <v>0</v>
      </c>
      <c r="R5228" s="2" t="inlineStr"/>
    </row>
    <row r="5229" ht="15" customHeight="1">
      <c r="A5229" t="inlineStr">
        <is>
          <t>A 65403-2021</t>
        </is>
      </c>
      <c r="B5229" s="1" t="n">
        <v>44515</v>
      </c>
      <c r="C5229" s="1" t="n">
        <v>46086</v>
      </c>
      <c r="D5229" t="inlineStr">
        <is>
          <t>GÄVLEBORGS LÄN</t>
        </is>
      </c>
      <c r="E5229" t="inlineStr">
        <is>
          <t>BOLLNÄS</t>
        </is>
      </c>
      <c r="F5229" t="inlineStr">
        <is>
          <t>Bergvik skog väst AB</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20675-2022</t>
        </is>
      </c>
      <c r="B5230" s="1" t="n">
        <v>44700</v>
      </c>
      <c r="C5230" s="1" t="n">
        <v>46086</v>
      </c>
      <c r="D5230" t="inlineStr">
        <is>
          <t>GÄVLEBORGS LÄN</t>
        </is>
      </c>
      <c r="E5230" t="inlineStr">
        <is>
          <t>HUDIKSVALL</t>
        </is>
      </c>
      <c r="F5230" t="inlineStr">
        <is>
          <t>Holmen skog AB</t>
        </is>
      </c>
      <c r="G5230" t="n">
        <v>9.699999999999999</v>
      </c>
      <c r="H5230" t="n">
        <v>0</v>
      </c>
      <c r="I5230" t="n">
        <v>0</v>
      </c>
      <c r="J5230" t="n">
        <v>0</v>
      </c>
      <c r="K5230" t="n">
        <v>0</v>
      </c>
      <c r="L5230" t="n">
        <v>0</v>
      </c>
      <c r="M5230" t="n">
        <v>0</v>
      </c>
      <c r="N5230" t="n">
        <v>0</v>
      </c>
      <c r="O5230" t="n">
        <v>0</v>
      </c>
      <c r="P5230" t="n">
        <v>0</v>
      </c>
      <c r="Q5230" t="n">
        <v>0</v>
      </c>
      <c r="R5230" s="2" t="inlineStr"/>
    </row>
    <row r="5231" ht="15" customHeight="1">
      <c r="A5231" t="inlineStr">
        <is>
          <t>A 57199-2022</t>
        </is>
      </c>
      <c r="B5231" s="1" t="n">
        <v>44895</v>
      </c>
      <c r="C5231" s="1" t="n">
        <v>46086</v>
      </c>
      <c r="D5231" t="inlineStr">
        <is>
          <t>GÄVLEBORGS LÄN</t>
        </is>
      </c>
      <c r="E5231" t="inlineStr">
        <is>
          <t>HUDIKSVALL</t>
        </is>
      </c>
      <c r="G5231" t="n">
        <v>7.2</v>
      </c>
      <c r="H5231" t="n">
        <v>0</v>
      </c>
      <c r="I5231" t="n">
        <v>0</v>
      </c>
      <c r="J5231" t="n">
        <v>0</v>
      </c>
      <c r="K5231" t="n">
        <v>0</v>
      </c>
      <c r="L5231" t="n">
        <v>0</v>
      </c>
      <c r="M5231" t="n">
        <v>0</v>
      </c>
      <c r="N5231" t="n">
        <v>0</v>
      </c>
      <c r="O5231" t="n">
        <v>0</v>
      </c>
      <c r="P5231" t="n">
        <v>0</v>
      </c>
      <c r="Q5231" t="n">
        <v>0</v>
      </c>
      <c r="R5231" s="2" t="inlineStr"/>
    </row>
    <row r="5232" ht="15" customHeight="1">
      <c r="A5232" t="inlineStr">
        <is>
          <t>A 51867-2022</t>
        </is>
      </c>
      <c r="B5232" s="1" t="n">
        <v>44872.58997685185</v>
      </c>
      <c r="C5232" s="1" t="n">
        <v>46086</v>
      </c>
      <c r="D5232" t="inlineStr">
        <is>
          <t>GÄVLEBORGS LÄN</t>
        </is>
      </c>
      <c r="E5232" t="inlineStr">
        <is>
          <t>BOLLNÄS</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35722-2025</t>
        </is>
      </c>
      <c r="B5233" s="1" t="n">
        <v>45860.44288194444</v>
      </c>
      <c r="C5233" s="1" t="n">
        <v>46086</v>
      </c>
      <c r="D5233" t="inlineStr">
        <is>
          <t>GÄVLEBORGS LÄN</t>
        </is>
      </c>
      <c r="E5233" t="inlineStr">
        <is>
          <t>SÖDERHAMN</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57269-2022</t>
        </is>
      </c>
      <c r="B5234" s="1" t="n">
        <v>44895</v>
      </c>
      <c r="C5234" s="1" t="n">
        <v>46086</v>
      </c>
      <c r="D5234" t="inlineStr">
        <is>
          <t>GÄVLEBORGS LÄN</t>
        </is>
      </c>
      <c r="E5234" t="inlineStr">
        <is>
          <t>LJUSDAL</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35835-2025</t>
        </is>
      </c>
      <c r="B5235" s="1" t="n">
        <v>45861.53181712963</v>
      </c>
      <c r="C5235" s="1" t="n">
        <v>46086</v>
      </c>
      <c r="D5235" t="inlineStr">
        <is>
          <t>GÄVLEBORGS LÄN</t>
        </is>
      </c>
      <c r="E5235" t="inlineStr">
        <is>
          <t>LJUSDAL</t>
        </is>
      </c>
      <c r="F5235" t="inlineStr">
        <is>
          <t>SCA</t>
        </is>
      </c>
      <c r="G5235" t="n">
        <v>5.2</v>
      </c>
      <c r="H5235" t="n">
        <v>0</v>
      </c>
      <c r="I5235" t="n">
        <v>0</v>
      </c>
      <c r="J5235" t="n">
        <v>0</v>
      </c>
      <c r="K5235" t="n">
        <v>0</v>
      </c>
      <c r="L5235" t="n">
        <v>0</v>
      </c>
      <c r="M5235" t="n">
        <v>0</v>
      </c>
      <c r="N5235" t="n">
        <v>0</v>
      </c>
      <c r="O5235" t="n">
        <v>0</v>
      </c>
      <c r="P5235" t="n">
        <v>0</v>
      </c>
      <c r="Q5235" t="n">
        <v>0</v>
      </c>
      <c r="R5235" s="2" t="inlineStr"/>
    </row>
    <row r="5236" ht="15" customHeight="1">
      <c r="A5236" t="inlineStr">
        <is>
          <t>A 31518-2025</t>
        </is>
      </c>
      <c r="B5236" s="1" t="n">
        <v>45833.60696759259</v>
      </c>
      <c r="C5236" s="1" t="n">
        <v>46086</v>
      </c>
      <c r="D5236" t="inlineStr">
        <is>
          <t>GÄVLEBORGS LÄN</t>
        </is>
      </c>
      <c r="E5236" t="inlineStr">
        <is>
          <t>HUDIKSVALL</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46320-2025</t>
        </is>
      </c>
      <c r="B5237" s="1" t="n">
        <v>45925.4483912037</v>
      </c>
      <c r="C5237" s="1" t="n">
        <v>46086</v>
      </c>
      <c r="D5237" t="inlineStr">
        <is>
          <t>GÄVLEBORGS LÄN</t>
        </is>
      </c>
      <c r="E5237" t="inlineStr">
        <is>
          <t>OCKELBO</t>
        </is>
      </c>
      <c r="F5237" t="inlineStr">
        <is>
          <t>Bergvik skog väst AB</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46321-2025</t>
        </is>
      </c>
      <c r="B5238" s="1" t="n">
        <v>45925.44876157407</v>
      </c>
      <c r="C5238" s="1" t="n">
        <v>46086</v>
      </c>
      <c r="D5238" t="inlineStr">
        <is>
          <t>GÄVLEBORGS LÄN</t>
        </is>
      </c>
      <c r="E5238" t="inlineStr">
        <is>
          <t>SANDVIKEN</t>
        </is>
      </c>
      <c r="G5238" t="n">
        <v>6.2</v>
      </c>
      <c r="H5238" t="n">
        <v>0</v>
      </c>
      <c r="I5238" t="n">
        <v>0</v>
      </c>
      <c r="J5238" t="n">
        <v>0</v>
      </c>
      <c r="K5238" t="n">
        <v>0</v>
      </c>
      <c r="L5238" t="n">
        <v>0</v>
      </c>
      <c r="M5238" t="n">
        <v>0</v>
      </c>
      <c r="N5238" t="n">
        <v>0</v>
      </c>
      <c r="O5238" t="n">
        <v>0</v>
      </c>
      <c r="P5238" t="n">
        <v>0</v>
      </c>
      <c r="Q5238" t="n">
        <v>0</v>
      </c>
      <c r="R5238" s="2" t="inlineStr"/>
    </row>
    <row r="5239" ht="15" customHeight="1">
      <c r="A5239" t="inlineStr">
        <is>
          <t>A 20657-2021</t>
        </is>
      </c>
      <c r="B5239" s="1" t="n">
        <v>44316</v>
      </c>
      <c r="C5239" s="1" t="n">
        <v>46086</v>
      </c>
      <c r="D5239" t="inlineStr">
        <is>
          <t>GÄVLEBORGS LÄN</t>
        </is>
      </c>
      <c r="E5239" t="inlineStr">
        <is>
          <t>GÄVLE</t>
        </is>
      </c>
      <c r="F5239" t="inlineStr">
        <is>
          <t>Kyrkan</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16911-2025</t>
        </is>
      </c>
      <c r="B5240" s="1" t="n">
        <v>45755.36253472222</v>
      </c>
      <c r="C5240" s="1" t="n">
        <v>46086</v>
      </c>
      <c r="D5240" t="inlineStr">
        <is>
          <t>GÄVLEBORGS LÄN</t>
        </is>
      </c>
      <c r="E5240" t="inlineStr">
        <is>
          <t>OVANÅKER</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35831-2025</t>
        </is>
      </c>
      <c r="B5241" s="1" t="n">
        <v>45861.50184027778</v>
      </c>
      <c r="C5241" s="1" t="n">
        <v>46086</v>
      </c>
      <c r="D5241" t="inlineStr">
        <is>
          <t>GÄVLEBORGS LÄN</t>
        </is>
      </c>
      <c r="E5241" t="inlineStr">
        <is>
          <t>HUDIKSVALL</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55291-2024</t>
        </is>
      </c>
      <c r="B5242" s="1" t="n">
        <v>45621.63578703703</v>
      </c>
      <c r="C5242" s="1" t="n">
        <v>46086</v>
      </c>
      <c r="D5242" t="inlineStr">
        <is>
          <t>GÄVLEBORGS LÄN</t>
        </is>
      </c>
      <c r="E5242" t="inlineStr">
        <is>
          <t>LJUSDAL</t>
        </is>
      </c>
      <c r="F5242" t="inlineStr">
        <is>
          <t>Sveaskog</t>
        </is>
      </c>
      <c r="G5242" t="n">
        <v>4.5</v>
      </c>
      <c r="H5242" t="n">
        <v>0</v>
      </c>
      <c r="I5242" t="n">
        <v>0</v>
      </c>
      <c r="J5242" t="n">
        <v>0</v>
      </c>
      <c r="K5242" t="n">
        <v>0</v>
      </c>
      <c r="L5242" t="n">
        <v>0</v>
      </c>
      <c r="M5242" t="n">
        <v>0</v>
      </c>
      <c r="N5242" t="n">
        <v>0</v>
      </c>
      <c r="O5242" t="n">
        <v>0</v>
      </c>
      <c r="P5242" t="n">
        <v>0</v>
      </c>
      <c r="Q5242" t="n">
        <v>0</v>
      </c>
      <c r="R5242" s="2" t="inlineStr"/>
    </row>
    <row r="5243" ht="15" customHeight="1">
      <c r="A5243" t="inlineStr">
        <is>
          <t>A 46316-2025</t>
        </is>
      </c>
      <c r="B5243" s="1" t="n">
        <v>45925.44523148148</v>
      </c>
      <c r="C5243" s="1" t="n">
        <v>46086</v>
      </c>
      <c r="D5243" t="inlineStr">
        <is>
          <t>GÄVLEBORGS LÄN</t>
        </is>
      </c>
      <c r="E5243" t="inlineStr">
        <is>
          <t>OCKELBO</t>
        </is>
      </c>
      <c r="F5243" t="inlineStr">
        <is>
          <t>Bergvik skog väst AB</t>
        </is>
      </c>
      <c r="G5243" t="n">
        <v>5.4</v>
      </c>
      <c r="H5243" t="n">
        <v>0</v>
      </c>
      <c r="I5243" t="n">
        <v>0</v>
      </c>
      <c r="J5243" t="n">
        <v>0</v>
      </c>
      <c r="K5243" t="n">
        <v>0</v>
      </c>
      <c r="L5243" t="n">
        <v>0</v>
      </c>
      <c r="M5243" t="n">
        <v>0</v>
      </c>
      <c r="N5243" t="n">
        <v>0</v>
      </c>
      <c r="O5243" t="n">
        <v>0</v>
      </c>
      <c r="P5243" t="n">
        <v>0</v>
      </c>
      <c r="Q5243" t="n">
        <v>0</v>
      </c>
      <c r="R5243" s="2" t="inlineStr"/>
    </row>
    <row r="5244" ht="15" customHeight="1">
      <c r="A5244" t="inlineStr">
        <is>
          <t>A 39207-2023</t>
        </is>
      </c>
      <c r="B5244" s="1" t="n">
        <v>45166.41370370371</v>
      </c>
      <c r="C5244" s="1" t="n">
        <v>46086</v>
      </c>
      <c r="D5244" t="inlineStr">
        <is>
          <t>GÄVLEBORGS LÄN</t>
        </is>
      </c>
      <c r="E5244" t="inlineStr">
        <is>
          <t>NORDANSTIG</t>
        </is>
      </c>
      <c r="F5244" t="inlineStr">
        <is>
          <t>Holmen skog AB</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45987-2025</t>
        </is>
      </c>
      <c r="B5245" s="1" t="n">
        <v>45924.38379629629</v>
      </c>
      <c r="C5245" s="1" t="n">
        <v>46086</v>
      </c>
      <c r="D5245" t="inlineStr">
        <is>
          <t>GÄVLEBORGS LÄN</t>
        </is>
      </c>
      <c r="E5245" t="inlineStr">
        <is>
          <t>GÄVLE</t>
        </is>
      </c>
      <c r="F5245" t="inlineStr">
        <is>
          <t>Bergvik skog väst AB</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35840-2025</t>
        </is>
      </c>
      <c r="B5246" s="1" t="n">
        <v>45861.5499537037</v>
      </c>
      <c r="C5246" s="1" t="n">
        <v>46086</v>
      </c>
      <c r="D5246" t="inlineStr">
        <is>
          <t>GÄVLEBORGS LÄN</t>
        </is>
      </c>
      <c r="E5246" t="inlineStr">
        <is>
          <t>OVANÅKER</t>
        </is>
      </c>
      <c r="F5246" t="inlineStr">
        <is>
          <t>Bergvik skog väst AB</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46466-2025</t>
        </is>
      </c>
      <c r="B5247" s="1" t="n">
        <v>45925.67804398148</v>
      </c>
      <c r="C5247" s="1" t="n">
        <v>46086</v>
      </c>
      <c r="D5247" t="inlineStr">
        <is>
          <t>GÄVLEBORGS LÄN</t>
        </is>
      </c>
      <c r="E5247" t="inlineStr">
        <is>
          <t>LJUSDAL</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46000-2025</t>
        </is>
      </c>
      <c r="B5248" s="1" t="n">
        <v>45924.40663194445</v>
      </c>
      <c r="C5248" s="1" t="n">
        <v>46086</v>
      </c>
      <c r="D5248" t="inlineStr">
        <is>
          <t>GÄVLEBORGS LÄN</t>
        </is>
      </c>
      <c r="E5248" t="inlineStr">
        <is>
          <t>NORDANSTIG</t>
        </is>
      </c>
      <c r="F5248" t="inlineStr">
        <is>
          <t>SCA</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1483-2022</t>
        </is>
      </c>
      <c r="B5249" s="1" t="n">
        <v>44573.52768518519</v>
      </c>
      <c r="C5249" s="1" t="n">
        <v>46086</v>
      </c>
      <c r="D5249" t="inlineStr">
        <is>
          <t>GÄVLEBORGS LÄN</t>
        </is>
      </c>
      <c r="E5249" t="inlineStr">
        <is>
          <t>NORDANSTIG</t>
        </is>
      </c>
      <c r="G5249" t="n">
        <v>7.8</v>
      </c>
      <c r="H5249" t="n">
        <v>0</v>
      </c>
      <c r="I5249" t="n">
        <v>0</v>
      </c>
      <c r="J5249" t="n">
        <v>0</v>
      </c>
      <c r="K5249" t="n">
        <v>0</v>
      </c>
      <c r="L5249" t="n">
        <v>0</v>
      </c>
      <c r="M5249" t="n">
        <v>0</v>
      </c>
      <c r="N5249" t="n">
        <v>0</v>
      </c>
      <c r="O5249" t="n">
        <v>0</v>
      </c>
      <c r="P5249" t="n">
        <v>0</v>
      </c>
      <c r="Q5249" t="n">
        <v>0</v>
      </c>
      <c r="R5249" s="2" t="inlineStr"/>
    </row>
    <row r="5250" ht="15" customHeight="1">
      <c r="A5250" t="inlineStr">
        <is>
          <t>A 45947-2025</t>
        </is>
      </c>
      <c r="B5250" s="1" t="n">
        <v>45924.33660879629</v>
      </c>
      <c r="C5250" s="1" t="n">
        <v>46086</v>
      </c>
      <c r="D5250" t="inlineStr">
        <is>
          <t>GÄVLEBORGS LÄN</t>
        </is>
      </c>
      <c r="E5250" t="inlineStr">
        <is>
          <t>BOLLNÄS</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45962-2025</t>
        </is>
      </c>
      <c r="B5251" s="1" t="n">
        <v>45924.34805555556</v>
      </c>
      <c r="C5251" s="1" t="n">
        <v>46086</v>
      </c>
      <c r="D5251" t="inlineStr">
        <is>
          <t>GÄVLEBORGS LÄN</t>
        </is>
      </c>
      <c r="E5251" t="inlineStr">
        <is>
          <t>HUDIKSVALL</t>
        </is>
      </c>
      <c r="G5251" t="n">
        <v>5.1</v>
      </c>
      <c r="H5251" t="n">
        <v>0</v>
      </c>
      <c r="I5251" t="n">
        <v>0</v>
      </c>
      <c r="J5251" t="n">
        <v>0</v>
      </c>
      <c r="K5251" t="n">
        <v>0</v>
      </c>
      <c r="L5251" t="n">
        <v>0</v>
      </c>
      <c r="M5251" t="n">
        <v>0</v>
      </c>
      <c r="N5251" t="n">
        <v>0</v>
      </c>
      <c r="O5251" t="n">
        <v>0</v>
      </c>
      <c r="P5251" t="n">
        <v>0</v>
      </c>
      <c r="Q5251" t="n">
        <v>0</v>
      </c>
      <c r="R5251" s="2" t="inlineStr"/>
    </row>
    <row r="5252" ht="15" customHeight="1">
      <c r="A5252" t="inlineStr">
        <is>
          <t>A 35846-2025</t>
        </is>
      </c>
      <c r="B5252" s="1" t="n">
        <v>45861.57856481482</v>
      </c>
      <c r="C5252" s="1" t="n">
        <v>46086</v>
      </c>
      <c r="D5252" t="inlineStr">
        <is>
          <t>GÄVLEBORGS LÄN</t>
        </is>
      </c>
      <c r="E5252" t="inlineStr">
        <is>
          <t>OVANÅKER</t>
        </is>
      </c>
      <c r="F5252" t="inlineStr">
        <is>
          <t>Bergvik skog väst AB</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35825-2025</t>
        </is>
      </c>
      <c r="B5253" s="1" t="n">
        <v>45861.48847222222</v>
      </c>
      <c r="C5253" s="1" t="n">
        <v>46086</v>
      </c>
      <c r="D5253" t="inlineStr">
        <is>
          <t>GÄVLEBORGS LÄN</t>
        </is>
      </c>
      <c r="E5253" t="inlineStr">
        <is>
          <t>HUDIKSVALL</t>
        </is>
      </c>
      <c r="G5253" t="n">
        <v>5.9</v>
      </c>
      <c r="H5253" t="n">
        <v>0</v>
      </c>
      <c r="I5253" t="n">
        <v>0</v>
      </c>
      <c r="J5253" t="n">
        <v>0</v>
      </c>
      <c r="K5253" t="n">
        <v>0</v>
      </c>
      <c r="L5253" t="n">
        <v>0</v>
      </c>
      <c r="M5253" t="n">
        <v>0</v>
      </c>
      <c r="N5253" t="n">
        <v>0</v>
      </c>
      <c r="O5253" t="n">
        <v>0</v>
      </c>
      <c r="P5253" t="n">
        <v>0</v>
      </c>
      <c r="Q5253" t="n">
        <v>0</v>
      </c>
      <c r="R5253" s="2" t="inlineStr"/>
    </row>
    <row r="5254" ht="15" customHeight="1">
      <c r="A5254" t="inlineStr">
        <is>
          <t>A 57341-2023</t>
        </is>
      </c>
      <c r="B5254" s="1" t="n">
        <v>45245</v>
      </c>
      <c r="C5254" s="1" t="n">
        <v>46086</v>
      </c>
      <c r="D5254" t="inlineStr">
        <is>
          <t>GÄVLEBORGS LÄN</t>
        </is>
      </c>
      <c r="E5254" t="inlineStr">
        <is>
          <t>GÄVLE</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46147-2025</t>
        </is>
      </c>
      <c r="B5255" s="1" t="n">
        <v>45924.6084837963</v>
      </c>
      <c r="C5255" s="1" t="n">
        <v>46086</v>
      </c>
      <c r="D5255" t="inlineStr">
        <is>
          <t>GÄVLEBORGS LÄN</t>
        </is>
      </c>
      <c r="E5255" t="inlineStr">
        <is>
          <t>GÄVLE</t>
        </is>
      </c>
      <c r="F5255" t="inlineStr">
        <is>
          <t>Bergvik skog väst AB</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35649-2025</t>
        </is>
      </c>
      <c r="B5256" s="1" t="n">
        <v>45859.51931712963</v>
      </c>
      <c r="C5256" s="1" t="n">
        <v>46086</v>
      </c>
      <c r="D5256" t="inlineStr">
        <is>
          <t>GÄVLEBORGS LÄN</t>
        </is>
      </c>
      <c r="E5256" t="inlineStr">
        <is>
          <t>NORDANSTIG</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35652-2025</t>
        </is>
      </c>
      <c r="B5257" s="1" t="n">
        <v>45859.52591435185</v>
      </c>
      <c r="C5257" s="1" t="n">
        <v>46086</v>
      </c>
      <c r="D5257" t="inlineStr">
        <is>
          <t>GÄVLEBORGS LÄN</t>
        </is>
      </c>
      <c r="E5257" t="inlineStr">
        <is>
          <t>NORDANSTIG</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46342-2025</t>
        </is>
      </c>
      <c r="B5258" s="1" t="n">
        <v>45925.46821759259</v>
      </c>
      <c r="C5258" s="1" t="n">
        <v>46086</v>
      </c>
      <c r="D5258" t="inlineStr">
        <is>
          <t>GÄVLEBORGS LÄN</t>
        </is>
      </c>
      <c r="E5258" t="inlineStr">
        <is>
          <t>LJUSDAL</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35725-2025</t>
        </is>
      </c>
      <c r="B5259" s="1" t="n">
        <v>45860.45087962963</v>
      </c>
      <c r="C5259" s="1" t="n">
        <v>46086</v>
      </c>
      <c r="D5259" t="inlineStr">
        <is>
          <t>GÄVLEBORGS LÄN</t>
        </is>
      </c>
      <c r="E5259" t="inlineStr">
        <is>
          <t>NORDANSTIG</t>
        </is>
      </c>
      <c r="F5259" t="inlineStr">
        <is>
          <t>Holmen skog AB</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51247-2024</t>
        </is>
      </c>
      <c r="B5260" s="1" t="n">
        <v>45603.68180555556</v>
      </c>
      <c r="C5260" s="1" t="n">
        <v>46086</v>
      </c>
      <c r="D5260" t="inlineStr">
        <is>
          <t>GÄVLEBORGS LÄN</t>
        </is>
      </c>
      <c r="E5260" t="inlineStr">
        <is>
          <t>LJUSDAL</t>
        </is>
      </c>
      <c r="F5260" t="inlineStr">
        <is>
          <t>Kommuner</t>
        </is>
      </c>
      <c r="G5260" t="n">
        <v>6.1</v>
      </c>
      <c r="H5260" t="n">
        <v>0</v>
      </c>
      <c r="I5260" t="n">
        <v>0</v>
      </c>
      <c r="J5260" t="n">
        <v>0</v>
      </c>
      <c r="K5260" t="n">
        <v>0</v>
      </c>
      <c r="L5260" t="n">
        <v>0</v>
      </c>
      <c r="M5260" t="n">
        <v>0</v>
      </c>
      <c r="N5260" t="n">
        <v>0</v>
      </c>
      <c r="O5260" t="n">
        <v>0</v>
      </c>
      <c r="P5260" t="n">
        <v>0</v>
      </c>
      <c r="Q5260" t="n">
        <v>0</v>
      </c>
      <c r="R5260" s="2" t="inlineStr"/>
    </row>
    <row r="5261" ht="15" customHeight="1">
      <c r="A5261" t="inlineStr">
        <is>
          <t>A 2986-2023</t>
        </is>
      </c>
      <c r="B5261" s="1" t="n">
        <v>44945</v>
      </c>
      <c r="C5261" s="1" t="n">
        <v>46086</v>
      </c>
      <c r="D5261" t="inlineStr">
        <is>
          <t>GÄVLEBORGS LÄN</t>
        </is>
      </c>
      <c r="E5261" t="inlineStr">
        <is>
          <t>NORDANSTIG</t>
        </is>
      </c>
      <c r="F5261" t="inlineStr">
        <is>
          <t>Holmen skog AB</t>
        </is>
      </c>
      <c r="G5261" t="n">
        <v>5.4</v>
      </c>
      <c r="H5261" t="n">
        <v>0</v>
      </c>
      <c r="I5261" t="n">
        <v>0</v>
      </c>
      <c r="J5261" t="n">
        <v>0</v>
      </c>
      <c r="K5261" t="n">
        <v>0</v>
      </c>
      <c r="L5261" t="n">
        <v>0</v>
      </c>
      <c r="M5261" t="n">
        <v>0</v>
      </c>
      <c r="N5261" t="n">
        <v>0</v>
      </c>
      <c r="O5261" t="n">
        <v>0</v>
      </c>
      <c r="P5261" t="n">
        <v>0</v>
      </c>
      <c r="Q5261" t="n">
        <v>0</v>
      </c>
      <c r="R5261" s="2" t="inlineStr"/>
    </row>
    <row r="5262" ht="15" customHeight="1">
      <c r="A5262" t="inlineStr">
        <is>
          <t>A 46002-2025</t>
        </is>
      </c>
      <c r="B5262" s="1" t="n">
        <v>45924.40707175926</v>
      </c>
      <c r="C5262" s="1" t="n">
        <v>46086</v>
      </c>
      <c r="D5262" t="inlineStr">
        <is>
          <t>GÄVLEBORGS LÄN</t>
        </is>
      </c>
      <c r="E5262" t="inlineStr">
        <is>
          <t>NORDANSTIG</t>
        </is>
      </c>
      <c r="F5262" t="inlineStr">
        <is>
          <t>SCA</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46007-2025</t>
        </is>
      </c>
      <c r="B5263" s="1" t="n">
        <v>45924.40840277778</v>
      </c>
      <c r="C5263" s="1" t="n">
        <v>46086</v>
      </c>
      <c r="D5263" t="inlineStr">
        <is>
          <t>GÄVLEBORGS LÄN</t>
        </is>
      </c>
      <c r="E5263" t="inlineStr">
        <is>
          <t>GÄVLE</t>
        </is>
      </c>
      <c r="F5263" t="inlineStr">
        <is>
          <t>Bergvik skog väst AB</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46011-2025</t>
        </is>
      </c>
      <c r="B5264" s="1" t="n">
        <v>45924.41563657407</v>
      </c>
      <c r="C5264" s="1" t="n">
        <v>46086</v>
      </c>
      <c r="D5264" t="inlineStr">
        <is>
          <t>GÄVLEBORGS LÄN</t>
        </is>
      </c>
      <c r="E5264" t="inlineStr">
        <is>
          <t>GÄVLE</t>
        </is>
      </c>
      <c r="F5264" t="inlineStr">
        <is>
          <t>Bergvik skog väst AB</t>
        </is>
      </c>
      <c r="G5264" t="n">
        <v>0.2</v>
      </c>
      <c r="H5264" t="n">
        <v>0</v>
      </c>
      <c r="I5264" t="n">
        <v>0</v>
      </c>
      <c r="J5264" t="n">
        <v>0</v>
      </c>
      <c r="K5264" t="n">
        <v>0</v>
      </c>
      <c r="L5264" t="n">
        <v>0</v>
      </c>
      <c r="M5264" t="n">
        <v>0</v>
      </c>
      <c r="N5264" t="n">
        <v>0</v>
      </c>
      <c r="O5264" t="n">
        <v>0</v>
      </c>
      <c r="P5264" t="n">
        <v>0</v>
      </c>
      <c r="Q5264" t="n">
        <v>0</v>
      </c>
      <c r="R5264" s="2" t="inlineStr"/>
    </row>
    <row r="5265" ht="15" customHeight="1">
      <c r="A5265" t="inlineStr">
        <is>
          <t>A 32729-2025</t>
        </is>
      </c>
      <c r="B5265" s="1" t="n">
        <v>45839</v>
      </c>
      <c r="C5265" s="1" t="n">
        <v>46086</v>
      </c>
      <c r="D5265" t="inlineStr">
        <is>
          <t>GÄVLEBORGS LÄN</t>
        </is>
      </c>
      <c r="E5265" t="inlineStr">
        <is>
          <t>SÖDERHAMN</t>
        </is>
      </c>
      <c r="G5265" t="n">
        <v>3.3</v>
      </c>
      <c r="H5265" t="n">
        <v>0</v>
      </c>
      <c r="I5265" t="n">
        <v>0</v>
      </c>
      <c r="J5265" t="n">
        <v>0</v>
      </c>
      <c r="K5265" t="n">
        <v>0</v>
      </c>
      <c r="L5265" t="n">
        <v>0</v>
      </c>
      <c r="M5265" t="n">
        <v>0</v>
      </c>
      <c r="N5265" t="n">
        <v>0</v>
      </c>
      <c r="O5265" t="n">
        <v>0</v>
      </c>
      <c r="P5265" t="n">
        <v>0</v>
      </c>
      <c r="Q5265" t="n">
        <v>0</v>
      </c>
      <c r="R5265" s="2" t="inlineStr"/>
    </row>
    <row r="5266" ht="15" customHeight="1">
      <c r="A5266" t="inlineStr">
        <is>
          <t>A 35878-2025</t>
        </is>
      </c>
      <c r="B5266" s="1" t="n">
        <v>45862.37017361111</v>
      </c>
      <c r="C5266" s="1" t="n">
        <v>46086</v>
      </c>
      <c r="D5266" t="inlineStr">
        <is>
          <t>GÄVLEBORGS LÄN</t>
        </is>
      </c>
      <c r="E5266" t="inlineStr">
        <is>
          <t>GÄVLE</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35868-2025</t>
        </is>
      </c>
      <c r="B5267" s="1" t="n">
        <v>45862.01456018518</v>
      </c>
      <c r="C5267" s="1" t="n">
        <v>46086</v>
      </c>
      <c r="D5267" t="inlineStr">
        <is>
          <t>GÄVLEBORGS LÄN</t>
        </is>
      </c>
      <c r="E5267" t="inlineStr">
        <is>
          <t>NORDANSTIG</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45946-2025</t>
        </is>
      </c>
      <c r="B5268" s="1" t="n">
        <v>45924.33208333333</v>
      </c>
      <c r="C5268" s="1" t="n">
        <v>46086</v>
      </c>
      <c r="D5268" t="inlineStr">
        <is>
          <t>GÄVLEBORGS LÄN</t>
        </is>
      </c>
      <c r="E5268" t="inlineStr">
        <is>
          <t>NORDANSTIG</t>
        </is>
      </c>
      <c r="F5268" t="inlineStr">
        <is>
          <t>Holmen skog AB</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45951-2025</t>
        </is>
      </c>
      <c r="B5269" s="1" t="n">
        <v>45924</v>
      </c>
      <c r="C5269" s="1" t="n">
        <v>46086</v>
      </c>
      <c r="D5269" t="inlineStr">
        <is>
          <t>GÄVLEBORGS LÄN</t>
        </is>
      </c>
      <c r="E5269" t="inlineStr">
        <is>
          <t>BOLLNÄS</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35882-2025</t>
        </is>
      </c>
      <c r="B5270" s="1" t="n">
        <v>45862.39773148148</v>
      </c>
      <c r="C5270" s="1" t="n">
        <v>46086</v>
      </c>
      <c r="D5270" t="inlineStr">
        <is>
          <t>GÄVLEBORGS LÄN</t>
        </is>
      </c>
      <c r="E5270" t="inlineStr">
        <is>
          <t>HUDIKSVALL</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46269-2025</t>
        </is>
      </c>
      <c r="B5271" s="1" t="n">
        <v>45925.36886574074</v>
      </c>
      <c r="C5271" s="1" t="n">
        <v>46086</v>
      </c>
      <c r="D5271" t="inlineStr">
        <is>
          <t>GÄVLEBORGS LÄN</t>
        </is>
      </c>
      <c r="E5271" t="inlineStr">
        <is>
          <t>SANDVIKEN</t>
        </is>
      </c>
      <c r="G5271" t="n">
        <v>10.3</v>
      </c>
      <c r="H5271" t="n">
        <v>0</v>
      </c>
      <c r="I5271" t="n">
        <v>0</v>
      </c>
      <c r="J5271" t="n">
        <v>0</v>
      </c>
      <c r="K5271" t="n">
        <v>0</v>
      </c>
      <c r="L5271" t="n">
        <v>0</v>
      </c>
      <c r="M5271" t="n">
        <v>0</v>
      </c>
      <c r="N5271" t="n">
        <v>0</v>
      </c>
      <c r="O5271" t="n">
        <v>0</v>
      </c>
      <c r="P5271" t="n">
        <v>0</v>
      </c>
      <c r="Q5271" t="n">
        <v>0</v>
      </c>
      <c r="R5271" s="2" t="inlineStr"/>
    </row>
    <row r="5272" ht="15" customHeight="1">
      <c r="A5272" t="inlineStr">
        <is>
          <t>A 46260-2025</t>
        </is>
      </c>
      <c r="B5272" s="1" t="n">
        <v>45925.36064814815</v>
      </c>
      <c r="C5272" s="1" t="n">
        <v>46086</v>
      </c>
      <c r="D5272" t="inlineStr">
        <is>
          <t>GÄVLEBORGS LÄN</t>
        </is>
      </c>
      <c r="E5272" t="inlineStr">
        <is>
          <t>HUDIKSVALL</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46262-2025</t>
        </is>
      </c>
      <c r="B5273" s="1" t="n">
        <v>45925.36134259259</v>
      </c>
      <c r="C5273" s="1" t="n">
        <v>46086</v>
      </c>
      <c r="D5273" t="inlineStr">
        <is>
          <t>GÄVLEBORGS LÄN</t>
        </is>
      </c>
      <c r="E5273" t="inlineStr">
        <is>
          <t>NORDANSTIG</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33420-2025</t>
        </is>
      </c>
      <c r="B5274" s="1" t="n">
        <v>45841.44123842593</v>
      </c>
      <c r="C5274" s="1" t="n">
        <v>46086</v>
      </c>
      <c r="D5274" t="inlineStr">
        <is>
          <t>GÄVLEBORGS LÄN</t>
        </is>
      </c>
      <c r="E5274" t="inlineStr">
        <is>
          <t>LJUSDAL</t>
        </is>
      </c>
      <c r="G5274" t="n">
        <v>13.5</v>
      </c>
      <c r="H5274" t="n">
        <v>0</v>
      </c>
      <c r="I5274" t="n">
        <v>0</v>
      </c>
      <c r="J5274" t="n">
        <v>0</v>
      </c>
      <c r="K5274" t="n">
        <v>0</v>
      </c>
      <c r="L5274" t="n">
        <v>0</v>
      </c>
      <c r="M5274" t="n">
        <v>0</v>
      </c>
      <c r="N5274" t="n">
        <v>0</v>
      </c>
      <c r="O5274" t="n">
        <v>0</v>
      </c>
      <c r="P5274" t="n">
        <v>0</v>
      </c>
      <c r="Q5274" t="n">
        <v>0</v>
      </c>
      <c r="R5274" s="2" t="inlineStr"/>
    </row>
    <row r="5275" ht="15" customHeight="1">
      <c r="A5275" t="inlineStr">
        <is>
          <t>A 43259-2023</t>
        </is>
      </c>
      <c r="B5275" s="1" t="n">
        <v>45183</v>
      </c>
      <c r="C5275" s="1" t="n">
        <v>46086</v>
      </c>
      <c r="D5275" t="inlineStr">
        <is>
          <t>GÄVLEBORGS LÄN</t>
        </is>
      </c>
      <c r="E5275" t="inlineStr">
        <is>
          <t>OVANÅKER</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46313-2025</t>
        </is>
      </c>
      <c r="B5276" s="1" t="n">
        <v>45925.44195601852</v>
      </c>
      <c r="C5276" s="1" t="n">
        <v>46086</v>
      </c>
      <c r="D5276" t="inlineStr">
        <is>
          <t>GÄVLEBORGS LÄN</t>
        </is>
      </c>
      <c r="E5276" t="inlineStr">
        <is>
          <t>LJUSDAL</t>
        </is>
      </c>
      <c r="G5276" t="n">
        <v>3.3</v>
      </c>
      <c r="H5276" t="n">
        <v>0</v>
      </c>
      <c r="I5276" t="n">
        <v>0</v>
      </c>
      <c r="J5276" t="n">
        <v>0</v>
      </c>
      <c r="K5276" t="n">
        <v>0</v>
      </c>
      <c r="L5276" t="n">
        <v>0</v>
      </c>
      <c r="M5276" t="n">
        <v>0</v>
      </c>
      <c r="N5276" t="n">
        <v>0</v>
      </c>
      <c r="O5276" t="n">
        <v>0</v>
      </c>
      <c r="P5276" t="n">
        <v>0</v>
      </c>
      <c r="Q5276" t="n">
        <v>0</v>
      </c>
      <c r="R5276" s="2" t="inlineStr"/>
    </row>
    <row r="5277" ht="15" customHeight="1">
      <c r="A5277" t="inlineStr">
        <is>
          <t>A 46323-2025</t>
        </is>
      </c>
      <c r="B5277" s="1" t="n">
        <v>45925.45171296296</v>
      </c>
      <c r="C5277" s="1" t="n">
        <v>46086</v>
      </c>
      <c r="D5277" t="inlineStr">
        <is>
          <t>GÄVLEBORGS LÄN</t>
        </is>
      </c>
      <c r="E5277" t="inlineStr">
        <is>
          <t>LJUSDAL</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46328-2025</t>
        </is>
      </c>
      <c r="B5278" s="1" t="n">
        <v>45925.45390046296</v>
      </c>
      <c r="C5278" s="1" t="n">
        <v>46086</v>
      </c>
      <c r="D5278" t="inlineStr">
        <is>
          <t>GÄVLEBORGS LÄN</t>
        </is>
      </c>
      <c r="E5278" t="inlineStr">
        <is>
          <t>LJUSDAL</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37693-2024</t>
        </is>
      </c>
      <c r="B5279" s="1" t="n">
        <v>45541</v>
      </c>
      <c r="C5279" s="1" t="n">
        <v>46086</v>
      </c>
      <c r="D5279" t="inlineStr">
        <is>
          <t>GÄVLEBORGS LÄN</t>
        </is>
      </c>
      <c r="E5279" t="inlineStr">
        <is>
          <t>HUDIKSVALL</t>
        </is>
      </c>
      <c r="F5279" t="inlineStr">
        <is>
          <t>Kommuner</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6844-2024</t>
        </is>
      </c>
      <c r="B5280" s="1" t="n">
        <v>45342.62732638889</v>
      </c>
      <c r="C5280" s="1" t="n">
        <v>46086</v>
      </c>
      <c r="D5280" t="inlineStr">
        <is>
          <t>GÄVLEBORGS LÄN</t>
        </is>
      </c>
      <c r="E5280" t="inlineStr">
        <is>
          <t>LJUSDAL</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35961-2025</t>
        </is>
      </c>
      <c r="B5281" s="1" t="n">
        <v>45863.35944444445</v>
      </c>
      <c r="C5281" s="1" t="n">
        <v>46086</v>
      </c>
      <c r="D5281" t="inlineStr">
        <is>
          <t>GÄVLEBORGS LÄN</t>
        </is>
      </c>
      <c r="E5281" t="inlineStr">
        <is>
          <t>SÖDERHAMN</t>
        </is>
      </c>
      <c r="F5281" t="inlineStr">
        <is>
          <t>Bergvik skog väst AB</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35938-2025</t>
        </is>
      </c>
      <c r="B5282" s="1" t="n">
        <v>45862.64209490741</v>
      </c>
      <c r="C5282" s="1" t="n">
        <v>46086</v>
      </c>
      <c r="D5282" t="inlineStr">
        <is>
          <t>GÄVLEBORGS LÄN</t>
        </is>
      </c>
      <c r="E5282" t="inlineStr">
        <is>
          <t>GÄVLE</t>
        </is>
      </c>
      <c r="F5282" t="inlineStr">
        <is>
          <t>Bergvik skog väst AB</t>
        </is>
      </c>
      <c r="G5282" t="n">
        <v>3.9</v>
      </c>
      <c r="H5282" t="n">
        <v>0</v>
      </c>
      <c r="I5282" t="n">
        <v>0</v>
      </c>
      <c r="J5282" t="n">
        <v>0</v>
      </c>
      <c r="K5282" t="n">
        <v>0</v>
      </c>
      <c r="L5282" t="n">
        <v>0</v>
      </c>
      <c r="M5282" t="n">
        <v>0</v>
      </c>
      <c r="N5282" t="n">
        <v>0</v>
      </c>
      <c r="O5282" t="n">
        <v>0</v>
      </c>
      <c r="P5282" t="n">
        <v>0</v>
      </c>
      <c r="Q5282" t="n">
        <v>0</v>
      </c>
      <c r="R5282" s="2" t="inlineStr"/>
    </row>
    <row r="5283" ht="15" customHeight="1">
      <c r="A5283" t="inlineStr">
        <is>
          <t>A 35995-2025</t>
        </is>
      </c>
      <c r="B5283" s="1" t="n">
        <v>45863.493125</v>
      </c>
      <c r="C5283" s="1" t="n">
        <v>46086</v>
      </c>
      <c r="D5283" t="inlineStr">
        <is>
          <t>GÄVLEBORGS LÄN</t>
        </is>
      </c>
      <c r="E5283" t="inlineStr">
        <is>
          <t>SANDVIKEN</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7919-2025</t>
        </is>
      </c>
      <c r="B5284" s="1" t="n">
        <v>45707.35554398148</v>
      </c>
      <c r="C5284" s="1" t="n">
        <v>46086</v>
      </c>
      <c r="D5284" t="inlineStr">
        <is>
          <t>GÄVLEBORGS LÄN</t>
        </is>
      </c>
      <c r="E5284" t="inlineStr">
        <is>
          <t>OCKELBO</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35870-2025</t>
        </is>
      </c>
      <c r="B5285" s="1" t="n">
        <v>45862.30469907408</v>
      </c>
      <c r="C5285" s="1" t="n">
        <v>46086</v>
      </c>
      <c r="D5285" t="inlineStr">
        <is>
          <t>GÄVLEBORGS LÄN</t>
        </is>
      </c>
      <c r="E5285" t="inlineStr">
        <is>
          <t>OCKELBO</t>
        </is>
      </c>
      <c r="G5285" t="n">
        <v>4.4</v>
      </c>
      <c r="H5285" t="n">
        <v>0</v>
      </c>
      <c r="I5285" t="n">
        <v>0</v>
      </c>
      <c r="J5285" t="n">
        <v>0</v>
      </c>
      <c r="K5285" t="n">
        <v>0</v>
      </c>
      <c r="L5285" t="n">
        <v>0</v>
      </c>
      <c r="M5285" t="n">
        <v>0</v>
      </c>
      <c r="N5285" t="n">
        <v>0</v>
      </c>
      <c r="O5285" t="n">
        <v>0</v>
      </c>
      <c r="P5285" t="n">
        <v>0</v>
      </c>
      <c r="Q5285" t="n">
        <v>0</v>
      </c>
      <c r="R5285" s="2" t="inlineStr"/>
    </row>
    <row r="5286" ht="15" customHeight="1">
      <c r="A5286" t="inlineStr">
        <is>
          <t>A 35916-2025</t>
        </is>
      </c>
      <c r="B5286" s="1" t="n">
        <v>45862.5516087963</v>
      </c>
      <c r="C5286" s="1" t="n">
        <v>46086</v>
      </c>
      <c r="D5286" t="inlineStr">
        <is>
          <t>GÄVLEBORGS LÄN</t>
        </is>
      </c>
      <c r="E5286" t="inlineStr">
        <is>
          <t>GÄVLE</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35919-2025</t>
        </is>
      </c>
      <c r="B5287" s="1" t="n">
        <v>45862.56378472222</v>
      </c>
      <c r="C5287" s="1" t="n">
        <v>46086</v>
      </c>
      <c r="D5287" t="inlineStr">
        <is>
          <t>GÄVLEBORGS LÄN</t>
        </is>
      </c>
      <c r="E5287" t="inlineStr">
        <is>
          <t>GÄVLE</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35960-2025</t>
        </is>
      </c>
      <c r="B5288" s="1" t="n">
        <v>45863.35443287037</v>
      </c>
      <c r="C5288" s="1" t="n">
        <v>46086</v>
      </c>
      <c r="D5288" t="inlineStr">
        <is>
          <t>GÄVLEBORGS LÄN</t>
        </is>
      </c>
      <c r="E5288" t="inlineStr">
        <is>
          <t>SÖDERHAMN</t>
        </is>
      </c>
      <c r="F5288" t="inlineStr">
        <is>
          <t>Bergvik skog väst AB</t>
        </is>
      </c>
      <c r="G5288" t="n">
        <v>4.8</v>
      </c>
      <c r="H5288" t="n">
        <v>0</v>
      </c>
      <c r="I5288" t="n">
        <v>0</v>
      </c>
      <c r="J5288" t="n">
        <v>0</v>
      </c>
      <c r="K5288" t="n">
        <v>0</v>
      </c>
      <c r="L5288" t="n">
        <v>0</v>
      </c>
      <c r="M5288" t="n">
        <v>0</v>
      </c>
      <c r="N5288" t="n">
        <v>0</v>
      </c>
      <c r="O5288" t="n">
        <v>0</v>
      </c>
      <c r="P5288" t="n">
        <v>0</v>
      </c>
      <c r="Q5288" t="n">
        <v>0</v>
      </c>
      <c r="R5288" s="2" t="inlineStr"/>
    </row>
    <row r="5289" ht="15" customHeight="1">
      <c r="A5289" t="inlineStr">
        <is>
          <t>A 46376-2025</t>
        </is>
      </c>
      <c r="B5289" s="1" t="n">
        <v>45925</v>
      </c>
      <c r="C5289" s="1" t="n">
        <v>46086</v>
      </c>
      <c r="D5289" t="inlineStr">
        <is>
          <t>GÄVLEBORGS LÄN</t>
        </is>
      </c>
      <c r="E5289" t="inlineStr">
        <is>
          <t>LJUSDAL</t>
        </is>
      </c>
      <c r="G5289" t="n">
        <v>5</v>
      </c>
      <c r="H5289" t="n">
        <v>0</v>
      </c>
      <c r="I5289" t="n">
        <v>0</v>
      </c>
      <c r="J5289" t="n">
        <v>0</v>
      </c>
      <c r="K5289" t="n">
        <v>0</v>
      </c>
      <c r="L5289" t="n">
        <v>0</v>
      </c>
      <c r="M5289" t="n">
        <v>0</v>
      </c>
      <c r="N5289" t="n">
        <v>0</v>
      </c>
      <c r="O5289" t="n">
        <v>0</v>
      </c>
      <c r="P5289" t="n">
        <v>0</v>
      </c>
      <c r="Q5289" t="n">
        <v>0</v>
      </c>
      <c r="R5289" s="2" t="inlineStr"/>
    </row>
    <row r="5290" ht="15" customHeight="1">
      <c r="A5290" t="inlineStr">
        <is>
          <t>A 36251-2025</t>
        </is>
      </c>
      <c r="B5290" s="1" t="n">
        <v>45867.57475694444</v>
      </c>
      <c r="C5290" s="1" t="n">
        <v>46086</v>
      </c>
      <c r="D5290" t="inlineStr">
        <is>
          <t>GÄVLEBORGS LÄN</t>
        </is>
      </c>
      <c r="E5290" t="inlineStr">
        <is>
          <t>LJUSDAL</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46783-2025</t>
        </is>
      </c>
      <c r="B5291" s="1" t="n">
        <v>45926.64233796296</v>
      </c>
      <c r="C5291" s="1" t="n">
        <v>46086</v>
      </c>
      <c r="D5291" t="inlineStr">
        <is>
          <t>GÄVLEBORGS LÄN</t>
        </is>
      </c>
      <c r="E5291" t="inlineStr">
        <is>
          <t>GÄVLE</t>
        </is>
      </c>
      <c r="F5291" t="inlineStr">
        <is>
          <t>Bergvik skog väst AB</t>
        </is>
      </c>
      <c r="G5291" t="n">
        <v>5.9</v>
      </c>
      <c r="H5291" t="n">
        <v>0</v>
      </c>
      <c r="I5291" t="n">
        <v>0</v>
      </c>
      <c r="J5291" t="n">
        <v>0</v>
      </c>
      <c r="K5291" t="n">
        <v>0</v>
      </c>
      <c r="L5291" t="n">
        <v>0</v>
      </c>
      <c r="M5291" t="n">
        <v>0</v>
      </c>
      <c r="N5291" t="n">
        <v>0</v>
      </c>
      <c r="O5291" t="n">
        <v>0</v>
      </c>
      <c r="P5291" t="n">
        <v>0</v>
      </c>
      <c r="Q5291" t="n">
        <v>0</v>
      </c>
      <c r="R5291" s="2" t="inlineStr"/>
    </row>
    <row r="5292" ht="15" customHeight="1">
      <c r="A5292" t="inlineStr">
        <is>
          <t>A 36061-2025</t>
        </is>
      </c>
      <c r="B5292" s="1" t="n">
        <v>45866.3949074074</v>
      </c>
      <c r="C5292" s="1" t="n">
        <v>46086</v>
      </c>
      <c r="D5292" t="inlineStr">
        <is>
          <t>GÄVLEBORGS LÄN</t>
        </is>
      </c>
      <c r="E5292" t="inlineStr">
        <is>
          <t>LJUSDAL</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18162-2022</t>
        </is>
      </c>
      <c r="B5293" s="1" t="n">
        <v>44684</v>
      </c>
      <c r="C5293" s="1" t="n">
        <v>46086</v>
      </c>
      <c r="D5293" t="inlineStr">
        <is>
          <t>GÄVLEBORGS LÄN</t>
        </is>
      </c>
      <c r="E5293" t="inlineStr">
        <is>
          <t>GÄVLE</t>
        </is>
      </c>
      <c r="F5293" t="inlineStr">
        <is>
          <t>Bergvik skog väst AB</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43538-2023</t>
        </is>
      </c>
      <c r="B5294" s="1" t="n">
        <v>45184</v>
      </c>
      <c r="C5294" s="1" t="n">
        <v>46086</v>
      </c>
      <c r="D5294" t="inlineStr">
        <is>
          <t>GÄVLEBORGS LÄN</t>
        </is>
      </c>
      <c r="E5294" t="inlineStr">
        <is>
          <t>OCKELBO</t>
        </is>
      </c>
      <c r="F5294" t="inlineStr">
        <is>
          <t>Bergvik skog väst AB</t>
        </is>
      </c>
      <c r="G5294" t="n">
        <v>3.3</v>
      </c>
      <c r="H5294" t="n">
        <v>0</v>
      </c>
      <c r="I5294" t="n">
        <v>0</v>
      </c>
      <c r="J5294" t="n">
        <v>0</v>
      </c>
      <c r="K5294" t="n">
        <v>0</v>
      </c>
      <c r="L5294" t="n">
        <v>0</v>
      </c>
      <c r="M5294" t="n">
        <v>0</v>
      </c>
      <c r="N5294" t="n">
        <v>0</v>
      </c>
      <c r="O5294" t="n">
        <v>0</v>
      </c>
      <c r="P5294" t="n">
        <v>0</v>
      </c>
      <c r="Q5294" t="n">
        <v>0</v>
      </c>
      <c r="R5294" s="2" t="inlineStr"/>
    </row>
    <row r="5295" ht="15" customHeight="1">
      <c r="A5295" t="inlineStr">
        <is>
          <t>A 36107-2025</t>
        </is>
      </c>
      <c r="B5295" s="1" t="n">
        <v>45866.56145833333</v>
      </c>
      <c r="C5295" s="1" t="n">
        <v>46086</v>
      </c>
      <c r="D5295" t="inlineStr">
        <is>
          <t>GÄVLEBORGS LÄN</t>
        </is>
      </c>
      <c r="E5295" t="inlineStr">
        <is>
          <t>SANDVIKEN</t>
        </is>
      </c>
      <c r="F5295" t="inlineStr">
        <is>
          <t>Sveaskog</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46886-2025</t>
        </is>
      </c>
      <c r="B5296" s="1" t="n">
        <v>45929.36715277778</v>
      </c>
      <c r="C5296" s="1" t="n">
        <v>46086</v>
      </c>
      <c r="D5296" t="inlineStr">
        <is>
          <t>GÄVLEBORGS LÄN</t>
        </is>
      </c>
      <c r="E5296" t="inlineStr">
        <is>
          <t>HUDIKSVALL</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35208-2025</t>
        </is>
      </c>
      <c r="B5297" s="1" t="n">
        <v>45853</v>
      </c>
      <c r="C5297" s="1" t="n">
        <v>46086</v>
      </c>
      <c r="D5297" t="inlineStr">
        <is>
          <t>GÄVLEBORGS LÄN</t>
        </is>
      </c>
      <c r="E5297" t="inlineStr">
        <is>
          <t>BOLLNÄS</t>
        </is>
      </c>
      <c r="F5297" t="inlineStr">
        <is>
          <t>Bergvik skog väst AB</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57044-2022</t>
        </is>
      </c>
      <c r="B5298" s="1" t="n">
        <v>44895</v>
      </c>
      <c r="C5298" s="1" t="n">
        <v>46086</v>
      </c>
      <c r="D5298" t="inlineStr">
        <is>
          <t>GÄVLEBORGS LÄN</t>
        </is>
      </c>
      <c r="E5298" t="inlineStr">
        <is>
          <t>SÖDERHAMN</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30842-2024</t>
        </is>
      </c>
      <c r="B5299" s="1" t="n">
        <v>45497.57481481481</v>
      </c>
      <c r="C5299" s="1" t="n">
        <v>46086</v>
      </c>
      <c r="D5299" t="inlineStr">
        <is>
          <t>GÄVLEBORGS LÄN</t>
        </is>
      </c>
      <c r="E5299" t="inlineStr">
        <is>
          <t>NORDANSTIG</t>
        </is>
      </c>
      <c r="F5299" t="inlineStr">
        <is>
          <t>Holmen skog AB</t>
        </is>
      </c>
      <c r="G5299" t="n">
        <v>6.9</v>
      </c>
      <c r="H5299" t="n">
        <v>0</v>
      </c>
      <c r="I5299" t="n">
        <v>0</v>
      </c>
      <c r="J5299" t="n">
        <v>0</v>
      </c>
      <c r="K5299" t="n">
        <v>0</v>
      </c>
      <c r="L5299" t="n">
        <v>0</v>
      </c>
      <c r="M5299" t="n">
        <v>0</v>
      </c>
      <c r="N5299" t="n">
        <v>0</v>
      </c>
      <c r="O5299" t="n">
        <v>0</v>
      </c>
      <c r="P5299" t="n">
        <v>0</v>
      </c>
      <c r="Q5299" t="n">
        <v>0</v>
      </c>
      <c r="R5299" s="2" t="inlineStr"/>
    </row>
    <row r="5300" ht="15" customHeight="1">
      <c r="A5300" t="inlineStr">
        <is>
          <t>A 36228-2025</t>
        </is>
      </c>
      <c r="B5300" s="1" t="n">
        <v>45867.53563657407</v>
      </c>
      <c r="C5300" s="1" t="n">
        <v>46086</v>
      </c>
      <c r="D5300" t="inlineStr">
        <is>
          <t>GÄVLEBORGS LÄN</t>
        </is>
      </c>
      <c r="E5300" t="inlineStr">
        <is>
          <t>BOLLNÄS</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46614-2025</t>
        </is>
      </c>
      <c r="B5301" s="1" t="n">
        <v>45926.42737268518</v>
      </c>
      <c r="C5301" s="1" t="n">
        <v>46086</v>
      </c>
      <c r="D5301" t="inlineStr">
        <is>
          <t>GÄVLEBORGS LÄN</t>
        </is>
      </c>
      <c r="E5301" t="inlineStr">
        <is>
          <t>OVANÅKER</t>
        </is>
      </c>
      <c r="G5301" t="n">
        <v>7</v>
      </c>
      <c r="H5301" t="n">
        <v>0</v>
      </c>
      <c r="I5301" t="n">
        <v>0</v>
      </c>
      <c r="J5301" t="n">
        <v>0</v>
      </c>
      <c r="K5301" t="n">
        <v>0</v>
      </c>
      <c r="L5301" t="n">
        <v>0</v>
      </c>
      <c r="M5301" t="n">
        <v>0</v>
      </c>
      <c r="N5301" t="n">
        <v>0</v>
      </c>
      <c r="O5301" t="n">
        <v>0</v>
      </c>
      <c r="P5301" t="n">
        <v>0</v>
      </c>
      <c r="Q5301" t="n">
        <v>0</v>
      </c>
      <c r="R5301" s="2" t="inlineStr"/>
    </row>
    <row r="5302" ht="15" customHeight="1">
      <c r="A5302" t="inlineStr">
        <is>
          <t>A 36250-2025</t>
        </is>
      </c>
      <c r="B5302" s="1" t="n">
        <v>45867.57358796296</v>
      </c>
      <c r="C5302" s="1" t="n">
        <v>46086</v>
      </c>
      <c r="D5302" t="inlineStr">
        <is>
          <t>GÄVLEBORGS LÄN</t>
        </is>
      </c>
      <c r="E5302" t="inlineStr">
        <is>
          <t>LJUSDAL</t>
        </is>
      </c>
      <c r="F5302" t="inlineStr">
        <is>
          <t>Naturvårdsverket</t>
        </is>
      </c>
      <c r="G5302" t="n">
        <v>4.2</v>
      </c>
      <c r="H5302" t="n">
        <v>0</v>
      </c>
      <c r="I5302" t="n">
        <v>0</v>
      </c>
      <c r="J5302" t="n">
        <v>0</v>
      </c>
      <c r="K5302" t="n">
        <v>0</v>
      </c>
      <c r="L5302" t="n">
        <v>0</v>
      </c>
      <c r="M5302" t="n">
        <v>0</v>
      </c>
      <c r="N5302" t="n">
        <v>0</v>
      </c>
      <c r="O5302" t="n">
        <v>0</v>
      </c>
      <c r="P5302" t="n">
        <v>0</v>
      </c>
      <c r="Q5302" t="n">
        <v>0</v>
      </c>
      <c r="R5302" s="2" t="inlineStr"/>
    </row>
    <row r="5303" ht="15" customHeight="1">
      <c r="A5303" t="inlineStr">
        <is>
          <t>A 36263-2025</t>
        </is>
      </c>
      <c r="B5303" s="1" t="n">
        <v>45867.61510416667</v>
      </c>
      <c r="C5303" s="1" t="n">
        <v>46086</v>
      </c>
      <c r="D5303" t="inlineStr">
        <is>
          <t>GÄVLEBORGS LÄN</t>
        </is>
      </c>
      <c r="E5303" t="inlineStr">
        <is>
          <t>LJUSDAL</t>
        </is>
      </c>
      <c r="F5303" t="inlineStr">
        <is>
          <t>Naturvårdsverket</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46881-2025</t>
        </is>
      </c>
      <c r="B5304" s="1" t="n">
        <v>45929.34912037037</v>
      </c>
      <c r="C5304" s="1" t="n">
        <v>46086</v>
      </c>
      <c r="D5304" t="inlineStr">
        <is>
          <t>GÄVLEBORGS LÄN</t>
        </is>
      </c>
      <c r="E5304" t="inlineStr">
        <is>
          <t>OCKELBO</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36058-2025</t>
        </is>
      </c>
      <c r="B5305" s="1" t="n">
        <v>45866.39219907407</v>
      </c>
      <c r="C5305" s="1" t="n">
        <v>46086</v>
      </c>
      <c r="D5305" t="inlineStr">
        <is>
          <t>GÄVLEBORGS LÄN</t>
        </is>
      </c>
      <c r="E5305" t="inlineStr">
        <is>
          <t>LJUSDAL</t>
        </is>
      </c>
      <c r="F5305" t="inlineStr">
        <is>
          <t>Bergvik skog väst AB</t>
        </is>
      </c>
      <c r="G5305" t="n">
        <v>6.2</v>
      </c>
      <c r="H5305" t="n">
        <v>0</v>
      </c>
      <c r="I5305" t="n">
        <v>0</v>
      </c>
      <c r="J5305" t="n">
        <v>0</v>
      </c>
      <c r="K5305" t="n">
        <v>0</v>
      </c>
      <c r="L5305" t="n">
        <v>0</v>
      </c>
      <c r="M5305" t="n">
        <v>0</v>
      </c>
      <c r="N5305" t="n">
        <v>0</v>
      </c>
      <c r="O5305" t="n">
        <v>0</v>
      </c>
      <c r="P5305" t="n">
        <v>0</v>
      </c>
      <c r="Q5305" t="n">
        <v>0</v>
      </c>
      <c r="R5305" s="2" t="inlineStr"/>
    </row>
    <row r="5306" ht="15" customHeight="1">
      <c r="A5306" t="inlineStr">
        <is>
          <t>A 46902-2025</t>
        </is>
      </c>
      <c r="B5306" s="1" t="n">
        <v>45929.39336805556</v>
      </c>
      <c r="C5306" s="1" t="n">
        <v>46086</v>
      </c>
      <c r="D5306" t="inlineStr">
        <is>
          <t>GÄVLEBORGS LÄN</t>
        </is>
      </c>
      <c r="E5306" t="inlineStr">
        <is>
          <t>HUDIKSVALL</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46932-2025</t>
        </is>
      </c>
      <c r="B5307" s="1" t="n">
        <v>45929.44258101852</v>
      </c>
      <c r="C5307" s="1" t="n">
        <v>46086</v>
      </c>
      <c r="D5307" t="inlineStr">
        <is>
          <t>GÄVLEBORGS LÄN</t>
        </is>
      </c>
      <c r="E5307" t="inlineStr">
        <is>
          <t>OVANÅKER</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36069-2025</t>
        </is>
      </c>
      <c r="B5308" s="1" t="n">
        <v>45866.42765046296</v>
      </c>
      <c r="C5308" s="1" t="n">
        <v>46086</v>
      </c>
      <c r="D5308" t="inlineStr">
        <is>
          <t>GÄVLEBORGS LÄN</t>
        </is>
      </c>
      <c r="E5308" t="inlineStr">
        <is>
          <t>LJUSDAL</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46502-2024</t>
        </is>
      </c>
      <c r="B5309" s="1" t="n">
        <v>45582.60079861111</v>
      </c>
      <c r="C5309" s="1" t="n">
        <v>46086</v>
      </c>
      <c r="D5309" t="inlineStr">
        <is>
          <t>GÄVLEBORGS LÄN</t>
        </is>
      </c>
      <c r="E5309" t="inlineStr">
        <is>
          <t>LJUSDAL</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36091-2025</t>
        </is>
      </c>
      <c r="B5310" s="1" t="n">
        <v>45866.47849537037</v>
      </c>
      <c r="C5310" s="1" t="n">
        <v>46086</v>
      </c>
      <c r="D5310" t="inlineStr">
        <is>
          <t>GÄVLEBORGS LÄN</t>
        </is>
      </c>
      <c r="E5310" t="inlineStr">
        <is>
          <t>SANDVIKEN</t>
        </is>
      </c>
      <c r="F5310" t="inlineStr">
        <is>
          <t>Sveaskog</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36140-2025</t>
        </is>
      </c>
      <c r="B5311" s="1" t="n">
        <v>45866.65291666667</v>
      </c>
      <c r="C5311" s="1" t="n">
        <v>46086</v>
      </c>
      <c r="D5311" t="inlineStr">
        <is>
          <t>GÄVLEBORGS LÄN</t>
        </is>
      </c>
      <c r="E5311" t="inlineStr">
        <is>
          <t>OVANÅKER</t>
        </is>
      </c>
      <c r="G5311" t="n">
        <v>4</v>
      </c>
      <c r="H5311" t="n">
        <v>0</v>
      </c>
      <c r="I5311" t="n">
        <v>0</v>
      </c>
      <c r="J5311" t="n">
        <v>0</v>
      </c>
      <c r="K5311" t="n">
        <v>0</v>
      </c>
      <c r="L5311" t="n">
        <v>0</v>
      </c>
      <c r="M5311" t="n">
        <v>0</v>
      </c>
      <c r="N5311" t="n">
        <v>0</v>
      </c>
      <c r="O5311" t="n">
        <v>0</v>
      </c>
      <c r="P5311" t="n">
        <v>0</v>
      </c>
      <c r="Q5311" t="n">
        <v>0</v>
      </c>
      <c r="R5311" s="2" t="inlineStr"/>
    </row>
    <row r="5312" ht="15" customHeight="1">
      <c r="A5312" t="inlineStr">
        <is>
          <t>A 45949-2025</t>
        </is>
      </c>
      <c r="B5312" s="1" t="n">
        <v>45924</v>
      </c>
      <c r="C5312" s="1" t="n">
        <v>46086</v>
      </c>
      <c r="D5312" t="inlineStr">
        <is>
          <t>GÄVLEBORGS LÄN</t>
        </is>
      </c>
      <c r="E5312" t="inlineStr">
        <is>
          <t>BOLLNÄS</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36213-2025</t>
        </is>
      </c>
      <c r="B5313" s="1" t="n">
        <v>45867.48995370371</v>
      </c>
      <c r="C5313" s="1" t="n">
        <v>46086</v>
      </c>
      <c r="D5313" t="inlineStr">
        <is>
          <t>GÄVLEBORGS LÄN</t>
        </is>
      </c>
      <c r="E5313" t="inlineStr">
        <is>
          <t>LJUSDAL</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36234-2025</t>
        </is>
      </c>
      <c r="B5314" s="1" t="n">
        <v>45867.54785879629</v>
      </c>
      <c r="C5314" s="1" t="n">
        <v>46086</v>
      </c>
      <c r="D5314" t="inlineStr">
        <is>
          <t>GÄVLEBORGS LÄN</t>
        </is>
      </c>
      <c r="E5314" t="inlineStr">
        <is>
          <t>BOLLNÄS</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60699-2024</t>
        </is>
      </c>
      <c r="B5315" s="1" t="n">
        <v>45644.48552083333</v>
      </c>
      <c r="C5315" s="1" t="n">
        <v>46086</v>
      </c>
      <c r="D5315" t="inlineStr">
        <is>
          <t>GÄVLEBORGS LÄN</t>
        </is>
      </c>
      <c r="E5315" t="inlineStr">
        <is>
          <t>OCKELBO</t>
        </is>
      </c>
      <c r="F5315" t="inlineStr">
        <is>
          <t>Bergvik skog väst AB</t>
        </is>
      </c>
      <c r="G5315" t="n">
        <v>5.3</v>
      </c>
      <c r="H5315" t="n">
        <v>0</v>
      </c>
      <c r="I5315" t="n">
        <v>0</v>
      </c>
      <c r="J5315" t="n">
        <v>0</v>
      </c>
      <c r="K5315" t="n">
        <v>0</v>
      </c>
      <c r="L5315" t="n">
        <v>0</v>
      </c>
      <c r="M5315" t="n">
        <v>0</v>
      </c>
      <c r="N5315" t="n">
        <v>0</v>
      </c>
      <c r="O5315" t="n">
        <v>0</v>
      </c>
      <c r="P5315" t="n">
        <v>0</v>
      </c>
      <c r="Q5315" t="n">
        <v>0</v>
      </c>
      <c r="R5315" s="2" t="inlineStr"/>
    </row>
    <row r="5316" ht="15" customHeight="1">
      <c r="A5316" t="inlineStr">
        <is>
          <t>A 34776-2025</t>
        </is>
      </c>
      <c r="B5316" s="1" t="n">
        <v>45848.65737268519</v>
      </c>
      <c r="C5316" s="1" t="n">
        <v>46086</v>
      </c>
      <c r="D5316" t="inlineStr">
        <is>
          <t>GÄVLEBORGS LÄN</t>
        </is>
      </c>
      <c r="E5316" t="inlineStr">
        <is>
          <t>OCKELBO</t>
        </is>
      </c>
      <c r="F5316" t="inlineStr">
        <is>
          <t>Bergvik skog väst AB</t>
        </is>
      </c>
      <c r="G5316" t="n">
        <v>5.3</v>
      </c>
      <c r="H5316" t="n">
        <v>0</v>
      </c>
      <c r="I5316" t="n">
        <v>0</v>
      </c>
      <c r="J5316" t="n">
        <v>0</v>
      </c>
      <c r="K5316" t="n">
        <v>0</v>
      </c>
      <c r="L5316" t="n">
        <v>0</v>
      </c>
      <c r="M5316" t="n">
        <v>0</v>
      </c>
      <c r="N5316" t="n">
        <v>0</v>
      </c>
      <c r="O5316" t="n">
        <v>0</v>
      </c>
      <c r="P5316" t="n">
        <v>0</v>
      </c>
      <c r="Q5316" t="n">
        <v>0</v>
      </c>
      <c r="R5316" s="2" t="inlineStr"/>
    </row>
    <row r="5317" ht="15" customHeight="1">
      <c r="A5317" t="inlineStr">
        <is>
          <t>A 50693-2024</t>
        </is>
      </c>
      <c r="B5317" s="1" t="n">
        <v>45602.34721064815</v>
      </c>
      <c r="C5317" s="1" t="n">
        <v>46086</v>
      </c>
      <c r="D5317" t="inlineStr">
        <is>
          <t>GÄVLEBORGS LÄN</t>
        </is>
      </c>
      <c r="E5317" t="inlineStr">
        <is>
          <t>OCKELBO</t>
        </is>
      </c>
      <c r="F5317" t="inlineStr">
        <is>
          <t>Bergvik skog väst AB</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34305-2025</t>
        </is>
      </c>
      <c r="B5318" s="1" t="n">
        <v>45846.35457175926</v>
      </c>
      <c r="C5318" s="1" t="n">
        <v>46086</v>
      </c>
      <c r="D5318" t="inlineStr">
        <is>
          <t>GÄVLEBORGS LÄN</t>
        </is>
      </c>
      <c r="E5318" t="inlineStr">
        <is>
          <t>OCKELBO</t>
        </is>
      </c>
      <c r="F5318" t="inlineStr">
        <is>
          <t>Bergvik skog väst AB</t>
        </is>
      </c>
      <c r="G5318" t="n">
        <v>5.5</v>
      </c>
      <c r="H5318" t="n">
        <v>0</v>
      </c>
      <c r="I5318" t="n">
        <v>0</v>
      </c>
      <c r="J5318" t="n">
        <v>0</v>
      </c>
      <c r="K5318" t="n">
        <v>0</v>
      </c>
      <c r="L5318" t="n">
        <v>0</v>
      </c>
      <c r="M5318" t="n">
        <v>0</v>
      </c>
      <c r="N5318" t="n">
        <v>0</v>
      </c>
      <c r="O5318" t="n">
        <v>0</v>
      </c>
      <c r="P5318" t="n">
        <v>0</v>
      </c>
      <c r="Q5318" t="n">
        <v>0</v>
      </c>
      <c r="R5318" s="2" t="inlineStr"/>
    </row>
    <row r="5319" ht="15" customHeight="1">
      <c r="A5319" t="inlineStr">
        <is>
          <t>A 39526-2025</t>
        </is>
      </c>
      <c r="B5319" s="1" t="n">
        <v>45890.44188657407</v>
      </c>
      <c r="C5319" s="1" t="n">
        <v>46086</v>
      </c>
      <c r="D5319" t="inlineStr">
        <is>
          <t>GÄVLEBORGS LÄN</t>
        </is>
      </c>
      <c r="E5319" t="inlineStr">
        <is>
          <t>BOLLNÄS</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27066-2021</t>
        </is>
      </c>
      <c r="B5320" s="1" t="n">
        <v>44350.46327546296</v>
      </c>
      <c r="C5320" s="1" t="n">
        <v>46086</v>
      </c>
      <c r="D5320" t="inlineStr">
        <is>
          <t>GÄVLEBORGS LÄN</t>
        </is>
      </c>
      <c r="E5320" t="inlineStr">
        <is>
          <t>OCKELBO</t>
        </is>
      </c>
      <c r="F5320" t="inlineStr">
        <is>
          <t>Bergvik skog väst AB</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46642-2025</t>
        </is>
      </c>
      <c r="B5321" s="1" t="n">
        <v>45926.47118055556</v>
      </c>
      <c r="C5321" s="1" t="n">
        <v>46086</v>
      </c>
      <c r="D5321" t="inlineStr">
        <is>
          <t>GÄVLEBORGS LÄN</t>
        </is>
      </c>
      <c r="E5321" t="inlineStr">
        <is>
          <t>OCKELBO</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46676-2025</t>
        </is>
      </c>
      <c r="B5322" s="1" t="n">
        <v>45926.54412037037</v>
      </c>
      <c r="C5322" s="1" t="n">
        <v>46086</v>
      </c>
      <c r="D5322" t="inlineStr">
        <is>
          <t>GÄVLEBORGS LÄN</t>
        </is>
      </c>
      <c r="E5322" t="inlineStr">
        <is>
          <t>HUDIKSVALL</t>
        </is>
      </c>
      <c r="G5322" t="n">
        <v>3.3</v>
      </c>
      <c r="H5322" t="n">
        <v>0</v>
      </c>
      <c r="I5322" t="n">
        <v>0</v>
      </c>
      <c r="J5322" t="n">
        <v>0</v>
      </c>
      <c r="K5322" t="n">
        <v>0</v>
      </c>
      <c r="L5322" t="n">
        <v>0</v>
      </c>
      <c r="M5322" t="n">
        <v>0</v>
      </c>
      <c r="N5322" t="n">
        <v>0</v>
      </c>
      <c r="O5322" t="n">
        <v>0</v>
      </c>
      <c r="P5322" t="n">
        <v>0</v>
      </c>
      <c r="Q5322" t="n">
        <v>0</v>
      </c>
      <c r="R5322" s="2" t="inlineStr"/>
    </row>
    <row r="5323" ht="15" customHeight="1">
      <c r="A5323" t="inlineStr">
        <is>
          <t>A 16141-2023</t>
        </is>
      </c>
      <c r="B5323" s="1" t="n">
        <v>45027</v>
      </c>
      <c r="C5323" s="1" t="n">
        <v>46086</v>
      </c>
      <c r="D5323" t="inlineStr">
        <is>
          <t>GÄVLEBORGS LÄN</t>
        </is>
      </c>
      <c r="E5323" t="inlineStr">
        <is>
          <t>OCKELBO</t>
        </is>
      </c>
      <c r="F5323" t="inlineStr">
        <is>
          <t>Bergvik skog väst AB</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46618-2025</t>
        </is>
      </c>
      <c r="B5324" s="1" t="n">
        <v>45926.43328703703</v>
      </c>
      <c r="C5324" s="1" t="n">
        <v>46086</v>
      </c>
      <c r="D5324" t="inlineStr">
        <is>
          <t>GÄVLEBORGS LÄN</t>
        </is>
      </c>
      <c r="E5324" t="inlineStr">
        <is>
          <t>SANDVIKEN</t>
        </is>
      </c>
      <c r="F5324" t="inlineStr">
        <is>
          <t>Sveaskog</t>
        </is>
      </c>
      <c r="G5324" t="n">
        <v>4.2</v>
      </c>
      <c r="H5324" t="n">
        <v>0</v>
      </c>
      <c r="I5324" t="n">
        <v>0</v>
      </c>
      <c r="J5324" t="n">
        <v>0</v>
      </c>
      <c r="K5324" t="n">
        <v>0</v>
      </c>
      <c r="L5324" t="n">
        <v>0</v>
      </c>
      <c r="M5324" t="n">
        <v>0</v>
      </c>
      <c r="N5324" t="n">
        <v>0</v>
      </c>
      <c r="O5324" t="n">
        <v>0</v>
      </c>
      <c r="P5324" t="n">
        <v>0</v>
      </c>
      <c r="Q5324" t="n">
        <v>0</v>
      </c>
      <c r="R5324" s="2" t="inlineStr"/>
    </row>
    <row r="5325" ht="15" customHeight="1">
      <c r="A5325" t="inlineStr">
        <is>
          <t>A 46639-2025</t>
        </is>
      </c>
      <c r="B5325" s="1" t="n">
        <v>45926</v>
      </c>
      <c r="C5325" s="1" t="n">
        <v>46086</v>
      </c>
      <c r="D5325" t="inlineStr">
        <is>
          <t>GÄVLEBORGS LÄN</t>
        </is>
      </c>
      <c r="E5325" t="inlineStr">
        <is>
          <t>HUDIKSVALL</t>
        </is>
      </c>
      <c r="G5325" t="n">
        <v>4.1</v>
      </c>
      <c r="H5325" t="n">
        <v>0</v>
      </c>
      <c r="I5325" t="n">
        <v>0</v>
      </c>
      <c r="J5325" t="n">
        <v>0</v>
      </c>
      <c r="K5325" t="n">
        <v>0</v>
      </c>
      <c r="L5325" t="n">
        <v>0</v>
      </c>
      <c r="M5325" t="n">
        <v>0</v>
      </c>
      <c r="N5325" t="n">
        <v>0</v>
      </c>
      <c r="O5325" t="n">
        <v>0</v>
      </c>
      <c r="P5325" t="n">
        <v>0</v>
      </c>
      <c r="Q5325" t="n">
        <v>0</v>
      </c>
      <c r="R5325" s="2" t="inlineStr"/>
    </row>
    <row r="5326" ht="15" customHeight="1">
      <c r="A5326" t="inlineStr">
        <is>
          <t>A 13486-2024</t>
        </is>
      </c>
      <c r="B5326" s="1" t="n">
        <v>45387.61106481482</v>
      </c>
      <c r="C5326" s="1" t="n">
        <v>46086</v>
      </c>
      <c r="D5326" t="inlineStr">
        <is>
          <t>GÄVLEBORGS LÄN</t>
        </is>
      </c>
      <c r="E5326" t="inlineStr">
        <is>
          <t>OVANÅKER</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36047-2025</t>
        </is>
      </c>
      <c r="B5327" s="1" t="n">
        <v>45866.36804398148</v>
      </c>
      <c r="C5327" s="1" t="n">
        <v>46086</v>
      </c>
      <c r="D5327" t="inlineStr">
        <is>
          <t>GÄVLEBORGS LÄN</t>
        </is>
      </c>
      <c r="E5327" t="inlineStr">
        <is>
          <t>LJUSDAL</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59973-2022</t>
        </is>
      </c>
      <c r="B5328" s="1" t="n">
        <v>44909.43164351852</v>
      </c>
      <c r="C5328" s="1" t="n">
        <v>46086</v>
      </c>
      <c r="D5328" t="inlineStr">
        <is>
          <t>GÄVLEBORGS LÄN</t>
        </is>
      </c>
      <c r="E5328" t="inlineStr">
        <is>
          <t>HUDIKSVALL</t>
        </is>
      </c>
      <c r="F5328" t="inlineStr">
        <is>
          <t>Kyrkan</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9589-2025</t>
        </is>
      </c>
      <c r="B5329" s="1" t="n">
        <v>45715.64090277778</v>
      </c>
      <c r="C5329" s="1" t="n">
        <v>46086</v>
      </c>
      <c r="D5329" t="inlineStr">
        <is>
          <t>GÄVLEBORGS LÄN</t>
        </is>
      </c>
      <c r="E5329" t="inlineStr">
        <is>
          <t>HUDIKSVALL</t>
        </is>
      </c>
      <c r="F5329" t="inlineStr">
        <is>
          <t>Holmen skog AB</t>
        </is>
      </c>
      <c r="G5329" t="n">
        <v>7.8</v>
      </c>
      <c r="H5329" t="n">
        <v>0</v>
      </c>
      <c r="I5329" t="n">
        <v>0</v>
      </c>
      <c r="J5329" t="n">
        <v>0</v>
      </c>
      <c r="K5329" t="n">
        <v>0</v>
      </c>
      <c r="L5329" t="n">
        <v>0</v>
      </c>
      <c r="M5329" t="n">
        <v>0</v>
      </c>
      <c r="N5329" t="n">
        <v>0</v>
      </c>
      <c r="O5329" t="n">
        <v>0</v>
      </c>
      <c r="P5329" t="n">
        <v>0</v>
      </c>
      <c r="Q5329" t="n">
        <v>0</v>
      </c>
      <c r="R5329" s="2" t="inlineStr"/>
    </row>
    <row r="5330" ht="15" customHeight="1">
      <c r="A5330" t="inlineStr">
        <is>
          <t>A 50689-2024</t>
        </is>
      </c>
      <c r="B5330" s="1" t="n">
        <v>45602</v>
      </c>
      <c r="C5330" s="1" t="n">
        <v>46086</v>
      </c>
      <c r="D5330" t="inlineStr">
        <is>
          <t>GÄVLEBORGS LÄN</t>
        </is>
      </c>
      <c r="E5330" t="inlineStr">
        <is>
          <t>OCKELBO</t>
        </is>
      </c>
      <c r="F5330" t="inlineStr">
        <is>
          <t>Bergvik skog väst AB</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50692-2024</t>
        </is>
      </c>
      <c r="B5331" s="1" t="n">
        <v>45602.34263888889</v>
      </c>
      <c r="C5331" s="1" t="n">
        <v>46086</v>
      </c>
      <c r="D5331" t="inlineStr">
        <is>
          <t>GÄVLEBORGS LÄN</t>
        </is>
      </c>
      <c r="E5331" t="inlineStr">
        <is>
          <t>OCKELBO</t>
        </is>
      </c>
      <c r="F5331" t="inlineStr">
        <is>
          <t>Bergvik skog väst AB</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46675-2025</t>
        </is>
      </c>
      <c r="B5332" s="1" t="n">
        <v>45926.54326388889</v>
      </c>
      <c r="C5332" s="1" t="n">
        <v>46086</v>
      </c>
      <c r="D5332" t="inlineStr">
        <is>
          <t>GÄVLEBORGS LÄN</t>
        </is>
      </c>
      <c r="E5332" t="inlineStr">
        <is>
          <t>BOLLNÄS</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30208-2022</t>
        </is>
      </c>
      <c r="B5333" s="1" t="n">
        <v>44757.75127314815</v>
      </c>
      <c r="C5333" s="1" t="n">
        <v>46086</v>
      </c>
      <c r="D5333" t="inlineStr">
        <is>
          <t>GÄVLEBORGS LÄN</t>
        </is>
      </c>
      <c r="E5333" t="inlineStr">
        <is>
          <t>SÖDERHAMN</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51998-2023</t>
        </is>
      </c>
      <c r="B5334" s="1" t="n">
        <v>45223</v>
      </c>
      <c r="C5334" s="1" t="n">
        <v>46086</v>
      </c>
      <c r="D5334" t="inlineStr">
        <is>
          <t>GÄVLEBORGS LÄN</t>
        </is>
      </c>
      <c r="E5334" t="inlineStr">
        <is>
          <t>NORDANSTIG</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46858-2025</t>
        </is>
      </c>
      <c r="B5335" s="1" t="n">
        <v>45929.2461574074</v>
      </c>
      <c r="C5335" s="1" t="n">
        <v>46086</v>
      </c>
      <c r="D5335" t="inlineStr">
        <is>
          <t>GÄVLEBORGS LÄN</t>
        </is>
      </c>
      <c r="E5335" t="inlineStr">
        <is>
          <t>SÖDERHAMN</t>
        </is>
      </c>
      <c r="G5335" t="n">
        <v>10.9</v>
      </c>
      <c r="H5335" t="n">
        <v>0</v>
      </c>
      <c r="I5335" t="n">
        <v>0</v>
      </c>
      <c r="J5335" t="n">
        <v>0</v>
      </c>
      <c r="K5335" t="n">
        <v>0</v>
      </c>
      <c r="L5335" t="n">
        <v>0</v>
      </c>
      <c r="M5335" t="n">
        <v>0</v>
      </c>
      <c r="N5335" t="n">
        <v>0</v>
      </c>
      <c r="O5335" t="n">
        <v>0</v>
      </c>
      <c r="P5335" t="n">
        <v>0</v>
      </c>
      <c r="Q5335" t="n">
        <v>0</v>
      </c>
      <c r="R5335" s="2" t="inlineStr"/>
    </row>
    <row r="5336" ht="15" customHeight="1">
      <c r="A5336" t="inlineStr">
        <is>
          <t>A 36106-2025</t>
        </is>
      </c>
      <c r="B5336" s="1" t="n">
        <v>45866.55763888889</v>
      </c>
      <c r="C5336" s="1" t="n">
        <v>46086</v>
      </c>
      <c r="D5336" t="inlineStr">
        <is>
          <t>GÄVLEBORGS LÄN</t>
        </is>
      </c>
      <c r="E5336" t="inlineStr">
        <is>
          <t>GÄVLE</t>
        </is>
      </c>
      <c r="F5336" t="inlineStr">
        <is>
          <t>Bergvik skog väst AB</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36255-2025</t>
        </is>
      </c>
      <c r="B5337" s="1" t="n">
        <v>45867.58324074074</v>
      </c>
      <c r="C5337" s="1" t="n">
        <v>46086</v>
      </c>
      <c r="D5337" t="inlineStr">
        <is>
          <t>GÄVLEBORGS LÄN</t>
        </is>
      </c>
      <c r="E5337" t="inlineStr">
        <is>
          <t>GÄVLE</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36200-2025</t>
        </is>
      </c>
      <c r="B5338" s="1" t="n">
        <v>45867.44158564815</v>
      </c>
      <c r="C5338" s="1" t="n">
        <v>46086</v>
      </c>
      <c r="D5338" t="inlineStr">
        <is>
          <t>GÄVLEBORGS LÄN</t>
        </is>
      </c>
      <c r="E5338" t="inlineStr">
        <is>
          <t>HUDIKSVALL</t>
        </is>
      </c>
      <c r="F5338" t="inlineStr">
        <is>
          <t>Holmen skog AB</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36227-2025</t>
        </is>
      </c>
      <c r="B5339" s="1" t="n">
        <v>45867.53137731482</v>
      </c>
      <c r="C5339" s="1" t="n">
        <v>46086</v>
      </c>
      <c r="D5339" t="inlineStr">
        <is>
          <t>GÄVLEBORGS LÄN</t>
        </is>
      </c>
      <c r="E5339" t="inlineStr">
        <is>
          <t>LJUSDAL</t>
        </is>
      </c>
      <c r="G5339" t="n">
        <v>13.5</v>
      </c>
      <c r="H5339" t="n">
        <v>0</v>
      </c>
      <c r="I5339" t="n">
        <v>0</v>
      </c>
      <c r="J5339" t="n">
        <v>0</v>
      </c>
      <c r="K5339" t="n">
        <v>0</v>
      </c>
      <c r="L5339" t="n">
        <v>0</v>
      </c>
      <c r="M5339" t="n">
        <v>0</v>
      </c>
      <c r="N5339" t="n">
        <v>0</v>
      </c>
      <c r="O5339" t="n">
        <v>0</v>
      </c>
      <c r="P5339" t="n">
        <v>0</v>
      </c>
      <c r="Q5339" t="n">
        <v>0</v>
      </c>
      <c r="R5339" s="2" t="inlineStr"/>
    </row>
    <row r="5340" ht="15" customHeight="1">
      <c r="A5340" t="inlineStr">
        <is>
          <t>A 46730-2025</t>
        </is>
      </c>
      <c r="B5340" s="1" t="n">
        <v>45926.59225694444</v>
      </c>
      <c r="C5340" s="1" t="n">
        <v>46086</v>
      </c>
      <c r="D5340" t="inlineStr">
        <is>
          <t>GÄVLEBORGS LÄN</t>
        </is>
      </c>
      <c r="E5340" t="inlineStr">
        <is>
          <t>SANDVIKEN</t>
        </is>
      </c>
      <c r="F5340" t="inlineStr">
        <is>
          <t>Sveaskog</t>
        </is>
      </c>
      <c r="G5340" t="n">
        <v>7.5</v>
      </c>
      <c r="H5340" t="n">
        <v>0</v>
      </c>
      <c r="I5340" t="n">
        <v>0</v>
      </c>
      <c r="J5340" t="n">
        <v>0</v>
      </c>
      <c r="K5340" t="n">
        <v>0</v>
      </c>
      <c r="L5340" t="n">
        <v>0</v>
      </c>
      <c r="M5340" t="n">
        <v>0</v>
      </c>
      <c r="N5340" t="n">
        <v>0</v>
      </c>
      <c r="O5340" t="n">
        <v>0</v>
      </c>
      <c r="P5340" t="n">
        <v>0</v>
      </c>
      <c r="Q5340" t="n">
        <v>0</v>
      </c>
      <c r="R5340" s="2" t="inlineStr"/>
    </row>
    <row r="5341" ht="15" customHeight="1">
      <c r="A5341" t="inlineStr">
        <is>
          <t>A 46736-2025</t>
        </is>
      </c>
      <c r="B5341" s="1" t="n">
        <v>45926.59903935185</v>
      </c>
      <c r="C5341" s="1" t="n">
        <v>46086</v>
      </c>
      <c r="D5341" t="inlineStr">
        <is>
          <t>GÄVLEBORGS LÄN</t>
        </is>
      </c>
      <c r="E5341" t="inlineStr">
        <is>
          <t>GÄVLE</t>
        </is>
      </c>
      <c r="G5341" t="n">
        <v>15.9</v>
      </c>
      <c r="H5341" t="n">
        <v>0</v>
      </c>
      <c r="I5341" t="n">
        <v>0</v>
      </c>
      <c r="J5341" t="n">
        <v>0</v>
      </c>
      <c r="K5341" t="n">
        <v>0</v>
      </c>
      <c r="L5341" t="n">
        <v>0</v>
      </c>
      <c r="M5341" t="n">
        <v>0</v>
      </c>
      <c r="N5341" t="n">
        <v>0</v>
      </c>
      <c r="O5341" t="n">
        <v>0</v>
      </c>
      <c r="P5341" t="n">
        <v>0</v>
      </c>
      <c r="Q5341" t="n">
        <v>0</v>
      </c>
      <c r="R5341" s="2" t="inlineStr"/>
    </row>
    <row r="5342" ht="15" customHeight="1">
      <c r="A5342" t="inlineStr">
        <is>
          <t>A 26448-2024</t>
        </is>
      </c>
      <c r="B5342" s="1" t="n">
        <v>45469.50715277778</v>
      </c>
      <c r="C5342" s="1" t="n">
        <v>46086</v>
      </c>
      <c r="D5342" t="inlineStr">
        <is>
          <t>GÄVLEBORGS LÄN</t>
        </is>
      </c>
      <c r="E5342" t="inlineStr">
        <is>
          <t>OCKELBO</t>
        </is>
      </c>
      <c r="F5342" t="inlineStr">
        <is>
          <t>Bergvik skog väst AB</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36079-2025</t>
        </is>
      </c>
      <c r="B5343" s="1" t="n">
        <v>45866.4482175926</v>
      </c>
      <c r="C5343" s="1" t="n">
        <v>46086</v>
      </c>
      <c r="D5343" t="inlineStr">
        <is>
          <t>GÄVLEBORGS LÄN</t>
        </is>
      </c>
      <c r="E5343" t="inlineStr">
        <is>
          <t>LJUSDAL</t>
        </is>
      </c>
      <c r="G5343" t="n">
        <v>4.3</v>
      </c>
      <c r="H5343" t="n">
        <v>0</v>
      </c>
      <c r="I5343" t="n">
        <v>0</v>
      </c>
      <c r="J5343" t="n">
        <v>0</v>
      </c>
      <c r="K5343" t="n">
        <v>0</v>
      </c>
      <c r="L5343" t="n">
        <v>0</v>
      </c>
      <c r="M5343" t="n">
        <v>0</v>
      </c>
      <c r="N5343" t="n">
        <v>0</v>
      </c>
      <c r="O5343" t="n">
        <v>0</v>
      </c>
      <c r="P5343" t="n">
        <v>0</v>
      </c>
      <c r="Q5343" t="n">
        <v>0</v>
      </c>
      <c r="R5343" s="2" t="inlineStr"/>
    </row>
    <row r="5344" ht="15" customHeight="1">
      <c r="A5344" t="inlineStr">
        <is>
          <t>A 71678-2021</t>
        </is>
      </c>
      <c r="B5344" s="1" t="n">
        <v>44543.40311342593</v>
      </c>
      <c r="C5344" s="1" t="n">
        <v>46086</v>
      </c>
      <c r="D5344" t="inlineStr">
        <is>
          <t>GÄVLEBORGS LÄN</t>
        </is>
      </c>
      <c r="E5344" t="inlineStr">
        <is>
          <t>BOLLNÄS</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46965-2025</t>
        </is>
      </c>
      <c r="B5345" s="1" t="n">
        <v>45929.49503472223</v>
      </c>
      <c r="C5345" s="1" t="n">
        <v>46086</v>
      </c>
      <c r="D5345" t="inlineStr">
        <is>
          <t>GÄVLEBORGS LÄN</t>
        </is>
      </c>
      <c r="E5345" t="inlineStr">
        <is>
          <t>GÄVLE</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72083-2021</t>
        </is>
      </c>
      <c r="B5346" s="1" t="n">
        <v>44544.51949074074</v>
      </c>
      <c r="C5346" s="1" t="n">
        <v>46086</v>
      </c>
      <c r="D5346" t="inlineStr">
        <is>
          <t>GÄVLEBORGS LÄN</t>
        </is>
      </c>
      <c r="E5346" t="inlineStr">
        <is>
          <t>HUDIKSVALL</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47148-2025</t>
        </is>
      </c>
      <c r="B5347" s="1" t="n">
        <v>45929.71905092592</v>
      </c>
      <c r="C5347" s="1" t="n">
        <v>46086</v>
      </c>
      <c r="D5347" t="inlineStr">
        <is>
          <t>GÄVLEBORGS LÄN</t>
        </is>
      </c>
      <c r="E5347" t="inlineStr">
        <is>
          <t>SANDVIKEN</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36116-2025</t>
        </is>
      </c>
      <c r="B5348" s="1" t="n">
        <v>45866.58483796296</v>
      </c>
      <c r="C5348" s="1" t="n">
        <v>46086</v>
      </c>
      <c r="D5348" t="inlineStr">
        <is>
          <t>GÄVLEBORGS LÄN</t>
        </is>
      </c>
      <c r="E5348" t="inlineStr">
        <is>
          <t>GÄVLE</t>
        </is>
      </c>
      <c r="F5348" t="inlineStr">
        <is>
          <t>Bergvik skog väst AB</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36159-2025</t>
        </is>
      </c>
      <c r="B5349" s="1" t="n">
        <v>45867.36305555556</v>
      </c>
      <c r="C5349" s="1" t="n">
        <v>46086</v>
      </c>
      <c r="D5349" t="inlineStr">
        <is>
          <t>GÄVLEBORGS LÄN</t>
        </is>
      </c>
      <c r="E5349" t="inlineStr">
        <is>
          <t>HUDIKSVALL</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47091-2025</t>
        </is>
      </c>
      <c r="B5350" s="1" t="n">
        <v>45929.65052083333</v>
      </c>
      <c r="C5350" s="1" t="n">
        <v>46086</v>
      </c>
      <c r="D5350" t="inlineStr">
        <is>
          <t>GÄVLEBORGS LÄN</t>
        </is>
      </c>
      <c r="E5350" t="inlineStr">
        <is>
          <t>HOFORS</t>
        </is>
      </c>
      <c r="G5350" t="n">
        <v>3.7</v>
      </c>
      <c r="H5350" t="n">
        <v>0</v>
      </c>
      <c r="I5350" t="n">
        <v>0</v>
      </c>
      <c r="J5350" t="n">
        <v>0</v>
      </c>
      <c r="K5350" t="n">
        <v>0</v>
      </c>
      <c r="L5350" t="n">
        <v>0</v>
      </c>
      <c r="M5350" t="n">
        <v>0</v>
      </c>
      <c r="N5350" t="n">
        <v>0</v>
      </c>
      <c r="O5350" t="n">
        <v>0</v>
      </c>
      <c r="P5350" t="n">
        <v>0</v>
      </c>
      <c r="Q5350" t="n">
        <v>0</v>
      </c>
      <c r="R5350" s="2" t="inlineStr"/>
    </row>
    <row r="5351" ht="15" customHeight="1">
      <c r="A5351" t="inlineStr">
        <is>
          <t>A 47097-2025</t>
        </is>
      </c>
      <c r="B5351" s="1" t="n">
        <v>45929.65541666667</v>
      </c>
      <c r="C5351" s="1" t="n">
        <v>46086</v>
      </c>
      <c r="D5351" t="inlineStr">
        <is>
          <t>GÄVLEBORGS LÄN</t>
        </is>
      </c>
      <c r="E5351" t="inlineStr">
        <is>
          <t>HOFORS</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47108-2025</t>
        </is>
      </c>
      <c r="B5352" s="1" t="n">
        <v>45929.66302083333</v>
      </c>
      <c r="C5352" s="1" t="n">
        <v>46086</v>
      </c>
      <c r="D5352" t="inlineStr">
        <is>
          <t>GÄVLEBORGS LÄN</t>
        </is>
      </c>
      <c r="E5352" t="inlineStr">
        <is>
          <t>BOLLNÄS</t>
        </is>
      </c>
      <c r="G5352" t="n">
        <v>5.3</v>
      </c>
      <c r="H5352" t="n">
        <v>0</v>
      </c>
      <c r="I5352" t="n">
        <v>0</v>
      </c>
      <c r="J5352" t="n">
        <v>0</v>
      </c>
      <c r="K5352" t="n">
        <v>0</v>
      </c>
      <c r="L5352" t="n">
        <v>0</v>
      </c>
      <c r="M5352" t="n">
        <v>0</v>
      </c>
      <c r="N5352" t="n">
        <v>0</v>
      </c>
      <c r="O5352" t="n">
        <v>0</v>
      </c>
      <c r="P5352" t="n">
        <v>0</v>
      </c>
      <c r="Q5352" t="n">
        <v>0</v>
      </c>
      <c r="R5352" s="2" t="inlineStr"/>
    </row>
    <row r="5353" ht="15" customHeight="1">
      <c r="A5353" t="inlineStr">
        <is>
          <t>A 71408-2021</t>
        </is>
      </c>
      <c r="B5353" s="1" t="n">
        <v>44540.38681712963</v>
      </c>
      <c r="C5353" s="1" t="n">
        <v>46086</v>
      </c>
      <c r="D5353" t="inlineStr">
        <is>
          <t>GÄVLEBORGS LÄN</t>
        </is>
      </c>
      <c r="E5353" t="inlineStr">
        <is>
          <t>HUDIKSVALL</t>
        </is>
      </c>
      <c r="F5353" t="inlineStr">
        <is>
          <t>Holmen skog AB</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36265-2025</t>
        </is>
      </c>
      <c r="B5354" s="1" t="n">
        <v>45867.61561342593</v>
      </c>
      <c r="C5354" s="1" t="n">
        <v>46086</v>
      </c>
      <c r="D5354" t="inlineStr">
        <is>
          <t>GÄVLEBORGS LÄN</t>
        </is>
      </c>
      <c r="E5354" t="inlineStr">
        <is>
          <t>BOLLNÄS</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4095-2024</t>
        </is>
      </c>
      <c r="B5355" s="1" t="n">
        <v>45323</v>
      </c>
      <c r="C5355" s="1" t="n">
        <v>46086</v>
      </c>
      <c r="D5355" t="inlineStr">
        <is>
          <t>GÄVLEBORGS LÄN</t>
        </is>
      </c>
      <c r="E5355" t="inlineStr">
        <is>
          <t>LJUSDAL</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25828-2024</t>
        </is>
      </c>
      <c r="B5356" s="1" t="n">
        <v>45467.40458333334</v>
      </c>
      <c r="C5356" s="1" t="n">
        <v>46086</v>
      </c>
      <c r="D5356" t="inlineStr">
        <is>
          <t>GÄVLEBORGS LÄN</t>
        </is>
      </c>
      <c r="E5356" t="inlineStr">
        <is>
          <t>SANDVIKEN</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36136-2025</t>
        </is>
      </c>
      <c r="B5357" s="1" t="n">
        <v>45866.63949074074</v>
      </c>
      <c r="C5357" s="1" t="n">
        <v>46086</v>
      </c>
      <c r="D5357" t="inlineStr">
        <is>
          <t>GÄVLEBORGS LÄN</t>
        </is>
      </c>
      <c r="E5357" t="inlineStr">
        <is>
          <t>OVANÅKER</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46715-2025</t>
        </is>
      </c>
      <c r="B5358" s="1" t="n">
        <v>45926.57803240741</v>
      </c>
      <c r="C5358" s="1" t="n">
        <v>46086</v>
      </c>
      <c r="D5358" t="inlineStr">
        <is>
          <t>GÄVLEBORGS LÄN</t>
        </is>
      </c>
      <c r="E5358" t="inlineStr">
        <is>
          <t>LJUSDAL</t>
        </is>
      </c>
      <c r="F5358" t="inlineStr">
        <is>
          <t>Sveaskog</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46724-2025</t>
        </is>
      </c>
      <c r="B5359" s="1" t="n">
        <v>45926.58541666667</v>
      </c>
      <c r="C5359" s="1" t="n">
        <v>46086</v>
      </c>
      <c r="D5359" t="inlineStr">
        <is>
          <t>GÄVLEBORGS LÄN</t>
        </is>
      </c>
      <c r="E5359" t="inlineStr">
        <is>
          <t>GÄVLE</t>
        </is>
      </c>
      <c r="G5359" t="n">
        <v>4.9</v>
      </c>
      <c r="H5359" t="n">
        <v>0</v>
      </c>
      <c r="I5359" t="n">
        <v>0</v>
      </c>
      <c r="J5359" t="n">
        <v>0</v>
      </c>
      <c r="K5359" t="n">
        <v>0</v>
      </c>
      <c r="L5359" t="n">
        <v>0</v>
      </c>
      <c r="M5359" t="n">
        <v>0</v>
      </c>
      <c r="N5359" t="n">
        <v>0</v>
      </c>
      <c r="O5359" t="n">
        <v>0</v>
      </c>
      <c r="P5359" t="n">
        <v>0</v>
      </c>
      <c r="Q5359" t="n">
        <v>0</v>
      </c>
      <c r="R5359" s="2" t="inlineStr"/>
    </row>
    <row r="5360" ht="15" customHeight="1">
      <c r="A5360" t="inlineStr">
        <is>
          <t>A 46727-2025</t>
        </is>
      </c>
      <c r="B5360" s="1" t="n">
        <v>45926.58954861111</v>
      </c>
      <c r="C5360" s="1" t="n">
        <v>46086</v>
      </c>
      <c r="D5360" t="inlineStr">
        <is>
          <t>GÄVLEBORGS LÄN</t>
        </is>
      </c>
      <c r="E5360" t="inlineStr">
        <is>
          <t>SANDVIKEN</t>
        </is>
      </c>
      <c r="F5360" t="inlineStr">
        <is>
          <t>Sveaskog</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59772-2024</t>
        </is>
      </c>
      <c r="B5361" s="1" t="n">
        <v>45639.56792824074</v>
      </c>
      <c r="C5361" s="1" t="n">
        <v>46086</v>
      </c>
      <c r="D5361" t="inlineStr">
        <is>
          <t>GÄVLEBORGS LÄN</t>
        </is>
      </c>
      <c r="E5361" t="inlineStr">
        <is>
          <t>SÖDERHAMN</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52140-2024</t>
        </is>
      </c>
      <c r="B5362" s="1" t="n">
        <v>45608.50689814815</v>
      </c>
      <c r="C5362" s="1" t="n">
        <v>46086</v>
      </c>
      <c r="D5362" t="inlineStr">
        <is>
          <t>GÄVLEBORGS LÄN</t>
        </is>
      </c>
      <c r="E5362" t="inlineStr">
        <is>
          <t>OCKELBO</t>
        </is>
      </c>
      <c r="F5362" t="inlineStr">
        <is>
          <t>Bergvik skog väst AB</t>
        </is>
      </c>
      <c r="G5362" t="n">
        <v>9.800000000000001</v>
      </c>
      <c r="H5362" t="n">
        <v>0</v>
      </c>
      <c r="I5362" t="n">
        <v>0</v>
      </c>
      <c r="J5362" t="n">
        <v>0</v>
      </c>
      <c r="K5362" t="n">
        <v>0</v>
      </c>
      <c r="L5362" t="n">
        <v>0</v>
      </c>
      <c r="M5362" t="n">
        <v>0</v>
      </c>
      <c r="N5362" t="n">
        <v>0</v>
      </c>
      <c r="O5362" t="n">
        <v>0</v>
      </c>
      <c r="P5362" t="n">
        <v>0</v>
      </c>
      <c r="Q5362" t="n">
        <v>0</v>
      </c>
      <c r="R5362" s="2" t="inlineStr"/>
    </row>
    <row r="5363" ht="15" customHeight="1">
      <c r="A5363" t="inlineStr">
        <is>
          <t>A 22465-2021</t>
        </is>
      </c>
      <c r="B5363" s="1" t="n">
        <v>44326</v>
      </c>
      <c r="C5363" s="1" t="n">
        <v>46086</v>
      </c>
      <c r="D5363" t="inlineStr">
        <is>
          <t>GÄVLEBORGS LÄN</t>
        </is>
      </c>
      <c r="E5363" t="inlineStr">
        <is>
          <t>HUDIKSVALL</t>
        </is>
      </c>
      <c r="F5363" t="inlineStr">
        <is>
          <t>Holmen skog AB</t>
        </is>
      </c>
      <c r="G5363" t="n">
        <v>8</v>
      </c>
      <c r="H5363" t="n">
        <v>0</v>
      </c>
      <c r="I5363" t="n">
        <v>0</v>
      </c>
      <c r="J5363" t="n">
        <v>0</v>
      </c>
      <c r="K5363" t="n">
        <v>0</v>
      </c>
      <c r="L5363" t="n">
        <v>0</v>
      </c>
      <c r="M5363" t="n">
        <v>0</v>
      </c>
      <c r="N5363" t="n">
        <v>0</v>
      </c>
      <c r="O5363" t="n">
        <v>0</v>
      </c>
      <c r="P5363" t="n">
        <v>0</v>
      </c>
      <c r="Q5363" t="n">
        <v>0</v>
      </c>
      <c r="R5363" s="2" t="inlineStr"/>
    </row>
    <row r="5364" ht="15" customHeight="1">
      <c r="A5364" t="inlineStr">
        <is>
          <t>A 33422-2024</t>
        </is>
      </c>
      <c r="B5364" s="1" t="n">
        <v>45519.50747685185</v>
      </c>
      <c r="C5364" s="1" t="n">
        <v>46086</v>
      </c>
      <c r="D5364" t="inlineStr">
        <is>
          <t>GÄVLEBORGS LÄN</t>
        </is>
      </c>
      <c r="E5364" t="inlineStr">
        <is>
          <t>BOLLNÄS</t>
        </is>
      </c>
      <c r="F5364" t="inlineStr">
        <is>
          <t>Bergvik skog väst AB</t>
        </is>
      </c>
      <c r="G5364" t="n">
        <v>4.4</v>
      </c>
      <c r="H5364" t="n">
        <v>0</v>
      </c>
      <c r="I5364" t="n">
        <v>0</v>
      </c>
      <c r="J5364" t="n">
        <v>0</v>
      </c>
      <c r="K5364" t="n">
        <v>0</v>
      </c>
      <c r="L5364" t="n">
        <v>0</v>
      </c>
      <c r="M5364" t="n">
        <v>0</v>
      </c>
      <c r="N5364" t="n">
        <v>0</v>
      </c>
      <c r="O5364" t="n">
        <v>0</v>
      </c>
      <c r="P5364" t="n">
        <v>0</v>
      </c>
      <c r="Q5364" t="n">
        <v>0</v>
      </c>
      <c r="R5364" s="2" t="inlineStr"/>
    </row>
    <row r="5365" ht="15" customHeight="1">
      <c r="A5365" t="inlineStr">
        <is>
          <t>A 34766-2025</t>
        </is>
      </c>
      <c r="B5365" s="1" t="n">
        <v>45848.64854166667</v>
      </c>
      <c r="C5365" s="1" t="n">
        <v>46086</v>
      </c>
      <c r="D5365" t="inlineStr">
        <is>
          <t>GÄVLEBORGS LÄN</t>
        </is>
      </c>
      <c r="E5365" t="inlineStr">
        <is>
          <t>OCKELBO</t>
        </is>
      </c>
      <c r="F5365" t="inlineStr">
        <is>
          <t>Bergvik skog väst AB</t>
        </is>
      </c>
      <c r="G5365" t="n">
        <v>5.7</v>
      </c>
      <c r="H5365" t="n">
        <v>0</v>
      </c>
      <c r="I5365" t="n">
        <v>0</v>
      </c>
      <c r="J5365" t="n">
        <v>0</v>
      </c>
      <c r="K5365" t="n">
        <v>0</v>
      </c>
      <c r="L5365" t="n">
        <v>0</v>
      </c>
      <c r="M5365" t="n">
        <v>0</v>
      </c>
      <c r="N5365" t="n">
        <v>0</v>
      </c>
      <c r="O5365" t="n">
        <v>0</v>
      </c>
      <c r="P5365" t="n">
        <v>0</v>
      </c>
      <c r="Q5365" t="n">
        <v>0</v>
      </c>
      <c r="R5365" s="2" t="inlineStr"/>
    </row>
    <row r="5366" ht="15" customHeight="1">
      <c r="A5366" t="inlineStr">
        <is>
          <t>A 34852-2021</t>
        </is>
      </c>
      <c r="B5366" s="1" t="n">
        <v>44383</v>
      </c>
      <c r="C5366" s="1" t="n">
        <v>46086</v>
      </c>
      <c r="D5366" t="inlineStr">
        <is>
          <t>GÄVLEBORGS LÄN</t>
        </is>
      </c>
      <c r="E5366" t="inlineStr">
        <is>
          <t>BOLLNÄS</t>
        </is>
      </c>
      <c r="F5366" t="inlineStr">
        <is>
          <t>Bergvik skog väst AB</t>
        </is>
      </c>
      <c r="G5366" t="n">
        <v>5.9</v>
      </c>
      <c r="H5366" t="n">
        <v>0</v>
      </c>
      <c r="I5366" t="n">
        <v>0</v>
      </c>
      <c r="J5366" t="n">
        <v>0</v>
      </c>
      <c r="K5366" t="n">
        <v>0</v>
      </c>
      <c r="L5366" t="n">
        <v>0</v>
      </c>
      <c r="M5366" t="n">
        <v>0</v>
      </c>
      <c r="N5366" t="n">
        <v>0</v>
      </c>
      <c r="O5366" t="n">
        <v>0</v>
      </c>
      <c r="P5366" t="n">
        <v>0</v>
      </c>
      <c r="Q5366" t="n">
        <v>0</v>
      </c>
      <c r="R5366" s="2" t="inlineStr"/>
    </row>
    <row r="5367" ht="15" customHeight="1">
      <c r="A5367" t="inlineStr">
        <is>
          <t>A 36184-2025</t>
        </is>
      </c>
      <c r="B5367" s="1" t="n">
        <v>45867.41747685185</v>
      </c>
      <c r="C5367" s="1" t="n">
        <v>46086</v>
      </c>
      <c r="D5367" t="inlineStr">
        <is>
          <t>GÄVLEBORGS LÄN</t>
        </is>
      </c>
      <c r="E5367" t="inlineStr">
        <is>
          <t>OVANÅKER</t>
        </is>
      </c>
      <c r="F5367" t="inlineStr">
        <is>
          <t>Bergvik skog väst AB</t>
        </is>
      </c>
      <c r="G5367" t="n">
        <v>8.199999999999999</v>
      </c>
      <c r="H5367" t="n">
        <v>0</v>
      </c>
      <c r="I5367" t="n">
        <v>0</v>
      </c>
      <c r="J5367" t="n">
        <v>0</v>
      </c>
      <c r="K5367" t="n">
        <v>0</v>
      </c>
      <c r="L5367" t="n">
        <v>0</v>
      </c>
      <c r="M5367" t="n">
        <v>0</v>
      </c>
      <c r="N5367" t="n">
        <v>0</v>
      </c>
      <c r="O5367" t="n">
        <v>0</v>
      </c>
      <c r="P5367" t="n">
        <v>0</v>
      </c>
      <c r="Q5367" t="n">
        <v>0</v>
      </c>
      <c r="R5367" s="2" t="inlineStr"/>
    </row>
    <row r="5368" ht="15" customHeight="1">
      <c r="A5368" t="inlineStr">
        <is>
          <t>A 36186-2025</t>
        </is>
      </c>
      <c r="B5368" s="1" t="n">
        <v>45867.41916666667</v>
      </c>
      <c r="C5368" s="1" t="n">
        <v>46086</v>
      </c>
      <c r="D5368" t="inlineStr">
        <is>
          <t>GÄVLEBORGS LÄN</t>
        </is>
      </c>
      <c r="E5368" t="inlineStr">
        <is>
          <t>SÖDERHAMN</t>
        </is>
      </c>
      <c r="F5368" t="inlineStr">
        <is>
          <t>Bergvik skog väst AB</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38401-2023</t>
        </is>
      </c>
      <c r="B5369" s="1" t="n">
        <v>45162</v>
      </c>
      <c r="C5369" s="1" t="n">
        <v>46086</v>
      </c>
      <c r="D5369" t="inlineStr">
        <is>
          <t>GÄVLEBORGS LÄN</t>
        </is>
      </c>
      <c r="E5369" t="inlineStr">
        <is>
          <t>OCKELBO</t>
        </is>
      </c>
      <c r="F5369" t="inlineStr">
        <is>
          <t>Bergvik skog väst AB</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66825-2021</t>
        </is>
      </c>
      <c r="B5370" s="1" t="n">
        <v>44522.40350694444</v>
      </c>
      <c r="C5370" s="1" t="n">
        <v>46086</v>
      </c>
      <c r="D5370" t="inlineStr">
        <is>
          <t>GÄVLEBORGS LÄN</t>
        </is>
      </c>
      <c r="E5370" t="inlineStr">
        <is>
          <t>OCKELBO</t>
        </is>
      </c>
      <c r="F5370" t="inlineStr">
        <is>
          <t>Bergvik skog väst AB</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18914-2024</t>
        </is>
      </c>
      <c r="B5371" s="1" t="n">
        <v>45427.383125</v>
      </c>
      <c r="C5371" s="1" t="n">
        <v>46086</v>
      </c>
      <c r="D5371" t="inlineStr">
        <is>
          <t>GÄVLEBORGS LÄN</t>
        </is>
      </c>
      <c r="E5371" t="inlineStr">
        <is>
          <t>LJUSDAL</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46678-2025</t>
        </is>
      </c>
      <c r="B5372" s="1" t="n">
        <v>45926.54435185185</v>
      </c>
      <c r="C5372" s="1" t="n">
        <v>46086</v>
      </c>
      <c r="D5372" t="inlineStr">
        <is>
          <t>GÄVLEBORGS LÄN</t>
        </is>
      </c>
      <c r="E5372" t="inlineStr">
        <is>
          <t>LJUSDAL</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40393-2025</t>
        </is>
      </c>
      <c r="B5373" s="1" t="n">
        <v>45895.55646990741</v>
      </c>
      <c r="C5373" s="1" t="n">
        <v>46086</v>
      </c>
      <c r="D5373" t="inlineStr">
        <is>
          <t>GÄVLEBORGS LÄN</t>
        </is>
      </c>
      <c r="E5373" t="inlineStr">
        <is>
          <t>HOFORS</t>
        </is>
      </c>
      <c r="F5373" t="inlineStr">
        <is>
          <t>Sveaskog</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46922-2025</t>
        </is>
      </c>
      <c r="B5374" s="1" t="n">
        <v>45929.43685185185</v>
      </c>
      <c r="C5374" s="1" t="n">
        <v>46086</v>
      </c>
      <c r="D5374" t="inlineStr">
        <is>
          <t>GÄVLEBORGS LÄN</t>
        </is>
      </c>
      <c r="E5374" t="inlineStr">
        <is>
          <t>HUDIKSVALL</t>
        </is>
      </c>
      <c r="F5374" t="inlineStr">
        <is>
          <t>Holmen skog AB</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36076-2025</t>
        </is>
      </c>
      <c r="B5375" s="1" t="n">
        <v>45866.44275462963</v>
      </c>
      <c r="C5375" s="1" t="n">
        <v>46086</v>
      </c>
      <c r="D5375" t="inlineStr">
        <is>
          <t>GÄVLEBORGS LÄN</t>
        </is>
      </c>
      <c r="E5375" t="inlineStr">
        <is>
          <t>OVANÅKER</t>
        </is>
      </c>
      <c r="F5375" t="inlineStr">
        <is>
          <t>Bergvik skog väst AB</t>
        </is>
      </c>
      <c r="G5375" t="n">
        <v>23.7</v>
      </c>
      <c r="H5375" t="n">
        <v>0</v>
      </c>
      <c r="I5375" t="n">
        <v>0</v>
      </c>
      <c r="J5375" t="n">
        <v>0</v>
      </c>
      <c r="K5375" t="n">
        <v>0</v>
      </c>
      <c r="L5375" t="n">
        <v>0</v>
      </c>
      <c r="M5375" t="n">
        <v>0</v>
      </c>
      <c r="N5375" t="n">
        <v>0</v>
      </c>
      <c r="O5375" t="n">
        <v>0</v>
      </c>
      <c r="P5375" t="n">
        <v>0</v>
      </c>
      <c r="Q5375" t="n">
        <v>0</v>
      </c>
      <c r="R5375" s="2" t="inlineStr"/>
    </row>
    <row r="5376" ht="15" customHeight="1">
      <c r="A5376" t="inlineStr">
        <is>
          <t>A 28403-2021</t>
        </is>
      </c>
      <c r="B5376" s="1" t="n">
        <v>44356</v>
      </c>
      <c r="C5376" s="1" t="n">
        <v>46086</v>
      </c>
      <c r="D5376" t="inlineStr">
        <is>
          <t>GÄVLEBORGS LÄN</t>
        </is>
      </c>
      <c r="E5376" t="inlineStr">
        <is>
          <t>GÄVLE</t>
        </is>
      </c>
      <c r="G5376" t="n">
        <v>4</v>
      </c>
      <c r="H5376" t="n">
        <v>0</v>
      </c>
      <c r="I5376" t="n">
        <v>0</v>
      </c>
      <c r="J5376" t="n">
        <v>0</v>
      </c>
      <c r="K5376" t="n">
        <v>0</v>
      </c>
      <c r="L5376" t="n">
        <v>0</v>
      </c>
      <c r="M5376" t="n">
        <v>0</v>
      </c>
      <c r="N5376" t="n">
        <v>0</v>
      </c>
      <c r="O5376" t="n">
        <v>0</v>
      </c>
      <c r="P5376" t="n">
        <v>0</v>
      </c>
      <c r="Q5376" t="n">
        <v>0</v>
      </c>
      <c r="R5376" s="2" t="inlineStr"/>
    </row>
    <row r="5377" ht="15" customHeight="1">
      <c r="A5377" t="inlineStr">
        <is>
          <t>A 36231-2025</t>
        </is>
      </c>
      <c r="B5377" s="1" t="n">
        <v>45867.5446875</v>
      </c>
      <c r="C5377" s="1" t="n">
        <v>46086</v>
      </c>
      <c r="D5377" t="inlineStr">
        <is>
          <t>GÄVLEBORGS LÄN</t>
        </is>
      </c>
      <c r="E5377" t="inlineStr">
        <is>
          <t>BOLLNÄS</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46719-2025</t>
        </is>
      </c>
      <c r="B5378" s="1" t="n">
        <v>45926.58216435185</v>
      </c>
      <c r="C5378" s="1" t="n">
        <v>46086</v>
      </c>
      <c r="D5378" t="inlineStr">
        <is>
          <t>GÄVLEBORGS LÄN</t>
        </is>
      </c>
      <c r="E5378" t="inlineStr">
        <is>
          <t>LJUSDAL</t>
        </is>
      </c>
      <c r="F5378" t="inlineStr">
        <is>
          <t>Sveaskog</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46883-2025</t>
        </is>
      </c>
      <c r="B5379" s="1" t="n">
        <v>45929.36471064815</v>
      </c>
      <c r="C5379" s="1" t="n">
        <v>46086</v>
      </c>
      <c r="D5379" t="inlineStr">
        <is>
          <t>GÄVLEBORGS LÄN</t>
        </is>
      </c>
      <c r="E5379" t="inlineStr">
        <is>
          <t>BOLLNÄS</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29773-2023</t>
        </is>
      </c>
      <c r="B5380" s="1" t="n">
        <v>45107.48931712963</v>
      </c>
      <c r="C5380" s="1" t="n">
        <v>46086</v>
      </c>
      <c r="D5380" t="inlineStr">
        <is>
          <t>GÄVLEBORGS LÄN</t>
        </is>
      </c>
      <c r="E5380" t="inlineStr">
        <is>
          <t>BOLLNÄS</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3871-2024</t>
        </is>
      </c>
      <c r="B5381" s="1" t="n">
        <v>45322</v>
      </c>
      <c r="C5381" s="1" t="n">
        <v>46086</v>
      </c>
      <c r="D5381" t="inlineStr">
        <is>
          <t>GÄVLEBORGS LÄN</t>
        </is>
      </c>
      <c r="E5381" t="inlineStr">
        <is>
          <t>OVANÅKER</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46579-2025</t>
        </is>
      </c>
      <c r="B5382" s="1" t="n">
        <v>45926.37582175926</v>
      </c>
      <c r="C5382" s="1" t="n">
        <v>46086</v>
      </c>
      <c r="D5382" t="inlineStr">
        <is>
          <t>GÄVLEBORGS LÄN</t>
        </is>
      </c>
      <c r="E5382" t="inlineStr">
        <is>
          <t>HUDIKSVALL</t>
        </is>
      </c>
      <c r="F5382" t="inlineStr">
        <is>
          <t>Holmen skog AB</t>
        </is>
      </c>
      <c r="G5382" t="n">
        <v>5.1</v>
      </c>
      <c r="H5382" t="n">
        <v>0</v>
      </c>
      <c r="I5382" t="n">
        <v>0</v>
      </c>
      <c r="J5382" t="n">
        <v>0</v>
      </c>
      <c r="K5382" t="n">
        <v>0</v>
      </c>
      <c r="L5382" t="n">
        <v>0</v>
      </c>
      <c r="M5382" t="n">
        <v>0</v>
      </c>
      <c r="N5382" t="n">
        <v>0</v>
      </c>
      <c r="O5382" t="n">
        <v>0</v>
      </c>
      <c r="P5382" t="n">
        <v>0</v>
      </c>
      <c r="Q5382" t="n">
        <v>0</v>
      </c>
      <c r="R5382" s="2" t="inlineStr"/>
    </row>
    <row r="5383" ht="15" customHeight="1">
      <c r="A5383" t="inlineStr">
        <is>
          <t>A 34291-2025</t>
        </is>
      </c>
      <c r="B5383" s="1" t="n">
        <v>45846.3380787037</v>
      </c>
      <c r="C5383" s="1" t="n">
        <v>46086</v>
      </c>
      <c r="D5383" t="inlineStr">
        <is>
          <t>GÄVLEBORGS LÄN</t>
        </is>
      </c>
      <c r="E5383" t="inlineStr">
        <is>
          <t>OCKELBO</t>
        </is>
      </c>
      <c r="F5383" t="inlineStr">
        <is>
          <t>Bergvik skog väst AB</t>
        </is>
      </c>
      <c r="G5383" t="n">
        <v>6.4</v>
      </c>
      <c r="H5383" t="n">
        <v>0</v>
      </c>
      <c r="I5383" t="n">
        <v>0</v>
      </c>
      <c r="J5383" t="n">
        <v>0</v>
      </c>
      <c r="K5383" t="n">
        <v>0</v>
      </c>
      <c r="L5383" t="n">
        <v>0</v>
      </c>
      <c r="M5383" t="n">
        <v>0</v>
      </c>
      <c r="N5383" t="n">
        <v>0</v>
      </c>
      <c r="O5383" t="n">
        <v>0</v>
      </c>
      <c r="P5383" t="n">
        <v>0</v>
      </c>
      <c r="Q5383" t="n">
        <v>0</v>
      </c>
      <c r="R5383" s="2" t="inlineStr"/>
    </row>
    <row r="5384" ht="15" customHeight="1">
      <c r="A5384" t="inlineStr">
        <is>
          <t>A 12371-2021</t>
        </is>
      </c>
      <c r="B5384" s="1" t="n">
        <v>44267</v>
      </c>
      <c r="C5384" s="1" t="n">
        <v>46086</v>
      </c>
      <c r="D5384" t="inlineStr">
        <is>
          <t>GÄVLEBORGS LÄN</t>
        </is>
      </c>
      <c r="E5384" t="inlineStr">
        <is>
          <t>OCKELBO</t>
        </is>
      </c>
      <c r="F5384" t="inlineStr">
        <is>
          <t>Bergvik skog väst AB</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40283-2024</t>
        </is>
      </c>
      <c r="B5385" s="1" t="n">
        <v>45554.66199074074</v>
      </c>
      <c r="C5385" s="1" t="n">
        <v>46086</v>
      </c>
      <c r="D5385" t="inlineStr">
        <is>
          <t>GÄVLEBORGS LÄN</t>
        </is>
      </c>
      <c r="E5385" t="inlineStr">
        <is>
          <t>OCKELBO</t>
        </is>
      </c>
      <c r="F5385" t="inlineStr">
        <is>
          <t>Bergvik skog väst AB</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34770-2025</t>
        </is>
      </c>
      <c r="B5386" s="1" t="n">
        <v>45848.65394675926</v>
      </c>
      <c r="C5386" s="1" t="n">
        <v>46086</v>
      </c>
      <c r="D5386" t="inlineStr">
        <is>
          <t>GÄVLEBORGS LÄN</t>
        </is>
      </c>
      <c r="E5386" t="inlineStr">
        <is>
          <t>OCKELBO</t>
        </is>
      </c>
      <c r="F5386" t="inlineStr">
        <is>
          <t>Bergvik skog väst AB</t>
        </is>
      </c>
      <c r="G5386" t="n">
        <v>5</v>
      </c>
      <c r="H5386" t="n">
        <v>0</v>
      </c>
      <c r="I5386" t="n">
        <v>0</v>
      </c>
      <c r="J5386" t="n">
        <v>0</v>
      </c>
      <c r="K5386" t="n">
        <v>0</v>
      </c>
      <c r="L5386" t="n">
        <v>0</v>
      </c>
      <c r="M5386" t="n">
        <v>0</v>
      </c>
      <c r="N5386" t="n">
        <v>0</v>
      </c>
      <c r="O5386" t="n">
        <v>0</v>
      </c>
      <c r="P5386" t="n">
        <v>0</v>
      </c>
      <c r="Q5386" t="n">
        <v>0</v>
      </c>
      <c r="R5386" s="2" t="inlineStr"/>
    </row>
    <row r="5387" ht="15" customHeight="1">
      <c r="A5387" t="inlineStr">
        <is>
          <t>A 50235-2023</t>
        </is>
      </c>
      <c r="B5387" s="1" t="n">
        <v>45216.30402777778</v>
      </c>
      <c r="C5387" s="1" t="n">
        <v>46086</v>
      </c>
      <c r="D5387" t="inlineStr">
        <is>
          <t>GÄVLEBORGS LÄN</t>
        </is>
      </c>
      <c r="E5387" t="inlineStr">
        <is>
          <t>OCKELBO</t>
        </is>
      </c>
      <c r="F5387" t="inlineStr">
        <is>
          <t>Bergvik skog väst AB</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47701-2023</t>
        </is>
      </c>
      <c r="B5388" s="1" t="n">
        <v>45203.64033564815</v>
      </c>
      <c r="C5388" s="1" t="n">
        <v>46086</v>
      </c>
      <c r="D5388" t="inlineStr">
        <is>
          <t>GÄVLEBORGS LÄN</t>
        </is>
      </c>
      <c r="E5388" t="inlineStr">
        <is>
          <t>BOLLNÄS</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36180-2025</t>
        </is>
      </c>
      <c r="B5389" s="1" t="n">
        <v>45867.41327546296</v>
      </c>
      <c r="C5389" s="1" t="n">
        <v>46086</v>
      </c>
      <c r="D5389" t="inlineStr">
        <is>
          <t>GÄVLEBORGS LÄN</t>
        </is>
      </c>
      <c r="E5389" t="inlineStr">
        <is>
          <t>HOFORS</t>
        </is>
      </c>
      <c r="G5389" t="n">
        <v>11.7</v>
      </c>
      <c r="H5389" t="n">
        <v>0</v>
      </c>
      <c r="I5389" t="n">
        <v>0</v>
      </c>
      <c r="J5389" t="n">
        <v>0</v>
      </c>
      <c r="K5389" t="n">
        <v>0</v>
      </c>
      <c r="L5389" t="n">
        <v>0</v>
      </c>
      <c r="M5389" t="n">
        <v>0</v>
      </c>
      <c r="N5389" t="n">
        <v>0</v>
      </c>
      <c r="O5389" t="n">
        <v>0</v>
      </c>
      <c r="P5389" t="n">
        <v>0</v>
      </c>
      <c r="Q5389" t="n">
        <v>0</v>
      </c>
      <c r="R5389" s="2" t="inlineStr"/>
    </row>
    <row r="5390" ht="15" customHeight="1">
      <c r="A5390" t="inlineStr">
        <is>
          <t>A 36194-2025</t>
        </is>
      </c>
      <c r="B5390" s="1" t="n">
        <v>45867.42790509259</v>
      </c>
      <c r="C5390" s="1" t="n">
        <v>46086</v>
      </c>
      <c r="D5390" t="inlineStr">
        <is>
          <t>GÄVLEBORGS LÄN</t>
        </is>
      </c>
      <c r="E5390" t="inlineStr">
        <is>
          <t>HUDIKSVALL</t>
        </is>
      </c>
      <c r="F5390" t="inlineStr">
        <is>
          <t>Holmen skog AB</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46958-2025</t>
        </is>
      </c>
      <c r="B5391" s="1" t="n">
        <v>45929.48452546296</v>
      </c>
      <c r="C5391" s="1" t="n">
        <v>46086</v>
      </c>
      <c r="D5391" t="inlineStr">
        <is>
          <t>GÄVLEBORGS LÄN</t>
        </is>
      </c>
      <c r="E5391" t="inlineStr">
        <is>
          <t>SANDVIKEN</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46961-2025</t>
        </is>
      </c>
      <c r="B5392" s="1" t="n">
        <v>45929.48710648148</v>
      </c>
      <c r="C5392" s="1" t="n">
        <v>46086</v>
      </c>
      <c r="D5392" t="inlineStr">
        <is>
          <t>GÄVLEBORGS LÄN</t>
        </is>
      </c>
      <c r="E5392" t="inlineStr">
        <is>
          <t>SANDVIKEN</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13508-2025</t>
        </is>
      </c>
      <c r="B5393" s="1" t="n">
        <v>45736.46922453704</v>
      </c>
      <c r="C5393" s="1" t="n">
        <v>46086</v>
      </c>
      <c r="D5393" t="inlineStr">
        <is>
          <t>GÄVLEBORGS LÄN</t>
        </is>
      </c>
      <c r="E5393" t="inlineStr">
        <is>
          <t>LJUSDAL</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46975-2025</t>
        </is>
      </c>
      <c r="B5394" s="1" t="n">
        <v>45929.51549768518</v>
      </c>
      <c r="C5394" s="1" t="n">
        <v>46086</v>
      </c>
      <c r="D5394" t="inlineStr">
        <is>
          <t>GÄVLEBORGS LÄN</t>
        </is>
      </c>
      <c r="E5394" t="inlineStr">
        <is>
          <t>GÄVLE</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46992-2025</t>
        </is>
      </c>
      <c r="B5395" s="1" t="n">
        <v>45929.54643518518</v>
      </c>
      <c r="C5395" s="1" t="n">
        <v>46086</v>
      </c>
      <c r="D5395" t="inlineStr">
        <is>
          <t>GÄVLEBORGS LÄN</t>
        </is>
      </c>
      <c r="E5395" t="inlineStr">
        <is>
          <t>HUDIKSVALL</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24366-2025</t>
        </is>
      </c>
      <c r="B5396" s="1" t="n">
        <v>45797.6044675926</v>
      </c>
      <c r="C5396" s="1" t="n">
        <v>46086</v>
      </c>
      <c r="D5396" t="inlineStr">
        <is>
          <t>GÄVLEBORGS LÄN</t>
        </is>
      </c>
      <c r="E5396" t="inlineStr">
        <is>
          <t>SANDVIKEN</t>
        </is>
      </c>
      <c r="G5396" t="n">
        <v>9.1</v>
      </c>
      <c r="H5396" t="n">
        <v>0</v>
      </c>
      <c r="I5396" t="n">
        <v>0</v>
      </c>
      <c r="J5396" t="n">
        <v>0</v>
      </c>
      <c r="K5396" t="n">
        <v>0</v>
      </c>
      <c r="L5396" t="n">
        <v>0</v>
      </c>
      <c r="M5396" t="n">
        <v>0</v>
      </c>
      <c r="N5396" t="n">
        <v>0</v>
      </c>
      <c r="O5396" t="n">
        <v>0</v>
      </c>
      <c r="P5396" t="n">
        <v>0</v>
      </c>
      <c r="Q5396" t="n">
        <v>0</v>
      </c>
      <c r="R5396" s="2" t="inlineStr"/>
    </row>
    <row r="5397" ht="15" customHeight="1">
      <c r="A5397" t="inlineStr">
        <is>
          <t>A 19972-2024</t>
        </is>
      </c>
      <c r="B5397" s="1" t="n">
        <v>45433</v>
      </c>
      <c r="C5397" s="1" t="n">
        <v>46086</v>
      </c>
      <c r="D5397" t="inlineStr">
        <is>
          <t>GÄVLEBORGS LÄN</t>
        </is>
      </c>
      <c r="E5397" t="inlineStr">
        <is>
          <t>BOLLNÄS</t>
        </is>
      </c>
      <c r="G5397" t="n">
        <v>9.4</v>
      </c>
      <c r="H5397" t="n">
        <v>0</v>
      </c>
      <c r="I5397" t="n">
        <v>0</v>
      </c>
      <c r="J5397" t="n">
        <v>0</v>
      </c>
      <c r="K5397" t="n">
        <v>0</v>
      </c>
      <c r="L5397" t="n">
        <v>0</v>
      </c>
      <c r="M5397" t="n">
        <v>0</v>
      </c>
      <c r="N5397" t="n">
        <v>0</v>
      </c>
      <c r="O5397" t="n">
        <v>0</v>
      </c>
      <c r="P5397" t="n">
        <v>0</v>
      </c>
      <c r="Q5397" t="n">
        <v>0</v>
      </c>
      <c r="R5397" s="2" t="inlineStr"/>
    </row>
    <row r="5398" ht="15" customHeight="1">
      <c r="A5398" t="inlineStr">
        <is>
          <t>A 59354-2024</t>
        </is>
      </c>
      <c r="B5398" s="1" t="n">
        <v>45638.3077662037</v>
      </c>
      <c r="C5398" s="1" t="n">
        <v>46086</v>
      </c>
      <c r="D5398" t="inlineStr">
        <is>
          <t>GÄVLEBORGS LÄN</t>
        </is>
      </c>
      <c r="E5398" t="inlineStr">
        <is>
          <t>OVANÅKER</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21051-2025</t>
        </is>
      </c>
      <c r="B5399" s="1" t="n">
        <v>45777.56392361111</v>
      </c>
      <c r="C5399" s="1" t="n">
        <v>46086</v>
      </c>
      <c r="D5399" t="inlineStr">
        <is>
          <t>GÄVLEBORGS LÄN</t>
        </is>
      </c>
      <c r="E5399" t="inlineStr">
        <is>
          <t>OCKELBO</t>
        </is>
      </c>
      <c r="F5399" t="inlineStr">
        <is>
          <t>Bergvik skog väst AB</t>
        </is>
      </c>
      <c r="G5399" t="n">
        <v>15.3</v>
      </c>
      <c r="H5399" t="n">
        <v>0</v>
      </c>
      <c r="I5399" t="n">
        <v>0</v>
      </c>
      <c r="J5399" t="n">
        <v>0</v>
      </c>
      <c r="K5399" t="n">
        <v>0</v>
      </c>
      <c r="L5399" t="n">
        <v>0</v>
      </c>
      <c r="M5399" t="n">
        <v>0</v>
      </c>
      <c r="N5399" t="n">
        <v>0</v>
      </c>
      <c r="O5399" t="n">
        <v>0</v>
      </c>
      <c r="P5399" t="n">
        <v>0</v>
      </c>
      <c r="Q5399" t="n">
        <v>0</v>
      </c>
      <c r="R5399" s="2" t="inlineStr"/>
    </row>
    <row r="5400" ht="15" customHeight="1">
      <c r="A5400" t="inlineStr">
        <is>
          <t>A 56016-2021</t>
        </is>
      </c>
      <c r="B5400" s="1" t="n">
        <v>44477.44796296296</v>
      </c>
      <c r="C5400" s="1" t="n">
        <v>46086</v>
      </c>
      <c r="D5400" t="inlineStr">
        <is>
          <t>GÄVLEBORGS LÄN</t>
        </is>
      </c>
      <c r="E5400" t="inlineStr">
        <is>
          <t>LJUSDAL</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46552-2025</t>
        </is>
      </c>
      <c r="B5401" s="1" t="n">
        <v>45926.34630787037</v>
      </c>
      <c r="C5401" s="1" t="n">
        <v>46086</v>
      </c>
      <c r="D5401" t="inlineStr">
        <is>
          <t>GÄVLEBORGS LÄN</t>
        </is>
      </c>
      <c r="E5401" t="inlineStr">
        <is>
          <t>GÄVLE</t>
        </is>
      </c>
      <c r="F5401" t="inlineStr">
        <is>
          <t>Kyrkan</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30229-2024</t>
        </is>
      </c>
      <c r="B5402" s="1" t="n">
        <v>45490.46946759259</v>
      </c>
      <c r="C5402" s="1" t="n">
        <v>46086</v>
      </c>
      <c r="D5402" t="inlineStr">
        <is>
          <t>GÄVLEBORGS LÄN</t>
        </is>
      </c>
      <c r="E5402" t="inlineStr">
        <is>
          <t>HOFORS</t>
        </is>
      </c>
      <c r="F5402" t="inlineStr">
        <is>
          <t>Sveaskog</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30242-2024</t>
        </is>
      </c>
      <c r="B5403" s="1" t="n">
        <v>45490</v>
      </c>
      <c r="C5403" s="1" t="n">
        <v>46086</v>
      </c>
      <c r="D5403" t="inlineStr">
        <is>
          <t>GÄVLEBORGS LÄN</t>
        </is>
      </c>
      <c r="E5403" t="inlineStr">
        <is>
          <t>OCKELBO</t>
        </is>
      </c>
      <c r="F5403" t="inlineStr">
        <is>
          <t>Bergvik skog väst AB</t>
        </is>
      </c>
      <c r="G5403" t="n">
        <v>0.3</v>
      </c>
      <c r="H5403" t="n">
        <v>0</v>
      </c>
      <c r="I5403" t="n">
        <v>0</v>
      </c>
      <c r="J5403" t="n">
        <v>0</v>
      </c>
      <c r="K5403" t="n">
        <v>0</v>
      </c>
      <c r="L5403" t="n">
        <v>0</v>
      </c>
      <c r="M5403" t="n">
        <v>0</v>
      </c>
      <c r="N5403" t="n">
        <v>0</v>
      </c>
      <c r="O5403" t="n">
        <v>0</v>
      </c>
      <c r="P5403" t="n">
        <v>0</v>
      </c>
      <c r="Q5403" t="n">
        <v>0</v>
      </c>
      <c r="R5403" s="2" t="inlineStr"/>
    </row>
    <row r="5404" ht="15" customHeight="1">
      <c r="A5404" t="inlineStr">
        <is>
          <t>A 40281-2024</t>
        </is>
      </c>
      <c r="B5404" s="1" t="n">
        <v>45554.6590162037</v>
      </c>
      <c r="C5404" s="1" t="n">
        <v>46086</v>
      </c>
      <c r="D5404" t="inlineStr">
        <is>
          <t>GÄVLEBORGS LÄN</t>
        </is>
      </c>
      <c r="E5404" t="inlineStr">
        <is>
          <t>OCKELBO</t>
        </is>
      </c>
      <c r="F5404" t="inlineStr">
        <is>
          <t>Bergvik skog väst AB</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42331-2024</t>
        </is>
      </c>
      <c r="B5405" s="1" t="n">
        <v>45562.65523148148</v>
      </c>
      <c r="C5405" s="1" t="n">
        <v>46086</v>
      </c>
      <c r="D5405" t="inlineStr">
        <is>
          <t>GÄVLEBORGS LÄN</t>
        </is>
      </c>
      <c r="E5405" t="inlineStr">
        <is>
          <t>OVANÅKER</t>
        </is>
      </c>
      <c r="G5405" t="n">
        <v>0.1</v>
      </c>
      <c r="H5405" t="n">
        <v>0</v>
      </c>
      <c r="I5405" t="n">
        <v>0</v>
      </c>
      <c r="J5405" t="n">
        <v>0</v>
      </c>
      <c r="K5405" t="n">
        <v>0</v>
      </c>
      <c r="L5405" t="n">
        <v>0</v>
      </c>
      <c r="M5405" t="n">
        <v>0</v>
      </c>
      <c r="N5405" t="n">
        <v>0</v>
      </c>
      <c r="O5405" t="n">
        <v>0</v>
      </c>
      <c r="P5405" t="n">
        <v>0</v>
      </c>
      <c r="Q5405" t="n">
        <v>0</v>
      </c>
      <c r="R5405" s="2" t="inlineStr"/>
    </row>
    <row r="5406" ht="15" customHeight="1">
      <c r="A5406" t="inlineStr">
        <is>
          <t>A 36158-2025</t>
        </is>
      </c>
      <c r="B5406" s="1" t="n">
        <v>45867.35741898148</v>
      </c>
      <c r="C5406" s="1" t="n">
        <v>46086</v>
      </c>
      <c r="D5406" t="inlineStr">
        <is>
          <t>GÄVLEBORGS LÄN</t>
        </is>
      </c>
      <c r="E5406" t="inlineStr">
        <is>
          <t>OVANÅKER</t>
        </is>
      </c>
      <c r="F5406" t="inlineStr">
        <is>
          <t>Bergvik skog väst AB</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47057-2025</t>
        </is>
      </c>
      <c r="B5407" s="1" t="n">
        <v>45929.62456018518</v>
      </c>
      <c r="C5407" s="1" t="n">
        <v>46086</v>
      </c>
      <c r="D5407" t="inlineStr">
        <is>
          <t>GÄVLEBORGS LÄN</t>
        </is>
      </c>
      <c r="E5407" t="inlineStr">
        <is>
          <t>SÖDERHAMN</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47061-2025</t>
        </is>
      </c>
      <c r="B5408" s="1" t="n">
        <v>45929.62881944444</v>
      </c>
      <c r="C5408" s="1" t="n">
        <v>46086</v>
      </c>
      <c r="D5408" t="inlineStr">
        <is>
          <t>GÄVLEBORGS LÄN</t>
        </is>
      </c>
      <c r="E5408" t="inlineStr">
        <is>
          <t>BOLLNÄS</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9474-2022</t>
        </is>
      </c>
      <c r="B5409" s="1" t="n">
        <v>44616.92188657408</v>
      </c>
      <c r="C5409" s="1" t="n">
        <v>46086</v>
      </c>
      <c r="D5409" t="inlineStr">
        <is>
          <t>GÄVLEBORGS LÄN</t>
        </is>
      </c>
      <c r="E5409" t="inlineStr">
        <is>
          <t>BOLLNÄS</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26205-2025</t>
        </is>
      </c>
      <c r="B5410" s="1" t="n">
        <v>45805</v>
      </c>
      <c r="C5410" s="1" t="n">
        <v>46086</v>
      </c>
      <c r="D5410" t="inlineStr">
        <is>
          <t>GÄVLEBORGS LÄN</t>
        </is>
      </c>
      <c r="E5410" t="inlineStr">
        <is>
          <t>HUDIKSVALL</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46621-2025</t>
        </is>
      </c>
      <c r="B5411" s="1" t="n">
        <v>45926.4384375</v>
      </c>
      <c r="C5411" s="1" t="n">
        <v>46086</v>
      </c>
      <c r="D5411" t="inlineStr">
        <is>
          <t>GÄVLEBORGS LÄN</t>
        </is>
      </c>
      <c r="E5411" t="inlineStr">
        <is>
          <t>SANDVIKEN</t>
        </is>
      </c>
      <c r="F5411" t="inlineStr">
        <is>
          <t>Sveaskog</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46622-2025</t>
        </is>
      </c>
      <c r="B5412" s="1" t="n">
        <v>45926</v>
      </c>
      <c r="C5412" s="1" t="n">
        <v>46086</v>
      </c>
      <c r="D5412" t="inlineStr">
        <is>
          <t>GÄVLEBORGS LÄN</t>
        </is>
      </c>
      <c r="E5412" t="inlineStr">
        <is>
          <t>HUDIKSVALL</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18241-2025</t>
        </is>
      </c>
      <c r="B5413" s="1" t="n">
        <v>45762.31237268518</v>
      </c>
      <c r="C5413" s="1" t="n">
        <v>46086</v>
      </c>
      <c r="D5413" t="inlineStr">
        <is>
          <t>GÄVLEBORGS LÄN</t>
        </is>
      </c>
      <c r="E5413" t="inlineStr">
        <is>
          <t>OCKELBO</t>
        </is>
      </c>
      <c r="F5413" t="inlineStr">
        <is>
          <t>Bergvik skog väst AB</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46609-2025</t>
        </is>
      </c>
      <c r="B5414" s="1" t="n">
        <v>45926.41898148148</v>
      </c>
      <c r="C5414" s="1" t="n">
        <v>46086</v>
      </c>
      <c r="D5414" t="inlineStr">
        <is>
          <t>GÄVLEBORGS LÄN</t>
        </is>
      </c>
      <c r="E5414" t="inlineStr">
        <is>
          <t>OCKELBO</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46481-2024</t>
        </is>
      </c>
      <c r="B5415" s="1" t="n">
        <v>45582.57228009259</v>
      </c>
      <c r="C5415" s="1" t="n">
        <v>46086</v>
      </c>
      <c r="D5415" t="inlineStr">
        <is>
          <t>GÄVLEBORGS LÄN</t>
        </is>
      </c>
      <c r="E5415" t="inlineStr">
        <is>
          <t>OCKELBO</t>
        </is>
      </c>
      <c r="F5415" t="inlineStr">
        <is>
          <t>Bergvik skog väst AB</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46739-2025</t>
        </is>
      </c>
      <c r="B5416" s="1" t="n">
        <v>45926.60650462963</v>
      </c>
      <c r="C5416" s="1" t="n">
        <v>46086</v>
      </c>
      <c r="D5416" t="inlineStr">
        <is>
          <t>GÄVLEBORGS LÄN</t>
        </is>
      </c>
      <c r="E5416" t="inlineStr">
        <is>
          <t>LJUSDAL</t>
        </is>
      </c>
      <c r="F5416" t="inlineStr">
        <is>
          <t>Holmen skog AB</t>
        </is>
      </c>
      <c r="G5416" t="n">
        <v>11.7</v>
      </c>
      <c r="H5416" t="n">
        <v>0</v>
      </c>
      <c r="I5416" t="n">
        <v>0</v>
      </c>
      <c r="J5416" t="n">
        <v>0</v>
      </c>
      <c r="K5416" t="n">
        <v>0</v>
      </c>
      <c r="L5416" t="n">
        <v>0</v>
      </c>
      <c r="M5416" t="n">
        <v>0</v>
      </c>
      <c r="N5416" t="n">
        <v>0</v>
      </c>
      <c r="O5416" t="n">
        <v>0</v>
      </c>
      <c r="P5416" t="n">
        <v>0</v>
      </c>
      <c r="Q5416" t="n">
        <v>0</v>
      </c>
      <c r="R5416" s="2" t="inlineStr"/>
    </row>
    <row r="5417" ht="15" customHeight="1">
      <c r="A5417" t="inlineStr">
        <is>
          <t>A 46859-2025</t>
        </is>
      </c>
      <c r="B5417" s="1" t="n">
        <v>45929.29104166666</v>
      </c>
      <c r="C5417" s="1" t="n">
        <v>46086</v>
      </c>
      <c r="D5417" t="inlineStr">
        <is>
          <t>GÄVLEBORGS LÄN</t>
        </is>
      </c>
      <c r="E5417" t="inlineStr">
        <is>
          <t>HUDIKSVALL</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19241-2021</t>
        </is>
      </c>
      <c r="B5418" s="1" t="n">
        <v>44309.36331018519</v>
      </c>
      <c r="C5418" s="1" t="n">
        <v>46086</v>
      </c>
      <c r="D5418" t="inlineStr">
        <is>
          <t>GÄVLEBORGS LÄN</t>
        </is>
      </c>
      <c r="E5418" t="inlineStr">
        <is>
          <t>OCKELBO</t>
        </is>
      </c>
      <c r="F5418" t="inlineStr">
        <is>
          <t>Bergvik skog väst AB</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34797-2021</t>
        </is>
      </c>
      <c r="B5419" s="1" t="n">
        <v>44383.30501157408</v>
      </c>
      <c r="C5419" s="1" t="n">
        <v>46086</v>
      </c>
      <c r="D5419" t="inlineStr">
        <is>
          <t>GÄVLEBORGS LÄN</t>
        </is>
      </c>
      <c r="E5419" t="inlineStr">
        <is>
          <t>OCKELBO</t>
        </is>
      </c>
      <c r="F5419" t="inlineStr">
        <is>
          <t>Bergvik skog väst AB</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38893-2022</t>
        </is>
      </c>
      <c r="B5420" s="1" t="n">
        <v>44816.58288194444</v>
      </c>
      <c r="C5420" s="1" t="n">
        <v>46086</v>
      </c>
      <c r="D5420" t="inlineStr">
        <is>
          <t>GÄVLEBORGS LÄN</t>
        </is>
      </c>
      <c r="E5420" t="inlineStr">
        <is>
          <t>OCKELBO</t>
        </is>
      </c>
      <c r="F5420" t="inlineStr">
        <is>
          <t>Bergvik skog väst AB</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19851-2024</t>
        </is>
      </c>
      <c r="B5421" s="1" t="n">
        <v>45433.39725694444</v>
      </c>
      <c r="C5421" s="1" t="n">
        <v>46086</v>
      </c>
      <c r="D5421" t="inlineStr">
        <is>
          <t>GÄVLEBORGS LÄN</t>
        </is>
      </c>
      <c r="E5421" t="inlineStr">
        <is>
          <t>SÖDERHAMN</t>
        </is>
      </c>
      <c r="G5421" t="n">
        <v>4.8</v>
      </c>
      <c r="H5421" t="n">
        <v>0</v>
      </c>
      <c r="I5421" t="n">
        <v>0</v>
      </c>
      <c r="J5421" t="n">
        <v>0</v>
      </c>
      <c r="K5421" t="n">
        <v>0</v>
      </c>
      <c r="L5421" t="n">
        <v>0</v>
      </c>
      <c r="M5421" t="n">
        <v>0</v>
      </c>
      <c r="N5421" t="n">
        <v>0</v>
      </c>
      <c r="O5421" t="n">
        <v>0</v>
      </c>
      <c r="P5421" t="n">
        <v>0</v>
      </c>
      <c r="Q5421" t="n">
        <v>0</v>
      </c>
      <c r="R5421" s="2" t="inlineStr"/>
    </row>
    <row r="5422" ht="15" customHeight="1">
      <c r="A5422" t="inlineStr">
        <is>
          <t>A 36212-2025</t>
        </is>
      </c>
      <c r="B5422" s="1" t="n">
        <v>45867.47538194444</v>
      </c>
      <c r="C5422" s="1" t="n">
        <v>46086</v>
      </c>
      <c r="D5422" t="inlineStr">
        <is>
          <t>GÄVLEBORGS LÄN</t>
        </is>
      </c>
      <c r="E5422" t="inlineStr">
        <is>
          <t>SANDVIKEN</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48221-2024</t>
        </is>
      </c>
      <c r="B5423" s="1" t="n">
        <v>45590.36142361111</v>
      </c>
      <c r="C5423" s="1" t="n">
        <v>46086</v>
      </c>
      <c r="D5423" t="inlineStr">
        <is>
          <t>GÄVLEBORGS LÄN</t>
        </is>
      </c>
      <c r="E5423" t="inlineStr">
        <is>
          <t>OCKELBO</t>
        </is>
      </c>
      <c r="F5423" t="inlineStr">
        <is>
          <t>Bergvik skog väst AB</t>
        </is>
      </c>
      <c r="G5423" t="n">
        <v>5.5</v>
      </c>
      <c r="H5423" t="n">
        <v>0</v>
      </c>
      <c r="I5423" t="n">
        <v>0</v>
      </c>
      <c r="J5423" t="n">
        <v>0</v>
      </c>
      <c r="K5423" t="n">
        <v>0</v>
      </c>
      <c r="L5423" t="n">
        <v>0</v>
      </c>
      <c r="M5423" t="n">
        <v>0</v>
      </c>
      <c r="N5423" t="n">
        <v>0</v>
      </c>
      <c r="O5423" t="n">
        <v>0</v>
      </c>
      <c r="P5423" t="n">
        <v>0</v>
      </c>
      <c r="Q5423" t="n">
        <v>0</v>
      </c>
      <c r="R5423" s="2" t="inlineStr"/>
    </row>
    <row r="5424" ht="15" customHeight="1">
      <c r="A5424" t="inlineStr">
        <is>
          <t>A 47100-2025</t>
        </is>
      </c>
      <c r="B5424" s="1" t="n">
        <v>45929.65726851852</v>
      </c>
      <c r="C5424" s="1" t="n">
        <v>46086</v>
      </c>
      <c r="D5424" t="inlineStr">
        <is>
          <t>GÄVLEBORGS LÄN</t>
        </is>
      </c>
      <c r="E5424" t="inlineStr">
        <is>
          <t>SÖDERHAMN</t>
        </is>
      </c>
      <c r="G5424" t="n">
        <v>4.7</v>
      </c>
      <c r="H5424" t="n">
        <v>0</v>
      </c>
      <c r="I5424" t="n">
        <v>0</v>
      </c>
      <c r="J5424" t="n">
        <v>0</v>
      </c>
      <c r="K5424" t="n">
        <v>0</v>
      </c>
      <c r="L5424" t="n">
        <v>0</v>
      </c>
      <c r="M5424" t="n">
        <v>0</v>
      </c>
      <c r="N5424" t="n">
        <v>0</v>
      </c>
      <c r="O5424" t="n">
        <v>0</v>
      </c>
      <c r="P5424" t="n">
        <v>0</v>
      </c>
      <c r="Q5424" t="n">
        <v>0</v>
      </c>
      <c r="R5424" s="2" t="inlineStr"/>
    </row>
    <row r="5425" ht="15" customHeight="1">
      <c r="A5425" t="inlineStr">
        <is>
          <t>A 36474-2025</t>
        </is>
      </c>
      <c r="B5425" s="1" t="n">
        <v>45869.48569444445</v>
      </c>
      <c r="C5425" s="1" t="n">
        <v>46086</v>
      </c>
      <c r="D5425" t="inlineStr">
        <is>
          <t>GÄVLEBORGS LÄN</t>
        </is>
      </c>
      <c r="E5425" t="inlineStr">
        <is>
          <t>BOLLNÄS</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36493-2025</t>
        </is>
      </c>
      <c r="B5426" s="1" t="n">
        <v>45869.54342592593</v>
      </c>
      <c r="C5426" s="1" t="n">
        <v>46086</v>
      </c>
      <c r="D5426" t="inlineStr">
        <is>
          <t>GÄVLEBORGS LÄN</t>
        </is>
      </c>
      <c r="E5426" t="inlineStr">
        <is>
          <t>GÄVLE</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47011-2025</t>
        </is>
      </c>
      <c r="B5427" s="1" t="n">
        <v>45929.57289351852</v>
      </c>
      <c r="C5427" s="1" t="n">
        <v>46086</v>
      </c>
      <c r="D5427" t="inlineStr">
        <is>
          <t>GÄVLEBORGS LÄN</t>
        </is>
      </c>
      <c r="E5427" t="inlineStr">
        <is>
          <t>OCKELBO</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47016-2025</t>
        </is>
      </c>
      <c r="B5428" s="1" t="n">
        <v>45929.57436342593</v>
      </c>
      <c r="C5428" s="1" t="n">
        <v>46086</v>
      </c>
      <c r="D5428" t="inlineStr">
        <is>
          <t>GÄVLEBORGS LÄN</t>
        </is>
      </c>
      <c r="E5428" t="inlineStr">
        <is>
          <t>OCKELBO</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36512-2025</t>
        </is>
      </c>
      <c r="B5429" s="1" t="n">
        <v>45869.57649305555</v>
      </c>
      <c r="C5429" s="1" t="n">
        <v>46086</v>
      </c>
      <c r="D5429" t="inlineStr">
        <is>
          <t>GÄVLEBORGS LÄN</t>
        </is>
      </c>
      <c r="E5429" t="inlineStr">
        <is>
          <t>GÄVLE</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61622-2021</t>
        </is>
      </c>
      <c r="B5430" s="1" t="n">
        <v>44501.49077546296</v>
      </c>
      <c r="C5430" s="1" t="n">
        <v>46086</v>
      </c>
      <c r="D5430" t="inlineStr">
        <is>
          <t>GÄVLEBORGS LÄN</t>
        </is>
      </c>
      <c r="E5430" t="inlineStr">
        <is>
          <t>OCKELBO</t>
        </is>
      </c>
      <c r="F5430" t="inlineStr">
        <is>
          <t>Bergvik skog väst AB</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34792-2024</t>
        </is>
      </c>
      <c r="B5431" s="1" t="n">
        <v>45526.66439814815</v>
      </c>
      <c r="C5431" s="1" t="n">
        <v>46086</v>
      </c>
      <c r="D5431" t="inlineStr">
        <is>
          <t>GÄVLEBORGS LÄN</t>
        </is>
      </c>
      <c r="E5431" t="inlineStr">
        <is>
          <t>OCKELBO</t>
        </is>
      </c>
      <c r="F5431" t="inlineStr">
        <is>
          <t>Bergvik skog väst AB</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54454-2024</t>
        </is>
      </c>
      <c r="B5432" s="1" t="n">
        <v>45617.52900462963</v>
      </c>
      <c r="C5432" s="1" t="n">
        <v>46086</v>
      </c>
      <c r="D5432" t="inlineStr">
        <is>
          <t>GÄVLEBORGS LÄN</t>
        </is>
      </c>
      <c r="E5432" t="inlineStr">
        <is>
          <t>OCKELBO</t>
        </is>
      </c>
      <c r="F5432" t="inlineStr">
        <is>
          <t>Bergvik skog väst AB</t>
        </is>
      </c>
      <c r="G5432" t="n">
        <v>6.8</v>
      </c>
      <c r="H5432" t="n">
        <v>0</v>
      </c>
      <c r="I5432" t="n">
        <v>0</v>
      </c>
      <c r="J5432" t="n">
        <v>0</v>
      </c>
      <c r="K5432" t="n">
        <v>0</v>
      </c>
      <c r="L5432" t="n">
        <v>0</v>
      </c>
      <c r="M5432" t="n">
        <v>0</v>
      </c>
      <c r="N5432" t="n">
        <v>0</v>
      </c>
      <c r="O5432" t="n">
        <v>0</v>
      </c>
      <c r="P5432" t="n">
        <v>0</v>
      </c>
      <c r="Q5432" t="n">
        <v>0</v>
      </c>
      <c r="R5432" s="2" t="inlineStr"/>
    </row>
    <row r="5433" ht="15" customHeight="1">
      <c r="A5433" t="inlineStr">
        <is>
          <t>A 6792-2024</t>
        </is>
      </c>
      <c r="B5433" s="1" t="n">
        <v>45342</v>
      </c>
      <c r="C5433" s="1" t="n">
        <v>46086</v>
      </c>
      <c r="D5433" t="inlineStr">
        <is>
          <t>GÄVLEBORGS LÄN</t>
        </is>
      </c>
      <c r="E5433" t="inlineStr">
        <is>
          <t>SÖDERHAMN</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33704-2023</t>
        </is>
      </c>
      <c r="B5434" s="1" t="n">
        <v>45132.78238425926</v>
      </c>
      <c r="C5434" s="1" t="n">
        <v>46086</v>
      </c>
      <c r="D5434" t="inlineStr">
        <is>
          <t>GÄVLEBORGS LÄN</t>
        </is>
      </c>
      <c r="E5434" t="inlineStr">
        <is>
          <t>HUDIKSVALL</t>
        </is>
      </c>
      <c r="G5434" t="n">
        <v>7.8</v>
      </c>
      <c r="H5434" t="n">
        <v>0</v>
      </c>
      <c r="I5434" t="n">
        <v>0</v>
      </c>
      <c r="J5434" t="n">
        <v>0</v>
      </c>
      <c r="K5434" t="n">
        <v>0</v>
      </c>
      <c r="L5434" t="n">
        <v>0</v>
      </c>
      <c r="M5434" t="n">
        <v>0</v>
      </c>
      <c r="N5434" t="n">
        <v>0</v>
      </c>
      <c r="O5434" t="n">
        <v>0</v>
      </c>
      <c r="P5434" t="n">
        <v>0</v>
      </c>
      <c r="Q5434" t="n">
        <v>0</v>
      </c>
      <c r="R5434" s="2" t="inlineStr"/>
    </row>
    <row r="5435" ht="15" customHeight="1">
      <c r="A5435" t="inlineStr">
        <is>
          <t>A 36418-2025</t>
        </is>
      </c>
      <c r="B5435" s="1" t="n">
        <v>45868</v>
      </c>
      <c r="C5435" s="1" t="n">
        <v>46086</v>
      </c>
      <c r="D5435" t="inlineStr">
        <is>
          <t>GÄVLEBORGS LÄN</t>
        </is>
      </c>
      <c r="E5435" t="inlineStr">
        <is>
          <t>HUDIKSVALL</t>
        </is>
      </c>
      <c r="G5435" t="n">
        <v>6.1</v>
      </c>
      <c r="H5435" t="n">
        <v>0</v>
      </c>
      <c r="I5435" t="n">
        <v>0</v>
      </c>
      <c r="J5435" t="n">
        <v>0</v>
      </c>
      <c r="K5435" t="n">
        <v>0</v>
      </c>
      <c r="L5435" t="n">
        <v>0</v>
      </c>
      <c r="M5435" t="n">
        <v>0</v>
      </c>
      <c r="N5435" t="n">
        <v>0</v>
      </c>
      <c r="O5435" t="n">
        <v>0</v>
      </c>
      <c r="P5435" t="n">
        <v>0</v>
      </c>
      <c r="Q5435" t="n">
        <v>0</v>
      </c>
      <c r="R5435" s="2" t="inlineStr"/>
    </row>
    <row r="5436" ht="15" customHeight="1">
      <c r="A5436" t="inlineStr">
        <is>
          <t>A 34370-2024</t>
        </is>
      </c>
      <c r="B5436" s="1" t="n">
        <v>45525.38375</v>
      </c>
      <c r="C5436" s="1" t="n">
        <v>46086</v>
      </c>
      <c r="D5436" t="inlineStr">
        <is>
          <t>GÄVLEBORGS LÄN</t>
        </is>
      </c>
      <c r="E5436" t="inlineStr">
        <is>
          <t>NORDANSTIG</t>
        </is>
      </c>
      <c r="F5436" t="inlineStr">
        <is>
          <t>Holmen skog AB</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20044-2024</t>
        </is>
      </c>
      <c r="B5437" s="1" t="n">
        <v>45434.36261574074</v>
      </c>
      <c r="C5437" s="1" t="n">
        <v>46086</v>
      </c>
      <c r="D5437" t="inlineStr">
        <is>
          <t>GÄVLEBORGS LÄN</t>
        </is>
      </c>
      <c r="E5437" t="inlineStr">
        <is>
          <t>NORDANSTIG</t>
        </is>
      </c>
      <c r="F5437" t="inlineStr">
        <is>
          <t>Holmen skog AB</t>
        </is>
      </c>
      <c r="G5437" t="n">
        <v>9.1</v>
      </c>
      <c r="H5437" t="n">
        <v>0</v>
      </c>
      <c r="I5437" t="n">
        <v>0</v>
      </c>
      <c r="J5437" t="n">
        <v>0</v>
      </c>
      <c r="K5437" t="n">
        <v>0</v>
      </c>
      <c r="L5437" t="n">
        <v>0</v>
      </c>
      <c r="M5437" t="n">
        <v>0</v>
      </c>
      <c r="N5437" t="n">
        <v>0</v>
      </c>
      <c r="O5437" t="n">
        <v>0</v>
      </c>
      <c r="P5437" t="n">
        <v>0</v>
      </c>
      <c r="Q5437" t="n">
        <v>0</v>
      </c>
      <c r="R5437" s="2" t="inlineStr"/>
    </row>
    <row r="5438" ht="15" customHeight="1">
      <c r="A5438" t="inlineStr">
        <is>
          <t>A 36317-2025</t>
        </is>
      </c>
      <c r="B5438" s="1" t="n">
        <v>45868.37267361111</v>
      </c>
      <c r="C5438" s="1" t="n">
        <v>46086</v>
      </c>
      <c r="D5438" t="inlineStr">
        <is>
          <t>GÄVLEBORGS LÄN</t>
        </is>
      </c>
      <c r="E5438" t="inlineStr">
        <is>
          <t>LJUSDAL</t>
        </is>
      </c>
      <c r="G5438" t="n">
        <v>7.7</v>
      </c>
      <c r="H5438" t="n">
        <v>0</v>
      </c>
      <c r="I5438" t="n">
        <v>0</v>
      </c>
      <c r="J5438" t="n">
        <v>0</v>
      </c>
      <c r="K5438" t="n">
        <v>0</v>
      </c>
      <c r="L5438" t="n">
        <v>0</v>
      </c>
      <c r="M5438" t="n">
        <v>0</v>
      </c>
      <c r="N5438" t="n">
        <v>0</v>
      </c>
      <c r="O5438" t="n">
        <v>0</v>
      </c>
      <c r="P5438" t="n">
        <v>0</v>
      </c>
      <c r="Q5438" t="n">
        <v>0</v>
      </c>
      <c r="R5438" s="2" t="inlineStr"/>
    </row>
    <row r="5439" ht="15" customHeight="1">
      <c r="A5439" t="inlineStr">
        <is>
          <t>A 36318-2025</t>
        </is>
      </c>
      <c r="B5439" s="1" t="n">
        <v>45868.37643518519</v>
      </c>
      <c r="C5439" s="1" t="n">
        <v>46086</v>
      </c>
      <c r="D5439" t="inlineStr">
        <is>
          <t>GÄVLEBORGS LÄN</t>
        </is>
      </c>
      <c r="E5439" t="inlineStr">
        <is>
          <t>LJUSDAL</t>
        </is>
      </c>
      <c r="G5439" t="n">
        <v>10.2</v>
      </c>
      <c r="H5439" t="n">
        <v>0</v>
      </c>
      <c r="I5439" t="n">
        <v>0</v>
      </c>
      <c r="J5439" t="n">
        <v>0</v>
      </c>
      <c r="K5439" t="n">
        <v>0</v>
      </c>
      <c r="L5439" t="n">
        <v>0</v>
      </c>
      <c r="M5439" t="n">
        <v>0</v>
      </c>
      <c r="N5439" t="n">
        <v>0</v>
      </c>
      <c r="O5439" t="n">
        <v>0</v>
      </c>
      <c r="P5439" t="n">
        <v>0</v>
      </c>
      <c r="Q5439" t="n">
        <v>0</v>
      </c>
      <c r="R5439" s="2" t="inlineStr"/>
    </row>
    <row r="5440" ht="15" customHeight="1">
      <c r="A5440" t="inlineStr">
        <is>
          <t>A 55407-2022</t>
        </is>
      </c>
      <c r="B5440" s="1" t="n">
        <v>44887</v>
      </c>
      <c r="C5440" s="1" t="n">
        <v>46086</v>
      </c>
      <c r="D5440" t="inlineStr">
        <is>
          <t>GÄVLEBORGS LÄN</t>
        </is>
      </c>
      <c r="E5440" t="inlineStr">
        <is>
          <t>SANDVIKEN</t>
        </is>
      </c>
      <c r="G5440" t="n">
        <v>8.9</v>
      </c>
      <c r="H5440" t="n">
        <v>0</v>
      </c>
      <c r="I5440" t="n">
        <v>0</v>
      </c>
      <c r="J5440" t="n">
        <v>0</v>
      </c>
      <c r="K5440" t="n">
        <v>0</v>
      </c>
      <c r="L5440" t="n">
        <v>0</v>
      </c>
      <c r="M5440" t="n">
        <v>0</v>
      </c>
      <c r="N5440" t="n">
        <v>0</v>
      </c>
      <c r="O5440" t="n">
        <v>0</v>
      </c>
      <c r="P5440" t="n">
        <v>0</v>
      </c>
      <c r="Q5440" t="n">
        <v>0</v>
      </c>
      <c r="R5440" s="2" t="inlineStr"/>
    </row>
    <row r="5441" ht="15" customHeight="1">
      <c r="A5441" t="inlineStr">
        <is>
          <t>A 36342-2025</t>
        </is>
      </c>
      <c r="B5441" s="1" t="n">
        <v>45868.46923611111</v>
      </c>
      <c r="C5441" s="1" t="n">
        <v>46086</v>
      </c>
      <c r="D5441" t="inlineStr">
        <is>
          <t>GÄVLEBORGS LÄN</t>
        </is>
      </c>
      <c r="E5441" t="inlineStr">
        <is>
          <t>HUDIKSVALL</t>
        </is>
      </c>
      <c r="G5441" t="n">
        <v>4.2</v>
      </c>
      <c r="H5441" t="n">
        <v>0</v>
      </c>
      <c r="I5441" t="n">
        <v>0</v>
      </c>
      <c r="J5441" t="n">
        <v>0</v>
      </c>
      <c r="K5441" t="n">
        <v>0</v>
      </c>
      <c r="L5441" t="n">
        <v>0</v>
      </c>
      <c r="M5441" t="n">
        <v>0</v>
      </c>
      <c r="N5441" t="n">
        <v>0</v>
      </c>
      <c r="O5441" t="n">
        <v>0</v>
      </c>
      <c r="P5441" t="n">
        <v>0</v>
      </c>
      <c r="Q5441" t="n">
        <v>0</v>
      </c>
      <c r="R5441" s="2" t="inlineStr"/>
    </row>
    <row r="5442" ht="15" customHeight="1">
      <c r="A5442" t="inlineStr">
        <is>
          <t>A 36354-2025</t>
        </is>
      </c>
      <c r="B5442" s="1" t="n">
        <v>45868.48991898148</v>
      </c>
      <c r="C5442" s="1" t="n">
        <v>46086</v>
      </c>
      <c r="D5442" t="inlineStr">
        <is>
          <t>GÄVLEBORGS LÄN</t>
        </is>
      </c>
      <c r="E5442" t="inlineStr">
        <is>
          <t>LJUSDAL</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45519-2022</t>
        </is>
      </c>
      <c r="B5443" s="1" t="n">
        <v>44845</v>
      </c>
      <c r="C5443" s="1" t="n">
        <v>46086</v>
      </c>
      <c r="D5443" t="inlineStr">
        <is>
          <t>GÄVLEBORGS LÄN</t>
        </is>
      </c>
      <c r="E5443" t="inlineStr">
        <is>
          <t>OCKELBO</t>
        </is>
      </c>
      <c r="F5443" t="inlineStr">
        <is>
          <t>Bergvik skog väst AB</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46705-2025</t>
        </is>
      </c>
      <c r="B5444" s="1" t="n">
        <v>45926</v>
      </c>
      <c r="C5444" s="1" t="n">
        <v>46086</v>
      </c>
      <c r="D5444" t="inlineStr">
        <is>
          <t>GÄVLEBORGS LÄN</t>
        </is>
      </c>
      <c r="E5444" t="inlineStr">
        <is>
          <t>HUDIKSVALL</t>
        </is>
      </c>
      <c r="G5444" t="n">
        <v>6.4</v>
      </c>
      <c r="H5444" t="n">
        <v>0</v>
      </c>
      <c r="I5444" t="n">
        <v>0</v>
      </c>
      <c r="J5444" t="n">
        <v>0</v>
      </c>
      <c r="K5444" t="n">
        <v>0</v>
      </c>
      <c r="L5444" t="n">
        <v>0</v>
      </c>
      <c r="M5444" t="n">
        <v>0</v>
      </c>
      <c r="N5444" t="n">
        <v>0</v>
      </c>
      <c r="O5444" t="n">
        <v>0</v>
      </c>
      <c r="P5444" t="n">
        <v>0</v>
      </c>
      <c r="Q5444" t="n">
        <v>0</v>
      </c>
      <c r="R5444" s="2" t="inlineStr"/>
    </row>
    <row r="5445" ht="15" customHeight="1">
      <c r="A5445" t="inlineStr">
        <is>
          <t>A 31673-2024</t>
        </is>
      </c>
      <c r="B5445" s="1" t="n">
        <v>45506.94846064815</v>
      </c>
      <c r="C5445" s="1" t="n">
        <v>46086</v>
      </c>
      <c r="D5445" t="inlineStr">
        <is>
          <t>GÄVLEBORGS LÄN</t>
        </is>
      </c>
      <c r="E5445" t="inlineStr">
        <is>
          <t>LJUSDAL</t>
        </is>
      </c>
      <c r="F5445" t="inlineStr">
        <is>
          <t>SCA</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46841-2025</t>
        </is>
      </c>
      <c r="B5446" s="1" t="n">
        <v>45928.51072916666</v>
      </c>
      <c r="C5446" s="1" t="n">
        <v>46086</v>
      </c>
      <c r="D5446" t="inlineStr">
        <is>
          <t>GÄVLEBORGS LÄN</t>
        </is>
      </c>
      <c r="E5446" t="inlineStr">
        <is>
          <t>BOLLNÄS</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11315-2025</t>
        </is>
      </c>
      <c r="B5447" s="1" t="n">
        <v>45726.45640046296</v>
      </c>
      <c r="C5447" s="1" t="n">
        <v>46086</v>
      </c>
      <c r="D5447" t="inlineStr">
        <is>
          <t>GÄVLEBORGS LÄN</t>
        </is>
      </c>
      <c r="E5447" t="inlineStr">
        <is>
          <t>HUDIKSVALL</t>
        </is>
      </c>
      <c r="F5447" t="inlineStr">
        <is>
          <t>Holmen skog AB</t>
        </is>
      </c>
      <c r="G5447" t="n">
        <v>9.6</v>
      </c>
      <c r="H5447" t="n">
        <v>0</v>
      </c>
      <c r="I5447" t="n">
        <v>0</v>
      </c>
      <c r="J5447" t="n">
        <v>0</v>
      </c>
      <c r="K5447" t="n">
        <v>0</v>
      </c>
      <c r="L5447" t="n">
        <v>0</v>
      </c>
      <c r="M5447" t="n">
        <v>0</v>
      </c>
      <c r="N5447" t="n">
        <v>0</v>
      </c>
      <c r="O5447" t="n">
        <v>0</v>
      </c>
      <c r="P5447" t="n">
        <v>0</v>
      </c>
      <c r="Q5447" t="n">
        <v>0</v>
      </c>
      <c r="R5447" s="2" t="inlineStr"/>
    </row>
    <row r="5448" ht="15" customHeight="1">
      <c r="A5448" t="inlineStr">
        <is>
          <t>A 36404-2025</t>
        </is>
      </c>
      <c r="B5448" s="1" t="n">
        <v>45868.66592592592</v>
      </c>
      <c r="C5448" s="1" t="n">
        <v>46086</v>
      </c>
      <c r="D5448" t="inlineStr">
        <is>
          <t>GÄVLEBORGS LÄN</t>
        </is>
      </c>
      <c r="E5448" t="inlineStr">
        <is>
          <t>OVANÅKER</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46607-2025</t>
        </is>
      </c>
      <c r="B5449" s="1" t="n">
        <v>45926.41520833333</v>
      </c>
      <c r="C5449" s="1" t="n">
        <v>46086</v>
      </c>
      <c r="D5449" t="inlineStr">
        <is>
          <t>GÄVLEBORGS LÄN</t>
        </is>
      </c>
      <c r="E5449" t="inlineStr">
        <is>
          <t>SANDVIKEN</t>
        </is>
      </c>
      <c r="F5449" t="inlineStr">
        <is>
          <t>Sveaskog</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46790-2025</t>
        </is>
      </c>
      <c r="B5450" s="1" t="n">
        <v>45926.65032407407</v>
      </c>
      <c r="C5450" s="1" t="n">
        <v>46086</v>
      </c>
      <c r="D5450" t="inlineStr">
        <is>
          <t>GÄVLEBORGS LÄN</t>
        </is>
      </c>
      <c r="E5450" t="inlineStr">
        <is>
          <t>GÄVLE</t>
        </is>
      </c>
      <c r="F5450" t="inlineStr">
        <is>
          <t>Bergvik skog väst AB</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47000-2025</t>
        </is>
      </c>
      <c r="B5451" s="1" t="n">
        <v>45929.54972222223</v>
      </c>
      <c r="C5451" s="1" t="n">
        <v>46086</v>
      </c>
      <c r="D5451" t="inlineStr">
        <is>
          <t>GÄVLEBORGS LÄN</t>
        </is>
      </c>
      <c r="E5451" t="inlineStr">
        <is>
          <t>BOLLNÄS</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28711-2022</t>
        </is>
      </c>
      <c r="B5452" s="1" t="n">
        <v>44748</v>
      </c>
      <c r="C5452" s="1" t="n">
        <v>46086</v>
      </c>
      <c r="D5452" t="inlineStr">
        <is>
          <t>GÄVLEBORGS LÄN</t>
        </is>
      </c>
      <c r="E5452" t="inlineStr">
        <is>
          <t>NORDANSTIG</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67768-2021</t>
        </is>
      </c>
      <c r="B5453" s="1" t="n">
        <v>44525.3771412037</v>
      </c>
      <c r="C5453" s="1" t="n">
        <v>46086</v>
      </c>
      <c r="D5453" t="inlineStr">
        <is>
          <t>GÄVLEBORGS LÄN</t>
        </is>
      </c>
      <c r="E5453" t="inlineStr">
        <is>
          <t>OCKELBO</t>
        </is>
      </c>
      <c r="F5453" t="inlineStr">
        <is>
          <t>Bergvik skog väst AB</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20934-2021</t>
        </is>
      </c>
      <c r="B5454" s="1" t="n">
        <v>44319.48326388889</v>
      </c>
      <c r="C5454" s="1" t="n">
        <v>46086</v>
      </c>
      <c r="D5454" t="inlineStr">
        <is>
          <t>GÄVLEBORGS LÄN</t>
        </is>
      </c>
      <c r="E5454" t="inlineStr">
        <is>
          <t>SANDVIKEN</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46485-2024</t>
        </is>
      </c>
      <c r="B5455" s="1" t="n">
        <v>45582.57607638889</v>
      </c>
      <c r="C5455" s="1" t="n">
        <v>46086</v>
      </c>
      <c r="D5455" t="inlineStr">
        <is>
          <t>GÄVLEBORGS LÄN</t>
        </is>
      </c>
      <c r="E5455" t="inlineStr">
        <is>
          <t>OCKELBO</t>
        </is>
      </c>
      <c r="F5455" t="inlineStr">
        <is>
          <t>Bergvik skog väst AB</t>
        </is>
      </c>
      <c r="G5455" t="n">
        <v>6.7</v>
      </c>
      <c r="H5455" t="n">
        <v>0</v>
      </c>
      <c r="I5455" t="n">
        <v>0</v>
      </c>
      <c r="J5455" t="n">
        <v>0</v>
      </c>
      <c r="K5455" t="n">
        <v>0</v>
      </c>
      <c r="L5455" t="n">
        <v>0</v>
      </c>
      <c r="M5455" t="n">
        <v>0</v>
      </c>
      <c r="N5455" t="n">
        <v>0</v>
      </c>
      <c r="O5455" t="n">
        <v>0</v>
      </c>
      <c r="P5455" t="n">
        <v>0</v>
      </c>
      <c r="Q5455" t="n">
        <v>0</v>
      </c>
      <c r="R5455" s="2" t="inlineStr"/>
    </row>
    <row r="5456" ht="15" customHeight="1">
      <c r="A5456" t="inlineStr">
        <is>
          <t>A 36482-2025</t>
        </is>
      </c>
      <c r="B5456" s="1" t="n">
        <v>45869.5053587963</v>
      </c>
      <c r="C5456" s="1" t="n">
        <v>46086</v>
      </c>
      <c r="D5456" t="inlineStr">
        <is>
          <t>GÄVLEBORGS LÄN</t>
        </is>
      </c>
      <c r="E5456" t="inlineStr">
        <is>
          <t>BOLLNÄS</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36506-2025</t>
        </is>
      </c>
      <c r="B5457" s="1" t="n">
        <v>45869.57229166666</v>
      </c>
      <c r="C5457" s="1" t="n">
        <v>46086</v>
      </c>
      <c r="D5457" t="inlineStr">
        <is>
          <t>GÄVLEBORGS LÄN</t>
        </is>
      </c>
      <c r="E5457" t="inlineStr">
        <is>
          <t>GÄVLE</t>
        </is>
      </c>
      <c r="F5457" t="inlineStr">
        <is>
          <t>Bergvik skog väst AB</t>
        </is>
      </c>
      <c r="G5457" t="n">
        <v>4.9</v>
      </c>
      <c r="H5457" t="n">
        <v>0</v>
      </c>
      <c r="I5457" t="n">
        <v>0</v>
      </c>
      <c r="J5457" t="n">
        <v>0</v>
      </c>
      <c r="K5457" t="n">
        <v>0</v>
      </c>
      <c r="L5457" t="n">
        <v>0</v>
      </c>
      <c r="M5457" t="n">
        <v>0</v>
      </c>
      <c r="N5457" t="n">
        <v>0</v>
      </c>
      <c r="O5457" t="n">
        <v>0</v>
      </c>
      <c r="P5457" t="n">
        <v>0</v>
      </c>
      <c r="Q5457" t="n">
        <v>0</v>
      </c>
      <c r="R5457" s="2" t="inlineStr"/>
    </row>
    <row r="5458" ht="15" customHeight="1">
      <c r="A5458" t="inlineStr">
        <is>
          <t>A 38764-2025</t>
        </is>
      </c>
      <c r="B5458" s="1" t="n">
        <v>45887.40658564815</v>
      </c>
      <c r="C5458" s="1" t="n">
        <v>46086</v>
      </c>
      <c r="D5458" t="inlineStr">
        <is>
          <t>GÄVLEBORGS LÄN</t>
        </is>
      </c>
      <c r="E5458" t="inlineStr">
        <is>
          <t>BOLLNÄS</t>
        </is>
      </c>
      <c r="G5458" t="n">
        <v>4.6</v>
      </c>
      <c r="H5458" t="n">
        <v>0</v>
      </c>
      <c r="I5458" t="n">
        <v>0</v>
      </c>
      <c r="J5458" t="n">
        <v>0</v>
      </c>
      <c r="K5458" t="n">
        <v>0</v>
      </c>
      <c r="L5458" t="n">
        <v>0</v>
      </c>
      <c r="M5458" t="n">
        <v>0</v>
      </c>
      <c r="N5458" t="n">
        <v>0</v>
      </c>
      <c r="O5458" t="n">
        <v>0</v>
      </c>
      <c r="P5458" t="n">
        <v>0</v>
      </c>
      <c r="Q5458" t="n">
        <v>0</v>
      </c>
      <c r="R5458" s="2" t="inlineStr"/>
    </row>
    <row r="5459" ht="15" customHeight="1">
      <c r="A5459" t="inlineStr">
        <is>
          <t>A 43652-2025</t>
        </is>
      </c>
      <c r="B5459" s="1" t="n">
        <v>45912</v>
      </c>
      <c r="C5459" s="1" t="n">
        <v>46086</v>
      </c>
      <c r="D5459" t="inlineStr">
        <is>
          <t>GÄVLEBORGS LÄN</t>
        </is>
      </c>
      <c r="E5459" t="inlineStr">
        <is>
          <t>NORDANSTIG</t>
        </is>
      </c>
      <c r="F5459" t="inlineStr">
        <is>
          <t>Holmen skog AB</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29768-2023</t>
        </is>
      </c>
      <c r="B5460" s="1" t="n">
        <v>45107.48458333333</v>
      </c>
      <c r="C5460" s="1" t="n">
        <v>46086</v>
      </c>
      <c r="D5460" t="inlineStr">
        <is>
          <t>GÄVLEBORGS LÄN</t>
        </is>
      </c>
      <c r="E5460" t="inlineStr">
        <is>
          <t>OCKELBO</t>
        </is>
      </c>
      <c r="F5460" t="inlineStr">
        <is>
          <t>Bergvik skog väst AB</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5912-2023</t>
        </is>
      </c>
      <c r="B5461" s="1" t="n">
        <v>44963.67834490741</v>
      </c>
      <c r="C5461" s="1" t="n">
        <v>46086</v>
      </c>
      <c r="D5461" t="inlineStr">
        <is>
          <t>GÄVLEBORGS LÄN</t>
        </is>
      </c>
      <c r="E5461" t="inlineStr">
        <is>
          <t>LJUSDAL</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47382-2025</t>
        </is>
      </c>
      <c r="B5462" s="1" t="n">
        <v>45930.59686342593</v>
      </c>
      <c r="C5462" s="1" t="n">
        <v>46086</v>
      </c>
      <c r="D5462" t="inlineStr">
        <is>
          <t>GÄVLEBORGS LÄN</t>
        </is>
      </c>
      <c r="E5462" t="inlineStr">
        <is>
          <t>OVANÅKER</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47384-2025</t>
        </is>
      </c>
      <c r="B5463" s="1" t="n">
        <v>45930.59862268518</v>
      </c>
      <c r="C5463" s="1" t="n">
        <v>46086</v>
      </c>
      <c r="D5463" t="inlineStr">
        <is>
          <t>GÄVLEBORGS LÄN</t>
        </is>
      </c>
      <c r="E5463" t="inlineStr">
        <is>
          <t>OVANÅKER</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34440-2023</t>
        </is>
      </c>
      <c r="B5464" s="1" t="n">
        <v>45139.65960648148</v>
      </c>
      <c r="C5464" s="1" t="n">
        <v>46086</v>
      </c>
      <c r="D5464" t="inlineStr">
        <is>
          <t>GÄVLEBORGS LÄN</t>
        </is>
      </c>
      <c r="E5464" t="inlineStr">
        <is>
          <t>OCKELBO</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47600-2025</t>
        </is>
      </c>
      <c r="B5465" s="1" t="n">
        <v>45931.46003472222</v>
      </c>
      <c r="C5465" s="1" t="n">
        <v>46086</v>
      </c>
      <c r="D5465" t="inlineStr">
        <is>
          <t>GÄVLEBORGS LÄN</t>
        </is>
      </c>
      <c r="E5465" t="inlineStr">
        <is>
          <t>OVANÅKER</t>
        </is>
      </c>
      <c r="G5465" t="n">
        <v>6.1</v>
      </c>
      <c r="H5465" t="n">
        <v>0</v>
      </c>
      <c r="I5465" t="n">
        <v>0</v>
      </c>
      <c r="J5465" t="n">
        <v>0</v>
      </c>
      <c r="K5465" t="n">
        <v>0</v>
      </c>
      <c r="L5465" t="n">
        <v>0</v>
      </c>
      <c r="M5465" t="n">
        <v>0</v>
      </c>
      <c r="N5465" t="n">
        <v>0</v>
      </c>
      <c r="O5465" t="n">
        <v>0</v>
      </c>
      <c r="P5465" t="n">
        <v>0</v>
      </c>
      <c r="Q5465" t="n">
        <v>0</v>
      </c>
      <c r="R5465" s="2" t="inlineStr"/>
    </row>
    <row r="5466" ht="15" customHeight="1">
      <c r="A5466" t="inlineStr">
        <is>
          <t>A 47617-2025</t>
        </is>
      </c>
      <c r="B5466" s="1" t="n">
        <v>45931.47832175926</v>
      </c>
      <c r="C5466" s="1" t="n">
        <v>46086</v>
      </c>
      <c r="D5466" t="inlineStr">
        <is>
          <t>GÄVLEBORGS LÄN</t>
        </is>
      </c>
      <c r="E5466" t="inlineStr">
        <is>
          <t>OVANÅKER</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47500-2025</t>
        </is>
      </c>
      <c r="B5467" s="1" t="n">
        <v>45930.8484375</v>
      </c>
      <c r="C5467" s="1" t="n">
        <v>46086</v>
      </c>
      <c r="D5467" t="inlineStr">
        <is>
          <t>GÄVLEBORGS LÄN</t>
        </is>
      </c>
      <c r="E5467" t="inlineStr">
        <is>
          <t>HUDIKSVALL</t>
        </is>
      </c>
      <c r="G5467" t="n">
        <v>12.1</v>
      </c>
      <c r="H5467" t="n">
        <v>0</v>
      </c>
      <c r="I5467" t="n">
        <v>0</v>
      </c>
      <c r="J5467" t="n">
        <v>0</v>
      </c>
      <c r="K5467" t="n">
        <v>0</v>
      </c>
      <c r="L5467" t="n">
        <v>0</v>
      </c>
      <c r="M5467" t="n">
        <v>0</v>
      </c>
      <c r="N5467" t="n">
        <v>0</v>
      </c>
      <c r="O5467" t="n">
        <v>0</v>
      </c>
      <c r="P5467" t="n">
        <v>0</v>
      </c>
      <c r="Q5467" t="n">
        <v>0</v>
      </c>
      <c r="R5467" s="2" t="inlineStr"/>
    </row>
    <row r="5468" ht="15" customHeight="1">
      <c r="A5468" t="inlineStr">
        <is>
          <t>A 36511-2025</t>
        </is>
      </c>
      <c r="B5468" s="1" t="n">
        <v>45869.57623842593</v>
      </c>
      <c r="C5468" s="1" t="n">
        <v>46086</v>
      </c>
      <c r="D5468" t="inlineStr">
        <is>
          <t>GÄVLEBORGS LÄN</t>
        </is>
      </c>
      <c r="E5468" t="inlineStr">
        <is>
          <t>GÄVLE</t>
        </is>
      </c>
      <c r="F5468" t="inlineStr">
        <is>
          <t>Bergvik skog väst AB</t>
        </is>
      </c>
      <c r="G5468" t="n">
        <v>4.2</v>
      </c>
      <c r="H5468" t="n">
        <v>0</v>
      </c>
      <c r="I5468" t="n">
        <v>0</v>
      </c>
      <c r="J5468" t="n">
        <v>0</v>
      </c>
      <c r="K5468" t="n">
        <v>0</v>
      </c>
      <c r="L5468" t="n">
        <v>0</v>
      </c>
      <c r="M5468" t="n">
        <v>0</v>
      </c>
      <c r="N5468" t="n">
        <v>0</v>
      </c>
      <c r="O5468" t="n">
        <v>0</v>
      </c>
      <c r="P5468" t="n">
        <v>0</v>
      </c>
      <c r="Q5468" t="n">
        <v>0</v>
      </c>
      <c r="R5468" s="2" t="inlineStr"/>
    </row>
    <row r="5469" ht="15" customHeight="1">
      <c r="A5469" t="inlineStr">
        <is>
          <t>A 36516-2025</t>
        </is>
      </c>
      <c r="B5469" s="1" t="n">
        <v>45869.58846064815</v>
      </c>
      <c r="C5469" s="1" t="n">
        <v>46086</v>
      </c>
      <c r="D5469" t="inlineStr">
        <is>
          <t>GÄVLEBORGS LÄN</t>
        </is>
      </c>
      <c r="E5469" t="inlineStr">
        <is>
          <t>GÄVLE</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47591-2025</t>
        </is>
      </c>
      <c r="B5470" s="1" t="n">
        <v>45931.44518518518</v>
      </c>
      <c r="C5470" s="1" t="n">
        <v>46086</v>
      </c>
      <c r="D5470" t="inlineStr">
        <is>
          <t>GÄVLEBORGS LÄN</t>
        </is>
      </c>
      <c r="E5470" t="inlineStr">
        <is>
          <t>LJUSDAL</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47607-2025</t>
        </is>
      </c>
      <c r="B5471" s="1" t="n">
        <v>45931.46563657407</v>
      </c>
      <c r="C5471" s="1" t="n">
        <v>46086</v>
      </c>
      <c r="D5471" t="inlineStr">
        <is>
          <t>GÄVLEBORGS LÄN</t>
        </is>
      </c>
      <c r="E5471" t="inlineStr">
        <is>
          <t>LJUSDAL</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29367-2025</t>
        </is>
      </c>
      <c r="B5472" s="1" t="n">
        <v>45824.57157407407</v>
      </c>
      <c r="C5472" s="1" t="n">
        <v>46086</v>
      </c>
      <c r="D5472" t="inlineStr">
        <is>
          <t>GÄVLEBORGS LÄN</t>
        </is>
      </c>
      <c r="E5472" t="inlineStr">
        <is>
          <t>LJUSDAL</t>
        </is>
      </c>
      <c r="G5472" t="n">
        <v>7.2</v>
      </c>
      <c r="H5472" t="n">
        <v>0</v>
      </c>
      <c r="I5472" t="n">
        <v>0</v>
      </c>
      <c r="J5472" t="n">
        <v>0</v>
      </c>
      <c r="K5472" t="n">
        <v>0</v>
      </c>
      <c r="L5472" t="n">
        <v>0</v>
      </c>
      <c r="M5472" t="n">
        <v>0</v>
      </c>
      <c r="N5472" t="n">
        <v>0</v>
      </c>
      <c r="O5472" t="n">
        <v>0</v>
      </c>
      <c r="P5472" t="n">
        <v>0</v>
      </c>
      <c r="Q5472" t="n">
        <v>0</v>
      </c>
      <c r="R5472" s="2" t="inlineStr"/>
    </row>
    <row r="5473" ht="15" customHeight="1">
      <c r="A5473" t="inlineStr">
        <is>
          <t>A 61694-2021</t>
        </is>
      </c>
      <c r="B5473" s="1" t="n">
        <v>44501.58199074074</v>
      </c>
      <c r="C5473" s="1" t="n">
        <v>46086</v>
      </c>
      <c r="D5473" t="inlineStr">
        <is>
          <t>GÄVLEBORGS LÄN</t>
        </is>
      </c>
      <c r="E5473" t="inlineStr">
        <is>
          <t>SANDVIKEN</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47618-2025</t>
        </is>
      </c>
      <c r="B5474" s="1" t="n">
        <v>45931.4806712963</v>
      </c>
      <c r="C5474" s="1" t="n">
        <v>46086</v>
      </c>
      <c r="D5474" t="inlineStr">
        <is>
          <t>GÄVLEBORGS LÄN</t>
        </is>
      </c>
      <c r="E5474" t="inlineStr">
        <is>
          <t>OVANÅKER</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36352-2025</t>
        </is>
      </c>
      <c r="B5475" s="1" t="n">
        <v>45868.48983796296</v>
      </c>
      <c r="C5475" s="1" t="n">
        <v>46086</v>
      </c>
      <c r="D5475" t="inlineStr">
        <is>
          <t>GÄVLEBORGS LÄN</t>
        </is>
      </c>
      <c r="E5475" t="inlineStr">
        <is>
          <t>LJUSDAL</t>
        </is>
      </c>
      <c r="G5475" t="n">
        <v>5.7</v>
      </c>
      <c r="H5475" t="n">
        <v>0</v>
      </c>
      <c r="I5475" t="n">
        <v>0</v>
      </c>
      <c r="J5475" t="n">
        <v>0</v>
      </c>
      <c r="K5475" t="n">
        <v>0</v>
      </c>
      <c r="L5475" t="n">
        <v>0</v>
      </c>
      <c r="M5475" t="n">
        <v>0</v>
      </c>
      <c r="N5475" t="n">
        <v>0</v>
      </c>
      <c r="O5475" t="n">
        <v>0</v>
      </c>
      <c r="P5475" t="n">
        <v>0</v>
      </c>
      <c r="Q5475" t="n">
        <v>0</v>
      </c>
      <c r="R5475" s="2" t="inlineStr"/>
    </row>
    <row r="5476" ht="15" customHeight="1">
      <c r="A5476" t="inlineStr">
        <is>
          <t>A 36353-2025</t>
        </is>
      </c>
      <c r="B5476" s="1" t="n">
        <v>45868.48988425926</v>
      </c>
      <c r="C5476" s="1" t="n">
        <v>46086</v>
      </c>
      <c r="D5476" t="inlineStr">
        <is>
          <t>GÄVLEBORGS LÄN</t>
        </is>
      </c>
      <c r="E5476" t="inlineStr">
        <is>
          <t>LJUSDAL</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39459-2025</t>
        </is>
      </c>
      <c r="B5477" s="1" t="n">
        <v>45889.82956018519</v>
      </c>
      <c r="C5477" s="1" t="n">
        <v>46086</v>
      </c>
      <c r="D5477" t="inlineStr">
        <is>
          <t>GÄVLEBORGS LÄN</t>
        </is>
      </c>
      <c r="E5477" t="inlineStr">
        <is>
          <t>LJUSDAL</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27028-2025</t>
        </is>
      </c>
      <c r="B5478" s="1" t="n">
        <v>45811.58194444444</v>
      </c>
      <c r="C5478" s="1" t="n">
        <v>46086</v>
      </c>
      <c r="D5478" t="inlineStr">
        <is>
          <t>GÄVLEBORGS LÄN</t>
        </is>
      </c>
      <c r="E5478" t="inlineStr">
        <is>
          <t>SÖDERHAMN</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38142-2024</t>
        </is>
      </c>
      <c r="B5479" s="1" t="n">
        <v>45545.42521990741</v>
      </c>
      <c r="C5479" s="1" t="n">
        <v>46086</v>
      </c>
      <c r="D5479" t="inlineStr">
        <is>
          <t>GÄVLEBORGS LÄN</t>
        </is>
      </c>
      <c r="E5479" t="inlineStr">
        <is>
          <t>HUDIKSVALL</t>
        </is>
      </c>
      <c r="F5479" t="inlineStr">
        <is>
          <t>Holmen skog AB</t>
        </is>
      </c>
      <c r="G5479" t="n">
        <v>5</v>
      </c>
      <c r="H5479" t="n">
        <v>0</v>
      </c>
      <c r="I5479" t="n">
        <v>0</v>
      </c>
      <c r="J5479" t="n">
        <v>0</v>
      </c>
      <c r="K5479" t="n">
        <v>0</v>
      </c>
      <c r="L5479" t="n">
        <v>0</v>
      </c>
      <c r="M5479" t="n">
        <v>0</v>
      </c>
      <c r="N5479" t="n">
        <v>0</v>
      </c>
      <c r="O5479" t="n">
        <v>0</v>
      </c>
      <c r="P5479" t="n">
        <v>0</v>
      </c>
      <c r="Q5479" t="n">
        <v>0</v>
      </c>
      <c r="R5479" s="2" t="inlineStr"/>
    </row>
    <row r="5480" ht="15" customHeight="1">
      <c r="A5480" t="inlineStr">
        <is>
          <t>A 47602-2025</t>
        </is>
      </c>
      <c r="B5480" s="1" t="n">
        <v>45931.46113425926</v>
      </c>
      <c r="C5480" s="1" t="n">
        <v>46086</v>
      </c>
      <c r="D5480" t="inlineStr">
        <is>
          <t>GÄVLEBORGS LÄN</t>
        </is>
      </c>
      <c r="E5480" t="inlineStr">
        <is>
          <t>GÄVLE</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12224-2025</t>
        </is>
      </c>
      <c r="B5481" s="1" t="n">
        <v>45729.55165509259</v>
      </c>
      <c r="C5481" s="1" t="n">
        <v>46086</v>
      </c>
      <c r="D5481" t="inlineStr">
        <is>
          <t>GÄVLEBORGS LÄN</t>
        </is>
      </c>
      <c r="E5481" t="inlineStr">
        <is>
          <t>LJUSDAL</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36403-2025</t>
        </is>
      </c>
      <c r="B5482" s="1" t="n">
        <v>45868.6621875</v>
      </c>
      <c r="C5482" s="1" t="n">
        <v>46086</v>
      </c>
      <c r="D5482" t="inlineStr">
        <is>
          <t>GÄVLEBORGS LÄN</t>
        </is>
      </c>
      <c r="E5482" t="inlineStr">
        <is>
          <t>OVANÅKER</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36406-2025</t>
        </is>
      </c>
      <c r="B5483" s="1" t="n">
        <v>45868.67018518518</v>
      </c>
      <c r="C5483" s="1" t="n">
        <v>46086</v>
      </c>
      <c r="D5483" t="inlineStr">
        <is>
          <t>GÄVLEBORGS LÄN</t>
        </is>
      </c>
      <c r="E5483" t="inlineStr">
        <is>
          <t>OVANÅKER</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47325-2025</t>
        </is>
      </c>
      <c r="B5484" s="1" t="n">
        <v>45930.55521990741</v>
      </c>
      <c r="C5484" s="1" t="n">
        <v>46086</v>
      </c>
      <c r="D5484" t="inlineStr">
        <is>
          <t>GÄVLEBORGS LÄN</t>
        </is>
      </c>
      <c r="E5484" t="inlineStr">
        <is>
          <t>SANDVIKEN</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36452-2025</t>
        </is>
      </c>
      <c r="B5485" s="1" t="n">
        <v>45869.42978009259</v>
      </c>
      <c r="C5485" s="1" t="n">
        <v>46086</v>
      </c>
      <c r="D5485" t="inlineStr">
        <is>
          <t>GÄVLEBORGS LÄN</t>
        </is>
      </c>
      <c r="E5485" t="inlineStr">
        <is>
          <t>GÄVLE</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34641-2025</t>
        </is>
      </c>
      <c r="B5486" s="1" t="n">
        <v>45848</v>
      </c>
      <c r="C5486" s="1" t="n">
        <v>46086</v>
      </c>
      <c r="D5486" t="inlineStr">
        <is>
          <t>GÄVLEBORGS LÄN</t>
        </is>
      </c>
      <c r="E5486" t="inlineStr">
        <is>
          <t>LJUSDAL</t>
        </is>
      </c>
      <c r="F5486" t="inlineStr">
        <is>
          <t>Bergvik skog väst AB</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47249-2025</t>
        </is>
      </c>
      <c r="B5487" s="1" t="n">
        <v>45930.43439814815</v>
      </c>
      <c r="C5487" s="1" t="n">
        <v>46086</v>
      </c>
      <c r="D5487" t="inlineStr">
        <is>
          <t>GÄVLEBORGS LÄN</t>
        </is>
      </c>
      <c r="E5487" t="inlineStr">
        <is>
          <t>HOFORS</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36349-2025</t>
        </is>
      </c>
      <c r="B5488" s="1" t="n">
        <v>45868.48269675926</v>
      </c>
      <c r="C5488" s="1" t="n">
        <v>46086</v>
      </c>
      <c r="D5488" t="inlineStr">
        <is>
          <t>GÄVLEBORGS LÄN</t>
        </is>
      </c>
      <c r="E5488" t="inlineStr">
        <is>
          <t>HOFORS</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2612-2025</t>
        </is>
      </c>
      <c r="B5489" s="1" t="n">
        <v>45674</v>
      </c>
      <c r="C5489" s="1" t="n">
        <v>46086</v>
      </c>
      <c r="D5489" t="inlineStr">
        <is>
          <t>GÄVLEBORGS LÄN</t>
        </is>
      </c>
      <c r="E5489" t="inlineStr">
        <is>
          <t>HOFORS</t>
        </is>
      </c>
      <c r="G5489" t="n">
        <v>3.8</v>
      </c>
      <c r="H5489" t="n">
        <v>0</v>
      </c>
      <c r="I5489" t="n">
        <v>0</v>
      </c>
      <c r="J5489" t="n">
        <v>0</v>
      </c>
      <c r="K5489" t="n">
        <v>0</v>
      </c>
      <c r="L5489" t="n">
        <v>0</v>
      </c>
      <c r="M5489" t="n">
        <v>0</v>
      </c>
      <c r="N5489" t="n">
        <v>0</v>
      </c>
      <c r="O5489" t="n">
        <v>0</v>
      </c>
      <c r="P5489" t="n">
        <v>0</v>
      </c>
      <c r="Q5489" t="n">
        <v>0</v>
      </c>
      <c r="R5489" s="2" t="inlineStr"/>
    </row>
    <row r="5490" ht="15" customHeight="1">
      <c r="A5490" t="inlineStr">
        <is>
          <t>A 47612-2025</t>
        </is>
      </c>
      <c r="B5490" s="1" t="n">
        <v>45931.47070601852</v>
      </c>
      <c r="C5490" s="1" t="n">
        <v>46086</v>
      </c>
      <c r="D5490" t="inlineStr">
        <is>
          <t>GÄVLEBORGS LÄN</t>
        </is>
      </c>
      <c r="E5490" t="inlineStr">
        <is>
          <t>GÄVLE</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36417-2025</t>
        </is>
      </c>
      <c r="B5491" s="1" t="n">
        <v>45868.70127314814</v>
      </c>
      <c r="C5491" s="1" t="n">
        <v>46086</v>
      </c>
      <c r="D5491" t="inlineStr">
        <is>
          <t>GÄVLEBORGS LÄN</t>
        </is>
      </c>
      <c r="E5491" t="inlineStr">
        <is>
          <t>SANDVIKEN</t>
        </is>
      </c>
      <c r="F5491" t="inlineStr">
        <is>
          <t>Sveaskog</t>
        </is>
      </c>
      <c r="G5491" t="n">
        <v>3.9</v>
      </c>
      <c r="H5491" t="n">
        <v>0</v>
      </c>
      <c r="I5491" t="n">
        <v>0</v>
      </c>
      <c r="J5491" t="n">
        <v>0</v>
      </c>
      <c r="K5491" t="n">
        <v>0</v>
      </c>
      <c r="L5491" t="n">
        <v>0</v>
      </c>
      <c r="M5491" t="n">
        <v>0</v>
      </c>
      <c r="N5491" t="n">
        <v>0</v>
      </c>
      <c r="O5491" t="n">
        <v>0</v>
      </c>
      <c r="P5491" t="n">
        <v>0</v>
      </c>
      <c r="Q5491" t="n">
        <v>0</v>
      </c>
      <c r="R5491" s="2" t="inlineStr"/>
      <c r="U5491">
        <f>HYPERLINK("https://klasma.github.io/Logging_2181/knärot/A 36417-2025 karta knärot.png", "A 36417-2025")</f>
        <v/>
      </c>
      <c r="V5491">
        <f>HYPERLINK("https://klasma.github.io/Logging_2181/klagomål/A 36417-2025 FSC-klagomål.docx", "A 36417-2025")</f>
        <v/>
      </c>
      <c r="W5491">
        <f>HYPERLINK("https://klasma.github.io/Logging_2181/klagomålsmail/A 36417-2025 FSC-klagomål mail.docx", "A 36417-2025")</f>
        <v/>
      </c>
      <c r="X5491">
        <f>HYPERLINK("https://klasma.github.io/Logging_2181/tillsyn/A 36417-2025 tillsynsbegäran.docx", "A 36417-2025")</f>
        <v/>
      </c>
      <c r="Y5491">
        <f>HYPERLINK("https://klasma.github.io/Logging_2181/tillsynsmail/A 36417-2025 tillsynsbegäran mail.docx", "A 36417-2025")</f>
        <v/>
      </c>
    </row>
    <row r="5492" ht="15" customHeight="1">
      <c r="A5492" t="inlineStr">
        <is>
          <t>A 18933-2023</t>
        </is>
      </c>
      <c r="B5492" s="1" t="n">
        <v>45044.61585648148</v>
      </c>
      <c r="C5492" s="1" t="n">
        <v>46086</v>
      </c>
      <c r="D5492" t="inlineStr">
        <is>
          <t>GÄVLEBORGS LÄN</t>
        </is>
      </c>
      <c r="E5492" t="inlineStr">
        <is>
          <t>NORDANSTIG</t>
        </is>
      </c>
      <c r="G5492" t="n">
        <v>26.6</v>
      </c>
      <c r="H5492" t="n">
        <v>0</v>
      </c>
      <c r="I5492" t="n">
        <v>0</v>
      </c>
      <c r="J5492" t="n">
        <v>0</v>
      </c>
      <c r="K5492" t="n">
        <v>0</v>
      </c>
      <c r="L5492" t="n">
        <v>0</v>
      </c>
      <c r="M5492" t="n">
        <v>0</v>
      </c>
      <c r="N5492" t="n">
        <v>0</v>
      </c>
      <c r="O5492" t="n">
        <v>0</v>
      </c>
      <c r="P5492" t="n">
        <v>0</v>
      </c>
      <c r="Q5492" t="n">
        <v>0</v>
      </c>
      <c r="R5492" s="2" t="inlineStr"/>
    </row>
    <row r="5493" ht="15" customHeight="1">
      <c r="A5493" t="inlineStr">
        <is>
          <t>A 36449-2025</t>
        </is>
      </c>
      <c r="B5493" s="1" t="n">
        <v>45869.42247685185</v>
      </c>
      <c r="C5493" s="1" t="n">
        <v>46086</v>
      </c>
      <c r="D5493" t="inlineStr">
        <is>
          <t>GÄVLEBORGS LÄN</t>
        </is>
      </c>
      <c r="E5493" t="inlineStr">
        <is>
          <t>GÄVLE</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47267-2025</t>
        </is>
      </c>
      <c r="B5494" s="1" t="n">
        <v>45930.45800925926</v>
      </c>
      <c r="C5494" s="1" t="n">
        <v>46086</v>
      </c>
      <c r="D5494" t="inlineStr">
        <is>
          <t>GÄVLEBORGS LÄN</t>
        </is>
      </c>
      <c r="E5494" t="inlineStr">
        <is>
          <t>OCKELBO</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47315-2025</t>
        </is>
      </c>
      <c r="B5495" s="1" t="n">
        <v>45930.54961805556</v>
      </c>
      <c r="C5495" s="1" t="n">
        <v>46086</v>
      </c>
      <c r="D5495" t="inlineStr">
        <is>
          <t>GÄVLEBORGS LÄN</t>
        </is>
      </c>
      <c r="E5495" t="inlineStr">
        <is>
          <t>BOLLNÄS</t>
        </is>
      </c>
      <c r="G5495" t="n">
        <v>7.2</v>
      </c>
      <c r="H5495" t="n">
        <v>0</v>
      </c>
      <c r="I5495" t="n">
        <v>0</v>
      </c>
      <c r="J5495" t="n">
        <v>0</v>
      </c>
      <c r="K5495" t="n">
        <v>0</v>
      </c>
      <c r="L5495" t="n">
        <v>0</v>
      </c>
      <c r="M5495" t="n">
        <v>0</v>
      </c>
      <c r="N5495" t="n">
        <v>0</v>
      </c>
      <c r="O5495" t="n">
        <v>0</v>
      </c>
      <c r="P5495" t="n">
        <v>0</v>
      </c>
      <c r="Q5495" t="n">
        <v>0</v>
      </c>
      <c r="R5495" s="2" t="inlineStr"/>
    </row>
    <row r="5496" ht="15" customHeight="1">
      <c r="A5496" t="inlineStr">
        <is>
          <t>A 47322-2025</t>
        </is>
      </c>
      <c r="B5496" s="1" t="n">
        <v>45930</v>
      </c>
      <c r="C5496" s="1" t="n">
        <v>46086</v>
      </c>
      <c r="D5496" t="inlineStr">
        <is>
          <t>GÄVLEBORGS LÄN</t>
        </is>
      </c>
      <c r="E5496" t="inlineStr">
        <is>
          <t>BOLLNÄS</t>
        </is>
      </c>
      <c r="F5496" t="inlineStr">
        <is>
          <t>Sveaskog</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47324-2025</t>
        </is>
      </c>
      <c r="B5497" s="1" t="n">
        <v>45930.55458333333</v>
      </c>
      <c r="C5497" s="1" t="n">
        <v>46086</v>
      </c>
      <c r="D5497" t="inlineStr">
        <is>
          <t>GÄVLEBORGS LÄN</t>
        </is>
      </c>
      <c r="E5497" t="inlineStr">
        <is>
          <t>LJUSDAL</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47173-2025</t>
        </is>
      </c>
      <c r="B5498" s="1" t="n">
        <v>45930.2187962963</v>
      </c>
      <c r="C5498" s="1" t="n">
        <v>46086</v>
      </c>
      <c r="D5498" t="inlineStr">
        <is>
          <t>GÄVLEBORGS LÄN</t>
        </is>
      </c>
      <c r="E5498" t="inlineStr">
        <is>
          <t>SANDVIKEN</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9135-2023</t>
        </is>
      </c>
      <c r="B5499" s="1" t="n">
        <v>44980.34918981481</v>
      </c>
      <c r="C5499" s="1" t="n">
        <v>46086</v>
      </c>
      <c r="D5499" t="inlineStr">
        <is>
          <t>GÄVLEBORGS LÄN</t>
        </is>
      </c>
      <c r="E5499" t="inlineStr">
        <is>
          <t>HUDIKSVALL</t>
        </is>
      </c>
      <c r="F5499" t="inlineStr">
        <is>
          <t>Holmen skog AB</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34826-2024</t>
        </is>
      </c>
      <c r="B5500" s="1" t="n">
        <v>45526.72263888889</v>
      </c>
      <c r="C5500" s="1" t="n">
        <v>46086</v>
      </c>
      <c r="D5500" t="inlineStr">
        <is>
          <t>GÄVLEBORGS LÄN</t>
        </is>
      </c>
      <c r="E5500" t="inlineStr">
        <is>
          <t>SÖDERHAMN</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48102-2022</t>
        </is>
      </c>
      <c r="B5501" s="1" t="n">
        <v>44856.47353009259</v>
      </c>
      <c r="C5501" s="1" t="n">
        <v>46086</v>
      </c>
      <c r="D5501" t="inlineStr">
        <is>
          <t>GÄVLEBORGS LÄN</t>
        </is>
      </c>
      <c r="E5501" t="inlineStr">
        <is>
          <t>SÖDERHAMN</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47210-2025</t>
        </is>
      </c>
      <c r="B5502" s="1" t="n">
        <v>45930.3779050926</v>
      </c>
      <c r="C5502" s="1" t="n">
        <v>46086</v>
      </c>
      <c r="D5502" t="inlineStr">
        <is>
          <t>GÄVLEBORGS LÄN</t>
        </is>
      </c>
      <c r="E5502" t="inlineStr">
        <is>
          <t>GÄVLE</t>
        </is>
      </c>
      <c r="G5502" t="n">
        <v>10.5</v>
      </c>
      <c r="H5502" t="n">
        <v>0</v>
      </c>
      <c r="I5502" t="n">
        <v>0</v>
      </c>
      <c r="J5502" t="n">
        <v>0</v>
      </c>
      <c r="K5502" t="n">
        <v>0</v>
      </c>
      <c r="L5502" t="n">
        <v>0</v>
      </c>
      <c r="M5502" t="n">
        <v>0</v>
      </c>
      <c r="N5502" t="n">
        <v>0</v>
      </c>
      <c r="O5502" t="n">
        <v>0</v>
      </c>
      <c r="P5502" t="n">
        <v>0</v>
      </c>
      <c r="Q5502" t="n">
        <v>0</v>
      </c>
      <c r="R5502" s="2" t="inlineStr"/>
    </row>
    <row r="5503" ht="15" customHeight="1">
      <c r="A5503" t="inlineStr">
        <is>
          <t>A 32849-2022</t>
        </is>
      </c>
      <c r="B5503" s="1" t="n">
        <v>44784</v>
      </c>
      <c r="C5503" s="1" t="n">
        <v>46086</v>
      </c>
      <c r="D5503" t="inlineStr">
        <is>
          <t>GÄVLEBORGS LÄN</t>
        </is>
      </c>
      <c r="E5503" t="inlineStr">
        <is>
          <t>SANDVIKEN</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40401-2025</t>
        </is>
      </c>
      <c r="B5504" s="1" t="n">
        <v>45895.56739583334</v>
      </c>
      <c r="C5504" s="1" t="n">
        <v>46086</v>
      </c>
      <c r="D5504" t="inlineStr">
        <is>
          <t>GÄVLEBORGS LÄN</t>
        </is>
      </c>
      <c r="E5504" t="inlineStr">
        <is>
          <t>HOFORS</t>
        </is>
      </c>
      <c r="F5504" t="inlineStr">
        <is>
          <t>Sveaskog</t>
        </is>
      </c>
      <c r="G5504" t="n">
        <v>12.6</v>
      </c>
      <c r="H5504" t="n">
        <v>0</v>
      </c>
      <c r="I5504" t="n">
        <v>0</v>
      </c>
      <c r="J5504" t="n">
        <v>0</v>
      </c>
      <c r="K5504" t="n">
        <v>0</v>
      </c>
      <c r="L5504" t="n">
        <v>0</v>
      </c>
      <c r="M5504" t="n">
        <v>0</v>
      </c>
      <c r="N5504" t="n">
        <v>0</v>
      </c>
      <c r="O5504" t="n">
        <v>0</v>
      </c>
      <c r="P5504" t="n">
        <v>0</v>
      </c>
      <c r="Q5504" t="n">
        <v>0</v>
      </c>
      <c r="R5504" s="2" t="inlineStr"/>
    </row>
    <row r="5505" ht="15" customHeight="1">
      <c r="A5505" t="inlineStr">
        <is>
          <t>A 36465-2025</t>
        </is>
      </c>
      <c r="B5505" s="1" t="n">
        <v>45869.46657407407</v>
      </c>
      <c r="C5505" s="1" t="n">
        <v>46086</v>
      </c>
      <c r="D5505" t="inlineStr">
        <is>
          <t>GÄVLEBORGS LÄN</t>
        </is>
      </c>
      <c r="E5505" t="inlineStr">
        <is>
          <t>GÄVLE</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72997-2021</t>
        </is>
      </c>
      <c r="B5506" s="1" t="n">
        <v>44549.87050925926</v>
      </c>
      <c r="C5506" s="1" t="n">
        <v>46086</v>
      </c>
      <c r="D5506" t="inlineStr">
        <is>
          <t>GÄVLEBORGS LÄN</t>
        </is>
      </c>
      <c r="E5506" t="inlineStr">
        <is>
          <t>SANDVIKEN</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7012-2025</t>
        </is>
      </c>
      <c r="B5507" s="1" t="n">
        <v>45701.60899305555</v>
      </c>
      <c r="C5507" s="1" t="n">
        <v>46086</v>
      </c>
      <c r="D5507" t="inlineStr">
        <is>
          <t>GÄVLEBORGS LÄN</t>
        </is>
      </c>
      <c r="E5507" t="inlineStr">
        <is>
          <t>NORDANSTIG</t>
        </is>
      </c>
      <c r="F5507" t="inlineStr">
        <is>
          <t>Holmen skog AB</t>
        </is>
      </c>
      <c r="G5507" t="n">
        <v>6.9</v>
      </c>
      <c r="H5507" t="n">
        <v>0</v>
      </c>
      <c r="I5507" t="n">
        <v>0</v>
      </c>
      <c r="J5507" t="n">
        <v>0</v>
      </c>
      <c r="K5507" t="n">
        <v>0</v>
      </c>
      <c r="L5507" t="n">
        <v>0</v>
      </c>
      <c r="M5507" t="n">
        <v>0</v>
      </c>
      <c r="N5507" t="n">
        <v>0</v>
      </c>
      <c r="O5507" t="n">
        <v>0</v>
      </c>
      <c r="P5507" t="n">
        <v>0</v>
      </c>
      <c r="Q5507" t="n">
        <v>0</v>
      </c>
      <c r="R5507" s="2" t="inlineStr"/>
    </row>
    <row r="5508" ht="15" customHeight="1">
      <c r="A5508" t="inlineStr">
        <is>
          <t>A 47743-2025</t>
        </is>
      </c>
      <c r="B5508" s="1" t="n">
        <v>45931.64719907408</v>
      </c>
      <c r="C5508" s="1" t="n">
        <v>46086</v>
      </c>
      <c r="D5508" t="inlineStr">
        <is>
          <t>GÄVLEBORGS LÄN</t>
        </is>
      </c>
      <c r="E5508" t="inlineStr">
        <is>
          <t>SANDVIKEN</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47680-2025</t>
        </is>
      </c>
      <c r="B5509" s="1" t="n">
        <v>45931.58048611111</v>
      </c>
      <c r="C5509" s="1" t="n">
        <v>46086</v>
      </c>
      <c r="D5509" t="inlineStr">
        <is>
          <t>GÄVLEBORGS LÄN</t>
        </is>
      </c>
      <c r="E5509" t="inlineStr">
        <is>
          <t>OVANÅKER</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7015-2025</t>
        </is>
      </c>
      <c r="B5510" s="1" t="n">
        <v>45701.61202546296</v>
      </c>
      <c r="C5510" s="1" t="n">
        <v>46086</v>
      </c>
      <c r="D5510" t="inlineStr">
        <is>
          <t>GÄVLEBORGS LÄN</t>
        </is>
      </c>
      <c r="E5510" t="inlineStr">
        <is>
          <t>BOLLNÄS</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7032-2025</t>
        </is>
      </c>
      <c r="B5511" s="1" t="n">
        <v>45701.63517361111</v>
      </c>
      <c r="C5511" s="1" t="n">
        <v>46086</v>
      </c>
      <c r="D5511" t="inlineStr">
        <is>
          <t>GÄVLEBORGS LÄN</t>
        </is>
      </c>
      <c r="E5511" t="inlineStr">
        <is>
          <t>SANDVIKEN</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7478-2025</t>
        </is>
      </c>
      <c r="B5512" s="1" t="n">
        <v>45705</v>
      </c>
      <c r="C5512" s="1" t="n">
        <v>46086</v>
      </c>
      <c r="D5512" t="inlineStr">
        <is>
          <t>GÄVLEBORGS LÄN</t>
        </is>
      </c>
      <c r="E5512" t="inlineStr">
        <is>
          <t>OCKELBO</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7495-2025</t>
        </is>
      </c>
      <c r="B5513" s="1" t="n">
        <v>45705.48628472222</v>
      </c>
      <c r="C5513" s="1" t="n">
        <v>46086</v>
      </c>
      <c r="D5513" t="inlineStr">
        <is>
          <t>GÄVLEBORGS LÄN</t>
        </is>
      </c>
      <c r="E5513" t="inlineStr">
        <is>
          <t>LJUSDAL</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7559-2025</t>
        </is>
      </c>
      <c r="B5514" s="1" t="n">
        <v>45705.58496527778</v>
      </c>
      <c r="C5514" s="1" t="n">
        <v>46086</v>
      </c>
      <c r="D5514" t="inlineStr">
        <is>
          <t>GÄVLEBORGS LÄN</t>
        </is>
      </c>
      <c r="E5514" t="inlineStr">
        <is>
          <t>SÖDERHAMN</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6109-2023</t>
        </is>
      </c>
      <c r="B5515" s="1" t="n">
        <v>44964</v>
      </c>
      <c r="C5515" s="1" t="n">
        <v>46086</v>
      </c>
      <c r="D5515" t="inlineStr">
        <is>
          <t>GÄVLEBORGS LÄN</t>
        </is>
      </c>
      <c r="E5515" t="inlineStr">
        <is>
          <t>NORDANSTIG</t>
        </is>
      </c>
      <c r="G5515" t="n">
        <v>0.1</v>
      </c>
      <c r="H5515" t="n">
        <v>0</v>
      </c>
      <c r="I5515" t="n">
        <v>0</v>
      </c>
      <c r="J5515" t="n">
        <v>0</v>
      </c>
      <c r="K5515" t="n">
        <v>0</v>
      </c>
      <c r="L5515" t="n">
        <v>0</v>
      </c>
      <c r="M5515" t="n">
        <v>0</v>
      </c>
      <c r="N5515" t="n">
        <v>0</v>
      </c>
      <c r="O5515" t="n">
        <v>0</v>
      </c>
      <c r="P5515" t="n">
        <v>0</v>
      </c>
      <c r="Q5515" t="n">
        <v>0</v>
      </c>
      <c r="R5515" s="2" t="inlineStr"/>
    </row>
    <row r="5516" ht="15" customHeight="1">
      <c r="A5516" t="inlineStr">
        <is>
          <t>A 47310-2025</t>
        </is>
      </c>
      <c r="B5516" s="1" t="n">
        <v>45930.53824074074</v>
      </c>
      <c r="C5516" s="1" t="n">
        <v>46086</v>
      </c>
      <c r="D5516" t="inlineStr">
        <is>
          <t>GÄVLEBORGS LÄN</t>
        </is>
      </c>
      <c r="E5516" t="inlineStr">
        <is>
          <t>OVANÅKER</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36604-2025</t>
        </is>
      </c>
      <c r="B5517" s="1" t="n">
        <v>45870</v>
      </c>
      <c r="C5517" s="1" t="n">
        <v>46086</v>
      </c>
      <c r="D5517" t="inlineStr">
        <is>
          <t>GÄVLEBORGS LÄN</t>
        </is>
      </c>
      <c r="E5517" t="inlineStr">
        <is>
          <t>OCKELBO</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43929-2023</t>
        </is>
      </c>
      <c r="B5518" s="1" t="n">
        <v>45187.76679398148</v>
      </c>
      <c r="C5518" s="1" t="n">
        <v>46086</v>
      </c>
      <c r="D5518" t="inlineStr">
        <is>
          <t>GÄVLEBORGS LÄN</t>
        </is>
      </c>
      <c r="E5518" t="inlineStr">
        <is>
          <t>HUDIKSVALL</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47347-2025</t>
        </is>
      </c>
      <c r="B5519" s="1" t="n">
        <v>45930</v>
      </c>
      <c r="C5519" s="1" t="n">
        <v>46086</v>
      </c>
      <c r="D5519" t="inlineStr">
        <is>
          <t>GÄVLEBORGS LÄN</t>
        </is>
      </c>
      <c r="E5519" t="inlineStr">
        <is>
          <t>SÖDERHAMN</t>
        </is>
      </c>
      <c r="G5519" t="n">
        <v>4.5</v>
      </c>
      <c r="H5519" t="n">
        <v>0</v>
      </c>
      <c r="I5519" t="n">
        <v>0</v>
      </c>
      <c r="J5519" t="n">
        <v>0</v>
      </c>
      <c r="K5519" t="n">
        <v>0</v>
      </c>
      <c r="L5519" t="n">
        <v>0</v>
      </c>
      <c r="M5519" t="n">
        <v>0</v>
      </c>
      <c r="N5519" t="n">
        <v>0</v>
      </c>
      <c r="O5519" t="n">
        <v>0</v>
      </c>
      <c r="P5519" t="n">
        <v>0</v>
      </c>
      <c r="Q5519" t="n">
        <v>0</v>
      </c>
      <c r="R5519" s="2" t="inlineStr"/>
    </row>
    <row r="5520" ht="15" customHeight="1">
      <c r="A5520" t="inlineStr">
        <is>
          <t>A 47374-2025</t>
        </is>
      </c>
      <c r="B5520" s="1" t="n">
        <v>45930.59420138889</v>
      </c>
      <c r="C5520" s="1" t="n">
        <v>46086</v>
      </c>
      <c r="D5520" t="inlineStr">
        <is>
          <t>GÄVLEBORGS LÄN</t>
        </is>
      </c>
      <c r="E5520" t="inlineStr">
        <is>
          <t>OVANÅKER</t>
        </is>
      </c>
      <c r="G5520" t="n">
        <v>7.2</v>
      </c>
      <c r="H5520" t="n">
        <v>0</v>
      </c>
      <c r="I5520" t="n">
        <v>0</v>
      </c>
      <c r="J5520" t="n">
        <v>0</v>
      </c>
      <c r="K5520" t="n">
        <v>0</v>
      </c>
      <c r="L5520" t="n">
        <v>0</v>
      </c>
      <c r="M5520" t="n">
        <v>0</v>
      </c>
      <c r="N5520" t="n">
        <v>0</v>
      </c>
      <c r="O5520" t="n">
        <v>0</v>
      </c>
      <c r="P5520" t="n">
        <v>0</v>
      </c>
      <c r="Q5520" t="n">
        <v>0</v>
      </c>
      <c r="R5520" s="2" t="inlineStr"/>
    </row>
    <row r="5521" ht="15" customHeight="1">
      <c r="A5521" t="inlineStr">
        <is>
          <t>A 38215-2023</t>
        </is>
      </c>
      <c r="B5521" s="1" t="n">
        <v>45161.53357638889</v>
      </c>
      <c r="C5521" s="1" t="n">
        <v>46086</v>
      </c>
      <c r="D5521" t="inlineStr">
        <is>
          <t>GÄVLEBORGS LÄN</t>
        </is>
      </c>
      <c r="E5521" t="inlineStr">
        <is>
          <t>SANDVIKEN</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38255-2023</t>
        </is>
      </c>
      <c r="B5522" s="1" t="n">
        <v>45161.58774305556</v>
      </c>
      <c r="C5522" s="1" t="n">
        <v>46086</v>
      </c>
      <c r="D5522" t="inlineStr">
        <is>
          <t>GÄVLEBORGS LÄN</t>
        </is>
      </c>
      <c r="E5522" t="inlineStr">
        <is>
          <t>GÄVLE</t>
        </is>
      </c>
      <c r="F5522" t="inlineStr">
        <is>
          <t>Bergvik skog väst AB</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31011-2024</t>
        </is>
      </c>
      <c r="B5523" s="1" t="n">
        <v>45499.67101851852</v>
      </c>
      <c r="C5523" s="1" t="n">
        <v>46086</v>
      </c>
      <c r="D5523" t="inlineStr">
        <is>
          <t>GÄVLEBORGS LÄN</t>
        </is>
      </c>
      <c r="E5523" t="inlineStr">
        <is>
          <t>LJUSDAL</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47174-2025</t>
        </is>
      </c>
      <c r="B5524" s="1" t="n">
        <v>45930.23103009259</v>
      </c>
      <c r="C5524" s="1" t="n">
        <v>46086</v>
      </c>
      <c r="D5524" t="inlineStr">
        <is>
          <t>GÄVLEBORGS LÄN</t>
        </is>
      </c>
      <c r="E5524" t="inlineStr">
        <is>
          <t>SANDVIKEN</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47183-2025</t>
        </is>
      </c>
      <c r="B5525" s="1" t="n">
        <v>45930.31965277778</v>
      </c>
      <c r="C5525" s="1" t="n">
        <v>46086</v>
      </c>
      <c r="D5525" t="inlineStr">
        <is>
          <t>GÄVLEBORGS LÄN</t>
        </is>
      </c>
      <c r="E5525" t="inlineStr">
        <is>
          <t>HUDIKSVALL</t>
        </is>
      </c>
      <c r="G5525" t="n">
        <v>16.4</v>
      </c>
      <c r="H5525" t="n">
        <v>0</v>
      </c>
      <c r="I5525" t="n">
        <v>0</v>
      </c>
      <c r="J5525" t="n">
        <v>0</v>
      </c>
      <c r="K5525" t="n">
        <v>0</v>
      </c>
      <c r="L5525" t="n">
        <v>0</v>
      </c>
      <c r="M5525" t="n">
        <v>0</v>
      </c>
      <c r="N5525" t="n">
        <v>0</v>
      </c>
      <c r="O5525" t="n">
        <v>0</v>
      </c>
      <c r="P5525" t="n">
        <v>0</v>
      </c>
      <c r="Q5525" t="n">
        <v>0</v>
      </c>
      <c r="R5525" s="2" t="inlineStr"/>
    </row>
    <row r="5526" ht="15" customHeight="1">
      <c r="A5526" t="inlineStr">
        <is>
          <t>A 47185-2025</t>
        </is>
      </c>
      <c r="B5526" s="1" t="n">
        <v>45930.32195601852</v>
      </c>
      <c r="C5526" s="1" t="n">
        <v>46086</v>
      </c>
      <c r="D5526" t="inlineStr">
        <is>
          <t>GÄVLEBORGS LÄN</t>
        </is>
      </c>
      <c r="E5526" t="inlineStr">
        <is>
          <t>HUDIKSVALL</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32609-2023</t>
        </is>
      </c>
      <c r="B5527" s="1" t="n">
        <v>45121.54181712963</v>
      </c>
      <c r="C5527" s="1" t="n">
        <v>46086</v>
      </c>
      <c r="D5527" t="inlineStr">
        <is>
          <t>GÄVLEBORGS LÄN</t>
        </is>
      </c>
      <c r="E5527" t="inlineStr">
        <is>
          <t>SANDVIKEN</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47396-2025</t>
        </is>
      </c>
      <c r="B5528" s="1" t="n">
        <v>45930.60548611111</v>
      </c>
      <c r="C5528" s="1" t="n">
        <v>46086</v>
      </c>
      <c r="D5528" t="inlineStr">
        <is>
          <t>GÄVLEBORGS LÄN</t>
        </is>
      </c>
      <c r="E5528" t="inlineStr">
        <is>
          <t>SANDVIKEN</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55765-2025</t>
        </is>
      </c>
      <c r="B5529" s="1" t="n">
        <v>45972.60929398148</v>
      </c>
      <c r="C5529" s="1" t="n">
        <v>46086</v>
      </c>
      <c r="D5529" t="inlineStr">
        <is>
          <t>GÄVLEBORGS LÄN</t>
        </is>
      </c>
      <c r="E5529" t="inlineStr">
        <is>
          <t>SÖDERHAMN</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47639-2025</t>
        </is>
      </c>
      <c r="B5530" s="1" t="n">
        <v>45931.505625</v>
      </c>
      <c r="C5530" s="1" t="n">
        <v>46086</v>
      </c>
      <c r="D5530" t="inlineStr">
        <is>
          <t>GÄVLEBORGS LÄN</t>
        </is>
      </c>
      <c r="E5530" t="inlineStr">
        <is>
          <t>BOLLNÄS</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27161-2021</t>
        </is>
      </c>
      <c r="B5531" s="1" t="n">
        <v>44350.61917824074</v>
      </c>
      <c r="C5531" s="1" t="n">
        <v>46086</v>
      </c>
      <c r="D5531" t="inlineStr">
        <is>
          <t>GÄVLEBORGS LÄN</t>
        </is>
      </c>
      <c r="E5531" t="inlineStr">
        <is>
          <t>NORDANSTIG</t>
        </is>
      </c>
      <c r="G5531" t="n">
        <v>11.5</v>
      </c>
      <c r="H5531" t="n">
        <v>0</v>
      </c>
      <c r="I5531" t="n">
        <v>0</v>
      </c>
      <c r="J5531" t="n">
        <v>0</v>
      </c>
      <c r="K5531" t="n">
        <v>0</v>
      </c>
      <c r="L5531" t="n">
        <v>0</v>
      </c>
      <c r="M5531" t="n">
        <v>0</v>
      </c>
      <c r="N5531" t="n">
        <v>0</v>
      </c>
      <c r="O5531" t="n">
        <v>0</v>
      </c>
      <c r="P5531" t="n">
        <v>0</v>
      </c>
      <c r="Q5531" t="n">
        <v>0</v>
      </c>
      <c r="R5531" s="2" t="inlineStr"/>
    </row>
    <row r="5532" ht="15" customHeight="1">
      <c r="A5532" t="inlineStr">
        <is>
          <t>A 47544-2025</t>
        </is>
      </c>
      <c r="B5532" s="1" t="n">
        <v>45931.36108796296</v>
      </c>
      <c r="C5532" s="1" t="n">
        <v>46086</v>
      </c>
      <c r="D5532" t="inlineStr">
        <is>
          <t>GÄVLEBORGS LÄN</t>
        </is>
      </c>
      <c r="E5532" t="inlineStr">
        <is>
          <t>NORDANSTIG</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60132-2024</t>
        </is>
      </c>
      <c r="B5533" s="1" t="n">
        <v>45642.59554398148</v>
      </c>
      <c r="C5533" s="1" t="n">
        <v>46086</v>
      </c>
      <c r="D5533" t="inlineStr">
        <is>
          <t>GÄVLEBORGS LÄN</t>
        </is>
      </c>
      <c r="E5533" t="inlineStr">
        <is>
          <t>OCKELBO</t>
        </is>
      </c>
      <c r="F5533" t="inlineStr">
        <is>
          <t>Bergvik skog öst AB</t>
        </is>
      </c>
      <c r="G5533" t="n">
        <v>5.7</v>
      </c>
      <c r="H5533" t="n">
        <v>0</v>
      </c>
      <c r="I5533" t="n">
        <v>0</v>
      </c>
      <c r="J5533" t="n">
        <v>0</v>
      </c>
      <c r="K5533" t="n">
        <v>0</v>
      </c>
      <c r="L5533" t="n">
        <v>0</v>
      </c>
      <c r="M5533" t="n">
        <v>0</v>
      </c>
      <c r="N5533" t="n">
        <v>0</v>
      </c>
      <c r="O5533" t="n">
        <v>0</v>
      </c>
      <c r="P5533" t="n">
        <v>0</v>
      </c>
      <c r="Q5533" t="n">
        <v>0</v>
      </c>
      <c r="R5533" s="2" t="inlineStr"/>
    </row>
    <row r="5534" ht="15" customHeight="1">
      <c r="A5534" t="inlineStr">
        <is>
          <t>A 58791-2023</t>
        </is>
      </c>
      <c r="B5534" s="1" t="n">
        <v>45252.33528935185</v>
      </c>
      <c r="C5534" s="1" t="n">
        <v>46086</v>
      </c>
      <c r="D5534" t="inlineStr">
        <is>
          <t>GÄVLEBORGS LÄN</t>
        </is>
      </c>
      <c r="E5534" t="inlineStr">
        <is>
          <t>OVANÅKER</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58840-2023</t>
        </is>
      </c>
      <c r="B5535" s="1" t="n">
        <v>45252.42072916667</v>
      </c>
      <c r="C5535" s="1" t="n">
        <v>46086</v>
      </c>
      <c r="D5535" t="inlineStr">
        <is>
          <t>GÄVLEBORGS LÄN</t>
        </is>
      </c>
      <c r="E5535" t="inlineStr">
        <is>
          <t>SANDVIKEN</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19421-2025</t>
        </is>
      </c>
      <c r="B5536" s="1" t="n">
        <v>45769.74990740741</v>
      </c>
      <c r="C5536" s="1" t="n">
        <v>46086</v>
      </c>
      <c r="D5536" t="inlineStr">
        <is>
          <t>GÄVLEBORGS LÄN</t>
        </is>
      </c>
      <c r="E5536" t="inlineStr">
        <is>
          <t>SANDVIKEN</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55943-2025</t>
        </is>
      </c>
      <c r="B5537" s="1" t="n">
        <v>45973.45535879629</v>
      </c>
      <c r="C5537" s="1" t="n">
        <v>46086</v>
      </c>
      <c r="D5537" t="inlineStr">
        <is>
          <t>GÄVLEBORGS LÄN</t>
        </is>
      </c>
      <c r="E5537" t="inlineStr">
        <is>
          <t>LJUSDAL</t>
        </is>
      </c>
      <c r="F5537" t="inlineStr">
        <is>
          <t>Bergvik skog väst AB</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19498-2025</t>
        </is>
      </c>
      <c r="B5538" s="1" t="n">
        <v>45770.39714120371</v>
      </c>
      <c r="C5538" s="1" t="n">
        <v>46086</v>
      </c>
      <c r="D5538" t="inlineStr">
        <is>
          <t>GÄVLEBORGS LÄN</t>
        </is>
      </c>
      <c r="E5538" t="inlineStr">
        <is>
          <t>LJUSDAL</t>
        </is>
      </c>
      <c r="G5538" t="n">
        <v>6.4</v>
      </c>
      <c r="H5538" t="n">
        <v>0</v>
      </c>
      <c r="I5538" t="n">
        <v>0</v>
      </c>
      <c r="J5538" t="n">
        <v>0</v>
      </c>
      <c r="K5538" t="n">
        <v>0</v>
      </c>
      <c r="L5538" t="n">
        <v>0</v>
      </c>
      <c r="M5538" t="n">
        <v>0</v>
      </c>
      <c r="N5538" t="n">
        <v>0</v>
      </c>
      <c r="O5538" t="n">
        <v>0</v>
      </c>
      <c r="P5538" t="n">
        <v>0</v>
      </c>
      <c r="Q5538" t="n">
        <v>0</v>
      </c>
      <c r="R5538" s="2" t="inlineStr"/>
    </row>
    <row r="5539" ht="15" customHeight="1">
      <c r="A5539" t="inlineStr">
        <is>
          <t>A 42233-2023</t>
        </is>
      </c>
      <c r="B5539" s="1" t="n">
        <v>45180</v>
      </c>
      <c r="C5539" s="1" t="n">
        <v>46086</v>
      </c>
      <c r="D5539" t="inlineStr">
        <is>
          <t>GÄVLEBORGS LÄN</t>
        </is>
      </c>
      <c r="E5539" t="inlineStr">
        <is>
          <t>BOLLNÄS</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36378-2023</t>
        </is>
      </c>
      <c r="B5540" s="1" t="n">
        <v>45152.51251157407</v>
      </c>
      <c r="C5540" s="1" t="n">
        <v>46086</v>
      </c>
      <c r="D5540" t="inlineStr">
        <is>
          <t>GÄVLEBORGS LÄN</t>
        </is>
      </c>
      <c r="E5540" t="inlineStr">
        <is>
          <t>LJUSDAL</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47416-2025</t>
        </is>
      </c>
      <c r="B5541" s="1" t="n">
        <v>45930.62028935185</v>
      </c>
      <c r="C5541" s="1" t="n">
        <v>46086</v>
      </c>
      <c r="D5541" t="inlineStr">
        <is>
          <t>GÄVLEBORGS LÄN</t>
        </is>
      </c>
      <c r="E5541" t="inlineStr">
        <is>
          <t>SANDVIKEN</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36734-2025</t>
        </is>
      </c>
      <c r="B5542" s="1" t="n">
        <v>45873.52091435185</v>
      </c>
      <c r="C5542" s="1" t="n">
        <v>46086</v>
      </c>
      <c r="D5542" t="inlineStr">
        <is>
          <t>GÄVLEBORGS LÄN</t>
        </is>
      </c>
      <c r="E5542" t="inlineStr">
        <is>
          <t>BOLLNÄS</t>
        </is>
      </c>
      <c r="G5542" t="n">
        <v>10.6</v>
      </c>
      <c r="H5542" t="n">
        <v>0</v>
      </c>
      <c r="I5542" t="n">
        <v>0</v>
      </c>
      <c r="J5542" t="n">
        <v>0</v>
      </c>
      <c r="K5542" t="n">
        <v>0</v>
      </c>
      <c r="L5542" t="n">
        <v>0</v>
      </c>
      <c r="M5542" t="n">
        <v>0</v>
      </c>
      <c r="N5542" t="n">
        <v>0</v>
      </c>
      <c r="O5542" t="n">
        <v>0</v>
      </c>
      <c r="P5542" t="n">
        <v>0</v>
      </c>
      <c r="Q5542" t="n">
        <v>0</v>
      </c>
      <c r="R5542" s="2" t="inlineStr"/>
    </row>
    <row r="5543" ht="15" customHeight="1">
      <c r="A5543" t="inlineStr">
        <is>
          <t>A 36584-2025</t>
        </is>
      </c>
      <c r="B5543" s="1" t="n">
        <v>45870.43672453704</v>
      </c>
      <c r="C5543" s="1" t="n">
        <v>46086</v>
      </c>
      <c r="D5543" t="inlineStr">
        <is>
          <t>GÄVLEBORGS LÄN</t>
        </is>
      </c>
      <c r="E5543" t="inlineStr">
        <is>
          <t>SANDVIKEN</t>
        </is>
      </c>
      <c r="F5543" t="inlineStr">
        <is>
          <t>Sveaskog</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36610-2025</t>
        </is>
      </c>
      <c r="B5544" s="1" t="n">
        <v>45870.58332175926</v>
      </c>
      <c r="C5544" s="1" t="n">
        <v>46086</v>
      </c>
      <c r="D5544" t="inlineStr">
        <is>
          <t>GÄVLEBORGS LÄN</t>
        </is>
      </c>
      <c r="E5544" t="inlineStr">
        <is>
          <t>BOLLNÄS</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3630-2025</t>
        </is>
      </c>
      <c r="B5545" s="1" t="n">
        <v>45681.37418981481</v>
      </c>
      <c r="C5545" s="1" t="n">
        <v>46086</v>
      </c>
      <c r="D5545" t="inlineStr">
        <is>
          <t>GÄVLEBORGS LÄN</t>
        </is>
      </c>
      <c r="E5545" t="inlineStr">
        <is>
          <t>BOLLNÄS</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59451-2024</t>
        </is>
      </c>
      <c r="B5546" s="1" t="n">
        <v>45638</v>
      </c>
      <c r="C5546" s="1" t="n">
        <v>46086</v>
      </c>
      <c r="D5546" t="inlineStr">
        <is>
          <t>GÄVLEBORGS LÄN</t>
        </is>
      </c>
      <c r="E5546" t="inlineStr">
        <is>
          <t>OCKELBO</t>
        </is>
      </c>
      <c r="G5546" t="n">
        <v>4.6</v>
      </c>
      <c r="H5546" t="n">
        <v>0</v>
      </c>
      <c r="I5546" t="n">
        <v>0</v>
      </c>
      <c r="J5546" t="n">
        <v>0</v>
      </c>
      <c r="K5546" t="n">
        <v>0</v>
      </c>
      <c r="L5546" t="n">
        <v>0</v>
      </c>
      <c r="M5546" t="n">
        <v>0</v>
      </c>
      <c r="N5546" t="n">
        <v>0</v>
      </c>
      <c r="O5546" t="n">
        <v>0</v>
      </c>
      <c r="P5546" t="n">
        <v>0</v>
      </c>
      <c r="Q5546" t="n">
        <v>0</v>
      </c>
      <c r="R5546" s="2" t="inlineStr"/>
    </row>
    <row r="5547" ht="15" customHeight="1">
      <c r="A5547" t="inlineStr">
        <is>
          <t>A 47171-2025</t>
        </is>
      </c>
      <c r="B5547" s="1" t="n">
        <v>45930.20606481482</v>
      </c>
      <c r="C5547" s="1" t="n">
        <v>46086</v>
      </c>
      <c r="D5547" t="inlineStr">
        <is>
          <t>GÄVLEBORGS LÄN</t>
        </is>
      </c>
      <c r="E5547" t="inlineStr">
        <is>
          <t>GÄVLE</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47172-2025</t>
        </is>
      </c>
      <c r="B5548" s="1" t="n">
        <v>45930.20905092593</v>
      </c>
      <c r="C5548" s="1" t="n">
        <v>46086</v>
      </c>
      <c r="D5548" t="inlineStr">
        <is>
          <t>GÄVLEBORGS LÄN</t>
        </is>
      </c>
      <c r="E5548" t="inlineStr">
        <is>
          <t>GÄVLE</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39690-2021</t>
        </is>
      </c>
      <c r="B5549" s="1" t="n">
        <v>44417.45425925926</v>
      </c>
      <c r="C5549" s="1" t="n">
        <v>46086</v>
      </c>
      <c r="D5549" t="inlineStr">
        <is>
          <t>GÄVLEBORGS LÄN</t>
        </is>
      </c>
      <c r="E5549" t="inlineStr">
        <is>
          <t>HUDIKSVALL</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47181-2025</t>
        </is>
      </c>
      <c r="B5550" s="1" t="n">
        <v>45930.31375</v>
      </c>
      <c r="C5550" s="1" t="n">
        <v>46086</v>
      </c>
      <c r="D5550" t="inlineStr">
        <is>
          <t>GÄVLEBORGS LÄN</t>
        </is>
      </c>
      <c r="E5550" t="inlineStr">
        <is>
          <t>HUDIKSVALL</t>
        </is>
      </c>
      <c r="G5550" t="n">
        <v>3.8</v>
      </c>
      <c r="H5550" t="n">
        <v>0</v>
      </c>
      <c r="I5550" t="n">
        <v>0</v>
      </c>
      <c r="J5550" t="n">
        <v>0</v>
      </c>
      <c r="K5550" t="n">
        <v>0</v>
      </c>
      <c r="L5550" t="n">
        <v>0</v>
      </c>
      <c r="M5550" t="n">
        <v>0</v>
      </c>
      <c r="N5550" t="n">
        <v>0</v>
      </c>
      <c r="O5550" t="n">
        <v>0</v>
      </c>
      <c r="P5550" t="n">
        <v>0</v>
      </c>
      <c r="Q5550" t="n">
        <v>0</v>
      </c>
      <c r="R5550" s="2" t="inlineStr"/>
    </row>
    <row r="5551" ht="15" customHeight="1">
      <c r="A5551" t="inlineStr">
        <is>
          <t>A 47260-2025</t>
        </is>
      </c>
      <c r="B5551" s="1" t="n">
        <v>45930.449375</v>
      </c>
      <c r="C5551" s="1" t="n">
        <v>46086</v>
      </c>
      <c r="D5551" t="inlineStr">
        <is>
          <t>GÄVLEBORGS LÄN</t>
        </is>
      </c>
      <c r="E5551" t="inlineStr">
        <is>
          <t>HUDIKSVALL</t>
        </is>
      </c>
      <c r="F5551" t="inlineStr">
        <is>
          <t>Holmen skog AB</t>
        </is>
      </c>
      <c r="G5551" t="n">
        <v>18.3</v>
      </c>
      <c r="H5551" t="n">
        <v>0</v>
      </c>
      <c r="I5551" t="n">
        <v>0</v>
      </c>
      <c r="J5551" t="n">
        <v>0</v>
      </c>
      <c r="K5551" t="n">
        <v>0</v>
      </c>
      <c r="L5551" t="n">
        <v>0</v>
      </c>
      <c r="M5551" t="n">
        <v>0</v>
      </c>
      <c r="N5551" t="n">
        <v>0</v>
      </c>
      <c r="O5551" t="n">
        <v>0</v>
      </c>
      <c r="P5551" t="n">
        <v>0</v>
      </c>
      <c r="Q5551" t="n">
        <v>0</v>
      </c>
      <c r="R5551" s="2" t="inlineStr"/>
    </row>
    <row r="5552" ht="15" customHeight="1">
      <c r="A5552" t="inlineStr">
        <is>
          <t>A 9010-2023</t>
        </is>
      </c>
      <c r="B5552" s="1" t="n">
        <v>44979</v>
      </c>
      <c r="C5552" s="1" t="n">
        <v>46086</v>
      </c>
      <c r="D5552" t="inlineStr">
        <is>
          <t>GÄVLEBORGS LÄN</t>
        </is>
      </c>
      <c r="E5552" t="inlineStr">
        <is>
          <t>OVANÅKER</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49413-2023</t>
        </is>
      </c>
      <c r="B5553" s="1" t="n">
        <v>45211</v>
      </c>
      <c r="C5553" s="1" t="n">
        <v>46086</v>
      </c>
      <c r="D5553" t="inlineStr">
        <is>
          <t>GÄVLEBORGS LÄN</t>
        </is>
      </c>
      <c r="E5553" t="inlineStr">
        <is>
          <t>BOLLNÄS</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47747-2025</t>
        </is>
      </c>
      <c r="B5554" s="1" t="n">
        <v>45931.65436342593</v>
      </c>
      <c r="C5554" s="1" t="n">
        <v>46086</v>
      </c>
      <c r="D5554" t="inlineStr">
        <is>
          <t>GÄVLEBORGS LÄN</t>
        </is>
      </c>
      <c r="E5554" t="inlineStr">
        <is>
          <t>LJUSDAL</t>
        </is>
      </c>
      <c r="G5554" t="n">
        <v>7.9</v>
      </c>
      <c r="H5554" t="n">
        <v>0</v>
      </c>
      <c r="I5554" t="n">
        <v>0</v>
      </c>
      <c r="J5554" t="n">
        <v>0</v>
      </c>
      <c r="K5554" t="n">
        <v>0</v>
      </c>
      <c r="L5554" t="n">
        <v>0</v>
      </c>
      <c r="M5554" t="n">
        <v>0</v>
      </c>
      <c r="N5554" t="n">
        <v>0</v>
      </c>
      <c r="O5554" t="n">
        <v>0</v>
      </c>
      <c r="P5554" t="n">
        <v>0</v>
      </c>
      <c r="Q5554" t="n">
        <v>0</v>
      </c>
      <c r="R5554" s="2" t="inlineStr"/>
    </row>
    <row r="5555" ht="15" customHeight="1">
      <c r="A5555" t="inlineStr">
        <is>
          <t>A 47367-2025</t>
        </is>
      </c>
      <c r="B5555" s="1" t="n">
        <v>45930.59047453704</v>
      </c>
      <c r="C5555" s="1" t="n">
        <v>46086</v>
      </c>
      <c r="D5555" t="inlineStr">
        <is>
          <t>GÄVLEBORGS LÄN</t>
        </is>
      </c>
      <c r="E5555" t="inlineStr">
        <is>
          <t>OVANÅKER</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26076-2023</t>
        </is>
      </c>
      <c r="B5556" s="1" t="n">
        <v>45091.37141203704</v>
      </c>
      <c r="C5556" s="1" t="n">
        <v>46086</v>
      </c>
      <c r="D5556" t="inlineStr">
        <is>
          <t>GÄVLEBORGS LÄN</t>
        </is>
      </c>
      <c r="E5556" t="inlineStr">
        <is>
          <t>OVANÅKER</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31062-2023</t>
        </is>
      </c>
      <c r="B5557" s="1" t="n">
        <v>45113</v>
      </c>
      <c r="C5557" s="1" t="n">
        <v>46086</v>
      </c>
      <c r="D5557" t="inlineStr">
        <is>
          <t>GÄVLEBORGS LÄN</t>
        </is>
      </c>
      <c r="E5557" t="inlineStr">
        <is>
          <t>GÄVLE</t>
        </is>
      </c>
      <c r="F5557" t="inlineStr">
        <is>
          <t>Kommuner</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6175-2025</t>
        </is>
      </c>
      <c r="B5558" s="1" t="n">
        <v>45698.44600694445</v>
      </c>
      <c r="C5558" s="1" t="n">
        <v>46086</v>
      </c>
      <c r="D5558" t="inlineStr">
        <is>
          <t>GÄVLEBORGS LÄN</t>
        </is>
      </c>
      <c r="E5558" t="inlineStr">
        <is>
          <t>SÖDERHAMN</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36745-2025</t>
        </is>
      </c>
      <c r="B5559" s="1" t="n">
        <v>45873.54413194444</v>
      </c>
      <c r="C5559" s="1" t="n">
        <v>46086</v>
      </c>
      <c r="D5559" t="inlineStr">
        <is>
          <t>GÄVLEBORGS LÄN</t>
        </is>
      </c>
      <c r="E5559" t="inlineStr">
        <is>
          <t>LJUSDAL</t>
        </is>
      </c>
      <c r="F5559" t="inlineStr">
        <is>
          <t>Bergvik skog väst AB</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36732-2025</t>
        </is>
      </c>
      <c r="B5560" s="1" t="n">
        <v>45873.50310185185</v>
      </c>
      <c r="C5560" s="1" t="n">
        <v>46086</v>
      </c>
      <c r="D5560" t="inlineStr">
        <is>
          <t>GÄVLEBORGS LÄN</t>
        </is>
      </c>
      <c r="E5560" t="inlineStr">
        <is>
          <t>SANDVIKEN</t>
        </is>
      </c>
      <c r="G5560" t="n">
        <v>5.6</v>
      </c>
      <c r="H5560" t="n">
        <v>0</v>
      </c>
      <c r="I5560" t="n">
        <v>0</v>
      </c>
      <c r="J5560" t="n">
        <v>0</v>
      </c>
      <c r="K5560" t="n">
        <v>0</v>
      </c>
      <c r="L5560" t="n">
        <v>0</v>
      </c>
      <c r="M5560" t="n">
        <v>0</v>
      </c>
      <c r="N5560" t="n">
        <v>0</v>
      </c>
      <c r="O5560" t="n">
        <v>0</v>
      </c>
      <c r="P5560" t="n">
        <v>0</v>
      </c>
      <c r="Q5560" t="n">
        <v>0</v>
      </c>
      <c r="R5560" s="2" t="inlineStr"/>
    </row>
    <row r="5561" ht="15" customHeight="1">
      <c r="A5561" t="inlineStr">
        <is>
          <t>A 2999-2025</t>
        </is>
      </c>
      <c r="B5561" s="1" t="n">
        <v>45678.54983796296</v>
      </c>
      <c r="C5561" s="1" t="n">
        <v>46086</v>
      </c>
      <c r="D5561" t="inlineStr">
        <is>
          <t>GÄVLEBORGS LÄN</t>
        </is>
      </c>
      <c r="E5561" t="inlineStr">
        <is>
          <t>HUDIKSVALL</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47469-2025</t>
        </is>
      </c>
      <c r="B5562" s="1" t="n">
        <v>45930.67037037037</v>
      </c>
      <c r="C5562" s="1" t="n">
        <v>46086</v>
      </c>
      <c r="D5562" t="inlineStr">
        <is>
          <t>GÄVLEBORGS LÄN</t>
        </is>
      </c>
      <c r="E5562" t="inlineStr">
        <is>
          <t>HOFORS</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60491-2023</t>
        </is>
      </c>
      <c r="B5563" s="1" t="n">
        <v>45258</v>
      </c>
      <c r="C5563" s="1" t="n">
        <v>46086</v>
      </c>
      <c r="D5563" t="inlineStr">
        <is>
          <t>GÄVLEBORGS LÄN</t>
        </is>
      </c>
      <c r="E5563" t="inlineStr">
        <is>
          <t>BOLLNÄS</t>
        </is>
      </c>
      <c r="G5563" t="n">
        <v>3.5</v>
      </c>
      <c r="H5563" t="n">
        <v>0</v>
      </c>
      <c r="I5563" t="n">
        <v>0</v>
      </c>
      <c r="J5563" t="n">
        <v>0</v>
      </c>
      <c r="K5563" t="n">
        <v>0</v>
      </c>
      <c r="L5563" t="n">
        <v>0</v>
      </c>
      <c r="M5563" t="n">
        <v>0</v>
      </c>
      <c r="N5563" t="n">
        <v>0</v>
      </c>
      <c r="O5563" t="n">
        <v>0</v>
      </c>
      <c r="P5563" t="n">
        <v>0</v>
      </c>
      <c r="Q5563" t="n">
        <v>0</v>
      </c>
      <c r="R5563" s="2" t="inlineStr"/>
    </row>
    <row r="5564" ht="15" customHeight="1">
      <c r="A5564" t="inlineStr">
        <is>
          <t>A 36753-2025</t>
        </is>
      </c>
      <c r="B5564" s="1" t="n">
        <v>45873.55734953703</v>
      </c>
      <c r="C5564" s="1" t="n">
        <v>46086</v>
      </c>
      <c r="D5564" t="inlineStr">
        <is>
          <t>GÄVLEBORGS LÄN</t>
        </is>
      </c>
      <c r="E5564" t="inlineStr">
        <is>
          <t>OVANÅKER</t>
        </is>
      </c>
      <c r="F5564" t="inlineStr">
        <is>
          <t>Bergvik skog väst AB</t>
        </is>
      </c>
      <c r="G5564" t="n">
        <v>6</v>
      </c>
      <c r="H5564" t="n">
        <v>0</v>
      </c>
      <c r="I5564" t="n">
        <v>0</v>
      </c>
      <c r="J5564" t="n">
        <v>0</v>
      </c>
      <c r="K5564" t="n">
        <v>0</v>
      </c>
      <c r="L5564" t="n">
        <v>0</v>
      </c>
      <c r="M5564" t="n">
        <v>0</v>
      </c>
      <c r="N5564" t="n">
        <v>0</v>
      </c>
      <c r="O5564" t="n">
        <v>0</v>
      </c>
      <c r="P5564" t="n">
        <v>0</v>
      </c>
      <c r="Q5564" t="n">
        <v>0</v>
      </c>
      <c r="R5564" s="2" t="inlineStr"/>
    </row>
    <row r="5565" ht="15" customHeight="1">
      <c r="A5565" t="inlineStr">
        <is>
          <t>A 36784-2025</t>
        </is>
      </c>
      <c r="B5565" s="1" t="n">
        <v>45873.6207175926</v>
      </c>
      <c r="C5565" s="1" t="n">
        <v>46086</v>
      </c>
      <c r="D5565" t="inlineStr">
        <is>
          <t>GÄVLEBORGS LÄN</t>
        </is>
      </c>
      <c r="E5565" t="inlineStr">
        <is>
          <t>LJUSDAL</t>
        </is>
      </c>
      <c r="F5565" t="inlineStr">
        <is>
          <t>Bergvik skog väst AB</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6730-2024</t>
        </is>
      </c>
      <c r="B5566" s="1" t="n">
        <v>45342.38497685185</v>
      </c>
      <c r="C5566" s="1" t="n">
        <v>46086</v>
      </c>
      <c r="D5566" t="inlineStr">
        <is>
          <t>GÄVLEBORGS LÄN</t>
        </is>
      </c>
      <c r="E5566" t="inlineStr">
        <is>
          <t>HUDIKSVALL</t>
        </is>
      </c>
      <c r="G5566" t="n">
        <v>6.4</v>
      </c>
      <c r="H5566" t="n">
        <v>0</v>
      </c>
      <c r="I5566" t="n">
        <v>0</v>
      </c>
      <c r="J5566" t="n">
        <v>0</v>
      </c>
      <c r="K5566" t="n">
        <v>0</v>
      </c>
      <c r="L5566" t="n">
        <v>0</v>
      </c>
      <c r="M5566" t="n">
        <v>0</v>
      </c>
      <c r="N5566" t="n">
        <v>0</v>
      </c>
      <c r="O5566" t="n">
        <v>0</v>
      </c>
      <c r="P5566" t="n">
        <v>0</v>
      </c>
      <c r="Q5566" t="n">
        <v>0</v>
      </c>
      <c r="R5566" s="2" t="inlineStr"/>
    </row>
    <row r="5567" ht="15" customHeight="1">
      <c r="A5567" t="inlineStr">
        <is>
          <t>A 47770-2025</t>
        </is>
      </c>
      <c r="B5567" s="1" t="n">
        <v>45931.71005787037</v>
      </c>
      <c r="C5567" s="1" t="n">
        <v>46086</v>
      </c>
      <c r="D5567" t="inlineStr">
        <is>
          <t>GÄVLEBORGS LÄN</t>
        </is>
      </c>
      <c r="E5567" t="inlineStr">
        <is>
          <t>SANDVIKEN</t>
        </is>
      </c>
      <c r="G5567" t="n">
        <v>6.5</v>
      </c>
      <c r="H5567" t="n">
        <v>0</v>
      </c>
      <c r="I5567" t="n">
        <v>0</v>
      </c>
      <c r="J5567" t="n">
        <v>0</v>
      </c>
      <c r="K5567" t="n">
        <v>0</v>
      </c>
      <c r="L5567" t="n">
        <v>0</v>
      </c>
      <c r="M5567" t="n">
        <v>0</v>
      </c>
      <c r="N5567" t="n">
        <v>0</v>
      </c>
      <c r="O5567" t="n">
        <v>0</v>
      </c>
      <c r="P5567" t="n">
        <v>0</v>
      </c>
      <c r="Q5567" t="n">
        <v>0</v>
      </c>
      <c r="R5567" s="2" t="inlineStr"/>
    </row>
    <row r="5568" ht="15" customHeight="1">
      <c r="A5568" t="inlineStr">
        <is>
          <t>A 47643-2025</t>
        </is>
      </c>
      <c r="B5568" s="1" t="n">
        <v>45931.51381944444</v>
      </c>
      <c r="C5568" s="1" t="n">
        <v>46086</v>
      </c>
      <c r="D5568" t="inlineStr">
        <is>
          <t>GÄVLEBORGS LÄN</t>
        </is>
      </c>
      <c r="E5568" t="inlineStr">
        <is>
          <t>LJUSDAL</t>
        </is>
      </c>
      <c r="F5568" t="inlineStr">
        <is>
          <t>Sveaskog</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47653-2025</t>
        </is>
      </c>
      <c r="B5569" s="1" t="n">
        <v>45931.54061342592</v>
      </c>
      <c r="C5569" s="1" t="n">
        <v>46086</v>
      </c>
      <c r="D5569" t="inlineStr">
        <is>
          <t>GÄVLEBORGS LÄN</t>
        </is>
      </c>
      <c r="E5569" t="inlineStr">
        <is>
          <t>LJUSDAL</t>
        </is>
      </c>
      <c r="G5569" t="n">
        <v>8.300000000000001</v>
      </c>
      <c r="H5569" t="n">
        <v>0</v>
      </c>
      <c r="I5569" t="n">
        <v>0</v>
      </c>
      <c r="J5569" t="n">
        <v>0</v>
      </c>
      <c r="K5569" t="n">
        <v>0</v>
      </c>
      <c r="L5569" t="n">
        <v>0</v>
      </c>
      <c r="M5569" t="n">
        <v>0</v>
      </c>
      <c r="N5569" t="n">
        <v>0</v>
      </c>
      <c r="O5569" t="n">
        <v>0</v>
      </c>
      <c r="P5569" t="n">
        <v>0</v>
      </c>
      <c r="Q5569" t="n">
        <v>0</v>
      </c>
      <c r="R5569" s="2" t="inlineStr"/>
    </row>
    <row r="5570" ht="15" customHeight="1">
      <c r="A5570" t="inlineStr">
        <is>
          <t>A 36680-2025</t>
        </is>
      </c>
      <c r="B5570" s="1" t="n">
        <v>45873.39840277778</v>
      </c>
      <c r="C5570" s="1" t="n">
        <v>46086</v>
      </c>
      <c r="D5570" t="inlineStr">
        <is>
          <t>GÄVLEBORGS LÄN</t>
        </is>
      </c>
      <c r="E5570" t="inlineStr">
        <is>
          <t>GÄVLE</t>
        </is>
      </c>
      <c r="F5570" t="inlineStr">
        <is>
          <t>Bergvik skog väst AB</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42585-2023</t>
        </is>
      </c>
      <c r="B5571" s="1" t="n">
        <v>45181</v>
      </c>
      <c r="C5571" s="1" t="n">
        <v>46086</v>
      </c>
      <c r="D5571" t="inlineStr">
        <is>
          <t>GÄVLEBORGS LÄN</t>
        </is>
      </c>
      <c r="E5571" t="inlineStr">
        <is>
          <t>OCKELBO</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47745-2025</t>
        </is>
      </c>
      <c r="B5572" s="1" t="n">
        <v>45931.64962962963</v>
      </c>
      <c r="C5572" s="1" t="n">
        <v>46086</v>
      </c>
      <c r="D5572" t="inlineStr">
        <is>
          <t>GÄVLEBORGS LÄN</t>
        </is>
      </c>
      <c r="E5572" t="inlineStr">
        <is>
          <t>HUDIKSVALL</t>
        </is>
      </c>
      <c r="G5572" t="n">
        <v>20.1</v>
      </c>
      <c r="H5572" t="n">
        <v>0</v>
      </c>
      <c r="I5572" t="n">
        <v>0</v>
      </c>
      <c r="J5572" t="n">
        <v>0</v>
      </c>
      <c r="K5572" t="n">
        <v>0</v>
      </c>
      <c r="L5572" t="n">
        <v>0</v>
      </c>
      <c r="M5572" t="n">
        <v>0</v>
      </c>
      <c r="N5572" t="n">
        <v>0</v>
      </c>
      <c r="O5572" t="n">
        <v>0</v>
      </c>
      <c r="P5572" t="n">
        <v>0</v>
      </c>
      <c r="Q5572" t="n">
        <v>0</v>
      </c>
      <c r="R5572" s="2" t="inlineStr"/>
    </row>
    <row r="5573" ht="15" customHeight="1">
      <c r="A5573" t="inlineStr">
        <is>
          <t>A 52778-2021</t>
        </is>
      </c>
      <c r="B5573" s="1" t="n">
        <v>44467.35164351852</v>
      </c>
      <c r="C5573" s="1" t="n">
        <v>46086</v>
      </c>
      <c r="D5573" t="inlineStr">
        <is>
          <t>GÄVLEBORGS LÄN</t>
        </is>
      </c>
      <c r="E5573" t="inlineStr">
        <is>
          <t>LJUSDAL</t>
        </is>
      </c>
      <c r="F5573" t="inlineStr">
        <is>
          <t>Sveaskog</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47941-2025</t>
        </is>
      </c>
      <c r="B5574" s="1" t="n">
        <v>45932.56681712963</v>
      </c>
      <c r="C5574" s="1" t="n">
        <v>46086</v>
      </c>
      <c r="D5574" t="inlineStr">
        <is>
          <t>GÄVLEBORGS LÄN</t>
        </is>
      </c>
      <c r="E5574" t="inlineStr">
        <is>
          <t>LJUSDAL</t>
        </is>
      </c>
      <c r="G5574" t="n">
        <v>3.1</v>
      </c>
      <c r="H5574" t="n">
        <v>0</v>
      </c>
      <c r="I5574" t="n">
        <v>0</v>
      </c>
      <c r="J5574" t="n">
        <v>0</v>
      </c>
      <c r="K5574" t="n">
        <v>0</v>
      </c>
      <c r="L5574" t="n">
        <v>0</v>
      </c>
      <c r="M5574" t="n">
        <v>0</v>
      </c>
      <c r="N5574" t="n">
        <v>0</v>
      </c>
      <c r="O5574" t="n">
        <v>0</v>
      </c>
      <c r="P5574" t="n">
        <v>0</v>
      </c>
      <c r="Q5574" t="n">
        <v>0</v>
      </c>
      <c r="R5574" s="2" t="inlineStr"/>
    </row>
    <row r="5575" ht="15" customHeight="1">
      <c r="A5575" t="inlineStr">
        <is>
          <t>A 26849-2024</t>
        </is>
      </c>
      <c r="B5575" s="1" t="n">
        <v>45470</v>
      </c>
      <c r="C5575" s="1" t="n">
        <v>46086</v>
      </c>
      <c r="D5575" t="inlineStr">
        <is>
          <t>GÄVLEBORGS LÄN</t>
        </is>
      </c>
      <c r="E5575" t="inlineStr">
        <is>
          <t>LJUSDAL</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48232-2025</t>
        </is>
      </c>
      <c r="B5576" s="1" t="n">
        <v>45933.53054398148</v>
      </c>
      <c r="C5576" s="1" t="n">
        <v>46086</v>
      </c>
      <c r="D5576" t="inlineStr">
        <is>
          <t>GÄVLEBORGS LÄN</t>
        </is>
      </c>
      <c r="E5576" t="inlineStr">
        <is>
          <t>HOFORS</t>
        </is>
      </c>
      <c r="F5576" t="inlineStr">
        <is>
          <t>Sveaskog</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47987-2025</t>
        </is>
      </c>
      <c r="B5577" s="1" t="n">
        <v>45932.62010416666</v>
      </c>
      <c r="C5577" s="1" t="n">
        <v>46086</v>
      </c>
      <c r="D5577" t="inlineStr">
        <is>
          <t>GÄVLEBORGS LÄN</t>
        </is>
      </c>
      <c r="E5577" t="inlineStr">
        <is>
          <t>OCKELBO</t>
        </is>
      </c>
      <c r="F5577" t="inlineStr">
        <is>
          <t>Bergvik skog väst AB</t>
        </is>
      </c>
      <c r="G5577" t="n">
        <v>3.7</v>
      </c>
      <c r="H5577" t="n">
        <v>0</v>
      </c>
      <c r="I5577" t="n">
        <v>0</v>
      </c>
      <c r="J5577" t="n">
        <v>0</v>
      </c>
      <c r="K5577" t="n">
        <v>0</v>
      </c>
      <c r="L5577" t="n">
        <v>0</v>
      </c>
      <c r="M5577" t="n">
        <v>0</v>
      </c>
      <c r="N5577" t="n">
        <v>0</v>
      </c>
      <c r="O5577" t="n">
        <v>0</v>
      </c>
      <c r="P5577" t="n">
        <v>0</v>
      </c>
      <c r="Q5577" t="n">
        <v>0</v>
      </c>
      <c r="R5577" s="2" t="inlineStr"/>
    </row>
    <row r="5578" ht="15" customHeight="1">
      <c r="A5578" t="inlineStr">
        <is>
          <t>A 48004-2025</t>
        </is>
      </c>
      <c r="B5578" s="1" t="n">
        <v>45932.63305555555</v>
      </c>
      <c r="C5578" s="1" t="n">
        <v>46086</v>
      </c>
      <c r="D5578" t="inlineStr">
        <is>
          <t>GÄVLEBORGS LÄN</t>
        </is>
      </c>
      <c r="E5578" t="inlineStr">
        <is>
          <t>GÄVLE</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48285-2025</t>
        </is>
      </c>
      <c r="B5579" s="1" t="n">
        <v>45933.59171296296</v>
      </c>
      <c r="C5579" s="1" t="n">
        <v>46086</v>
      </c>
      <c r="D5579" t="inlineStr">
        <is>
          <t>GÄVLEBORGS LÄN</t>
        </is>
      </c>
      <c r="E5579" t="inlineStr">
        <is>
          <t>LJUSDAL</t>
        </is>
      </c>
      <c r="F5579" t="inlineStr">
        <is>
          <t>Sveaskog</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13632-2024</t>
        </is>
      </c>
      <c r="B5580" s="1" t="n">
        <v>45390.41961805556</v>
      </c>
      <c r="C5580" s="1" t="n">
        <v>46086</v>
      </c>
      <c r="D5580" t="inlineStr">
        <is>
          <t>GÄVLEBORGS LÄN</t>
        </is>
      </c>
      <c r="E5580" t="inlineStr">
        <is>
          <t>SANDVIKEN</t>
        </is>
      </c>
      <c r="F5580" t="inlineStr">
        <is>
          <t>Kyrkan</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48318-2025</t>
        </is>
      </c>
      <c r="B5581" s="1" t="n">
        <v>45933.6234375</v>
      </c>
      <c r="C5581" s="1" t="n">
        <v>46086</v>
      </c>
      <c r="D5581" t="inlineStr">
        <is>
          <t>GÄVLEBORGS LÄN</t>
        </is>
      </c>
      <c r="E5581" t="inlineStr">
        <is>
          <t>LJUSDAL</t>
        </is>
      </c>
      <c r="G5581" t="n">
        <v>3.9</v>
      </c>
      <c r="H5581" t="n">
        <v>0</v>
      </c>
      <c r="I5581" t="n">
        <v>0</v>
      </c>
      <c r="J5581" t="n">
        <v>0</v>
      </c>
      <c r="K5581" t="n">
        <v>0</v>
      </c>
      <c r="L5581" t="n">
        <v>0</v>
      </c>
      <c r="M5581" t="n">
        <v>0</v>
      </c>
      <c r="N5581" t="n">
        <v>0</v>
      </c>
      <c r="O5581" t="n">
        <v>0</v>
      </c>
      <c r="P5581" t="n">
        <v>0</v>
      </c>
      <c r="Q5581" t="n">
        <v>0</v>
      </c>
      <c r="R5581" s="2" t="inlineStr"/>
    </row>
    <row r="5582" ht="15" customHeight="1">
      <c r="A5582" t="inlineStr">
        <is>
          <t>A 48332-2025</t>
        </is>
      </c>
      <c r="B5582" s="1" t="n">
        <v>45933.63469907407</v>
      </c>
      <c r="C5582" s="1" t="n">
        <v>46086</v>
      </c>
      <c r="D5582" t="inlineStr">
        <is>
          <t>GÄVLEBORGS LÄN</t>
        </is>
      </c>
      <c r="E5582" t="inlineStr">
        <is>
          <t>GÄVLE</t>
        </is>
      </c>
      <c r="F5582" t="inlineStr">
        <is>
          <t>Bergvik skog väst AB</t>
        </is>
      </c>
      <c r="G5582" t="n">
        <v>4.7</v>
      </c>
      <c r="H5582" t="n">
        <v>0</v>
      </c>
      <c r="I5582" t="n">
        <v>0</v>
      </c>
      <c r="J5582" t="n">
        <v>0</v>
      </c>
      <c r="K5582" t="n">
        <v>0</v>
      </c>
      <c r="L5582" t="n">
        <v>0</v>
      </c>
      <c r="M5582" t="n">
        <v>0</v>
      </c>
      <c r="N5582" t="n">
        <v>0</v>
      </c>
      <c r="O5582" t="n">
        <v>0</v>
      </c>
      <c r="P5582" t="n">
        <v>0</v>
      </c>
      <c r="Q5582" t="n">
        <v>0</v>
      </c>
      <c r="R5582" s="2" t="inlineStr"/>
    </row>
    <row r="5583" ht="15" customHeight="1">
      <c r="A5583" t="inlineStr">
        <is>
          <t>A 48333-2025</t>
        </is>
      </c>
      <c r="B5583" s="1" t="n">
        <v>45933.63505787037</v>
      </c>
      <c r="C5583" s="1" t="n">
        <v>46086</v>
      </c>
      <c r="D5583" t="inlineStr">
        <is>
          <t>GÄVLEBORGS LÄN</t>
        </is>
      </c>
      <c r="E5583" t="inlineStr">
        <is>
          <t>LJUSDAL</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54595-2023</t>
        </is>
      </c>
      <c r="B5584" s="1" t="n">
        <v>45233</v>
      </c>
      <c r="C5584" s="1" t="n">
        <v>46086</v>
      </c>
      <c r="D5584" t="inlineStr">
        <is>
          <t>GÄVLEBORGS LÄN</t>
        </is>
      </c>
      <c r="E5584" t="inlineStr">
        <is>
          <t>LJUSDAL</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52241-2024</t>
        </is>
      </c>
      <c r="B5585" s="1" t="n">
        <v>45608.61949074074</v>
      </c>
      <c r="C5585" s="1" t="n">
        <v>46086</v>
      </c>
      <c r="D5585" t="inlineStr">
        <is>
          <t>GÄVLEBORGS LÄN</t>
        </is>
      </c>
      <c r="E5585" t="inlineStr">
        <is>
          <t>OCKELBO</t>
        </is>
      </c>
      <c r="F5585" t="inlineStr">
        <is>
          <t>Bergvik skog väst AB</t>
        </is>
      </c>
      <c r="G5585" t="n">
        <v>7.7</v>
      </c>
      <c r="H5585" t="n">
        <v>0</v>
      </c>
      <c r="I5585" t="n">
        <v>0</v>
      </c>
      <c r="J5585" t="n">
        <v>0</v>
      </c>
      <c r="K5585" t="n">
        <v>0</v>
      </c>
      <c r="L5585" t="n">
        <v>0</v>
      </c>
      <c r="M5585" t="n">
        <v>0</v>
      </c>
      <c r="N5585" t="n">
        <v>0</v>
      </c>
      <c r="O5585" t="n">
        <v>0</v>
      </c>
      <c r="P5585" t="n">
        <v>0</v>
      </c>
      <c r="Q5585" t="n">
        <v>0</v>
      </c>
      <c r="R5585" s="2" t="inlineStr"/>
    </row>
    <row r="5586" ht="15" customHeight="1">
      <c r="A5586" t="inlineStr">
        <is>
          <t>A 52243-2024</t>
        </is>
      </c>
      <c r="B5586" s="1" t="n">
        <v>45608.62261574074</v>
      </c>
      <c r="C5586" s="1" t="n">
        <v>46086</v>
      </c>
      <c r="D5586" t="inlineStr">
        <is>
          <t>GÄVLEBORGS LÄN</t>
        </is>
      </c>
      <c r="E5586" t="inlineStr">
        <is>
          <t>OCKELBO</t>
        </is>
      </c>
      <c r="F5586" t="inlineStr">
        <is>
          <t>Bergvik skog väst AB</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26249-2022</t>
        </is>
      </c>
      <c r="B5587" s="1" t="n">
        <v>44735.49341435185</v>
      </c>
      <c r="C5587" s="1" t="n">
        <v>46086</v>
      </c>
      <c r="D5587" t="inlineStr">
        <is>
          <t>GÄVLEBORGS LÄN</t>
        </is>
      </c>
      <c r="E5587" t="inlineStr">
        <is>
          <t>GÄVLE</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3989-2025</t>
        </is>
      </c>
      <c r="B5588" s="1" t="n">
        <v>45684.55628472222</v>
      </c>
      <c r="C5588" s="1" t="n">
        <v>46086</v>
      </c>
      <c r="D5588" t="inlineStr">
        <is>
          <t>GÄVLEBORGS LÄN</t>
        </is>
      </c>
      <c r="E5588" t="inlineStr">
        <is>
          <t>OVANÅKER</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72082-2021</t>
        </is>
      </c>
      <c r="B5589" s="1" t="n">
        <v>44544.51834490741</v>
      </c>
      <c r="C5589" s="1" t="n">
        <v>46086</v>
      </c>
      <c r="D5589" t="inlineStr">
        <is>
          <t>GÄVLEBORGS LÄN</t>
        </is>
      </c>
      <c r="E5589" t="inlineStr">
        <is>
          <t>NORDANSTIG</t>
        </is>
      </c>
      <c r="F5589" t="inlineStr">
        <is>
          <t>Holmen skog AB</t>
        </is>
      </c>
      <c r="G5589" t="n">
        <v>4.3</v>
      </c>
      <c r="H5589" t="n">
        <v>0</v>
      </c>
      <c r="I5589" t="n">
        <v>0</v>
      </c>
      <c r="J5589" t="n">
        <v>0</v>
      </c>
      <c r="K5589" t="n">
        <v>0</v>
      </c>
      <c r="L5589" t="n">
        <v>0</v>
      </c>
      <c r="M5589" t="n">
        <v>0</v>
      </c>
      <c r="N5589" t="n">
        <v>0</v>
      </c>
      <c r="O5589" t="n">
        <v>0</v>
      </c>
      <c r="P5589" t="n">
        <v>0</v>
      </c>
      <c r="Q5589" t="n">
        <v>0</v>
      </c>
      <c r="R5589" s="2" t="inlineStr"/>
    </row>
    <row r="5590" ht="15" customHeight="1">
      <c r="A5590" t="inlineStr">
        <is>
          <t>A 13683-2024</t>
        </is>
      </c>
      <c r="B5590" s="1" t="n">
        <v>45390.55900462963</v>
      </c>
      <c r="C5590" s="1" t="n">
        <v>46086</v>
      </c>
      <c r="D5590" t="inlineStr">
        <is>
          <t>GÄVLEBORGS LÄN</t>
        </is>
      </c>
      <c r="E5590" t="inlineStr">
        <is>
          <t>OVANÅKER</t>
        </is>
      </c>
      <c r="G5590" t="n">
        <v>3.7</v>
      </c>
      <c r="H5590" t="n">
        <v>0</v>
      </c>
      <c r="I5590" t="n">
        <v>0</v>
      </c>
      <c r="J5590" t="n">
        <v>0</v>
      </c>
      <c r="K5590" t="n">
        <v>0</v>
      </c>
      <c r="L5590" t="n">
        <v>0</v>
      </c>
      <c r="M5590" t="n">
        <v>0</v>
      </c>
      <c r="N5590" t="n">
        <v>0</v>
      </c>
      <c r="O5590" t="n">
        <v>0</v>
      </c>
      <c r="P5590" t="n">
        <v>0</v>
      </c>
      <c r="Q5590" t="n">
        <v>0</v>
      </c>
      <c r="R5590" s="2" t="inlineStr"/>
    </row>
    <row r="5591" ht="15" customHeight="1">
      <c r="A5591" t="inlineStr">
        <is>
          <t>A 1259-2023</t>
        </is>
      </c>
      <c r="B5591" s="1" t="n">
        <v>44936.38371527778</v>
      </c>
      <c r="C5591" s="1" t="n">
        <v>46086</v>
      </c>
      <c r="D5591" t="inlineStr">
        <is>
          <t>GÄVLEBORGS LÄN</t>
        </is>
      </c>
      <c r="E5591" t="inlineStr">
        <is>
          <t>LJUSDAL</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47795-2025</t>
        </is>
      </c>
      <c r="B5592" s="1" t="n">
        <v>45931.8187962963</v>
      </c>
      <c r="C5592" s="1" t="n">
        <v>46086</v>
      </c>
      <c r="D5592" t="inlineStr">
        <is>
          <t>GÄVLEBORGS LÄN</t>
        </is>
      </c>
      <c r="E5592" t="inlineStr">
        <is>
          <t>NORDANSTIG</t>
        </is>
      </c>
      <c r="G5592" t="n">
        <v>6.7</v>
      </c>
      <c r="H5592" t="n">
        <v>0</v>
      </c>
      <c r="I5592" t="n">
        <v>0</v>
      </c>
      <c r="J5592" t="n">
        <v>0</v>
      </c>
      <c r="K5592" t="n">
        <v>0</v>
      </c>
      <c r="L5592" t="n">
        <v>0</v>
      </c>
      <c r="M5592" t="n">
        <v>0</v>
      </c>
      <c r="N5592" t="n">
        <v>0</v>
      </c>
      <c r="O5592" t="n">
        <v>0</v>
      </c>
      <c r="P5592" t="n">
        <v>0</v>
      </c>
      <c r="Q5592" t="n">
        <v>0</v>
      </c>
      <c r="R5592" s="2" t="inlineStr"/>
    </row>
    <row r="5593" ht="15" customHeight="1">
      <c r="A5593" t="inlineStr">
        <is>
          <t>A 51876-2023</t>
        </is>
      </c>
      <c r="B5593" s="1" t="n">
        <v>45223.38060185185</v>
      </c>
      <c r="C5593" s="1" t="n">
        <v>46086</v>
      </c>
      <c r="D5593" t="inlineStr">
        <is>
          <t>GÄVLEBORGS LÄN</t>
        </is>
      </c>
      <c r="E5593" t="inlineStr">
        <is>
          <t>GÄVLE</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51122-2022</t>
        </is>
      </c>
      <c r="B5594" s="1" t="n">
        <v>44868.46877314815</v>
      </c>
      <c r="C5594" s="1" t="n">
        <v>46086</v>
      </c>
      <c r="D5594" t="inlineStr">
        <is>
          <t>GÄVLEBORGS LÄN</t>
        </is>
      </c>
      <c r="E5594" t="inlineStr">
        <is>
          <t>OVANÅKER</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23376-2024</t>
        </is>
      </c>
      <c r="B5595" s="1" t="n">
        <v>45453</v>
      </c>
      <c r="C5595" s="1" t="n">
        <v>46086</v>
      </c>
      <c r="D5595" t="inlineStr">
        <is>
          <t>GÄVLEBORGS LÄN</t>
        </is>
      </c>
      <c r="E5595" t="inlineStr">
        <is>
          <t>HOFORS</t>
        </is>
      </c>
      <c r="F5595" t="inlineStr">
        <is>
          <t>Sveaskog</t>
        </is>
      </c>
      <c r="G5595" t="n">
        <v>10.8</v>
      </c>
      <c r="H5595" t="n">
        <v>0</v>
      </c>
      <c r="I5595" t="n">
        <v>0</v>
      </c>
      <c r="J5595" t="n">
        <v>0</v>
      </c>
      <c r="K5595" t="n">
        <v>0</v>
      </c>
      <c r="L5595" t="n">
        <v>0</v>
      </c>
      <c r="M5595" t="n">
        <v>0</v>
      </c>
      <c r="N5595" t="n">
        <v>0</v>
      </c>
      <c r="O5595" t="n">
        <v>0</v>
      </c>
      <c r="P5595" t="n">
        <v>0</v>
      </c>
      <c r="Q5595" t="n">
        <v>0</v>
      </c>
      <c r="R5595" s="2" t="inlineStr"/>
    </row>
    <row r="5596" ht="15" customHeight="1">
      <c r="A5596" t="inlineStr">
        <is>
          <t>A 20017-2022</t>
        </is>
      </c>
      <c r="B5596" s="1" t="n">
        <v>44697</v>
      </c>
      <c r="C5596" s="1" t="n">
        <v>46086</v>
      </c>
      <c r="D5596" t="inlineStr">
        <is>
          <t>GÄVLEBORGS LÄN</t>
        </is>
      </c>
      <c r="E5596" t="inlineStr">
        <is>
          <t>HUDIKSVALL</t>
        </is>
      </c>
      <c r="G5596" t="n">
        <v>5.5</v>
      </c>
      <c r="H5596" t="n">
        <v>0</v>
      </c>
      <c r="I5596" t="n">
        <v>0</v>
      </c>
      <c r="J5596" t="n">
        <v>0</v>
      </c>
      <c r="K5596" t="n">
        <v>0</v>
      </c>
      <c r="L5596" t="n">
        <v>0</v>
      </c>
      <c r="M5596" t="n">
        <v>0</v>
      </c>
      <c r="N5596" t="n">
        <v>0</v>
      </c>
      <c r="O5596" t="n">
        <v>0</v>
      </c>
      <c r="P5596" t="n">
        <v>0</v>
      </c>
      <c r="Q5596" t="n">
        <v>0</v>
      </c>
      <c r="R5596" s="2" t="inlineStr"/>
    </row>
    <row r="5597" ht="15" customHeight="1">
      <c r="A5597" t="inlineStr">
        <is>
          <t>A 20660-2022</t>
        </is>
      </c>
      <c r="B5597" s="1" t="n">
        <v>44700.6490162037</v>
      </c>
      <c r="C5597" s="1" t="n">
        <v>46086</v>
      </c>
      <c r="D5597" t="inlineStr">
        <is>
          <t>GÄVLEBORGS LÄN</t>
        </is>
      </c>
      <c r="E5597" t="inlineStr">
        <is>
          <t>OCKELBO</t>
        </is>
      </c>
      <c r="F5597" t="inlineStr">
        <is>
          <t>Bergvik skog väst AB</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48242-2025</t>
        </is>
      </c>
      <c r="B5598" s="1" t="n">
        <v>45933.53510416667</v>
      </c>
      <c r="C5598" s="1" t="n">
        <v>46086</v>
      </c>
      <c r="D5598" t="inlineStr">
        <is>
          <t>GÄVLEBORGS LÄN</t>
        </is>
      </c>
      <c r="E5598" t="inlineStr">
        <is>
          <t>HOFORS</t>
        </is>
      </c>
      <c r="F5598" t="inlineStr">
        <is>
          <t>Sveaskog</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36717-2025</t>
        </is>
      </c>
      <c r="B5599" s="1" t="n">
        <v>45873.46980324074</v>
      </c>
      <c r="C5599" s="1" t="n">
        <v>46086</v>
      </c>
      <c r="D5599" t="inlineStr">
        <is>
          <t>GÄVLEBORGS LÄN</t>
        </is>
      </c>
      <c r="E5599" t="inlineStr">
        <is>
          <t>OVANÅKER</t>
        </is>
      </c>
      <c r="F5599" t="inlineStr">
        <is>
          <t>Bergvik skog väst AB</t>
        </is>
      </c>
      <c r="G5599" t="n">
        <v>8.1</v>
      </c>
      <c r="H5599" t="n">
        <v>0</v>
      </c>
      <c r="I5599" t="n">
        <v>0</v>
      </c>
      <c r="J5599" t="n">
        <v>0</v>
      </c>
      <c r="K5599" t="n">
        <v>0</v>
      </c>
      <c r="L5599" t="n">
        <v>0</v>
      </c>
      <c r="M5599" t="n">
        <v>0</v>
      </c>
      <c r="N5599" t="n">
        <v>0</v>
      </c>
      <c r="O5599" t="n">
        <v>0</v>
      </c>
      <c r="P5599" t="n">
        <v>0</v>
      </c>
      <c r="Q5599" t="n">
        <v>0</v>
      </c>
      <c r="R5599" s="2" t="inlineStr"/>
    </row>
    <row r="5600" ht="15" customHeight="1">
      <c r="A5600" t="inlineStr">
        <is>
          <t>A 41525-2024</t>
        </is>
      </c>
      <c r="B5600" s="1" t="n">
        <v>45560</v>
      </c>
      <c r="C5600" s="1" t="n">
        <v>46086</v>
      </c>
      <c r="D5600" t="inlineStr">
        <is>
          <t>GÄVLEBORGS LÄN</t>
        </is>
      </c>
      <c r="E5600" t="inlineStr">
        <is>
          <t>GÄVLE</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36744-2025</t>
        </is>
      </c>
      <c r="B5601" s="1" t="n">
        <v>45873.53833333333</v>
      </c>
      <c r="C5601" s="1" t="n">
        <v>46086</v>
      </c>
      <c r="D5601" t="inlineStr">
        <is>
          <t>GÄVLEBORGS LÄN</t>
        </is>
      </c>
      <c r="E5601" t="inlineStr">
        <is>
          <t>OVANÅKER</t>
        </is>
      </c>
      <c r="F5601" t="inlineStr">
        <is>
          <t>Bergvik skog väst AB</t>
        </is>
      </c>
      <c r="G5601" t="n">
        <v>18.7</v>
      </c>
      <c r="H5601" t="n">
        <v>0</v>
      </c>
      <c r="I5601" t="n">
        <v>0</v>
      </c>
      <c r="J5601" t="n">
        <v>0</v>
      </c>
      <c r="K5601" t="n">
        <v>0</v>
      </c>
      <c r="L5601" t="n">
        <v>0</v>
      </c>
      <c r="M5601" t="n">
        <v>0</v>
      </c>
      <c r="N5601" t="n">
        <v>0</v>
      </c>
      <c r="O5601" t="n">
        <v>0</v>
      </c>
      <c r="P5601" t="n">
        <v>0</v>
      </c>
      <c r="Q5601" t="n">
        <v>0</v>
      </c>
      <c r="R5601" s="2" t="inlineStr"/>
    </row>
    <row r="5602" ht="15" customHeight="1">
      <c r="A5602" t="inlineStr">
        <is>
          <t>A 10026-2023</t>
        </is>
      </c>
      <c r="B5602" s="1" t="n">
        <v>44985</v>
      </c>
      <c r="C5602" s="1" t="n">
        <v>46086</v>
      </c>
      <c r="D5602" t="inlineStr">
        <is>
          <t>GÄVLEBORGS LÄN</t>
        </is>
      </c>
      <c r="E5602" t="inlineStr">
        <is>
          <t>LJUSDAL</t>
        </is>
      </c>
      <c r="F5602" t="inlineStr">
        <is>
          <t>Holmen skog AB</t>
        </is>
      </c>
      <c r="G5602" t="n">
        <v>6.8</v>
      </c>
      <c r="H5602" t="n">
        <v>0</v>
      </c>
      <c r="I5602" t="n">
        <v>0</v>
      </c>
      <c r="J5602" t="n">
        <v>0</v>
      </c>
      <c r="K5602" t="n">
        <v>0</v>
      </c>
      <c r="L5602" t="n">
        <v>0</v>
      </c>
      <c r="M5602" t="n">
        <v>0</v>
      </c>
      <c r="N5602" t="n">
        <v>0</v>
      </c>
      <c r="O5602" t="n">
        <v>0</v>
      </c>
      <c r="P5602" t="n">
        <v>0</v>
      </c>
      <c r="Q5602" t="n">
        <v>0</v>
      </c>
      <c r="R5602" s="2" t="inlineStr"/>
    </row>
    <row r="5603" ht="15" customHeight="1">
      <c r="A5603" t="inlineStr">
        <is>
          <t>A 58916-2023</t>
        </is>
      </c>
      <c r="B5603" s="1" t="n">
        <v>45252.53457175926</v>
      </c>
      <c r="C5603" s="1" t="n">
        <v>46086</v>
      </c>
      <c r="D5603" t="inlineStr">
        <is>
          <t>GÄVLEBORGS LÄN</t>
        </is>
      </c>
      <c r="E5603" t="inlineStr">
        <is>
          <t>SANDVIKEN</t>
        </is>
      </c>
      <c r="F5603" t="inlineStr">
        <is>
          <t>Bergvik skog öst AB</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48043-2025</t>
        </is>
      </c>
      <c r="B5604" s="1" t="n">
        <v>45932.66321759259</v>
      </c>
      <c r="C5604" s="1" t="n">
        <v>46086</v>
      </c>
      <c r="D5604" t="inlineStr">
        <is>
          <t>GÄVLEBORGS LÄN</t>
        </is>
      </c>
      <c r="E5604" t="inlineStr">
        <is>
          <t>SANDVIKEN</t>
        </is>
      </c>
      <c r="F5604" t="inlineStr">
        <is>
          <t>Kommuner</t>
        </is>
      </c>
      <c r="G5604" t="n">
        <v>3.6</v>
      </c>
      <c r="H5604" t="n">
        <v>0</v>
      </c>
      <c r="I5604" t="n">
        <v>0</v>
      </c>
      <c r="J5604" t="n">
        <v>0</v>
      </c>
      <c r="K5604" t="n">
        <v>0</v>
      </c>
      <c r="L5604" t="n">
        <v>0</v>
      </c>
      <c r="M5604" t="n">
        <v>0</v>
      </c>
      <c r="N5604" t="n">
        <v>0</v>
      </c>
      <c r="O5604" t="n">
        <v>0</v>
      </c>
      <c r="P5604" t="n">
        <v>0</v>
      </c>
      <c r="Q5604" t="n">
        <v>0</v>
      </c>
      <c r="R5604" s="2" t="inlineStr"/>
    </row>
    <row r="5605" ht="15" customHeight="1">
      <c r="A5605" t="inlineStr">
        <is>
          <t>A 23284-2024</t>
        </is>
      </c>
      <c r="B5605" s="1" t="n">
        <v>45453</v>
      </c>
      <c r="C5605" s="1" t="n">
        <v>46086</v>
      </c>
      <c r="D5605" t="inlineStr">
        <is>
          <t>GÄVLEBORGS LÄN</t>
        </is>
      </c>
      <c r="E5605" t="inlineStr">
        <is>
          <t>LJUSDAL</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7679-2025</t>
        </is>
      </c>
      <c r="B5606" s="1" t="n">
        <v>45706.36291666667</v>
      </c>
      <c r="C5606" s="1" t="n">
        <v>46086</v>
      </c>
      <c r="D5606" t="inlineStr">
        <is>
          <t>GÄVLEBORGS LÄN</t>
        </is>
      </c>
      <c r="E5606" t="inlineStr">
        <is>
          <t>SANDVIKEN</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48117-2025</t>
        </is>
      </c>
      <c r="B5607" s="1" t="n">
        <v>45933.35684027777</v>
      </c>
      <c r="C5607" s="1" t="n">
        <v>46086</v>
      </c>
      <c r="D5607" t="inlineStr">
        <is>
          <t>GÄVLEBORGS LÄN</t>
        </is>
      </c>
      <c r="E5607" t="inlineStr">
        <is>
          <t>GÄVLE</t>
        </is>
      </c>
      <c r="F5607" t="inlineStr">
        <is>
          <t>Bergvik skog väst AB</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3297-2024</t>
        </is>
      </c>
      <c r="B5608" s="1" t="n">
        <v>45317.4618287037</v>
      </c>
      <c r="C5608" s="1" t="n">
        <v>46086</v>
      </c>
      <c r="D5608" t="inlineStr">
        <is>
          <t>GÄVLEBORGS LÄN</t>
        </is>
      </c>
      <c r="E5608" t="inlineStr">
        <is>
          <t>HUDIKSVALL</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9419-2025</t>
        </is>
      </c>
      <c r="B5609" s="1" t="n">
        <v>45715.39568287037</v>
      </c>
      <c r="C5609" s="1" t="n">
        <v>46086</v>
      </c>
      <c r="D5609" t="inlineStr">
        <is>
          <t>GÄVLEBORGS LÄN</t>
        </is>
      </c>
      <c r="E5609" t="inlineStr">
        <is>
          <t>GÄVLE</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27959-2025</t>
        </is>
      </c>
      <c r="B5610" s="1" t="n">
        <v>45816</v>
      </c>
      <c r="C5610" s="1" t="n">
        <v>46086</v>
      </c>
      <c r="D5610" t="inlineStr">
        <is>
          <t>GÄVLEBORGS LÄN</t>
        </is>
      </c>
      <c r="E5610" t="inlineStr">
        <is>
          <t>HOFORS</t>
        </is>
      </c>
      <c r="F5610" t="inlineStr">
        <is>
          <t>Bergvik skog väst AB</t>
        </is>
      </c>
      <c r="G5610" t="n">
        <v>45.6</v>
      </c>
      <c r="H5610" t="n">
        <v>0</v>
      </c>
      <c r="I5610" t="n">
        <v>0</v>
      </c>
      <c r="J5610" t="n">
        <v>0</v>
      </c>
      <c r="K5610" t="n">
        <v>0</v>
      </c>
      <c r="L5610" t="n">
        <v>0</v>
      </c>
      <c r="M5610" t="n">
        <v>0</v>
      </c>
      <c r="N5610" t="n">
        <v>0</v>
      </c>
      <c r="O5610" t="n">
        <v>0</v>
      </c>
      <c r="P5610" t="n">
        <v>0</v>
      </c>
      <c r="Q5610" t="n">
        <v>0</v>
      </c>
      <c r="R5610" s="2" t="inlineStr"/>
    </row>
    <row r="5611" ht="15" customHeight="1">
      <c r="A5611" t="inlineStr">
        <is>
          <t>A 8960-2025</t>
        </is>
      </c>
      <c r="B5611" s="1" t="n">
        <v>45713.47555555555</v>
      </c>
      <c r="C5611" s="1" t="n">
        <v>46086</v>
      </c>
      <c r="D5611" t="inlineStr">
        <is>
          <t>GÄVLEBORGS LÄN</t>
        </is>
      </c>
      <c r="E5611" t="inlineStr">
        <is>
          <t>BOLLNÄS</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36658-2025</t>
        </is>
      </c>
      <c r="B5612" s="1" t="n">
        <v>45873.35398148148</v>
      </c>
      <c r="C5612" s="1" t="n">
        <v>46086</v>
      </c>
      <c r="D5612" t="inlineStr">
        <is>
          <t>GÄVLEBORGS LÄN</t>
        </is>
      </c>
      <c r="E5612" t="inlineStr">
        <is>
          <t>OVANÅKER</t>
        </is>
      </c>
      <c r="F5612" t="inlineStr">
        <is>
          <t>Bergvik skog väst AB</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36659-2025</t>
        </is>
      </c>
      <c r="B5613" s="1" t="n">
        <v>45873.35548611111</v>
      </c>
      <c r="C5613" s="1" t="n">
        <v>46086</v>
      </c>
      <c r="D5613" t="inlineStr">
        <is>
          <t>GÄVLEBORGS LÄN</t>
        </is>
      </c>
      <c r="E5613" t="inlineStr">
        <is>
          <t>OVANÅKER</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48186-2025</t>
        </is>
      </c>
      <c r="B5614" s="1" t="n">
        <v>45933.46466435185</v>
      </c>
      <c r="C5614" s="1" t="n">
        <v>46086</v>
      </c>
      <c r="D5614" t="inlineStr">
        <is>
          <t>GÄVLEBORGS LÄN</t>
        </is>
      </c>
      <c r="E5614" t="inlineStr">
        <is>
          <t>OCKELBO</t>
        </is>
      </c>
      <c r="G5614" t="n">
        <v>5.3</v>
      </c>
      <c r="H5614" t="n">
        <v>0</v>
      </c>
      <c r="I5614" t="n">
        <v>0</v>
      </c>
      <c r="J5614" t="n">
        <v>0</v>
      </c>
      <c r="K5614" t="n">
        <v>0</v>
      </c>
      <c r="L5614" t="n">
        <v>0</v>
      </c>
      <c r="M5614" t="n">
        <v>0</v>
      </c>
      <c r="N5614" t="n">
        <v>0</v>
      </c>
      <c r="O5614" t="n">
        <v>0</v>
      </c>
      <c r="P5614" t="n">
        <v>0</v>
      </c>
      <c r="Q5614" t="n">
        <v>0</v>
      </c>
      <c r="R5614" s="2" t="inlineStr"/>
    </row>
    <row r="5615" ht="15" customHeight="1">
      <c r="A5615" t="inlineStr">
        <is>
          <t>A 245-2025</t>
        </is>
      </c>
      <c r="B5615" s="1" t="n">
        <v>45660.41813657407</v>
      </c>
      <c r="C5615" s="1" t="n">
        <v>46086</v>
      </c>
      <c r="D5615" t="inlineStr">
        <is>
          <t>GÄVLEBORGS LÄN</t>
        </is>
      </c>
      <c r="E5615" t="inlineStr">
        <is>
          <t>SANDVIKEN</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48240-2025</t>
        </is>
      </c>
      <c r="B5616" s="1" t="n">
        <v>45933.53292824074</v>
      </c>
      <c r="C5616" s="1" t="n">
        <v>46086</v>
      </c>
      <c r="D5616" t="inlineStr">
        <is>
          <t>GÄVLEBORGS LÄN</t>
        </is>
      </c>
      <c r="E5616" t="inlineStr">
        <is>
          <t>HOFORS</t>
        </is>
      </c>
      <c r="F5616" t="inlineStr">
        <is>
          <t>Sveaskog</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48241-2025</t>
        </is>
      </c>
      <c r="B5617" s="1" t="n">
        <v>45933.53391203703</v>
      </c>
      <c r="C5617" s="1" t="n">
        <v>46086</v>
      </c>
      <c r="D5617" t="inlineStr">
        <is>
          <t>GÄVLEBORGS LÄN</t>
        </is>
      </c>
      <c r="E5617" t="inlineStr">
        <is>
          <t>HOFORS</t>
        </is>
      </c>
      <c r="F5617" t="inlineStr">
        <is>
          <t>Sveaskog</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48252-2025</t>
        </is>
      </c>
      <c r="B5618" s="1" t="n">
        <v>45933.55329861111</v>
      </c>
      <c r="C5618" s="1" t="n">
        <v>46086</v>
      </c>
      <c r="D5618" t="inlineStr">
        <is>
          <t>GÄVLEBORGS LÄN</t>
        </is>
      </c>
      <c r="E5618" t="inlineStr">
        <is>
          <t>HOFORS</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46445-2025</t>
        </is>
      </c>
      <c r="B5619" s="1" t="n">
        <v>45925.64638888889</v>
      </c>
      <c r="C5619" s="1" t="n">
        <v>46086</v>
      </c>
      <c r="D5619" t="inlineStr">
        <is>
          <t>GÄVLEBORGS LÄN</t>
        </is>
      </c>
      <c r="E5619" t="inlineStr">
        <is>
          <t>LJUSDAL</t>
        </is>
      </c>
      <c r="G5619" t="n">
        <v>4.3</v>
      </c>
      <c r="H5619" t="n">
        <v>0</v>
      </c>
      <c r="I5619" t="n">
        <v>0</v>
      </c>
      <c r="J5619" t="n">
        <v>0</v>
      </c>
      <c r="K5619" t="n">
        <v>0</v>
      </c>
      <c r="L5619" t="n">
        <v>0</v>
      </c>
      <c r="M5619" t="n">
        <v>0</v>
      </c>
      <c r="N5619" t="n">
        <v>0</v>
      </c>
      <c r="O5619" t="n">
        <v>0</v>
      </c>
      <c r="P5619" t="n">
        <v>0</v>
      </c>
      <c r="Q5619" t="n">
        <v>0</v>
      </c>
      <c r="R5619" s="2" t="inlineStr"/>
    </row>
    <row r="5620" ht="15" customHeight="1">
      <c r="A5620" t="inlineStr">
        <is>
          <t>A 47790-2025</t>
        </is>
      </c>
      <c r="B5620" s="1" t="n">
        <v>45931.79914351852</v>
      </c>
      <c r="C5620" s="1" t="n">
        <v>46086</v>
      </c>
      <c r="D5620" t="inlineStr">
        <is>
          <t>GÄVLEBORGS LÄN</t>
        </is>
      </c>
      <c r="E5620" t="inlineStr">
        <is>
          <t>NORDANSTIG</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48261-2025</t>
        </is>
      </c>
      <c r="B5621" s="1" t="n">
        <v>45933.56163194445</v>
      </c>
      <c r="C5621" s="1" t="n">
        <v>46086</v>
      </c>
      <c r="D5621" t="inlineStr">
        <is>
          <t>GÄVLEBORGS LÄN</t>
        </is>
      </c>
      <c r="E5621" t="inlineStr">
        <is>
          <t>SANDVIKEN</t>
        </is>
      </c>
      <c r="F5621" t="inlineStr">
        <is>
          <t>Sveaskog</t>
        </is>
      </c>
      <c r="G5621" t="n">
        <v>3.9</v>
      </c>
      <c r="H5621" t="n">
        <v>0</v>
      </c>
      <c r="I5621" t="n">
        <v>0</v>
      </c>
      <c r="J5621" t="n">
        <v>0</v>
      </c>
      <c r="K5621" t="n">
        <v>0</v>
      </c>
      <c r="L5621" t="n">
        <v>0</v>
      </c>
      <c r="M5621" t="n">
        <v>0</v>
      </c>
      <c r="N5621" t="n">
        <v>0</v>
      </c>
      <c r="O5621" t="n">
        <v>0</v>
      </c>
      <c r="P5621" t="n">
        <v>0</v>
      </c>
      <c r="Q5621" t="n">
        <v>0</v>
      </c>
      <c r="R5621" s="2" t="inlineStr"/>
    </row>
    <row r="5622" ht="15" customHeight="1">
      <c r="A5622" t="inlineStr">
        <is>
          <t>A 48268-2025</t>
        </is>
      </c>
      <c r="B5622" s="1" t="n">
        <v>45933.57059027778</v>
      </c>
      <c r="C5622" s="1" t="n">
        <v>46086</v>
      </c>
      <c r="D5622" t="inlineStr">
        <is>
          <t>GÄVLEBORGS LÄN</t>
        </is>
      </c>
      <c r="E5622" t="inlineStr">
        <is>
          <t>SANDVIKEN</t>
        </is>
      </c>
      <c r="F5622" t="inlineStr">
        <is>
          <t>Sveaskog</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48354-2025</t>
        </is>
      </c>
      <c r="B5623" s="1" t="n">
        <v>45933.65809027778</v>
      </c>
      <c r="C5623" s="1" t="n">
        <v>46086</v>
      </c>
      <c r="D5623" t="inlineStr">
        <is>
          <t>GÄVLEBORGS LÄN</t>
        </is>
      </c>
      <c r="E5623" t="inlineStr">
        <is>
          <t>LJUSDAL</t>
        </is>
      </c>
      <c r="G5623" t="n">
        <v>10.3</v>
      </c>
      <c r="H5623" t="n">
        <v>0</v>
      </c>
      <c r="I5623" t="n">
        <v>0</v>
      </c>
      <c r="J5623" t="n">
        <v>0</v>
      </c>
      <c r="K5623" t="n">
        <v>0</v>
      </c>
      <c r="L5623" t="n">
        <v>0</v>
      </c>
      <c r="M5623" t="n">
        <v>0</v>
      </c>
      <c r="N5623" t="n">
        <v>0</v>
      </c>
      <c r="O5623" t="n">
        <v>0</v>
      </c>
      <c r="P5623" t="n">
        <v>0</v>
      </c>
      <c r="Q5623" t="n">
        <v>0</v>
      </c>
      <c r="R5623" s="2" t="inlineStr"/>
    </row>
    <row r="5624" ht="15" customHeight="1">
      <c r="A5624" t="inlineStr">
        <is>
          <t>A 15912-2024</t>
        </is>
      </c>
      <c r="B5624" s="1" t="n">
        <v>45405.4396875</v>
      </c>
      <c r="C5624" s="1" t="n">
        <v>46086</v>
      </c>
      <c r="D5624" t="inlineStr">
        <is>
          <t>GÄVLEBORGS LÄN</t>
        </is>
      </c>
      <c r="E5624" t="inlineStr">
        <is>
          <t>OVANÅKER</t>
        </is>
      </c>
      <c r="G5624" t="n">
        <v>4.1</v>
      </c>
      <c r="H5624" t="n">
        <v>0</v>
      </c>
      <c r="I5624" t="n">
        <v>0</v>
      </c>
      <c r="J5624" t="n">
        <v>0</v>
      </c>
      <c r="K5624" t="n">
        <v>0</v>
      </c>
      <c r="L5624" t="n">
        <v>0</v>
      </c>
      <c r="M5624" t="n">
        <v>0</v>
      </c>
      <c r="N5624" t="n">
        <v>0</v>
      </c>
      <c r="O5624" t="n">
        <v>0</v>
      </c>
      <c r="P5624" t="n">
        <v>0</v>
      </c>
      <c r="Q5624" t="n">
        <v>0</v>
      </c>
      <c r="R5624" s="2" t="inlineStr"/>
    </row>
    <row r="5625" ht="15" customHeight="1">
      <c r="A5625" t="inlineStr">
        <is>
          <t>A 35067-2023</t>
        </is>
      </c>
      <c r="B5625" s="1" t="n">
        <v>45145.41471064815</v>
      </c>
      <c r="C5625" s="1" t="n">
        <v>46086</v>
      </c>
      <c r="D5625" t="inlineStr">
        <is>
          <t>GÄVLEBORGS LÄN</t>
        </is>
      </c>
      <c r="E5625" t="inlineStr">
        <is>
          <t>BOLLNÄS</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42251-2025</t>
        </is>
      </c>
      <c r="B5626" s="1" t="n">
        <v>45904.58163194444</v>
      </c>
      <c r="C5626" s="1" t="n">
        <v>46086</v>
      </c>
      <c r="D5626" t="inlineStr">
        <is>
          <t>GÄVLEBORGS LÄN</t>
        </is>
      </c>
      <c r="E5626" t="inlineStr">
        <is>
          <t>GÄVLE</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28240-2023</t>
        </is>
      </c>
      <c r="B5627" s="1" t="n">
        <v>45099.58393518518</v>
      </c>
      <c r="C5627" s="1" t="n">
        <v>46086</v>
      </c>
      <c r="D5627" t="inlineStr">
        <is>
          <t>GÄVLEBORGS LÄN</t>
        </is>
      </c>
      <c r="E5627" t="inlineStr">
        <is>
          <t>LJUSDAL</t>
        </is>
      </c>
      <c r="F5627" t="inlineStr">
        <is>
          <t>Holmen skog AB</t>
        </is>
      </c>
      <c r="G5627" t="n">
        <v>5.8</v>
      </c>
      <c r="H5627" t="n">
        <v>0</v>
      </c>
      <c r="I5627" t="n">
        <v>0</v>
      </c>
      <c r="J5627" t="n">
        <v>0</v>
      </c>
      <c r="K5627" t="n">
        <v>0</v>
      </c>
      <c r="L5627" t="n">
        <v>0</v>
      </c>
      <c r="M5627" t="n">
        <v>0</v>
      </c>
      <c r="N5627" t="n">
        <v>0</v>
      </c>
      <c r="O5627" t="n">
        <v>0</v>
      </c>
      <c r="P5627" t="n">
        <v>0</v>
      </c>
      <c r="Q5627" t="n">
        <v>0</v>
      </c>
      <c r="R5627" s="2" t="inlineStr"/>
    </row>
    <row r="5628" ht="15" customHeight="1">
      <c r="A5628" t="inlineStr">
        <is>
          <t>A 28248-2023</t>
        </is>
      </c>
      <c r="B5628" s="1" t="n">
        <v>45099.59758101852</v>
      </c>
      <c r="C5628" s="1" t="n">
        <v>46086</v>
      </c>
      <c r="D5628" t="inlineStr">
        <is>
          <t>GÄVLEBORGS LÄN</t>
        </is>
      </c>
      <c r="E5628" t="inlineStr">
        <is>
          <t>LJUSDAL</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47923-2025</t>
        </is>
      </c>
      <c r="B5629" s="1" t="n">
        <v>45932.53732638889</v>
      </c>
      <c r="C5629" s="1" t="n">
        <v>46086</v>
      </c>
      <c r="D5629" t="inlineStr">
        <is>
          <t>GÄVLEBORGS LÄN</t>
        </is>
      </c>
      <c r="E5629" t="inlineStr">
        <is>
          <t>LJUSDAL</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36703-2025</t>
        </is>
      </c>
      <c r="B5630" s="1" t="n">
        <v>45873.45009259259</v>
      </c>
      <c r="C5630" s="1" t="n">
        <v>46086</v>
      </c>
      <c r="D5630" t="inlineStr">
        <is>
          <t>GÄVLEBORGS LÄN</t>
        </is>
      </c>
      <c r="E5630" t="inlineStr">
        <is>
          <t>OVANÅKER</t>
        </is>
      </c>
      <c r="F5630" t="inlineStr">
        <is>
          <t>Bergvik skog väst AB</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48231-2025</t>
        </is>
      </c>
      <c r="B5631" s="1" t="n">
        <v>45933.52594907407</v>
      </c>
      <c r="C5631" s="1" t="n">
        <v>46086</v>
      </c>
      <c r="D5631" t="inlineStr">
        <is>
          <t>GÄVLEBORGS LÄN</t>
        </is>
      </c>
      <c r="E5631" t="inlineStr">
        <is>
          <t>HOFORS</t>
        </is>
      </c>
      <c r="F5631" t="inlineStr">
        <is>
          <t>Sveaskog</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48246-2025</t>
        </is>
      </c>
      <c r="B5632" s="1" t="n">
        <v>45933.5480787037</v>
      </c>
      <c r="C5632" s="1" t="n">
        <v>46086</v>
      </c>
      <c r="D5632" t="inlineStr">
        <is>
          <t>GÄVLEBORGS LÄN</t>
        </is>
      </c>
      <c r="E5632" t="inlineStr">
        <is>
          <t>GÄVLE</t>
        </is>
      </c>
      <c r="F5632" t="inlineStr">
        <is>
          <t>Bergvik skog öst AB</t>
        </is>
      </c>
      <c r="G5632" t="n">
        <v>5.1</v>
      </c>
      <c r="H5632" t="n">
        <v>0</v>
      </c>
      <c r="I5632" t="n">
        <v>0</v>
      </c>
      <c r="J5632" t="n">
        <v>0</v>
      </c>
      <c r="K5632" t="n">
        <v>0</v>
      </c>
      <c r="L5632" t="n">
        <v>0</v>
      </c>
      <c r="M5632" t="n">
        <v>0</v>
      </c>
      <c r="N5632" t="n">
        <v>0</v>
      </c>
      <c r="O5632" t="n">
        <v>0</v>
      </c>
      <c r="P5632" t="n">
        <v>0</v>
      </c>
      <c r="Q5632" t="n">
        <v>0</v>
      </c>
      <c r="R5632" s="2" t="inlineStr"/>
    </row>
    <row r="5633" ht="15" customHeight="1">
      <c r="A5633" t="inlineStr">
        <is>
          <t>A 48251-2025</t>
        </is>
      </c>
      <c r="B5633" s="1" t="n">
        <v>45933.55273148148</v>
      </c>
      <c r="C5633" s="1" t="n">
        <v>46086</v>
      </c>
      <c r="D5633" t="inlineStr">
        <is>
          <t>GÄVLEBORGS LÄN</t>
        </is>
      </c>
      <c r="E5633" t="inlineStr">
        <is>
          <t>GÄVLE</t>
        </is>
      </c>
      <c r="F5633" t="inlineStr">
        <is>
          <t>Bergvik skog öst AB</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36793-2025</t>
        </is>
      </c>
      <c r="B5634" s="1" t="n">
        <v>45873.64081018518</v>
      </c>
      <c r="C5634" s="1" t="n">
        <v>46086</v>
      </c>
      <c r="D5634" t="inlineStr">
        <is>
          <t>GÄVLEBORGS LÄN</t>
        </is>
      </c>
      <c r="E5634" t="inlineStr">
        <is>
          <t>SANDVIKEN</t>
        </is>
      </c>
      <c r="G5634" t="n">
        <v>4.2</v>
      </c>
      <c r="H5634" t="n">
        <v>0</v>
      </c>
      <c r="I5634" t="n">
        <v>0</v>
      </c>
      <c r="J5634" t="n">
        <v>0</v>
      </c>
      <c r="K5634" t="n">
        <v>0</v>
      </c>
      <c r="L5634" t="n">
        <v>0</v>
      </c>
      <c r="M5634" t="n">
        <v>0</v>
      </c>
      <c r="N5634" t="n">
        <v>0</v>
      </c>
      <c r="O5634" t="n">
        <v>0</v>
      </c>
      <c r="P5634" t="n">
        <v>0</v>
      </c>
      <c r="Q5634" t="n">
        <v>0</v>
      </c>
      <c r="R5634" s="2" t="inlineStr"/>
    </row>
    <row r="5635" ht="15" customHeight="1">
      <c r="A5635" t="inlineStr">
        <is>
          <t>A 36795-2025</t>
        </is>
      </c>
      <c r="B5635" s="1" t="n">
        <v>45873.64255787037</v>
      </c>
      <c r="C5635" s="1" t="n">
        <v>46086</v>
      </c>
      <c r="D5635" t="inlineStr">
        <is>
          <t>GÄVLEBORGS LÄN</t>
        </is>
      </c>
      <c r="E5635" t="inlineStr">
        <is>
          <t>SANDVIKEN</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36660-2025</t>
        </is>
      </c>
      <c r="B5636" s="1" t="n">
        <v>45873.35680555556</v>
      </c>
      <c r="C5636" s="1" t="n">
        <v>46086</v>
      </c>
      <c r="D5636" t="inlineStr">
        <is>
          <t>GÄVLEBORGS LÄN</t>
        </is>
      </c>
      <c r="E5636" t="inlineStr">
        <is>
          <t>LJUSDAL</t>
        </is>
      </c>
      <c r="F5636" t="inlineStr">
        <is>
          <t>Bergvik skog väst AB</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48115-2025</t>
        </is>
      </c>
      <c r="B5637" s="1" t="n">
        <v>45933.35277777778</v>
      </c>
      <c r="C5637" s="1" t="n">
        <v>46086</v>
      </c>
      <c r="D5637" t="inlineStr">
        <is>
          <t>GÄVLEBORGS LÄN</t>
        </is>
      </c>
      <c r="E5637" t="inlineStr">
        <is>
          <t>OCKELBO</t>
        </is>
      </c>
      <c r="F5637" t="inlineStr">
        <is>
          <t>Bergvik skog väst AB</t>
        </is>
      </c>
      <c r="G5637" t="n">
        <v>17.7</v>
      </c>
      <c r="H5637" t="n">
        <v>0</v>
      </c>
      <c r="I5637" t="n">
        <v>0</v>
      </c>
      <c r="J5637" t="n">
        <v>0</v>
      </c>
      <c r="K5637" t="n">
        <v>0</v>
      </c>
      <c r="L5637" t="n">
        <v>0</v>
      </c>
      <c r="M5637" t="n">
        <v>0</v>
      </c>
      <c r="N5637" t="n">
        <v>0</v>
      </c>
      <c r="O5637" t="n">
        <v>0</v>
      </c>
      <c r="P5637" t="n">
        <v>0</v>
      </c>
      <c r="Q5637" t="n">
        <v>0</v>
      </c>
      <c r="R5637" s="2" t="inlineStr"/>
    </row>
    <row r="5638" ht="15" customHeight="1">
      <c r="A5638" t="inlineStr">
        <is>
          <t>A 36693-2025</t>
        </is>
      </c>
      <c r="B5638" s="1" t="n">
        <v>45873.43695601852</v>
      </c>
      <c r="C5638" s="1" t="n">
        <v>46086</v>
      </c>
      <c r="D5638" t="inlineStr">
        <is>
          <t>GÄVLEBORGS LÄN</t>
        </is>
      </c>
      <c r="E5638" t="inlineStr">
        <is>
          <t>SANDVIKEN</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1675-2025</t>
        </is>
      </c>
      <c r="B5639" s="1" t="n">
        <v>45670</v>
      </c>
      <c r="C5639" s="1" t="n">
        <v>46086</v>
      </c>
      <c r="D5639" t="inlineStr">
        <is>
          <t>GÄVLEBORGS LÄN</t>
        </is>
      </c>
      <c r="E5639" t="inlineStr">
        <is>
          <t>SANDVIKEN</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36551-2025</t>
        </is>
      </c>
      <c r="B5640" s="1" t="n">
        <v>45870.32935185185</v>
      </c>
      <c r="C5640" s="1" t="n">
        <v>46086</v>
      </c>
      <c r="D5640" t="inlineStr">
        <is>
          <t>GÄVLEBORGS LÄN</t>
        </is>
      </c>
      <c r="E5640" t="inlineStr">
        <is>
          <t>OVANÅKER</t>
        </is>
      </c>
      <c r="G5640" t="n">
        <v>8.699999999999999</v>
      </c>
      <c r="H5640" t="n">
        <v>0</v>
      </c>
      <c r="I5640" t="n">
        <v>0</v>
      </c>
      <c r="J5640" t="n">
        <v>0</v>
      </c>
      <c r="K5640" t="n">
        <v>0</v>
      </c>
      <c r="L5640" t="n">
        <v>0</v>
      </c>
      <c r="M5640" t="n">
        <v>0</v>
      </c>
      <c r="N5640" t="n">
        <v>0</v>
      </c>
      <c r="O5640" t="n">
        <v>0</v>
      </c>
      <c r="P5640" t="n">
        <v>0</v>
      </c>
      <c r="Q5640" t="n">
        <v>0</v>
      </c>
      <c r="R5640" s="2" t="inlineStr"/>
    </row>
    <row r="5641" ht="15" customHeight="1">
      <c r="A5641" t="inlineStr">
        <is>
          <t>A 40253-2023</t>
        </is>
      </c>
      <c r="B5641" s="1" t="n">
        <v>45169</v>
      </c>
      <c r="C5641" s="1" t="n">
        <v>46086</v>
      </c>
      <c r="D5641" t="inlineStr">
        <is>
          <t>GÄVLEBORGS LÄN</t>
        </is>
      </c>
      <c r="E5641" t="inlineStr">
        <is>
          <t>LJUSDAL</t>
        </is>
      </c>
      <c r="G5641" t="n">
        <v>9.300000000000001</v>
      </c>
      <c r="H5641" t="n">
        <v>0</v>
      </c>
      <c r="I5641" t="n">
        <v>0</v>
      </c>
      <c r="J5641" t="n">
        <v>0</v>
      </c>
      <c r="K5641" t="n">
        <v>0</v>
      </c>
      <c r="L5641" t="n">
        <v>0</v>
      </c>
      <c r="M5641" t="n">
        <v>0</v>
      </c>
      <c r="N5641" t="n">
        <v>0</v>
      </c>
      <c r="O5641" t="n">
        <v>0</v>
      </c>
      <c r="P5641" t="n">
        <v>0</v>
      </c>
      <c r="Q5641" t="n">
        <v>0</v>
      </c>
      <c r="R5641" s="2" t="inlineStr"/>
    </row>
    <row r="5642" ht="15" customHeight="1">
      <c r="A5642" t="inlineStr">
        <is>
          <t>A 48162-2025</t>
        </is>
      </c>
      <c r="B5642" s="1" t="n">
        <v>45933.42680555556</v>
      </c>
      <c r="C5642" s="1" t="n">
        <v>46086</v>
      </c>
      <c r="D5642" t="inlineStr">
        <is>
          <t>GÄVLEBORGS LÄN</t>
        </is>
      </c>
      <c r="E5642" t="inlineStr">
        <is>
          <t>SANDVIKEN</t>
        </is>
      </c>
      <c r="F5642" t="inlineStr">
        <is>
          <t>Kommuner</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36471-2025</t>
        </is>
      </c>
      <c r="B5643" s="1" t="n">
        <v>45869.4811574074</v>
      </c>
      <c r="C5643" s="1" t="n">
        <v>46086</v>
      </c>
      <c r="D5643" t="inlineStr">
        <is>
          <t>GÄVLEBORGS LÄN</t>
        </is>
      </c>
      <c r="E5643" t="inlineStr">
        <is>
          <t>BOLLNÄS</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58955-2023</t>
        </is>
      </c>
      <c r="B5644" s="1" t="n">
        <v>45252</v>
      </c>
      <c r="C5644" s="1" t="n">
        <v>46086</v>
      </c>
      <c r="D5644" t="inlineStr">
        <is>
          <t>GÄVLEBORGS LÄN</t>
        </is>
      </c>
      <c r="E5644" t="inlineStr">
        <is>
          <t>HOFORS</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3077-2025</t>
        </is>
      </c>
      <c r="B5645" s="1" t="n">
        <v>45678.64303240741</v>
      </c>
      <c r="C5645" s="1" t="n">
        <v>46086</v>
      </c>
      <c r="D5645" t="inlineStr">
        <is>
          <t>GÄVLEBORGS LÄN</t>
        </is>
      </c>
      <c r="E5645" t="inlineStr">
        <is>
          <t>HUDIKSVALL</t>
        </is>
      </c>
      <c r="G5645" t="n">
        <v>4.9</v>
      </c>
      <c r="H5645" t="n">
        <v>0</v>
      </c>
      <c r="I5645" t="n">
        <v>0</v>
      </c>
      <c r="J5645" t="n">
        <v>0</v>
      </c>
      <c r="K5645" t="n">
        <v>0</v>
      </c>
      <c r="L5645" t="n">
        <v>0</v>
      </c>
      <c r="M5645" t="n">
        <v>0</v>
      </c>
      <c r="N5645" t="n">
        <v>0</v>
      </c>
      <c r="O5645" t="n">
        <v>0</v>
      </c>
      <c r="P5645" t="n">
        <v>0</v>
      </c>
      <c r="Q5645" t="n">
        <v>0</v>
      </c>
      <c r="R5645" s="2" t="inlineStr"/>
    </row>
    <row r="5646" ht="15" customHeight="1">
      <c r="A5646" t="inlineStr">
        <is>
          <t>A 11101-2024</t>
        </is>
      </c>
      <c r="B5646" s="1" t="n">
        <v>45371.32391203703</v>
      </c>
      <c r="C5646" s="1" t="n">
        <v>46086</v>
      </c>
      <c r="D5646" t="inlineStr">
        <is>
          <t>GÄVLEBORGS LÄN</t>
        </is>
      </c>
      <c r="E5646" t="inlineStr">
        <is>
          <t>HUDIKSVALL</t>
        </is>
      </c>
      <c r="F5646" t="inlineStr">
        <is>
          <t>Holmen skog AB</t>
        </is>
      </c>
      <c r="G5646" t="n">
        <v>9.800000000000001</v>
      </c>
      <c r="H5646" t="n">
        <v>0</v>
      </c>
      <c r="I5646" t="n">
        <v>0</v>
      </c>
      <c r="J5646" t="n">
        <v>0</v>
      </c>
      <c r="K5646" t="n">
        <v>0</v>
      </c>
      <c r="L5646" t="n">
        <v>0</v>
      </c>
      <c r="M5646" t="n">
        <v>0</v>
      </c>
      <c r="N5646" t="n">
        <v>0</v>
      </c>
      <c r="O5646" t="n">
        <v>0</v>
      </c>
      <c r="P5646" t="n">
        <v>0</v>
      </c>
      <c r="Q5646" t="n">
        <v>0</v>
      </c>
      <c r="R5646" s="2" t="inlineStr"/>
    </row>
    <row r="5647" ht="15" customHeight="1">
      <c r="A5647" t="inlineStr">
        <is>
          <t>A 47990-2025</t>
        </is>
      </c>
      <c r="B5647" s="1" t="n">
        <v>45932.62314814814</v>
      </c>
      <c r="C5647" s="1" t="n">
        <v>46086</v>
      </c>
      <c r="D5647" t="inlineStr">
        <is>
          <t>GÄVLEBORGS LÄN</t>
        </is>
      </c>
      <c r="E5647" t="inlineStr">
        <is>
          <t>OCKELBO</t>
        </is>
      </c>
      <c r="F5647" t="inlineStr">
        <is>
          <t>Bergvik skog väst AB</t>
        </is>
      </c>
      <c r="G5647" t="n">
        <v>5.2</v>
      </c>
      <c r="H5647" t="n">
        <v>0</v>
      </c>
      <c r="I5647" t="n">
        <v>0</v>
      </c>
      <c r="J5647" t="n">
        <v>0</v>
      </c>
      <c r="K5647" t="n">
        <v>0</v>
      </c>
      <c r="L5647" t="n">
        <v>0</v>
      </c>
      <c r="M5647" t="n">
        <v>0</v>
      </c>
      <c r="N5647" t="n">
        <v>0</v>
      </c>
      <c r="O5647" t="n">
        <v>0</v>
      </c>
      <c r="P5647" t="n">
        <v>0</v>
      </c>
      <c r="Q5647" t="n">
        <v>0</v>
      </c>
      <c r="R5647" s="2" t="inlineStr"/>
    </row>
    <row r="5648" ht="15" customHeight="1">
      <c r="A5648" t="inlineStr">
        <is>
          <t>A 48002-2025</t>
        </is>
      </c>
      <c r="B5648" s="1" t="n">
        <v>45932.63021990741</v>
      </c>
      <c r="C5648" s="1" t="n">
        <v>46086</v>
      </c>
      <c r="D5648" t="inlineStr">
        <is>
          <t>GÄVLEBORGS LÄN</t>
        </is>
      </c>
      <c r="E5648" t="inlineStr">
        <is>
          <t>GÄVLE</t>
        </is>
      </c>
      <c r="G5648" t="n">
        <v>6.6</v>
      </c>
      <c r="H5648" t="n">
        <v>0</v>
      </c>
      <c r="I5648" t="n">
        <v>0</v>
      </c>
      <c r="J5648" t="n">
        <v>0</v>
      </c>
      <c r="K5648" t="n">
        <v>0</v>
      </c>
      <c r="L5648" t="n">
        <v>0</v>
      </c>
      <c r="M5648" t="n">
        <v>0</v>
      </c>
      <c r="N5648" t="n">
        <v>0</v>
      </c>
      <c r="O5648" t="n">
        <v>0</v>
      </c>
      <c r="P5648" t="n">
        <v>0</v>
      </c>
      <c r="Q5648" t="n">
        <v>0</v>
      </c>
      <c r="R5648" s="2" t="inlineStr"/>
    </row>
    <row r="5649" ht="15" customHeight="1">
      <c r="A5649" t="inlineStr">
        <is>
          <t>A 48007-2025</t>
        </is>
      </c>
      <c r="B5649" s="1" t="n">
        <v>45932.63751157407</v>
      </c>
      <c r="C5649" s="1" t="n">
        <v>46086</v>
      </c>
      <c r="D5649" t="inlineStr">
        <is>
          <t>GÄVLEBORGS LÄN</t>
        </is>
      </c>
      <c r="E5649" t="inlineStr">
        <is>
          <t>BOLLNÄS</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48154-2025</t>
        </is>
      </c>
      <c r="B5650" s="1" t="n">
        <v>45933.41241898148</v>
      </c>
      <c r="C5650" s="1" t="n">
        <v>46086</v>
      </c>
      <c r="D5650" t="inlineStr">
        <is>
          <t>GÄVLEBORGS LÄN</t>
        </is>
      </c>
      <c r="E5650" t="inlineStr">
        <is>
          <t>HUDIKSVALL</t>
        </is>
      </c>
      <c r="F5650" t="inlineStr">
        <is>
          <t>Holmen skog AB</t>
        </is>
      </c>
      <c r="G5650" t="n">
        <v>5.3</v>
      </c>
      <c r="H5650" t="n">
        <v>0</v>
      </c>
      <c r="I5650" t="n">
        <v>0</v>
      </c>
      <c r="J5650" t="n">
        <v>0</v>
      </c>
      <c r="K5650" t="n">
        <v>0</v>
      </c>
      <c r="L5650" t="n">
        <v>0</v>
      </c>
      <c r="M5650" t="n">
        <v>0</v>
      </c>
      <c r="N5650" t="n">
        <v>0</v>
      </c>
      <c r="O5650" t="n">
        <v>0</v>
      </c>
      <c r="P5650" t="n">
        <v>0</v>
      </c>
      <c r="Q5650" t="n">
        <v>0</v>
      </c>
      <c r="R5650" s="2" t="inlineStr"/>
    </row>
    <row r="5651" ht="15" customHeight="1">
      <c r="A5651" t="inlineStr">
        <is>
          <t>A 39041-2024</t>
        </is>
      </c>
      <c r="B5651" s="1" t="n">
        <v>45548</v>
      </c>
      <c r="C5651" s="1" t="n">
        <v>46086</v>
      </c>
      <c r="D5651" t="inlineStr">
        <is>
          <t>GÄVLEBORGS LÄN</t>
        </is>
      </c>
      <c r="E5651" t="inlineStr">
        <is>
          <t>NORDANSTIG</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47994-2025</t>
        </is>
      </c>
      <c r="B5652" s="1" t="n">
        <v>45932.62642361111</v>
      </c>
      <c r="C5652" s="1" t="n">
        <v>46086</v>
      </c>
      <c r="D5652" t="inlineStr">
        <is>
          <t>GÄVLEBORGS LÄN</t>
        </is>
      </c>
      <c r="E5652" t="inlineStr">
        <is>
          <t>GÄVLE</t>
        </is>
      </c>
      <c r="G5652" t="n">
        <v>10.1</v>
      </c>
      <c r="H5652" t="n">
        <v>0</v>
      </c>
      <c r="I5652" t="n">
        <v>0</v>
      </c>
      <c r="J5652" t="n">
        <v>0</v>
      </c>
      <c r="K5652" t="n">
        <v>0</v>
      </c>
      <c r="L5652" t="n">
        <v>0</v>
      </c>
      <c r="M5652" t="n">
        <v>0</v>
      </c>
      <c r="N5652" t="n">
        <v>0</v>
      </c>
      <c r="O5652" t="n">
        <v>0</v>
      </c>
      <c r="P5652" t="n">
        <v>0</v>
      </c>
      <c r="Q5652" t="n">
        <v>0</v>
      </c>
      <c r="R5652" s="2" t="inlineStr"/>
    </row>
    <row r="5653" ht="15" customHeight="1">
      <c r="A5653" t="inlineStr">
        <is>
          <t>A 48016-2025</t>
        </is>
      </c>
      <c r="B5653" s="1" t="n">
        <v>45932.64671296296</v>
      </c>
      <c r="C5653" s="1" t="n">
        <v>46086</v>
      </c>
      <c r="D5653" t="inlineStr">
        <is>
          <t>GÄVLEBORGS LÄN</t>
        </is>
      </c>
      <c r="E5653" t="inlineStr">
        <is>
          <t>GÄVLE</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8496-2024</t>
        </is>
      </c>
      <c r="B5654" s="1" t="n">
        <v>45355.44675925926</v>
      </c>
      <c r="C5654" s="1" t="n">
        <v>46086</v>
      </c>
      <c r="D5654" t="inlineStr">
        <is>
          <t>GÄVLEBORGS LÄN</t>
        </is>
      </c>
      <c r="E5654" t="inlineStr">
        <is>
          <t>HUDIKSVALL</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42286-2025</t>
        </is>
      </c>
      <c r="B5655" s="1" t="n">
        <v>45904.62043981482</v>
      </c>
      <c r="C5655" s="1" t="n">
        <v>46086</v>
      </c>
      <c r="D5655" t="inlineStr">
        <is>
          <t>GÄVLEBORGS LÄN</t>
        </is>
      </c>
      <c r="E5655" t="inlineStr">
        <is>
          <t>OVANÅKER</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19555-2022</t>
        </is>
      </c>
      <c r="B5656" s="1" t="n">
        <v>44693</v>
      </c>
      <c r="C5656" s="1" t="n">
        <v>46086</v>
      </c>
      <c r="D5656" t="inlineStr">
        <is>
          <t>GÄVLEBORGS LÄN</t>
        </is>
      </c>
      <c r="E5656" t="inlineStr">
        <is>
          <t>GÄVLE</t>
        </is>
      </c>
      <c r="F5656" t="inlineStr">
        <is>
          <t>Bergvik skog väst AB</t>
        </is>
      </c>
      <c r="G5656" t="n">
        <v>4</v>
      </c>
      <c r="H5656" t="n">
        <v>0</v>
      </c>
      <c r="I5656" t="n">
        <v>0</v>
      </c>
      <c r="J5656" t="n">
        <v>0</v>
      </c>
      <c r="K5656" t="n">
        <v>0</v>
      </c>
      <c r="L5656" t="n">
        <v>0</v>
      </c>
      <c r="M5656" t="n">
        <v>0</v>
      </c>
      <c r="N5656" t="n">
        <v>0</v>
      </c>
      <c r="O5656" t="n">
        <v>0</v>
      </c>
      <c r="P5656" t="n">
        <v>0</v>
      </c>
      <c r="Q5656" t="n">
        <v>0</v>
      </c>
      <c r="R5656" s="2" t="inlineStr"/>
    </row>
    <row r="5657" ht="15" customHeight="1">
      <c r="A5657" t="inlineStr">
        <is>
          <t>A 18926-2025</t>
        </is>
      </c>
      <c r="B5657" s="1" t="n">
        <v>45764</v>
      </c>
      <c r="C5657" s="1" t="n">
        <v>46086</v>
      </c>
      <c r="D5657" t="inlineStr">
        <is>
          <t>GÄVLEBORGS LÄN</t>
        </is>
      </c>
      <c r="E5657" t="inlineStr">
        <is>
          <t>HUDIKSVALL</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48045-2025</t>
        </is>
      </c>
      <c r="B5658" s="1" t="n">
        <v>45932.66636574074</v>
      </c>
      <c r="C5658" s="1" t="n">
        <v>46086</v>
      </c>
      <c r="D5658" t="inlineStr">
        <is>
          <t>GÄVLEBORGS LÄN</t>
        </is>
      </c>
      <c r="E5658" t="inlineStr">
        <is>
          <t>SANDVIKEN</t>
        </is>
      </c>
      <c r="F5658" t="inlineStr">
        <is>
          <t>Kommuner</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48170-2025</t>
        </is>
      </c>
      <c r="B5659" s="1" t="n">
        <v>45933.43212962963</v>
      </c>
      <c r="C5659" s="1" t="n">
        <v>46086</v>
      </c>
      <c r="D5659" t="inlineStr">
        <is>
          <t>GÄVLEBORGS LÄN</t>
        </is>
      </c>
      <c r="E5659" t="inlineStr">
        <is>
          <t>SANDVIKEN</t>
        </is>
      </c>
      <c r="F5659" t="inlineStr">
        <is>
          <t>Kommuner</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36957-2025</t>
        </is>
      </c>
      <c r="B5660" s="1" t="n">
        <v>45874</v>
      </c>
      <c r="C5660" s="1" t="n">
        <v>46086</v>
      </c>
      <c r="D5660" t="inlineStr">
        <is>
          <t>GÄVLEBORGS LÄN</t>
        </is>
      </c>
      <c r="E5660" t="inlineStr">
        <is>
          <t>BOLLNÄS</t>
        </is>
      </c>
      <c r="F5660" t="inlineStr">
        <is>
          <t>Bergvik skog väst AB</t>
        </is>
      </c>
      <c r="G5660" t="n">
        <v>7.2</v>
      </c>
      <c r="H5660" t="n">
        <v>0</v>
      </c>
      <c r="I5660" t="n">
        <v>0</v>
      </c>
      <c r="J5660" t="n">
        <v>0</v>
      </c>
      <c r="K5660" t="n">
        <v>0</v>
      </c>
      <c r="L5660" t="n">
        <v>0</v>
      </c>
      <c r="M5660" t="n">
        <v>0</v>
      </c>
      <c r="N5660" t="n">
        <v>0</v>
      </c>
      <c r="O5660" t="n">
        <v>0</v>
      </c>
      <c r="P5660" t="n">
        <v>0</v>
      </c>
      <c r="Q5660" t="n">
        <v>0</v>
      </c>
      <c r="R5660" s="2" t="inlineStr"/>
    </row>
    <row r="5661" ht="15" customHeight="1">
      <c r="A5661" t="inlineStr">
        <is>
          <t>A 5836-2024</t>
        </is>
      </c>
      <c r="B5661" s="1" t="n">
        <v>45335</v>
      </c>
      <c r="C5661" s="1" t="n">
        <v>46086</v>
      </c>
      <c r="D5661" t="inlineStr">
        <is>
          <t>GÄVLEBORGS LÄN</t>
        </is>
      </c>
      <c r="E5661" t="inlineStr">
        <is>
          <t>BOLLNÄS</t>
        </is>
      </c>
      <c r="G5661" t="n">
        <v>0.3</v>
      </c>
      <c r="H5661" t="n">
        <v>0</v>
      </c>
      <c r="I5661" t="n">
        <v>0</v>
      </c>
      <c r="J5661" t="n">
        <v>0</v>
      </c>
      <c r="K5661" t="n">
        <v>0</v>
      </c>
      <c r="L5661" t="n">
        <v>0</v>
      </c>
      <c r="M5661" t="n">
        <v>0</v>
      </c>
      <c r="N5661" t="n">
        <v>0</v>
      </c>
      <c r="O5661" t="n">
        <v>0</v>
      </c>
      <c r="P5661" t="n">
        <v>0</v>
      </c>
      <c r="Q5661" t="n">
        <v>0</v>
      </c>
      <c r="R5661" s="2" t="inlineStr"/>
    </row>
    <row r="5662" ht="15" customHeight="1">
      <c r="A5662" t="inlineStr">
        <is>
          <t>A 5838-2024</t>
        </is>
      </c>
      <c r="B5662" s="1" t="n">
        <v>45335.59482638889</v>
      </c>
      <c r="C5662" s="1" t="n">
        <v>46086</v>
      </c>
      <c r="D5662" t="inlineStr">
        <is>
          <t>GÄVLEBORGS LÄN</t>
        </is>
      </c>
      <c r="E5662" t="inlineStr">
        <is>
          <t>BOLLNÄS</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47480-2022</t>
        </is>
      </c>
      <c r="B5663" s="1" t="n">
        <v>44853.64416666667</v>
      </c>
      <c r="C5663" s="1" t="n">
        <v>46086</v>
      </c>
      <c r="D5663" t="inlineStr">
        <is>
          <t>GÄVLEBORGS LÄN</t>
        </is>
      </c>
      <c r="E5663" t="inlineStr">
        <is>
          <t>OVANÅKER</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47925-2025</t>
        </is>
      </c>
      <c r="B5664" s="1" t="n">
        <v>45932.54445601852</v>
      </c>
      <c r="C5664" s="1" t="n">
        <v>46086</v>
      </c>
      <c r="D5664" t="inlineStr">
        <is>
          <t>GÄVLEBORGS LÄN</t>
        </is>
      </c>
      <c r="E5664" t="inlineStr">
        <is>
          <t>LJUSDAL</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36981-2025</t>
        </is>
      </c>
      <c r="B5665" s="1" t="n">
        <v>45874.64697916667</v>
      </c>
      <c r="C5665" s="1" t="n">
        <v>46086</v>
      </c>
      <c r="D5665" t="inlineStr">
        <is>
          <t>GÄVLEBORGS LÄN</t>
        </is>
      </c>
      <c r="E5665" t="inlineStr">
        <is>
          <t>LJUSDAL</t>
        </is>
      </c>
      <c r="F5665" t="inlineStr">
        <is>
          <t>Sveaskog</t>
        </is>
      </c>
      <c r="G5665" t="n">
        <v>6.2</v>
      </c>
      <c r="H5665" t="n">
        <v>0</v>
      </c>
      <c r="I5665" t="n">
        <v>0</v>
      </c>
      <c r="J5665" t="n">
        <v>0</v>
      </c>
      <c r="K5665" t="n">
        <v>0</v>
      </c>
      <c r="L5665" t="n">
        <v>0</v>
      </c>
      <c r="M5665" t="n">
        <v>0</v>
      </c>
      <c r="N5665" t="n">
        <v>0</v>
      </c>
      <c r="O5665" t="n">
        <v>0</v>
      </c>
      <c r="P5665" t="n">
        <v>0</v>
      </c>
      <c r="Q5665" t="n">
        <v>0</v>
      </c>
      <c r="R5665" s="2" t="inlineStr"/>
    </row>
    <row r="5666" ht="15" customHeight="1">
      <c r="A5666" t="inlineStr">
        <is>
          <t>A 63643-2023</t>
        </is>
      </c>
      <c r="B5666" s="1" t="n">
        <v>45275.5827662037</v>
      </c>
      <c r="C5666" s="1" t="n">
        <v>46086</v>
      </c>
      <c r="D5666" t="inlineStr">
        <is>
          <t>GÄVLEBORGS LÄN</t>
        </is>
      </c>
      <c r="E5666" t="inlineStr">
        <is>
          <t>HUDIKSVALL</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47829-2025</t>
        </is>
      </c>
      <c r="B5667" s="1" t="n">
        <v>45932.34924768518</v>
      </c>
      <c r="C5667" s="1" t="n">
        <v>46086</v>
      </c>
      <c r="D5667" t="inlineStr">
        <is>
          <t>GÄVLEBORGS LÄN</t>
        </is>
      </c>
      <c r="E5667" t="inlineStr">
        <is>
          <t>GÄVLE</t>
        </is>
      </c>
      <c r="F5667" t="inlineStr">
        <is>
          <t>Bergvik skog väst AB</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48263-2025</t>
        </is>
      </c>
      <c r="B5668" s="1" t="n">
        <v>45933.56688657407</v>
      </c>
      <c r="C5668" s="1" t="n">
        <v>46086</v>
      </c>
      <c r="D5668" t="inlineStr">
        <is>
          <t>GÄVLEBORGS LÄN</t>
        </is>
      </c>
      <c r="E5668" t="inlineStr">
        <is>
          <t>SANDVIKEN</t>
        </is>
      </c>
      <c r="F5668" t="inlineStr">
        <is>
          <t>Sveaskog</t>
        </is>
      </c>
      <c r="G5668" t="n">
        <v>11.9</v>
      </c>
      <c r="H5668" t="n">
        <v>0</v>
      </c>
      <c r="I5668" t="n">
        <v>0</v>
      </c>
      <c r="J5668" t="n">
        <v>0</v>
      </c>
      <c r="K5668" t="n">
        <v>0</v>
      </c>
      <c r="L5668" t="n">
        <v>0</v>
      </c>
      <c r="M5668" t="n">
        <v>0</v>
      </c>
      <c r="N5668" t="n">
        <v>0</v>
      </c>
      <c r="O5668" t="n">
        <v>0</v>
      </c>
      <c r="P5668" t="n">
        <v>0</v>
      </c>
      <c r="Q5668" t="n">
        <v>0</v>
      </c>
      <c r="R5668" s="2" t="inlineStr"/>
    </row>
    <row r="5669" ht="15" customHeight="1">
      <c r="A5669" t="inlineStr">
        <is>
          <t>A 37050-2025</t>
        </is>
      </c>
      <c r="B5669" s="1" t="n">
        <v>45875.36291666667</v>
      </c>
      <c r="C5669" s="1" t="n">
        <v>46086</v>
      </c>
      <c r="D5669" t="inlineStr">
        <is>
          <t>GÄVLEBORGS LÄN</t>
        </is>
      </c>
      <c r="E5669" t="inlineStr">
        <is>
          <t>SÖDERHAMN</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37208-2025</t>
        </is>
      </c>
      <c r="B5670" s="1" t="n">
        <v>45875.70944444444</v>
      </c>
      <c r="C5670" s="1" t="n">
        <v>46086</v>
      </c>
      <c r="D5670" t="inlineStr">
        <is>
          <t>GÄVLEBORGS LÄN</t>
        </is>
      </c>
      <c r="E5670" t="inlineStr">
        <is>
          <t>HUDIKSVALL</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60426-2024</t>
        </is>
      </c>
      <c r="B5671" s="1" t="n">
        <v>45643</v>
      </c>
      <c r="C5671" s="1" t="n">
        <v>46086</v>
      </c>
      <c r="D5671" t="inlineStr">
        <is>
          <t>GÄVLEBORGS LÄN</t>
        </is>
      </c>
      <c r="E5671" t="inlineStr">
        <is>
          <t>BOLLNÄS</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15444-2024</t>
        </is>
      </c>
      <c r="B5672" s="1" t="n">
        <v>45401</v>
      </c>
      <c r="C5672" s="1" t="n">
        <v>46086</v>
      </c>
      <c r="D5672" t="inlineStr">
        <is>
          <t>GÄVLEBORGS LÄN</t>
        </is>
      </c>
      <c r="E5672" t="inlineStr">
        <is>
          <t>GÄVLE</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37064-2025</t>
        </is>
      </c>
      <c r="B5673" s="1" t="n">
        <v>45875.38607638889</v>
      </c>
      <c r="C5673" s="1" t="n">
        <v>46086</v>
      </c>
      <c r="D5673" t="inlineStr">
        <is>
          <t>GÄVLEBORGS LÄN</t>
        </is>
      </c>
      <c r="E5673" t="inlineStr">
        <is>
          <t>LJUSDAL</t>
        </is>
      </c>
      <c r="F5673" t="inlineStr">
        <is>
          <t>SCA</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37082-2025</t>
        </is>
      </c>
      <c r="B5674" s="1" t="n">
        <v>45875.44046296296</v>
      </c>
      <c r="C5674" s="1" t="n">
        <v>46086</v>
      </c>
      <c r="D5674" t="inlineStr">
        <is>
          <t>GÄVLEBORGS LÄN</t>
        </is>
      </c>
      <c r="E5674" t="inlineStr">
        <is>
          <t>HUDIKSVALL</t>
        </is>
      </c>
      <c r="F5674" t="inlineStr">
        <is>
          <t>Holmen skog AB</t>
        </is>
      </c>
      <c r="G5674" t="n">
        <v>10.8</v>
      </c>
      <c r="H5674" t="n">
        <v>0</v>
      </c>
      <c r="I5674" t="n">
        <v>0</v>
      </c>
      <c r="J5674" t="n">
        <v>0</v>
      </c>
      <c r="K5674" t="n">
        <v>0</v>
      </c>
      <c r="L5674" t="n">
        <v>0</v>
      </c>
      <c r="M5674" t="n">
        <v>0</v>
      </c>
      <c r="N5674" t="n">
        <v>0</v>
      </c>
      <c r="O5674" t="n">
        <v>0</v>
      </c>
      <c r="P5674" t="n">
        <v>0</v>
      </c>
      <c r="Q5674" t="n">
        <v>0</v>
      </c>
      <c r="R5674" s="2" t="inlineStr"/>
    </row>
    <row r="5675" ht="15" customHeight="1">
      <c r="A5675" t="inlineStr">
        <is>
          <t>A 24933-2024</t>
        </is>
      </c>
      <c r="B5675" s="1" t="n">
        <v>45461</v>
      </c>
      <c r="C5675" s="1" t="n">
        <v>46086</v>
      </c>
      <c r="D5675" t="inlineStr">
        <is>
          <t>GÄVLEBORGS LÄN</t>
        </is>
      </c>
      <c r="E5675" t="inlineStr">
        <is>
          <t>SÖDERHAMN</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48249-2025</t>
        </is>
      </c>
      <c r="B5676" s="1" t="n">
        <v>45933.55248842593</v>
      </c>
      <c r="C5676" s="1" t="n">
        <v>46086</v>
      </c>
      <c r="D5676" t="inlineStr">
        <is>
          <t>GÄVLEBORGS LÄN</t>
        </is>
      </c>
      <c r="E5676" t="inlineStr">
        <is>
          <t>GÄVLE</t>
        </is>
      </c>
      <c r="F5676" t="inlineStr">
        <is>
          <t>Bergvik skog öst AB</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48729-2025</t>
        </is>
      </c>
      <c r="B5677" s="1" t="n">
        <v>45936.65863425926</v>
      </c>
      <c r="C5677" s="1" t="n">
        <v>46086</v>
      </c>
      <c r="D5677" t="inlineStr">
        <is>
          <t>GÄVLEBORGS LÄN</t>
        </is>
      </c>
      <c r="E5677" t="inlineStr">
        <is>
          <t>LJUSDAL</t>
        </is>
      </c>
      <c r="G5677" t="n">
        <v>3.5</v>
      </c>
      <c r="H5677" t="n">
        <v>0</v>
      </c>
      <c r="I5677" t="n">
        <v>0</v>
      </c>
      <c r="J5677" t="n">
        <v>0</v>
      </c>
      <c r="K5677" t="n">
        <v>0</v>
      </c>
      <c r="L5677" t="n">
        <v>0</v>
      </c>
      <c r="M5677" t="n">
        <v>0</v>
      </c>
      <c r="N5677" t="n">
        <v>0</v>
      </c>
      <c r="O5677" t="n">
        <v>0</v>
      </c>
      <c r="P5677" t="n">
        <v>0</v>
      </c>
      <c r="Q5677" t="n">
        <v>0</v>
      </c>
      <c r="R5677" s="2" t="inlineStr"/>
    </row>
    <row r="5678" ht="15" customHeight="1">
      <c r="A5678" t="inlineStr">
        <is>
          <t>A 34284-2024</t>
        </is>
      </c>
      <c r="B5678" s="1" t="n">
        <v>45524.62756944444</v>
      </c>
      <c r="C5678" s="1" t="n">
        <v>46086</v>
      </c>
      <c r="D5678" t="inlineStr">
        <is>
          <t>GÄVLEBORGS LÄN</t>
        </is>
      </c>
      <c r="E5678" t="inlineStr">
        <is>
          <t>HUDIKSVALL</t>
        </is>
      </c>
      <c r="F5678" t="inlineStr">
        <is>
          <t>Holmen skog AB</t>
        </is>
      </c>
      <c r="G5678" t="n">
        <v>4.6</v>
      </c>
      <c r="H5678" t="n">
        <v>0</v>
      </c>
      <c r="I5678" t="n">
        <v>0</v>
      </c>
      <c r="J5678" t="n">
        <v>0</v>
      </c>
      <c r="K5678" t="n">
        <v>0</v>
      </c>
      <c r="L5678" t="n">
        <v>0</v>
      </c>
      <c r="M5678" t="n">
        <v>0</v>
      </c>
      <c r="N5678" t="n">
        <v>0</v>
      </c>
      <c r="O5678" t="n">
        <v>0</v>
      </c>
      <c r="P5678" t="n">
        <v>0</v>
      </c>
      <c r="Q5678" t="n">
        <v>0</v>
      </c>
      <c r="R5678" s="2" t="inlineStr"/>
    </row>
    <row r="5679" ht="15" customHeight="1">
      <c r="A5679" t="inlineStr">
        <is>
          <t>A 59773-2023</t>
        </is>
      </c>
      <c r="B5679" s="1" t="n">
        <v>45257.42979166667</v>
      </c>
      <c r="C5679" s="1" t="n">
        <v>46086</v>
      </c>
      <c r="D5679" t="inlineStr">
        <is>
          <t>GÄVLEBORGS LÄN</t>
        </is>
      </c>
      <c r="E5679" t="inlineStr">
        <is>
          <t>HUDIKSVALL</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48566-2025</t>
        </is>
      </c>
      <c r="B5680" s="1" t="n">
        <v>45936.44791666666</v>
      </c>
      <c r="C5680" s="1" t="n">
        <v>46086</v>
      </c>
      <c r="D5680" t="inlineStr">
        <is>
          <t>GÄVLEBORGS LÄN</t>
        </is>
      </c>
      <c r="E5680" t="inlineStr">
        <is>
          <t>NORDANSTIG</t>
        </is>
      </c>
      <c r="G5680" t="n">
        <v>9</v>
      </c>
      <c r="H5680" t="n">
        <v>0</v>
      </c>
      <c r="I5680" t="n">
        <v>0</v>
      </c>
      <c r="J5680" t="n">
        <v>0</v>
      </c>
      <c r="K5680" t="n">
        <v>0</v>
      </c>
      <c r="L5680" t="n">
        <v>0</v>
      </c>
      <c r="M5680" t="n">
        <v>0</v>
      </c>
      <c r="N5680" t="n">
        <v>0</v>
      </c>
      <c r="O5680" t="n">
        <v>0</v>
      </c>
      <c r="P5680" t="n">
        <v>0</v>
      </c>
      <c r="Q5680" t="n">
        <v>0</v>
      </c>
      <c r="R5680" s="2" t="inlineStr"/>
    </row>
    <row r="5681" ht="15" customHeight="1">
      <c r="A5681" t="inlineStr">
        <is>
          <t>A 26038-2024</t>
        </is>
      </c>
      <c r="B5681" s="1" t="n">
        <v>45468.26278935185</v>
      </c>
      <c r="C5681" s="1" t="n">
        <v>46086</v>
      </c>
      <c r="D5681" t="inlineStr">
        <is>
          <t>GÄVLEBORGS LÄN</t>
        </is>
      </c>
      <c r="E5681" t="inlineStr">
        <is>
          <t>BOLLNÄS</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48694-2025</t>
        </is>
      </c>
      <c r="B5682" s="1" t="n">
        <v>45936.61392361111</v>
      </c>
      <c r="C5682" s="1" t="n">
        <v>46086</v>
      </c>
      <c r="D5682" t="inlineStr">
        <is>
          <t>GÄVLEBORGS LÄN</t>
        </is>
      </c>
      <c r="E5682" t="inlineStr">
        <is>
          <t>LJUSDAL</t>
        </is>
      </c>
      <c r="G5682" t="n">
        <v>7.5</v>
      </c>
      <c r="H5682" t="n">
        <v>0</v>
      </c>
      <c r="I5682" t="n">
        <v>0</v>
      </c>
      <c r="J5682" t="n">
        <v>0</v>
      </c>
      <c r="K5682" t="n">
        <v>0</v>
      </c>
      <c r="L5682" t="n">
        <v>0</v>
      </c>
      <c r="M5682" t="n">
        <v>0</v>
      </c>
      <c r="N5682" t="n">
        <v>0</v>
      </c>
      <c r="O5682" t="n">
        <v>0</v>
      </c>
      <c r="P5682" t="n">
        <v>0</v>
      </c>
      <c r="Q5682" t="n">
        <v>0</v>
      </c>
      <c r="R5682" s="2" t="inlineStr"/>
    </row>
    <row r="5683" ht="15" customHeight="1">
      <c r="A5683" t="inlineStr">
        <is>
          <t>A 48612-2025</t>
        </is>
      </c>
      <c r="B5683" s="1" t="n">
        <v>45935</v>
      </c>
      <c r="C5683" s="1" t="n">
        <v>46086</v>
      </c>
      <c r="D5683" t="inlineStr">
        <is>
          <t>GÄVLEBORGS LÄN</t>
        </is>
      </c>
      <c r="E5683" t="inlineStr">
        <is>
          <t>HOFORS</t>
        </is>
      </c>
      <c r="F5683" t="inlineStr">
        <is>
          <t>Bergvik skog väst AB</t>
        </is>
      </c>
      <c r="G5683" t="n">
        <v>5.3</v>
      </c>
      <c r="H5683" t="n">
        <v>0</v>
      </c>
      <c r="I5683" t="n">
        <v>0</v>
      </c>
      <c r="J5683" t="n">
        <v>0</v>
      </c>
      <c r="K5683" t="n">
        <v>0</v>
      </c>
      <c r="L5683" t="n">
        <v>0</v>
      </c>
      <c r="M5683" t="n">
        <v>0</v>
      </c>
      <c r="N5683" t="n">
        <v>0</v>
      </c>
      <c r="O5683" t="n">
        <v>0</v>
      </c>
      <c r="P5683" t="n">
        <v>0</v>
      </c>
      <c r="Q5683" t="n">
        <v>0</v>
      </c>
      <c r="R5683" s="2" t="inlineStr"/>
    </row>
    <row r="5684" ht="15" customHeight="1">
      <c r="A5684" t="inlineStr">
        <is>
          <t>A 37056-2025</t>
        </is>
      </c>
      <c r="B5684" s="1" t="n">
        <v>45875.37350694444</v>
      </c>
      <c r="C5684" s="1" t="n">
        <v>46086</v>
      </c>
      <c r="D5684" t="inlineStr">
        <is>
          <t>GÄVLEBORGS LÄN</t>
        </is>
      </c>
      <c r="E5684" t="inlineStr">
        <is>
          <t>SÖDERHAMN</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35268-2022</t>
        </is>
      </c>
      <c r="B5685" s="1" t="n">
        <v>44798.37648148148</v>
      </c>
      <c r="C5685" s="1" t="n">
        <v>46086</v>
      </c>
      <c r="D5685" t="inlineStr">
        <is>
          <t>GÄVLEBORGS LÄN</t>
        </is>
      </c>
      <c r="E5685" t="inlineStr">
        <is>
          <t>HUDIKSVALL</t>
        </is>
      </c>
      <c r="F5685" t="inlineStr">
        <is>
          <t>Holmen skog AB</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48634-2025</t>
        </is>
      </c>
      <c r="B5686" s="1" t="n">
        <v>45936.5131712963</v>
      </c>
      <c r="C5686" s="1" t="n">
        <v>46086</v>
      </c>
      <c r="D5686" t="inlineStr">
        <is>
          <t>GÄVLEBORGS LÄN</t>
        </is>
      </c>
      <c r="E5686" t="inlineStr">
        <is>
          <t>LJUSDAL</t>
        </is>
      </c>
      <c r="F5686" t="inlineStr">
        <is>
          <t>Holmen skog AB</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48635-2025</t>
        </is>
      </c>
      <c r="B5687" s="1" t="n">
        <v>45936.51425925926</v>
      </c>
      <c r="C5687" s="1" t="n">
        <v>46086</v>
      </c>
      <c r="D5687" t="inlineStr">
        <is>
          <t>GÄVLEBORGS LÄN</t>
        </is>
      </c>
      <c r="E5687" t="inlineStr">
        <is>
          <t>LJUSDAL</t>
        </is>
      </c>
      <c r="F5687" t="inlineStr">
        <is>
          <t>Holmen skog AB</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51760-2025</t>
        </is>
      </c>
      <c r="B5688" s="1" t="n">
        <v>45951.63523148148</v>
      </c>
      <c r="C5688" s="1" t="n">
        <v>46086</v>
      </c>
      <c r="D5688" t="inlineStr">
        <is>
          <t>GÄVLEBORGS LÄN</t>
        </is>
      </c>
      <c r="E5688" t="inlineStr">
        <is>
          <t>HUDIKSVALL</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40476-2024</t>
        </is>
      </c>
      <c r="B5689" s="1" t="n">
        <v>45555.54435185185</v>
      </c>
      <c r="C5689" s="1" t="n">
        <v>46086</v>
      </c>
      <c r="D5689" t="inlineStr">
        <is>
          <t>GÄVLEBORGS LÄN</t>
        </is>
      </c>
      <c r="E5689" t="inlineStr">
        <is>
          <t>OVANÅKER</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36836-2025</t>
        </is>
      </c>
      <c r="B5690" s="1" t="n">
        <v>45874.36065972222</v>
      </c>
      <c r="C5690" s="1" t="n">
        <v>46086</v>
      </c>
      <c r="D5690" t="inlineStr">
        <is>
          <t>GÄVLEBORGS LÄN</t>
        </is>
      </c>
      <c r="E5690" t="inlineStr">
        <is>
          <t>OVANÅKER</t>
        </is>
      </c>
      <c r="G5690" t="n">
        <v>4.5</v>
      </c>
      <c r="H5690" t="n">
        <v>0</v>
      </c>
      <c r="I5690" t="n">
        <v>0</v>
      </c>
      <c r="J5690" t="n">
        <v>0</v>
      </c>
      <c r="K5690" t="n">
        <v>0</v>
      </c>
      <c r="L5690" t="n">
        <v>0</v>
      </c>
      <c r="M5690" t="n">
        <v>0</v>
      </c>
      <c r="N5690" t="n">
        <v>0</v>
      </c>
      <c r="O5690" t="n">
        <v>0</v>
      </c>
      <c r="P5690" t="n">
        <v>0</v>
      </c>
      <c r="Q5690" t="n">
        <v>0</v>
      </c>
      <c r="R5690" s="2" t="inlineStr"/>
    </row>
    <row r="5691" ht="15" customHeight="1">
      <c r="A5691" t="inlineStr">
        <is>
          <t>A 37094-2025</t>
        </is>
      </c>
      <c r="B5691" s="1" t="n">
        <v>45875.46909722222</v>
      </c>
      <c r="C5691" s="1" t="n">
        <v>46086</v>
      </c>
      <c r="D5691" t="inlineStr">
        <is>
          <t>GÄVLEBORGS LÄN</t>
        </is>
      </c>
      <c r="E5691" t="inlineStr">
        <is>
          <t>BOLLNÄS</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37115-2025</t>
        </is>
      </c>
      <c r="B5692" s="1" t="n">
        <v>45875.51137731481</v>
      </c>
      <c r="C5692" s="1" t="n">
        <v>46086</v>
      </c>
      <c r="D5692" t="inlineStr">
        <is>
          <t>GÄVLEBORGS LÄN</t>
        </is>
      </c>
      <c r="E5692" t="inlineStr">
        <is>
          <t>LJUSDAL</t>
        </is>
      </c>
      <c r="F5692" t="inlineStr">
        <is>
          <t>SCA</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37146-2025</t>
        </is>
      </c>
      <c r="B5693" s="1" t="n">
        <v>45875.57041666667</v>
      </c>
      <c r="C5693" s="1" t="n">
        <v>46086</v>
      </c>
      <c r="D5693" t="inlineStr">
        <is>
          <t>GÄVLEBORGS LÄN</t>
        </is>
      </c>
      <c r="E5693" t="inlineStr">
        <is>
          <t>GÄVLE</t>
        </is>
      </c>
      <c r="F5693" t="inlineStr">
        <is>
          <t>Bergvik skog väst AB</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48715-2025</t>
        </is>
      </c>
      <c r="B5694" s="1" t="n">
        <v>45936.63667824074</v>
      </c>
      <c r="C5694" s="1" t="n">
        <v>46086</v>
      </c>
      <c r="D5694" t="inlineStr">
        <is>
          <t>GÄVLEBORGS LÄN</t>
        </is>
      </c>
      <c r="E5694" t="inlineStr">
        <is>
          <t>NORDANSTIG</t>
        </is>
      </c>
      <c r="F5694" t="inlineStr">
        <is>
          <t>Holmen skog AB</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48724-2025</t>
        </is>
      </c>
      <c r="B5695" s="1" t="n">
        <v>45936.65136574074</v>
      </c>
      <c r="C5695" s="1" t="n">
        <v>46086</v>
      </c>
      <c r="D5695" t="inlineStr">
        <is>
          <t>GÄVLEBORGS LÄN</t>
        </is>
      </c>
      <c r="E5695" t="inlineStr">
        <is>
          <t>NORDANSTIG</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48963-2025</t>
        </is>
      </c>
      <c r="B5696" s="1" t="n">
        <v>45936</v>
      </c>
      <c r="C5696" s="1" t="n">
        <v>46086</v>
      </c>
      <c r="D5696" t="inlineStr">
        <is>
          <t>GÄVLEBORGS LÄN</t>
        </is>
      </c>
      <c r="E5696" t="inlineStr">
        <is>
          <t>SANDVIKEN</t>
        </is>
      </c>
      <c r="F5696" t="inlineStr">
        <is>
          <t>Bergvik skog väst AB</t>
        </is>
      </c>
      <c r="G5696" t="n">
        <v>10.1</v>
      </c>
      <c r="H5696" t="n">
        <v>0</v>
      </c>
      <c r="I5696" t="n">
        <v>0</v>
      </c>
      <c r="J5696" t="n">
        <v>0</v>
      </c>
      <c r="K5696" t="n">
        <v>0</v>
      </c>
      <c r="L5696" t="n">
        <v>0</v>
      </c>
      <c r="M5696" t="n">
        <v>0</v>
      </c>
      <c r="N5696" t="n">
        <v>0</v>
      </c>
      <c r="O5696" t="n">
        <v>0</v>
      </c>
      <c r="P5696" t="n">
        <v>0</v>
      </c>
      <c r="Q5696" t="n">
        <v>0</v>
      </c>
      <c r="R5696" s="2" t="inlineStr"/>
    </row>
    <row r="5697" ht="15" customHeight="1">
      <c r="A5697" t="inlineStr">
        <is>
          <t>A 36918-2025</t>
        </is>
      </c>
      <c r="B5697" s="1" t="n">
        <v>45874.51417824074</v>
      </c>
      <c r="C5697" s="1" t="n">
        <v>46086</v>
      </c>
      <c r="D5697" t="inlineStr">
        <is>
          <t>GÄVLEBORGS LÄN</t>
        </is>
      </c>
      <c r="E5697" t="inlineStr">
        <is>
          <t>HUDIKSVALL</t>
        </is>
      </c>
      <c r="G5697" t="n">
        <v>4</v>
      </c>
      <c r="H5697" t="n">
        <v>0</v>
      </c>
      <c r="I5697" t="n">
        <v>0</v>
      </c>
      <c r="J5697" t="n">
        <v>0</v>
      </c>
      <c r="K5697" t="n">
        <v>0</v>
      </c>
      <c r="L5697" t="n">
        <v>0</v>
      </c>
      <c r="M5697" t="n">
        <v>0</v>
      </c>
      <c r="N5697" t="n">
        <v>0</v>
      </c>
      <c r="O5697" t="n">
        <v>0</v>
      </c>
      <c r="P5697" t="n">
        <v>0</v>
      </c>
      <c r="Q5697" t="n">
        <v>0</v>
      </c>
      <c r="R5697" s="2" t="inlineStr"/>
    </row>
    <row r="5698" ht="15" customHeight="1">
      <c r="A5698" t="inlineStr">
        <is>
          <t>A 48670-2025</t>
        </is>
      </c>
      <c r="B5698" s="1" t="n">
        <v>45936.57745370371</v>
      </c>
      <c r="C5698" s="1" t="n">
        <v>46086</v>
      </c>
      <c r="D5698" t="inlineStr">
        <is>
          <t>GÄVLEBORGS LÄN</t>
        </is>
      </c>
      <c r="E5698" t="inlineStr">
        <is>
          <t>GÄVLE</t>
        </is>
      </c>
      <c r="F5698" t="inlineStr">
        <is>
          <t>Bergvik skog öst AB</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42540-2024</t>
        </is>
      </c>
      <c r="B5699" s="1" t="n">
        <v>45565.58765046296</v>
      </c>
      <c r="C5699" s="1" t="n">
        <v>46086</v>
      </c>
      <c r="D5699" t="inlineStr">
        <is>
          <t>GÄVLEBORGS LÄN</t>
        </is>
      </c>
      <c r="E5699" t="inlineStr">
        <is>
          <t>LJUSDAL</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37083-2025</t>
        </is>
      </c>
      <c r="B5700" s="1" t="n">
        <v>45875.44768518519</v>
      </c>
      <c r="C5700" s="1" t="n">
        <v>46086</v>
      </c>
      <c r="D5700" t="inlineStr">
        <is>
          <t>GÄVLEBORGS LÄN</t>
        </is>
      </c>
      <c r="E5700" t="inlineStr">
        <is>
          <t>HUDIKSVALL</t>
        </is>
      </c>
      <c r="F5700" t="inlineStr">
        <is>
          <t>Holmen skog AB</t>
        </is>
      </c>
      <c r="G5700" t="n">
        <v>6.4</v>
      </c>
      <c r="H5700" t="n">
        <v>0</v>
      </c>
      <c r="I5700" t="n">
        <v>0</v>
      </c>
      <c r="J5700" t="n">
        <v>0</v>
      </c>
      <c r="K5700" t="n">
        <v>0</v>
      </c>
      <c r="L5700" t="n">
        <v>0</v>
      </c>
      <c r="M5700" t="n">
        <v>0</v>
      </c>
      <c r="N5700" t="n">
        <v>0</v>
      </c>
      <c r="O5700" t="n">
        <v>0</v>
      </c>
      <c r="P5700" t="n">
        <v>0</v>
      </c>
      <c r="Q5700" t="n">
        <v>0</v>
      </c>
      <c r="R5700" s="2" t="inlineStr"/>
    </row>
    <row r="5701" ht="15" customHeight="1">
      <c r="A5701" t="inlineStr">
        <is>
          <t>A 48580-2025</t>
        </is>
      </c>
      <c r="B5701" s="1" t="n">
        <v>45936.45487268519</v>
      </c>
      <c r="C5701" s="1" t="n">
        <v>46086</v>
      </c>
      <c r="D5701" t="inlineStr">
        <is>
          <t>GÄVLEBORGS LÄN</t>
        </is>
      </c>
      <c r="E5701" t="inlineStr">
        <is>
          <t>LJUSDAL</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52787-2024</t>
        </is>
      </c>
      <c r="B5702" s="1" t="n">
        <v>45610.55293981481</v>
      </c>
      <c r="C5702" s="1" t="n">
        <v>46086</v>
      </c>
      <c r="D5702" t="inlineStr">
        <is>
          <t>GÄVLEBORGS LÄN</t>
        </is>
      </c>
      <c r="E5702" t="inlineStr">
        <is>
          <t>LJUSDAL</t>
        </is>
      </c>
      <c r="F5702" t="inlineStr">
        <is>
          <t>SCA</t>
        </is>
      </c>
      <c r="G5702" t="n">
        <v>4.7</v>
      </c>
      <c r="H5702" t="n">
        <v>0</v>
      </c>
      <c r="I5702" t="n">
        <v>0</v>
      </c>
      <c r="J5702" t="n">
        <v>0</v>
      </c>
      <c r="K5702" t="n">
        <v>0</v>
      </c>
      <c r="L5702" t="n">
        <v>0</v>
      </c>
      <c r="M5702" t="n">
        <v>0</v>
      </c>
      <c r="N5702" t="n">
        <v>0</v>
      </c>
      <c r="O5702" t="n">
        <v>0</v>
      </c>
      <c r="P5702" t="n">
        <v>0</v>
      </c>
      <c r="Q5702" t="n">
        <v>0</v>
      </c>
      <c r="R5702" s="2" t="inlineStr"/>
    </row>
    <row r="5703" ht="15" customHeight="1">
      <c r="A5703" t="inlineStr">
        <is>
          <t>A 37095-2025</t>
        </is>
      </c>
      <c r="B5703" s="1" t="n">
        <v>45875.46927083333</v>
      </c>
      <c r="C5703" s="1" t="n">
        <v>46086</v>
      </c>
      <c r="D5703" t="inlineStr">
        <is>
          <t>GÄVLEBORGS LÄN</t>
        </is>
      </c>
      <c r="E5703" t="inlineStr">
        <is>
          <t>LJUSDAL</t>
        </is>
      </c>
      <c r="F5703" t="inlineStr">
        <is>
          <t>SCA</t>
        </is>
      </c>
      <c r="G5703" t="n">
        <v>4.2</v>
      </c>
      <c r="H5703" t="n">
        <v>0</v>
      </c>
      <c r="I5703" t="n">
        <v>0</v>
      </c>
      <c r="J5703" t="n">
        <v>0</v>
      </c>
      <c r="K5703" t="n">
        <v>0</v>
      </c>
      <c r="L5703" t="n">
        <v>0</v>
      </c>
      <c r="M5703" t="n">
        <v>0</v>
      </c>
      <c r="N5703" t="n">
        <v>0</v>
      </c>
      <c r="O5703" t="n">
        <v>0</v>
      </c>
      <c r="P5703" t="n">
        <v>0</v>
      </c>
      <c r="Q5703" t="n">
        <v>0</v>
      </c>
      <c r="R5703" s="2" t="inlineStr"/>
    </row>
    <row r="5704" ht="15" customHeight="1">
      <c r="A5704" t="inlineStr">
        <is>
          <t>A 44227-2024</t>
        </is>
      </c>
      <c r="B5704" s="1" t="n">
        <v>45573.39623842593</v>
      </c>
      <c r="C5704" s="1" t="n">
        <v>46086</v>
      </c>
      <c r="D5704" t="inlineStr">
        <is>
          <t>GÄVLEBORGS LÄN</t>
        </is>
      </c>
      <c r="E5704" t="inlineStr">
        <is>
          <t>HUDIKSVALL</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64019-2023</t>
        </is>
      </c>
      <c r="B5705" s="1" t="n">
        <v>45278.92652777778</v>
      </c>
      <c r="C5705" s="1" t="n">
        <v>46086</v>
      </c>
      <c r="D5705" t="inlineStr">
        <is>
          <t>GÄVLEBORGS LÄN</t>
        </is>
      </c>
      <c r="E5705" t="inlineStr">
        <is>
          <t>LJUSDAL</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37112-2025</t>
        </is>
      </c>
      <c r="B5706" s="1" t="n">
        <v>45875.51082175926</v>
      </c>
      <c r="C5706" s="1" t="n">
        <v>46086</v>
      </c>
      <c r="D5706" t="inlineStr">
        <is>
          <t>GÄVLEBORGS LÄN</t>
        </is>
      </c>
      <c r="E5706" t="inlineStr">
        <is>
          <t>LJUSDAL</t>
        </is>
      </c>
      <c r="F5706" t="inlineStr">
        <is>
          <t>SCA</t>
        </is>
      </c>
      <c r="G5706" t="n">
        <v>4.9</v>
      </c>
      <c r="H5706" t="n">
        <v>0</v>
      </c>
      <c r="I5706" t="n">
        <v>0</v>
      </c>
      <c r="J5706" t="n">
        <v>0</v>
      </c>
      <c r="K5706" t="n">
        <v>0</v>
      </c>
      <c r="L5706" t="n">
        <v>0</v>
      </c>
      <c r="M5706" t="n">
        <v>0</v>
      </c>
      <c r="N5706" t="n">
        <v>0</v>
      </c>
      <c r="O5706" t="n">
        <v>0</v>
      </c>
      <c r="P5706" t="n">
        <v>0</v>
      </c>
      <c r="Q5706" t="n">
        <v>0</v>
      </c>
      <c r="R5706" s="2" t="inlineStr"/>
    </row>
    <row r="5707" ht="15" customHeight="1">
      <c r="A5707" t="inlineStr">
        <is>
          <t>A 48557-2025</t>
        </is>
      </c>
      <c r="B5707" s="1" t="n">
        <v>45936.42877314815</v>
      </c>
      <c r="C5707" s="1" t="n">
        <v>46086</v>
      </c>
      <c r="D5707" t="inlineStr">
        <is>
          <t>GÄVLEBORGS LÄN</t>
        </is>
      </c>
      <c r="E5707" t="inlineStr">
        <is>
          <t>SANDVIKEN</t>
        </is>
      </c>
      <c r="G5707" t="n">
        <v>3.3</v>
      </c>
      <c r="H5707" t="n">
        <v>0</v>
      </c>
      <c r="I5707" t="n">
        <v>0</v>
      </c>
      <c r="J5707" t="n">
        <v>0</v>
      </c>
      <c r="K5707" t="n">
        <v>0</v>
      </c>
      <c r="L5707" t="n">
        <v>0</v>
      </c>
      <c r="M5707" t="n">
        <v>0</v>
      </c>
      <c r="N5707" t="n">
        <v>0</v>
      </c>
      <c r="O5707" t="n">
        <v>0</v>
      </c>
      <c r="P5707" t="n">
        <v>0</v>
      </c>
      <c r="Q5707" t="n">
        <v>0</v>
      </c>
      <c r="R5707" s="2" t="inlineStr"/>
    </row>
    <row r="5708" ht="15" customHeight="1">
      <c r="A5708" t="inlineStr">
        <is>
          <t>A 48631-2025</t>
        </is>
      </c>
      <c r="B5708" s="1" t="n">
        <v>45936.51170138889</v>
      </c>
      <c r="C5708" s="1" t="n">
        <v>46086</v>
      </c>
      <c r="D5708" t="inlineStr">
        <is>
          <t>GÄVLEBORGS LÄN</t>
        </is>
      </c>
      <c r="E5708" t="inlineStr">
        <is>
          <t>LJUSDAL</t>
        </is>
      </c>
      <c r="F5708" t="inlineStr">
        <is>
          <t>Holmen skog AB</t>
        </is>
      </c>
      <c r="G5708" t="n">
        <v>13.7</v>
      </c>
      <c r="H5708" t="n">
        <v>0</v>
      </c>
      <c r="I5708" t="n">
        <v>0</v>
      </c>
      <c r="J5708" t="n">
        <v>0</v>
      </c>
      <c r="K5708" t="n">
        <v>0</v>
      </c>
      <c r="L5708" t="n">
        <v>0</v>
      </c>
      <c r="M5708" t="n">
        <v>0</v>
      </c>
      <c r="N5708" t="n">
        <v>0</v>
      </c>
      <c r="O5708" t="n">
        <v>0</v>
      </c>
      <c r="P5708" t="n">
        <v>0</v>
      </c>
      <c r="Q5708" t="n">
        <v>0</v>
      </c>
      <c r="R5708" s="2" t="inlineStr"/>
    </row>
    <row r="5709" ht="15" customHeight="1">
      <c r="A5709" t="inlineStr">
        <is>
          <t>A 43498-2025</t>
        </is>
      </c>
      <c r="B5709" s="1" t="n">
        <v>45911.52769675926</v>
      </c>
      <c r="C5709" s="1" t="n">
        <v>46086</v>
      </c>
      <c r="D5709" t="inlineStr">
        <is>
          <t>GÄVLEBORGS LÄN</t>
        </is>
      </c>
      <c r="E5709" t="inlineStr">
        <is>
          <t>GÄVLE</t>
        </is>
      </c>
      <c r="F5709" t="inlineStr">
        <is>
          <t>Bergvik skog öst AB</t>
        </is>
      </c>
      <c r="G5709" t="n">
        <v>5.5</v>
      </c>
      <c r="H5709" t="n">
        <v>0</v>
      </c>
      <c r="I5709" t="n">
        <v>0</v>
      </c>
      <c r="J5709" t="n">
        <v>0</v>
      </c>
      <c r="K5709" t="n">
        <v>0</v>
      </c>
      <c r="L5709" t="n">
        <v>0</v>
      </c>
      <c r="M5709" t="n">
        <v>0</v>
      </c>
      <c r="N5709" t="n">
        <v>0</v>
      </c>
      <c r="O5709" t="n">
        <v>0</v>
      </c>
      <c r="P5709" t="n">
        <v>0</v>
      </c>
      <c r="Q5709" t="n">
        <v>0</v>
      </c>
      <c r="R5709" s="2" t="inlineStr"/>
    </row>
    <row r="5710" ht="15" customHeight="1">
      <c r="A5710" t="inlineStr">
        <is>
          <t>A 48447-2025</t>
        </is>
      </c>
      <c r="B5710" s="1" t="n">
        <v>45935.64613425926</v>
      </c>
      <c r="C5710" s="1" t="n">
        <v>46086</v>
      </c>
      <c r="D5710" t="inlineStr">
        <is>
          <t>GÄVLEBORGS LÄN</t>
        </is>
      </c>
      <c r="E5710" t="inlineStr">
        <is>
          <t>HUDIKSVALL</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35433-2022</t>
        </is>
      </c>
      <c r="B5711" s="1" t="n">
        <v>44798</v>
      </c>
      <c r="C5711" s="1" t="n">
        <v>46086</v>
      </c>
      <c r="D5711" t="inlineStr">
        <is>
          <t>GÄVLEBORGS LÄN</t>
        </is>
      </c>
      <c r="E5711" t="inlineStr">
        <is>
          <t>HUDIKSVALL</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37055-2025</t>
        </is>
      </c>
      <c r="B5712" s="1" t="n">
        <v>45875.37060185185</v>
      </c>
      <c r="C5712" s="1" t="n">
        <v>46086</v>
      </c>
      <c r="D5712" t="inlineStr">
        <is>
          <t>GÄVLEBORGS LÄN</t>
        </is>
      </c>
      <c r="E5712" t="inlineStr">
        <is>
          <t>SÖDERHAMN</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48725-2025</t>
        </is>
      </c>
      <c r="B5713" s="1" t="n">
        <v>45936.65416666667</v>
      </c>
      <c r="C5713" s="1" t="n">
        <v>46086</v>
      </c>
      <c r="D5713" t="inlineStr">
        <is>
          <t>GÄVLEBORGS LÄN</t>
        </is>
      </c>
      <c r="E5713" t="inlineStr">
        <is>
          <t>LJUSDAL</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24445-2023</t>
        </is>
      </c>
      <c r="B5714" s="1" t="n">
        <v>45082.541875</v>
      </c>
      <c r="C5714" s="1" t="n">
        <v>46086</v>
      </c>
      <c r="D5714" t="inlineStr">
        <is>
          <t>GÄVLEBORGS LÄN</t>
        </is>
      </c>
      <c r="E5714" t="inlineStr">
        <is>
          <t>HUDIKSVALL</t>
        </is>
      </c>
      <c r="F5714" t="inlineStr">
        <is>
          <t>Holmen skog AB</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48439-2025</t>
        </is>
      </c>
      <c r="B5715" s="1" t="n">
        <v>45935.48214120371</v>
      </c>
      <c r="C5715" s="1" t="n">
        <v>46086</v>
      </c>
      <c r="D5715" t="inlineStr">
        <is>
          <t>GÄVLEBORGS LÄN</t>
        </is>
      </c>
      <c r="E5715" t="inlineStr">
        <is>
          <t>OVANÅKER</t>
        </is>
      </c>
      <c r="G5715" t="n">
        <v>5</v>
      </c>
      <c r="H5715" t="n">
        <v>0</v>
      </c>
      <c r="I5715" t="n">
        <v>0</v>
      </c>
      <c r="J5715" t="n">
        <v>0</v>
      </c>
      <c r="K5715" t="n">
        <v>0</v>
      </c>
      <c r="L5715" t="n">
        <v>0</v>
      </c>
      <c r="M5715" t="n">
        <v>0</v>
      </c>
      <c r="N5715" t="n">
        <v>0</v>
      </c>
      <c r="O5715" t="n">
        <v>0</v>
      </c>
      <c r="P5715" t="n">
        <v>0</v>
      </c>
      <c r="Q5715" t="n">
        <v>0</v>
      </c>
      <c r="R5715" s="2" t="inlineStr"/>
    </row>
    <row r="5716" ht="15" customHeight="1">
      <c r="A5716" t="inlineStr">
        <is>
          <t>A 47841-2023</t>
        </is>
      </c>
      <c r="B5716" s="1" t="n">
        <v>45204</v>
      </c>
      <c r="C5716" s="1" t="n">
        <v>46086</v>
      </c>
      <c r="D5716" t="inlineStr">
        <is>
          <t>GÄVLEBORGS LÄN</t>
        </is>
      </c>
      <c r="E5716" t="inlineStr">
        <is>
          <t>OCKELBO</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47852-2023</t>
        </is>
      </c>
      <c r="B5717" s="1" t="n">
        <v>45204</v>
      </c>
      <c r="C5717" s="1" t="n">
        <v>46086</v>
      </c>
      <c r="D5717" t="inlineStr">
        <is>
          <t>GÄVLEBORGS LÄN</t>
        </is>
      </c>
      <c r="E5717" t="inlineStr">
        <is>
          <t>BOLLNÄS</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42317-2025</t>
        </is>
      </c>
      <c r="B5718" s="1" t="n">
        <v>45904.66563657407</v>
      </c>
      <c r="C5718" s="1" t="n">
        <v>46086</v>
      </c>
      <c r="D5718" t="inlineStr">
        <is>
          <t>GÄVLEBORGS LÄN</t>
        </is>
      </c>
      <c r="E5718" t="inlineStr">
        <is>
          <t>LJUSDAL</t>
        </is>
      </c>
      <c r="G5718" t="n">
        <v>4.3</v>
      </c>
      <c r="H5718" t="n">
        <v>0</v>
      </c>
      <c r="I5718" t="n">
        <v>0</v>
      </c>
      <c r="J5718" t="n">
        <v>0</v>
      </c>
      <c r="K5718" t="n">
        <v>0</v>
      </c>
      <c r="L5718" t="n">
        <v>0</v>
      </c>
      <c r="M5718" t="n">
        <v>0</v>
      </c>
      <c r="N5718" t="n">
        <v>0</v>
      </c>
      <c r="O5718" t="n">
        <v>0</v>
      </c>
      <c r="P5718" t="n">
        <v>0</v>
      </c>
      <c r="Q5718" t="n">
        <v>0</v>
      </c>
      <c r="R5718" s="2" t="inlineStr"/>
    </row>
    <row r="5719" ht="15" customHeight="1">
      <c r="A5719" t="inlineStr">
        <is>
          <t>A 57609-2023</t>
        </is>
      </c>
      <c r="B5719" s="1" t="n">
        <v>45246.5606712963</v>
      </c>
      <c r="C5719" s="1" t="n">
        <v>46086</v>
      </c>
      <c r="D5719" t="inlineStr">
        <is>
          <t>GÄVLEBORGS LÄN</t>
        </is>
      </c>
      <c r="E5719" t="inlineStr">
        <is>
          <t>SANDVIKEN</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48448-2025</t>
        </is>
      </c>
      <c r="B5720" s="1" t="n">
        <v>45935.65700231482</v>
      </c>
      <c r="C5720" s="1" t="n">
        <v>46086</v>
      </c>
      <c r="D5720" t="inlineStr">
        <is>
          <t>GÄVLEBORGS LÄN</t>
        </is>
      </c>
      <c r="E5720" t="inlineStr">
        <is>
          <t>HUDIKSVALL</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48579-2025</t>
        </is>
      </c>
      <c r="B5721" s="1" t="n">
        <v>45936.45458333333</v>
      </c>
      <c r="C5721" s="1" t="n">
        <v>46086</v>
      </c>
      <c r="D5721" t="inlineStr">
        <is>
          <t>GÄVLEBORGS LÄN</t>
        </is>
      </c>
      <c r="E5721" t="inlineStr">
        <is>
          <t>LJUSDAL</t>
        </is>
      </c>
      <c r="F5721" t="inlineStr">
        <is>
          <t>Allmännings- och besparingsskogar</t>
        </is>
      </c>
      <c r="G5721" t="n">
        <v>7.6</v>
      </c>
      <c r="H5721" t="n">
        <v>0</v>
      </c>
      <c r="I5721" t="n">
        <v>0</v>
      </c>
      <c r="J5721" t="n">
        <v>0</v>
      </c>
      <c r="K5721" t="n">
        <v>0</v>
      </c>
      <c r="L5721" t="n">
        <v>0</v>
      </c>
      <c r="M5721" t="n">
        <v>0</v>
      </c>
      <c r="N5721" t="n">
        <v>0</v>
      </c>
      <c r="O5721" t="n">
        <v>0</v>
      </c>
      <c r="P5721" t="n">
        <v>0</v>
      </c>
      <c r="Q5721" t="n">
        <v>0</v>
      </c>
      <c r="R5721" s="2" t="inlineStr"/>
    </row>
    <row r="5722" ht="15" customHeight="1">
      <c r="A5722" t="inlineStr">
        <is>
          <t>A 36921-2025</t>
        </is>
      </c>
      <c r="B5722" s="1" t="n">
        <v>45874.53881944445</v>
      </c>
      <c r="C5722" s="1" t="n">
        <v>46086</v>
      </c>
      <c r="D5722" t="inlineStr">
        <is>
          <t>GÄVLEBORGS LÄN</t>
        </is>
      </c>
      <c r="E5722" t="inlineStr">
        <is>
          <t>HUDIKSVALL</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48677-2025</t>
        </is>
      </c>
      <c r="B5723" s="1" t="n">
        <v>45936.59133101852</v>
      </c>
      <c r="C5723" s="1" t="n">
        <v>46086</v>
      </c>
      <c r="D5723" t="inlineStr">
        <is>
          <t>GÄVLEBORGS LÄN</t>
        </is>
      </c>
      <c r="E5723" t="inlineStr">
        <is>
          <t>NORDANSTIG</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36647-2025</t>
        </is>
      </c>
      <c r="B5724" s="1" t="n">
        <v>45872</v>
      </c>
      <c r="C5724" s="1" t="n">
        <v>46086</v>
      </c>
      <c r="D5724" t="inlineStr">
        <is>
          <t>GÄVLEBORGS LÄN</t>
        </is>
      </c>
      <c r="E5724" t="inlineStr">
        <is>
          <t>HUDIKSVALL</t>
        </is>
      </c>
      <c r="F5724" t="inlineStr">
        <is>
          <t>Holmen skog AB</t>
        </is>
      </c>
      <c r="G5724" t="n">
        <v>8.199999999999999</v>
      </c>
      <c r="H5724" t="n">
        <v>0</v>
      </c>
      <c r="I5724" t="n">
        <v>0</v>
      </c>
      <c r="J5724" t="n">
        <v>0</v>
      </c>
      <c r="K5724" t="n">
        <v>0</v>
      </c>
      <c r="L5724" t="n">
        <v>0</v>
      </c>
      <c r="M5724" t="n">
        <v>0</v>
      </c>
      <c r="N5724" t="n">
        <v>0</v>
      </c>
      <c r="O5724" t="n">
        <v>0</v>
      </c>
      <c r="P5724" t="n">
        <v>0</v>
      </c>
      <c r="Q5724" t="n">
        <v>0</v>
      </c>
      <c r="R5724" s="2" t="inlineStr"/>
    </row>
    <row r="5725" ht="15" customHeight="1">
      <c r="A5725" t="inlineStr">
        <is>
          <t>A 14871-2025</t>
        </is>
      </c>
      <c r="B5725" s="1" t="n">
        <v>45743</v>
      </c>
      <c r="C5725" s="1" t="n">
        <v>46086</v>
      </c>
      <c r="D5725" t="inlineStr">
        <is>
          <t>GÄVLEBORGS LÄN</t>
        </is>
      </c>
      <c r="E5725" t="inlineStr">
        <is>
          <t>LJUSDAL</t>
        </is>
      </c>
      <c r="G5725" t="n">
        <v>10.9</v>
      </c>
      <c r="H5725" t="n">
        <v>0</v>
      </c>
      <c r="I5725" t="n">
        <v>0</v>
      </c>
      <c r="J5725" t="n">
        <v>0</v>
      </c>
      <c r="K5725" t="n">
        <v>0</v>
      </c>
      <c r="L5725" t="n">
        <v>0</v>
      </c>
      <c r="M5725" t="n">
        <v>0</v>
      </c>
      <c r="N5725" t="n">
        <v>0</v>
      </c>
      <c r="O5725" t="n">
        <v>0</v>
      </c>
      <c r="P5725" t="n">
        <v>0</v>
      </c>
      <c r="Q5725" t="n">
        <v>0</v>
      </c>
      <c r="R5725" s="2" t="inlineStr"/>
    </row>
    <row r="5726" ht="15" customHeight="1">
      <c r="A5726" t="inlineStr">
        <is>
          <t>A 36931-2025</t>
        </is>
      </c>
      <c r="B5726" s="1" t="n">
        <v>45874.55706018519</v>
      </c>
      <c r="C5726" s="1" t="n">
        <v>46086</v>
      </c>
      <c r="D5726" t="inlineStr">
        <is>
          <t>GÄVLEBORGS LÄN</t>
        </is>
      </c>
      <c r="E5726" t="inlineStr">
        <is>
          <t>HUDIKSVALL</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48380-2025</t>
        </is>
      </c>
      <c r="B5727" s="1" t="n">
        <v>45933.78475694444</v>
      </c>
      <c r="C5727" s="1" t="n">
        <v>46086</v>
      </c>
      <c r="D5727" t="inlineStr">
        <is>
          <t>GÄVLEBORGS LÄN</t>
        </is>
      </c>
      <c r="E5727" t="inlineStr">
        <is>
          <t>HUDIKSVALL</t>
        </is>
      </c>
      <c r="G5727" t="n">
        <v>3.7</v>
      </c>
      <c r="H5727" t="n">
        <v>0</v>
      </c>
      <c r="I5727" t="n">
        <v>0</v>
      </c>
      <c r="J5727" t="n">
        <v>0</v>
      </c>
      <c r="K5727" t="n">
        <v>0</v>
      </c>
      <c r="L5727" t="n">
        <v>0</v>
      </c>
      <c r="M5727" t="n">
        <v>0</v>
      </c>
      <c r="N5727" t="n">
        <v>0</v>
      </c>
      <c r="O5727" t="n">
        <v>0</v>
      </c>
      <c r="P5727" t="n">
        <v>0</v>
      </c>
      <c r="Q5727" t="n">
        <v>0</v>
      </c>
      <c r="R5727" s="2" t="inlineStr"/>
    </row>
    <row r="5728" ht="15" customHeight="1">
      <c r="A5728" t="inlineStr">
        <is>
          <t>A 6963-2024</t>
        </is>
      </c>
      <c r="B5728" s="1" t="n">
        <v>45343.4562037037</v>
      </c>
      <c r="C5728" s="1" t="n">
        <v>46086</v>
      </c>
      <c r="D5728" t="inlineStr">
        <is>
          <t>GÄVLEBORGS LÄN</t>
        </is>
      </c>
      <c r="E5728" t="inlineStr">
        <is>
          <t>HOFORS</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34513-2021</t>
        </is>
      </c>
      <c r="B5729" s="1" t="n">
        <v>44382.37893518519</v>
      </c>
      <c r="C5729" s="1" t="n">
        <v>46086</v>
      </c>
      <c r="D5729" t="inlineStr">
        <is>
          <t>GÄVLEBORGS LÄN</t>
        </is>
      </c>
      <c r="E5729" t="inlineStr">
        <is>
          <t>OVANÅKER</t>
        </is>
      </c>
      <c r="F5729" t="inlineStr">
        <is>
          <t>Sveaskog</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23638-2024</t>
        </is>
      </c>
      <c r="B5730" s="1" t="n">
        <v>45454.48969907407</v>
      </c>
      <c r="C5730" s="1" t="n">
        <v>46086</v>
      </c>
      <c r="D5730" t="inlineStr">
        <is>
          <t>GÄVLEBORGS LÄN</t>
        </is>
      </c>
      <c r="E5730" t="inlineStr">
        <is>
          <t>GÄVLE</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37444-2025</t>
        </is>
      </c>
      <c r="B5731" s="1" t="n">
        <v>45877.54305555556</v>
      </c>
      <c r="C5731" s="1" t="n">
        <v>46086</v>
      </c>
      <c r="D5731" t="inlineStr">
        <is>
          <t>GÄVLEBORGS LÄN</t>
        </is>
      </c>
      <c r="E5731" t="inlineStr">
        <is>
          <t>HOFORS</t>
        </is>
      </c>
      <c r="F5731" t="inlineStr">
        <is>
          <t>Sveaskog</t>
        </is>
      </c>
      <c r="G5731" t="n">
        <v>4.8</v>
      </c>
      <c r="H5731" t="n">
        <v>0</v>
      </c>
      <c r="I5731" t="n">
        <v>0</v>
      </c>
      <c r="J5731" t="n">
        <v>0</v>
      </c>
      <c r="K5731" t="n">
        <v>0</v>
      </c>
      <c r="L5731" t="n">
        <v>0</v>
      </c>
      <c r="M5731" t="n">
        <v>0</v>
      </c>
      <c r="N5731" t="n">
        <v>0</v>
      </c>
      <c r="O5731" t="n">
        <v>0</v>
      </c>
      <c r="P5731" t="n">
        <v>0</v>
      </c>
      <c r="Q5731" t="n">
        <v>0</v>
      </c>
      <c r="R5731" s="2" t="inlineStr"/>
    </row>
    <row r="5732" ht="15" customHeight="1">
      <c r="A5732" t="inlineStr">
        <is>
          <t>A 23643-2024</t>
        </is>
      </c>
      <c r="B5732" s="1" t="n">
        <v>45454.49773148148</v>
      </c>
      <c r="C5732" s="1" t="n">
        <v>46086</v>
      </c>
      <c r="D5732" t="inlineStr">
        <is>
          <t>GÄVLEBORGS LÄN</t>
        </is>
      </c>
      <c r="E5732" t="inlineStr">
        <is>
          <t>GÄVLE</t>
        </is>
      </c>
      <c r="G5732" t="n">
        <v>4.5</v>
      </c>
      <c r="H5732" t="n">
        <v>0</v>
      </c>
      <c r="I5732" t="n">
        <v>0</v>
      </c>
      <c r="J5732" t="n">
        <v>0</v>
      </c>
      <c r="K5732" t="n">
        <v>0</v>
      </c>
      <c r="L5732" t="n">
        <v>0</v>
      </c>
      <c r="M5732" t="n">
        <v>0</v>
      </c>
      <c r="N5732" t="n">
        <v>0</v>
      </c>
      <c r="O5732" t="n">
        <v>0</v>
      </c>
      <c r="P5732" t="n">
        <v>0</v>
      </c>
      <c r="Q5732" t="n">
        <v>0</v>
      </c>
      <c r="R5732" s="2" t="inlineStr"/>
    </row>
    <row r="5733" ht="15" customHeight="1">
      <c r="A5733" t="inlineStr">
        <is>
          <t>A 49380-2024</t>
        </is>
      </c>
      <c r="B5733" s="1" t="n">
        <v>45595.64767361111</v>
      </c>
      <c r="C5733" s="1" t="n">
        <v>46086</v>
      </c>
      <c r="D5733" t="inlineStr">
        <is>
          <t>GÄVLEBORGS LÄN</t>
        </is>
      </c>
      <c r="E5733" t="inlineStr">
        <is>
          <t>GÄVLE</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26922-2024</t>
        </is>
      </c>
      <c r="B5734" s="1" t="n">
        <v>45470.93087962963</v>
      </c>
      <c r="C5734" s="1" t="n">
        <v>46086</v>
      </c>
      <c r="D5734" t="inlineStr">
        <is>
          <t>GÄVLEBORGS LÄN</t>
        </is>
      </c>
      <c r="E5734" t="inlineStr">
        <is>
          <t>BOLLNÄS</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28523-2024</t>
        </is>
      </c>
      <c r="B5735" s="1" t="n">
        <v>45478.31907407408</v>
      </c>
      <c r="C5735" s="1" t="n">
        <v>46086</v>
      </c>
      <c r="D5735" t="inlineStr">
        <is>
          <t>GÄVLEBORGS LÄN</t>
        </is>
      </c>
      <c r="E5735" t="inlineStr">
        <is>
          <t>SANDVIKEN</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48543-2025</t>
        </is>
      </c>
      <c r="B5736" s="1" t="n">
        <v>45936.41565972222</v>
      </c>
      <c r="C5736" s="1" t="n">
        <v>46086</v>
      </c>
      <c r="D5736" t="inlineStr">
        <is>
          <t>GÄVLEBORGS LÄN</t>
        </is>
      </c>
      <c r="E5736" t="inlineStr">
        <is>
          <t>SÖDERHAMN</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48561-2025</t>
        </is>
      </c>
      <c r="B5737" s="1" t="n">
        <v>45936.43376157407</v>
      </c>
      <c r="C5737" s="1" t="n">
        <v>46086</v>
      </c>
      <c r="D5737" t="inlineStr">
        <is>
          <t>GÄVLEBORGS LÄN</t>
        </is>
      </c>
      <c r="E5737" t="inlineStr">
        <is>
          <t>SÖDERHAMN</t>
        </is>
      </c>
      <c r="G5737" t="n">
        <v>5.7</v>
      </c>
      <c r="H5737" t="n">
        <v>0</v>
      </c>
      <c r="I5737" t="n">
        <v>0</v>
      </c>
      <c r="J5737" t="n">
        <v>0</v>
      </c>
      <c r="K5737" t="n">
        <v>0</v>
      </c>
      <c r="L5737" t="n">
        <v>0</v>
      </c>
      <c r="M5737" t="n">
        <v>0</v>
      </c>
      <c r="N5737" t="n">
        <v>0</v>
      </c>
      <c r="O5737" t="n">
        <v>0</v>
      </c>
      <c r="P5737" t="n">
        <v>0</v>
      </c>
      <c r="Q5737" t="n">
        <v>0</v>
      </c>
      <c r="R5737" s="2" t="inlineStr"/>
    </row>
    <row r="5738" ht="15" customHeight="1">
      <c r="A5738" t="inlineStr">
        <is>
          <t>A 14606-2025</t>
        </is>
      </c>
      <c r="B5738" s="1" t="n">
        <v>45742.37480324074</v>
      </c>
      <c r="C5738" s="1" t="n">
        <v>46086</v>
      </c>
      <c r="D5738" t="inlineStr">
        <is>
          <t>GÄVLEBORGS LÄN</t>
        </is>
      </c>
      <c r="E5738" t="inlineStr">
        <is>
          <t>GÄVLE</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48609-2025</t>
        </is>
      </c>
      <c r="B5739" s="1" t="n">
        <v>45935</v>
      </c>
      <c r="C5739" s="1" t="n">
        <v>46086</v>
      </c>
      <c r="D5739" t="inlineStr">
        <is>
          <t>GÄVLEBORGS LÄN</t>
        </is>
      </c>
      <c r="E5739" t="inlineStr">
        <is>
          <t>HOFORS</t>
        </is>
      </c>
      <c r="F5739" t="inlineStr">
        <is>
          <t>Bergvik skog väst AB</t>
        </is>
      </c>
      <c r="G5739" t="n">
        <v>5.1</v>
      </c>
      <c r="H5739" t="n">
        <v>0</v>
      </c>
      <c r="I5739" t="n">
        <v>0</v>
      </c>
      <c r="J5739" t="n">
        <v>0</v>
      </c>
      <c r="K5739" t="n">
        <v>0</v>
      </c>
      <c r="L5739" t="n">
        <v>0</v>
      </c>
      <c r="M5739" t="n">
        <v>0</v>
      </c>
      <c r="N5739" t="n">
        <v>0</v>
      </c>
      <c r="O5739" t="n">
        <v>0</v>
      </c>
      <c r="P5739" t="n">
        <v>0</v>
      </c>
      <c r="Q5739" t="n">
        <v>0</v>
      </c>
      <c r="R5739" s="2" t="inlineStr"/>
    </row>
    <row r="5740" ht="15" customHeight="1">
      <c r="A5740" t="inlineStr">
        <is>
          <t>A 37504-2025</t>
        </is>
      </c>
      <c r="B5740" s="1" t="n">
        <v>45877.65131944444</v>
      </c>
      <c r="C5740" s="1" t="n">
        <v>46086</v>
      </c>
      <c r="D5740" t="inlineStr">
        <is>
          <t>GÄVLEBORGS LÄN</t>
        </is>
      </c>
      <c r="E5740" t="inlineStr">
        <is>
          <t>HUDIKSVALL</t>
        </is>
      </c>
      <c r="F5740" t="inlineStr">
        <is>
          <t>Holmen skog AB</t>
        </is>
      </c>
      <c r="G5740" t="n">
        <v>10.8</v>
      </c>
      <c r="H5740" t="n">
        <v>0</v>
      </c>
      <c r="I5740" t="n">
        <v>0</v>
      </c>
      <c r="J5740" t="n">
        <v>0</v>
      </c>
      <c r="K5740" t="n">
        <v>0</v>
      </c>
      <c r="L5740" t="n">
        <v>0</v>
      </c>
      <c r="M5740" t="n">
        <v>0</v>
      </c>
      <c r="N5740" t="n">
        <v>0</v>
      </c>
      <c r="O5740" t="n">
        <v>0</v>
      </c>
      <c r="P5740" t="n">
        <v>0</v>
      </c>
      <c r="Q5740" t="n">
        <v>0</v>
      </c>
      <c r="R5740" s="2" t="inlineStr"/>
    </row>
    <row r="5741" ht="15" customHeight="1">
      <c r="A5741" t="inlineStr">
        <is>
          <t>A 48613-2025</t>
        </is>
      </c>
      <c r="B5741" s="1" t="n">
        <v>45936.48322916667</v>
      </c>
      <c r="C5741" s="1" t="n">
        <v>46086</v>
      </c>
      <c r="D5741" t="inlineStr">
        <is>
          <t>GÄVLEBORGS LÄN</t>
        </is>
      </c>
      <c r="E5741" t="inlineStr">
        <is>
          <t>SANDVIKEN</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55593-2024</t>
        </is>
      </c>
      <c r="B5742" s="1" t="n">
        <v>45622.56936342592</v>
      </c>
      <c r="C5742" s="1" t="n">
        <v>46086</v>
      </c>
      <c r="D5742" t="inlineStr">
        <is>
          <t>GÄVLEBORGS LÄN</t>
        </is>
      </c>
      <c r="E5742" t="inlineStr">
        <is>
          <t>BOLLNÄS</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48539-2025</t>
        </is>
      </c>
      <c r="B5743" s="1" t="n">
        <v>45936.41141203704</v>
      </c>
      <c r="C5743" s="1" t="n">
        <v>46086</v>
      </c>
      <c r="D5743" t="inlineStr">
        <is>
          <t>GÄVLEBORGS LÄN</t>
        </is>
      </c>
      <c r="E5743" t="inlineStr">
        <is>
          <t>SÖDERHAMN</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50059-2023</t>
        </is>
      </c>
      <c r="B5744" s="1" t="n">
        <v>45215</v>
      </c>
      <c r="C5744" s="1" t="n">
        <v>46086</v>
      </c>
      <c r="D5744" t="inlineStr">
        <is>
          <t>GÄVLEBORGS LÄN</t>
        </is>
      </c>
      <c r="E5744" t="inlineStr">
        <is>
          <t>SÖDERHAMN</t>
        </is>
      </c>
      <c r="G5744" t="n">
        <v>11.2</v>
      </c>
      <c r="H5744" t="n">
        <v>0</v>
      </c>
      <c r="I5744" t="n">
        <v>0</v>
      </c>
      <c r="J5744" t="n">
        <v>0</v>
      </c>
      <c r="K5744" t="n">
        <v>0</v>
      </c>
      <c r="L5744" t="n">
        <v>0</v>
      </c>
      <c r="M5744" t="n">
        <v>0</v>
      </c>
      <c r="N5744" t="n">
        <v>0</v>
      </c>
      <c r="O5744" t="n">
        <v>0</v>
      </c>
      <c r="P5744" t="n">
        <v>0</v>
      </c>
      <c r="Q5744" t="n">
        <v>0</v>
      </c>
      <c r="R5744" s="2" t="inlineStr"/>
    </row>
    <row r="5745" ht="15" customHeight="1">
      <c r="A5745" t="inlineStr">
        <is>
          <t>A 49061-2025</t>
        </is>
      </c>
      <c r="B5745" s="1" t="n">
        <v>45937.64150462963</v>
      </c>
      <c r="C5745" s="1" t="n">
        <v>46086</v>
      </c>
      <c r="D5745" t="inlineStr">
        <is>
          <t>GÄVLEBORGS LÄN</t>
        </is>
      </c>
      <c r="E5745" t="inlineStr">
        <is>
          <t>LJUSDAL</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49176-2025</t>
        </is>
      </c>
      <c r="B5746" s="1" t="n">
        <v>45938.38094907408</v>
      </c>
      <c r="C5746" s="1" t="n">
        <v>46086</v>
      </c>
      <c r="D5746" t="inlineStr">
        <is>
          <t>GÄVLEBORGS LÄN</t>
        </is>
      </c>
      <c r="E5746" t="inlineStr">
        <is>
          <t>OVANÅKER</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44199-2025</t>
        </is>
      </c>
      <c r="B5747" s="1" t="n">
        <v>45915.62221064815</v>
      </c>
      <c r="C5747" s="1" t="n">
        <v>46086</v>
      </c>
      <c r="D5747" t="inlineStr">
        <is>
          <t>GÄVLEBORGS LÄN</t>
        </is>
      </c>
      <c r="E5747" t="inlineStr">
        <is>
          <t>OVANÅKER</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6016-2025</t>
        </is>
      </c>
      <c r="B5748" s="1" t="n">
        <v>45695</v>
      </c>
      <c r="C5748" s="1" t="n">
        <v>46086</v>
      </c>
      <c r="D5748" t="inlineStr">
        <is>
          <t>GÄVLEBORGS LÄN</t>
        </is>
      </c>
      <c r="E5748" t="inlineStr">
        <is>
          <t>LJUSDAL</t>
        </is>
      </c>
      <c r="G5748" t="n">
        <v>8</v>
      </c>
      <c r="H5748" t="n">
        <v>0</v>
      </c>
      <c r="I5748" t="n">
        <v>0</v>
      </c>
      <c r="J5748" t="n">
        <v>0</v>
      </c>
      <c r="K5748" t="n">
        <v>0</v>
      </c>
      <c r="L5748" t="n">
        <v>0</v>
      </c>
      <c r="M5748" t="n">
        <v>0</v>
      </c>
      <c r="N5748" t="n">
        <v>0</v>
      </c>
      <c r="O5748" t="n">
        <v>0</v>
      </c>
      <c r="P5748" t="n">
        <v>0</v>
      </c>
      <c r="Q5748" t="n">
        <v>0</v>
      </c>
      <c r="R5748" s="2" t="inlineStr"/>
    </row>
    <row r="5749" ht="15" customHeight="1">
      <c r="A5749" t="inlineStr">
        <is>
          <t>A 48916-2025</t>
        </is>
      </c>
      <c r="B5749" s="1" t="n">
        <v>45937.49256944445</v>
      </c>
      <c r="C5749" s="1" t="n">
        <v>46086</v>
      </c>
      <c r="D5749" t="inlineStr">
        <is>
          <t>GÄVLEBORGS LÄN</t>
        </is>
      </c>
      <c r="E5749" t="inlineStr">
        <is>
          <t>NORDANSTIG</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48919-2025</t>
        </is>
      </c>
      <c r="B5750" s="1" t="n">
        <v>45937.49377314815</v>
      </c>
      <c r="C5750" s="1" t="n">
        <v>46086</v>
      </c>
      <c r="D5750" t="inlineStr">
        <is>
          <t>GÄVLEBORGS LÄN</t>
        </is>
      </c>
      <c r="E5750" t="inlineStr">
        <is>
          <t>NORDANSTIG</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37213-2025</t>
        </is>
      </c>
      <c r="B5751" s="1" t="n">
        <v>45875.80773148148</v>
      </c>
      <c r="C5751" s="1" t="n">
        <v>46086</v>
      </c>
      <c r="D5751" t="inlineStr">
        <is>
          <t>GÄVLEBORGS LÄN</t>
        </is>
      </c>
      <c r="E5751" t="inlineStr">
        <is>
          <t>HUDIKSVALL</t>
        </is>
      </c>
      <c r="F5751" t="inlineStr">
        <is>
          <t>Holmen skog AB</t>
        </is>
      </c>
      <c r="G5751" t="n">
        <v>7.8</v>
      </c>
      <c r="H5751" t="n">
        <v>0</v>
      </c>
      <c r="I5751" t="n">
        <v>0</v>
      </c>
      <c r="J5751" t="n">
        <v>0</v>
      </c>
      <c r="K5751" t="n">
        <v>0</v>
      </c>
      <c r="L5751" t="n">
        <v>0</v>
      </c>
      <c r="M5751" t="n">
        <v>0</v>
      </c>
      <c r="N5751" t="n">
        <v>0</v>
      </c>
      <c r="O5751" t="n">
        <v>0</v>
      </c>
      <c r="P5751" t="n">
        <v>0</v>
      </c>
      <c r="Q5751" t="n">
        <v>0</v>
      </c>
      <c r="R5751" s="2" t="inlineStr"/>
    </row>
    <row r="5752" ht="15" customHeight="1">
      <c r="A5752" t="inlineStr">
        <is>
          <t>A 49027-2025</t>
        </is>
      </c>
      <c r="B5752" s="1" t="n">
        <v>45937.62039351852</v>
      </c>
      <c r="C5752" s="1" t="n">
        <v>46086</v>
      </c>
      <c r="D5752" t="inlineStr">
        <is>
          <t>GÄVLEBORGS LÄN</t>
        </is>
      </c>
      <c r="E5752" t="inlineStr">
        <is>
          <t>OCKELBO</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10762-2025</t>
        </is>
      </c>
      <c r="B5753" s="1" t="n">
        <v>45722.45832175926</v>
      </c>
      <c r="C5753" s="1" t="n">
        <v>46086</v>
      </c>
      <c r="D5753" t="inlineStr">
        <is>
          <t>GÄVLEBORGS LÄN</t>
        </is>
      </c>
      <c r="E5753" t="inlineStr">
        <is>
          <t>OVANÅKER</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49931-2023</t>
        </is>
      </c>
      <c r="B5754" s="1" t="n">
        <v>45215</v>
      </c>
      <c r="C5754" s="1" t="n">
        <v>46086</v>
      </c>
      <c r="D5754" t="inlineStr">
        <is>
          <t>GÄVLEBORGS LÄN</t>
        </is>
      </c>
      <c r="E5754" t="inlineStr">
        <is>
          <t>BOLLNÄS</t>
        </is>
      </c>
      <c r="G5754" t="n">
        <v>5.1</v>
      </c>
      <c r="H5754" t="n">
        <v>0</v>
      </c>
      <c r="I5754" t="n">
        <v>0</v>
      </c>
      <c r="J5754" t="n">
        <v>0</v>
      </c>
      <c r="K5754" t="n">
        <v>0</v>
      </c>
      <c r="L5754" t="n">
        <v>0</v>
      </c>
      <c r="M5754" t="n">
        <v>0</v>
      </c>
      <c r="N5754" t="n">
        <v>0</v>
      </c>
      <c r="O5754" t="n">
        <v>0</v>
      </c>
      <c r="P5754" t="n">
        <v>0</v>
      </c>
      <c r="Q5754" t="n">
        <v>0</v>
      </c>
      <c r="R5754" s="2" t="inlineStr"/>
    </row>
    <row r="5755" ht="15" customHeight="1">
      <c r="A5755" t="inlineStr">
        <is>
          <t>A 37485-2025</t>
        </is>
      </c>
      <c r="B5755" s="1" t="n">
        <v>45877.62313657408</v>
      </c>
      <c r="C5755" s="1" t="n">
        <v>46086</v>
      </c>
      <c r="D5755" t="inlineStr">
        <is>
          <t>GÄVLEBORGS LÄN</t>
        </is>
      </c>
      <c r="E5755" t="inlineStr">
        <is>
          <t>HUDIKSVALL</t>
        </is>
      </c>
      <c r="F5755" t="inlineStr">
        <is>
          <t>Holmen skog AB</t>
        </is>
      </c>
      <c r="G5755" t="n">
        <v>12.9</v>
      </c>
      <c r="H5755" t="n">
        <v>0</v>
      </c>
      <c r="I5755" t="n">
        <v>0</v>
      </c>
      <c r="J5755" t="n">
        <v>0</v>
      </c>
      <c r="K5755" t="n">
        <v>0</v>
      </c>
      <c r="L5755" t="n">
        <v>0</v>
      </c>
      <c r="M5755" t="n">
        <v>0</v>
      </c>
      <c r="N5755" t="n">
        <v>0</v>
      </c>
      <c r="O5755" t="n">
        <v>0</v>
      </c>
      <c r="P5755" t="n">
        <v>0</v>
      </c>
      <c r="Q5755" t="n">
        <v>0</v>
      </c>
      <c r="R5755" s="2" t="inlineStr"/>
    </row>
    <row r="5756" ht="15" customHeight="1">
      <c r="A5756" t="inlineStr">
        <is>
          <t>A 23854-2021</t>
        </is>
      </c>
      <c r="B5756" s="1" t="n">
        <v>44335</v>
      </c>
      <c r="C5756" s="1" t="n">
        <v>46086</v>
      </c>
      <c r="D5756" t="inlineStr">
        <is>
          <t>GÄVLEBORGS LÄN</t>
        </is>
      </c>
      <c r="E5756" t="inlineStr">
        <is>
          <t>SANDVIKEN</t>
        </is>
      </c>
      <c r="G5756" t="n">
        <v>5.4</v>
      </c>
      <c r="H5756" t="n">
        <v>0</v>
      </c>
      <c r="I5756" t="n">
        <v>0</v>
      </c>
      <c r="J5756" t="n">
        <v>0</v>
      </c>
      <c r="K5756" t="n">
        <v>0</v>
      </c>
      <c r="L5756" t="n">
        <v>0</v>
      </c>
      <c r="M5756" t="n">
        <v>0</v>
      </c>
      <c r="N5756" t="n">
        <v>0</v>
      </c>
      <c r="O5756" t="n">
        <v>0</v>
      </c>
      <c r="P5756" t="n">
        <v>0</v>
      </c>
      <c r="Q5756" t="n">
        <v>0</v>
      </c>
      <c r="R5756" s="2" t="inlineStr"/>
    </row>
    <row r="5757" ht="15" customHeight="1">
      <c r="A5757" t="inlineStr">
        <is>
          <t>A 49014-2025</t>
        </is>
      </c>
      <c r="B5757" s="1" t="n">
        <v>45937.610625</v>
      </c>
      <c r="C5757" s="1" t="n">
        <v>46086</v>
      </c>
      <c r="D5757" t="inlineStr">
        <is>
          <t>GÄVLEBORGS LÄN</t>
        </is>
      </c>
      <c r="E5757" t="inlineStr">
        <is>
          <t>OCKELBO</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48835-2025</t>
        </is>
      </c>
      <c r="B5758" s="1" t="n">
        <v>45937.40071759259</v>
      </c>
      <c r="C5758" s="1" t="n">
        <v>46086</v>
      </c>
      <c r="D5758" t="inlineStr">
        <is>
          <t>GÄVLEBORGS LÄN</t>
        </is>
      </c>
      <c r="E5758" t="inlineStr">
        <is>
          <t>SÖDERHAMN</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48951-2025</t>
        </is>
      </c>
      <c r="B5759" s="1" t="n">
        <v>45937.5466087963</v>
      </c>
      <c r="C5759" s="1" t="n">
        <v>46086</v>
      </c>
      <c r="D5759" t="inlineStr">
        <is>
          <t>GÄVLEBORGS LÄN</t>
        </is>
      </c>
      <c r="E5759" t="inlineStr">
        <is>
          <t>BOLLNÄS</t>
        </is>
      </c>
      <c r="G5759" t="n">
        <v>0.2</v>
      </c>
      <c r="H5759" t="n">
        <v>0</v>
      </c>
      <c r="I5759" t="n">
        <v>0</v>
      </c>
      <c r="J5759" t="n">
        <v>0</v>
      </c>
      <c r="K5759" t="n">
        <v>0</v>
      </c>
      <c r="L5759" t="n">
        <v>0</v>
      </c>
      <c r="M5759" t="n">
        <v>0</v>
      </c>
      <c r="N5759" t="n">
        <v>0</v>
      </c>
      <c r="O5759" t="n">
        <v>0</v>
      </c>
      <c r="P5759" t="n">
        <v>0</v>
      </c>
      <c r="Q5759" t="n">
        <v>0</v>
      </c>
      <c r="R5759" s="2" t="inlineStr"/>
    </row>
    <row r="5760" ht="15" customHeight="1">
      <c r="A5760" t="inlineStr">
        <is>
          <t>A 49021-2025</t>
        </is>
      </c>
      <c r="B5760" s="1" t="n">
        <v>45937.61553240741</v>
      </c>
      <c r="C5760" s="1" t="n">
        <v>46086</v>
      </c>
      <c r="D5760" t="inlineStr">
        <is>
          <t>GÄVLEBORGS LÄN</t>
        </is>
      </c>
      <c r="E5760" t="inlineStr">
        <is>
          <t>SANDVIKEN</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37366-2025</t>
        </is>
      </c>
      <c r="B5761" s="1" t="n">
        <v>45877.32983796296</v>
      </c>
      <c r="C5761" s="1" t="n">
        <v>46086</v>
      </c>
      <c r="D5761" t="inlineStr">
        <is>
          <t>GÄVLEBORGS LÄN</t>
        </is>
      </c>
      <c r="E5761" t="inlineStr">
        <is>
          <t>OVANÅKER</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49035-2025</t>
        </is>
      </c>
      <c r="B5762" s="1" t="n">
        <v>45937.62997685185</v>
      </c>
      <c r="C5762" s="1" t="n">
        <v>46086</v>
      </c>
      <c r="D5762" t="inlineStr">
        <is>
          <t>GÄVLEBORGS LÄN</t>
        </is>
      </c>
      <c r="E5762" t="inlineStr">
        <is>
          <t>LJUSDAL</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49036-2025</t>
        </is>
      </c>
      <c r="B5763" s="1" t="n">
        <v>45937.63039351852</v>
      </c>
      <c r="C5763" s="1" t="n">
        <v>46086</v>
      </c>
      <c r="D5763" t="inlineStr">
        <is>
          <t>GÄVLEBORGS LÄN</t>
        </is>
      </c>
      <c r="E5763" t="inlineStr">
        <is>
          <t>SÖDERHAMN</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49503-2025</t>
        </is>
      </c>
      <c r="B5764" s="1" t="n">
        <v>45939.37001157407</v>
      </c>
      <c r="C5764" s="1" t="n">
        <v>46086</v>
      </c>
      <c r="D5764" t="inlineStr">
        <is>
          <t>GÄVLEBORGS LÄN</t>
        </is>
      </c>
      <c r="E5764" t="inlineStr">
        <is>
          <t>OCKELBO</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48949-2025</t>
        </is>
      </c>
      <c r="B5765" s="1" t="n">
        <v>45937.54375</v>
      </c>
      <c r="C5765" s="1" t="n">
        <v>46086</v>
      </c>
      <c r="D5765" t="inlineStr">
        <is>
          <t>GÄVLEBORGS LÄN</t>
        </is>
      </c>
      <c r="E5765" t="inlineStr">
        <is>
          <t>BOLLNÄS</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37392-2025</t>
        </is>
      </c>
      <c r="B5766" s="1" t="n">
        <v>45877.41195601852</v>
      </c>
      <c r="C5766" s="1" t="n">
        <v>46086</v>
      </c>
      <c r="D5766" t="inlineStr">
        <is>
          <t>GÄVLEBORGS LÄN</t>
        </is>
      </c>
      <c r="E5766" t="inlineStr">
        <is>
          <t>OVANÅKER</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49287-2025</t>
        </is>
      </c>
      <c r="B5767" s="1" t="n">
        <v>45938.52627314815</v>
      </c>
      <c r="C5767" s="1" t="n">
        <v>46086</v>
      </c>
      <c r="D5767" t="inlineStr">
        <is>
          <t>GÄVLEBORGS LÄN</t>
        </is>
      </c>
      <c r="E5767" t="inlineStr">
        <is>
          <t>NORDANSTIG</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58099-2024</t>
        </is>
      </c>
      <c r="B5768" s="1" t="n">
        <v>45632.36650462963</v>
      </c>
      <c r="C5768" s="1" t="n">
        <v>46086</v>
      </c>
      <c r="D5768" t="inlineStr">
        <is>
          <t>GÄVLEBORGS LÄN</t>
        </is>
      </c>
      <c r="E5768" t="inlineStr">
        <is>
          <t>SÖDERHAMN</t>
        </is>
      </c>
      <c r="F5768" t="inlineStr">
        <is>
          <t>Bergvik skog väst AB</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37472-2025</t>
        </is>
      </c>
      <c r="B5769" s="1" t="n">
        <v>45877.59339120371</v>
      </c>
      <c r="C5769" s="1" t="n">
        <v>46086</v>
      </c>
      <c r="D5769" t="inlineStr">
        <is>
          <t>GÄVLEBORGS LÄN</t>
        </is>
      </c>
      <c r="E5769" t="inlineStr">
        <is>
          <t>OVANÅKER</t>
        </is>
      </c>
      <c r="G5769" t="n">
        <v>5.8</v>
      </c>
      <c r="H5769" t="n">
        <v>0</v>
      </c>
      <c r="I5769" t="n">
        <v>0</v>
      </c>
      <c r="J5769" t="n">
        <v>0</v>
      </c>
      <c r="K5769" t="n">
        <v>0</v>
      </c>
      <c r="L5769" t="n">
        <v>0</v>
      </c>
      <c r="M5769" t="n">
        <v>0</v>
      </c>
      <c r="N5769" t="n">
        <v>0</v>
      </c>
      <c r="O5769" t="n">
        <v>0</v>
      </c>
      <c r="P5769" t="n">
        <v>0</v>
      </c>
      <c r="Q5769" t="n">
        <v>0</v>
      </c>
      <c r="R5769" s="2" t="inlineStr"/>
    </row>
    <row r="5770" ht="15" customHeight="1">
      <c r="A5770" t="inlineStr">
        <is>
          <t>A 37326-2025</t>
        </is>
      </c>
      <c r="B5770" s="1" t="n">
        <v>45876.64011574074</v>
      </c>
      <c r="C5770" s="1" t="n">
        <v>46086</v>
      </c>
      <c r="D5770" t="inlineStr">
        <is>
          <t>GÄVLEBORGS LÄN</t>
        </is>
      </c>
      <c r="E5770" t="inlineStr">
        <is>
          <t>GÄVLE</t>
        </is>
      </c>
      <c r="F5770" t="inlineStr">
        <is>
          <t>Bergvik skog väst AB</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58142-2024</t>
        </is>
      </c>
      <c r="B5771" s="1" t="n">
        <v>45632.43130787037</v>
      </c>
      <c r="C5771" s="1" t="n">
        <v>46086</v>
      </c>
      <c r="D5771" t="inlineStr">
        <is>
          <t>GÄVLEBORGS LÄN</t>
        </is>
      </c>
      <c r="E5771" t="inlineStr">
        <is>
          <t>SÖDERHAMN</t>
        </is>
      </c>
      <c r="F5771" t="inlineStr">
        <is>
          <t>Bergvik skog väst AB</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58156-2024</t>
        </is>
      </c>
      <c r="B5772" s="1" t="n">
        <v>45632.44497685185</v>
      </c>
      <c r="C5772" s="1" t="n">
        <v>46086</v>
      </c>
      <c r="D5772" t="inlineStr">
        <is>
          <t>GÄVLEBORGS LÄN</t>
        </is>
      </c>
      <c r="E5772" t="inlineStr">
        <is>
          <t>SÖDERHAMN</t>
        </is>
      </c>
      <c r="F5772" t="inlineStr">
        <is>
          <t>Bergvik skog väst AB</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48901-2025</t>
        </is>
      </c>
      <c r="B5773" s="1" t="n">
        <v>45937</v>
      </c>
      <c r="C5773" s="1" t="n">
        <v>46086</v>
      </c>
      <c r="D5773" t="inlineStr">
        <is>
          <t>GÄVLEBORGS LÄN</t>
        </is>
      </c>
      <c r="E5773" t="inlineStr">
        <is>
          <t>HUDIKSVALL</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3162-2023</t>
        </is>
      </c>
      <c r="B5774" s="1" t="n">
        <v>44946</v>
      </c>
      <c r="C5774" s="1" t="n">
        <v>46086</v>
      </c>
      <c r="D5774" t="inlineStr">
        <is>
          <t>GÄVLEBORGS LÄN</t>
        </is>
      </c>
      <c r="E5774" t="inlineStr">
        <is>
          <t>HUDIKSVALL</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48986-2025</t>
        </is>
      </c>
      <c r="B5775" s="1" t="n">
        <v>45937.57569444444</v>
      </c>
      <c r="C5775" s="1" t="n">
        <v>46086</v>
      </c>
      <c r="D5775" t="inlineStr">
        <is>
          <t>GÄVLEBORGS LÄN</t>
        </is>
      </c>
      <c r="E5775" t="inlineStr">
        <is>
          <t>GÄVLE</t>
        </is>
      </c>
      <c r="F5775" t="inlineStr">
        <is>
          <t>Bergvik skog väst AB</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49008-2025</t>
        </is>
      </c>
      <c r="B5776" s="1" t="n">
        <v>45937.60611111111</v>
      </c>
      <c r="C5776" s="1" t="n">
        <v>46086</v>
      </c>
      <c r="D5776" t="inlineStr">
        <is>
          <t>GÄVLEBORGS LÄN</t>
        </is>
      </c>
      <c r="E5776" t="inlineStr">
        <is>
          <t>OCKELBO</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49259-2025</t>
        </is>
      </c>
      <c r="B5777" s="1" t="n">
        <v>45938.49456018519</v>
      </c>
      <c r="C5777" s="1" t="n">
        <v>46086</v>
      </c>
      <c r="D5777" t="inlineStr">
        <is>
          <t>GÄVLEBORGS LÄN</t>
        </is>
      </c>
      <c r="E5777" t="inlineStr">
        <is>
          <t>OCKELBO</t>
        </is>
      </c>
      <c r="F5777" t="inlineStr">
        <is>
          <t>Bergvik skog väst AB</t>
        </is>
      </c>
      <c r="G5777" t="n">
        <v>10.8</v>
      </c>
      <c r="H5777" t="n">
        <v>0</v>
      </c>
      <c r="I5777" t="n">
        <v>0</v>
      </c>
      <c r="J5777" t="n">
        <v>0</v>
      </c>
      <c r="K5777" t="n">
        <v>0</v>
      </c>
      <c r="L5777" t="n">
        <v>0</v>
      </c>
      <c r="M5777" t="n">
        <v>0</v>
      </c>
      <c r="N5777" t="n">
        <v>0</v>
      </c>
      <c r="O5777" t="n">
        <v>0</v>
      </c>
      <c r="P5777" t="n">
        <v>0</v>
      </c>
      <c r="Q5777" t="n">
        <v>0</v>
      </c>
      <c r="R5777" s="2" t="inlineStr"/>
    </row>
    <row r="5778" ht="15" customHeight="1">
      <c r="A5778" t="inlineStr">
        <is>
          <t>A 49268-2025</t>
        </is>
      </c>
      <c r="B5778" s="1" t="n">
        <v>45938.50202546296</v>
      </c>
      <c r="C5778" s="1" t="n">
        <v>46086</v>
      </c>
      <c r="D5778" t="inlineStr">
        <is>
          <t>GÄVLEBORGS LÄN</t>
        </is>
      </c>
      <c r="E5778" t="inlineStr">
        <is>
          <t>NORDANSTIG</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49328-2025</t>
        </is>
      </c>
      <c r="B5779" s="1" t="n">
        <v>45938.57550925926</v>
      </c>
      <c r="C5779" s="1" t="n">
        <v>46086</v>
      </c>
      <c r="D5779" t="inlineStr">
        <is>
          <t>GÄVLEBORGS LÄN</t>
        </is>
      </c>
      <c r="E5779" t="inlineStr">
        <is>
          <t>NORDANSTIG</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49342-2025</t>
        </is>
      </c>
      <c r="B5780" s="1" t="n">
        <v>45938.59556712963</v>
      </c>
      <c r="C5780" s="1" t="n">
        <v>46086</v>
      </c>
      <c r="D5780" t="inlineStr">
        <is>
          <t>GÄVLEBORGS LÄN</t>
        </is>
      </c>
      <c r="E5780" t="inlineStr">
        <is>
          <t>NORDANSTIG</t>
        </is>
      </c>
      <c r="G5780" t="n">
        <v>6.2</v>
      </c>
      <c r="H5780" t="n">
        <v>0</v>
      </c>
      <c r="I5780" t="n">
        <v>0</v>
      </c>
      <c r="J5780" t="n">
        <v>0</v>
      </c>
      <c r="K5780" t="n">
        <v>0</v>
      </c>
      <c r="L5780" t="n">
        <v>0</v>
      </c>
      <c r="M5780" t="n">
        <v>0</v>
      </c>
      <c r="N5780" t="n">
        <v>0</v>
      </c>
      <c r="O5780" t="n">
        <v>0</v>
      </c>
      <c r="P5780" t="n">
        <v>0</v>
      </c>
      <c r="Q5780" t="n">
        <v>0</v>
      </c>
      <c r="R5780" s="2" t="inlineStr"/>
    </row>
    <row r="5781" ht="15" customHeight="1">
      <c r="A5781" t="inlineStr">
        <is>
          <t>A 33344-2025</t>
        </is>
      </c>
      <c r="B5781" s="1" t="n">
        <v>45841</v>
      </c>
      <c r="C5781" s="1" t="n">
        <v>46086</v>
      </c>
      <c r="D5781" t="inlineStr">
        <is>
          <t>GÄVLEBORGS LÄN</t>
        </is>
      </c>
      <c r="E5781" t="inlineStr">
        <is>
          <t>LJUSDAL</t>
        </is>
      </c>
      <c r="G5781" t="n">
        <v>9.699999999999999</v>
      </c>
      <c r="H5781" t="n">
        <v>0</v>
      </c>
      <c r="I5781" t="n">
        <v>0</v>
      </c>
      <c r="J5781" t="n">
        <v>0</v>
      </c>
      <c r="K5781" t="n">
        <v>0</v>
      </c>
      <c r="L5781" t="n">
        <v>0</v>
      </c>
      <c r="M5781" t="n">
        <v>0</v>
      </c>
      <c r="N5781" t="n">
        <v>0</v>
      </c>
      <c r="O5781" t="n">
        <v>0</v>
      </c>
      <c r="P5781" t="n">
        <v>0</v>
      </c>
      <c r="Q5781" t="n">
        <v>0</v>
      </c>
      <c r="R5781" s="2" t="inlineStr"/>
    </row>
    <row r="5782" ht="15" customHeight="1">
      <c r="A5782" t="inlineStr">
        <is>
          <t>A 48761-2025</t>
        </is>
      </c>
      <c r="B5782" s="1" t="n">
        <v>45936.77966435185</v>
      </c>
      <c r="C5782" s="1" t="n">
        <v>46086</v>
      </c>
      <c r="D5782" t="inlineStr">
        <is>
          <t>GÄVLEBORGS LÄN</t>
        </is>
      </c>
      <c r="E5782" t="inlineStr">
        <is>
          <t>SANDVIKEN</t>
        </is>
      </c>
      <c r="F5782" t="inlineStr">
        <is>
          <t>Sveaskog</t>
        </is>
      </c>
      <c r="G5782" t="n">
        <v>9</v>
      </c>
      <c r="H5782" t="n">
        <v>0</v>
      </c>
      <c r="I5782" t="n">
        <v>0</v>
      </c>
      <c r="J5782" t="n">
        <v>0</v>
      </c>
      <c r="K5782" t="n">
        <v>0</v>
      </c>
      <c r="L5782" t="n">
        <v>0</v>
      </c>
      <c r="M5782" t="n">
        <v>0</v>
      </c>
      <c r="N5782" t="n">
        <v>0</v>
      </c>
      <c r="O5782" t="n">
        <v>0</v>
      </c>
      <c r="P5782" t="n">
        <v>0</v>
      </c>
      <c r="Q5782" t="n">
        <v>0</v>
      </c>
      <c r="R5782" s="2" t="inlineStr"/>
    </row>
    <row r="5783" ht="15" customHeight="1">
      <c r="A5783" t="inlineStr">
        <is>
          <t>A 37338-2025</t>
        </is>
      </c>
      <c r="B5783" s="1" t="n">
        <v>45876.68149305556</v>
      </c>
      <c r="C5783" s="1" t="n">
        <v>46086</v>
      </c>
      <c r="D5783" t="inlineStr">
        <is>
          <t>GÄVLEBORGS LÄN</t>
        </is>
      </c>
      <c r="E5783" t="inlineStr">
        <is>
          <t>SÖDERHAMN</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48885-2025</t>
        </is>
      </c>
      <c r="B5784" s="1" t="n">
        <v>45937.46525462963</v>
      </c>
      <c r="C5784" s="1" t="n">
        <v>46086</v>
      </c>
      <c r="D5784" t="inlineStr">
        <is>
          <t>GÄVLEBORGS LÄN</t>
        </is>
      </c>
      <c r="E5784" t="inlineStr">
        <is>
          <t>HUDIKSVALL</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37355-2025</t>
        </is>
      </c>
      <c r="B5785" s="1" t="n">
        <v>45876.7824537037</v>
      </c>
      <c r="C5785" s="1" t="n">
        <v>46086</v>
      </c>
      <c r="D5785" t="inlineStr">
        <is>
          <t>GÄVLEBORGS LÄN</t>
        </is>
      </c>
      <c r="E5785" t="inlineStr">
        <is>
          <t>HUDIKSVALL</t>
        </is>
      </c>
      <c r="F5785" t="inlineStr">
        <is>
          <t>Holmen skog AB</t>
        </is>
      </c>
      <c r="G5785" t="n">
        <v>14.6</v>
      </c>
      <c r="H5785" t="n">
        <v>0</v>
      </c>
      <c r="I5785" t="n">
        <v>0</v>
      </c>
      <c r="J5785" t="n">
        <v>0</v>
      </c>
      <c r="K5785" t="n">
        <v>0</v>
      </c>
      <c r="L5785" t="n">
        <v>0</v>
      </c>
      <c r="M5785" t="n">
        <v>0</v>
      </c>
      <c r="N5785" t="n">
        <v>0</v>
      </c>
      <c r="O5785" t="n">
        <v>0</v>
      </c>
      <c r="P5785" t="n">
        <v>0</v>
      </c>
      <c r="Q5785" t="n">
        <v>0</v>
      </c>
      <c r="R5785" s="2" t="inlineStr"/>
    </row>
    <row r="5786" ht="15" customHeight="1">
      <c r="A5786" t="inlineStr">
        <is>
          <t>A 43885-2025</t>
        </is>
      </c>
      <c r="B5786" s="1" t="n">
        <v>45912.69076388889</v>
      </c>
      <c r="C5786" s="1" t="n">
        <v>46086</v>
      </c>
      <c r="D5786" t="inlineStr">
        <is>
          <t>GÄVLEBORGS LÄN</t>
        </is>
      </c>
      <c r="E5786" t="inlineStr">
        <is>
          <t>HOFORS</t>
        </is>
      </c>
      <c r="F5786" t="inlineStr">
        <is>
          <t>Sveaskog</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43887-2025</t>
        </is>
      </c>
      <c r="B5787" s="1" t="n">
        <v>45912.69278935185</v>
      </c>
      <c r="C5787" s="1" t="n">
        <v>46086</v>
      </c>
      <c r="D5787" t="inlineStr">
        <is>
          <t>GÄVLEBORGS LÄN</t>
        </is>
      </c>
      <c r="E5787" t="inlineStr">
        <is>
          <t>HOFORS</t>
        </is>
      </c>
      <c r="F5787" t="inlineStr">
        <is>
          <t>Sveaskog</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37317-2025</t>
        </is>
      </c>
      <c r="B5788" s="1" t="n">
        <v>45876.61798611111</v>
      </c>
      <c r="C5788" s="1" t="n">
        <v>46086</v>
      </c>
      <c r="D5788" t="inlineStr">
        <is>
          <t>GÄVLEBORGS LÄN</t>
        </is>
      </c>
      <c r="E5788" t="inlineStr">
        <is>
          <t>LJUSDAL</t>
        </is>
      </c>
      <c r="G5788" t="n">
        <v>5.7</v>
      </c>
      <c r="H5788" t="n">
        <v>0</v>
      </c>
      <c r="I5788" t="n">
        <v>0</v>
      </c>
      <c r="J5788" t="n">
        <v>0</v>
      </c>
      <c r="K5788" t="n">
        <v>0</v>
      </c>
      <c r="L5788" t="n">
        <v>0</v>
      </c>
      <c r="M5788" t="n">
        <v>0</v>
      </c>
      <c r="N5788" t="n">
        <v>0</v>
      </c>
      <c r="O5788" t="n">
        <v>0</v>
      </c>
      <c r="P5788" t="n">
        <v>0</v>
      </c>
      <c r="Q5788" t="n">
        <v>0</v>
      </c>
      <c r="R5788" s="2" t="inlineStr"/>
    </row>
    <row r="5789" ht="15" customHeight="1">
      <c r="A5789" t="inlineStr">
        <is>
          <t>A 49597-2025</t>
        </is>
      </c>
      <c r="B5789" s="1" t="n">
        <v>45939.53217592592</v>
      </c>
      <c r="C5789" s="1" t="n">
        <v>46086</v>
      </c>
      <c r="D5789" t="inlineStr">
        <is>
          <t>GÄVLEBORGS LÄN</t>
        </is>
      </c>
      <c r="E5789" t="inlineStr">
        <is>
          <t>NORDANSTIG</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49145-2025</t>
        </is>
      </c>
      <c r="B5790" s="1" t="n">
        <v>45938.33005787037</v>
      </c>
      <c r="C5790" s="1" t="n">
        <v>46086</v>
      </c>
      <c r="D5790" t="inlineStr">
        <is>
          <t>GÄVLEBORGS LÄN</t>
        </is>
      </c>
      <c r="E5790" t="inlineStr">
        <is>
          <t>OVANÅKER</t>
        </is>
      </c>
      <c r="G5790" t="n">
        <v>3.7</v>
      </c>
      <c r="H5790" t="n">
        <v>0</v>
      </c>
      <c r="I5790" t="n">
        <v>0</v>
      </c>
      <c r="J5790" t="n">
        <v>0</v>
      </c>
      <c r="K5790" t="n">
        <v>0</v>
      </c>
      <c r="L5790" t="n">
        <v>0</v>
      </c>
      <c r="M5790" t="n">
        <v>0</v>
      </c>
      <c r="N5790" t="n">
        <v>0</v>
      </c>
      <c r="O5790" t="n">
        <v>0</v>
      </c>
      <c r="P5790" t="n">
        <v>0</v>
      </c>
      <c r="Q5790" t="n">
        <v>0</v>
      </c>
      <c r="R5790" s="2" t="inlineStr"/>
    </row>
    <row r="5791" ht="15" customHeight="1">
      <c r="A5791" t="inlineStr">
        <is>
          <t>A 49244-2025</t>
        </is>
      </c>
      <c r="B5791" s="1" t="n">
        <v>45938.48805555556</v>
      </c>
      <c r="C5791" s="1" t="n">
        <v>46086</v>
      </c>
      <c r="D5791" t="inlineStr">
        <is>
          <t>GÄVLEBORGS LÄN</t>
        </is>
      </c>
      <c r="E5791" t="inlineStr">
        <is>
          <t>LJUSDAL</t>
        </is>
      </c>
      <c r="F5791" t="inlineStr">
        <is>
          <t>Sveaskog</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49263-2025</t>
        </is>
      </c>
      <c r="B5792" s="1" t="n">
        <v>45938.49930555555</v>
      </c>
      <c r="C5792" s="1" t="n">
        <v>46086</v>
      </c>
      <c r="D5792" t="inlineStr">
        <is>
          <t>GÄVLEBORGS LÄN</t>
        </is>
      </c>
      <c r="E5792" t="inlineStr">
        <is>
          <t>NORDANSTIG</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25365-2025</t>
        </is>
      </c>
      <c r="B5793" s="1" t="n">
        <v>45800.62809027778</v>
      </c>
      <c r="C5793" s="1" t="n">
        <v>46086</v>
      </c>
      <c r="D5793" t="inlineStr">
        <is>
          <t>GÄVLEBORGS LÄN</t>
        </is>
      </c>
      <c r="E5793" t="inlineStr">
        <is>
          <t>SÖDERHAMN</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49275-2025</t>
        </is>
      </c>
      <c r="B5794" s="1" t="n">
        <v>45938.50620370371</v>
      </c>
      <c r="C5794" s="1" t="n">
        <v>46086</v>
      </c>
      <c r="D5794" t="inlineStr">
        <is>
          <t>GÄVLEBORGS LÄN</t>
        </is>
      </c>
      <c r="E5794" t="inlineStr">
        <is>
          <t>LJUSDAL</t>
        </is>
      </c>
      <c r="G5794" t="n">
        <v>4.7</v>
      </c>
      <c r="H5794" t="n">
        <v>0</v>
      </c>
      <c r="I5794" t="n">
        <v>0</v>
      </c>
      <c r="J5794" t="n">
        <v>0</v>
      </c>
      <c r="K5794" t="n">
        <v>0</v>
      </c>
      <c r="L5794" t="n">
        <v>0</v>
      </c>
      <c r="M5794" t="n">
        <v>0</v>
      </c>
      <c r="N5794" t="n">
        <v>0</v>
      </c>
      <c r="O5794" t="n">
        <v>0</v>
      </c>
      <c r="P5794" t="n">
        <v>0</v>
      </c>
      <c r="Q5794" t="n">
        <v>0</v>
      </c>
      <c r="R5794" s="2" t="inlineStr"/>
    </row>
    <row r="5795" ht="15" customHeight="1">
      <c r="A5795" t="inlineStr">
        <is>
          <t>A 49309-2025</t>
        </is>
      </c>
      <c r="B5795" s="1" t="n">
        <v>45938.56237268518</v>
      </c>
      <c r="C5795" s="1" t="n">
        <v>46086</v>
      </c>
      <c r="D5795" t="inlineStr">
        <is>
          <t>GÄVLEBORGS LÄN</t>
        </is>
      </c>
      <c r="E5795" t="inlineStr">
        <is>
          <t>NORDANSTIG</t>
        </is>
      </c>
      <c r="G5795" t="n">
        <v>7.4</v>
      </c>
      <c r="H5795" t="n">
        <v>0</v>
      </c>
      <c r="I5795" t="n">
        <v>0</v>
      </c>
      <c r="J5795" t="n">
        <v>0</v>
      </c>
      <c r="K5795" t="n">
        <v>0</v>
      </c>
      <c r="L5795" t="n">
        <v>0</v>
      </c>
      <c r="M5795" t="n">
        <v>0</v>
      </c>
      <c r="N5795" t="n">
        <v>0</v>
      </c>
      <c r="O5795" t="n">
        <v>0</v>
      </c>
      <c r="P5795" t="n">
        <v>0</v>
      </c>
      <c r="Q5795" t="n">
        <v>0</v>
      </c>
      <c r="R5795" s="2" t="inlineStr"/>
    </row>
    <row r="5796" ht="15" customHeight="1">
      <c r="A5796" t="inlineStr">
        <is>
          <t>A 49393-2025</t>
        </is>
      </c>
      <c r="B5796" s="1" t="n">
        <v>45938.65038194445</v>
      </c>
      <c r="C5796" s="1" t="n">
        <v>46086</v>
      </c>
      <c r="D5796" t="inlineStr">
        <is>
          <t>GÄVLEBORGS LÄN</t>
        </is>
      </c>
      <c r="E5796" t="inlineStr">
        <is>
          <t>GÄVLE</t>
        </is>
      </c>
      <c r="F5796" t="inlineStr">
        <is>
          <t>Bergvik skog väst AB</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49037-2025</t>
        </is>
      </c>
      <c r="B5797" s="1" t="n">
        <v>45937.63116898148</v>
      </c>
      <c r="C5797" s="1" t="n">
        <v>46086</v>
      </c>
      <c r="D5797" t="inlineStr">
        <is>
          <t>GÄVLEBORGS LÄN</t>
        </is>
      </c>
      <c r="E5797" t="inlineStr">
        <is>
          <t>LJUSDAL</t>
        </is>
      </c>
      <c r="G5797" t="n">
        <v>6.2</v>
      </c>
      <c r="H5797" t="n">
        <v>0</v>
      </c>
      <c r="I5797" t="n">
        <v>0</v>
      </c>
      <c r="J5797" t="n">
        <v>0</v>
      </c>
      <c r="K5797" t="n">
        <v>0</v>
      </c>
      <c r="L5797" t="n">
        <v>0</v>
      </c>
      <c r="M5797" t="n">
        <v>0</v>
      </c>
      <c r="N5797" t="n">
        <v>0</v>
      </c>
      <c r="O5797" t="n">
        <v>0</v>
      </c>
      <c r="P5797" t="n">
        <v>0</v>
      </c>
      <c r="Q5797" t="n">
        <v>0</v>
      </c>
      <c r="R5797" s="2" t="inlineStr"/>
    </row>
    <row r="5798" ht="15" customHeight="1">
      <c r="A5798" t="inlineStr">
        <is>
          <t>A 34919-2024</t>
        </is>
      </c>
      <c r="B5798" s="1" t="n">
        <v>45527</v>
      </c>
      <c r="C5798" s="1" t="n">
        <v>46086</v>
      </c>
      <c r="D5798" t="inlineStr">
        <is>
          <t>GÄVLEBORGS LÄN</t>
        </is>
      </c>
      <c r="E5798" t="inlineStr">
        <is>
          <t>LJUSDAL</t>
        </is>
      </c>
      <c r="F5798" t="inlineStr">
        <is>
          <t>Holmen skog AB</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37725-2025</t>
        </is>
      </c>
      <c r="B5799" s="1" t="n">
        <v>45880.61875</v>
      </c>
      <c r="C5799" s="1" t="n">
        <v>46086</v>
      </c>
      <c r="D5799" t="inlineStr">
        <is>
          <t>GÄVLEBORGS LÄN</t>
        </is>
      </c>
      <c r="E5799" t="inlineStr">
        <is>
          <t>HUDIKSVALL</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37608-2025</t>
        </is>
      </c>
      <c r="B5800" s="1" t="n">
        <v>45880.43055555555</v>
      </c>
      <c r="C5800" s="1" t="n">
        <v>46086</v>
      </c>
      <c r="D5800" t="inlineStr">
        <is>
          <t>GÄVLEBORGS LÄN</t>
        </is>
      </c>
      <c r="E5800" t="inlineStr">
        <is>
          <t>HUDIKSVALL</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48825-2025</t>
        </is>
      </c>
      <c r="B5801" s="1" t="n">
        <v>45937.37980324074</v>
      </c>
      <c r="C5801" s="1" t="n">
        <v>46086</v>
      </c>
      <c r="D5801" t="inlineStr">
        <is>
          <t>GÄVLEBORGS LÄN</t>
        </is>
      </c>
      <c r="E5801" t="inlineStr">
        <is>
          <t>LJUSDAL</t>
        </is>
      </c>
      <c r="F5801" t="inlineStr">
        <is>
          <t>Sveaskog</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4818-2023</t>
        </is>
      </c>
      <c r="B5802" s="1" t="n">
        <v>44957.6449537037</v>
      </c>
      <c r="C5802" s="1" t="n">
        <v>46086</v>
      </c>
      <c r="D5802" t="inlineStr">
        <is>
          <t>GÄVLEBORGS LÄN</t>
        </is>
      </c>
      <c r="E5802" t="inlineStr">
        <is>
          <t>LJUSDAL</t>
        </is>
      </c>
      <c r="F5802" t="inlineStr">
        <is>
          <t>Holmen skog AB</t>
        </is>
      </c>
      <c r="G5802" t="n">
        <v>5.1</v>
      </c>
      <c r="H5802" t="n">
        <v>0</v>
      </c>
      <c r="I5802" t="n">
        <v>0</v>
      </c>
      <c r="J5802" t="n">
        <v>0</v>
      </c>
      <c r="K5802" t="n">
        <v>0</v>
      </c>
      <c r="L5802" t="n">
        <v>0</v>
      </c>
      <c r="M5802" t="n">
        <v>0</v>
      </c>
      <c r="N5802" t="n">
        <v>0</v>
      </c>
      <c r="O5802" t="n">
        <v>0</v>
      </c>
      <c r="P5802" t="n">
        <v>0</v>
      </c>
      <c r="Q5802" t="n">
        <v>0</v>
      </c>
      <c r="R5802" s="2" t="inlineStr"/>
    </row>
    <row r="5803" ht="15" customHeight="1">
      <c r="A5803" t="inlineStr">
        <is>
          <t>A 49457-2025</t>
        </is>
      </c>
      <c r="B5803" s="1" t="n">
        <v>45939.2828125</v>
      </c>
      <c r="C5803" s="1" t="n">
        <v>46086</v>
      </c>
      <c r="D5803" t="inlineStr">
        <is>
          <t>GÄVLEBORGS LÄN</t>
        </is>
      </c>
      <c r="E5803" t="inlineStr">
        <is>
          <t>LJUSDAL</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48996-2025</t>
        </is>
      </c>
      <c r="B5804" s="1" t="n">
        <v>45937.58770833333</v>
      </c>
      <c r="C5804" s="1" t="n">
        <v>46086</v>
      </c>
      <c r="D5804" t="inlineStr">
        <is>
          <t>GÄVLEBORGS LÄN</t>
        </is>
      </c>
      <c r="E5804" t="inlineStr">
        <is>
          <t>OCKELBO</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37786-2025</t>
        </is>
      </c>
      <c r="B5805" s="1" t="n">
        <v>45881.29412037037</v>
      </c>
      <c r="C5805" s="1" t="n">
        <v>46086</v>
      </c>
      <c r="D5805" t="inlineStr">
        <is>
          <t>GÄVLEBORGS LÄN</t>
        </is>
      </c>
      <c r="E5805" t="inlineStr">
        <is>
          <t>LJUSDAL</t>
        </is>
      </c>
      <c r="F5805" t="inlineStr">
        <is>
          <t>Bergvik skog väst AB</t>
        </is>
      </c>
      <c r="G5805" t="n">
        <v>7.9</v>
      </c>
      <c r="H5805" t="n">
        <v>0</v>
      </c>
      <c r="I5805" t="n">
        <v>0</v>
      </c>
      <c r="J5805" t="n">
        <v>0</v>
      </c>
      <c r="K5805" t="n">
        <v>0</v>
      </c>
      <c r="L5805" t="n">
        <v>0</v>
      </c>
      <c r="M5805" t="n">
        <v>0</v>
      </c>
      <c r="N5805" t="n">
        <v>0</v>
      </c>
      <c r="O5805" t="n">
        <v>0</v>
      </c>
      <c r="P5805" t="n">
        <v>0</v>
      </c>
      <c r="Q5805" t="n">
        <v>0</v>
      </c>
      <c r="R5805" s="2" t="inlineStr"/>
    </row>
    <row r="5806" ht="15" customHeight="1">
      <c r="A5806" t="inlineStr">
        <is>
          <t>A 49384-2025</t>
        </is>
      </c>
      <c r="B5806" s="1" t="n">
        <v>45938.64211805556</v>
      </c>
      <c r="C5806" s="1" t="n">
        <v>46086</v>
      </c>
      <c r="D5806" t="inlineStr">
        <is>
          <t>GÄVLEBORGS LÄN</t>
        </is>
      </c>
      <c r="E5806" t="inlineStr">
        <is>
          <t>GÄVLE</t>
        </is>
      </c>
      <c r="F5806" t="inlineStr">
        <is>
          <t>Bergvik skog väst AB</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49511-2025</t>
        </is>
      </c>
      <c r="B5807" s="1" t="n">
        <v>45939.38144675926</v>
      </c>
      <c r="C5807" s="1" t="n">
        <v>46086</v>
      </c>
      <c r="D5807" t="inlineStr">
        <is>
          <t>GÄVLEBORGS LÄN</t>
        </is>
      </c>
      <c r="E5807" t="inlineStr">
        <is>
          <t>GÄVLE</t>
        </is>
      </c>
      <c r="F5807" t="inlineStr">
        <is>
          <t>Kyrkan</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37987-2025</t>
        </is>
      </c>
      <c r="B5808" s="1" t="n">
        <v>45881.7040162037</v>
      </c>
      <c r="C5808" s="1" t="n">
        <v>46086</v>
      </c>
      <c r="D5808" t="inlineStr">
        <is>
          <t>GÄVLEBORGS LÄN</t>
        </is>
      </c>
      <c r="E5808" t="inlineStr">
        <is>
          <t>BOLLNÄS</t>
        </is>
      </c>
      <c r="G5808" t="n">
        <v>5.6</v>
      </c>
      <c r="H5808" t="n">
        <v>0</v>
      </c>
      <c r="I5808" t="n">
        <v>0</v>
      </c>
      <c r="J5808" t="n">
        <v>0</v>
      </c>
      <c r="K5808" t="n">
        <v>0</v>
      </c>
      <c r="L5808" t="n">
        <v>0</v>
      </c>
      <c r="M5808" t="n">
        <v>0</v>
      </c>
      <c r="N5808" t="n">
        <v>0</v>
      </c>
      <c r="O5808" t="n">
        <v>0</v>
      </c>
      <c r="P5808" t="n">
        <v>0</v>
      </c>
      <c r="Q5808" t="n">
        <v>0</v>
      </c>
      <c r="R5808" s="2" t="inlineStr"/>
    </row>
    <row r="5809" ht="15" customHeight="1">
      <c r="A5809" t="inlineStr">
        <is>
          <t>A 37989-2025</t>
        </is>
      </c>
      <c r="B5809" s="1" t="n">
        <v>45881.70878472222</v>
      </c>
      <c r="C5809" s="1" t="n">
        <v>46086</v>
      </c>
      <c r="D5809" t="inlineStr">
        <is>
          <t>GÄVLEBORGS LÄN</t>
        </is>
      </c>
      <c r="E5809" t="inlineStr">
        <is>
          <t>BOLLNÄS</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38240-2024</t>
        </is>
      </c>
      <c r="B5810" s="1" t="n">
        <v>45545</v>
      </c>
      <c r="C5810" s="1" t="n">
        <v>46086</v>
      </c>
      <c r="D5810" t="inlineStr">
        <is>
          <t>GÄVLEBORGS LÄN</t>
        </is>
      </c>
      <c r="E5810" t="inlineStr">
        <is>
          <t>GÄVLE</t>
        </is>
      </c>
      <c r="F5810" t="inlineStr">
        <is>
          <t>Bergvik skog väst AB</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49273-2025</t>
        </is>
      </c>
      <c r="B5811" s="1" t="n">
        <v>45938.50575231481</v>
      </c>
      <c r="C5811" s="1" t="n">
        <v>46086</v>
      </c>
      <c r="D5811" t="inlineStr">
        <is>
          <t>GÄVLEBORGS LÄN</t>
        </is>
      </c>
      <c r="E5811" t="inlineStr">
        <is>
          <t>NORDANSTIG</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37531-2025</t>
        </is>
      </c>
      <c r="B5812" s="1" t="n">
        <v>45878.34459490741</v>
      </c>
      <c r="C5812" s="1" t="n">
        <v>46086</v>
      </c>
      <c r="D5812" t="inlineStr">
        <is>
          <t>GÄVLEBORGS LÄN</t>
        </is>
      </c>
      <c r="E5812" t="inlineStr">
        <is>
          <t>OVANÅKER</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37538-2025</t>
        </is>
      </c>
      <c r="B5813" s="1" t="n">
        <v>45879.42443287037</v>
      </c>
      <c r="C5813" s="1" t="n">
        <v>46086</v>
      </c>
      <c r="D5813" t="inlineStr">
        <is>
          <t>GÄVLEBORGS LÄN</t>
        </is>
      </c>
      <c r="E5813" t="inlineStr">
        <is>
          <t>SÖDERHAMN</t>
        </is>
      </c>
      <c r="G5813" t="n">
        <v>3.3</v>
      </c>
      <c r="H5813" t="n">
        <v>0</v>
      </c>
      <c r="I5813" t="n">
        <v>0</v>
      </c>
      <c r="J5813" t="n">
        <v>0</v>
      </c>
      <c r="K5813" t="n">
        <v>0</v>
      </c>
      <c r="L5813" t="n">
        <v>0</v>
      </c>
      <c r="M5813" t="n">
        <v>0</v>
      </c>
      <c r="N5813" t="n">
        <v>0</v>
      </c>
      <c r="O5813" t="n">
        <v>0</v>
      </c>
      <c r="P5813" t="n">
        <v>0</v>
      </c>
      <c r="Q5813" t="n">
        <v>0</v>
      </c>
      <c r="R5813" s="2" t="inlineStr"/>
    </row>
    <row r="5814" ht="15" customHeight="1">
      <c r="A5814" t="inlineStr">
        <is>
          <t>A 49282-2025</t>
        </is>
      </c>
      <c r="B5814" s="1" t="n">
        <v>45938.51270833334</v>
      </c>
      <c r="C5814" s="1" t="n">
        <v>46086</v>
      </c>
      <c r="D5814" t="inlineStr">
        <is>
          <t>GÄVLEBORGS LÄN</t>
        </is>
      </c>
      <c r="E5814" t="inlineStr">
        <is>
          <t>NORDANSTIG</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49286-2025</t>
        </is>
      </c>
      <c r="B5815" s="1" t="n">
        <v>45938.52304398148</v>
      </c>
      <c r="C5815" s="1" t="n">
        <v>46086</v>
      </c>
      <c r="D5815" t="inlineStr">
        <is>
          <t>GÄVLEBORGS LÄN</t>
        </is>
      </c>
      <c r="E5815" t="inlineStr">
        <is>
          <t>NORDANSTIG</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49446-2025</t>
        </is>
      </c>
      <c r="B5816" s="1" t="n">
        <v>45938.92873842592</v>
      </c>
      <c r="C5816" s="1" t="n">
        <v>46086</v>
      </c>
      <c r="D5816" t="inlineStr">
        <is>
          <t>GÄVLEBORGS LÄN</t>
        </is>
      </c>
      <c r="E5816" t="inlineStr">
        <is>
          <t>SANDVIKEN</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49454-2025</t>
        </is>
      </c>
      <c r="B5817" s="1" t="n">
        <v>45939.23872685185</v>
      </c>
      <c r="C5817" s="1" t="n">
        <v>46086</v>
      </c>
      <c r="D5817" t="inlineStr">
        <is>
          <t>GÄVLEBORGS LÄN</t>
        </is>
      </c>
      <c r="E5817" t="inlineStr">
        <is>
          <t>SANDVIKEN</t>
        </is>
      </c>
      <c r="F5817" t="inlineStr">
        <is>
          <t>Sveaskog</t>
        </is>
      </c>
      <c r="G5817" t="n">
        <v>4.8</v>
      </c>
      <c r="H5817" t="n">
        <v>0</v>
      </c>
      <c r="I5817" t="n">
        <v>0</v>
      </c>
      <c r="J5817" t="n">
        <v>0</v>
      </c>
      <c r="K5817" t="n">
        <v>0</v>
      </c>
      <c r="L5817" t="n">
        <v>0</v>
      </c>
      <c r="M5817" t="n">
        <v>0</v>
      </c>
      <c r="N5817" t="n">
        <v>0</v>
      </c>
      <c r="O5817" t="n">
        <v>0</v>
      </c>
      <c r="P5817" t="n">
        <v>0</v>
      </c>
      <c r="Q5817" t="n">
        <v>0</v>
      </c>
      <c r="R5817" s="2" t="inlineStr"/>
    </row>
    <row r="5818" ht="15" customHeight="1">
      <c r="A5818" t="inlineStr">
        <is>
          <t>A 37701-2025</t>
        </is>
      </c>
      <c r="B5818" s="1" t="n">
        <v>45880.58092592593</v>
      </c>
      <c r="C5818" s="1" t="n">
        <v>46086</v>
      </c>
      <c r="D5818" t="inlineStr">
        <is>
          <t>GÄVLEBORGS LÄN</t>
        </is>
      </c>
      <c r="E5818" t="inlineStr">
        <is>
          <t>HUDIKSVALL</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44369-2025</t>
        </is>
      </c>
      <c r="B5819" s="1" t="n">
        <v>45916.46002314815</v>
      </c>
      <c r="C5819" s="1" t="n">
        <v>46086</v>
      </c>
      <c r="D5819" t="inlineStr">
        <is>
          <t>GÄVLEBORGS LÄN</t>
        </is>
      </c>
      <c r="E5819" t="inlineStr">
        <is>
          <t>GÄVLE</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45383-2025</t>
        </is>
      </c>
      <c r="B5820" s="1" t="n">
        <v>45922.40482638889</v>
      </c>
      <c r="C5820" s="1" t="n">
        <v>46086</v>
      </c>
      <c r="D5820" t="inlineStr">
        <is>
          <t>GÄVLEBORGS LÄN</t>
        </is>
      </c>
      <c r="E5820" t="inlineStr">
        <is>
          <t>SÖDERHAMN</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46963-2025</t>
        </is>
      </c>
      <c r="B5821" s="1" t="n">
        <v>45929.49167824074</v>
      </c>
      <c r="C5821" s="1" t="n">
        <v>46086</v>
      </c>
      <c r="D5821" t="inlineStr">
        <is>
          <t>GÄVLEBORGS LÄN</t>
        </is>
      </c>
      <c r="E5821" t="inlineStr">
        <is>
          <t>GÄVLE</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48855-2025</t>
        </is>
      </c>
      <c r="B5822" s="1" t="n">
        <v>45937.43577546296</v>
      </c>
      <c r="C5822" s="1" t="n">
        <v>46086</v>
      </c>
      <c r="D5822" t="inlineStr">
        <is>
          <t>GÄVLEBORGS LÄN</t>
        </is>
      </c>
      <c r="E5822" t="inlineStr">
        <is>
          <t>OCKELBO</t>
        </is>
      </c>
      <c r="F5822" t="inlineStr">
        <is>
          <t>Bergvik skog väst AB</t>
        </is>
      </c>
      <c r="G5822" t="n">
        <v>6.1</v>
      </c>
      <c r="H5822" t="n">
        <v>0</v>
      </c>
      <c r="I5822" t="n">
        <v>0</v>
      </c>
      <c r="J5822" t="n">
        <v>0</v>
      </c>
      <c r="K5822" t="n">
        <v>0</v>
      </c>
      <c r="L5822" t="n">
        <v>0</v>
      </c>
      <c r="M5822" t="n">
        <v>0</v>
      </c>
      <c r="N5822" t="n">
        <v>0</v>
      </c>
      <c r="O5822" t="n">
        <v>0</v>
      </c>
      <c r="P5822" t="n">
        <v>0</v>
      </c>
      <c r="Q5822" t="n">
        <v>0</v>
      </c>
      <c r="R5822" s="2" t="inlineStr"/>
    </row>
    <row r="5823" ht="15" customHeight="1">
      <c r="A5823" t="inlineStr">
        <is>
          <t>A 4704-2025</t>
        </is>
      </c>
      <c r="B5823" s="1" t="n">
        <v>45688.37835648148</v>
      </c>
      <c r="C5823" s="1" t="n">
        <v>46086</v>
      </c>
      <c r="D5823" t="inlineStr">
        <is>
          <t>GÄVLEBORGS LÄN</t>
        </is>
      </c>
      <c r="E5823" t="inlineStr">
        <is>
          <t>OVANÅKER</t>
        </is>
      </c>
      <c r="G5823" t="n">
        <v>5.6</v>
      </c>
      <c r="H5823" t="n">
        <v>0</v>
      </c>
      <c r="I5823" t="n">
        <v>0</v>
      </c>
      <c r="J5823" t="n">
        <v>0</v>
      </c>
      <c r="K5823" t="n">
        <v>0</v>
      </c>
      <c r="L5823" t="n">
        <v>0</v>
      </c>
      <c r="M5823" t="n">
        <v>0</v>
      </c>
      <c r="N5823" t="n">
        <v>0</v>
      </c>
      <c r="O5823" t="n">
        <v>0</v>
      </c>
      <c r="P5823" t="n">
        <v>0</v>
      </c>
      <c r="Q5823" t="n">
        <v>0</v>
      </c>
      <c r="R5823" s="2" t="inlineStr"/>
    </row>
    <row r="5824" ht="15" customHeight="1">
      <c r="A5824" t="inlineStr">
        <is>
          <t>A 9964-2025</t>
        </is>
      </c>
      <c r="B5824" s="1" t="n">
        <v>45719.37508101852</v>
      </c>
      <c r="C5824" s="1" t="n">
        <v>46086</v>
      </c>
      <c r="D5824" t="inlineStr">
        <is>
          <t>GÄVLEBORGS LÄN</t>
        </is>
      </c>
      <c r="E5824" t="inlineStr">
        <is>
          <t>OCKELBO</t>
        </is>
      </c>
      <c r="F5824" t="inlineStr">
        <is>
          <t>Bergvik skog öst AB</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49532-2025</t>
        </is>
      </c>
      <c r="B5825" s="1" t="n">
        <v>45939</v>
      </c>
      <c r="C5825" s="1" t="n">
        <v>46086</v>
      </c>
      <c r="D5825" t="inlineStr">
        <is>
          <t>GÄVLEBORGS LÄN</t>
        </is>
      </c>
      <c r="E5825" t="inlineStr">
        <is>
          <t>SÖDERHAMN</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49548-2025</t>
        </is>
      </c>
      <c r="B5826" s="1" t="n">
        <v>45939.4422337963</v>
      </c>
      <c r="C5826" s="1" t="n">
        <v>46086</v>
      </c>
      <c r="D5826" t="inlineStr">
        <is>
          <t>GÄVLEBORGS LÄN</t>
        </is>
      </c>
      <c r="E5826" t="inlineStr">
        <is>
          <t>OVANÅKER</t>
        </is>
      </c>
      <c r="G5826" t="n">
        <v>6</v>
      </c>
      <c r="H5826" t="n">
        <v>0</v>
      </c>
      <c r="I5826" t="n">
        <v>0</v>
      </c>
      <c r="J5826" t="n">
        <v>0</v>
      </c>
      <c r="K5826" t="n">
        <v>0</v>
      </c>
      <c r="L5826" t="n">
        <v>0</v>
      </c>
      <c r="M5826" t="n">
        <v>0</v>
      </c>
      <c r="N5826" t="n">
        <v>0</v>
      </c>
      <c r="O5826" t="n">
        <v>0</v>
      </c>
      <c r="P5826" t="n">
        <v>0</v>
      </c>
      <c r="Q5826" t="n">
        <v>0</v>
      </c>
      <c r="R5826" s="2" t="inlineStr"/>
    </row>
    <row r="5827" ht="15" customHeight="1">
      <c r="A5827" t="inlineStr">
        <is>
          <t>A 37540-2025</t>
        </is>
      </c>
      <c r="B5827" s="1" t="n">
        <v>45879.455625</v>
      </c>
      <c r="C5827" s="1" t="n">
        <v>46086</v>
      </c>
      <c r="D5827" t="inlineStr">
        <is>
          <t>GÄVLEBORGS LÄN</t>
        </is>
      </c>
      <c r="E5827" t="inlineStr">
        <is>
          <t>OVANÅKER</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49213-2025</t>
        </is>
      </c>
      <c r="B5828" s="1" t="n">
        <v>45938.44077546296</v>
      </c>
      <c r="C5828" s="1" t="n">
        <v>46086</v>
      </c>
      <c r="D5828" t="inlineStr">
        <is>
          <t>GÄVLEBORGS LÄN</t>
        </is>
      </c>
      <c r="E5828" t="inlineStr">
        <is>
          <t>OVANÅKER</t>
        </is>
      </c>
      <c r="G5828" t="n">
        <v>6.4</v>
      </c>
      <c r="H5828" t="n">
        <v>0</v>
      </c>
      <c r="I5828" t="n">
        <v>0</v>
      </c>
      <c r="J5828" t="n">
        <v>0</v>
      </c>
      <c r="K5828" t="n">
        <v>0</v>
      </c>
      <c r="L5828" t="n">
        <v>0</v>
      </c>
      <c r="M5828" t="n">
        <v>0</v>
      </c>
      <c r="N5828" t="n">
        <v>0</v>
      </c>
      <c r="O5828" t="n">
        <v>0</v>
      </c>
      <c r="P5828" t="n">
        <v>0</v>
      </c>
      <c r="Q5828" t="n">
        <v>0</v>
      </c>
      <c r="R5828" s="2" t="inlineStr"/>
    </row>
    <row r="5829" ht="15" customHeight="1">
      <c r="A5829" t="inlineStr">
        <is>
          <t>A 49217-2025</t>
        </is>
      </c>
      <c r="B5829" s="1" t="n">
        <v>45938</v>
      </c>
      <c r="C5829" s="1" t="n">
        <v>46086</v>
      </c>
      <c r="D5829" t="inlineStr">
        <is>
          <t>GÄVLEBORGS LÄN</t>
        </is>
      </c>
      <c r="E5829" t="inlineStr">
        <is>
          <t>SANDVIKEN</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37605-2025</t>
        </is>
      </c>
      <c r="B5830" s="1" t="n">
        <v>45880.42741898148</v>
      </c>
      <c r="C5830" s="1" t="n">
        <v>46086</v>
      </c>
      <c r="D5830" t="inlineStr">
        <is>
          <t>GÄVLEBORGS LÄN</t>
        </is>
      </c>
      <c r="E5830" t="inlineStr">
        <is>
          <t>HUDIKSVALL</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45965-2025</t>
        </is>
      </c>
      <c r="B5831" s="1" t="n">
        <v>45924.35655092593</v>
      </c>
      <c r="C5831" s="1" t="n">
        <v>46086</v>
      </c>
      <c r="D5831" t="inlineStr">
        <is>
          <t>GÄVLEBORGS LÄN</t>
        </is>
      </c>
      <c r="E5831" t="inlineStr">
        <is>
          <t>HOFORS</t>
        </is>
      </c>
      <c r="F5831" t="inlineStr">
        <is>
          <t>Sveaskog</t>
        </is>
      </c>
      <c r="G5831" t="n">
        <v>5.8</v>
      </c>
      <c r="H5831" t="n">
        <v>0</v>
      </c>
      <c r="I5831" t="n">
        <v>0</v>
      </c>
      <c r="J5831" t="n">
        <v>0</v>
      </c>
      <c r="K5831" t="n">
        <v>0</v>
      </c>
      <c r="L5831" t="n">
        <v>0</v>
      </c>
      <c r="M5831" t="n">
        <v>0</v>
      </c>
      <c r="N5831" t="n">
        <v>0</v>
      </c>
      <c r="O5831" t="n">
        <v>0</v>
      </c>
      <c r="P5831" t="n">
        <v>0</v>
      </c>
      <c r="Q5831" t="n">
        <v>0</v>
      </c>
      <c r="R5831" s="2" t="inlineStr"/>
    </row>
    <row r="5832" ht="15" customHeight="1">
      <c r="A5832" t="inlineStr">
        <is>
          <t>A 49173-2025</t>
        </is>
      </c>
      <c r="B5832" s="1" t="n">
        <v>45938.37474537037</v>
      </c>
      <c r="C5832" s="1" t="n">
        <v>46086</v>
      </c>
      <c r="D5832" t="inlineStr">
        <is>
          <t>GÄVLEBORGS LÄN</t>
        </is>
      </c>
      <c r="E5832" t="inlineStr">
        <is>
          <t>OVANÅKER</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37988-2025</t>
        </is>
      </c>
      <c r="B5833" s="1" t="n">
        <v>45881.70454861111</v>
      </c>
      <c r="C5833" s="1" t="n">
        <v>46086</v>
      </c>
      <c r="D5833" t="inlineStr">
        <is>
          <t>GÄVLEBORGS LÄN</t>
        </is>
      </c>
      <c r="E5833" t="inlineStr">
        <is>
          <t>HOFORS</t>
        </is>
      </c>
      <c r="F5833" t="inlineStr">
        <is>
          <t>Sveaskog</t>
        </is>
      </c>
      <c r="G5833" t="n">
        <v>5.7</v>
      </c>
      <c r="H5833" t="n">
        <v>0</v>
      </c>
      <c r="I5833" t="n">
        <v>0</v>
      </c>
      <c r="J5833" t="n">
        <v>0</v>
      </c>
      <c r="K5833" t="n">
        <v>0</v>
      </c>
      <c r="L5833" t="n">
        <v>0</v>
      </c>
      <c r="M5833" t="n">
        <v>0</v>
      </c>
      <c r="N5833" t="n">
        <v>0</v>
      </c>
      <c r="O5833" t="n">
        <v>0</v>
      </c>
      <c r="P5833" t="n">
        <v>0</v>
      </c>
      <c r="Q5833" t="n">
        <v>0</v>
      </c>
      <c r="R5833" s="2" t="inlineStr"/>
    </row>
    <row r="5834" ht="15" customHeight="1">
      <c r="A5834" t="inlineStr">
        <is>
          <t>A 37848-2025</t>
        </is>
      </c>
      <c r="B5834" s="1" t="n">
        <v>45881.44760416666</v>
      </c>
      <c r="C5834" s="1" t="n">
        <v>46086</v>
      </c>
      <c r="D5834" t="inlineStr">
        <is>
          <t>GÄVLEBORGS LÄN</t>
        </is>
      </c>
      <c r="E5834" t="inlineStr">
        <is>
          <t>NORDANSTIG</t>
        </is>
      </c>
      <c r="G5834" t="n">
        <v>0.3</v>
      </c>
      <c r="H5834" t="n">
        <v>0</v>
      </c>
      <c r="I5834" t="n">
        <v>0</v>
      </c>
      <c r="J5834" t="n">
        <v>0</v>
      </c>
      <c r="K5834" t="n">
        <v>0</v>
      </c>
      <c r="L5834" t="n">
        <v>0</v>
      </c>
      <c r="M5834" t="n">
        <v>0</v>
      </c>
      <c r="N5834" t="n">
        <v>0</v>
      </c>
      <c r="O5834" t="n">
        <v>0</v>
      </c>
      <c r="P5834" t="n">
        <v>0</v>
      </c>
      <c r="Q5834" t="n">
        <v>0</v>
      </c>
      <c r="R5834" s="2" t="inlineStr"/>
    </row>
    <row r="5835" ht="15" customHeight="1">
      <c r="A5835" t="inlineStr">
        <is>
          <t>A 49595-2025</t>
        </is>
      </c>
      <c r="B5835" s="1" t="n">
        <v>45939.53207175926</v>
      </c>
      <c r="C5835" s="1" t="n">
        <v>46086</v>
      </c>
      <c r="D5835" t="inlineStr">
        <is>
          <t>GÄVLEBORGS LÄN</t>
        </is>
      </c>
      <c r="E5835" t="inlineStr">
        <is>
          <t>NORDANSTIG</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37903-2025</t>
        </is>
      </c>
      <c r="B5836" s="1" t="n">
        <v>45881.56465277778</v>
      </c>
      <c r="C5836" s="1" t="n">
        <v>46086</v>
      </c>
      <c r="D5836" t="inlineStr">
        <is>
          <t>GÄVLEBORGS LÄN</t>
        </is>
      </c>
      <c r="E5836" t="inlineStr">
        <is>
          <t>LJUSDAL</t>
        </is>
      </c>
      <c r="F5836" t="inlineStr">
        <is>
          <t>Bergvik skog väst AB</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49486-2025</t>
        </is>
      </c>
      <c r="B5837" s="1" t="n">
        <v>45939.36296296296</v>
      </c>
      <c r="C5837" s="1" t="n">
        <v>46086</v>
      </c>
      <c r="D5837" t="inlineStr">
        <is>
          <t>GÄVLEBORGS LÄN</t>
        </is>
      </c>
      <c r="E5837" t="inlineStr">
        <is>
          <t>OVANÅKER</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49510-2025</t>
        </is>
      </c>
      <c r="B5838" s="1" t="n">
        <v>45939.38085648148</v>
      </c>
      <c r="C5838" s="1" t="n">
        <v>46086</v>
      </c>
      <c r="D5838" t="inlineStr">
        <is>
          <t>GÄVLEBORGS LÄN</t>
        </is>
      </c>
      <c r="E5838" t="inlineStr">
        <is>
          <t>GÄVLE</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49032-2025</t>
        </is>
      </c>
      <c r="B5839" s="1" t="n">
        <v>45937.6262037037</v>
      </c>
      <c r="C5839" s="1" t="n">
        <v>46086</v>
      </c>
      <c r="D5839" t="inlineStr">
        <is>
          <t>GÄVLEBORGS LÄN</t>
        </is>
      </c>
      <c r="E5839" t="inlineStr">
        <is>
          <t>OCKELBO</t>
        </is>
      </c>
      <c r="G5839" t="n">
        <v>11.1</v>
      </c>
      <c r="H5839" t="n">
        <v>0</v>
      </c>
      <c r="I5839" t="n">
        <v>0</v>
      </c>
      <c r="J5839" t="n">
        <v>0</v>
      </c>
      <c r="K5839" t="n">
        <v>0</v>
      </c>
      <c r="L5839" t="n">
        <v>0</v>
      </c>
      <c r="M5839" t="n">
        <v>0</v>
      </c>
      <c r="N5839" t="n">
        <v>0</v>
      </c>
      <c r="O5839" t="n">
        <v>0</v>
      </c>
      <c r="P5839" t="n">
        <v>0</v>
      </c>
      <c r="Q5839" t="n">
        <v>0</v>
      </c>
      <c r="R5839" s="2" t="inlineStr"/>
    </row>
    <row r="5840" ht="15" customHeight="1">
      <c r="A5840" t="inlineStr">
        <is>
          <t>A 37978-2025</t>
        </is>
      </c>
      <c r="B5840" s="1" t="n">
        <v>45881.67885416667</v>
      </c>
      <c r="C5840" s="1" t="n">
        <v>46086</v>
      </c>
      <c r="D5840" t="inlineStr">
        <is>
          <t>GÄVLEBORGS LÄN</t>
        </is>
      </c>
      <c r="E5840" t="inlineStr">
        <is>
          <t>LJUSDAL</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37616-2025</t>
        </is>
      </c>
      <c r="B5841" s="1" t="n">
        <v>45880.43641203704</v>
      </c>
      <c r="C5841" s="1" t="n">
        <v>46086</v>
      </c>
      <c r="D5841" t="inlineStr">
        <is>
          <t>GÄVLEBORGS LÄN</t>
        </is>
      </c>
      <c r="E5841" t="inlineStr">
        <is>
          <t>HUDIKSVALL</t>
        </is>
      </c>
      <c r="G5841" t="n">
        <v>6.9</v>
      </c>
      <c r="H5841" t="n">
        <v>0</v>
      </c>
      <c r="I5841" t="n">
        <v>0</v>
      </c>
      <c r="J5841" t="n">
        <v>0</v>
      </c>
      <c r="K5841" t="n">
        <v>0</v>
      </c>
      <c r="L5841" t="n">
        <v>0</v>
      </c>
      <c r="M5841" t="n">
        <v>0</v>
      </c>
      <c r="N5841" t="n">
        <v>0</v>
      </c>
      <c r="O5841" t="n">
        <v>0</v>
      </c>
      <c r="P5841" t="n">
        <v>0</v>
      </c>
      <c r="Q5841" t="n">
        <v>0</v>
      </c>
      <c r="R5841" s="2" t="inlineStr"/>
    </row>
    <row r="5842" ht="15" customHeight="1">
      <c r="A5842" t="inlineStr">
        <is>
          <t>A 49034-2025</t>
        </is>
      </c>
      <c r="B5842" s="1" t="n">
        <v>45937.62844907407</v>
      </c>
      <c r="C5842" s="1" t="n">
        <v>46086</v>
      </c>
      <c r="D5842" t="inlineStr">
        <is>
          <t>GÄVLEBORGS LÄN</t>
        </is>
      </c>
      <c r="E5842" t="inlineStr">
        <is>
          <t>LJUSDAL</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37811-2025</t>
        </is>
      </c>
      <c r="B5843" s="1" t="n">
        <v>45881.3714699074</v>
      </c>
      <c r="C5843" s="1" t="n">
        <v>46086</v>
      </c>
      <c r="D5843" t="inlineStr">
        <is>
          <t>GÄVLEBORGS LÄN</t>
        </is>
      </c>
      <c r="E5843" t="inlineStr">
        <is>
          <t>HUDIKSVALL</t>
        </is>
      </c>
      <c r="F5843" t="inlineStr">
        <is>
          <t>Holmen skog AB</t>
        </is>
      </c>
      <c r="G5843" t="n">
        <v>7.8</v>
      </c>
      <c r="H5843" t="n">
        <v>0</v>
      </c>
      <c r="I5843" t="n">
        <v>0</v>
      </c>
      <c r="J5843" t="n">
        <v>0</v>
      </c>
      <c r="K5843" t="n">
        <v>0</v>
      </c>
      <c r="L5843" t="n">
        <v>0</v>
      </c>
      <c r="M5843" t="n">
        <v>0</v>
      </c>
      <c r="N5843" t="n">
        <v>0</v>
      </c>
      <c r="O5843" t="n">
        <v>0</v>
      </c>
      <c r="P5843" t="n">
        <v>0</v>
      </c>
      <c r="Q5843" t="n">
        <v>0</v>
      </c>
      <c r="R5843" s="2" t="inlineStr"/>
    </row>
    <row r="5844" ht="15" customHeight="1">
      <c r="A5844" t="inlineStr">
        <is>
          <t>A 37991-2025</t>
        </is>
      </c>
      <c r="B5844" s="1" t="n">
        <v>45881.7143287037</v>
      </c>
      <c r="C5844" s="1" t="n">
        <v>46086</v>
      </c>
      <c r="D5844" t="inlineStr">
        <is>
          <t>GÄVLEBORGS LÄN</t>
        </is>
      </c>
      <c r="E5844" t="inlineStr">
        <is>
          <t>LJUSDAL</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37984-2025</t>
        </is>
      </c>
      <c r="B5845" s="1" t="n">
        <v>45881.6999074074</v>
      </c>
      <c r="C5845" s="1" t="n">
        <v>46086</v>
      </c>
      <c r="D5845" t="inlineStr">
        <is>
          <t>GÄVLEBORGS LÄN</t>
        </is>
      </c>
      <c r="E5845" t="inlineStr">
        <is>
          <t>BOLLNÄS</t>
        </is>
      </c>
      <c r="G5845" t="n">
        <v>3.7</v>
      </c>
      <c r="H5845" t="n">
        <v>0</v>
      </c>
      <c r="I5845" t="n">
        <v>0</v>
      </c>
      <c r="J5845" t="n">
        <v>0</v>
      </c>
      <c r="K5845" t="n">
        <v>0</v>
      </c>
      <c r="L5845" t="n">
        <v>0</v>
      </c>
      <c r="M5845" t="n">
        <v>0</v>
      </c>
      <c r="N5845" t="n">
        <v>0</v>
      </c>
      <c r="O5845" t="n">
        <v>0</v>
      </c>
      <c r="P5845" t="n">
        <v>0</v>
      </c>
      <c r="Q5845" t="n">
        <v>0</v>
      </c>
      <c r="R5845" s="2" t="inlineStr"/>
    </row>
    <row r="5846" ht="15" customHeight="1">
      <c r="A5846" t="inlineStr">
        <is>
          <t>A 49042-2025</t>
        </is>
      </c>
      <c r="B5846" s="1" t="n">
        <v>45937.63600694444</v>
      </c>
      <c r="C5846" s="1" t="n">
        <v>46086</v>
      </c>
      <c r="D5846" t="inlineStr">
        <is>
          <t>GÄVLEBORGS LÄN</t>
        </is>
      </c>
      <c r="E5846" t="inlineStr">
        <is>
          <t>SANDVIKEN</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6987-2025</t>
        </is>
      </c>
      <c r="B5847" s="1" t="n">
        <v>45701</v>
      </c>
      <c r="C5847" s="1" t="n">
        <v>46086</v>
      </c>
      <c r="D5847" t="inlineStr">
        <is>
          <t>GÄVLEBORGS LÄN</t>
        </is>
      </c>
      <c r="E5847" t="inlineStr">
        <is>
          <t>LJUSDAL</t>
        </is>
      </c>
      <c r="G5847" t="n">
        <v>7.7</v>
      </c>
      <c r="H5847" t="n">
        <v>0</v>
      </c>
      <c r="I5847" t="n">
        <v>0</v>
      </c>
      <c r="J5847" t="n">
        <v>0</v>
      </c>
      <c r="K5847" t="n">
        <v>0</v>
      </c>
      <c r="L5847" t="n">
        <v>0</v>
      </c>
      <c r="M5847" t="n">
        <v>0</v>
      </c>
      <c r="N5847" t="n">
        <v>0</v>
      </c>
      <c r="O5847" t="n">
        <v>0</v>
      </c>
      <c r="P5847" t="n">
        <v>0</v>
      </c>
      <c r="Q5847" t="n">
        <v>0</v>
      </c>
      <c r="R5847" s="2" t="inlineStr"/>
    </row>
    <row r="5848" ht="15" customHeight="1">
      <c r="A5848" t="inlineStr">
        <is>
          <t>A 37631-2025</t>
        </is>
      </c>
      <c r="B5848" s="1" t="n">
        <v>45880.46456018519</v>
      </c>
      <c r="C5848" s="1" t="n">
        <v>46086</v>
      </c>
      <c r="D5848" t="inlineStr">
        <is>
          <t>GÄVLEBORGS LÄN</t>
        </is>
      </c>
      <c r="E5848" t="inlineStr">
        <is>
          <t>BOLLNÄS</t>
        </is>
      </c>
      <c r="G5848" t="n">
        <v>8.699999999999999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37640-2025</t>
        </is>
      </c>
      <c r="B5849" s="1" t="n">
        <v>45880.47621527778</v>
      </c>
      <c r="C5849" s="1" t="n">
        <v>46086</v>
      </c>
      <c r="D5849" t="inlineStr">
        <is>
          <t>GÄVLEBORGS LÄN</t>
        </is>
      </c>
      <c r="E5849" t="inlineStr">
        <is>
          <t>NORDANSTIG</t>
        </is>
      </c>
      <c r="F5849" t="inlineStr">
        <is>
          <t>Holmen skog AB</t>
        </is>
      </c>
      <c r="G5849" t="n">
        <v>6.8</v>
      </c>
      <c r="H5849" t="n">
        <v>0</v>
      </c>
      <c r="I5849" t="n">
        <v>0</v>
      </c>
      <c r="J5849" t="n">
        <v>0</v>
      </c>
      <c r="K5849" t="n">
        <v>0</v>
      </c>
      <c r="L5849" t="n">
        <v>0</v>
      </c>
      <c r="M5849" t="n">
        <v>0</v>
      </c>
      <c r="N5849" t="n">
        <v>0</v>
      </c>
      <c r="O5849" t="n">
        <v>0</v>
      </c>
      <c r="P5849" t="n">
        <v>0</v>
      </c>
      <c r="Q5849" t="n">
        <v>0</v>
      </c>
      <c r="R5849" s="2" t="inlineStr"/>
    </row>
    <row r="5850" ht="15" customHeight="1">
      <c r="A5850" t="inlineStr">
        <is>
          <t>A 37728-2025</t>
        </is>
      </c>
      <c r="B5850" s="1" t="n">
        <v>45880.62158564815</v>
      </c>
      <c r="C5850" s="1" t="n">
        <v>46086</v>
      </c>
      <c r="D5850" t="inlineStr">
        <is>
          <t>GÄVLEBORGS LÄN</t>
        </is>
      </c>
      <c r="E5850" t="inlineStr">
        <is>
          <t>NORDANSTIG</t>
        </is>
      </c>
      <c r="F5850" t="inlineStr">
        <is>
          <t>Holmen skog AB</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37645-2025</t>
        </is>
      </c>
      <c r="B5851" s="1" t="n">
        <v>45880.48578703704</v>
      </c>
      <c r="C5851" s="1" t="n">
        <v>46086</v>
      </c>
      <c r="D5851" t="inlineStr">
        <is>
          <t>GÄVLEBORGS LÄN</t>
        </is>
      </c>
      <c r="E5851" t="inlineStr">
        <is>
          <t>HUDIKSVALL</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49331-2025</t>
        </is>
      </c>
      <c r="B5852" s="1" t="n">
        <v>45938.5815162037</v>
      </c>
      <c r="C5852" s="1" t="n">
        <v>46086</v>
      </c>
      <c r="D5852" t="inlineStr">
        <is>
          <t>GÄVLEBORGS LÄN</t>
        </is>
      </c>
      <c r="E5852" t="inlineStr">
        <is>
          <t>NORDANSTIG</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57887-2025</t>
        </is>
      </c>
      <c r="B5853" s="1" t="n">
        <v>45981.67783564814</v>
      </c>
      <c r="C5853" s="1" t="n">
        <v>46086</v>
      </c>
      <c r="D5853" t="inlineStr">
        <is>
          <t>GÄVLEBORGS LÄN</t>
        </is>
      </c>
      <c r="E5853" t="inlineStr">
        <is>
          <t>BOLLNÄS</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49672-2025</t>
        </is>
      </c>
      <c r="B5854" s="1" t="n">
        <v>45939.64173611111</v>
      </c>
      <c r="C5854" s="1" t="n">
        <v>46086</v>
      </c>
      <c r="D5854" t="inlineStr">
        <is>
          <t>GÄVLEBORGS LÄN</t>
        </is>
      </c>
      <c r="E5854" t="inlineStr">
        <is>
          <t>OVANÅKER</t>
        </is>
      </c>
      <c r="G5854" t="n">
        <v>0.2</v>
      </c>
      <c r="H5854" t="n">
        <v>0</v>
      </c>
      <c r="I5854" t="n">
        <v>0</v>
      </c>
      <c r="J5854" t="n">
        <v>0</v>
      </c>
      <c r="K5854" t="n">
        <v>0</v>
      </c>
      <c r="L5854" t="n">
        <v>0</v>
      </c>
      <c r="M5854" t="n">
        <v>0</v>
      </c>
      <c r="N5854" t="n">
        <v>0</v>
      </c>
      <c r="O5854" t="n">
        <v>0</v>
      </c>
      <c r="P5854" t="n">
        <v>0</v>
      </c>
      <c r="Q5854" t="n">
        <v>0</v>
      </c>
      <c r="R5854" s="2" t="inlineStr"/>
    </row>
    <row r="5855" ht="15" customHeight="1">
      <c r="A5855" t="inlineStr">
        <is>
          <t>A 37804-2025</t>
        </is>
      </c>
      <c r="B5855" s="1" t="n">
        <v>45881.34737268519</v>
      </c>
      <c r="C5855" s="1" t="n">
        <v>46086</v>
      </c>
      <c r="D5855" t="inlineStr">
        <is>
          <t>GÄVLEBORGS LÄN</t>
        </is>
      </c>
      <c r="E5855" t="inlineStr">
        <is>
          <t>HUDIKSVALL</t>
        </is>
      </c>
      <c r="F5855" t="inlineStr">
        <is>
          <t>Holmen skog AB</t>
        </is>
      </c>
      <c r="G5855" t="n">
        <v>25.3</v>
      </c>
      <c r="H5855" t="n">
        <v>0</v>
      </c>
      <c r="I5855" t="n">
        <v>0</v>
      </c>
      <c r="J5855" t="n">
        <v>0</v>
      </c>
      <c r="K5855" t="n">
        <v>0</v>
      </c>
      <c r="L5855" t="n">
        <v>0</v>
      </c>
      <c r="M5855" t="n">
        <v>0</v>
      </c>
      <c r="N5855" t="n">
        <v>0</v>
      </c>
      <c r="O5855" t="n">
        <v>0</v>
      </c>
      <c r="P5855" t="n">
        <v>0</v>
      </c>
      <c r="Q5855" t="n">
        <v>0</v>
      </c>
      <c r="R5855" s="2" t="inlineStr"/>
    </row>
    <row r="5856" ht="15" customHeight="1">
      <c r="A5856" t="inlineStr">
        <is>
          <t>A 37541-2025</t>
        </is>
      </c>
      <c r="B5856" s="1" t="n">
        <v>45879.45802083334</v>
      </c>
      <c r="C5856" s="1" t="n">
        <v>46086</v>
      </c>
      <c r="D5856" t="inlineStr">
        <is>
          <t>GÄVLEBORGS LÄN</t>
        </is>
      </c>
      <c r="E5856" t="inlineStr">
        <is>
          <t>SÖDERHAMN</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41882-2024</t>
        </is>
      </c>
      <c r="B5857" s="1" t="n">
        <v>45561.4859375</v>
      </c>
      <c r="C5857" s="1" t="n">
        <v>46086</v>
      </c>
      <c r="D5857" t="inlineStr">
        <is>
          <t>GÄVLEBORGS LÄN</t>
        </is>
      </c>
      <c r="E5857" t="inlineStr">
        <is>
          <t>LJUSDAL</t>
        </is>
      </c>
      <c r="G5857" t="n">
        <v>11.9</v>
      </c>
      <c r="H5857" t="n">
        <v>0</v>
      </c>
      <c r="I5857" t="n">
        <v>0</v>
      </c>
      <c r="J5857" t="n">
        <v>0</v>
      </c>
      <c r="K5857" t="n">
        <v>0</v>
      </c>
      <c r="L5857" t="n">
        <v>0</v>
      </c>
      <c r="M5857" t="n">
        <v>0</v>
      </c>
      <c r="N5857" t="n">
        <v>0</v>
      </c>
      <c r="O5857" t="n">
        <v>0</v>
      </c>
      <c r="P5857" t="n">
        <v>0</v>
      </c>
      <c r="Q5857" t="n">
        <v>0</v>
      </c>
      <c r="R5857" s="2" t="inlineStr"/>
    </row>
    <row r="5858" ht="15" customHeight="1">
      <c r="A5858" t="inlineStr">
        <is>
          <t>A 55608-2023</t>
        </is>
      </c>
      <c r="B5858" s="1" t="n">
        <v>45238.70842592593</v>
      </c>
      <c r="C5858" s="1" t="n">
        <v>46086</v>
      </c>
      <c r="D5858" t="inlineStr">
        <is>
          <t>GÄVLEBORGS LÄN</t>
        </is>
      </c>
      <c r="E5858" t="inlineStr">
        <is>
          <t>NORDANSTIG</t>
        </is>
      </c>
      <c r="F5858" t="inlineStr">
        <is>
          <t>Holmen skog AB</t>
        </is>
      </c>
      <c r="G5858" t="n">
        <v>5.2</v>
      </c>
      <c r="H5858" t="n">
        <v>0</v>
      </c>
      <c r="I5858" t="n">
        <v>0</v>
      </c>
      <c r="J5858" t="n">
        <v>0</v>
      </c>
      <c r="K5858" t="n">
        <v>0</v>
      </c>
      <c r="L5858" t="n">
        <v>0</v>
      </c>
      <c r="M5858" t="n">
        <v>0</v>
      </c>
      <c r="N5858" t="n">
        <v>0</v>
      </c>
      <c r="O5858" t="n">
        <v>0</v>
      </c>
      <c r="P5858" t="n">
        <v>0</v>
      </c>
      <c r="Q5858" t="n">
        <v>0</v>
      </c>
      <c r="R5858" s="2" t="inlineStr"/>
    </row>
    <row r="5859" ht="15" customHeight="1">
      <c r="A5859" t="inlineStr">
        <is>
          <t>A 39424-2024</t>
        </is>
      </c>
      <c r="B5859" s="1" t="n">
        <v>45551.58315972222</v>
      </c>
      <c r="C5859" s="1" t="n">
        <v>46086</v>
      </c>
      <c r="D5859" t="inlineStr">
        <is>
          <t>GÄVLEBORGS LÄN</t>
        </is>
      </c>
      <c r="E5859" t="inlineStr">
        <is>
          <t>OCKELBO</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38007-2025</t>
        </is>
      </c>
      <c r="B5860" s="1" t="n">
        <v>45882</v>
      </c>
      <c r="C5860" s="1" t="n">
        <v>46086</v>
      </c>
      <c r="D5860" t="inlineStr">
        <is>
          <t>GÄVLEBORGS LÄN</t>
        </is>
      </c>
      <c r="E5860" t="inlineStr">
        <is>
          <t>LJUSDAL</t>
        </is>
      </c>
      <c r="F5860" t="inlineStr">
        <is>
          <t>Naturvårdsverket</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49487-2025</t>
        </is>
      </c>
      <c r="B5861" s="1" t="n">
        <v>45939.36452546297</v>
      </c>
      <c r="C5861" s="1" t="n">
        <v>46086</v>
      </c>
      <c r="D5861" t="inlineStr">
        <is>
          <t>GÄVLEBORGS LÄN</t>
        </is>
      </c>
      <c r="E5861" t="inlineStr">
        <is>
          <t>OVANÅKER</t>
        </is>
      </c>
      <c r="G5861" t="n">
        <v>3</v>
      </c>
      <c r="H5861" t="n">
        <v>0</v>
      </c>
      <c r="I5861" t="n">
        <v>0</v>
      </c>
      <c r="J5861" t="n">
        <v>0</v>
      </c>
      <c r="K5861" t="n">
        <v>0</v>
      </c>
      <c r="L5861" t="n">
        <v>0</v>
      </c>
      <c r="M5861" t="n">
        <v>0</v>
      </c>
      <c r="N5861" t="n">
        <v>0</v>
      </c>
      <c r="O5861" t="n">
        <v>0</v>
      </c>
      <c r="P5861" t="n">
        <v>0</v>
      </c>
      <c r="Q5861" t="n">
        <v>0</v>
      </c>
      <c r="R5861" s="2" t="inlineStr"/>
    </row>
    <row r="5862" ht="15" customHeight="1">
      <c r="A5862" t="inlineStr">
        <is>
          <t>A 48832-2025</t>
        </is>
      </c>
      <c r="B5862" s="1" t="n">
        <v>45937.38684027778</v>
      </c>
      <c r="C5862" s="1" t="n">
        <v>46086</v>
      </c>
      <c r="D5862" t="inlineStr">
        <is>
          <t>GÄVLEBORGS LÄN</t>
        </is>
      </c>
      <c r="E5862" t="inlineStr">
        <is>
          <t>NORDANSTIG</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49551-2025</t>
        </is>
      </c>
      <c r="B5863" s="1" t="n">
        <v>45939.44435185185</v>
      </c>
      <c r="C5863" s="1" t="n">
        <v>46086</v>
      </c>
      <c r="D5863" t="inlineStr">
        <is>
          <t>GÄVLEBORGS LÄN</t>
        </is>
      </c>
      <c r="E5863" t="inlineStr">
        <is>
          <t>OVANÅKER</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49594-2025</t>
        </is>
      </c>
      <c r="B5864" s="1" t="n">
        <v>45939.53201388889</v>
      </c>
      <c r="C5864" s="1" t="n">
        <v>46086</v>
      </c>
      <c r="D5864" t="inlineStr">
        <is>
          <t>GÄVLEBORGS LÄN</t>
        </is>
      </c>
      <c r="E5864" t="inlineStr">
        <is>
          <t>NORDANSTIG</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49596-2025</t>
        </is>
      </c>
      <c r="B5865" s="1" t="n">
        <v>45939.53211805555</v>
      </c>
      <c r="C5865" s="1" t="n">
        <v>46086</v>
      </c>
      <c r="D5865" t="inlineStr">
        <is>
          <t>GÄVLEBORGS LÄN</t>
        </is>
      </c>
      <c r="E5865" t="inlineStr">
        <is>
          <t>NORDANSTIG</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49413-2025</t>
        </is>
      </c>
      <c r="B5866" s="1" t="n">
        <v>45938.68569444444</v>
      </c>
      <c r="C5866" s="1" t="n">
        <v>46086</v>
      </c>
      <c r="D5866" t="inlineStr">
        <is>
          <t>GÄVLEBORGS LÄN</t>
        </is>
      </c>
      <c r="E5866" t="inlineStr">
        <is>
          <t>SANDVIKEN</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49297-2025</t>
        </is>
      </c>
      <c r="B5867" s="1" t="n">
        <v>45938.54032407407</v>
      </c>
      <c r="C5867" s="1" t="n">
        <v>46086</v>
      </c>
      <c r="D5867" t="inlineStr">
        <is>
          <t>GÄVLEBORGS LÄN</t>
        </is>
      </c>
      <c r="E5867" t="inlineStr">
        <is>
          <t>LJUSDAL</t>
        </is>
      </c>
      <c r="G5867" t="n">
        <v>4.2</v>
      </c>
      <c r="H5867" t="n">
        <v>0</v>
      </c>
      <c r="I5867" t="n">
        <v>0</v>
      </c>
      <c r="J5867" t="n">
        <v>0</v>
      </c>
      <c r="K5867" t="n">
        <v>0</v>
      </c>
      <c r="L5867" t="n">
        <v>0</v>
      </c>
      <c r="M5867" t="n">
        <v>0</v>
      </c>
      <c r="N5867" t="n">
        <v>0</v>
      </c>
      <c r="O5867" t="n">
        <v>0</v>
      </c>
      <c r="P5867" t="n">
        <v>0</v>
      </c>
      <c r="Q5867" t="n">
        <v>0</v>
      </c>
      <c r="R5867" s="2" t="inlineStr"/>
    </row>
    <row r="5868" ht="15" customHeight="1">
      <c r="A5868" t="inlineStr">
        <is>
          <t>A 49320-2025</t>
        </is>
      </c>
      <c r="B5868" s="1" t="n">
        <v>45938.57288194444</v>
      </c>
      <c r="C5868" s="1" t="n">
        <v>46086</v>
      </c>
      <c r="D5868" t="inlineStr">
        <is>
          <t>GÄVLEBORGS LÄN</t>
        </is>
      </c>
      <c r="E5868" t="inlineStr">
        <is>
          <t>SANDVIKEN</t>
        </is>
      </c>
      <c r="F5868" t="inlineStr">
        <is>
          <t>Sveaskog</t>
        </is>
      </c>
      <c r="G5868" t="n">
        <v>5.7</v>
      </c>
      <c r="H5868" t="n">
        <v>0</v>
      </c>
      <c r="I5868" t="n">
        <v>0</v>
      </c>
      <c r="J5868" t="n">
        <v>0</v>
      </c>
      <c r="K5868" t="n">
        <v>0</v>
      </c>
      <c r="L5868" t="n">
        <v>0</v>
      </c>
      <c r="M5868" t="n">
        <v>0</v>
      </c>
      <c r="N5868" t="n">
        <v>0</v>
      </c>
      <c r="O5868" t="n">
        <v>0</v>
      </c>
      <c r="P5868" t="n">
        <v>0</v>
      </c>
      <c r="Q5868" t="n">
        <v>0</v>
      </c>
      <c r="R5868" s="2" t="inlineStr"/>
    </row>
    <row r="5869" ht="15" customHeight="1">
      <c r="A5869" t="inlineStr">
        <is>
          <t>A 38338-2025</t>
        </is>
      </c>
      <c r="B5869" s="1" t="n">
        <v>45883.49430555556</v>
      </c>
      <c r="C5869" s="1" t="n">
        <v>46086</v>
      </c>
      <c r="D5869" t="inlineStr">
        <is>
          <t>GÄVLEBORGS LÄN</t>
        </is>
      </c>
      <c r="E5869" t="inlineStr">
        <is>
          <t>SANDVIKEN</t>
        </is>
      </c>
      <c r="F5869" t="inlineStr">
        <is>
          <t>Bergvik skog öst AB</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38339-2025</t>
        </is>
      </c>
      <c r="B5870" s="1" t="n">
        <v>45883.49462962963</v>
      </c>
      <c r="C5870" s="1" t="n">
        <v>46086</v>
      </c>
      <c r="D5870" t="inlineStr">
        <is>
          <t>GÄVLEBORGS LÄN</t>
        </is>
      </c>
      <c r="E5870" t="inlineStr">
        <is>
          <t>OCKELBO</t>
        </is>
      </c>
      <c r="F5870" t="inlineStr">
        <is>
          <t>Bergvik skog väst AB</t>
        </is>
      </c>
      <c r="G5870" t="n">
        <v>4.6</v>
      </c>
      <c r="H5870" t="n">
        <v>0</v>
      </c>
      <c r="I5870" t="n">
        <v>0</v>
      </c>
      <c r="J5870" t="n">
        <v>0</v>
      </c>
      <c r="K5870" t="n">
        <v>0</v>
      </c>
      <c r="L5870" t="n">
        <v>0</v>
      </c>
      <c r="M5870" t="n">
        <v>0</v>
      </c>
      <c r="N5870" t="n">
        <v>0</v>
      </c>
      <c r="O5870" t="n">
        <v>0</v>
      </c>
      <c r="P5870" t="n">
        <v>0</v>
      </c>
      <c r="Q5870" t="n">
        <v>0</v>
      </c>
      <c r="R5870" s="2" t="inlineStr"/>
    </row>
    <row r="5871" ht="15" customHeight="1">
      <c r="A5871" t="inlineStr">
        <is>
          <t>A 10519-2025</t>
        </is>
      </c>
      <c r="B5871" s="1" t="n">
        <v>45721.42768518518</v>
      </c>
      <c r="C5871" s="1" t="n">
        <v>46086</v>
      </c>
      <c r="D5871" t="inlineStr">
        <is>
          <t>GÄVLEBORGS LÄN</t>
        </is>
      </c>
      <c r="E5871" t="inlineStr">
        <is>
          <t>BOLLNÄS</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43734-2023</t>
        </is>
      </c>
      <c r="B5872" s="1" t="n">
        <v>45187.45697916667</v>
      </c>
      <c r="C5872" s="1" t="n">
        <v>46086</v>
      </c>
      <c r="D5872" t="inlineStr">
        <is>
          <t>GÄVLEBORGS LÄN</t>
        </is>
      </c>
      <c r="E5872" t="inlineStr">
        <is>
          <t>BOLLNÄS</t>
        </is>
      </c>
      <c r="F5872" t="inlineStr">
        <is>
          <t>Kyrkan</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49334-2025</t>
        </is>
      </c>
      <c r="B5873" s="1" t="n">
        <v>45938.58446759259</v>
      </c>
      <c r="C5873" s="1" t="n">
        <v>46086</v>
      </c>
      <c r="D5873" t="inlineStr">
        <is>
          <t>GÄVLEBORGS LÄN</t>
        </is>
      </c>
      <c r="E5873" t="inlineStr">
        <is>
          <t>NORDANSTIG</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38316-2025</t>
        </is>
      </c>
      <c r="B5874" s="1" t="n">
        <v>45883.47950231482</v>
      </c>
      <c r="C5874" s="1" t="n">
        <v>46086</v>
      </c>
      <c r="D5874" t="inlineStr">
        <is>
          <t>GÄVLEBORGS LÄN</t>
        </is>
      </c>
      <c r="E5874" t="inlineStr">
        <is>
          <t>LJUSDAL</t>
        </is>
      </c>
      <c r="G5874" t="n">
        <v>3.1</v>
      </c>
      <c r="H5874" t="n">
        <v>0</v>
      </c>
      <c r="I5874" t="n">
        <v>0</v>
      </c>
      <c r="J5874" t="n">
        <v>0</v>
      </c>
      <c r="K5874" t="n">
        <v>0</v>
      </c>
      <c r="L5874" t="n">
        <v>0</v>
      </c>
      <c r="M5874" t="n">
        <v>0</v>
      </c>
      <c r="N5874" t="n">
        <v>0</v>
      </c>
      <c r="O5874" t="n">
        <v>0</v>
      </c>
      <c r="P5874" t="n">
        <v>0</v>
      </c>
      <c r="Q5874" t="n">
        <v>0</v>
      </c>
      <c r="R5874" s="2" t="inlineStr"/>
    </row>
    <row r="5875" ht="15" customHeight="1">
      <c r="A5875" t="inlineStr">
        <is>
          <t>A 38337-2025</t>
        </is>
      </c>
      <c r="B5875" s="1" t="n">
        <v>45883.49261574074</v>
      </c>
      <c r="C5875" s="1" t="n">
        <v>46086</v>
      </c>
      <c r="D5875" t="inlineStr">
        <is>
          <t>GÄVLEBORGS LÄN</t>
        </is>
      </c>
      <c r="E5875" t="inlineStr">
        <is>
          <t>SANDVIKEN</t>
        </is>
      </c>
      <c r="F5875" t="inlineStr">
        <is>
          <t>Bergvik skog öst AB</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14206-2025</t>
        </is>
      </c>
      <c r="B5876" s="1" t="n">
        <v>45740.57578703704</v>
      </c>
      <c r="C5876" s="1" t="n">
        <v>46086</v>
      </c>
      <c r="D5876" t="inlineStr">
        <is>
          <t>GÄVLEBORGS LÄN</t>
        </is>
      </c>
      <c r="E5876" t="inlineStr">
        <is>
          <t>SANDVIKEN</t>
        </is>
      </c>
      <c r="F5876" t="inlineStr">
        <is>
          <t>Bergvik skog öst AB</t>
        </is>
      </c>
      <c r="G5876" t="n">
        <v>11.3</v>
      </c>
      <c r="H5876" t="n">
        <v>0</v>
      </c>
      <c r="I5876" t="n">
        <v>0</v>
      </c>
      <c r="J5876" t="n">
        <v>0</v>
      </c>
      <c r="K5876" t="n">
        <v>0</v>
      </c>
      <c r="L5876" t="n">
        <v>0</v>
      </c>
      <c r="M5876" t="n">
        <v>0</v>
      </c>
      <c r="N5876" t="n">
        <v>0</v>
      </c>
      <c r="O5876" t="n">
        <v>0</v>
      </c>
      <c r="P5876" t="n">
        <v>0</v>
      </c>
      <c r="Q5876" t="n">
        <v>0</v>
      </c>
      <c r="R5876" s="2" t="inlineStr"/>
    </row>
    <row r="5877" ht="15" customHeight="1">
      <c r="A5877" t="inlineStr">
        <is>
          <t>A 22458-2025</t>
        </is>
      </c>
      <c r="B5877" s="1" t="n">
        <v>45786.60678240741</v>
      </c>
      <c r="C5877" s="1" t="n">
        <v>46086</v>
      </c>
      <c r="D5877" t="inlineStr">
        <is>
          <t>GÄVLEBORGS LÄN</t>
        </is>
      </c>
      <c r="E5877" t="inlineStr">
        <is>
          <t>BOLLNÄS</t>
        </is>
      </c>
      <c r="G5877" t="n">
        <v>4.2</v>
      </c>
      <c r="H5877" t="n">
        <v>0</v>
      </c>
      <c r="I5877" t="n">
        <v>0</v>
      </c>
      <c r="J5877" t="n">
        <v>0</v>
      </c>
      <c r="K5877" t="n">
        <v>0</v>
      </c>
      <c r="L5877" t="n">
        <v>0</v>
      </c>
      <c r="M5877" t="n">
        <v>0</v>
      </c>
      <c r="N5877" t="n">
        <v>0</v>
      </c>
      <c r="O5877" t="n">
        <v>0</v>
      </c>
      <c r="P5877" t="n">
        <v>0</v>
      </c>
      <c r="Q5877" t="n">
        <v>0</v>
      </c>
      <c r="R5877" s="2" t="inlineStr"/>
    </row>
    <row r="5878" ht="15" customHeight="1">
      <c r="A5878" t="inlineStr">
        <is>
          <t>A 50130-2025</t>
        </is>
      </c>
      <c r="B5878" s="1" t="n">
        <v>45943.55408564815</v>
      </c>
      <c r="C5878" s="1" t="n">
        <v>46086</v>
      </c>
      <c r="D5878" t="inlineStr">
        <is>
          <t>GÄVLEBORGS LÄN</t>
        </is>
      </c>
      <c r="E5878" t="inlineStr">
        <is>
          <t>BOLLNÄS</t>
        </is>
      </c>
      <c r="F5878" t="inlineStr">
        <is>
          <t>Bergvik skog väst AB</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37892-2025</t>
        </is>
      </c>
      <c r="B5879" s="1" t="n">
        <v>45881</v>
      </c>
      <c r="C5879" s="1" t="n">
        <v>46086</v>
      </c>
      <c r="D5879" t="inlineStr">
        <is>
          <t>GÄVLEBORGS LÄN</t>
        </is>
      </c>
      <c r="E5879" t="inlineStr">
        <is>
          <t>GÄVLE</t>
        </is>
      </c>
      <c r="F5879" t="inlineStr">
        <is>
          <t>Bergvik skog väst AB</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38295-2025</t>
        </is>
      </c>
      <c r="B5880" s="1" t="n">
        <v>45883.45166666667</v>
      </c>
      <c r="C5880" s="1" t="n">
        <v>46086</v>
      </c>
      <c r="D5880" t="inlineStr">
        <is>
          <t>GÄVLEBORGS LÄN</t>
        </is>
      </c>
      <c r="E5880" t="inlineStr">
        <is>
          <t>NORDANSTIG</t>
        </is>
      </c>
      <c r="G5880" t="n">
        <v>0.3</v>
      </c>
      <c r="H5880" t="n">
        <v>0</v>
      </c>
      <c r="I5880" t="n">
        <v>0</v>
      </c>
      <c r="J5880" t="n">
        <v>0</v>
      </c>
      <c r="K5880" t="n">
        <v>0</v>
      </c>
      <c r="L5880" t="n">
        <v>0</v>
      </c>
      <c r="M5880" t="n">
        <v>0</v>
      </c>
      <c r="N5880" t="n">
        <v>0</v>
      </c>
      <c r="O5880" t="n">
        <v>0</v>
      </c>
      <c r="P5880" t="n">
        <v>0</v>
      </c>
      <c r="Q5880" t="n">
        <v>0</v>
      </c>
      <c r="R5880" s="2" t="inlineStr"/>
    </row>
    <row r="5881" ht="15" customHeight="1">
      <c r="A5881" t="inlineStr">
        <is>
          <t>A 49809-2025</t>
        </is>
      </c>
      <c r="B5881" s="1" t="n">
        <v>45940.42284722222</v>
      </c>
      <c r="C5881" s="1" t="n">
        <v>46086</v>
      </c>
      <c r="D5881" t="inlineStr">
        <is>
          <t>GÄVLEBORGS LÄN</t>
        </is>
      </c>
      <c r="E5881" t="inlineStr">
        <is>
          <t>BOLLNÄS</t>
        </is>
      </c>
      <c r="G5881" t="n">
        <v>7.5</v>
      </c>
      <c r="H5881" t="n">
        <v>0</v>
      </c>
      <c r="I5881" t="n">
        <v>0</v>
      </c>
      <c r="J5881" t="n">
        <v>0</v>
      </c>
      <c r="K5881" t="n">
        <v>0</v>
      </c>
      <c r="L5881" t="n">
        <v>0</v>
      </c>
      <c r="M5881" t="n">
        <v>0</v>
      </c>
      <c r="N5881" t="n">
        <v>0</v>
      </c>
      <c r="O5881" t="n">
        <v>0</v>
      </c>
      <c r="P5881" t="n">
        <v>0</v>
      </c>
      <c r="Q5881" t="n">
        <v>0</v>
      </c>
      <c r="R5881" s="2" t="inlineStr"/>
    </row>
    <row r="5882" ht="15" customHeight="1">
      <c r="A5882" t="inlineStr">
        <is>
          <t>A 49811-2025</t>
        </is>
      </c>
      <c r="B5882" s="1" t="n">
        <v>45940.42462962963</v>
      </c>
      <c r="C5882" s="1" t="n">
        <v>46086</v>
      </c>
      <c r="D5882" t="inlineStr">
        <is>
          <t>GÄVLEBORGS LÄN</t>
        </is>
      </c>
      <c r="E5882" t="inlineStr">
        <is>
          <t>BOLLNÄS</t>
        </is>
      </c>
      <c r="F5882" t="inlineStr">
        <is>
          <t>Bergvik skog väst AB</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49818-2025</t>
        </is>
      </c>
      <c r="B5883" s="1" t="n">
        <v>45940.435625</v>
      </c>
      <c r="C5883" s="1" t="n">
        <v>46086</v>
      </c>
      <c r="D5883" t="inlineStr">
        <is>
          <t>GÄVLEBORGS LÄN</t>
        </is>
      </c>
      <c r="E5883" t="inlineStr">
        <is>
          <t>BOLLNÄS</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29084-2025</t>
        </is>
      </c>
      <c r="B5884" s="1" t="n">
        <v>45821.54072916666</v>
      </c>
      <c r="C5884" s="1" t="n">
        <v>46086</v>
      </c>
      <c r="D5884" t="inlineStr">
        <is>
          <t>GÄVLEBORGS LÄN</t>
        </is>
      </c>
      <c r="E5884" t="inlineStr">
        <is>
          <t>SÖDERHAMN</t>
        </is>
      </c>
      <c r="G5884" t="n">
        <v>7</v>
      </c>
      <c r="H5884" t="n">
        <v>0</v>
      </c>
      <c r="I5884" t="n">
        <v>0</v>
      </c>
      <c r="J5884" t="n">
        <v>0</v>
      </c>
      <c r="K5884" t="n">
        <v>0</v>
      </c>
      <c r="L5884" t="n">
        <v>0</v>
      </c>
      <c r="M5884" t="n">
        <v>0</v>
      </c>
      <c r="N5884" t="n">
        <v>0</v>
      </c>
      <c r="O5884" t="n">
        <v>0</v>
      </c>
      <c r="P5884" t="n">
        <v>0</v>
      </c>
      <c r="Q5884" t="n">
        <v>0</v>
      </c>
      <c r="R5884" s="2" t="inlineStr"/>
    </row>
    <row r="5885" ht="15" customHeight="1">
      <c r="A5885" t="inlineStr">
        <is>
          <t>A 37983-2025</t>
        </is>
      </c>
      <c r="B5885" s="1" t="n">
        <v>45881.69613425926</v>
      </c>
      <c r="C5885" s="1" t="n">
        <v>46086</v>
      </c>
      <c r="D5885" t="inlineStr">
        <is>
          <t>GÄVLEBORGS LÄN</t>
        </is>
      </c>
      <c r="E5885" t="inlineStr">
        <is>
          <t>BOLLNÄS</t>
        </is>
      </c>
      <c r="G5885" t="n">
        <v>7.5</v>
      </c>
      <c r="H5885" t="n">
        <v>0</v>
      </c>
      <c r="I5885" t="n">
        <v>0</v>
      </c>
      <c r="J5885" t="n">
        <v>0</v>
      </c>
      <c r="K5885" t="n">
        <v>0</v>
      </c>
      <c r="L5885" t="n">
        <v>0</v>
      </c>
      <c r="M5885" t="n">
        <v>0</v>
      </c>
      <c r="N5885" t="n">
        <v>0</v>
      </c>
      <c r="O5885" t="n">
        <v>0</v>
      </c>
      <c r="P5885" t="n">
        <v>0</v>
      </c>
      <c r="Q5885" t="n">
        <v>0</v>
      </c>
      <c r="R5885" s="2" t="inlineStr"/>
    </row>
    <row r="5886" ht="15" customHeight="1">
      <c r="A5886" t="inlineStr">
        <is>
          <t>A 38009-2025</t>
        </is>
      </c>
      <c r="B5886" s="1" t="n">
        <v>45882.29594907408</v>
      </c>
      <c r="C5886" s="1" t="n">
        <v>46086</v>
      </c>
      <c r="D5886" t="inlineStr">
        <is>
          <t>GÄVLEBORGS LÄN</t>
        </is>
      </c>
      <c r="E5886" t="inlineStr">
        <is>
          <t>LJUSDAL</t>
        </is>
      </c>
      <c r="F5886" t="inlineStr">
        <is>
          <t>Naturvårdsverket</t>
        </is>
      </c>
      <c r="G5886" t="n">
        <v>6.7</v>
      </c>
      <c r="H5886" t="n">
        <v>0</v>
      </c>
      <c r="I5886" t="n">
        <v>0</v>
      </c>
      <c r="J5886" t="n">
        <v>0</v>
      </c>
      <c r="K5886" t="n">
        <v>0</v>
      </c>
      <c r="L5886" t="n">
        <v>0</v>
      </c>
      <c r="M5886" t="n">
        <v>0</v>
      </c>
      <c r="N5886" t="n">
        <v>0</v>
      </c>
      <c r="O5886" t="n">
        <v>0</v>
      </c>
      <c r="P5886" t="n">
        <v>0</v>
      </c>
      <c r="Q5886" t="n">
        <v>0</v>
      </c>
      <c r="R5886" s="2" t="inlineStr"/>
    </row>
    <row r="5887" ht="15" customHeight="1">
      <c r="A5887" t="inlineStr">
        <is>
          <t>A 38043-2025</t>
        </is>
      </c>
      <c r="B5887" s="1" t="n">
        <v>45882.39199074074</v>
      </c>
      <c r="C5887" s="1" t="n">
        <v>46086</v>
      </c>
      <c r="D5887" t="inlineStr">
        <is>
          <t>GÄVLEBORGS LÄN</t>
        </is>
      </c>
      <c r="E5887" t="inlineStr">
        <is>
          <t>NORDANSTIG</t>
        </is>
      </c>
      <c r="F5887" t="inlineStr">
        <is>
          <t>Holmen skog AB</t>
        </is>
      </c>
      <c r="G5887" t="n">
        <v>10.1</v>
      </c>
      <c r="H5887" t="n">
        <v>0</v>
      </c>
      <c r="I5887" t="n">
        <v>0</v>
      </c>
      <c r="J5887" t="n">
        <v>0</v>
      </c>
      <c r="K5887" t="n">
        <v>0</v>
      </c>
      <c r="L5887" t="n">
        <v>0</v>
      </c>
      <c r="M5887" t="n">
        <v>0</v>
      </c>
      <c r="N5887" t="n">
        <v>0</v>
      </c>
      <c r="O5887" t="n">
        <v>0</v>
      </c>
      <c r="P5887" t="n">
        <v>0</v>
      </c>
      <c r="Q5887" t="n">
        <v>0</v>
      </c>
      <c r="R5887" s="2" t="inlineStr"/>
    </row>
    <row r="5888" ht="15" customHeight="1">
      <c r="A5888" t="inlineStr">
        <is>
          <t>A 49934-2025</t>
        </is>
      </c>
      <c r="B5888" s="1" t="n">
        <v>45940.65795138889</v>
      </c>
      <c r="C5888" s="1" t="n">
        <v>46086</v>
      </c>
      <c r="D5888" t="inlineStr">
        <is>
          <t>GÄVLEBORGS LÄN</t>
        </is>
      </c>
      <c r="E5888" t="inlineStr">
        <is>
          <t>GÄVLE</t>
        </is>
      </c>
      <c r="F5888" t="inlineStr">
        <is>
          <t>Bergvik skog väst AB</t>
        </is>
      </c>
      <c r="G5888" t="n">
        <v>4</v>
      </c>
      <c r="H5888" t="n">
        <v>0</v>
      </c>
      <c r="I5888" t="n">
        <v>0</v>
      </c>
      <c r="J5888" t="n">
        <v>0</v>
      </c>
      <c r="K5888" t="n">
        <v>0</v>
      </c>
      <c r="L5888" t="n">
        <v>0</v>
      </c>
      <c r="M5888" t="n">
        <v>0</v>
      </c>
      <c r="N5888" t="n">
        <v>0</v>
      </c>
      <c r="O5888" t="n">
        <v>0</v>
      </c>
      <c r="P5888" t="n">
        <v>0</v>
      </c>
      <c r="Q5888" t="n">
        <v>0</v>
      </c>
      <c r="R5888" s="2" t="inlineStr"/>
    </row>
    <row r="5889" ht="15" customHeight="1">
      <c r="A5889" t="inlineStr">
        <is>
          <t>A 54396-2023</t>
        </is>
      </c>
      <c r="B5889" s="1" t="n">
        <v>45233.3717824074</v>
      </c>
      <c r="C5889" s="1" t="n">
        <v>46086</v>
      </c>
      <c r="D5889" t="inlineStr">
        <is>
          <t>GÄVLEBORGS LÄN</t>
        </is>
      </c>
      <c r="E5889" t="inlineStr">
        <is>
          <t>NORDANSTIG</t>
        </is>
      </c>
      <c r="F5889" t="inlineStr">
        <is>
          <t>Holmen skog AB</t>
        </is>
      </c>
      <c r="G5889" t="n">
        <v>9.1</v>
      </c>
      <c r="H5889" t="n">
        <v>0</v>
      </c>
      <c r="I5889" t="n">
        <v>0</v>
      </c>
      <c r="J5889" t="n">
        <v>0</v>
      </c>
      <c r="K5889" t="n">
        <v>0</v>
      </c>
      <c r="L5889" t="n">
        <v>0</v>
      </c>
      <c r="M5889" t="n">
        <v>0</v>
      </c>
      <c r="N5889" t="n">
        <v>0</v>
      </c>
      <c r="O5889" t="n">
        <v>0</v>
      </c>
      <c r="P5889" t="n">
        <v>0</v>
      </c>
      <c r="Q5889" t="n">
        <v>0</v>
      </c>
      <c r="R5889" s="2" t="inlineStr"/>
    </row>
    <row r="5890" ht="15" customHeight="1">
      <c r="A5890" t="inlineStr">
        <is>
          <t>A 49975-2025</t>
        </is>
      </c>
      <c r="B5890" s="1" t="n">
        <v>45942.50578703704</v>
      </c>
      <c r="C5890" s="1" t="n">
        <v>46086</v>
      </c>
      <c r="D5890" t="inlineStr">
        <is>
          <t>GÄVLEBORGS LÄN</t>
        </is>
      </c>
      <c r="E5890" t="inlineStr">
        <is>
          <t>LJUSDAL</t>
        </is>
      </c>
      <c r="G5890" t="n">
        <v>5.9</v>
      </c>
      <c r="H5890" t="n">
        <v>0</v>
      </c>
      <c r="I5890" t="n">
        <v>0</v>
      </c>
      <c r="J5890" t="n">
        <v>0</v>
      </c>
      <c r="K5890" t="n">
        <v>0</v>
      </c>
      <c r="L5890" t="n">
        <v>0</v>
      </c>
      <c r="M5890" t="n">
        <v>0</v>
      </c>
      <c r="N5890" t="n">
        <v>0</v>
      </c>
      <c r="O5890" t="n">
        <v>0</v>
      </c>
      <c r="P5890" t="n">
        <v>0</v>
      </c>
      <c r="Q5890" t="n">
        <v>0</v>
      </c>
      <c r="R5890" s="2" t="inlineStr"/>
    </row>
    <row r="5891" ht="15" customHeight="1">
      <c r="A5891" t="inlineStr">
        <is>
          <t>A 37563-2025</t>
        </is>
      </c>
      <c r="B5891" s="1" t="n">
        <v>45880</v>
      </c>
      <c r="C5891" s="1" t="n">
        <v>46086</v>
      </c>
      <c r="D5891" t="inlineStr">
        <is>
          <t>GÄVLEBORGS LÄN</t>
        </is>
      </c>
      <c r="E5891" t="inlineStr">
        <is>
          <t>NORDANSTIG</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38320-2025</t>
        </is>
      </c>
      <c r="B5892" s="1" t="n">
        <v>45883.48733796296</v>
      </c>
      <c r="C5892" s="1" t="n">
        <v>46086</v>
      </c>
      <c r="D5892" t="inlineStr">
        <is>
          <t>GÄVLEBORGS LÄN</t>
        </is>
      </c>
      <c r="E5892" t="inlineStr">
        <is>
          <t>SANDVIKEN</t>
        </is>
      </c>
      <c r="F5892" t="inlineStr">
        <is>
          <t>Bergvik skog öst AB</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38321-2025</t>
        </is>
      </c>
      <c r="B5893" s="1" t="n">
        <v>45883.48945601852</v>
      </c>
      <c r="C5893" s="1" t="n">
        <v>46086</v>
      </c>
      <c r="D5893" t="inlineStr">
        <is>
          <t>GÄVLEBORGS LÄN</t>
        </is>
      </c>
      <c r="E5893" t="inlineStr">
        <is>
          <t>SANDVIKEN</t>
        </is>
      </c>
      <c r="F5893" t="inlineStr">
        <is>
          <t>Bergvik skog öst AB</t>
        </is>
      </c>
      <c r="G5893" t="n">
        <v>0.4</v>
      </c>
      <c r="H5893" t="n">
        <v>0</v>
      </c>
      <c r="I5893" t="n">
        <v>0</v>
      </c>
      <c r="J5893" t="n">
        <v>0</v>
      </c>
      <c r="K5893" t="n">
        <v>0</v>
      </c>
      <c r="L5893" t="n">
        <v>0</v>
      </c>
      <c r="M5893" t="n">
        <v>0</v>
      </c>
      <c r="N5893" t="n">
        <v>0</v>
      </c>
      <c r="O5893" t="n">
        <v>0</v>
      </c>
      <c r="P5893" t="n">
        <v>0</v>
      </c>
      <c r="Q5893" t="n">
        <v>0</v>
      </c>
      <c r="R5893" s="2" t="inlineStr"/>
    </row>
    <row r="5894" ht="15" customHeight="1">
      <c r="A5894" t="inlineStr">
        <is>
          <t>A 49822-2025</t>
        </is>
      </c>
      <c r="B5894" s="1" t="n">
        <v>45940.44359953704</v>
      </c>
      <c r="C5894" s="1" t="n">
        <v>46086</v>
      </c>
      <c r="D5894" t="inlineStr">
        <is>
          <t>GÄVLEBORGS LÄN</t>
        </is>
      </c>
      <c r="E5894" t="inlineStr">
        <is>
          <t>BOLLNÄS</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49842-2025</t>
        </is>
      </c>
      <c r="B5895" s="1" t="n">
        <v>45940.4696412037</v>
      </c>
      <c r="C5895" s="1" t="n">
        <v>46086</v>
      </c>
      <c r="D5895" t="inlineStr">
        <is>
          <t>GÄVLEBORGS LÄN</t>
        </is>
      </c>
      <c r="E5895" t="inlineStr">
        <is>
          <t>GÄVLE</t>
        </is>
      </c>
      <c r="F5895" t="inlineStr">
        <is>
          <t>Bergvik skog väst AB</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50132-2025</t>
        </is>
      </c>
      <c r="B5896" s="1" t="n">
        <v>45943.55657407407</v>
      </c>
      <c r="C5896" s="1" t="n">
        <v>46086</v>
      </c>
      <c r="D5896" t="inlineStr">
        <is>
          <t>GÄVLEBORGS LÄN</t>
        </is>
      </c>
      <c r="E5896" t="inlineStr">
        <is>
          <t>BOLLNÄS</t>
        </is>
      </c>
      <c r="F5896" t="inlineStr">
        <is>
          <t>Bergvik skog väst AB</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13663-2025</t>
        </is>
      </c>
      <c r="B5897" s="1" t="n">
        <v>45736</v>
      </c>
      <c r="C5897" s="1" t="n">
        <v>46086</v>
      </c>
      <c r="D5897" t="inlineStr">
        <is>
          <t>GÄVLEBORGS LÄN</t>
        </is>
      </c>
      <c r="E5897" t="inlineStr">
        <is>
          <t>HUDIKSVALL</t>
        </is>
      </c>
      <c r="G5897" t="n">
        <v>3.5</v>
      </c>
      <c r="H5897" t="n">
        <v>0</v>
      </c>
      <c r="I5897" t="n">
        <v>0</v>
      </c>
      <c r="J5897" t="n">
        <v>0</v>
      </c>
      <c r="K5897" t="n">
        <v>0</v>
      </c>
      <c r="L5897" t="n">
        <v>0</v>
      </c>
      <c r="M5897" t="n">
        <v>0</v>
      </c>
      <c r="N5897" t="n">
        <v>0</v>
      </c>
      <c r="O5897" t="n">
        <v>0</v>
      </c>
      <c r="P5897" t="n">
        <v>0</v>
      </c>
      <c r="Q5897" t="n">
        <v>0</v>
      </c>
      <c r="R5897" s="2" t="inlineStr"/>
    </row>
    <row r="5898" ht="15" customHeight="1">
      <c r="A5898" t="inlineStr">
        <is>
          <t>A 16628-2025</t>
        </is>
      </c>
      <c r="B5898" s="1" t="n">
        <v>45754.35976851852</v>
      </c>
      <c r="C5898" s="1" t="n">
        <v>46086</v>
      </c>
      <c r="D5898" t="inlineStr">
        <is>
          <t>GÄVLEBORGS LÄN</t>
        </is>
      </c>
      <c r="E5898" t="inlineStr">
        <is>
          <t>BOLLNÄS</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50157-2025</t>
        </is>
      </c>
      <c r="B5899" s="1" t="n">
        <v>45943.58341435185</v>
      </c>
      <c r="C5899" s="1" t="n">
        <v>46086</v>
      </c>
      <c r="D5899" t="inlineStr">
        <is>
          <t>GÄVLEBORGS LÄN</t>
        </is>
      </c>
      <c r="E5899" t="inlineStr">
        <is>
          <t>BOLLNÄS</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38359-2025</t>
        </is>
      </c>
      <c r="B5900" s="1" t="n">
        <v>45883.53280092592</v>
      </c>
      <c r="C5900" s="1" t="n">
        <v>46086</v>
      </c>
      <c r="D5900" t="inlineStr">
        <is>
          <t>GÄVLEBORGS LÄN</t>
        </is>
      </c>
      <c r="E5900" t="inlineStr">
        <is>
          <t>LJUSDAL</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44475-2025</t>
        </is>
      </c>
      <c r="B5901" s="1" t="n">
        <v>45916.64394675926</v>
      </c>
      <c r="C5901" s="1" t="n">
        <v>46086</v>
      </c>
      <c r="D5901" t="inlineStr">
        <is>
          <t>GÄVLEBORGS LÄN</t>
        </is>
      </c>
      <c r="E5901" t="inlineStr">
        <is>
          <t>OVANÅKER</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38439-2025</t>
        </is>
      </c>
      <c r="B5902" s="1" t="n">
        <v>45883.64783564815</v>
      </c>
      <c r="C5902" s="1" t="n">
        <v>46086</v>
      </c>
      <c r="D5902" t="inlineStr">
        <is>
          <t>GÄVLEBORGS LÄN</t>
        </is>
      </c>
      <c r="E5902" t="inlineStr">
        <is>
          <t>SANDVIKEN</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38369-2025</t>
        </is>
      </c>
      <c r="B5903" s="1" t="n">
        <v>45883.55640046296</v>
      </c>
      <c r="C5903" s="1" t="n">
        <v>46086</v>
      </c>
      <c r="D5903" t="inlineStr">
        <is>
          <t>GÄVLEBORGS LÄN</t>
        </is>
      </c>
      <c r="E5903" t="inlineStr">
        <is>
          <t>NORDANSTIG</t>
        </is>
      </c>
      <c r="G5903" t="n">
        <v>5.8</v>
      </c>
      <c r="H5903" t="n">
        <v>0</v>
      </c>
      <c r="I5903" t="n">
        <v>0</v>
      </c>
      <c r="J5903" t="n">
        <v>0</v>
      </c>
      <c r="K5903" t="n">
        <v>0</v>
      </c>
      <c r="L5903" t="n">
        <v>0</v>
      </c>
      <c r="M5903" t="n">
        <v>0</v>
      </c>
      <c r="N5903" t="n">
        <v>0</v>
      </c>
      <c r="O5903" t="n">
        <v>0</v>
      </c>
      <c r="P5903" t="n">
        <v>0</v>
      </c>
      <c r="Q5903" t="n">
        <v>0</v>
      </c>
      <c r="R5903" s="2" t="inlineStr"/>
    </row>
    <row r="5904" ht="15" customHeight="1">
      <c r="A5904" t="inlineStr">
        <is>
          <t>A 38420-2025</t>
        </is>
      </c>
      <c r="B5904" s="1" t="n">
        <v>45883.62131944444</v>
      </c>
      <c r="C5904" s="1" t="n">
        <v>46086</v>
      </c>
      <c r="D5904" t="inlineStr">
        <is>
          <t>GÄVLEBORGS LÄN</t>
        </is>
      </c>
      <c r="E5904" t="inlineStr">
        <is>
          <t>OCKELBO</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38074-2025</t>
        </is>
      </c>
      <c r="B5905" s="1" t="n">
        <v>45882</v>
      </c>
      <c r="C5905" s="1" t="n">
        <v>46086</v>
      </c>
      <c r="D5905" t="inlineStr">
        <is>
          <t>GÄVLEBORGS LÄN</t>
        </is>
      </c>
      <c r="E5905" t="inlineStr">
        <is>
          <t>BOLLNÄS</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38089-2025</t>
        </is>
      </c>
      <c r="B5906" s="1" t="n">
        <v>45882.48065972222</v>
      </c>
      <c r="C5906" s="1" t="n">
        <v>46086</v>
      </c>
      <c r="D5906" t="inlineStr">
        <is>
          <t>GÄVLEBORGS LÄN</t>
        </is>
      </c>
      <c r="E5906" t="inlineStr">
        <is>
          <t>LJUSDAL</t>
        </is>
      </c>
      <c r="G5906" t="n">
        <v>5.4</v>
      </c>
      <c r="H5906" t="n">
        <v>0</v>
      </c>
      <c r="I5906" t="n">
        <v>0</v>
      </c>
      <c r="J5906" t="n">
        <v>0</v>
      </c>
      <c r="K5906" t="n">
        <v>0</v>
      </c>
      <c r="L5906" t="n">
        <v>0</v>
      </c>
      <c r="M5906" t="n">
        <v>0</v>
      </c>
      <c r="N5906" t="n">
        <v>0</v>
      </c>
      <c r="O5906" t="n">
        <v>0</v>
      </c>
      <c r="P5906" t="n">
        <v>0</v>
      </c>
      <c r="Q5906" t="n">
        <v>0</v>
      </c>
      <c r="R5906" s="2" t="inlineStr"/>
    </row>
    <row r="5907" ht="15" customHeight="1">
      <c r="A5907" t="inlineStr">
        <is>
          <t>A 38091-2025</t>
        </is>
      </c>
      <c r="B5907" s="1" t="n">
        <v>45882.48813657407</v>
      </c>
      <c r="C5907" s="1" t="n">
        <v>46086</v>
      </c>
      <c r="D5907" t="inlineStr">
        <is>
          <t>GÄVLEBORGS LÄN</t>
        </is>
      </c>
      <c r="E5907" t="inlineStr">
        <is>
          <t>NORDANSTIG</t>
        </is>
      </c>
      <c r="F5907" t="inlineStr">
        <is>
          <t>Holmen skog AB</t>
        </is>
      </c>
      <c r="G5907" t="n">
        <v>20.2</v>
      </c>
      <c r="H5907" t="n">
        <v>0</v>
      </c>
      <c r="I5907" t="n">
        <v>0</v>
      </c>
      <c r="J5907" t="n">
        <v>0</v>
      </c>
      <c r="K5907" t="n">
        <v>0</v>
      </c>
      <c r="L5907" t="n">
        <v>0</v>
      </c>
      <c r="M5907" t="n">
        <v>0</v>
      </c>
      <c r="N5907" t="n">
        <v>0</v>
      </c>
      <c r="O5907" t="n">
        <v>0</v>
      </c>
      <c r="P5907" t="n">
        <v>0</v>
      </c>
      <c r="Q5907" t="n">
        <v>0</v>
      </c>
      <c r="R5907" s="2" t="inlineStr"/>
    </row>
    <row r="5908" ht="15" customHeight="1">
      <c r="A5908" t="inlineStr">
        <is>
          <t>A 15964-2025</t>
        </is>
      </c>
      <c r="B5908" s="1" t="n">
        <v>45749</v>
      </c>
      <c r="C5908" s="1" t="n">
        <v>46086</v>
      </c>
      <c r="D5908" t="inlineStr">
        <is>
          <t>GÄVLEBORGS LÄN</t>
        </is>
      </c>
      <c r="E5908" t="inlineStr">
        <is>
          <t>HUDIKSVALL</t>
        </is>
      </c>
      <c r="G5908" t="n">
        <v>3.5</v>
      </c>
      <c r="H5908" t="n">
        <v>0</v>
      </c>
      <c r="I5908" t="n">
        <v>0</v>
      </c>
      <c r="J5908" t="n">
        <v>0</v>
      </c>
      <c r="K5908" t="n">
        <v>0</v>
      </c>
      <c r="L5908" t="n">
        <v>0</v>
      </c>
      <c r="M5908" t="n">
        <v>0</v>
      </c>
      <c r="N5908" t="n">
        <v>0</v>
      </c>
      <c r="O5908" t="n">
        <v>0</v>
      </c>
      <c r="P5908" t="n">
        <v>0</v>
      </c>
      <c r="Q5908" t="n">
        <v>0</v>
      </c>
      <c r="R5908" s="2" t="inlineStr"/>
    </row>
    <row r="5909" ht="15" customHeight="1">
      <c r="A5909" t="inlineStr">
        <is>
          <t>A 38435-2025</t>
        </is>
      </c>
      <c r="B5909" s="1" t="n">
        <v>45883.64231481482</v>
      </c>
      <c r="C5909" s="1" t="n">
        <v>46086</v>
      </c>
      <c r="D5909" t="inlineStr">
        <is>
          <t>GÄVLEBORGS LÄN</t>
        </is>
      </c>
      <c r="E5909" t="inlineStr">
        <is>
          <t>SANDVIKEN</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14093-2025</t>
        </is>
      </c>
      <c r="B5910" s="1" t="n">
        <v>45740.44788194444</v>
      </c>
      <c r="C5910" s="1" t="n">
        <v>46086</v>
      </c>
      <c r="D5910" t="inlineStr">
        <is>
          <t>GÄVLEBORGS LÄN</t>
        </is>
      </c>
      <c r="E5910" t="inlineStr">
        <is>
          <t>GÄVLE</t>
        </is>
      </c>
      <c r="F5910" t="inlineStr">
        <is>
          <t>Bergvik skog öst AB</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38319-2025</t>
        </is>
      </c>
      <c r="B5911" s="1" t="n">
        <v>45883.485</v>
      </c>
      <c r="C5911" s="1" t="n">
        <v>46086</v>
      </c>
      <c r="D5911" t="inlineStr">
        <is>
          <t>GÄVLEBORGS LÄN</t>
        </is>
      </c>
      <c r="E5911" t="inlineStr">
        <is>
          <t>SANDVIKEN</t>
        </is>
      </c>
      <c r="F5911" t="inlineStr">
        <is>
          <t>Bergvik skog öst AB</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38398-2025</t>
        </is>
      </c>
      <c r="B5912" s="1" t="n">
        <v>45883.58484953704</v>
      </c>
      <c r="C5912" s="1" t="n">
        <v>46086</v>
      </c>
      <c r="D5912" t="inlineStr">
        <is>
          <t>GÄVLEBORGS LÄN</t>
        </is>
      </c>
      <c r="E5912" t="inlineStr">
        <is>
          <t>SÖDERHAMN</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38423-2025</t>
        </is>
      </c>
      <c r="B5913" s="1" t="n">
        <v>45883.63326388889</v>
      </c>
      <c r="C5913" s="1" t="n">
        <v>46086</v>
      </c>
      <c r="D5913" t="inlineStr">
        <is>
          <t>GÄVLEBORGS LÄN</t>
        </is>
      </c>
      <c r="E5913" t="inlineStr">
        <is>
          <t>SANDVIKEN</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38077-2025</t>
        </is>
      </c>
      <c r="B5914" s="1" t="n">
        <v>45882.4669212963</v>
      </c>
      <c r="C5914" s="1" t="n">
        <v>46086</v>
      </c>
      <c r="D5914" t="inlineStr">
        <is>
          <t>GÄVLEBORGS LÄN</t>
        </is>
      </c>
      <c r="E5914" t="inlineStr">
        <is>
          <t>HUDIKSVALL</t>
        </is>
      </c>
      <c r="G5914" t="n">
        <v>4.5</v>
      </c>
      <c r="H5914" t="n">
        <v>0</v>
      </c>
      <c r="I5914" t="n">
        <v>0</v>
      </c>
      <c r="J5914" t="n">
        <v>0</v>
      </c>
      <c r="K5914" t="n">
        <v>0</v>
      </c>
      <c r="L5914" t="n">
        <v>0</v>
      </c>
      <c r="M5914" t="n">
        <v>0</v>
      </c>
      <c r="N5914" t="n">
        <v>0</v>
      </c>
      <c r="O5914" t="n">
        <v>0</v>
      </c>
      <c r="P5914" t="n">
        <v>0</v>
      </c>
      <c r="Q5914" t="n">
        <v>0</v>
      </c>
      <c r="R5914" s="2" t="inlineStr"/>
    </row>
    <row r="5915" ht="15" customHeight="1">
      <c r="A5915" t="inlineStr">
        <is>
          <t>A 38248-2025</t>
        </is>
      </c>
      <c r="B5915" s="1" t="n">
        <v>45883.36921296296</v>
      </c>
      <c r="C5915" s="1" t="n">
        <v>46086</v>
      </c>
      <c r="D5915" t="inlineStr">
        <is>
          <t>GÄVLEBORGS LÄN</t>
        </is>
      </c>
      <c r="E5915" t="inlineStr">
        <is>
          <t>BOLLNÄS</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38187-2025</t>
        </is>
      </c>
      <c r="B5916" s="1" t="n">
        <v>45882.6533449074</v>
      </c>
      <c r="C5916" s="1" t="n">
        <v>46086</v>
      </c>
      <c r="D5916" t="inlineStr">
        <is>
          <t>GÄVLEBORGS LÄN</t>
        </is>
      </c>
      <c r="E5916" t="inlineStr">
        <is>
          <t>LJUSDAL</t>
        </is>
      </c>
      <c r="G5916" t="n">
        <v>9.300000000000001</v>
      </c>
      <c r="H5916" t="n">
        <v>0</v>
      </c>
      <c r="I5916" t="n">
        <v>0</v>
      </c>
      <c r="J5916" t="n">
        <v>0</v>
      </c>
      <c r="K5916" t="n">
        <v>0</v>
      </c>
      <c r="L5916" t="n">
        <v>0</v>
      </c>
      <c r="M5916" t="n">
        <v>0</v>
      </c>
      <c r="N5916" t="n">
        <v>0</v>
      </c>
      <c r="O5916" t="n">
        <v>0</v>
      </c>
      <c r="P5916" t="n">
        <v>0</v>
      </c>
      <c r="Q5916" t="n">
        <v>0</v>
      </c>
      <c r="R5916" s="2" t="inlineStr"/>
    </row>
    <row r="5917" ht="15" customHeight="1">
      <c r="A5917" t="inlineStr">
        <is>
          <t>A 10423-2025</t>
        </is>
      </c>
      <c r="B5917" s="1" t="n">
        <v>45720.64939814815</v>
      </c>
      <c r="C5917" s="1" t="n">
        <v>46086</v>
      </c>
      <c r="D5917" t="inlineStr">
        <is>
          <t>GÄVLEBORGS LÄN</t>
        </is>
      </c>
      <c r="E5917" t="inlineStr">
        <is>
          <t>GÄVLE</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38217-2025</t>
        </is>
      </c>
      <c r="B5918" s="1" t="n">
        <v>45883.30810185185</v>
      </c>
      <c r="C5918" s="1" t="n">
        <v>46086</v>
      </c>
      <c r="D5918" t="inlineStr">
        <is>
          <t>GÄVLEBORGS LÄN</t>
        </is>
      </c>
      <c r="E5918" t="inlineStr">
        <is>
          <t>OVANÅKER</t>
        </is>
      </c>
      <c r="G5918" t="n">
        <v>9.4</v>
      </c>
      <c r="H5918" t="n">
        <v>0</v>
      </c>
      <c r="I5918" t="n">
        <v>0</v>
      </c>
      <c r="J5918" t="n">
        <v>0</v>
      </c>
      <c r="K5918" t="n">
        <v>0</v>
      </c>
      <c r="L5918" t="n">
        <v>0</v>
      </c>
      <c r="M5918" t="n">
        <v>0</v>
      </c>
      <c r="N5918" t="n">
        <v>0</v>
      </c>
      <c r="O5918" t="n">
        <v>0</v>
      </c>
      <c r="P5918" t="n">
        <v>0</v>
      </c>
      <c r="Q5918" t="n">
        <v>0</v>
      </c>
      <c r="R5918" s="2" t="inlineStr"/>
    </row>
    <row r="5919" ht="15" customHeight="1">
      <c r="A5919" t="inlineStr">
        <is>
          <t>A 38218-2025</t>
        </is>
      </c>
      <c r="B5919" s="1" t="n">
        <v>45883.32168981482</v>
      </c>
      <c r="C5919" s="1" t="n">
        <v>46086</v>
      </c>
      <c r="D5919" t="inlineStr">
        <is>
          <t>GÄVLEBORGS LÄN</t>
        </is>
      </c>
      <c r="E5919" t="inlineStr">
        <is>
          <t>SÖDERHAMN</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38246-2025</t>
        </is>
      </c>
      <c r="B5920" s="1" t="n">
        <v>45883.36712962963</v>
      </c>
      <c r="C5920" s="1" t="n">
        <v>46086</v>
      </c>
      <c r="D5920" t="inlineStr">
        <is>
          <t>GÄVLEBORGS LÄN</t>
        </is>
      </c>
      <c r="E5920" t="inlineStr">
        <is>
          <t>NORDANSTIG</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38251-2025</t>
        </is>
      </c>
      <c r="B5921" s="1" t="n">
        <v>45883.375</v>
      </c>
      <c r="C5921" s="1" t="n">
        <v>46086</v>
      </c>
      <c r="D5921" t="inlineStr">
        <is>
          <t>GÄVLEBORGS LÄN</t>
        </is>
      </c>
      <c r="E5921" t="inlineStr">
        <is>
          <t>BOLLNÄS</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38259-2025</t>
        </is>
      </c>
      <c r="B5922" s="1" t="n">
        <v>45883.39480324074</v>
      </c>
      <c r="C5922" s="1" t="n">
        <v>46086</v>
      </c>
      <c r="D5922" t="inlineStr">
        <is>
          <t>GÄVLEBORGS LÄN</t>
        </is>
      </c>
      <c r="E5922" t="inlineStr">
        <is>
          <t>HUDIKSVALL</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37862-2025</t>
        </is>
      </c>
      <c r="B5923" s="1" t="n">
        <v>45881.46546296297</v>
      </c>
      <c r="C5923" s="1" t="n">
        <v>46086</v>
      </c>
      <c r="D5923" t="inlineStr">
        <is>
          <t>GÄVLEBORGS LÄN</t>
        </is>
      </c>
      <c r="E5923" t="inlineStr">
        <is>
          <t>HUDIKSVALL</t>
        </is>
      </c>
      <c r="F5923" t="inlineStr">
        <is>
          <t>Holmen skog AB</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25209-2025</t>
        </is>
      </c>
      <c r="B5924" s="1" t="n">
        <v>45800.46928240741</v>
      </c>
      <c r="C5924" s="1" t="n">
        <v>46086</v>
      </c>
      <c r="D5924" t="inlineStr">
        <is>
          <t>GÄVLEBORGS LÄN</t>
        </is>
      </c>
      <c r="E5924" t="inlineStr">
        <is>
          <t>SANDVIKEN</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47100-2024</t>
        </is>
      </c>
      <c r="B5925" s="1" t="n">
        <v>45586.54471064815</v>
      </c>
      <c r="C5925" s="1" t="n">
        <v>46086</v>
      </c>
      <c r="D5925" t="inlineStr">
        <is>
          <t>GÄVLEBORGS LÄN</t>
        </is>
      </c>
      <c r="E5925" t="inlineStr">
        <is>
          <t>OCKELBO</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8441-2023</t>
        </is>
      </c>
      <c r="B5926" s="1" t="n">
        <v>44977</v>
      </c>
      <c r="C5926" s="1" t="n">
        <v>46086</v>
      </c>
      <c r="D5926" t="inlineStr">
        <is>
          <t>GÄVLEBORGS LÄN</t>
        </is>
      </c>
      <c r="E5926" t="inlineStr">
        <is>
          <t>HUDIKSVALL</t>
        </is>
      </c>
      <c r="F5926" t="inlineStr">
        <is>
          <t>Holmen skog AB</t>
        </is>
      </c>
      <c r="G5926" t="n">
        <v>10</v>
      </c>
      <c r="H5926" t="n">
        <v>0</v>
      </c>
      <c r="I5926" t="n">
        <v>0</v>
      </c>
      <c r="J5926" t="n">
        <v>0</v>
      </c>
      <c r="K5926" t="n">
        <v>0</v>
      </c>
      <c r="L5926" t="n">
        <v>0</v>
      </c>
      <c r="M5926" t="n">
        <v>0</v>
      </c>
      <c r="N5926" t="n">
        <v>0</v>
      </c>
      <c r="O5926" t="n">
        <v>0</v>
      </c>
      <c r="P5926" t="n">
        <v>0</v>
      </c>
      <c r="Q5926" t="n">
        <v>0</v>
      </c>
      <c r="R5926" s="2" t="inlineStr"/>
    </row>
    <row r="5927" ht="15" customHeight="1">
      <c r="A5927" t="inlineStr">
        <is>
          <t>A 38104-2025</t>
        </is>
      </c>
      <c r="B5927" s="1" t="n">
        <v>45882.49252314815</v>
      </c>
      <c r="C5927" s="1" t="n">
        <v>46086</v>
      </c>
      <c r="D5927" t="inlineStr">
        <is>
          <t>GÄVLEBORGS LÄN</t>
        </is>
      </c>
      <c r="E5927" t="inlineStr">
        <is>
          <t>NORDANSTIG</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38252-2025</t>
        </is>
      </c>
      <c r="B5928" s="1" t="n">
        <v>45883.37849537037</v>
      </c>
      <c r="C5928" s="1" t="n">
        <v>46086</v>
      </c>
      <c r="D5928" t="inlineStr">
        <is>
          <t>GÄVLEBORGS LÄN</t>
        </is>
      </c>
      <c r="E5928" t="inlineStr">
        <is>
          <t>BOLLNÄS</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6417-2025</t>
        </is>
      </c>
      <c r="B5929" s="1" t="n">
        <v>45699.47202546296</v>
      </c>
      <c r="C5929" s="1" t="n">
        <v>46086</v>
      </c>
      <c r="D5929" t="inlineStr">
        <is>
          <t>GÄVLEBORGS LÄN</t>
        </is>
      </c>
      <c r="E5929" t="inlineStr">
        <is>
          <t>LJUSDAL</t>
        </is>
      </c>
      <c r="F5929" t="inlineStr">
        <is>
          <t>Holmen skog AB</t>
        </is>
      </c>
      <c r="G5929" t="n">
        <v>42.3</v>
      </c>
      <c r="H5929" t="n">
        <v>0</v>
      </c>
      <c r="I5929" t="n">
        <v>0</v>
      </c>
      <c r="J5929" t="n">
        <v>0</v>
      </c>
      <c r="K5929" t="n">
        <v>0</v>
      </c>
      <c r="L5929" t="n">
        <v>0</v>
      </c>
      <c r="M5929" t="n">
        <v>0</v>
      </c>
      <c r="N5929" t="n">
        <v>0</v>
      </c>
      <c r="O5929" t="n">
        <v>0</v>
      </c>
      <c r="P5929" t="n">
        <v>0</v>
      </c>
      <c r="Q5929" t="n">
        <v>0</v>
      </c>
      <c r="R5929" s="2" t="inlineStr"/>
    </row>
    <row r="5930" ht="15" customHeight="1">
      <c r="A5930" t="inlineStr">
        <is>
          <t>A 32260-2023</t>
        </is>
      </c>
      <c r="B5930" s="1" t="n">
        <v>45120.30417824074</v>
      </c>
      <c r="C5930" s="1" t="n">
        <v>46086</v>
      </c>
      <c r="D5930" t="inlineStr">
        <is>
          <t>GÄVLEBORGS LÄN</t>
        </is>
      </c>
      <c r="E5930" t="inlineStr">
        <is>
          <t>SANDVIKEN</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46524-2021</t>
        </is>
      </c>
      <c r="B5931" s="1" t="n">
        <v>44445.45006944444</v>
      </c>
      <c r="C5931" s="1" t="n">
        <v>46086</v>
      </c>
      <c r="D5931" t="inlineStr">
        <is>
          <t>GÄVLEBORGS LÄN</t>
        </is>
      </c>
      <c r="E5931" t="inlineStr">
        <is>
          <t>LJUSDAL</t>
        </is>
      </c>
      <c r="F5931" t="inlineStr">
        <is>
          <t>Allmännings- och besparingsskogar</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46549-2021</t>
        </is>
      </c>
      <c r="B5932" s="1" t="n">
        <v>44445</v>
      </c>
      <c r="C5932" s="1" t="n">
        <v>46086</v>
      </c>
      <c r="D5932" t="inlineStr">
        <is>
          <t>GÄVLEBORGS LÄN</t>
        </is>
      </c>
      <c r="E5932" t="inlineStr">
        <is>
          <t>GÄVLE</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435-2024</t>
        </is>
      </c>
      <c r="B5933" s="1" t="n">
        <v>45296</v>
      </c>
      <c r="C5933" s="1" t="n">
        <v>46086</v>
      </c>
      <c r="D5933" t="inlineStr">
        <is>
          <t>GÄVLEBORGS LÄN</t>
        </is>
      </c>
      <c r="E5933" t="inlineStr">
        <is>
          <t>SÖDERHAMN</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461-2024</t>
        </is>
      </c>
      <c r="B5934" s="1" t="n">
        <v>45297</v>
      </c>
      <c r="C5934" s="1" t="n">
        <v>46086</v>
      </c>
      <c r="D5934" t="inlineStr">
        <is>
          <t>GÄVLEBORGS LÄN</t>
        </is>
      </c>
      <c r="E5934" t="inlineStr">
        <is>
          <t>HUDIKSVALL</t>
        </is>
      </c>
      <c r="G5934" t="n">
        <v>43.2</v>
      </c>
      <c r="H5934" t="n">
        <v>0</v>
      </c>
      <c r="I5934" t="n">
        <v>0</v>
      </c>
      <c r="J5934" t="n">
        <v>0</v>
      </c>
      <c r="K5934" t="n">
        <v>0</v>
      </c>
      <c r="L5934" t="n">
        <v>0</v>
      </c>
      <c r="M5934" t="n">
        <v>0</v>
      </c>
      <c r="N5934" t="n">
        <v>0</v>
      </c>
      <c r="O5934" t="n">
        <v>0</v>
      </c>
      <c r="P5934" t="n">
        <v>0</v>
      </c>
      <c r="Q5934" t="n">
        <v>0</v>
      </c>
      <c r="R5934" s="2" t="inlineStr"/>
    </row>
    <row r="5935" ht="15" customHeight="1">
      <c r="A5935" t="inlineStr">
        <is>
          <t>A 39107-2022</t>
        </is>
      </c>
      <c r="B5935" s="1" t="n">
        <v>44817.43700231481</v>
      </c>
      <c r="C5935" s="1" t="n">
        <v>46086</v>
      </c>
      <c r="D5935" t="inlineStr">
        <is>
          <t>GÄVLEBORGS LÄN</t>
        </is>
      </c>
      <c r="E5935" t="inlineStr">
        <is>
          <t>GÄVLE</t>
        </is>
      </c>
      <c r="F5935" t="inlineStr">
        <is>
          <t>Bergvik skog väst AB</t>
        </is>
      </c>
      <c r="G5935" t="n">
        <v>4.2</v>
      </c>
      <c r="H5935" t="n">
        <v>0</v>
      </c>
      <c r="I5935" t="n">
        <v>0</v>
      </c>
      <c r="J5935" t="n">
        <v>0</v>
      </c>
      <c r="K5935" t="n">
        <v>0</v>
      </c>
      <c r="L5935" t="n">
        <v>0</v>
      </c>
      <c r="M5935" t="n">
        <v>0</v>
      </c>
      <c r="N5935" t="n">
        <v>0</v>
      </c>
      <c r="O5935" t="n">
        <v>0</v>
      </c>
      <c r="P5935" t="n">
        <v>0</v>
      </c>
      <c r="Q5935" t="n">
        <v>0</v>
      </c>
      <c r="R5935" s="2" t="inlineStr"/>
    </row>
    <row r="5936" ht="15" customHeight="1">
      <c r="A5936" t="inlineStr">
        <is>
          <t>A 5571-2024</t>
        </is>
      </c>
      <c r="B5936" s="1" t="n">
        <v>45334</v>
      </c>
      <c r="C5936" s="1" t="n">
        <v>46086</v>
      </c>
      <c r="D5936" t="inlineStr">
        <is>
          <t>GÄVLEBORGS LÄN</t>
        </is>
      </c>
      <c r="E5936" t="inlineStr">
        <is>
          <t>OCKELBO</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24512-2024</t>
        </is>
      </c>
      <c r="B5937" s="1" t="n">
        <v>45460.34677083333</v>
      </c>
      <c r="C5937" s="1" t="n">
        <v>46086</v>
      </c>
      <c r="D5937" t="inlineStr">
        <is>
          <t>GÄVLEBORGS LÄN</t>
        </is>
      </c>
      <c r="E5937" t="inlineStr">
        <is>
          <t>LJUSDAL</t>
        </is>
      </c>
      <c r="G5937" t="n">
        <v>13.7</v>
      </c>
      <c r="H5937" t="n">
        <v>0</v>
      </c>
      <c r="I5937" t="n">
        <v>0</v>
      </c>
      <c r="J5937" t="n">
        <v>0</v>
      </c>
      <c r="K5937" t="n">
        <v>0</v>
      </c>
      <c r="L5937" t="n">
        <v>0</v>
      </c>
      <c r="M5937" t="n">
        <v>0</v>
      </c>
      <c r="N5937" t="n">
        <v>0</v>
      </c>
      <c r="O5937" t="n">
        <v>0</v>
      </c>
      <c r="P5937" t="n">
        <v>0</v>
      </c>
      <c r="Q5937" t="n">
        <v>0</v>
      </c>
      <c r="R5937" s="2" t="inlineStr"/>
    </row>
    <row r="5938" ht="15" customHeight="1">
      <c r="A5938" t="inlineStr">
        <is>
          <t>A 58867-2024</t>
        </is>
      </c>
      <c r="B5938" s="1" t="n">
        <v>45636.4278125</v>
      </c>
      <c r="C5938" s="1" t="n">
        <v>46086</v>
      </c>
      <c r="D5938" t="inlineStr">
        <is>
          <t>GÄVLEBORGS LÄN</t>
        </is>
      </c>
      <c r="E5938" t="inlineStr">
        <is>
          <t>SÖDERHAMN</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58872-2024</t>
        </is>
      </c>
      <c r="B5939" s="1" t="n">
        <v>45636.44068287037</v>
      </c>
      <c r="C5939" s="1" t="n">
        <v>46086</v>
      </c>
      <c r="D5939" t="inlineStr">
        <is>
          <t>GÄVLEBORGS LÄN</t>
        </is>
      </c>
      <c r="E5939" t="inlineStr">
        <is>
          <t>NORDANSTIG</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58900-2024</t>
        </is>
      </c>
      <c r="B5940" s="1" t="n">
        <v>45636.47081018519</v>
      </c>
      <c r="C5940" s="1" t="n">
        <v>46086</v>
      </c>
      <c r="D5940" t="inlineStr">
        <is>
          <t>GÄVLEBORGS LÄN</t>
        </is>
      </c>
      <c r="E5940" t="inlineStr">
        <is>
          <t>LJUSDAL</t>
        </is>
      </c>
      <c r="G5940" t="n">
        <v>9.9</v>
      </c>
      <c r="H5940" t="n">
        <v>0</v>
      </c>
      <c r="I5940" t="n">
        <v>0</v>
      </c>
      <c r="J5940" t="n">
        <v>0</v>
      </c>
      <c r="K5940" t="n">
        <v>0</v>
      </c>
      <c r="L5940" t="n">
        <v>0</v>
      </c>
      <c r="M5940" t="n">
        <v>0</v>
      </c>
      <c r="N5940" t="n">
        <v>0</v>
      </c>
      <c r="O5940" t="n">
        <v>0</v>
      </c>
      <c r="P5940" t="n">
        <v>0</v>
      </c>
      <c r="Q5940" t="n">
        <v>0</v>
      </c>
      <c r="R5940" s="2" t="inlineStr"/>
    </row>
    <row r="5941" ht="15" customHeight="1">
      <c r="A5941" t="inlineStr">
        <is>
          <t>A 53494-2023</t>
        </is>
      </c>
      <c r="B5941" s="1" t="n">
        <v>45230.36850694445</v>
      </c>
      <c r="C5941" s="1" t="n">
        <v>46086</v>
      </c>
      <c r="D5941" t="inlineStr">
        <is>
          <t>GÄVLEBORGS LÄN</t>
        </is>
      </c>
      <c r="E5941" t="inlineStr">
        <is>
          <t>BOLLNÄS</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3334-2022</t>
        </is>
      </c>
      <c r="B5942" s="1" t="n">
        <v>44585.3431712963</v>
      </c>
      <c r="C5942" s="1" t="n">
        <v>46086</v>
      </c>
      <c r="D5942" t="inlineStr">
        <is>
          <t>GÄVLEBORGS LÄN</t>
        </is>
      </c>
      <c r="E5942" t="inlineStr">
        <is>
          <t>GÄVLE</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54106-2023</t>
        </is>
      </c>
      <c r="B5943" s="1" t="n">
        <v>45232</v>
      </c>
      <c r="C5943" s="1" t="n">
        <v>46086</v>
      </c>
      <c r="D5943" t="inlineStr">
        <is>
          <t>GÄVLEBORGS LÄN</t>
        </is>
      </c>
      <c r="E5943" t="inlineStr">
        <is>
          <t>SANDVIKEN</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54200-2023</t>
        </is>
      </c>
      <c r="B5944" s="1" t="n">
        <v>45232.55104166667</v>
      </c>
      <c r="C5944" s="1" t="n">
        <v>46086</v>
      </c>
      <c r="D5944" t="inlineStr">
        <is>
          <t>GÄVLEBORGS LÄN</t>
        </is>
      </c>
      <c r="E5944" t="inlineStr">
        <is>
          <t>NORDANSTIG</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54225-2023</t>
        </is>
      </c>
      <c r="B5945" s="1" t="n">
        <v>45232.59086805556</v>
      </c>
      <c r="C5945" s="1" t="n">
        <v>46086</v>
      </c>
      <c r="D5945" t="inlineStr">
        <is>
          <t>GÄVLEBORGS LÄN</t>
        </is>
      </c>
      <c r="E5945" t="inlineStr">
        <is>
          <t>HUDIKSVALL</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32804-2024</t>
        </is>
      </c>
      <c r="B5946" s="1" t="n">
        <v>45516.56881944444</v>
      </c>
      <c r="C5946" s="1" t="n">
        <v>46086</v>
      </c>
      <c r="D5946" t="inlineStr">
        <is>
          <t>GÄVLEBORGS LÄN</t>
        </is>
      </c>
      <c r="E5946" t="inlineStr">
        <is>
          <t>OVANÅKER</t>
        </is>
      </c>
      <c r="F5946" t="inlineStr">
        <is>
          <t>Bergvik skog öst AB</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5296-2022</t>
        </is>
      </c>
      <c r="B5947" s="1" t="n">
        <v>44594</v>
      </c>
      <c r="C5947" s="1" t="n">
        <v>46086</v>
      </c>
      <c r="D5947" t="inlineStr">
        <is>
          <t>GÄVLEBORGS LÄN</t>
        </is>
      </c>
      <c r="E5947" t="inlineStr">
        <is>
          <t>BOLLNÄS</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57164-2024</t>
        </is>
      </c>
      <c r="B5948" s="1" t="n">
        <v>45629.41516203704</v>
      </c>
      <c r="C5948" s="1" t="n">
        <v>46086</v>
      </c>
      <c r="D5948" t="inlineStr">
        <is>
          <t>GÄVLEBORGS LÄN</t>
        </is>
      </c>
      <c r="E5948" t="inlineStr">
        <is>
          <t>LJUSDAL</t>
        </is>
      </c>
      <c r="F5948" t="inlineStr">
        <is>
          <t>Naturvårdsverket</t>
        </is>
      </c>
      <c r="G5948" t="n">
        <v>18.5</v>
      </c>
      <c r="H5948" t="n">
        <v>0</v>
      </c>
      <c r="I5948" t="n">
        <v>0</v>
      </c>
      <c r="J5948" t="n">
        <v>0</v>
      </c>
      <c r="K5948" t="n">
        <v>0</v>
      </c>
      <c r="L5948" t="n">
        <v>0</v>
      </c>
      <c r="M5948" t="n">
        <v>0</v>
      </c>
      <c r="N5948" t="n">
        <v>0</v>
      </c>
      <c r="O5948" t="n">
        <v>0</v>
      </c>
      <c r="P5948" t="n">
        <v>0</v>
      </c>
      <c r="Q5948" t="n">
        <v>0</v>
      </c>
      <c r="R5948" s="2" t="inlineStr"/>
    </row>
    <row r="5949" ht="15" customHeight="1">
      <c r="A5949" t="inlineStr">
        <is>
          <t>A 450-2025</t>
        </is>
      </c>
      <c r="B5949" s="1" t="n">
        <v>45664.39973379629</v>
      </c>
      <c r="C5949" s="1" t="n">
        <v>46086</v>
      </c>
      <c r="D5949" t="inlineStr">
        <is>
          <t>GÄVLEBORGS LÄN</t>
        </is>
      </c>
      <c r="E5949" t="inlineStr">
        <is>
          <t>HUDIKSVALL</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54099-2023</t>
        </is>
      </c>
      <c r="B5950" s="1" t="n">
        <v>45225</v>
      </c>
      <c r="C5950" s="1" t="n">
        <v>46086</v>
      </c>
      <c r="D5950" t="inlineStr">
        <is>
          <t>GÄVLEBORGS LÄN</t>
        </is>
      </c>
      <c r="E5950" t="inlineStr">
        <is>
          <t>OVANÅKER</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30562-2023</t>
        </is>
      </c>
      <c r="B5951" s="1" t="n">
        <v>45111</v>
      </c>
      <c r="C5951" s="1" t="n">
        <v>46086</v>
      </c>
      <c r="D5951" t="inlineStr">
        <is>
          <t>GÄVLEBORGS LÄN</t>
        </is>
      </c>
      <c r="E5951" t="inlineStr">
        <is>
          <t>HUDIKSVALL</t>
        </is>
      </c>
      <c r="G5951" t="n">
        <v>11.5</v>
      </c>
      <c r="H5951" t="n">
        <v>0</v>
      </c>
      <c r="I5951" t="n">
        <v>0</v>
      </c>
      <c r="J5951" t="n">
        <v>0</v>
      </c>
      <c r="K5951" t="n">
        <v>0</v>
      </c>
      <c r="L5951" t="n">
        <v>0</v>
      </c>
      <c r="M5951" t="n">
        <v>0</v>
      </c>
      <c r="N5951" t="n">
        <v>0</v>
      </c>
      <c r="O5951" t="n">
        <v>0</v>
      </c>
      <c r="P5951" t="n">
        <v>0</v>
      </c>
      <c r="Q5951" t="n">
        <v>0</v>
      </c>
      <c r="R5951" s="2" t="inlineStr"/>
    </row>
    <row r="5952" ht="15" customHeight="1">
      <c r="A5952" t="inlineStr">
        <is>
          <t>A 51071-2024</t>
        </is>
      </c>
      <c r="B5952" s="1" t="n">
        <v>45603.44983796297</v>
      </c>
      <c r="C5952" s="1" t="n">
        <v>46086</v>
      </c>
      <c r="D5952" t="inlineStr">
        <is>
          <t>GÄVLEBORGS LÄN</t>
        </is>
      </c>
      <c r="E5952" t="inlineStr">
        <is>
          <t>HUDIKSVALL</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38610-2025</t>
        </is>
      </c>
      <c r="B5953" s="1" t="n">
        <v>45884.53892361111</v>
      </c>
      <c r="C5953" s="1" t="n">
        <v>46086</v>
      </c>
      <c r="D5953" t="inlineStr">
        <is>
          <t>GÄVLEBORGS LÄN</t>
        </is>
      </c>
      <c r="E5953" t="inlineStr">
        <is>
          <t>NORDANSTIG</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38627-2025</t>
        </is>
      </c>
      <c r="B5954" s="1" t="n">
        <v>45884.55796296296</v>
      </c>
      <c r="C5954" s="1" t="n">
        <v>46086</v>
      </c>
      <c r="D5954" t="inlineStr">
        <is>
          <t>GÄVLEBORGS LÄN</t>
        </is>
      </c>
      <c r="E5954" t="inlineStr">
        <is>
          <t>GÄVLE</t>
        </is>
      </c>
      <c r="F5954" t="inlineStr">
        <is>
          <t>Bergvik skog väst AB</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38648-2025</t>
        </is>
      </c>
      <c r="B5955" s="1" t="n">
        <v>45884.5805787037</v>
      </c>
      <c r="C5955" s="1" t="n">
        <v>46086</v>
      </c>
      <c r="D5955" t="inlineStr">
        <is>
          <t>GÄVLEBORGS LÄN</t>
        </is>
      </c>
      <c r="E5955" t="inlineStr">
        <is>
          <t>LJUSDAL</t>
        </is>
      </c>
      <c r="F5955" t="inlineStr">
        <is>
          <t>Allmännings- och besparingsskogar</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36174-2024</t>
        </is>
      </c>
      <c r="B5956" s="1" t="n">
        <v>45534.40605324074</v>
      </c>
      <c r="C5956" s="1" t="n">
        <v>46086</v>
      </c>
      <c r="D5956" t="inlineStr">
        <is>
          <t>GÄVLEBORGS LÄN</t>
        </is>
      </c>
      <c r="E5956" t="inlineStr">
        <is>
          <t>SÖDERHAMN</t>
        </is>
      </c>
      <c r="F5956" t="inlineStr">
        <is>
          <t>Bergvik skog väst AB</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36182-2024</t>
        </is>
      </c>
      <c r="B5957" s="1" t="n">
        <v>45534.41583333333</v>
      </c>
      <c r="C5957" s="1" t="n">
        <v>46086</v>
      </c>
      <c r="D5957" t="inlineStr">
        <is>
          <t>GÄVLEBORGS LÄN</t>
        </is>
      </c>
      <c r="E5957" t="inlineStr">
        <is>
          <t>LJUSDAL</t>
        </is>
      </c>
      <c r="F5957" t="inlineStr">
        <is>
          <t>Holmen skog AB</t>
        </is>
      </c>
      <c r="G5957" t="n">
        <v>6.1</v>
      </c>
      <c r="H5957" t="n">
        <v>0</v>
      </c>
      <c r="I5957" t="n">
        <v>0</v>
      </c>
      <c r="J5957" t="n">
        <v>0</v>
      </c>
      <c r="K5957" t="n">
        <v>0</v>
      </c>
      <c r="L5957" t="n">
        <v>0</v>
      </c>
      <c r="M5957" t="n">
        <v>0</v>
      </c>
      <c r="N5957" t="n">
        <v>0</v>
      </c>
      <c r="O5957" t="n">
        <v>0</v>
      </c>
      <c r="P5957" t="n">
        <v>0</v>
      </c>
      <c r="Q5957" t="n">
        <v>0</v>
      </c>
      <c r="R5957" s="2" t="inlineStr"/>
    </row>
    <row r="5958" ht="15" customHeight="1">
      <c r="A5958" t="inlineStr">
        <is>
          <t>A 60904-2024</t>
        </is>
      </c>
      <c r="B5958" s="1" t="n">
        <v>45645.30571759259</v>
      </c>
      <c r="C5958" s="1" t="n">
        <v>46086</v>
      </c>
      <c r="D5958" t="inlineStr">
        <is>
          <t>GÄVLEBORGS LÄN</t>
        </is>
      </c>
      <c r="E5958" t="inlineStr">
        <is>
          <t>HUDIKSVALL</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60915-2024</t>
        </is>
      </c>
      <c r="B5959" s="1" t="n">
        <v>45645.33822916666</v>
      </c>
      <c r="C5959" s="1" t="n">
        <v>46086</v>
      </c>
      <c r="D5959" t="inlineStr">
        <is>
          <t>GÄVLEBORGS LÄN</t>
        </is>
      </c>
      <c r="E5959" t="inlineStr">
        <is>
          <t>OCKELBO</t>
        </is>
      </c>
      <c r="F5959" t="inlineStr">
        <is>
          <t>Kyrkan</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389-2025</t>
        </is>
      </c>
      <c r="B5960" s="1" t="n">
        <v>45662.74996527778</v>
      </c>
      <c r="C5960" s="1" t="n">
        <v>46086</v>
      </c>
      <c r="D5960" t="inlineStr">
        <is>
          <t>GÄVLEBORGS LÄN</t>
        </is>
      </c>
      <c r="E5960" t="inlineStr">
        <is>
          <t>SANDVIKEN</t>
        </is>
      </c>
      <c r="G5960" t="n">
        <v>6</v>
      </c>
      <c r="H5960" t="n">
        <v>0</v>
      </c>
      <c r="I5960" t="n">
        <v>0</v>
      </c>
      <c r="J5960" t="n">
        <v>0</v>
      </c>
      <c r="K5960" t="n">
        <v>0</v>
      </c>
      <c r="L5960" t="n">
        <v>0</v>
      </c>
      <c r="M5960" t="n">
        <v>0</v>
      </c>
      <c r="N5960" t="n">
        <v>0</v>
      </c>
      <c r="O5960" t="n">
        <v>0</v>
      </c>
      <c r="P5960" t="n">
        <v>0</v>
      </c>
      <c r="Q5960" t="n">
        <v>0</v>
      </c>
      <c r="R5960" s="2" t="inlineStr"/>
    </row>
    <row r="5961" ht="15" customHeight="1">
      <c r="A5961" t="inlineStr">
        <is>
          <t>A 8522-2024</t>
        </is>
      </c>
      <c r="B5961" s="1" t="n">
        <v>45355</v>
      </c>
      <c r="C5961" s="1" t="n">
        <v>46086</v>
      </c>
      <c r="D5961" t="inlineStr">
        <is>
          <t>GÄVLEBORGS LÄN</t>
        </is>
      </c>
      <c r="E5961" t="inlineStr">
        <is>
          <t>HUDIKSVALL</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33819-2023</t>
        </is>
      </c>
      <c r="B5962" s="1" t="n">
        <v>45133.6052662037</v>
      </c>
      <c r="C5962" s="1" t="n">
        <v>46086</v>
      </c>
      <c r="D5962" t="inlineStr">
        <is>
          <t>GÄVLEBORGS LÄN</t>
        </is>
      </c>
      <c r="E5962" t="inlineStr">
        <is>
          <t>LJUSDAL</t>
        </is>
      </c>
      <c r="F5962" t="inlineStr">
        <is>
          <t>Holmen skog AB</t>
        </is>
      </c>
      <c r="G5962" t="n">
        <v>8</v>
      </c>
      <c r="H5962" t="n">
        <v>0</v>
      </c>
      <c r="I5962" t="n">
        <v>0</v>
      </c>
      <c r="J5962" t="n">
        <v>0</v>
      </c>
      <c r="K5962" t="n">
        <v>0</v>
      </c>
      <c r="L5962" t="n">
        <v>0</v>
      </c>
      <c r="M5962" t="n">
        <v>0</v>
      </c>
      <c r="N5962" t="n">
        <v>0</v>
      </c>
      <c r="O5962" t="n">
        <v>0</v>
      </c>
      <c r="P5962" t="n">
        <v>0</v>
      </c>
      <c r="Q5962" t="n">
        <v>0</v>
      </c>
      <c r="R5962" s="2" t="inlineStr"/>
    </row>
    <row r="5963" ht="15" customHeight="1">
      <c r="A5963" t="inlineStr">
        <is>
          <t>A 2935-2023</t>
        </is>
      </c>
      <c r="B5963" s="1" t="n">
        <v>44944</v>
      </c>
      <c r="C5963" s="1" t="n">
        <v>46086</v>
      </c>
      <c r="D5963" t="inlineStr">
        <is>
          <t>GÄVLEBORGS LÄN</t>
        </is>
      </c>
      <c r="E5963" t="inlineStr">
        <is>
          <t>BOLLNÄS</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28586-2024</t>
        </is>
      </c>
      <c r="B5964" s="1" t="n">
        <v>45478</v>
      </c>
      <c r="C5964" s="1" t="n">
        <v>46086</v>
      </c>
      <c r="D5964" t="inlineStr">
        <is>
          <t>GÄVLEBORGS LÄN</t>
        </is>
      </c>
      <c r="E5964" t="inlineStr">
        <is>
          <t>OCKELBO</t>
        </is>
      </c>
      <c r="F5964" t="inlineStr">
        <is>
          <t>Bergvik skog väst AB</t>
        </is>
      </c>
      <c r="G5964" t="n">
        <v>0.3</v>
      </c>
      <c r="H5964" t="n">
        <v>0</v>
      </c>
      <c r="I5964" t="n">
        <v>0</v>
      </c>
      <c r="J5964" t="n">
        <v>0</v>
      </c>
      <c r="K5964" t="n">
        <v>0</v>
      </c>
      <c r="L5964" t="n">
        <v>0</v>
      </c>
      <c r="M5964" t="n">
        <v>0</v>
      </c>
      <c r="N5964" t="n">
        <v>0</v>
      </c>
      <c r="O5964" t="n">
        <v>0</v>
      </c>
      <c r="P5964" t="n">
        <v>0</v>
      </c>
      <c r="Q5964" t="n">
        <v>0</v>
      </c>
      <c r="R5964" s="2" t="inlineStr"/>
    </row>
    <row r="5965" ht="15" customHeight="1">
      <c r="A5965" t="inlineStr">
        <is>
          <t>A 58103-2023</t>
        </is>
      </c>
      <c r="B5965" s="1" t="n">
        <v>45249.55481481482</v>
      </c>
      <c r="C5965" s="1" t="n">
        <v>46086</v>
      </c>
      <c r="D5965" t="inlineStr">
        <is>
          <t>GÄVLEBORGS LÄN</t>
        </is>
      </c>
      <c r="E5965" t="inlineStr">
        <is>
          <t>LJUSDAL</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21582-2024</t>
        </is>
      </c>
      <c r="B5966" s="1" t="n">
        <v>45441.70758101852</v>
      </c>
      <c r="C5966" s="1" t="n">
        <v>46086</v>
      </c>
      <c r="D5966" t="inlineStr">
        <is>
          <t>GÄVLEBORGS LÄN</t>
        </is>
      </c>
      <c r="E5966" t="inlineStr">
        <is>
          <t>OCKELBO</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26978-2022</t>
        </is>
      </c>
      <c r="B5967" s="1" t="n">
        <v>44740.703125</v>
      </c>
      <c r="C5967" s="1" t="n">
        <v>46086</v>
      </c>
      <c r="D5967" t="inlineStr">
        <is>
          <t>GÄVLEBORGS LÄN</t>
        </is>
      </c>
      <c r="E5967" t="inlineStr">
        <is>
          <t>SÖDERHAMN</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58196-2024</t>
        </is>
      </c>
      <c r="B5968" s="1" t="n">
        <v>45632.48064814815</v>
      </c>
      <c r="C5968" s="1" t="n">
        <v>46086</v>
      </c>
      <c r="D5968" t="inlineStr">
        <is>
          <t>GÄVLEBORGS LÄN</t>
        </is>
      </c>
      <c r="E5968" t="inlineStr">
        <is>
          <t>GÄVLE</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58281-2024</t>
        </is>
      </c>
      <c r="B5969" s="1" t="n">
        <v>45632.57706018518</v>
      </c>
      <c r="C5969" s="1" t="n">
        <v>46086</v>
      </c>
      <c r="D5969" t="inlineStr">
        <is>
          <t>GÄVLEBORGS LÄN</t>
        </is>
      </c>
      <c r="E5969" t="inlineStr">
        <is>
          <t>SÖDERHAMN</t>
        </is>
      </c>
      <c r="F5969" t="inlineStr">
        <is>
          <t>Bergvik skog väst AB</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30294-2024</t>
        </is>
      </c>
      <c r="B5970" s="1" t="n">
        <v>45490</v>
      </c>
      <c r="C5970" s="1" t="n">
        <v>46086</v>
      </c>
      <c r="D5970" t="inlineStr">
        <is>
          <t>GÄVLEBORGS LÄN</t>
        </is>
      </c>
      <c r="E5970" t="inlineStr">
        <is>
          <t>LJUSDAL</t>
        </is>
      </c>
      <c r="G5970" t="n">
        <v>3.5</v>
      </c>
      <c r="H5970" t="n">
        <v>0</v>
      </c>
      <c r="I5970" t="n">
        <v>0</v>
      </c>
      <c r="J5970" t="n">
        <v>0</v>
      </c>
      <c r="K5970" t="n">
        <v>0</v>
      </c>
      <c r="L5970" t="n">
        <v>0</v>
      </c>
      <c r="M5970" t="n">
        <v>0</v>
      </c>
      <c r="N5970" t="n">
        <v>0</v>
      </c>
      <c r="O5970" t="n">
        <v>0</v>
      </c>
      <c r="P5970" t="n">
        <v>0</v>
      </c>
      <c r="Q5970" t="n">
        <v>0</v>
      </c>
      <c r="R5970" s="2" t="inlineStr"/>
    </row>
    <row r="5971" ht="15" customHeight="1">
      <c r="A5971" t="inlineStr">
        <is>
          <t>A 59976-2023</t>
        </is>
      </c>
      <c r="B5971" s="1" t="n">
        <v>45254</v>
      </c>
      <c r="C5971" s="1" t="n">
        <v>46086</v>
      </c>
      <c r="D5971" t="inlineStr">
        <is>
          <t>GÄVLEBORGS LÄN</t>
        </is>
      </c>
      <c r="E5971" t="inlineStr">
        <is>
          <t>OCKELBO</t>
        </is>
      </c>
      <c r="G5971" t="n">
        <v>5.1</v>
      </c>
      <c r="H5971" t="n">
        <v>0</v>
      </c>
      <c r="I5971" t="n">
        <v>0</v>
      </c>
      <c r="J5971" t="n">
        <v>0</v>
      </c>
      <c r="K5971" t="n">
        <v>0</v>
      </c>
      <c r="L5971" t="n">
        <v>0</v>
      </c>
      <c r="M5971" t="n">
        <v>0</v>
      </c>
      <c r="N5971" t="n">
        <v>0</v>
      </c>
      <c r="O5971" t="n">
        <v>0</v>
      </c>
      <c r="P5971" t="n">
        <v>0</v>
      </c>
      <c r="Q5971" t="n">
        <v>0</v>
      </c>
      <c r="R5971" s="2" t="inlineStr"/>
    </row>
    <row r="5972" ht="15" customHeight="1">
      <c r="A5972" t="inlineStr">
        <is>
          <t>A 59978-2023</t>
        </is>
      </c>
      <c r="B5972" s="1" t="n">
        <v>45254</v>
      </c>
      <c r="C5972" s="1" t="n">
        <v>46086</v>
      </c>
      <c r="D5972" t="inlineStr">
        <is>
          <t>GÄVLEBORGS LÄN</t>
        </is>
      </c>
      <c r="E5972" t="inlineStr">
        <is>
          <t>OCKELBO</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59798-2022</t>
        </is>
      </c>
      <c r="B5973" s="1" t="n">
        <v>44908.5655787037</v>
      </c>
      <c r="C5973" s="1" t="n">
        <v>46086</v>
      </c>
      <c r="D5973" t="inlineStr">
        <is>
          <t>GÄVLEBORGS LÄN</t>
        </is>
      </c>
      <c r="E5973" t="inlineStr">
        <is>
          <t>HUDIKSVALL</t>
        </is>
      </c>
      <c r="G5973" t="n">
        <v>0.4</v>
      </c>
      <c r="H5973" t="n">
        <v>0</v>
      </c>
      <c r="I5973" t="n">
        <v>0</v>
      </c>
      <c r="J5973" t="n">
        <v>0</v>
      </c>
      <c r="K5973" t="n">
        <v>0</v>
      </c>
      <c r="L5973" t="n">
        <v>0</v>
      </c>
      <c r="M5973" t="n">
        <v>0</v>
      </c>
      <c r="N5973" t="n">
        <v>0</v>
      </c>
      <c r="O5973" t="n">
        <v>0</v>
      </c>
      <c r="P5973" t="n">
        <v>0</v>
      </c>
      <c r="Q5973" t="n">
        <v>0</v>
      </c>
      <c r="R5973" s="2" t="inlineStr"/>
    </row>
    <row r="5974" ht="15" customHeight="1">
      <c r="A5974" t="inlineStr">
        <is>
          <t>A 30503-2024</t>
        </is>
      </c>
      <c r="B5974" s="1" t="n">
        <v>45492</v>
      </c>
      <c r="C5974" s="1" t="n">
        <v>46086</v>
      </c>
      <c r="D5974" t="inlineStr">
        <is>
          <t>GÄVLEBORGS LÄN</t>
        </is>
      </c>
      <c r="E5974" t="inlineStr">
        <is>
          <t>LJUSDAL</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58280-2024</t>
        </is>
      </c>
      <c r="B5975" s="1" t="n">
        <v>45632.57650462963</v>
      </c>
      <c r="C5975" s="1" t="n">
        <v>46086</v>
      </c>
      <c r="D5975" t="inlineStr">
        <is>
          <t>GÄVLEBORGS LÄN</t>
        </is>
      </c>
      <c r="E5975" t="inlineStr">
        <is>
          <t>OVANÅKER</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44594-2022</t>
        </is>
      </c>
      <c r="B5976" s="1" t="n">
        <v>44840</v>
      </c>
      <c r="C5976" s="1" t="n">
        <v>46086</v>
      </c>
      <c r="D5976" t="inlineStr">
        <is>
          <t>GÄVLEBORGS LÄN</t>
        </is>
      </c>
      <c r="E5976" t="inlineStr">
        <is>
          <t>OVANÅKER</t>
        </is>
      </c>
      <c r="G5976" t="n">
        <v>5</v>
      </c>
      <c r="H5976" t="n">
        <v>0</v>
      </c>
      <c r="I5976" t="n">
        <v>0</v>
      </c>
      <c r="J5976" t="n">
        <v>0</v>
      </c>
      <c r="K5976" t="n">
        <v>0</v>
      </c>
      <c r="L5976" t="n">
        <v>0</v>
      </c>
      <c r="M5976" t="n">
        <v>0</v>
      </c>
      <c r="N5976" t="n">
        <v>0</v>
      </c>
      <c r="O5976" t="n">
        <v>0</v>
      </c>
      <c r="P5976" t="n">
        <v>0</v>
      </c>
      <c r="Q5976" t="n">
        <v>0</v>
      </c>
      <c r="R5976" s="2" t="inlineStr"/>
    </row>
    <row r="5977" ht="15" customHeight="1">
      <c r="A5977" t="inlineStr">
        <is>
          <t>A 15101-2025</t>
        </is>
      </c>
      <c r="B5977" s="1" t="n">
        <v>45744.34550925926</v>
      </c>
      <c r="C5977" s="1" t="n">
        <v>46086</v>
      </c>
      <c r="D5977" t="inlineStr">
        <is>
          <t>GÄVLEBORGS LÄN</t>
        </is>
      </c>
      <c r="E5977" t="inlineStr">
        <is>
          <t>GÄVLE</t>
        </is>
      </c>
      <c r="F5977" t="inlineStr">
        <is>
          <t>Bergvik skog öst AB</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6425-2024</t>
        </is>
      </c>
      <c r="B5978" s="1" t="n">
        <v>45338.63030092593</v>
      </c>
      <c r="C5978" s="1" t="n">
        <v>46086</v>
      </c>
      <c r="D5978" t="inlineStr">
        <is>
          <t>GÄVLEBORGS LÄN</t>
        </is>
      </c>
      <c r="E5978" t="inlineStr">
        <is>
          <t>HUDIKSVALL</t>
        </is>
      </c>
      <c r="F5978" t="inlineStr">
        <is>
          <t>Holmen skog AB</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9464-2025</t>
        </is>
      </c>
      <c r="B5979" s="1" t="n">
        <v>45715.4665625</v>
      </c>
      <c r="C5979" s="1" t="n">
        <v>46086</v>
      </c>
      <c r="D5979" t="inlineStr">
        <is>
          <t>GÄVLEBORGS LÄN</t>
        </is>
      </c>
      <c r="E5979" t="inlineStr">
        <is>
          <t>OCKELBO</t>
        </is>
      </c>
      <c r="F5979" t="inlineStr">
        <is>
          <t>Bergvik skog öst AB</t>
        </is>
      </c>
      <c r="G5979" t="n">
        <v>4.6</v>
      </c>
      <c r="H5979" t="n">
        <v>0</v>
      </c>
      <c r="I5979" t="n">
        <v>0</v>
      </c>
      <c r="J5979" t="n">
        <v>0</v>
      </c>
      <c r="K5979" t="n">
        <v>0</v>
      </c>
      <c r="L5979" t="n">
        <v>0</v>
      </c>
      <c r="M5979" t="n">
        <v>0</v>
      </c>
      <c r="N5979" t="n">
        <v>0</v>
      </c>
      <c r="O5979" t="n">
        <v>0</v>
      </c>
      <c r="P5979" t="n">
        <v>0</v>
      </c>
      <c r="Q5979" t="n">
        <v>0</v>
      </c>
      <c r="R5979" s="2" t="inlineStr"/>
    </row>
    <row r="5980" ht="15" customHeight="1">
      <c r="A5980" t="inlineStr">
        <is>
          <t>A 9601-2025</t>
        </is>
      </c>
      <c r="B5980" s="1" t="n">
        <v>45715.65280092593</v>
      </c>
      <c r="C5980" s="1" t="n">
        <v>46086</v>
      </c>
      <c r="D5980" t="inlineStr">
        <is>
          <t>GÄVLEBORGS LÄN</t>
        </is>
      </c>
      <c r="E5980" t="inlineStr">
        <is>
          <t>HUDIKSVALL</t>
        </is>
      </c>
      <c r="F5980" t="inlineStr">
        <is>
          <t>Holmen skog AB</t>
        </is>
      </c>
      <c r="G5980" t="n">
        <v>55</v>
      </c>
      <c r="H5980" t="n">
        <v>0</v>
      </c>
      <c r="I5980" t="n">
        <v>0</v>
      </c>
      <c r="J5980" t="n">
        <v>0</v>
      </c>
      <c r="K5980" t="n">
        <v>0</v>
      </c>
      <c r="L5980" t="n">
        <v>0</v>
      </c>
      <c r="M5980" t="n">
        <v>0</v>
      </c>
      <c r="N5980" t="n">
        <v>0</v>
      </c>
      <c r="O5980" t="n">
        <v>0</v>
      </c>
      <c r="P5980" t="n">
        <v>0</v>
      </c>
      <c r="Q5980" t="n">
        <v>0</v>
      </c>
      <c r="R5980" s="2" t="inlineStr"/>
    </row>
    <row r="5981" ht="15" customHeight="1">
      <c r="A5981" t="inlineStr">
        <is>
          <t>A 2739-2025</t>
        </is>
      </c>
      <c r="B5981" s="1" t="n">
        <v>45677.45535879629</v>
      </c>
      <c r="C5981" s="1" t="n">
        <v>46086</v>
      </c>
      <c r="D5981" t="inlineStr">
        <is>
          <t>GÄVLEBORGS LÄN</t>
        </is>
      </c>
      <c r="E5981" t="inlineStr">
        <is>
          <t>HUDIKSVALL</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29439-2023</t>
        </is>
      </c>
      <c r="B5982" s="1" t="n">
        <v>45106</v>
      </c>
      <c r="C5982" s="1" t="n">
        <v>46086</v>
      </c>
      <c r="D5982" t="inlineStr">
        <is>
          <t>GÄVLEBORGS LÄN</t>
        </is>
      </c>
      <c r="E5982" t="inlineStr">
        <is>
          <t>LJUSDAL</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50135-2025</t>
        </is>
      </c>
      <c r="B5983" s="1" t="n">
        <v>45943.56146990741</v>
      </c>
      <c r="C5983" s="1" t="n">
        <v>46086</v>
      </c>
      <c r="D5983" t="inlineStr">
        <is>
          <t>GÄVLEBORGS LÄN</t>
        </is>
      </c>
      <c r="E5983" t="inlineStr">
        <is>
          <t>LJUSDAL</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50012-2025</t>
        </is>
      </c>
      <c r="B5984" s="1" t="n">
        <v>45943.34716435185</v>
      </c>
      <c r="C5984" s="1" t="n">
        <v>46086</v>
      </c>
      <c r="D5984" t="inlineStr">
        <is>
          <t>GÄVLEBORGS LÄN</t>
        </is>
      </c>
      <c r="E5984" t="inlineStr">
        <is>
          <t>SANDVIKEN</t>
        </is>
      </c>
      <c r="F5984" t="inlineStr">
        <is>
          <t>Sveaskog</t>
        </is>
      </c>
      <c r="G5984" t="n">
        <v>16.6</v>
      </c>
      <c r="H5984" t="n">
        <v>0</v>
      </c>
      <c r="I5984" t="n">
        <v>0</v>
      </c>
      <c r="J5984" t="n">
        <v>0</v>
      </c>
      <c r="K5984" t="n">
        <v>0</v>
      </c>
      <c r="L5984" t="n">
        <v>0</v>
      </c>
      <c r="M5984" t="n">
        <v>0</v>
      </c>
      <c r="N5984" t="n">
        <v>0</v>
      </c>
      <c r="O5984" t="n">
        <v>0</v>
      </c>
      <c r="P5984" t="n">
        <v>0</v>
      </c>
      <c r="Q5984" t="n">
        <v>0</v>
      </c>
      <c r="R5984" s="2" t="inlineStr"/>
    </row>
    <row r="5985" ht="15" customHeight="1">
      <c r="A5985" t="inlineStr">
        <is>
          <t>A 50031-2025</t>
        </is>
      </c>
      <c r="B5985" s="1" t="n">
        <v>45943.38842592593</v>
      </c>
      <c r="C5985" s="1" t="n">
        <v>46086</v>
      </c>
      <c r="D5985" t="inlineStr">
        <is>
          <t>GÄVLEBORGS LÄN</t>
        </is>
      </c>
      <c r="E5985" t="inlineStr">
        <is>
          <t>HUDIKSVALL</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38563-2025</t>
        </is>
      </c>
      <c r="B5986" s="1" t="n">
        <v>45884.44887731481</v>
      </c>
      <c r="C5986" s="1" t="n">
        <v>46086</v>
      </c>
      <c r="D5986" t="inlineStr">
        <is>
          <t>GÄVLEBORGS LÄN</t>
        </is>
      </c>
      <c r="E5986" t="inlineStr">
        <is>
          <t>BOLLNÄS</t>
        </is>
      </c>
      <c r="F5986" t="inlineStr">
        <is>
          <t>Kyrkan</t>
        </is>
      </c>
      <c r="G5986" t="n">
        <v>8.6</v>
      </c>
      <c r="H5986" t="n">
        <v>0</v>
      </c>
      <c r="I5986" t="n">
        <v>0</v>
      </c>
      <c r="J5986" t="n">
        <v>0</v>
      </c>
      <c r="K5986" t="n">
        <v>0</v>
      </c>
      <c r="L5986" t="n">
        <v>0</v>
      </c>
      <c r="M5986" t="n">
        <v>0</v>
      </c>
      <c r="N5986" t="n">
        <v>0</v>
      </c>
      <c r="O5986" t="n">
        <v>0</v>
      </c>
      <c r="P5986" t="n">
        <v>0</v>
      </c>
      <c r="Q5986" t="n">
        <v>0</v>
      </c>
      <c r="R5986" s="2" t="inlineStr"/>
    </row>
    <row r="5987" ht="15" customHeight="1">
      <c r="A5987" t="inlineStr">
        <is>
          <t>A 50177-2025</t>
        </is>
      </c>
      <c r="B5987" s="1" t="n">
        <v>45943.60822916667</v>
      </c>
      <c r="C5987" s="1" t="n">
        <v>46086</v>
      </c>
      <c r="D5987" t="inlineStr">
        <is>
          <t>GÄVLEBORGS LÄN</t>
        </is>
      </c>
      <c r="E5987" t="inlineStr">
        <is>
          <t>GÄVLE</t>
        </is>
      </c>
      <c r="F5987" t="inlineStr">
        <is>
          <t>Bergvik skog väst AB</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49774-2025</t>
        </is>
      </c>
      <c r="B5988" s="1" t="n">
        <v>45940.37777777778</v>
      </c>
      <c r="C5988" s="1" t="n">
        <v>46086</v>
      </c>
      <c r="D5988" t="inlineStr">
        <is>
          <t>GÄVLEBORGS LÄN</t>
        </is>
      </c>
      <c r="E5988" t="inlineStr">
        <is>
          <t>LJUSDAL</t>
        </is>
      </c>
      <c r="G5988" t="n">
        <v>5.7</v>
      </c>
      <c r="H5988" t="n">
        <v>0</v>
      </c>
      <c r="I5988" t="n">
        <v>0</v>
      </c>
      <c r="J5988" t="n">
        <v>0</v>
      </c>
      <c r="K5988" t="n">
        <v>0</v>
      </c>
      <c r="L5988" t="n">
        <v>0</v>
      </c>
      <c r="M5988" t="n">
        <v>0</v>
      </c>
      <c r="N5988" t="n">
        <v>0</v>
      </c>
      <c r="O5988" t="n">
        <v>0</v>
      </c>
      <c r="P5988" t="n">
        <v>0</v>
      </c>
      <c r="Q5988" t="n">
        <v>0</v>
      </c>
      <c r="R5988" s="2" t="inlineStr"/>
    </row>
    <row r="5989" ht="15" customHeight="1">
      <c r="A5989" t="inlineStr">
        <is>
          <t>A 49848-2025</t>
        </is>
      </c>
      <c r="B5989" s="1" t="n">
        <v>45940.48313657408</v>
      </c>
      <c r="C5989" s="1" t="n">
        <v>46086</v>
      </c>
      <c r="D5989" t="inlineStr">
        <is>
          <t>GÄVLEBORGS LÄN</t>
        </is>
      </c>
      <c r="E5989" t="inlineStr">
        <is>
          <t>BOLLNÄS</t>
        </is>
      </c>
      <c r="F5989" t="inlineStr">
        <is>
          <t>Bergvik skog väst AB</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49736-2025</t>
        </is>
      </c>
      <c r="B5990" s="1" t="n">
        <v>45940.2783912037</v>
      </c>
      <c r="C5990" s="1" t="n">
        <v>46086</v>
      </c>
      <c r="D5990" t="inlineStr">
        <is>
          <t>GÄVLEBORGS LÄN</t>
        </is>
      </c>
      <c r="E5990" t="inlineStr">
        <is>
          <t>LJUSDAL</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50007-2025</t>
        </is>
      </c>
      <c r="B5991" s="1" t="n">
        <v>45943.34504629629</v>
      </c>
      <c r="C5991" s="1" t="n">
        <v>46086</v>
      </c>
      <c r="D5991" t="inlineStr">
        <is>
          <t>GÄVLEBORGS LÄN</t>
        </is>
      </c>
      <c r="E5991" t="inlineStr">
        <is>
          <t>SÖDERHAMN</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50049-2025</t>
        </is>
      </c>
      <c r="B5992" s="1" t="n">
        <v>45943.41519675926</v>
      </c>
      <c r="C5992" s="1" t="n">
        <v>46086</v>
      </c>
      <c r="D5992" t="inlineStr">
        <is>
          <t>GÄVLEBORGS LÄN</t>
        </is>
      </c>
      <c r="E5992" t="inlineStr">
        <is>
          <t>GÄVLE</t>
        </is>
      </c>
      <c r="F5992" t="inlineStr">
        <is>
          <t>Kyrkan</t>
        </is>
      </c>
      <c r="G5992" t="n">
        <v>10.3</v>
      </c>
      <c r="H5992" t="n">
        <v>0</v>
      </c>
      <c r="I5992" t="n">
        <v>0</v>
      </c>
      <c r="J5992" t="n">
        <v>0</v>
      </c>
      <c r="K5992" t="n">
        <v>0</v>
      </c>
      <c r="L5992" t="n">
        <v>0</v>
      </c>
      <c r="M5992" t="n">
        <v>0</v>
      </c>
      <c r="N5992" t="n">
        <v>0</v>
      </c>
      <c r="O5992" t="n">
        <v>0</v>
      </c>
      <c r="P5992" t="n">
        <v>0</v>
      </c>
      <c r="Q5992" t="n">
        <v>0</v>
      </c>
      <c r="R5992" s="2" t="inlineStr"/>
    </row>
    <row r="5993" ht="15" customHeight="1">
      <c r="A5993" t="inlineStr">
        <is>
          <t>A 50064-2025</t>
        </is>
      </c>
      <c r="B5993" s="1" t="n">
        <v>45943.45175925926</v>
      </c>
      <c r="C5993" s="1" t="n">
        <v>46086</v>
      </c>
      <c r="D5993" t="inlineStr">
        <is>
          <t>GÄVLEBORGS LÄN</t>
        </is>
      </c>
      <c r="E5993" t="inlineStr">
        <is>
          <t>OVANÅKER</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50218-2025</t>
        </is>
      </c>
      <c r="B5994" s="1" t="n">
        <v>45943.68053240741</v>
      </c>
      <c r="C5994" s="1" t="n">
        <v>46086</v>
      </c>
      <c r="D5994" t="inlineStr">
        <is>
          <t>GÄVLEBORGS LÄN</t>
        </is>
      </c>
      <c r="E5994" t="inlineStr">
        <is>
          <t>BOLLNÄS</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50124-2025</t>
        </is>
      </c>
      <c r="B5995" s="1" t="n">
        <v>45943.55237268518</v>
      </c>
      <c r="C5995" s="1" t="n">
        <v>46086</v>
      </c>
      <c r="D5995" t="inlineStr">
        <is>
          <t>GÄVLEBORGS LÄN</t>
        </is>
      </c>
      <c r="E5995" t="inlineStr">
        <is>
          <t>HUDIKSVALL</t>
        </is>
      </c>
      <c r="G5995" t="n">
        <v>5.6</v>
      </c>
      <c r="H5995" t="n">
        <v>0</v>
      </c>
      <c r="I5995" t="n">
        <v>0</v>
      </c>
      <c r="J5995" t="n">
        <v>0</v>
      </c>
      <c r="K5995" t="n">
        <v>0</v>
      </c>
      <c r="L5995" t="n">
        <v>0</v>
      </c>
      <c r="M5995" t="n">
        <v>0</v>
      </c>
      <c r="N5995" t="n">
        <v>0</v>
      </c>
      <c r="O5995" t="n">
        <v>0</v>
      </c>
      <c r="P5995" t="n">
        <v>0</v>
      </c>
      <c r="Q5995" t="n">
        <v>0</v>
      </c>
      <c r="R5995" s="2" t="inlineStr"/>
    </row>
    <row r="5996" ht="15" customHeight="1">
      <c r="A5996" t="inlineStr">
        <is>
          <t>A 49742-2025</t>
        </is>
      </c>
      <c r="B5996" s="1" t="n">
        <v>45940.33552083333</v>
      </c>
      <c r="C5996" s="1" t="n">
        <v>46086</v>
      </c>
      <c r="D5996" t="inlineStr">
        <is>
          <t>GÄVLEBORGS LÄN</t>
        </is>
      </c>
      <c r="E5996" t="inlineStr">
        <is>
          <t>BOLLNÄS</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50665-2025</t>
        </is>
      </c>
      <c r="B5997" s="1" t="n">
        <v>45945.69444444445</v>
      </c>
      <c r="C5997" s="1" t="n">
        <v>46086</v>
      </c>
      <c r="D5997" t="inlineStr">
        <is>
          <t>GÄVLEBORGS LÄN</t>
        </is>
      </c>
      <c r="E5997" t="inlineStr">
        <is>
          <t>SANDVIKEN</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31822-2025</t>
        </is>
      </c>
      <c r="B5998" s="1" t="n">
        <v>45834</v>
      </c>
      <c r="C5998" s="1" t="n">
        <v>46086</v>
      </c>
      <c r="D5998" t="inlineStr">
        <is>
          <t>GÄVLEBORGS LÄN</t>
        </is>
      </c>
      <c r="E5998" t="inlineStr">
        <is>
          <t>OCKELBO</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56704-2023</t>
        </is>
      </c>
      <c r="B5999" s="1" t="n">
        <v>45244</v>
      </c>
      <c r="C5999" s="1" t="n">
        <v>46086</v>
      </c>
      <c r="D5999" t="inlineStr">
        <is>
          <t>GÄVLEBORGS LÄN</t>
        </is>
      </c>
      <c r="E5999" t="inlineStr">
        <is>
          <t>BOLLNÄS</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50446-2025</t>
        </is>
      </c>
      <c r="B6000" s="1" t="n">
        <v>45945.2675</v>
      </c>
      <c r="C6000" s="1" t="n">
        <v>46086</v>
      </c>
      <c r="D6000" t="inlineStr">
        <is>
          <t>GÄVLEBORGS LÄN</t>
        </is>
      </c>
      <c r="E6000" t="inlineStr">
        <is>
          <t>OVANÅKER</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50320-2025</t>
        </is>
      </c>
      <c r="B6001" s="1" t="n">
        <v>45944.4522337963</v>
      </c>
      <c r="C6001" s="1" t="n">
        <v>46086</v>
      </c>
      <c r="D6001" t="inlineStr">
        <is>
          <t>GÄVLEBORGS LÄN</t>
        </is>
      </c>
      <c r="E6001" t="inlineStr">
        <is>
          <t>HUDIKSVALL</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50328-2025</t>
        </is>
      </c>
      <c r="B6002" s="1" t="n">
        <v>45944.46469907407</v>
      </c>
      <c r="C6002" s="1" t="n">
        <v>46086</v>
      </c>
      <c r="D6002" t="inlineStr">
        <is>
          <t>GÄVLEBORGS LÄN</t>
        </is>
      </c>
      <c r="E6002" t="inlineStr">
        <is>
          <t>NORDANSTIG</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50329-2025</t>
        </is>
      </c>
      <c r="B6003" s="1" t="n">
        <v>45944.4678125</v>
      </c>
      <c r="C6003" s="1" t="n">
        <v>46086</v>
      </c>
      <c r="D6003" t="inlineStr">
        <is>
          <t>GÄVLEBORGS LÄN</t>
        </is>
      </c>
      <c r="E6003" t="inlineStr">
        <is>
          <t>GÄVLE</t>
        </is>
      </c>
      <c r="G6003" t="n">
        <v>9.6</v>
      </c>
      <c r="H6003" t="n">
        <v>0</v>
      </c>
      <c r="I6003" t="n">
        <v>0</v>
      </c>
      <c r="J6003" t="n">
        <v>0</v>
      </c>
      <c r="K6003" t="n">
        <v>0</v>
      </c>
      <c r="L6003" t="n">
        <v>0</v>
      </c>
      <c r="M6003" t="n">
        <v>0</v>
      </c>
      <c r="N6003" t="n">
        <v>0</v>
      </c>
      <c r="O6003" t="n">
        <v>0</v>
      </c>
      <c r="P6003" t="n">
        <v>0</v>
      </c>
      <c r="Q6003" t="n">
        <v>0</v>
      </c>
      <c r="R6003" s="2" t="inlineStr"/>
    </row>
    <row r="6004" ht="15" customHeight="1">
      <c r="A6004" t="inlineStr">
        <is>
          <t>A 50334-2025</t>
        </is>
      </c>
      <c r="B6004" s="1" t="n">
        <v>45944.47216435185</v>
      </c>
      <c r="C6004" s="1" t="n">
        <v>46086</v>
      </c>
      <c r="D6004" t="inlineStr">
        <is>
          <t>GÄVLEBORGS LÄN</t>
        </is>
      </c>
      <c r="E6004" t="inlineStr">
        <is>
          <t>HUDIKSVALL</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12434-2025</t>
        </is>
      </c>
      <c r="B6005" s="1" t="n">
        <v>45730.46855324074</v>
      </c>
      <c r="C6005" s="1" t="n">
        <v>46086</v>
      </c>
      <c r="D6005" t="inlineStr">
        <is>
          <t>GÄVLEBORGS LÄN</t>
        </is>
      </c>
      <c r="E6005" t="inlineStr">
        <is>
          <t>GÄVLE</t>
        </is>
      </c>
      <c r="F6005" t="inlineStr">
        <is>
          <t>Bergvik skog öst AB</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45820-2025</t>
        </is>
      </c>
      <c r="B6006" s="1" t="n">
        <v>45923</v>
      </c>
      <c r="C6006" s="1" t="n">
        <v>46086</v>
      </c>
      <c r="D6006" t="inlineStr">
        <is>
          <t>GÄVLEBORGS LÄN</t>
        </is>
      </c>
      <c r="E6006" t="inlineStr">
        <is>
          <t>BOLLNÄS</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50345-2025</t>
        </is>
      </c>
      <c r="B6007" s="1" t="n">
        <v>45944.54185185185</v>
      </c>
      <c r="C6007" s="1" t="n">
        <v>46086</v>
      </c>
      <c r="D6007" t="inlineStr">
        <is>
          <t>GÄVLEBORGS LÄN</t>
        </is>
      </c>
      <c r="E6007" t="inlineStr">
        <is>
          <t>GÄVLE</t>
        </is>
      </c>
      <c r="F6007" t="inlineStr">
        <is>
          <t>Bergvik skog väst AB</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50633-2025</t>
        </is>
      </c>
      <c r="B6008" s="1" t="n">
        <v>45945.6490162037</v>
      </c>
      <c r="C6008" s="1" t="n">
        <v>46086</v>
      </c>
      <c r="D6008" t="inlineStr">
        <is>
          <t>GÄVLEBORGS LÄN</t>
        </is>
      </c>
      <c r="E6008" t="inlineStr">
        <is>
          <t>SÖDERHAMN</t>
        </is>
      </c>
      <c r="G6008" t="n">
        <v>4.7</v>
      </c>
      <c r="H6008" t="n">
        <v>0</v>
      </c>
      <c r="I6008" t="n">
        <v>0</v>
      </c>
      <c r="J6008" t="n">
        <v>0</v>
      </c>
      <c r="K6008" t="n">
        <v>0</v>
      </c>
      <c r="L6008" t="n">
        <v>0</v>
      </c>
      <c r="M6008" t="n">
        <v>0</v>
      </c>
      <c r="N6008" t="n">
        <v>0</v>
      </c>
      <c r="O6008" t="n">
        <v>0</v>
      </c>
      <c r="P6008" t="n">
        <v>0</v>
      </c>
      <c r="Q6008" t="n">
        <v>0</v>
      </c>
      <c r="R6008" s="2" t="inlineStr"/>
    </row>
    <row r="6009" ht="15" customHeight="1">
      <c r="A6009" t="inlineStr">
        <is>
          <t>A 50637-2025</t>
        </is>
      </c>
      <c r="B6009" s="1" t="n">
        <v>45945.65292824074</v>
      </c>
      <c r="C6009" s="1" t="n">
        <v>46086</v>
      </c>
      <c r="D6009" t="inlineStr">
        <is>
          <t>GÄVLEBORGS LÄN</t>
        </is>
      </c>
      <c r="E6009" t="inlineStr">
        <is>
          <t>HUDIKSVALL</t>
        </is>
      </c>
      <c r="F6009" t="inlineStr">
        <is>
          <t>Holmen skog AB</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50318-2025</t>
        </is>
      </c>
      <c r="B6010" s="1" t="n">
        <v>45944.44934027778</v>
      </c>
      <c r="C6010" s="1" t="n">
        <v>46086</v>
      </c>
      <c r="D6010" t="inlineStr">
        <is>
          <t>GÄVLEBORGS LÄN</t>
        </is>
      </c>
      <c r="E6010" t="inlineStr">
        <is>
          <t>HUDIKSVALL</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50656-2025</t>
        </is>
      </c>
      <c r="B6011" s="1" t="n">
        <v>45945.68559027778</v>
      </c>
      <c r="C6011" s="1" t="n">
        <v>46086</v>
      </c>
      <c r="D6011" t="inlineStr">
        <is>
          <t>GÄVLEBORGS LÄN</t>
        </is>
      </c>
      <c r="E6011" t="inlineStr">
        <is>
          <t>LJUSDAL</t>
        </is>
      </c>
      <c r="F6011" t="inlineStr">
        <is>
          <t>Sveaskog</t>
        </is>
      </c>
      <c r="G6011" t="n">
        <v>7.9</v>
      </c>
      <c r="H6011" t="n">
        <v>0</v>
      </c>
      <c r="I6011" t="n">
        <v>0</v>
      </c>
      <c r="J6011" t="n">
        <v>0</v>
      </c>
      <c r="K6011" t="n">
        <v>0</v>
      </c>
      <c r="L6011" t="n">
        <v>0</v>
      </c>
      <c r="M6011" t="n">
        <v>0</v>
      </c>
      <c r="N6011" t="n">
        <v>0</v>
      </c>
      <c r="O6011" t="n">
        <v>0</v>
      </c>
      <c r="P6011" t="n">
        <v>0</v>
      </c>
      <c r="Q6011" t="n">
        <v>0</v>
      </c>
      <c r="R6011" s="2" t="inlineStr"/>
    </row>
    <row r="6012" ht="15" customHeight="1">
      <c r="A6012" t="inlineStr">
        <is>
          <t>A 46956-2025</t>
        </is>
      </c>
      <c r="B6012" s="1" t="n">
        <v>45929.48061342593</v>
      </c>
      <c r="C6012" s="1" t="n">
        <v>46086</v>
      </c>
      <c r="D6012" t="inlineStr">
        <is>
          <t>GÄVLEBORGS LÄN</t>
        </is>
      </c>
      <c r="E6012" t="inlineStr">
        <is>
          <t>GÄVLE</t>
        </is>
      </c>
      <c r="G6012" t="n">
        <v>5.8</v>
      </c>
      <c r="H6012" t="n">
        <v>0</v>
      </c>
      <c r="I6012" t="n">
        <v>0</v>
      </c>
      <c r="J6012" t="n">
        <v>0</v>
      </c>
      <c r="K6012" t="n">
        <v>0</v>
      </c>
      <c r="L6012" t="n">
        <v>0</v>
      </c>
      <c r="M6012" t="n">
        <v>0</v>
      </c>
      <c r="N6012" t="n">
        <v>0</v>
      </c>
      <c r="O6012" t="n">
        <v>0</v>
      </c>
      <c r="P6012" t="n">
        <v>0</v>
      </c>
      <c r="Q6012" t="n">
        <v>0</v>
      </c>
      <c r="R6012" s="2" t="inlineStr"/>
    </row>
    <row r="6013" ht="15" customHeight="1">
      <c r="A6013" t="inlineStr">
        <is>
          <t>A 50549-2025</t>
        </is>
      </c>
      <c r="B6013" s="1" t="n">
        <v>45945.51229166667</v>
      </c>
      <c r="C6013" s="1" t="n">
        <v>46086</v>
      </c>
      <c r="D6013" t="inlineStr">
        <is>
          <t>GÄVLEBORGS LÄN</t>
        </is>
      </c>
      <c r="E6013" t="inlineStr">
        <is>
          <t>LJUSDAL</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50403-2025</t>
        </is>
      </c>
      <c r="B6014" s="1" t="n">
        <v>45944.63626157407</v>
      </c>
      <c r="C6014" s="1" t="n">
        <v>46086</v>
      </c>
      <c r="D6014" t="inlineStr">
        <is>
          <t>GÄVLEBORGS LÄN</t>
        </is>
      </c>
      <c r="E6014" t="inlineStr">
        <is>
          <t>LJUSDAL</t>
        </is>
      </c>
      <c r="F6014" t="inlineStr">
        <is>
          <t>SCA</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27992-2025</t>
        </is>
      </c>
      <c r="B6015" s="1" t="n">
        <v>45817.58949074074</v>
      </c>
      <c r="C6015" s="1" t="n">
        <v>46086</v>
      </c>
      <c r="D6015" t="inlineStr">
        <is>
          <t>GÄVLEBORGS LÄN</t>
        </is>
      </c>
      <c r="E6015" t="inlineStr">
        <is>
          <t>LJUSDAL</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50642-2025</t>
        </is>
      </c>
      <c r="B6016" s="1" t="n">
        <v>45945.65640046296</v>
      </c>
      <c r="C6016" s="1" t="n">
        <v>46086</v>
      </c>
      <c r="D6016" t="inlineStr">
        <is>
          <t>GÄVLEBORGS LÄN</t>
        </is>
      </c>
      <c r="E6016" t="inlineStr">
        <is>
          <t>SÖDERHAMN</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5579-2022</t>
        </is>
      </c>
      <c r="B6017" s="1" t="n">
        <v>44595</v>
      </c>
      <c r="C6017" s="1" t="n">
        <v>46086</v>
      </c>
      <c r="D6017" t="inlineStr">
        <is>
          <t>GÄVLEBORGS LÄN</t>
        </is>
      </c>
      <c r="E6017" t="inlineStr">
        <is>
          <t>BOLLNÄS</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50351-2025</t>
        </is>
      </c>
      <c r="B6018" s="1" t="n">
        <v>45944.55152777778</v>
      </c>
      <c r="C6018" s="1" t="n">
        <v>46086</v>
      </c>
      <c r="D6018" t="inlineStr">
        <is>
          <t>GÄVLEBORGS LÄN</t>
        </is>
      </c>
      <c r="E6018" t="inlineStr">
        <is>
          <t>HUDIKSVALL</t>
        </is>
      </c>
      <c r="G6018" t="n">
        <v>6</v>
      </c>
      <c r="H6018" t="n">
        <v>0</v>
      </c>
      <c r="I6018" t="n">
        <v>0</v>
      </c>
      <c r="J6018" t="n">
        <v>0</v>
      </c>
      <c r="K6018" t="n">
        <v>0</v>
      </c>
      <c r="L6018" t="n">
        <v>0</v>
      </c>
      <c r="M6018" t="n">
        <v>0</v>
      </c>
      <c r="N6018" t="n">
        <v>0</v>
      </c>
      <c r="O6018" t="n">
        <v>0</v>
      </c>
      <c r="P6018" t="n">
        <v>0</v>
      </c>
      <c r="Q6018" t="n">
        <v>0</v>
      </c>
      <c r="R6018" s="2" t="inlineStr"/>
    </row>
    <row r="6019" ht="15" customHeight="1">
      <c r="A6019" t="inlineStr">
        <is>
          <t>A 50353-2025</t>
        </is>
      </c>
      <c r="B6019" s="1" t="n">
        <v>45944.55449074074</v>
      </c>
      <c r="C6019" s="1" t="n">
        <v>46086</v>
      </c>
      <c r="D6019" t="inlineStr">
        <is>
          <t>GÄVLEBORGS LÄN</t>
        </is>
      </c>
      <c r="E6019" t="inlineStr">
        <is>
          <t>HUDIKSVALL</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50356-2025</t>
        </is>
      </c>
      <c r="B6020" s="1" t="n">
        <v>45944.55662037037</v>
      </c>
      <c r="C6020" s="1" t="n">
        <v>46086</v>
      </c>
      <c r="D6020" t="inlineStr">
        <is>
          <t>GÄVLEBORGS LÄN</t>
        </is>
      </c>
      <c r="E6020" t="inlineStr">
        <is>
          <t>GÄVLE</t>
        </is>
      </c>
      <c r="F6020" t="inlineStr">
        <is>
          <t>Bergvik skog väst AB</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50331-2025</t>
        </is>
      </c>
      <c r="B6021" s="1" t="n">
        <v>45944.46884259259</v>
      </c>
      <c r="C6021" s="1" t="n">
        <v>46086</v>
      </c>
      <c r="D6021" t="inlineStr">
        <is>
          <t>GÄVLEBORGS LÄN</t>
        </is>
      </c>
      <c r="E6021" t="inlineStr">
        <is>
          <t>HUDIKSVALL</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38503-2025</t>
        </is>
      </c>
      <c r="B6022" s="1" t="n">
        <v>45884.38178240741</v>
      </c>
      <c r="C6022" s="1" t="n">
        <v>46086</v>
      </c>
      <c r="D6022" t="inlineStr">
        <is>
          <t>GÄVLEBORGS LÄN</t>
        </is>
      </c>
      <c r="E6022" t="inlineStr">
        <is>
          <t>GÄVLE</t>
        </is>
      </c>
      <c r="F6022" t="inlineStr">
        <is>
          <t>Bergvik skog öst AB</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38520-2025</t>
        </is>
      </c>
      <c r="B6023" s="1" t="n">
        <v>45884.39984953704</v>
      </c>
      <c r="C6023" s="1" t="n">
        <v>46086</v>
      </c>
      <c r="D6023" t="inlineStr">
        <is>
          <t>GÄVLEBORGS LÄN</t>
        </is>
      </c>
      <c r="E6023" t="inlineStr">
        <is>
          <t>GÄVLE</t>
        </is>
      </c>
      <c r="F6023" t="inlineStr">
        <is>
          <t>Bergvik skog öst AB</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49915-2025</t>
        </is>
      </c>
      <c r="B6024" s="1" t="n">
        <v>45940</v>
      </c>
      <c r="C6024" s="1" t="n">
        <v>46086</v>
      </c>
      <c r="D6024" t="inlineStr">
        <is>
          <t>GÄVLEBORGS LÄN</t>
        </is>
      </c>
      <c r="E6024" t="inlineStr">
        <is>
          <t>BOLLNÄS</t>
        </is>
      </c>
      <c r="G6024" t="n">
        <v>4.7</v>
      </c>
      <c r="H6024" t="n">
        <v>0</v>
      </c>
      <c r="I6024" t="n">
        <v>0</v>
      </c>
      <c r="J6024" t="n">
        <v>0</v>
      </c>
      <c r="K6024" t="n">
        <v>0</v>
      </c>
      <c r="L6024" t="n">
        <v>0</v>
      </c>
      <c r="M6024" t="n">
        <v>0</v>
      </c>
      <c r="N6024" t="n">
        <v>0</v>
      </c>
      <c r="O6024" t="n">
        <v>0</v>
      </c>
      <c r="P6024" t="n">
        <v>0</v>
      </c>
      <c r="Q6024" t="n">
        <v>0</v>
      </c>
      <c r="R6024" s="2" t="inlineStr"/>
    </row>
    <row r="6025" ht="15" customHeight="1">
      <c r="A6025" t="inlineStr">
        <is>
          <t>A 50422-2025</t>
        </is>
      </c>
      <c r="B6025" s="1" t="n">
        <v>45944.66112268518</v>
      </c>
      <c r="C6025" s="1" t="n">
        <v>46086</v>
      </c>
      <c r="D6025" t="inlineStr">
        <is>
          <t>GÄVLEBORGS LÄN</t>
        </is>
      </c>
      <c r="E6025" t="inlineStr">
        <is>
          <t>SANDVIKEN</t>
        </is>
      </c>
      <c r="F6025" t="inlineStr">
        <is>
          <t>Kommuner</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50537-2025</t>
        </is>
      </c>
      <c r="B6026" s="1" t="n">
        <v>45945.48893518518</v>
      </c>
      <c r="C6026" s="1" t="n">
        <v>46086</v>
      </c>
      <c r="D6026" t="inlineStr">
        <is>
          <t>GÄVLEBORGS LÄN</t>
        </is>
      </c>
      <c r="E6026" t="inlineStr">
        <is>
          <t>GÄVLE</t>
        </is>
      </c>
      <c r="G6026" t="n">
        <v>4.4</v>
      </c>
      <c r="H6026" t="n">
        <v>0</v>
      </c>
      <c r="I6026" t="n">
        <v>0</v>
      </c>
      <c r="J6026" t="n">
        <v>0</v>
      </c>
      <c r="K6026" t="n">
        <v>0</v>
      </c>
      <c r="L6026" t="n">
        <v>0</v>
      </c>
      <c r="M6026" t="n">
        <v>0</v>
      </c>
      <c r="N6026" t="n">
        <v>0</v>
      </c>
      <c r="O6026" t="n">
        <v>0</v>
      </c>
      <c r="P6026" t="n">
        <v>0</v>
      </c>
      <c r="Q6026" t="n">
        <v>0</v>
      </c>
      <c r="R6026" s="2" t="inlineStr"/>
    </row>
    <row r="6027" ht="15" customHeight="1">
      <c r="A6027" t="inlineStr">
        <is>
          <t>A 50264-2025</t>
        </is>
      </c>
      <c r="B6027" s="1" t="n">
        <v>45944.34552083333</v>
      </c>
      <c r="C6027" s="1" t="n">
        <v>46086</v>
      </c>
      <c r="D6027" t="inlineStr">
        <is>
          <t>GÄVLEBORGS LÄN</t>
        </is>
      </c>
      <c r="E6027" t="inlineStr">
        <is>
          <t>NORDANSTIG</t>
        </is>
      </c>
      <c r="G6027" t="n">
        <v>5.4</v>
      </c>
      <c r="H6027" t="n">
        <v>0</v>
      </c>
      <c r="I6027" t="n">
        <v>0</v>
      </c>
      <c r="J6027" t="n">
        <v>0</v>
      </c>
      <c r="K6027" t="n">
        <v>0</v>
      </c>
      <c r="L6027" t="n">
        <v>0</v>
      </c>
      <c r="M6027" t="n">
        <v>0</v>
      </c>
      <c r="N6027" t="n">
        <v>0</v>
      </c>
      <c r="O6027" t="n">
        <v>0</v>
      </c>
      <c r="P6027" t="n">
        <v>0</v>
      </c>
      <c r="Q6027" t="n">
        <v>0</v>
      </c>
      <c r="R6027" s="2" t="inlineStr"/>
    </row>
    <row r="6028" ht="15" customHeight="1">
      <c r="A6028" t="inlineStr">
        <is>
          <t>A 47395-2025</t>
        </is>
      </c>
      <c r="B6028" s="1" t="n">
        <v>45930.60534722222</v>
      </c>
      <c r="C6028" s="1" t="n">
        <v>46086</v>
      </c>
      <c r="D6028" t="inlineStr">
        <is>
          <t>GÄVLEBORGS LÄN</t>
        </is>
      </c>
      <c r="E6028" t="inlineStr">
        <is>
          <t>SANDVIKEN</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47398-2025</t>
        </is>
      </c>
      <c r="B6029" s="1" t="n">
        <v>45930.60773148148</v>
      </c>
      <c r="C6029" s="1" t="n">
        <v>46086</v>
      </c>
      <c r="D6029" t="inlineStr">
        <is>
          <t>GÄVLEBORGS LÄN</t>
        </is>
      </c>
      <c r="E6029" t="inlineStr">
        <is>
          <t>SANDVIKEN</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50393-2025</t>
        </is>
      </c>
      <c r="B6030" s="1" t="n">
        <v>45944.6187037037</v>
      </c>
      <c r="C6030" s="1" t="n">
        <v>46086</v>
      </c>
      <c r="D6030" t="inlineStr">
        <is>
          <t>GÄVLEBORGS LÄN</t>
        </is>
      </c>
      <c r="E6030" t="inlineStr">
        <is>
          <t>HUDIKSVALL</t>
        </is>
      </c>
      <c r="G6030" t="n">
        <v>4.1</v>
      </c>
      <c r="H6030" t="n">
        <v>0</v>
      </c>
      <c r="I6030" t="n">
        <v>0</v>
      </c>
      <c r="J6030" t="n">
        <v>0</v>
      </c>
      <c r="K6030" t="n">
        <v>0</v>
      </c>
      <c r="L6030" t="n">
        <v>0</v>
      </c>
      <c r="M6030" t="n">
        <v>0</v>
      </c>
      <c r="N6030" t="n">
        <v>0</v>
      </c>
      <c r="O6030" t="n">
        <v>0</v>
      </c>
      <c r="P6030" t="n">
        <v>0</v>
      </c>
      <c r="Q6030" t="n">
        <v>0</v>
      </c>
      <c r="R6030" s="2" t="inlineStr"/>
    </row>
    <row r="6031" ht="15" customHeight="1">
      <c r="A6031" t="inlineStr">
        <is>
          <t>A 50552-2025</t>
        </is>
      </c>
      <c r="B6031" s="1" t="n">
        <v>45945.52273148148</v>
      </c>
      <c r="C6031" s="1" t="n">
        <v>46086</v>
      </c>
      <c r="D6031" t="inlineStr">
        <is>
          <t>GÄVLEBORGS LÄN</t>
        </is>
      </c>
      <c r="E6031" t="inlineStr">
        <is>
          <t>SANDVIKEN</t>
        </is>
      </c>
      <c r="G6031" t="n">
        <v>5</v>
      </c>
      <c r="H6031" t="n">
        <v>0</v>
      </c>
      <c r="I6031" t="n">
        <v>0</v>
      </c>
      <c r="J6031" t="n">
        <v>0</v>
      </c>
      <c r="K6031" t="n">
        <v>0</v>
      </c>
      <c r="L6031" t="n">
        <v>0</v>
      </c>
      <c r="M6031" t="n">
        <v>0</v>
      </c>
      <c r="N6031" t="n">
        <v>0</v>
      </c>
      <c r="O6031" t="n">
        <v>0</v>
      </c>
      <c r="P6031" t="n">
        <v>0</v>
      </c>
      <c r="Q6031" t="n">
        <v>0</v>
      </c>
      <c r="R6031" s="2" t="inlineStr"/>
    </row>
    <row r="6032" ht="15" customHeight="1">
      <c r="A6032" t="inlineStr">
        <is>
          <t>A 50310-2025</t>
        </is>
      </c>
      <c r="B6032" s="1" t="n">
        <v>45944.43752314815</v>
      </c>
      <c r="C6032" s="1" t="n">
        <v>46086</v>
      </c>
      <c r="D6032" t="inlineStr">
        <is>
          <t>GÄVLEBORGS LÄN</t>
        </is>
      </c>
      <c r="E6032" t="inlineStr">
        <is>
          <t>LJUSDAL</t>
        </is>
      </c>
      <c r="F6032" t="inlineStr">
        <is>
          <t>Bergvik skog väst AB</t>
        </is>
      </c>
      <c r="G6032" t="n">
        <v>7.6</v>
      </c>
      <c r="H6032" t="n">
        <v>0</v>
      </c>
      <c r="I6032" t="n">
        <v>0</v>
      </c>
      <c r="J6032" t="n">
        <v>0</v>
      </c>
      <c r="K6032" t="n">
        <v>0</v>
      </c>
      <c r="L6032" t="n">
        <v>0</v>
      </c>
      <c r="M6032" t="n">
        <v>0</v>
      </c>
      <c r="N6032" t="n">
        <v>0</v>
      </c>
      <c r="O6032" t="n">
        <v>0</v>
      </c>
      <c r="P6032" t="n">
        <v>0</v>
      </c>
      <c r="Q6032" t="n">
        <v>0</v>
      </c>
      <c r="R6032" s="2" t="inlineStr"/>
    </row>
    <row r="6033" ht="15" customHeight="1">
      <c r="A6033" t="inlineStr">
        <is>
          <t>A 38033-2025</t>
        </is>
      </c>
      <c r="B6033" s="1" t="n">
        <v>45881</v>
      </c>
      <c r="C6033" s="1" t="n">
        <v>46086</v>
      </c>
      <c r="D6033" t="inlineStr">
        <is>
          <t>GÄVLEBORGS LÄN</t>
        </is>
      </c>
      <c r="E6033" t="inlineStr">
        <is>
          <t>LJUSDAL</t>
        </is>
      </c>
      <c r="F6033" t="inlineStr">
        <is>
          <t>Bergvik skog väst AB</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28005-2025</t>
        </is>
      </c>
      <c r="B6034" s="1" t="n">
        <v>45817.59769675926</v>
      </c>
      <c r="C6034" s="1" t="n">
        <v>46086</v>
      </c>
      <c r="D6034" t="inlineStr">
        <is>
          <t>GÄVLEBORGS LÄN</t>
        </is>
      </c>
      <c r="E6034" t="inlineStr">
        <is>
          <t>GÄVLE</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50246-2025</t>
        </is>
      </c>
      <c r="B6035" s="1" t="n">
        <v>45944.30420138889</v>
      </c>
      <c r="C6035" s="1" t="n">
        <v>46086</v>
      </c>
      <c r="D6035" t="inlineStr">
        <is>
          <t>GÄVLEBORGS LÄN</t>
        </is>
      </c>
      <c r="E6035" t="inlineStr">
        <is>
          <t>SÖDERHAMN</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50313-2025</t>
        </is>
      </c>
      <c r="B6036" s="1" t="n">
        <v>45944.44362268518</v>
      </c>
      <c r="C6036" s="1" t="n">
        <v>46086</v>
      </c>
      <c r="D6036" t="inlineStr">
        <is>
          <t>GÄVLEBORGS LÄN</t>
        </is>
      </c>
      <c r="E6036" t="inlineStr">
        <is>
          <t>HUDIKSVALL</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50321-2025</t>
        </is>
      </c>
      <c r="B6037" s="1" t="n">
        <v>45944.45703703703</v>
      </c>
      <c r="C6037" s="1" t="n">
        <v>46086</v>
      </c>
      <c r="D6037" t="inlineStr">
        <is>
          <t>GÄVLEBORGS LÄN</t>
        </is>
      </c>
      <c r="E6037" t="inlineStr">
        <is>
          <t>HUDIKSVALL</t>
        </is>
      </c>
      <c r="G6037" t="n">
        <v>7.9</v>
      </c>
      <c r="H6037" t="n">
        <v>0</v>
      </c>
      <c r="I6037" t="n">
        <v>0</v>
      </c>
      <c r="J6037" t="n">
        <v>0</v>
      </c>
      <c r="K6037" t="n">
        <v>0</v>
      </c>
      <c r="L6037" t="n">
        <v>0</v>
      </c>
      <c r="M6037" t="n">
        <v>0</v>
      </c>
      <c r="N6037" t="n">
        <v>0</v>
      </c>
      <c r="O6037" t="n">
        <v>0</v>
      </c>
      <c r="P6037" t="n">
        <v>0</v>
      </c>
      <c r="Q6037" t="n">
        <v>0</v>
      </c>
      <c r="R6037" s="2" t="inlineStr"/>
    </row>
    <row r="6038" ht="15" customHeight="1">
      <c r="A6038" t="inlineStr">
        <is>
          <t>A 50325-2025</t>
        </is>
      </c>
      <c r="B6038" s="1" t="n">
        <v>45944</v>
      </c>
      <c r="C6038" s="1" t="n">
        <v>46086</v>
      </c>
      <c r="D6038" t="inlineStr">
        <is>
          <t>GÄVLEBORGS LÄN</t>
        </is>
      </c>
      <c r="E6038" t="inlineStr">
        <is>
          <t>HUDIKSVALL</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47737-2025</t>
        </is>
      </c>
      <c r="B6039" s="1" t="n">
        <v>45931.63833333334</v>
      </c>
      <c r="C6039" s="1" t="n">
        <v>46086</v>
      </c>
      <c r="D6039" t="inlineStr">
        <is>
          <t>GÄVLEBORGS LÄN</t>
        </is>
      </c>
      <c r="E6039" t="inlineStr">
        <is>
          <t>OVANÅKER</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63036-2023</t>
        </is>
      </c>
      <c r="B6040" s="1" t="n">
        <v>45272</v>
      </c>
      <c r="C6040" s="1" t="n">
        <v>46086</v>
      </c>
      <c r="D6040" t="inlineStr">
        <is>
          <t>GÄVLEBORGS LÄN</t>
        </is>
      </c>
      <c r="E6040" t="inlineStr">
        <is>
          <t>GÄVLE</t>
        </is>
      </c>
      <c r="G6040" t="n">
        <v>12.7</v>
      </c>
      <c r="H6040" t="n">
        <v>0</v>
      </c>
      <c r="I6040" t="n">
        <v>0</v>
      </c>
      <c r="J6040" t="n">
        <v>0</v>
      </c>
      <c r="K6040" t="n">
        <v>0</v>
      </c>
      <c r="L6040" t="n">
        <v>0</v>
      </c>
      <c r="M6040" t="n">
        <v>0</v>
      </c>
      <c r="N6040" t="n">
        <v>0</v>
      </c>
      <c r="O6040" t="n">
        <v>0</v>
      </c>
      <c r="P6040" t="n">
        <v>0</v>
      </c>
      <c r="Q6040" t="n">
        <v>0</v>
      </c>
      <c r="R6040" s="2" t="inlineStr"/>
    </row>
    <row r="6041" ht="15" customHeight="1">
      <c r="A6041" t="inlineStr">
        <is>
          <t>A 55451-2024</t>
        </is>
      </c>
      <c r="B6041" s="1" t="n">
        <v>45622</v>
      </c>
      <c r="C6041" s="1" t="n">
        <v>46086</v>
      </c>
      <c r="D6041" t="inlineStr">
        <is>
          <t>GÄVLEBORGS LÄN</t>
        </is>
      </c>
      <c r="E6041" t="inlineStr">
        <is>
          <t>LJUSDAL</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50821-2025</t>
        </is>
      </c>
      <c r="B6042" s="1" t="n">
        <v>45946.53564814815</v>
      </c>
      <c r="C6042" s="1" t="n">
        <v>46086</v>
      </c>
      <c r="D6042" t="inlineStr">
        <is>
          <t>GÄVLEBORGS LÄN</t>
        </is>
      </c>
      <c r="E6042" t="inlineStr">
        <is>
          <t>HUDIKSVALL</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50873-2025</t>
        </is>
      </c>
      <c r="B6043" s="1" t="n">
        <v>45946.61101851852</v>
      </c>
      <c r="C6043" s="1" t="n">
        <v>46086</v>
      </c>
      <c r="D6043" t="inlineStr">
        <is>
          <t>GÄVLEBORGS LÄN</t>
        </is>
      </c>
      <c r="E6043" t="inlineStr">
        <is>
          <t>HUDIKSVALL</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51132-2025</t>
        </is>
      </c>
      <c r="B6044" s="1" t="n">
        <v>45947.55429398148</v>
      </c>
      <c r="C6044" s="1" t="n">
        <v>46086</v>
      </c>
      <c r="D6044" t="inlineStr">
        <is>
          <t>GÄVLEBORGS LÄN</t>
        </is>
      </c>
      <c r="E6044" t="inlineStr">
        <is>
          <t>SÖDERHAMN</t>
        </is>
      </c>
      <c r="G6044" t="n">
        <v>14.8</v>
      </c>
      <c r="H6044" t="n">
        <v>0</v>
      </c>
      <c r="I6044" t="n">
        <v>0</v>
      </c>
      <c r="J6044" t="n">
        <v>0</v>
      </c>
      <c r="K6044" t="n">
        <v>0</v>
      </c>
      <c r="L6044" t="n">
        <v>0</v>
      </c>
      <c r="M6044" t="n">
        <v>0</v>
      </c>
      <c r="N6044" t="n">
        <v>0</v>
      </c>
      <c r="O6044" t="n">
        <v>0</v>
      </c>
      <c r="P6044" t="n">
        <v>0</v>
      </c>
      <c r="Q6044" t="n">
        <v>0</v>
      </c>
      <c r="R6044" s="2" t="inlineStr"/>
    </row>
    <row r="6045" ht="15" customHeight="1">
      <c r="A6045" t="inlineStr">
        <is>
          <t>A 51225-2025</t>
        </is>
      </c>
      <c r="B6045" s="1" t="n">
        <v>45947.65599537037</v>
      </c>
      <c r="C6045" s="1" t="n">
        <v>46086</v>
      </c>
      <c r="D6045" t="inlineStr">
        <is>
          <t>GÄVLEBORGS LÄN</t>
        </is>
      </c>
      <c r="E6045" t="inlineStr">
        <is>
          <t>HOFORS</t>
        </is>
      </c>
      <c r="F6045" t="inlineStr">
        <is>
          <t>Sveaskog</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51214-2025</t>
        </is>
      </c>
      <c r="B6046" s="1" t="n">
        <v>45947.64292824074</v>
      </c>
      <c r="C6046" s="1" t="n">
        <v>46086</v>
      </c>
      <c r="D6046" t="inlineStr">
        <is>
          <t>GÄVLEBORGS LÄN</t>
        </is>
      </c>
      <c r="E6046" t="inlineStr">
        <is>
          <t>GÄVLE</t>
        </is>
      </c>
      <c r="F6046" t="inlineStr">
        <is>
          <t>Bergvik skog öst AB</t>
        </is>
      </c>
      <c r="G6046" t="n">
        <v>7</v>
      </c>
      <c r="H6046" t="n">
        <v>0</v>
      </c>
      <c r="I6046" t="n">
        <v>0</v>
      </c>
      <c r="J6046" t="n">
        <v>0</v>
      </c>
      <c r="K6046" t="n">
        <v>0</v>
      </c>
      <c r="L6046" t="n">
        <v>0</v>
      </c>
      <c r="M6046" t="n">
        <v>0</v>
      </c>
      <c r="N6046" t="n">
        <v>0</v>
      </c>
      <c r="O6046" t="n">
        <v>0</v>
      </c>
      <c r="P6046" t="n">
        <v>0</v>
      </c>
      <c r="Q6046" t="n">
        <v>0</v>
      </c>
      <c r="R6046" s="2" t="inlineStr"/>
    </row>
    <row r="6047" ht="15" customHeight="1">
      <c r="A6047" t="inlineStr">
        <is>
          <t>A 50818-2025</t>
        </is>
      </c>
      <c r="B6047" s="1" t="n">
        <v>45946.53197916667</v>
      </c>
      <c r="C6047" s="1" t="n">
        <v>46086</v>
      </c>
      <c r="D6047" t="inlineStr">
        <is>
          <t>GÄVLEBORGS LÄN</t>
        </is>
      </c>
      <c r="E6047" t="inlineStr">
        <is>
          <t>NORDANSTIG</t>
        </is>
      </c>
      <c r="G6047" t="n">
        <v>4.8</v>
      </c>
      <c r="H6047" t="n">
        <v>0</v>
      </c>
      <c r="I6047" t="n">
        <v>0</v>
      </c>
      <c r="J6047" t="n">
        <v>0</v>
      </c>
      <c r="K6047" t="n">
        <v>0</v>
      </c>
      <c r="L6047" t="n">
        <v>0</v>
      </c>
      <c r="M6047" t="n">
        <v>0</v>
      </c>
      <c r="N6047" t="n">
        <v>0</v>
      </c>
      <c r="O6047" t="n">
        <v>0</v>
      </c>
      <c r="P6047" t="n">
        <v>0</v>
      </c>
      <c r="Q6047" t="n">
        <v>0</v>
      </c>
      <c r="R6047" s="2" t="inlineStr"/>
    </row>
    <row r="6048" ht="15" customHeight="1">
      <c r="A6048" t="inlineStr">
        <is>
          <t>A 50851-2025</t>
        </is>
      </c>
      <c r="B6048" s="1" t="n">
        <v>45946</v>
      </c>
      <c r="C6048" s="1" t="n">
        <v>46086</v>
      </c>
      <c r="D6048" t="inlineStr">
        <is>
          <t>GÄVLEBORGS LÄN</t>
        </is>
      </c>
      <c r="E6048" t="inlineStr">
        <is>
          <t>SANDVIKEN</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51153-2025</t>
        </is>
      </c>
      <c r="B6049" s="1" t="n">
        <v>45947.5749074074</v>
      </c>
      <c r="C6049" s="1" t="n">
        <v>46086</v>
      </c>
      <c r="D6049" t="inlineStr">
        <is>
          <t>GÄVLEBORGS LÄN</t>
        </is>
      </c>
      <c r="E6049" t="inlineStr">
        <is>
          <t>SÖDERHAMN</t>
        </is>
      </c>
      <c r="G6049" t="n">
        <v>7.9</v>
      </c>
      <c r="H6049" t="n">
        <v>0</v>
      </c>
      <c r="I6049" t="n">
        <v>0</v>
      </c>
      <c r="J6049" t="n">
        <v>0</v>
      </c>
      <c r="K6049" t="n">
        <v>0</v>
      </c>
      <c r="L6049" t="n">
        <v>0</v>
      </c>
      <c r="M6049" t="n">
        <v>0</v>
      </c>
      <c r="N6049" t="n">
        <v>0</v>
      </c>
      <c r="O6049" t="n">
        <v>0</v>
      </c>
      <c r="P6049" t="n">
        <v>0</v>
      </c>
      <c r="Q6049" t="n">
        <v>0</v>
      </c>
      <c r="R6049" s="2" t="inlineStr"/>
    </row>
    <row r="6050" ht="15" customHeight="1">
      <c r="A6050" t="inlineStr">
        <is>
          <t>A 51101-2025</t>
        </is>
      </c>
      <c r="B6050" s="1" t="n">
        <v>45947.4889699074</v>
      </c>
      <c r="C6050" s="1" t="n">
        <v>46086</v>
      </c>
      <c r="D6050" t="inlineStr">
        <is>
          <t>GÄVLEBORGS LÄN</t>
        </is>
      </c>
      <c r="E6050" t="inlineStr">
        <is>
          <t>NORDANSTIG</t>
        </is>
      </c>
      <c r="F6050" t="inlineStr">
        <is>
          <t>Holmen skog AB</t>
        </is>
      </c>
      <c r="G6050" t="n">
        <v>6.1</v>
      </c>
      <c r="H6050" t="n">
        <v>0</v>
      </c>
      <c r="I6050" t="n">
        <v>0</v>
      </c>
      <c r="J6050" t="n">
        <v>0</v>
      </c>
      <c r="K6050" t="n">
        <v>0</v>
      </c>
      <c r="L6050" t="n">
        <v>0</v>
      </c>
      <c r="M6050" t="n">
        <v>0</v>
      </c>
      <c r="N6050" t="n">
        <v>0</v>
      </c>
      <c r="O6050" t="n">
        <v>0</v>
      </c>
      <c r="P6050" t="n">
        <v>0</v>
      </c>
      <c r="Q6050" t="n">
        <v>0</v>
      </c>
      <c r="R6050" s="2" t="inlineStr"/>
    </row>
    <row r="6051" ht="15" customHeight="1">
      <c r="A6051" t="inlineStr">
        <is>
          <t>A 51137-2025</t>
        </is>
      </c>
      <c r="B6051" s="1" t="n">
        <v>45947</v>
      </c>
      <c r="C6051" s="1" t="n">
        <v>46086</v>
      </c>
      <c r="D6051" t="inlineStr">
        <is>
          <t>GÄVLEBORGS LÄN</t>
        </is>
      </c>
      <c r="E6051" t="inlineStr">
        <is>
          <t>BOLLNÄS</t>
        </is>
      </c>
      <c r="G6051" t="n">
        <v>5</v>
      </c>
      <c r="H6051" t="n">
        <v>0</v>
      </c>
      <c r="I6051" t="n">
        <v>0</v>
      </c>
      <c r="J6051" t="n">
        <v>0</v>
      </c>
      <c r="K6051" t="n">
        <v>0</v>
      </c>
      <c r="L6051" t="n">
        <v>0</v>
      </c>
      <c r="M6051" t="n">
        <v>0</v>
      </c>
      <c r="N6051" t="n">
        <v>0</v>
      </c>
      <c r="O6051" t="n">
        <v>0</v>
      </c>
      <c r="P6051" t="n">
        <v>0</v>
      </c>
      <c r="Q6051" t="n">
        <v>0</v>
      </c>
      <c r="R6051" s="2" t="inlineStr"/>
    </row>
    <row r="6052" ht="15" customHeight="1">
      <c r="A6052" t="inlineStr">
        <is>
          <t>A 51198-2025</t>
        </is>
      </c>
      <c r="B6052" s="1" t="n">
        <v>45947.63310185185</v>
      </c>
      <c r="C6052" s="1" t="n">
        <v>46086</v>
      </c>
      <c r="D6052" t="inlineStr">
        <is>
          <t>GÄVLEBORGS LÄN</t>
        </is>
      </c>
      <c r="E6052" t="inlineStr">
        <is>
          <t>GÄVLE</t>
        </is>
      </c>
      <c r="F6052" t="inlineStr">
        <is>
          <t>Bergvik skog öst AB</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51210-2025</t>
        </is>
      </c>
      <c r="B6053" s="1" t="n">
        <v>45947.64216435186</v>
      </c>
      <c r="C6053" s="1" t="n">
        <v>46086</v>
      </c>
      <c r="D6053" t="inlineStr">
        <is>
          <t>GÄVLEBORGS LÄN</t>
        </is>
      </c>
      <c r="E6053" t="inlineStr">
        <is>
          <t>GÄVLE</t>
        </is>
      </c>
      <c r="F6053" t="inlineStr">
        <is>
          <t>Bergvik skog öst AB</t>
        </is>
      </c>
      <c r="G6053" t="n">
        <v>10.8</v>
      </c>
      <c r="H6053" t="n">
        <v>0</v>
      </c>
      <c r="I6053" t="n">
        <v>0</v>
      </c>
      <c r="J6053" t="n">
        <v>0</v>
      </c>
      <c r="K6053" t="n">
        <v>0</v>
      </c>
      <c r="L6053" t="n">
        <v>0</v>
      </c>
      <c r="M6053" t="n">
        <v>0</v>
      </c>
      <c r="N6053" t="n">
        <v>0</v>
      </c>
      <c r="O6053" t="n">
        <v>0</v>
      </c>
      <c r="P6053" t="n">
        <v>0</v>
      </c>
      <c r="Q6053" t="n">
        <v>0</v>
      </c>
      <c r="R6053" s="2" t="inlineStr"/>
    </row>
    <row r="6054" ht="15" customHeight="1">
      <c r="A6054" t="inlineStr">
        <is>
          <t>A 48187-2025</t>
        </is>
      </c>
      <c r="B6054" s="1" t="n">
        <v>45933.4669212963</v>
      </c>
      <c r="C6054" s="1" t="n">
        <v>46086</v>
      </c>
      <c r="D6054" t="inlineStr">
        <is>
          <t>GÄVLEBORGS LÄN</t>
        </is>
      </c>
      <c r="E6054" t="inlineStr">
        <is>
          <t>SANDVIKEN</t>
        </is>
      </c>
      <c r="F6054" t="inlineStr">
        <is>
          <t>Sveaskog</t>
        </is>
      </c>
      <c r="G6054" t="n">
        <v>3.6</v>
      </c>
      <c r="H6054" t="n">
        <v>0</v>
      </c>
      <c r="I6054" t="n">
        <v>0</v>
      </c>
      <c r="J6054" t="n">
        <v>0</v>
      </c>
      <c r="K6054" t="n">
        <v>0</v>
      </c>
      <c r="L6054" t="n">
        <v>0</v>
      </c>
      <c r="M6054" t="n">
        <v>0</v>
      </c>
      <c r="N6054" t="n">
        <v>0</v>
      </c>
      <c r="O6054" t="n">
        <v>0</v>
      </c>
      <c r="P6054" t="n">
        <v>0</v>
      </c>
      <c r="Q6054" t="n">
        <v>0</v>
      </c>
      <c r="R6054" s="2" t="inlineStr"/>
    </row>
    <row r="6055" ht="15" customHeight="1">
      <c r="A6055" t="inlineStr">
        <is>
          <t>A 50833-2025</t>
        </is>
      </c>
      <c r="B6055" s="1" t="n">
        <v>45946</v>
      </c>
      <c r="C6055" s="1" t="n">
        <v>46086</v>
      </c>
      <c r="D6055" t="inlineStr">
        <is>
          <t>GÄVLEBORGS LÄN</t>
        </is>
      </c>
      <c r="E6055" t="inlineStr">
        <is>
          <t>SANDVIKEN</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51230-2025</t>
        </is>
      </c>
      <c r="B6056" s="1" t="n">
        <v>45947.67012731481</v>
      </c>
      <c r="C6056" s="1" t="n">
        <v>46086</v>
      </c>
      <c r="D6056" t="inlineStr">
        <is>
          <t>GÄVLEBORGS LÄN</t>
        </is>
      </c>
      <c r="E6056" t="inlineStr">
        <is>
          <t>LJUSDAL</t>
        </is>
      </c>
      <c r="F6056" t="inlineStr">
        <is>
          <t>Sveaskog</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51157-2025</t>
        </is>
      </c>
      <c r="B6057" s="1" t="n">
        <v>45947.58068287037</v>
      </c>
      <c r="C6057" s="1" t="n">
        <v>46086</v>
      </c>
      <c r="D6057" t="inlineStr">
        <is>
          <t>GÄVLEBORGS LÄN</t>
        </is>
      </c>
      <c r="E6057" t="inlineStr">
        <is>
          <t>SÖDERHAMN</t>
        </is>
      </c>
      <c r="G6057" t="n">
        <v>10.2</v>
      </c>
      <c r="H6057" t="n">
        <v>0</v>
      </c>
      <c r="I6057" t="n">
        <v>0</v>
      </c>
      <c r="J6057" t="n">
        <v>0</v>
      </c>
      <c r="K6057" t="n">
        <v>0</v>
      </c>
      <c r="L6057" t="n">
        <v>0</v>
      </c>
      <c r="M6057" t="n">
        <v>0</v>
      </c>
      <c r="N6057" t="n">
        <v>0</v>
      </c>
      <c r="O6057" t="n">
        <v>0</v>
      </c>
      <c r="P6057" t="n">
        <v>0</v>
      </c>
      <c r="Q6057" t="n">
        <v>0</v>
      </c>
      <c r="R6057" s="2" t="inlineStr"/>
    </row>
    <row r="6058" ht="15" customHeight="1">
      <c r="A6058" t="inlineStr">
        <is>
          <t>A 50976-2025</t>
        </is>
      </c>
      <c r="B6058" s="1" t="n">
        <v>45947.3178587963</v>
      </c>
      <c r="C6058" s="1" t="n">
        <v>46086</v>
      </c>
      <c r="D6058" t="inlineStr">
        <is>
          <t>GÄVLEBORGS LÄN</t>
        </is>
      </c>
      <c r="E6058" t="inlineStr">
        <is>
          <t>LJUSDAL</t>
        </is>
      </c>
      <c r="G6058" t="n">
        <v>5.4</v>
      </c>
      <c r="H6058" t="n">
        <v>0</v>
      </c>
      <c r="I6058" t="n">
        <v>0</v>
      </c>
      <c r="J6058" t="n">
        <v>0</v>
      </c>
      <c r="K6058" t="n">
        <v>0</v>
      </c>
      <c r="L6058" t="n">
        <v>0</v>
      </c>
      <c r="M6058" t="n">
        <v>0</v>
      </c>
      <c r="N6058" t="n">
        <v>0</v>
      </c>
      <c r="O6058" t="n">
        <v>0</v>
      </c>
      <c r="P6058" t="n">
        <v>0</v>
      </c>
      <c r="Q6058" t="n">
        <v>0</v>
      </c>
      <c r="R6058" s="2" t="inlineStr"/>
    </row>
    <row r="6059" ht="15" customHeight="1">
      <c r="A6059" t="inlineStr">
        <is>
          <t>A 51209-2025</t>
        </is>
      </c>
      <c r="B6059" s="1" t="n">
        <v>45947.64190972222</v>
      </c>
      <c r="C6059" s="1" t="n">
        <v>46086</v>
      </c>
      <c r="D6059" t="inlineStr">
        <is>
          <t>GÄVLEBORGS LÄN</t>
        </is>
      </c>
      <c r="E6059" t="inlineStr">
        <is>
          <t>GÄVLE</t>
        </is>
      </c>
      <c r="F6059" t="inlineStr">
        <is>
          <t>Bergvik skog öst AB</t>
        </is>
      </c>
      <c r="G6059" t="n">
        <v>12.7</v>
      </c>
      <c r="H6059" t="n">
        <v>0</v>
      </c>
      <c r="I6059" t="n">
        <v>0</v>
      </c>
      <c r="J6059" t="n">
        <v>0</v>
      </c>
      <c r="K6059" t="n">
        <v>0</v>
      </c>
      <c r="L6059" t="n">
        <v>0</v>
      </c>
      <c r="M6059" t="n">
        <v>0</v>
      </c>
      <c r="N6059" t="n">
        <v>0</v>
      </c>
      <c r="O6059" t="n">
        <v>0</v>
      </c>
      <c r="P6059" t="n">
        <v>0</v>
      </c>
      <c r="Q6059" t="n">
        <v>0</v>
      </c>
      <c r="R6059" s="2" t="inlineStr"/>
    </row>
    <row r="6060" ht="15" customHeight="1">
      <c r="A6060" t="inlineStr">
        <is>
          <t>A 51211-2025</t>
        </is>
      </c>
      <c r="B6060" s="1" t="n">
        <v>45947.64260416666</v>
      </c>
      <c r="C6060" s="1" t="n">
        <v>46086</v>
      </c>
      <c r="D6060" t="inlineStr">
        <is>
          <t>GÄVLEBORGS LÄN</t>
        </is>
      </c>
      <c r="E6060" t="inlineStr">
        <is>
          <t>GÄVLE</t>
        </is>
      </c>
      <c r="F6060" t="inlineStr">
        <is>
          <t>Bergvik skog öst AB</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50684-2025</t>
        </is>
      </c>
      <c r="B6061" s="1" t="n">
        <v>45945.82202546296</v>
      </c>
      <c r="C6061" s="1" t="n">
        <v>46086</v>
      </c>
      <c r="D6061" t="inlineStr">
        <is>
          <t>GÄVLEBORGS LÄN</t>
        </is>
      </c>
      <c r="E6061" t="inlineStr">
        <is>
          <t>LJUSDAL</t>
        </is>
      </c>
      <c r="G6061" t="n">
        <v>11.1</v>
      </c>
      <c r="H6061" t="n">
        <v>0</v>
      </c>
      <c r="I6061" t="n">
        <v>0</v>
      </c>
      <c r="J6061" t="n">
        <v>0</v>
      </c>
      <c r="K6061" t="n">
        <v>0</v>
      </c>
      <c r="L6061" t="n">
        <v>0</v>
      </c>
      <c r="M6061" t="n">
        <v>0</v>
      </c>
      <c r="N6061" t="n">
        <v>0</v>
      </c>
      <c r="O6061" t="n">
        <v>0</v>
      </c>
      <c r="P6061" t="n">
        <v>0</v>
      </c>
      <c r="Q6061" t="n">
        <v>0</v>
      </c>
      <c r="R6061" s="2" t="inlineStr"/>
    </row>
    <row r="6062" ht="15" customHeight="1">
      <c r="A6062" t="inlineStr">
        <is>
          <t>A 50696-2025</t>
        </is>
      </c>
      <c r="B6062" s="1" t="n">
        <v>45945.89071759259</v>
      </c>
      <c r="C6062" s="1" t="n">
        <v>46086</v>
      </c>
      <c r="D6062" t="inlineStr">
        <is>
          <t>GÄVLEBORGS LÄN</t>
        </is>
      </c>
      <c r="E6062" t="inlineStr">
        <is>
          <t>OCKELBO</t>
        </is>
      </c>
      <c r="F6062" t="inlineStr">
        <is>
          <t>Bergvik skog väst AB</t>
        </is>
      </c>
      <c r="G6062" t="n">
        <v>4.2</v>
      </c>
      <c r="H6062" t="n">
        <v>0</v>
      </c>
      <c r="I6062" t="n">
        <v>0</v>
      </c>
      <c r="J6062" t="n">
        <v>0</v>
      </c>
      <c r="K6062" t="n">
        <v>0</v>
      </c>
      <c r="L6062" t="n">
        <v>0</v>
      </c>
      <c r="M6062" t="n">
        <v>0</v>
      </c>
      <c r="N6062" t="n">
        <v>0</v>
      </c>
      <c r="O6062" t="n">
        <v>0</v>
      </c>
      <c r="P6062" t="n">
        <v>0</v>
      </c>
      <c r="Q6062" t="n">
        <v>0</v>
      </c>
      <c r="R6062" s="2" t="inlineStr"/>
    </row>
    <row r="6063" ht="15" customHeight="1">
      <c r="A6063" t="inlineStr">
        <is>
          <t>A 50898-2025</t>
        </is>
      </c>
      <c r="B6063" s="1" t="n">
        <v>45946.64134259259</v>
      </c>
      <c r="C6063" s="1" t="n">
        <v>46086</v>
      </c>
      <c r="D6063" t="inlineStr">
        <is>
          <t>GÄVLEBORGS LÄN</t>
        </is>
      </c>
      <c r="E6063" t="inlineStr">
        <is>
          <t>HUDIKSVALL</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50824-2025</t>
        </is>
      </c>
      <c r="B6064" s="1" t="n">
        <v>45946.54</v>
      </c>
      <c r="C6064" s="1" t="n">
        <v>46086</v>
      </c>
      <c r="D6064" t="inlineStr">
        <is>
          <t>GÄVLEBORGS LÄN</t>
        </is>
      </c>
      <c r="E6064" t="inlineStr">
        <is>
          <t>NORDANSTIG</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50878-2025</t>
        </is>
      </c>
      <c r="B6065" s="1" t="n">
        <v>45946.61530092593</v>
      </c>
      <c r="C6065" s="1" t="n">
        <v>46086</v>
      </c>
      <c r="D6065" t="inlineStr">
        <is>
          <t>GÄVLEBORGS LÄN</t>
        </is>
      </c>
      <c r="E6065" t="inlineStr">
        <is>
          <t>OVANÅKER</t>
        </is>
      </c>
      <c r="F6065" t="inlineStr">
        <is>
          <t>Bergvik skog väst AB</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50842-2025</t>
        </is>
      </c>
      <c r="B6066" s="1" t="n">
        <v>45946.57175925926</v>
      </c>
      <c r="C6066" s="1" t="n">
        <v>46086</v>
      </c>
      <c r="D6066" t="inlineStr">
        <is>
          <t>GÄVLEBORGS LÄN</t>
        </is>
      </c>
      <c r="E6066" t="inlineStr">
        <is>
          <t>NORDANSTIG</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50854-2025</t>
        </is>
      </c>
      <c r="B6067" s="1" t="n">
        <v>45946.58892361111</v>
      </c>
      <c r="C6067" s="1" t="n">
        <v>46086</v>
      </c>
      <c r="D6067" t="inlineStr">
        <is>
          <t>GÄVLEBORGS LÄN</t>
        </is>
      </c>
      <c r="E6067" t="inlineStr">
        <is>
          <t>OVANÅKER</t>
        </is>
      </c>
      <c r="F6067" t="inlineStr">
        <is>
          <t>Bergvik skog väst AB</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51013-2025</t>
        </is>
      </c>
      <c r="B6068" s="1" t="n">
        <v>45947.38069444444</v>
      </c>
      <c r="C6068" s="1" t="n">
        <v>46086</v>
      </c>
      <c r="D6068" t="inlineStr">
        <is>
          <t>GÄVLEBORGS LÄN</t>
        </is>
      </c>
      <c r="E6068" t="inlineStr">
        <is>
          <t>OVANÅKER</t>
        </is>
      </c>
      <c r="G6068" t="n">
        <v>9.4</v>
      </c>
      <c r="H6068" t="n">
        <v>0</v>
      </c>
      <c r="I6068" t="n">
        <v>0</v>
      </c>
      <c r="J6068" t="n">
        <v>0</v>
      </c>
      <c r="K6068" t="n">
        <v>0</v>
      </c>
      <c r="L6068" t="n">
        <v>0</v>
      </c>
      <c r="M6068" t="n">
        <v>0</v>
      </c>
      <c r="N6068" t="n">
        <v>0</v>
      </c>
      <c r="O6068" t="n">
        <v>0</v>
      </c>
      <c r="P6068" t="n">
        <v>0</v>
      </c>
      <c r="Q6068" t="n">
        <v>0</v>
      </c>
      <c r="R6068" s="2" t="inlineStr"/>
    </row>
    <row r="6069" ht="15" customHeight="1">
      <c r="A6069" t="inlineStr">
        <is>
          <t>A 51115-2025</t>
        </is>
      </c>
      <c r="B6069" s="1" t="n">
        <v>45947.52074074074</v>
      </c>
      <c r="C6069" s="1" t="n">
        <v>46086</v>
      </c>
      <c r="D6069" t="inlineStr">
        <is>
          <t>GÄVLEBORGS LÄN</t>
        </is>
      </c>
      <c r="E6069" t="inlineStr">
        <is>
          <t>NORDANSTIG</t>
        </is>
      </c>
      <c r="F6069" t="inlineStr">
        <is>
          <t>Holmen skog AB</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51014-2025</t>
        </is>
      </c>
      <c r="B6070" s="1" t="n">
        <v>45947.38203703704</v>
      </c>
      <c r="C6070" s="1" t="n">
        <v>46086</v>
      </c>
      <c r="D6070" t="inlineStr">
        <is>
          <t>GÄVLEBORGS LÄN</t>
        </is>
      </c>
      <c r="E6070" t="inlineStr">
        <is>
          <t>NORDANSTIG</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50970-2025</t>
        </is>
      </c>
      <c r="B6071" s="1" t="n">
        <v>45947.30427083333</v>
      </c>
      <c r="C6071" s="1" t="n">
        <v>46086</v>
      </c>
      <c r="D6071" t="inlineStr">
        <is>
          <t>GÄVLEBORGS LÄN</t>
        </is>
      </c>
      <c r="E6071" t="inlineStr">
        <is>
          <t>OVANÅKER</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50972-2025</t>
        </is>
      </c>
      <c r="B6072" s="1" t="n">
        <v>45947.31030092593</v>
      </c>
      <c r="C6072" s="1" t="n">
        <v>46086</v>
      </c>
      <c r="D6072" t="inlineStr">
        <is>
          <t>GÄVLEBORGS LÄN</t>
        </is>
      </c>
      <c r="E6072" t="inlineStr">
        <is>
          <t>LJUSDAL</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51098-2025</t>
        </is>
      </c>
      <c r="B6073" s="1" t="n">
        <v>45947.48436342592</v>
      </c>
      <c r="C6073" s="1" t="n">
        <v>46086</v>
      </c>
      <c r="D6073" t="inlineStr">
        <is>
          <t>GÄVLEBORGS LÄN</t>
        </is>
      </c>
      <c r="E6073" t="inlineStr">
        <is>
          <t>OCKELBO</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45788-2025</t>
        </is>
      </c>
      <c r="B6074" s="1" t="n">
        <v>45923.56583333333</v>
      </c>
      <c r="C6074" s="1" t="n">
        <v>46086</v>
      </c>
      <c r="D6074" t="inlineStr">
        <is>
          <t>GÄVLEBORGS LÄN</t>
        </is>
      </c>
      <c r="E6074" t="inlineStr">
        <is>
          <t>NORDANSTIG</t>
        </is>
      </c>
      <c r="G6074" t="n">
        <v>17.2</v>
      </c>
      <c r="H6074" t="n">
        <v>0</v>
      </c>
      <c r="I6074" t="n">
        <v>0</v>
      </c>
      <c r="J6074" t="n">
        <v>0</v>
      </c>
      <c r="K6074" t="n">
        <v>0</v>
      </c>
      <c r="L6074" t="n">
        <v>0</v>
      </c>
      <c r="M6074" t="n">
        <v>0</v>
      </c>
      <c r="N6074" t="n">
        <v>0</v>
      </c>
      <c r="O6074" t="n">
        <v>0</v>
      </c>
      <c r="P6074" t="n">
        <v>0</v>
      </c>
      <c r="Q6074" t="n">
        <v>0</v>
      </c>
      <c r="R6074" s="2" t="inlineStr"/>
    </row>
    <row r="6075" ht="15" customHeight="1">
      <c r="A6075" t="inlineStr">
        <is>
          <t>A 48544-2025</t>
        </is>
      </c>
      <c r="B6075" s="1" t="n">
        <v>45936.41883101852</v>
      </c>
      <c r="C6075" s="1" t="n">
        <v>46086</v>
      </c>
      <c r="D6075" t="inlineStr">
        <is>
          <t>GÄVLEBORGS LÄN</t>
        </is>
      </c>
      <c r="E6075" t="inlineStr">
        <is>
          <t>SÖDERHAMN</t>
        </is>
      </c>
      <c r="G6075" t="n">
        <v>6.4</v>
      </c>
      <c r="H6075" t="n">
        <v>0</v>
      </c>
      <c r="I6075" t="n">
        <v>0</v>
      </c>
      <c r="J6075" t="n">
        <v>0</v>
      </c>
      <c r="K6075" t="n">
        <v>0</v>
      </c>
      <c r="L6075" t="n">
        <v>0</v>
      </c>
      <c r="M6075" t="n">
        <v>0</v>
      </c>
      <c r="N6075" t="n">
        <v>0</v>
      </c>
      <c r="O6075" t="n">
        <v>0</v>
      </c>
      <c r="P6075" t="n">
        <v>0</v>
      </c>
      <c r="Q6075" t="n">
        <v>0</v>
      </c>
      <c r="R6075" s="2" t="inlineStr"/>
    </row>
    <row r="6076" ht="15" customHeight="1">
      <c r="A6076" t="inlineStr">
        <is>
          <t>A 49261-2025</t>
        </is>
      </c>
      <c r="B6076" s="1" t="n">
        <v>45938.49891203704</v>
      </c>
      <c r="C6076" s="1" t="n">
        <v>46086</v>
      </c>
      <c r="D6076" t="inlineStr">
        <is>
          <t>GÄVLEBORGS LÄN</t>
        </is>
      </c>
      <c r="E6076" t="inlineStr">
        <is>
          <t>LJUSDAL</t>
        </is>
      </c>
      <c r="F6076" t="inlineStr">
        <is>
          <t>Sveaskog</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49284-2025</t>
        </is>
      </c>
      <c r="B6077" s="1" t="n">
        <v>45938.51703703704</v>
      </c>
      <c r="C6077" s="1" t="n">
        <v>46086</v>
      </c>
      <c r="D6077" t="inlineStr">
        <is>
          <t>GÄVLEBORGS LÄN</t>
        </is>
      </c>
      <c r="E6077" t="inlineStr">
        <is>
          <t>NORDANSTIG</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38506-2025</t>
        </is>
      </c>
      <c r="B6078" s="1" t="n">
        <v>45884.38459490741</v>
      </c>
      <c r="C6078" s="1" t="n">
        <v>46086</v>
      </c>
      <c r="D6078" t="inlineStr">
        <is>
          <t>GÄVLEBORGS LÄN</t>
        </is>
      </c>
      <c r="E6078" t="inlineStr">
        <is>
          <t>GÄVLE</t>
        </is>
      </c>
      <c r="F6078" t="inlineStr">
        <is>
          <t>Bergvik skog öst AB</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38508-2025</t>
        </is>
      </c>
      <c r="B6079" s="1" t="n">
        <v>45884.38775462963</v>
      </c>
      <c r="C6079" s="1" t="n">
        <v>46086</v>
      </c>
      <c r="D6079" t="inlineStr">
        <is>
          <t>GÄVLEBORGS LÄN</t>
        </is>
      </c>
      <c r="E6079" t="inlineStr">
        <is>
          <t>GÄVLE</t>
        </is>
      </c>
      <c r="F6079" t="inlineStr">
        <is>
          <t>Bergvik skog öst AB</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38512-2025</t>
        </is>
      </c>
      <c r="B6080" s="1" t="n">
        <v>45884.39216435186</v>
      </c>
      <c r="C6080" s="1" t="n">
        <v>46086</v>
      </c>
      <c r="D6080" t="inlineStr">
        <is>
          <t>GÄVLEBORGS LÄN</t>
        </is>
      </c>
      <c r="E6080" t="inlineStr">
        <is>
          <t>GÄVLE</t>
        </is>
      </c>
      <c r="F6080" t="inlineStr">
        <is>
          <t>Bergvik skog öst AB</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51534-2025</t>
        </is>
      </c>
      <c r="B6081" s="1" t="n">
        <v>45950.6905787037</v>
      </c>
      <c r="C6081" s="1" t="n">
        <v>46086</v>
      </c>
      <c r="D6081" t="inlineStr">
        <is>
          <t>GÄVLEBORGS LÄN</t>
        </is>
      </c>
      <c r="E6081" t="inlineStr">
        <is>
          <t>HUDIKSVALL</t>
        </is>
      </c>
      <c r="G6081" t="n">
        <v>15.2</v>
      </c>
      <c r="H6081" t="n">
        <v>0</v>
      </c>
      <c r="I6081" t="n">
        <v>0</v>
      </c>
      <c r="J6081" t="n">
        <v>0</v>
      </c>
      <c r="K6081" t="n">
        <v>0</v>
      </c>
      <c r="L6081" t="n">
        <v>0</v>
      </c>
      <c r="M6081" t="n">
        <v>0</v>
      </c>
      <c r="N6081" t="n">
        <v>0</v>
      </c>
      <c r="O6081" t="n">
        <v>0</v>
      </c>
      <c r="P6081" t="n">
        <v>0</v>
      </c>
      <c r="Q6081" t="n">
        <v>0</v>
      </c>
      <c r="R6081" s="2" t="inlineStr"/>
    </row>
    <row r="6082" ht="15" customHeight="1">
      <c r="A6082" t="inlineStr">
        <is>
          <t>A 51545-2025</t>
        </is>
      </c>
      <c r="B6082" s="1" t="n">
        <v>45950.74912037037</v>
      </c>
      <c r="C6082" s="1" t="n">
        <v>46086</v>
      </c>
      <c r="D6082" t="inlineStr">
        <is>
          <t>GÄVLEBORGS LÄN</t>
        </is>
      </c>
      <c r="E6082" t="inlineStr">
        <is>
          <t>GÄVLE</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51561-2025</t>
        </is>
      </c>
      <c r="B6083" s="1" t="n">
        <v>45951.25780092592</v>
      </c>
      <c r="C6083" s="1" t="n">
        <v>46086</v>
      </c>
      <c r="D6083" t="inlineStr">
        <is>
          <t>GÄVLEBORGS LÄN</t>
        </is>
      </c>
      <c r="E6083" t="inlineStr">
        <is>
          <t>SÖDERHAMN</t>
        </is>
      </c>
      <c r="G6083" t="n">
        <v>7.4</v>
      </c>
      <c r="H6083" t="n">
        <v>0</v>
      </c>
      <c r="I6083" t="n">
        <v>0</v>
      </c>
      <c r="J6083" t="n">
        <v>0</v>
      </c>
      <c r="K6083" t="n">
        <v>0</v>
      </c>
      <c r="L6083" t="n">
        <v>0</v>
      </c>
      <c r="M6083" t="n">
        <v>0</v>
      </c>
      <c r="N6083" t="n">
        <v>0</v>
      </c>
      <c r="O6083" t="n">
        <v>0</v>
      </c>
      <c r="P6083" t="n">
        <v>0</v>
      </c>
      <c r="Q6083" t="n">
        <v>0</v>
      </c>
      <c r="R6083" s="2" t="inlineStr"/>
    </row>
    <row r="6084" ht="15" customHeight="1">
      <c r="A6084" t="inlineStr">
        <is>
          <t>A 51563-2025</t>
        </is>
      </c>
      <c r="B6084" s="1" t="n">
        <v>45951.29929398148</v>
      </c>
      <c r="C6084" s="1" t="n">
        <v>46086</v>
      </c>
      <c r="D6084" t="inlineStr">
        <is>
          <t>GÄVLEBORGS LÄN</t>
        </is>
      </c>
      <c r="E6084" t="inlineStr">
        <is>
          <t>BOLLNÄS</t>
        </is>
      </c>
      <c r="G6084" t="n">
        <v>3.5</v>
      </c>
      <c r="H6084" t="n">
        <v>0</v>
      </c>
      <c r="I6084" t="n">
        <v>0</v>
      </c>
      <c r="J6084" t="n">
        <v>0</v>
      </c>
      <c r="K6084" t="n">
        <v>0</v>
      </c>
      <c r="L6084" t="n">
        <v>0</v>
      </c>
      <c r="M6084" t="n">
        <v>0</v>
      </c>
      <c r="N6084" t="n">
        <v>0</v>
      </c>
      <c r="O6084" t="n">
        <v>0</v>
      </c>
      <c r="P6084" t="n">
        <v>0</v>
      </c>
      <c r="Q6084" t="n">
        <v>0</v>
      </c>
      <c r="R6084" s="2" t="inlineStr"/>
    </row>
    <row r="6085" ht="15" customHeight="1">
      <c r="A6085" t="inlineStr">
        <is>
          <t>A 51618-2025</t>
        </is>
      </c>
      <c r="B6085" s="1" t="n">
        <v>45951.40893518519</v>
      </c>
      <c r="C6085" s="1" t="n">
        <v>46086</v>
      </c>
      <c r="D6085" t="inlineStr">
        <is>
          <t>GÄVLEBORGS LÄN</t>
        </is>
      </c>
      <c r="E6085" t="inlineStr">
        <is>
          <t>HUDIKSVALL</t>
        </is>
      </c>
      <c r="F6085" t="inlineStr">
        <is>
          <t>Holmen skog AB</t>
        </is>
      </c>
      <c r="G6085" t="n">
        <v>5.7</v>
      </c>
      <c r="H6085" t="n">
        <v>0</v>
      </c>
      <c r="I6085" t="n">
        <v>0</v>
      </c>
      <c r="J6085" t="n">
        <v>0</v>
      </c>
      <c r="K6085" t="n">
        <v>0</v>
      </c>
      <c r="L6085" t="n">
        <v>0</v>
      </c>
      <c r="M6085" t="n">
        <v>0</v>
      </c>
      <c r="N6085" t="n">
        <v>0</v>
      </c>
      <c r="O6085" t="n">
        <v>0</v>
      </c>
      <c r="P6085" t="n">
        <v>0</v>
      </c>
      <c r="Q6085" t="n">
        <v>0</v>
      </c>
      <c r="R6085" s="2" t="inlineStr"/>
    </row>
    <row r="6086" ht="15" customHeight="1">
      <c r="A6086" t="inlineStr">
        <is>
          <t>A 51538-2025</t>
        </is>
      </c>
      <c r="B6086" s="1" t="n">
        <v>45950.69828703703</v>
      </c>
      <c r="C6086" s="1" t="n">
        <v>46086</v>
      </c>
      <c r="D6086" t="inlineStr">
        <is>
          <t>GÄVLEBORGS LÄN</t>
        </is>
      </c>
      <c r="E6086" t="inlineStr">
        <is>
          <t>HUDIKSVALL</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51565-2025</t>
        </is>
      </c>
      <c r="B6087" s="1" t="n">
        <v>45951.30708333333</v>
      </c>
      <c r="C6087" s="1" t="n">
        <v>46086</v>
      </c>
      <c r="D6087" t="inlineStr">
        <is>
          <t>GÄVLEBORGS LÄN</t>
        </is>
      </c>
      <c r="E6087" t="inlineStr">
        <is>
          <t>OVANÅKER</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51681-2025</t>
        </is>
      </c>
      <c r="B6088" s="1" t="n">
        <v>45951.51616898148</v>
      </c>
      <c r="C6088" s="1" t="n">
        <v>46086</v>
      </c>
      <c r="D6088" t="inlineStr">
        <is>
          <t>GÄVLEBORGS LÄN</t>
        </is>
      </c>
      <c r="E6088" t="inlineStr">
        <is>
          <t>NORDANSTIG</t>
        </is>
      </c>
      <c r="G6088" t="n">
        <v>9.1</v>
      </c>
      <c r="H6088" t="n">
        <v>0</v>
      </c>
      <c r="I6088" t="n">
        <v>0</v>
      </c>
      <c r="J6088" t="n">
        <v>0</v>
      </c>
      <c r="K6088" t="n">
        <v>0</v>
      </c>
      <c r="L6088" t="n">
        <v>0</v>
      </c>
      <c r="M6088" t="n">
        <v>0</v>
      </c>
      <c r="N6088" t="n">
        <v>0</v>
      </c>
      <c r="O6088" t="n">
        <v>0</v>
      </c>
      <c r="P6088" t="n">
        <v>0</v>
      </c>
      <c r="Q6088" t="n">
        <v>0</v>
      </c>
      <c r="R6088" s="2" t="inlineStr"/>
    </row>
    <row r="6089" ht="15" customHeight="1">
      <c r="A6089" t="inlineStr">
        <is>
          <t>A 5244-2024</t>
        </is>
      </c>
      <c r="B6089" s="1" t="n">
        <v>45330</v>
      </c>
      <c r="C6089" s="1" t="n">
        <v>46086</v>
      </c>
      <c r="D6089" t="inlineStr">
        <is>
          <t>GÄVLEBORGS LÄN</t>
        </is>
      </c>
      <c r="E6089" t="inlineStr">
        <is>
          <t>SANDVIKEN</t>
        </is>
      </c>
      <c r="G6089" t="n">
        <v>8.5</v>
      </c>
      <c r="H6089" t="n">
        <v>0</v>
      </c>
      <c r="I6089" t="n">
        <v>0</v>
      </c>
      <c r="J6089" t="n">
        <v>0</v>
      </c>
      <c r="K6089" t="n">
        <v>0</v>
      </c>
      <c r="L6089" t="n">
        <v>0</v>
      </c>
      <c r="M6089" t="n">
        <v>0</v>
      </c>
      <c r="N6089" t="n">
        <v>0</v>
      </c>
      <c r="O6089" t="n">
        <v>0</v>
      </c>
      <c r="P6089" t="n">
        <v>0</v>
      </c>
      <c r="Q6089" t="n">
        <v>0</v>
      </c>
      <c r="R6089" s="2" t="inlineStr"/>
    </row>
    <row r="6090" ht="15" customHeight="1">
      <c r="A6090" t="inlineStr">
        <is>
          <t>A 51302-2025</t>
        </is>
      </c>
      <c r="B6090" s="1" t="n">
        <v>45950.36494212963</v>
      </c>
      <c r="C6090" s="1" t="n">
        <v>46086</v>
      </c>
      <c r="D6090" t="inlineStr">
        <is>
          <t>GÄVLEBORGS LÄN</t>
        </is>
      </c>
      <c r="E6090" t="inlineStr">
        <is>
          <t>OVANÅKER</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51428-2025</t>
        </is>
      </c>
      <c r="B6091" s="1" t="n">
        <v>45950.5353125</v>
      </c>
      <c r="C6091" s="1" t="n">
        <v>46086</v>
      </c>
      <c r="D6091" t="inlineStr">
        <is>
          <t>GÄVLEBORGS LÄN</t>
        </is>
      </c>
      <c r="E6091" t="inlineStr">
        <is>
          <t>OVANÅKER</t>
        </is>
      </c>
      <c r="G6091" t="n">
        <v>8.5</v>
      </c>
      <c r="H6091" t="n">
        <v>0</v>
      </c>
      <c r="I6091" t="n">
        <v>0</v>
      </c>
      <c r="J6091" t="n">
        <v>0</v>
      </c>
      <c r="K6091" t="n">
        <v>0</v>
      </c>
      <c r="L6091" t="n">
        <v>0</v>
      </c>
      <c r="M6091" t="n">
        <v>0</v>
      </c>
      <c r="N6091" t="n">
        <v>0</v>
      </c>
      <c r="O6091" t="n">
        <v>0</v>
      </c>
      <c r="P6091" t="n">
        <v>0</v>
      </c>
      <c r="Q6091" t="n">
        <v>0</v>
      </c>
      <c r="R6091" s="2" t="inlineStr"/>
    </row>
    <row r="6092" ht="15" customHeight="1">
      <c r="A6092" t="inlineStr">
        <is>
          <t>A 49415-2025</t>
        </is>
      </c>
      <c r="B6092" s="1" t="n">
        <v>45938.68986111111</v>
      </c>
      <c r="C6092" s="1" t="n">
        <v>46086</v>
      </c>
      <c r="D6092" t="inlineStr">
        <is>
          <t>GÄVLEBORGS LÄN</t>
        </is>
      </c>
      <c r="E6092" t="inlineStr">
        <is>
          <t>SANDVIKEN</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51267-2025</t>
        </is>
      </c>
      <c r="B6093" s="1" t="n">
        <v>45949.77891203704</v>
      </c>
      <c r="C6093" s="1" t="n">
        <v>46086</v>
      </c>
      <c r="D6093" t="inlineStr">
        <is>
          <t>GÄVLEBORGS LÄN</t>
        </is>
      </c>
      <c r="E6093" t="inlineStr">
        <is>
          <t>LJUSDAL</t>
        </is>
      </c>
      <c r="G6093" t="n">
        <v>12.2</v>
      </c>
      <c r="H6093" t="n">
        <v>0</v>
      </c>
      <c r="I6093" t="n">
        <v>0</v>
      </c>
      <c r="J6093" t="n">
        <v>0</v>
      </c>
      <c r="K6093" t="n">
        <v>0</v>
      </c>
      <c r="L6093" t="n">
        <v>0</v>
      </c>
      <c r="M6093" t="n">
        <v>0</v>
      </c>
      <c r="N6093" t="n">
        <v>0</v>
      </c>
      <c r="O6093" t="n">
        <v>0</v>
      </c>
      <c r="P6093" t="n">
        <v>0</v>
      </c>
      <c r="Q6093" t="n">
        <v>0</v>
      </c>
      <c r="R6093" s="2" t="inlineStr"/>
    </row>
    <row r="6094" ht="15" customHeight="1">
      <c r="A6094" t="inlineStr">
        <is>
          <t>A 51300-2025</t>
        </is>
      </c>
      <c r="B6094" s="1" t="n">
        <v>45950</v>
      </c>
      <c r="C6094" s="1" t="n">
        <v>46086</v>
      </c>
      <c r="D6094" t="inlineStr">
        <is>
          <t>GÄVLEBORGS LÄN</t>
        </is>
      </c>
      <c r="E6094" t="inlineStr">
        <is>
          <t>HUDIKSVALL</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51314-2025</t>
        </is>
      </c>
      <c r="B6095" s="1" t="n">
        <v>45950.37649305556</v>
      </c>
      <c r="C6095" s="1" t="n">
        <v>46086</v>
      </c>
      <c r="D6095" t="inlineStr">
        <is>
          <t>GÄVLEBORGS LÄN</t>
        </is>
      </c>
      <c r="E6095" t="inlineStr">
        <is>
          <t>OVANÅKER</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51466-2025</t>
        </is>
      </c>
      <c r="B6096" s="1" t="n">
        <v>45950.61145833333</v>
      </c>
      <c r="C6096" s="1" t="n">
        <v>46086</v>
      </c>
      <c r="D6096" t="inlineStr">
        <is>
          <t>GÄVLEBORGS LÄN</t>
        </is>
      </c>
      <c r="E6096" t="inlineStr">
        <is>
          <t>NORDANSTIG</t>
        </is>
      </c>
      <c r="G6096" t="n">
        <v>30.9</v>
      </c>
      <c r="H6096" t="n">
        <v>0</v>
      </c>
      <c r="I6096" t="n">
        <v>0</v>
      </c>
      <c r="J6096" t="n">
        <v>0</v>
      </c>
      <c r="K6096" t="n">
        <v>0</v>
      </c>
      <c r="L6096" t="n">
        <v>0</v>
      </c>
      <c r="M6096" t="n">
        <v>0</v>
      </c>
      <c r="N6096" t="n">
        <v>0</v>
      </c>
      <c r="O6096" t="n">
        <v>0</v>
      </c>
      <c r="P6096" t="n">
        <v>0</v>
      </c>
      <c r="Q6096" t="n">
        <v>0</v>
      </c>
      <c r="R6096" s="2" t="inlineStr"/>
    </row>
    <row r="6097" ht="15" customHeight="1">
      <c r="A6097" t="inlineStr">
        <is>
          <t>A 51311-2025</t>
        </is>
      </c>
      <c r="B6097" s="1" t="n">
        <v>45950.37114583333</v>
      </c>
      <c r="C6097" s="1" t="n">
        <v>46086</v>
      </c>
      <c r="D6097" t="inlineStr">
        <is>
          <t>GÄVLEBORGS LÄN</t>
        </is>
      </c>
      <c r="E6097" t="inlineStr">
        <is>
          <t>GÄVLE</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51564-2025</t>
        </is>
      </c>
      <c r="B6098" s="1" t="n">
        <v>45951.30474537037</v>
      </c>
      <c r="C6098" s="1" t="n">
        <v>46086</v>
      </c>
      <c r="D6098" t="inlineStr">
        <is>
          <t>GÄVLEBORGS LÄN</t>
        </is>
      </c>
      <c r="E6098" t="inlineStr">
        <is>
          <t>OVANÅKER</t>
        </is>
      </c>
      <c r="G6098" t="n">
        <v>5.6</v>
      </c>
      <c r="H6098" t="n">
        <v>0</v>
      </c>
      <c r="I6098" t="n">
        <v>0</v>
      </c>
      <c r="J6098" t="n">
        <v>0</v>
      </c>
      <c r="K6098" t="n">
        <v>0</v>
      </c>
      <c r="L6098" t="n">
        <v>0</v>
      </c>
      <c r="M6098" t="n">
        <v>0</v>
      </c>
      <c r="N6098" t="n">
        <v>0</v>
      </c>
      <c r="O6098" t="n">
        <v>0</v>
      </c>
      <c r="P6098" t="n">
        <v>0</v>
      </c>
      <c r="Q6098" t="n">
        <v>0</v>
      </c>
      <c r="R6098" s="2" t="inlineStr"/>
    </row>
    <row r="6099" ht="15" customHeight="1">
      <c r="A6099" t="inlineStr">
        <is>
          <t>A 51360-2025</t>
        </is>
      </c>
      <c r="B6099" s="1" t="n">
        <v>45950.44428240741</v>
      </c>
      <c r="C6099" s="1" t="n">
        <v>46086</v>
      </c>
      <c r="D6099" t="inlineStr">
        <is>
          <t>GÄVLEBORGS LÄN</t>
        </is>
      </c>
      <c r="E6099" t="inlineStr">
        <is>
          <t>NORDANSTIG</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51570-2025</t>
        </is>
      </c>
      <c r="B6100" s="1" t="n">
        <v>45951.33126157407</v>
      </c>
      <c r="C6100" s="1" t="n">
        <v>46086</v>
      </c>
      <c r="D6100" t="inlineStr">
        <is>
          <t>GÄVLEBORGS LÄN</t>
        </is>
      </c>
      <c r="E6100" t="inlineStr">
        <is>
          <t>OVANÅKER</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38845-2025</t>
        </is>
      </c>
      <c r="B6101" s="1" t="n">
        <v>45887.54144675926</v>
      </c>
      <c r="C6101" s="1" t="n">
        <v>46086</v>
      </c>
      <c r="D6101" t="inlineStr">
        <is>
          <t>GÄVLEBORGS LÄN</t>
        </is>
      </c>
      <c r="E6101" t="inlineStr">
        <is>
          <t>SANDVIKEN</t>
        </is>
      </c>
      <c r="F6101" t="inlineStr">
        <is>
          <t>Sveaskog</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51649-2025</t>
        </is>
      </c>
      <c r="B6102" s="1" t="n">
        <v>45951.46003472222</v>
      </c>
      <c r="C6102" s="1" t="n">
        <v>46086</v>
      </c>
      <c r="D6102" t="inlineStr">
        <is>
          <t>GÄVLEBORGS LÄN</t>
        </is>
      </c>
      <c r="E6102" t="inlineStr">
        <is>
          <t>HUDIKSVALL</t>
        </is>
      </c>
      <c r="F6102" t="inlineStr">
        <is>
          <t>Holmen skog AB</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49370-2025</t>
        </is>
      </c>
      <c r="B6103" s="1" t="n">
        <v>45938.63042824074</v>
      </c>
      <c r="C6103" s="1" t="n">
        <v>46086</v>
      </c>
      <c r="D6103" t="inlineStr">
        <is>
          <t>GÄVLEBORGS LÄN</t>
        </is>
      </c>
      <c r="E6103" t="inlineStr">
        <is>
          <t>SANDVIKEN</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28853-2025</t>
        </is>
      </c>
      <c r="B6104" s="1" t="n">
        <v>45820.57949074074</v>
      </c>
      <c r="C6104" s="1" t="n">
        <v>46086</v>
      </c>
      <c r="D6104" t="inlineStr">
        <is>
          <t>GÄVLEBORGS LÄN</t>
        </is>
      </c>
      <c r="E6104" t="inlineStr">
        <is>
          <t>OCKELBO</t>
        </is>
      </c>
      <c r="G6104" t="n">
        <v>7.1</v>
      </c>
      <c r="H6104" t="n">
        <v>0</v>
      </c>
      <c r="I6104" t="n">
        <v>0</v>
      </c>
      <c r="J6104" t="n">
        <v>0</v>
      </c>
      <c r="K6104" t="n">
        <v>0</v>
      </c>
      <c r="L6104" t="n">
        <v>0</v>
      </c>
      <c r="M6104" t="n">
        <v>0</v>
      </c>
      <c r="N6104" t="n">
        <v>0</v>
      </c>
      <c r="O6104" t="n">
        <v>0</v>
      </c>
      <c r="P6104" t="n">
        <v>0</v>
      </c>
      <c r="Q6104" t="n">
        <v>0</v>
      </c>
      <c r="R6104" s="2" t="inlineStr"/>
    </row>
    <row r="6105" ht="15" customHeight="1">
      <c r="A6105" t="inlineStr">
        <is>
          <t>A 51464-2025</t>
        </is>
      </c>
      <c r="B6105" s="1" t="n">
        <v>45950.61001157408</v>
      </c>
      <c r="C6105" s="1" t="n">
        <v>46086</v>
      </c>
      <c r="D6105" t="inlineStr">
        <is>
          <t>GÄVLEBORGS LÄN</t>
        </is>
      </c>
      <c r="E6105" t="inlineStr">
        <is>
          <t>NORDANSTIG</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51758-2025</t>
        </is>
      </c>
      <c r="B6106" s="1" t="n">
        <v>45950</v>
      </c>
      <c r="C6106" s="1" t="n">
        <v>46086</v>
      </c>
      <c r="D6106" t="inlineStr">
        <is>
          <t>GÄVLEBORGS LÄN</t>
        </is>
      </c>
      <c r="E6106" t="inlineStr">
        <is>
          <t>GÄVLE</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51765-2025</t>
        </is>
      </c>
      <c r="B6107" s="1" t="n">
        <v>45951.63671296297</v>
      </c>
      <c r="C6107" s="1" t="n">
        <v>46086</v>
      </c>
      <c r="D6107" t="inlineStr">
        <is>
          <t>GÄVLEBORGS LÄN</t>
        </is>
      </c>
      <c r="E6107" t="inlineStr">
        <is>
          <t>HUDIKSVALL</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51766-2025</t>
        </is>
      </c>
      <c r="B6108" s="1" t="n">
        <v>45951.63789351852</v>
      </c>
      <c r="C6108" s="1" t="n">
        <v>46086</v>
      </c>
      <c r="D6108" t="inlineStr">
        <is>
          <t>GÄVLEBORGS LÄN</t>
        </is>
      </c>
      <c r="E6108" t="inlineStr">
        <is>
          <t>HUDIKSVALL</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51503-2025</t>
        </is>
      </c>
      <c r="B6109" s="1" t="n">
        <v>45950.63822916667</v>
      </c>
      <c r="C6109" s="1" t="n">
        <v>46086</v>
      </c>
      <c r="D6109" t="inlineStr">
        <is>
          <t>GÄVLEBORGS LÄN</t>
        </is>
      </c>
      <c r="E6109" t="inlineStr">
        <is>
          <t>NORDANSTIG</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51560-2025</t>
        </is>
      </c>
      <c r="B6110" s="1" t="n">
        <v>45951.24081018518</v>
      </c>
      <c r="C6110" s="1" t="n">
        <v>46086</v>
      </c>
      <c r="D6110" t="inlineStr">
        <is>
          <t>GÄVLEBORGS LÄN</t>
        </is>
      </c>
      <c r="E6110" t="inlineStr">
        <is>
          <t>BOLLNÄS</t>
        </is>
      </c>
      <c r="G6110" t="n">
        <v>3.8</v>
      </c>
      <c r="H6110" t="n">
        <v>0</v>
      </c>
      <c r="I6110" t="n">
        <v>0</v>
      </c>
      <c r="J6110" t="n">
        <v>0</v>
      </c>
      <c r="K6110" t="n">
        <v>0</v>
      </c>
      <c r="L6110" t="n">
        <v>0</v>
      </c>
      <c r="M6110" t="n">
        <v>0</v>
      </c>
      <c r="N6110" t="n">
        <v>0</v>
      </c>
      <c r="O6110" t="n">
        <v>0</v>
      </c>
      <c r="P6110" t="n">
        <v>0</v>
      </c>
      <c r="Q6110" t="n">
        <v>0</v>
      </c>
      <c r="R6110" s="2" t="inlineStr"/>
    </row>
    <row r="6111" ht="15" customHeight="1">
      <c r="A6111" t="inlineStr">
        <is>
          <t>A 51548-2025</t>
        </is>
      </c>
      <c r="B6111" s="1" t="n">
        <v>45950.79449074074</v>
      </c>
      <c r="C6111" s="1" t="n">
        <v>46086</v>
      </c>
      <c r="D6111" t="inlineStr">
        <is>
          <t>GÄVLEBORGS LÄN</t>
        </is>
      </c>
      <c r="E6111" t="inlineStr">
        <is>
          <t>HUDIKSVALL</t>
        </is>
      </c>
      <c r="F6111" t="inlineStr">
        <is>
          <t>Holmen skog AB</t>
        </is>
      </c>
      <c r="G6111" t="n">
        <v>5.7</v>
      </c>
      <c r="H6111" t="n">
        <v>0</v>
      </c>
      <c r="I6111" t="n">
        <v>0</v>
      </c>
      <c r="J6111" t="n">
        <v>0</v>
      </c>
      <c r="K6111" t="n">
        <v>0</v>
      </c>
      <c r="L6111" t="n">
        <v>0</v>
      </c>
      <c r="M6111" t="n">
        <v>0</v>
      </c>
      <c r="N6111" t="n">
        <v>0</v>
      </c>
      <c r="O6111" t="n">
        <v>0</v>
      </c>
      <c r="P6111" t="n">
        <v>0</v>
      </c>
      <c r="Q6111" t="n">
        <v>0</v>
      </c>
      <c r="R6111" s="2" t="inlineStr"/>
    </row>
    <row r="6112" ht="15" customHeight="1">
      <c r="A6112" t="inlineStr">
        <is>
          <t>A 51329-2025</t>
        </is>
      </c>
      <c r="B6112" s="1" t="n">
        <v>45950.41151620371</v>
      </c>
      <c r="C6112" s="1" t="n">
        <v>46086</v>
      </c>
      <c r="D6112" t="inlineStr">
        <is>
          <t>GÄVLEBORGS LÄN</t>
        </is>
      </c>
      <c r="E6112" t="inlineStr">
        <is>
          <t>HUDIKSVALL</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51680-2025</t>
        </is>
      </c>
      <c r="B6113" s="1" t="n">
        <v>45951.51335648148</v>
      </c>
      <c r="C6113" s="1" t="n">
        <v>46086</v>
      </c>
      <c r="D6113" t="inlineStr">
        <is>
          <t>GÄVLEBORGS LÄN</t>
        </is>
      </c>
      <c r="E6113" t="inlineStr">
        <is>
          <t>NORDANSTIG</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38528-2025</t>
        </is>
      </c>
      <c r="B6114" s="1" t="n">
        <v>45884.40722222222</v>
      </c>
      <c r="C6114" s="1" t="n">
        <v>46086</v>
      </c>
      <c r="D6114" t="inlineStr">
        <is>
          <t>GÄVLEBORGS LÄN</t>
        </is>
      </c>
      <c r="E6114" t="inlineStr">
        <is>
          <t>GÄVLE</t>
        </is>
      </c>
      <c r="F6114" t="inlineStr">
        <is>
          <t>Bergvik skog öst AB</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52100-2025</t>
        </is>
      </c>
      <c r="B6115" s="1" t="n">
        <v>45952.68261574074</v>
      </c>
      <c r="C6115" s="1" t="n">
        <v>46086</v>
      </c>
      <c r="D6115" t="inlineStr">
        <is>
          <t>GÄVLEBORGS LÄN</t>
        </is>
      </c>
      <c r="E6115" t="inlineStr">
        <is>
          <t>OVANÅKER</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38546-2025</t>
        </is>
      </c>
      <c r="B6116" s="1" t="n">
        <v>45884.43587962963</v>
      </c>
      <c r="C6116" s="1" t="n">
        <v>46086</v>
      </c>
      <c r="D6116" t="inlineStr">
        <is>
          <t>GÄVLEBORGS LÄN</t>
        </is>
      </c>
      <c r="E6116" t="inlineStr">
        <is>
          <t>GÄVLE</t>
        </is>
      </c>
      <c r="F6116" t="inlineStr">
        <is>
          <t>Bergvik skog öst AB</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38569-2025</t>
        </is>
      </c>
      <c r="B6117" s="1" t="n">
        <v>45884.45657407407</v>
      </c>
      <c r="C6117" s="1" t="n">
        <v>46086</v>
      </c>
      <c r="D6117" t="inlineStr">
        <is>
          <t>GÄVLEBORGS LÄN</t>
        </is>
      </c>
      <c r="E6117" t="inlineStr">
        <is>
          <t>GÄVLE</t>
        </is>
      </c>
      <c r="F6117" t="inlineStr">
        <is>
          <t>Bergvik skog öst AB</t>
        </is>
      </c>
      <c r="G6117" t="n">
        <v>3.4</v>
      </c>
      <c r="H6117" t="n">
        <v>0</v>
      </c>
      <c r="I6117" t="n">
        <v>0</v>
      </c>
      <c r="J6117" t="n">
        <v>0</v>
      </c>
      <c r="K6117" t="n">
        <v>0</v>
      </c>
      <c r="L6117" t="n">
        <v>0</v>
      </c>
      <c r="M6117" t="n">
        <v>0</v>
      </c>
      <c r="N6117" t="n">
        <v>0</v>
      </c>
      <c r="O6117" t="n">
        <v>0</v>
      </c>
      <c r="P6117" t="n">
        <v>0</v>
      </c>
      <c r="Q6117" t="n">
        <v>0</v>
      </c>
      <c r="R6117" s="2" t="inlineStr"/>
    </row>
    <row r="6118" ht="15" customHeight="1">
      <c r="A6118" t="inlineStr">
        <is>
          <t>A 47933-2025</t>
        </is>
      </c>
      <c r="B6118" s="1" t="n">
        <v>45932.55664351852</v>
      </c>
      <c r="C6118" s="1" t="n">
        <v>46086</v>
      </c>
      <c r="D6118" t="inlineStr">
        <is>
          <t>GÄVLEBORGS LÄN</t>
        </is>
      </c>
      <c r="E6118" t="inlineStr">
        <is>
          <t>LJUSDAL</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27243-2025</t>
        </is>
      </c>
      <c r="B6119" s="1" t="n">
        <v>45812.46144675926</v>
      </c>
      <c r="C6119" s="1" t="n">
        <v>46086</v>
      </c>
      <c r="D6119" t="inlineStr">
        <is>
          <t>GÄVLEBORGS LÄN</t>
        </is>
      </c>
      <c r="E6119" t="inlineStr">
        <is>
          <t>OCKELBO</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29240-2025</t>
        </is>
      </c>
      <c r="B6120" s="1" t="n">
        <v>45824.35913194445</v>
      </c>
      <c r="C6120" s="1" t="n">
        <v>46086</v>
      </c>
      <c r="D6120" t="inlineStr">
        <is>
          <t>GÄVLEBORGS LÄN</t>
        </is>
      </c>
      <c r="E6120" t="inlineStr">
        <is>
          <t>LJUSDAL</t>
        </is>
      </c>
      <c r="F6120" t="inlineStr">
        <is>
          <t>Holmen skog AB</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48247-2025</t>
        </is>
      </c>
      <c r="B6121" s="1" t="n">
        <v>45933.55215277777</v>
      </c>
      <c r="C6121" s="1" t="n">
        <v>46086</v>
      </c>
      <c r="D6121" t="inlineStr">
        <is>
          <t>GÄVLEBORGS LÄN</t>
        </is>
      </c>
      <c r="E6121" t="inlineStr">
        <is>
          <t>GÄVLE</t>
        </is>
      </c>
      <c r="F6121" t="inlineStr">
        <is>
          <t>Bergvik skog öst AB</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51849-2025</t>
        </is>
      </c>
      <c r="B6122" s="1" t="n">
        <v>45952.35207175926</v>
      </c>
      <c r="C6122" s="1" t="n">
        <v>46086</v>
      </c>
      <c r="D6122" t="inlineStr">
        <is>
          <t>GÄVLEBORGS LÄN</t>
        </is>
      </c>
      <c r="E6122" t="inlineStr">
        <is>
          <t>BOLLNÄS</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51860-2025</t>
        </is>
      </c>
      <c r="B6123" s="1" t="n">
        <v>45952.36609953704</v>
      </c>
      <c r="C6123" s="1" t="n">
        <v>46086</v>
      </c>
      <c r="D6123" t="inlineStr">
        <is>
          <t>GÄVLEBORGS LÄN</t>
        </is>
      </c>
      <c r="E6123" t="inlineStr">
        <is>
          <t>HUDIKSVALL</t>
        </is>
      </c>
      <c r="F6123" t="inlineStr">
        <is>
          <t>Holmen skog AB</t>
        </is>
      </c>
      <c r="G6123" t="n">
        <v>3.8</v>
      </c>
      <c r="H6123" t="n">
        <v>0</v>
      </c>
      <c r="I6123" t="n">
        <v>0</v>
      </c>
      <c r="J6123" t="n">
        <v>0</v>
      </c>
      <c r="K6123" t="n">
        <v>0</v>
      </c>
      <c r="L6123" t="n">
        <v>0</v>
      </c>
      <c r="M6123" t="n">
        <v>0</v>
      </c>
      <c r="N6123" t="n">
        <v>0</v>
      </c>
      <c r="O6123" t="n">
        <v>0</v>
      </c>
      <c r="P6123" t="n">
        <v>0</v>
      </c>
      <c r="Q6123" t="n">
        <v>0</v>
      </c>
      <c r="R6123" s="2" t="inlineStr"/>
    </row>
    <row r="6124" ht="15" customHeight="1">
      <c r="A6124" t="inlineStr">
        <is>
          <t>A 43544-2024</t>
        </is>
      </c>
      <c r="B6124" s="1" t="n">
        <v>45569.36675925926</v>
      </c>
      <c r="C6124" s="1" t="n">
        <v>46086</v>
      </c>
      <c r="D6124" t="inlineStr">
        <is>
          <t>GÄVLEBORGS LÄN</t>
        </is>
      </c>
      <c r="E6124" t="inlineStr">
        <is>
          <t>OVANÅKER</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52303-2025</t>
        </is>
      </c>
      <c r="B6125" s="1" t="n">
        <v>45953.62354166667</v>
      </c>
      <c r="C6125" s="1" t="n">
        <v>46086</v>
      </c>
      <c r="D6125" t="inlineStr">
        <is>
          <t>GÄVLEBORGS LÄN</t>
        </is>
      </c>
      <c r="E6125" t="inlineStr">
        <is>
          <t>BOLLNÄS</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52259-2025</t>
        </is>
      </c>
      <c r="B6126" s="1" t="n">
        <v>45953.51040509259</v>
      </c>
      <c r="C6126" s="1" t="n">
        <v>46086</v>
      </c>
      <c r="D6126" t="inlineStr">
        <is>
          <t>GÄVLEBORGS LÄN</t>
        </is>
      </c>
      <c r="E6126" t="inlineStr">
        <is>
          <t>OCKELBO</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40269-2023</t>
        </is>
      </c>
      <c r="B6127" s="1" t="n">
        <v>45169.54965277778</v>
      </c>
      <c r="C6127" s="1" t="n">
        <v>46086</v>
      </c>
      <c r="D6127" t="inlineStr">
        <is>
          <t>GÄVLEBORGS LÄN</t>
        </is>
      </c>
      <c r="E6127" t="inlineStr">
        <is>
          <t>NORDANSTIG</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40276-2023</t>
        </is>
      </c>
      <c r="B6128" s="1" t="n">
        <v>45169.56296296296</v>
      </c>
      <c r="C6128" s="1" t="n">
        <v>46086</v>
      </c>
      <c r="D6128" t="inlineStr">
        <is>
          <t>GÄVLEBORGS LÄN</t>
        </is>
      </c>
      <c r="E6128" t="inlineStr">
        <is>
          <t>LJUSDAL</t>
        </is>
      </c>
      <c r="F6128" t="inlineStr">
        <is>
          <t>Sveaskog</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45778-2022</t>
        </is>
      </c>
      <c r="B6129" s="1" t="n">
        <v>44846.42177083333</v>
      </c>
      <c r="C6129" s="1" t="n">
        <v>46086</v>
      </c>
      <c r="D6129" t="inlineStr">
        <is>
          <t>GÄVLEBORGS LÄN</t>
        </is>
      </c>
      <c r="E6129" t="inlineStr">
        <is>
          <t>OVANÅKER</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51877-2025</t>
        </is>
      </c>
      <c r="B6130" s="1" t="n">
        <v>45952.40157407407</v>
      </c>
      <c r="C6130" s="1" t="n">
        <v>46086</v>
      </c>
      <c r="D6130" t="inlineStr">
        <is>
          <t>GÄVLEBORGS LÄN</t>
        </is>
      </c>
      <c r="E6130" t="inlineStr">
        <is>
          <t>HUDIKSVALL</t>
        </is>
      </c>
      <c r="F6130" t="inlineStr">
        <is>
          <t>Naturvårdsverket</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51878-2025</t>
        </is>
      </c>
      <c r="B6131" s="1" t="n">
        <v>45952.40241898148</v>
      </c>
      <c r="C6131" s="1" t="n">
        <v>46086</v>
      </c>
      <c r="D6131" t="inlineStr">
        <is>
          <t>GÄVLEBORGS LÄN</t>
        </is>
      </c>
      <c r="E6131" t="inlineStr">
        <is>
          <t>BOLLNÄS</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51884-2025</t>
        </is>
      </c>
      <c r="B6132" s="1" t="n">
        <v>45952.40753472222</v>
      </c>
      <c r="C6132" s="1" t="n">
        <v>46086</v>
      </c>
      <c r="D6132" t="inlineStr">
        <is>
          <t>GÄVLEBORGS LÄN</t>
        </is>
      </c>
      <c r="E6132" t="inlineStr">
        <is>
          <t>BOLLNÄS</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51893-2025</t>
        </is>
      </c>
      <c r="B6133" s="1" t="n">
        <v>45952.42771990741</v>
      </c>
      <c r="C6133" s="1" t="n">
        <v>46086</v>
      </c>
      <c r="D6133" t="inlineStr">
        <is>
          <t>GÄVLEBORGS LÄN</t>
        </is>
      </c>
      <c r="E6133" t="inlineStr">
        <is>
          <t>GÄVLE</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55206-2022</t>
        </is>
      </c>
      <c r="B6134" s="1" t="n">
        <v>44886</v>
      </c>
      <c r="C6134" s="1" t="n">
        <v>46086</v>
      </c>
      <c r="D6134" t="inlineStr">
        <is>
          <t>GÄVLEBORGS LÄN</t>
        </is>
      </c>
      <c r="E6134" t="inlineStr">
        <is>
          <t>NORDANSTIG</t>
        </is>
      </c>
      <c r="F6134" t="inlineStr">
        <is>
          <t>SCA</t>
        </is>
      </c>
      <c r="G6134" t="n">
        <v>5.3</v>
      </c>
      <c r="H6134" t="n">
        <v>0</v>
      </c>
      <c r="I6134" t="n">
        <v>0</v>
      </c>
      <c r="J6134" t="n">
        <v>0</v>
      </c>
      <c r="K6134" t="n">
        <v>0</v>
      </c>
      <c r="L6134" t="n">
        <v>0</v>
      </c>
      <c r="M6134" t="n">
        <v>0</v>
      </c>
      <c r="N6134" t="n">
        <v>0</v>
      </c>
      <c r="O6134" t="n">
        <v>0</v>
      </c>
      <c r="P6134" t="n">
        <v>0</v>
      </c>
      <c r="Q6134" t="n">
        <v>0</v>
      </c>
      <c r="R6134" s="2" t="inlineStr"/>
    </row>
    <row r="6135" ht="15" customHeight="1">
      <c r="A6135" t="inlineStr">
        <is>
          <t>A 49401-2023</t>
        </is>
      </c>
      <c r="B6135" s="1" t="n">
        <v>45211.42238425926</v>
      </c>
      <c r="C6135" s="1" t="n">
        <v>46086</v>
      </c>
      <c r="D6135" t="inlineStr">
        <is>
          <t>GÄVLEBORGS LÄN</t>
        </is>
      </c>
      <c r="E6135" t="inlineStr">
        <is>
          <t>BOLLNÄS</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38581-2024</t>
        </is>
      </c>
      <c r="B6136" s="1" t="n">
        <v>45546.64888888889</v>
      </c>
      <c r="C6136" s="1" t="n">
        <v>46086</v>
      </c>
      <c r="D6136" t="inlineStr">
        <is>
          <t>GÄVLEBORGS LÄN</t>
        </is>
      </c>
      <c r="E6136" t="inlineStr">
        <is>
          <t>NORDANSTIG</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51853-2025</t>
        </is>
      </c>
      <c r="B6137" s="1" t="n">
        <v>45952.35881944445</v>
      </c>
      <c r="C6137" s="1" t="n">
        <v>46086</v>
      </c>
      <c r="D6137" t="inlineStr">
        <is>
          <t>GÄVLEBORGS LÄN</t>
        </is>
      </c>
      <c r="E6137" t="inlineStr">
        <is>
          <t>BOLLNÄS</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38524-2025</t>
        </is>
      </c>
      <c r="B6138" s="1" t="n">
        <v>45884.40424768518</v>
      </c>
      <c r="C6138" s="1" t="n">
        <v>46086</v>
      </c>
      <c r="D6138" t="inlineStr">
        <is>
          <t>GÄVLEBORGS LÄN</t>
        </is>
      </c>
      <c r="E6138" t="inlineStr">
        <is>
          <t>SANDVIKEN</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52185-2025</t>
        </is>
      </c>
      <c r="B6139" s="1" t="n">
        <v>45953.38604166666</v>
      </c>
      <c r="C6139" s="1" t="n">
        <v>46086</v>
      </c>
      <c r="D6139" t="inlineStr">
        <is>
          <t>GÄVLEBORGS LÄN</t>
        </is>
      </c>
      <c r="E6139" t="inlineStr">
        <is>
          <t>GÄVLE</t>
        </is>
      </c>
      <c r="F6139" t="inlineStr">
        <is>
          <t>Bergvik skog öst AB</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26334-2022</t>
        </is>
      </c>
      <c r="B6140" s="1" t="n">
        <v>44735.61462962963</v>
      </c>
      <c r="C6140" s="1" t="n">
        <v>46086</v>
      </c>
      <c r="D6140" t="inlineStr">
        <is>
          <t>GÄVLEBORGS LÄN</t>
        </is>
      </c>
      <c r="E6140" t="inlineStr">
        <is>
          <t>GÄVLE</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38589-2024</t>
        </is>
      </c>
      <c r="B6141" s="1" t="n">
        <v>45546.65302083334</v>
      </c>
      <c r="C6141" s="1" t="n">
        <v>46086</v>
      </c>
      <c r="D6141" t="inlineStr">
        <is>
          <t>GÄVLEBORGS LÄN</t>
        </is>
      </c>
      <c r="E6141" t="inlineStr">
        <is>
          <t>NORDANSTIG</t>
        </is>
      </c>
      <c r="G6141" t="n">
        <v>0.4</v>
      </c>
      <c r="H6141" t="n">
        <v>0</v>
      </c>
      <c r="I6141" t="n">
        <v>0</v>
      </c>
      <c r="J6141" t="n">
        <v>0</v>
      </c>
      <c r="K6141" t="n">
        <v>0</v>
      </c>
      <c r="L6141" t="n">
        <v>0</v>
      </c>
      <c r="M6141" t="n">
        <v>0</v>
      </c>
      <c r="N6141" t="n">
        <v>0</v>
      </c>
      <c r="O6141" t="n">
        <v>0</v>
      </c>
      <c r="P6141" t="n">
        <v>0</v>
      </c>
      <c r="Q6141" t="n">
        <v>0</v>
      </c>
      <c r="R6141" s="2" t="inlineStr"/>
    </row>
    <row r="6142" ht="15" customHeight="1">
      <c r="A6142" t="inlineStr">
        <is>
          <t>A 43216-2024</t>
        </is>
      </c>
      <c r="B6142" s="1" t="n">
        <v>45567.79040509259</v>
      </c>
      <c r="C6142" s="1" t="n">
        <v>46086</v>
      </c>
      <c r="D6142" t="inlineStr">
        <is>
          <t>GÄVLEBORGS LÄN</t>
        </is>
      </c>
      <c r="E6142" t="inlineStr">
        <is>
          <t>HUDIKSVALL</t>
        </is>
      </c>
      <c r="F6142" t="inlineStr">
        <is>
          <t>Holmen skog AB</t>
        </is>
      </c>
      <c r="G6142" t="n">
        <v>22.4</v>
      </c>
      <c r="H6142" t="n">
        <v>0</v>
      </c>
      <c r="I6142" t="n">
        <v>0</v>
      </c>
      <c r="J6142" t="n">
        <v>0</v>
      </c>
      <c r="K6142" t="n">
        <v>0</v>
      </c>
      <c r="L6142" t="n">
        <v>0</v>
      </c>
      <c r="M6142" t="n">
        <v>0</v>
      </c>
      <c r="N6142" t="n">
        <v>0</v>
      </c>
      <c r="O6142" t="n">
        <v>0</v>
      </c>
      <c r="P6142" t="n">
        <v>0</v>
      </c>
      <c r="Q6142" t="n">
        <v>0</v>
      </c>
      <c r="R6142" s="2" t="inlineStr"/>
    </row>
    <row r="6143" ht="15" customHeight="1">
      <c r="A6143" t="inlineStr">
        <is>
          <t>A 51913-2025</t>
        </is>
      </c>
      <c r="B6143" s="1" t="n">
        <v>45952.47181712963</v>
      </c>
      <c r="C6143" s="1" t="n">
        <v>46086</v>
      </c>
      <c r="D6143" t="inlineStr">
        <is>
          <t>GÄVLEBORGS LÄN</t>
        </is>
      </c>
      <c r="E6143" t="inlineStr">
        <is>
          <t>LJUSDAL</t>
        </is>
      </c>
      <c r="F6143" t="inlineStr">
        <is>
          <t>Holmen skog AB</t>
        </is>
      </c>
      <c r="G6143" t="n">
        <v>10.8</v>
      </c>
      <c r="H6143" t="n">
        <v>0</v>
      </c>
      <c r="I6143" t="n">
        <v>0</v>
      </c>
      <c r="J6143" t="n">
        <v>0</v>
      </c>
      <c r="K6143" t="n">
        <v>0</v>
      </c>
      <c r="L6143" t="n">
        <v>0</v>
      </c>
      <c r="M6143" t="n">
        <v>0</v>
      </c>
      <c r="N6143" t="n">
        <v>0</v>
      </c>
      <c r="O6143" t="n">
        <v>0</v>
      </c>
      <c r="P6143" t="n">
        <v>0</v>
      </c>
      <c r="Q6143" t="n">
        <v>0</v>
      </c>
      <c r="R6143" s="2" t="inlineStr"/>
    </row>
    <row r="6144" ht="15" customHeight="1">
      <c r="A6144" t="inlineStr">
        <is>
          <t>A 52156-2025</t>
        </is>
      </c>
      <c r="B6144" s="1" t="n">
        <v>45953.35465277778</v>
      </c>
      <c r="C6144" s="1" t="n">
        <v>46086</v>
      </c>
      <c r="D6144" t="inlineStr">
        <is>
          <t>GÄVLEBORGS LÄN</t>
        </is>
      </c>
      <c r="E6144" t="inlineStr">
        <is>
          <t>GÄVLE</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51897-2025</t>
        </is>
      </c>
      <c r="B6145" s="1" t="n">
        <v>45952.43728009259</v>
      </c>
      <c r="C6145" s="1" t="n">
        <v>46086</v>
      </c>
      <c r="D6145" t="inlineStr">
        <is>
          <t>GÄVLEBORGS LÄN</t>
        </is>
      </c>
      <c r="E6145" t="inlineStr">
        <is>
          <t>HUDIKSVALL</t>
        </is>
      </c>
      <c r="F6145" t="inlineStr">
        <is>
          <t>Naturvårdsverket</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51974-2025</t>
        </is>
      </c>
      <c r="B6146" s="1" t="n">
        <v>45952.5591087963</v>
      </c>
      <c r="C6146" s="1" t="n">
        <v>46086</v>
      </c>
      <c r="D6146" t="inlineStr">
        <is>
          <t>GÄVLEBORGS LÄN</t>
        </is>
      </c>
      <c r="E6146" t="inlineStr">
        <is>
          <t>LJUSDAL</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51862-2025</t>
        </is>
      </c>
      <c r="B6147" s="1" t="n">
        <v>45952.3700925926</v>
      </c>
      <c r="C6147" s="1" t="n">
        <v>46086</v>
      </c>
      <c r="D6147" t="inlineStr">
        <is>
          <t>GÄVLEBORGS LÄN</t>
        </is>
      </c>
      <c r="E6147" t="inlineStr">
        <is>
          <t>BOLLNÄS</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51867-2025</t>
        </is>
      </c>
      <c r="B6148" s="1" t="n">
        <v>45952.37996527777</v>
      </c>
      <c r="C6148" s="1" t="n">
        <v>46086</v>
      </c>
      <c r="D6148" t="inlineStr">
        <is>
          <t>GÄVLEBORGS LÄN</t>
        </is>
      </c>
      <c r="E6148" t="inlineStr">
        <is>
          <t>BOLLNÄS</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17405-2025</t>
        </is>
      </c>
      <c r="B6149" s="1" t="n">
        <v>45757.36209490741</v>
      </c>
      <c r="C6149" s="1" t="n">
        <v>46086</v>
      </c>
      <c r="D6149" t="inlineStr">
        <is>
          <t>GÄVLEBORGS LÄN</t>
        </is>
      </c>
      <c r="E6149" t="inlineStr">
        <is>
          <t>SANDVIKEN</t>
        </is>
      </c>
      <c r="F6149" t="inlineStr">
        <is>
          <t>Bergvik skog öst AB</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51892-2025</t>
        </is>
      </c>
      <c r="B6150" s="1" t="n">
        <v>45952.42239583333</v>
      </c>
      <c r="C6150" s="1" t="n">
        <v>46086</v>
      </c>
      <c r="D6150" t="inlineStr">
        <is>
          <t>GÄVLEBORGS LÄN</t>
        </is>
      </c>
      <c r="E6150" t="inlineStr">
        <is>
          <t>OCKELBO</t>
        </is>
      </c>
      <c r="F6150" t="inlineStr">
        <is>
          <t>Bergvik skog väst AB</t>
        </is>
      </c>
      <c r="G6150" t="n">
        <v>7.5</v>
      </c>
      <c r="H6150" t="n">
        <v>0</v>
      </c>
      <c r="I6150" t="n">
        <v>0</v>
      </c>
      <c r="J6150" t="n">
        <v>0</v>
      </c>
      <c r="K6150" t="n">
        <v>0</v>
      </c>
      <c r="L6150" t="n">
        <v>0</v>
      </c>
      <c r="M6150" t="n">
        <v>0</v>
      </c>
      <c r="N6150" t="n">
        <v>0</v>
      </c>
      <c r="O6150" t="n">
        <v>0</v>
      </c>
      <c r="P6150" t="n">
        <v>0</v>
      </c>
      <c r="Q6150" t="n">
        <v>0</v>
      </c>
      <c r="R6150" s="2" t="inlineStr"/>
    </row>
    <row r="6151" ht="15" customHeight="1">
      <c r="A6151" t="inlineStr">
        <is>
          <t>A 7227-2023</t>
        </is>
      </c>
      <c r="B6151" s="1" t="n">
        <v>44970.59476851852</v>
      </c>
      <c r="C6151" s="1" t="n">
        <v>46086</v>
      </c>
      <c r="D6151" t="inlineStr">
        <is>
          <t>GÄVLEBORGS LÄN</t>
        </is>
      </c>
      <c r="E6151" t="inlineStr">
        <is>
          <t>OVANÅKER</t>
        </is>
      </c>
      <c r="G6151" t="n">
        <v>14.6</v>
      </c>
      <c r="H6151" t="n">
        <v>0</v>
      </c>
      <c r="I6151" t="n">
        <v>0</v>
      </c>
      <c r="J6151" t="n">
        <v>0</v>
      </c>
      <c r="K6151" t="n">
        <v>0</v>
      </c>
      <c r="L6151" t="n">
        <v>0</v>
      </c>
      <c r="M6151" t="n">
        <v>0</v>
      </c>
      <c r="N6151" t="n">
        <v>0</v>
      </c>
      <c r="O6151" t="n">
        <v>0</v>
      </c>
      <c r="P6151" t="n">
        <v>0</v>
      </c>
      <c r="Q6151" t="n">
        <v>0</v>
      </c>
      <c r="R6151" s="2" t="inlineStr"/>
    </row>
    <row r="6152" ht="15" customHeight="1">
      <c r="A6152" t="inlineStr">
        <is>
          <t>A 52262-2025</t>
        </is>
      </c>
      <c r="B6152" s="1" t="n">
        <v>45953.52407407408</v>
      </c>
      <c r="C6152" s="1" t="n">
        <v>46086</v>
      </c>
      <c r="D6152" t="inlineStr">
        <is>
          <t>GÄVLEBORGS LÄN</t>
        </is>
      </c>
      <c r="E6152" t="inlineStr">
        <is>
          <t>HUDIKSVALL</t>
        </is>
      </c>
      <c r="G6152" t="n">
        <v>4.5</v>
      </c>
      <c r="H6152" t="n">
        <v>0</v>
      </c>
      <c r="I6152" t="n">
        <v>0</v>
      </c>
      <c r="J6152" t="n">
        <v>0</v>
      </c>
      <c r="K6152" t="n">
        <v>0</v>
      </c>
      <c r="L6152" t="n">
        <v>0</v>
      </c>
      <c r="M6152" t="n">
        <v>0</v>
      </c>
      <c r="N6152" t="n">
        <v>0</v>
      </c>
      <c r="O6152" t="n">
        <v>0</v>
      </c>
      <c r="P6152" t="n">
        <v>0</v>
      </c>
      <c r="Q6152" t="n">
        <v>0</v>
      </c>
      <c r="R6152" s="2" t="inlineStr"/>
    </row>
    <row r="6153" ht="15" customHeight="1">
      <c r="A6153" t="inlineStr">
        <is>
          <t>A 23072-2024</t>
        </is>
      </c>
      <c r="B6153" s="1" t="n">
        <v>45450.46739583334</v>
      </c>
      <c r="C6153" s="1" t="n">
        <v>46086</v>
      </c>
      <c r="D6153" t="inlineStr">
        <is>
          <t>GÄVLEBORGS LÄN</t>
        </is>
      </c>
      <c r="E6153" t="inlineStr">
        <is>
          <t>OCKELBO</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52241-2025</t>
        </is>
      </c>
      <c r="B6154" s="1" t="n">
        <v>45953.46417824074</v>
      </c>
      <c r="C6154" s="1" t="n">
        <v>46086</v>
      </c>
      <c r="D6154" t="inlineStr">
        <is>
          <t>GÄVLEBORGS LÄN</t>
        </is>
      </c>
      <c r="E6154" t="inlineStr">
        <is>
          <t>OCKELBO</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51525-2023</t>
        </is>
      </c>
      <c r="B6155" s="1" t="n">
        <v>45222.39458333333</v>
      </c>
      <c r="C6155" s="1" t="n">
        <v>46086</v>
      </c>
      <c r="D6155" t="inlineStr">
        <is>
          <t>GÄVLEBORGS LÄN</t>
        </is>
      </c>
      <c r="E6155" t="inlineStr">
        <is>
          <t>LJUSDAL</t>
        </is>
      </c>
      <c r="G6155" t="n">
        <v>3.7</v>
      </c>
      <c r="H6155" t="n">
        <v>0</v>
      </c>
      <c r="I6155" t="n">
        <v>0</v>
      </c>
      <c r="J6155" t="n">
        <v>0</v>
      </c>
      <c r="K6155" t="n">
        <v>0</v>
      </c>
      <c r="L6155" t="n">
        <v>0</v>
      </c>
      <c r="M6155" t="n">
        <v>0</v>
      </c>
      <c r="N6155" t="n">
        <v>0</v>
      </c>
      <c r="O6155" t="n">
        <v>0</v>
      </c>
      <c r="P6155" t="n">
        <v>0</v>
      </c>
      <c r="Q6155" t="n">
        <v>0</v>
      </c>
      <c r="R6155" s="2" t="inlineStr"/>
    </row>
    <row r="6156" ht="15" customHeight="1">
      <c r="A6156" t="inlineStr">
        <is>
          <t>A 17241-2023</t>
        </is>
      </c>
      <c r="B6156" s="1" t="n">
        <v>45035.35208333333</v>
      </c>
      <c r="C6156" s="1" t="n">
        <v>46086</v>
      </c>
      <c r="D6156" t="inlineStr">
        <is>
          <t>GÄVLEBORGS LÄN</t>
        </is>
      </c>
      <c r="E6156" t="inlineStr">
        <is>
          <t>LJUSDAL</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20999-2022</t>
        </is>
      </c>
      <c r="B6157" s="1" t="n">
        <v>44701</v>
      </c>
      <c r="C6157" s="1" t="n">
        <v>46086</v>
      </c>
      <c r="D6157" t="inlineStr">
        <is>
          <t>GÄVLEBORGS LÄN</t>
        </is>
      </c>
      <c r="E6157" t="inlineStr">
        <is>
          <t>GÄVLE</t>
        </is>
      </c>
      <c r="F6157" t="inlineStr">
        <is>
          <t>Bergvik skog väst AB</t>
        </is>
      </c>
      <c r="G6157" t="n">
        <v>26.3</v>
      </c>
      <c r="H6157" t="n">
        <v>0</v>
      </c>
      <c r="I6157" t="n">
        <v>0</v>
      </c>
      <c r="J6157" t="n">
        <v>0</v>
      </c>
      <c r="K6157" t="n">
        <v>0</v>
      </c>
      <c r="L6157" t="n">
        <v>0</v>
      </c>
      <c r="M6157" t="n">
        <v>0</v>
      </c>
      <c r="N6157" t="n">
        <v>0</v>
      </c>
      <c r="O6157" t="n">
        <v>0</v>
      </c>
      <c r="P6157" t="n">
        <v>0</v>
      </c>
      <c r="Q6157" t="n">
        <v>0</v>
      </c>
      <c r="R6157" s="2" t="inlineStr"/>
    </row>
    <row r="6158" ht="15" customHeight="1">
      <c r="A6158" t="inlineStr">
        <is>
          <t>A 52482-2025</t>
        </is>
      </c>
      <c r="B6158" s="1" t="n">
        <v>45954.47388888889</v>
      </c>
      <c r="C6158" s="1" t="n">
        <v>46086</v>
      </c>
      <c r="D6158" t="inlineStr">
        <is>
          <t>GÄVLEBORGS LÄN</t>
        </is>
      </c>
      <c r="E6158" t="inlineStr">
        <is>
          <t>LJUSDAL</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52494-2025</t>
        </is>
      </c>
      <c r="B6159" s="1" t="n">
        <v>45954.48731481482</v>
      </c>
      <c r="C6159" s="1" t="n">
        <v>46086</v>
      </c>
      <c r="D6159" t="inlineStr">
        <is>
          <t>GÄVLEBORGS LÄN</t>
        </is>
      </c>
      <c r="E6159" t="inlineStr">
        <is>
          <t>SÖDERHAMN</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52501-2025</t>
        </is>
      </c>
      <c r="B6160" s="1" t="n">
        <v>45954</v>
      </c>
      <c r="C6160" s="1" t="n">
        <v>46086</v>
      </c>
      <c r="D6160" t="inlineStr">
        <is>
          <t>GÄVLEBORGS LÄN</t>
        </is>
      </c>
      <c r="E6160" t="inlineStr">
        <is>
          <t>BOLLNÄS</t>
        </is>
      </c>
      <c r="G6160" t="n">
        <v>7.2</v>
      </c>
      <c r="H6160" t="n">
        <v>0</v>
      </c>
      <c r="I6160" t="n">
        <v>0</v>
      </c>
      <c r="J6160" t="n">
        <v>0</v>
      </c>
      <c r="K6160" t="n">
        <v>0</v>
      </c>
      <c r="L6160" t="n">
        <v>0</v>
      </c>
      <c r="M6160" t="n">
        <v>0</v>
      </c>
      <c r="N6160" t="n">
        <v>0</v>
      </c>
      <c r="O6160" t="n">
        <v>0</v>
      </c>
      <c r="P6160" t="n">
        <v>0</v>
      </c>
      <c r="Q6160" t="n">
        <v>0</v>
      </c>
      <c r="R6160" s="2" t="inlineStr"/>
    </row>
    <row r="6161" ht="15" customHeight="1">
      <c r="A6161" t="inlineStr">
        <is>
          <t>A 38646-2025</t>
        </is>
      </c>
      <c r="B6161" s="1" t="n">
        <v>45884.57827546296</v>
      </c>
      <c r="C6161" s="1" t="n">
        <v>46086</v>
      </c>
      <c r="D6161" t="inlineStr">
        <is>
          <t>GÄVLEBORGS LÄN</t>
        </is>
      </c>
      <c r="E6161" t="inlineStr">
        <is>
          <t>LJUSDAL</t>
        </is>
      </c>
      <c r="F6161" t="inlineStr">
        <is>
          <t>Allmännings- och besparingsskogar</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38652-2025</t>
        </is>
      </c>
      <c r="B6162" s="1" t="n">
        <v>45884.59181712963</v>
      </c>
      <c r="C6162" s="1" t="n">
        <v>46086</v>
      </c>
      <c r="D6162" t="inlineStr">
        <is>
          <t>GÄVLEBORGS LÄN</t>
        </is>
      </c>
      <c r="E6162" t="inlineStr">
        <is>
          <t>OCKELBO</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57781-2024</t>
        </is>
      </c>
      <c r="B6163" s="1" t="n">
        <v>45631</v>
      </c>
      <c r="C6163" s="1" t="n">
        <v>46086</v>
      </c>
      <c r="D6163" t="inlineStr">
        <is>
          <t>GÄVLEBORGS LÄN</t>
        </is>
      </c>
      <c r="E6163" t="inlineStr">
        <is>
          <t>BOLLNÄS</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10445-2024</t>
        </is>
      </c>
      <c r="B6164" s="1" t="n">
        <v>45366.33762731482</v>
      </c>
      <c r="C6164" s="1" t="n">
        <v>46086</v>
      </c>
      <c r="D6164" t="inlineStr">
        <is>
          <t>GÄVLEBORGS LÄN</t>
        </is>
      </c>
      <c r="E6164" t="inlineStr">
        <is>
          <t>OCKELBO</t>
        </is>
      </c>
      <c r="F6164" t="inlineStr">
        <is>
          <t>Bergvik skog väst AB</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52970-2025</t>
        </is>
      </c>
      <c r="B6165" s="1" t="n">
        <v>45957.67456018519</v>
      </c>
      <c r="C6165" s="1" t="n">
        <v>46086</v>
      </c>
      <c r="D6165" t="inlineStr">
        <is>
          <t>GÄVLEBORGS LÄN</t>
        </is>
      </c>
      <c r="E6165" t="inlineStr">
        <is>
          <t>GÄVLE</t>
        </is>
      </c>
      <c r="F6165" t="inlineStr">
        <is>
          <t>Bergvik skog väst AB</t>
        </is>
      </c>
      <c r="G6165" t="n">
        <v>6.5</v>
      </c>
      <c r="H6165" t="n">
        <v>0</v>
      </c>
      <c r="I6165" t="n">
        <v>0</v>
      </c>
      <c r="J6165" t="n">
        <v>0</v>
      </c>
      <c r="K6165" t="n">
        <v>0</v>
      </c>
      <c r="L6165" t="n">
        <v>0</v>
      </c>
      <c r="M6165" t="n">
        <v>0</v>
      </c>
      <c r="N6165" t="n">
        <v>0</v>
      </c>
      <c r="O6165" t="n">
        <v>0</v>
      </c>
      <c r="P6165" t="n">
        <v>0</v>
      </c>
      <c r="Q6165" t="n">
        <v>0</v>
      </c>
      <c r="R6165" s="2" t="inlineStr"/>
    </row>
    <row r="6166" ht="15" customHeight="1">
      <c r="A6166" t="inlineStr">
        <is>
          <t>A 14413-2021</t>
        </is>
      </c>
      <c r="B6166" s="1" t="n">
        <v>44279</v>
      </c>
      <c r="C6166" s="1" t="n">
        <v>46086</v>
      </c>
      <c r="D6166" t="inlineStr">
        <is>
          <t>GÄVLEBORGS LÄN</t>
        </is>
      </c>
      <c r="E6166" t="inlineStr">
        <is>
          <t>OVANÅKER</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54772-2022</t>
        </is>
      </c>
      <c r="B6167" s="1" t="n">
        <v>44883</v>
      </c>
      <c r="C6167" s="1" t="n">
        <v>46086</v>
      </c>
      <c r="D6167" t="inlineStr">
        <is>
          <t>GÄVLEBORGS LÄN</t>
        </is>
      </c>
      <c r="E6167" t="inlineStr">
        <is>
          <t>BOLLNÄS</t>
        </is>
      </c>
      <c r="G6167" t="n">
        <v>12.5</v>
      </c>
      <c r="H6167" t="n">
        <v>0</v>
      </c>
      <c r="I6167" t="n">
        <v>0</v>
      </c>
      <c r="J6167" t="n">
        <v>0</v>
      </c>
      <c r="K6167" t="n">
        <v>0</v>
      </c>
      <c r="L6167" t="n">
        <v>0</v>
      </c>
      <c r="M6167" t="n">
        <v>0</v>
      </c>
      <c r="N6167" t="n">
        <v>0</v>
      </c>
      <c r="O6167" t="n">
        <v>0</v>
      </c>
      <c r="P6167" t="n">
        <v>0</v>
      </c>
      <c r="Q6167" t="n">
        <v>0</v>
      </c>
      <c r="R6167" s="2" t="inlineStr"/>
    </row>
    <row r="6168" ht="15" customHeight="1">
      <c r="A6168" t="inlineStr">
        <is>
          <t>A 58602-2024</t>
        </is>
      </c>
      <c r="B6168" s="1" t="n">
        <v>45635.54371527778</v>
      </c>
      <c r="C6168" s="1" t="n">
        <v>46086</v>
      </c>
      <c r="D6168" t="inlineStr">
        <is>
          <t>GÄVLEBORGS LÄN</t>
        </is>
      </c>
      <c r="E6168" t="inlineStr">
        <is>
          <t>LJUSDAL</t>
        </is>
      </c>
      <c r="F6168" t="inlineStr">
        <is>
          <t>Allmännings- och besparingsskogar</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50742-2025</t>
        </is>
      </c>
      <c r="B6169" s="1" t="n">
        <v>45946.38253472222</v>
      </c>
      <c r="C6169" s="1" t="n">
        <v>46086</v>
      </c>
      <c r="D6169" t="inlineStr">
        <is>
          <t>GÄVLEBORGS LÄN</t>
        </is>
      </c>
      <c r="E6169" t="inlineStr">
        <is>
          <t>OCKELBO</t>
        </is>
      </c>
      <c r="F6169" t="inlineStr">
        <is>
          <t>Bergvik skog väst AB</t>
        </is>
      </c>
      <c r="G6169" t="n">
        <v>4.3</v>
      </c>
      <c r="H6169" t="n">
        <v>0</v>
      </c>
      <c r="I6169" t="n">
        <v>0</v>
      </c>
      <c r="J6169" t="n">
        <v>0</v>
      </c>
      <c r="K6169" t="n">
        <v>0</v>
      </c>
      <c r="L6169" t="n">
        <v>0</v>
      </c>
      <c r="M6169" t="n">
        <v>0</v>
      </c>
      <c r="N6169" t="n">
        <v>0</v>
      </c>
      <c r="O6169" t="n">
        <v>0</v>
      </c>
      <c r="P6169" t="n">
        <v>0</v>
      </c>
      <c r="Q6169" t="n">
        <v>0</v>
      </c>
      <c r="R6169" s="2" t="inlineStr"/>
    </row>
    <row r="6170" ht="15" customHeight="1">
      <c r="A6170" t="inlineStr">
        <is>
          <t>A 52559-2025</t>
        </is>
      </c>
      <c r="B6170" s="1" t="n">
        <v>45954.56931712963</v>
      </c>
      <c r="C6170" s="1" t="n">
        <v>46086</v>
      </c>
      <c r="D6170" t="inlineStr">
        <is>
          <t>GÄVLEBORGS LÄN</t>
        </is>
      </c>
      <c r="E6170" t="inlineStr">
        <is>
          <t>LJUSDAL</t>
        </is>
      </c>
      <c r="G6170" t="n">
        <v>7.3</v>
      </c>
      <c r="H6170" t="n">
        <v>0</v>
      </c>
      <c r="I6170" t="n">
        <v>0</v>
      </c>
      <c r="J6170" t="n">
        <v>0</v>
      </c>
      <c r="K6170" t="n">
        <v>0</v>
      </c>
      <c r="L6170" t="n">
        <v>0</v>
      </c>
      <c r="M6170" t="n">
        <v>0</v>
      </c>
      <c r="N6170" t="n">
        <v>0</v>
      </c>
      <c r="O6170" t="n">
        <v>0</v>
      </c>
      <c r="P6170" t="n">
        <v>0</v>
      </c>
      <c r="Q6170" t="n">
        <v>0</v>
      </c>
      <c r="R6170" s="2" t="inlineStr"/>
    </row>
    <row r="6171" ht="15" customHeight="1">
      <c r="A6171" t="inlineStr">
        <is>
          <t>A 52583-2025</t>
        </is>
      </c>
      <c r="B6171" s="1" t="n">
        <v>45954.62133101852</v>
      </c>
      <c r="C6171" s="1" t="n">
        <v>46086</v>
      </c>
      <c r="D6171" t="inlineStr">
        <is>
          <t>GÄVLEBORGS LÄN</t>
        </is>
      </c>
      <c r="E6171" t="inlineStr">
        <is>
          <t>BOLLNÄS</t>
        </is>
      </c>
      <c r="G6171" t="n">
        <v>3.4</v>
      </c>
      <c r="H6171" t="n">
        <v>0</v>
      </c>
      <c r="I6171" t="n">
        <v>0</v>
      </c>
      <c r="J6171" t="n">
        <v>0</v>
      </c>
      <c r="K6171" t="n">
        <v>0</v>
      </c>
      <c r="L6171" t="n">
        <v>0</v>
      </c>
      <c r="M6171" t="n">
        <v>0</v>
      </c>
      <c r="N6171" t="n">
        <v>0</v>
      </c>
      <c r="O6171" t="n">
        <v>0</v>
      </c>
      <c r="P6171" t="n">
        <v>0</v>
      </c>
      <c r="Q6171" t="n">
        <v>0</v>
      </c>
      <c r="R6171" s="2" t="inlineStr"/>
    </row>
    <row r="6172" ht="15" customHeight="1">
      <c r="A6172" t="inlineStr">
        <is>
          <t>A 20115-2025</t>
        </is>
      </c>
      <c r="B6172" s="1" t="n">
        <v>45772.48476851852</v>
      </c>
      <c r="C6172" s="1" t="n">
        <v>46086</v>
      </c>
      <c r="D6172" t="inlineStr">
        <is>
          <t>GÄVLEBORGS LÄN</t>
        </is>
      </c>
      <c r="E6172" t="inlineStr">
        <is>
          <t>OVANÅKER</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52693-2025</t>
        </is>
      </c>
      <c r="B6173" s="1" t="n">
        <v>45956.58960648148</v>
      </c>
      <c r="C6173" s="1" t="n">
        <v>46086</v>
      </c>
      <c r="D6173" t="inlineStr">
        <is>
          <t>GÄVLEBORGS LÄN</t>
        </is>
      </c>
      <c r="E6173" t="inlineStr">
        <is>
          <t>HOFORS</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36250-2024</t>
        </is>
      </c>
      <c r="B6174" s="1" t="n">
        <v>45534</v>
      </c>
      <c r="C6174" s="1" t="n">
        <v>46086</v>
      </c>
      <c r="D6174" t="inlineStr">
        <is>
          <t>GÄVLEBORGS LÄN</t>
        </is>
      </c>
      <c r="E6174" t="inlineStr">
        <is>
          <t>NORDANSTIG</t>
        </is>
      </c>
      <c r="F6174" t="inlineStr">
        <is>
          <t>Holmen skog AB</t>
        </is>
      </c>
      <c r="G6174" t="n">
        <v>7.2</v>
      </c>
      <c r="H6174" t="n">
        <v>0</v>
      </c>
      <c r="I6174" t="n">
        <v>0</v>
      </c>
      <c r="J6174" t="n">
        <v>0</v>
      </c>
      <c r="K6174" t="n">
        <v>0</v>
      </c>
      <c r="L6174" t="n">
        <v>0</v>
      </c>
      <c r="M6174" t="n">
        <v>0</v>
      </c>
      <c r="N6174" t="n">
        <v>0</v>
      </c>
      <c r="O6174" t="n">
        <v>0</v>
      </c>
      <c r="P6174" t="n">
        <v>0</v>
      </c>
      <c r="Q6174" t="n">
        <v>0</v>
      </c>
      <c r="R6174" s="2" t="inlineStr"/>
    </row>
    <row r="6175" ht="15" customHeight="1">
      <c r="A6175" t="inlineStr">
        <is>
          <t>A 52917-2025</t>
        </is>
      </c>
      <c r="B6175" s="1" t="n">
        <v>45957.61104166666</v>
      </c>
      <c r="C6175" s="1" t="n">
        <v>46086</v>
      </c>
      <c r="D6175" t="inlineStr">
        <is>
          <t>GÄVLEBORGS LÄN</t>
        </is>
      </c>
      <c r="E6175" t="inlineStr">
        <is>
          <t>SÖDERHAMN</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47651-2023</t>
        </is>
      </c>
      <c r="B6176" s="1" t="n">
        <v>45203</v>
      </c>
      <c r="C6176" s="1" t="n">
        <v>46086</v>
      </c>
      <c r="D6176" t="inlineStr">
        <is>
          <t>GÄVLEBORGS LÄN</t>
        </is>
      </c>
      <c r="E6176" t="inlineStr">
        <is>
          <t>SANDVIKEN</t>
        </is>
      </c>
      <c r="F6176" t="inlineStr">
        <is>
          <t>Kommuner</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33850-2023</t>
        </is>
      </c>
      <c r="B6177" s="1" t="n">
        <v>45133.69795138889</v>
      </c>
      <c r="C6177" s="1" t="n">
        <v>46086</v>
      </c>
      <c r="D6177" t="inlineStr">
        <is>
          <t>GÄVLEBORGS LÄN</t>
        </is>
      </c>
      <c r="E6177" t="inlineStr">
        <is>
          <t>LJUSDAL</t>
        </is>
      </c>
      <c r="F6177" t="inlineStr">
        <is>
          <t>Holmen skog AB</t>
        </is>
      </c>
      <c r="G6177" t="n">
        <v>5.4</v>
      </c>
      <c r="H6177" t="n">
        <v>0</v>
      </c>
      <c r="I6177" t="n">
        <v>0</v>
      </c>
      <c r="J6177" t="n">
        <v>0</v>
      </c>
      <c r="K6177" t="n">
        <v>0</v>
      </c>
      <c r="L6177" t="n">
        <v>0</v>
      </c>
      <c r="M6177" t="n">
        <v>0</v>
      </c>
      <c r="N6177" t="n">
        <v>0</v>
      </c>
      <c r="O6177" t="n">
        <v>0</v>
      </c>
      <c r="P6177" t="n">
        <v>0</v>
      </c>
      <c r="Q6177" t="n">
        <v>0</v>
      </c>
      <c r="R6177" s="2" t="inlineStr"/>
    </row>
    <row r="6178" ht="15" customHeight="1">
      <c r="A6178" t="inlineStr">
        <is>
          <t>A 13498-2024</t>
        </is>
      </c>
      <c r="B6178" s="1" t="n">
        <v>45387.63298611111</v>
      </c>
      <c r="C6178" s="1" t="n">
        <v>46086</v>
      </c>
      <c r="D6178" t="inlineStr">
        <is>
          <t>GÄVLEBORGS LÄN</t>
        </is>
      </c>
      <c r="E6178" t="inlineStr">
        <is>
          <t>LJUSDAL</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52400-2025</t>
        </is>
      </c>
      <c r="B6179" s="1" t="n">
        <v>45954.34914351852</v>
      </c>
      <c r="C6179" s="1" t="n">
        <v>46086</v>
      </c>
      <c r="D6179" t="inlineStr">
        <is>
          <t>GÄVLEBORGS LÄN</t>
        </is>
      </c>
      <c r="E6179" t="inlineStr">
        <is>
          <t>OVANÅKER</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52447-2025</t>
        </is>
      </c>
      <c r="B6180" s="1" t="n">
        <v>45954.41811342593</v>
      </c>
      <c r="C6180" s="1" t="n">
        <v>46086</v>
      </c>
      <c r="D6180" t="inlineStr">
        <is>
          <t>GÄVLEBORGS LÄN</t>
        </is>
      </c>
      <c r="E6180" t="inlineStr">
        <is>
          <t>BOLLNÄS</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60838-2025</t>
        </is>
      </c>
      <c r="B6181" s="1" t="n">
        <v>45999.48393518518</v>
      </c>
      <c r="C6181" s="1" t="n">
        <v>46086</v>
      </c>
      <c r="D6181" t="inlineStr">
        <is>
          <t>GÄVLEBORGS LÄN</t>
        </is>
      </c>
      <c r="E6181" t="inlineStr">
        <is>
          <t>LJUSDAL</t>
        </is>
      </c>
      <c r="F6181" t="inlineStr">
        <is>
          <t>Sveaskog</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10587-2022</t>
        </is>
      </c>
      <c r="B6182" s="1" t="n">
        <v>44624</v>
      </c>
      <c r="C6182" s="1" t="n">
        <v>46086</v>
      </c>
      <c r="D6182" t="inlineStr">
        <is>
          <t>GÄVLEBORGS LÄN</t>
        </is>
      </c>
      <c r="E6182" t="inlineStr">
        <is>
          <t>HOFORS</t>
        </is>
      </c>
      <c r="G6182" t="n">
        <v>5</v>
      </c>
      <c r="H6182" t="n">
        <v>0</v>
      </c>
      <c r="I6182" t="n">
        <v>0</v>
      </c>
      <c r="J6182" t="n">
        <v>0</v>
      </c>
      <c r="K6182" t="n">
        <v>0</v>
      </c>
      <c r="L6182" t="n">
        <v>0</v>
      </c>
      <c r="M6182" t="n">
        <v>0</v>
      </c>
      <c r="N6182" t="n">
        <v>0</v>
      </c>
      <c r="O6182" t="n">
        <v>0</v>
      </c>
      <c r="P6182" t="n">
        <v>0</v>
      </c>
      <c r="Q6182" t="n">
        <v>0</v>
      </c>
      <c r="R6182" s="2" t="inlineStr"/>
    </row>
    <row r="6183" ht="15" customHeight="1">
      <c r="A6183" t="inlineStr">
        <is>
          <t>A 52870-2025</t>
        </is>
      </c>
      <c r="B6183" s="1" t="n">
        <v>45957.51774305556</v>
      </c>
      <c r="C6183" s="1" t="n">
        <v>46086</v>
      </c>
      <c r="D6183" t="inlineStr">
        <is>
          <t>GÄVLEBORGS LÄN</t>
        </is>
      </c>
      <c r="E6183" t="inlineStr">
        <is>
          <t>HUDIKSVALL</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38572-2025</t>
        </is>
      </c>
      <c r="B6184" s="1" t="n">
        <v>45884.45953703704</v>
      </c>
      <c r="C6184" s="1" t="n">
        <v>46086</v>
      </c>
      <c r="D6184" t="inlineStr">
        <is>
          <t>GÄVLEBORGS LÄN</t>
        </is>
      </c>
      <c r="E6184" t="inlineStr">
        <is>
          <t>GÄVLE</t>
        </is>
      </c>
      <c r="F6184" t="inlineStr">
        <is>
          <t>Bergvik skog öst AB</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32062-2023</t>
        </is>
      </c>
      <c r="B6185" s="1" t="n">
        <v>45119.56549768519</v>
      </c>
      <c r="C6185" s="1" t="n">
        <v>46086</v>
      </c>
      <c r="D6185" t="inlineStr">
        <is>
          <t>GÄVLEBORGS LÄN</t>
        </is>
      </c>
      <c r="E6185" t="inlineStr">
        <is>
          <t>BOLLNÄS</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38545-2025</t>
        </is>
      </c>
      <c r="B6186" s="1" t="n">
        <v>45884.43402777778</v>
      </c>
      <c r="C6186" s="1" t="n">
        <v>46086</v>
      </c>
      <c r="D6186" t="inlineStr">
        <is>
          <t>GÄVLEBORGS LÄN</t>
        </is>
      </c>
      <c r="E6186" t="inlineStr">
        <is>
          <t>SÖDERHAMN</t>
        </is>
      </c>
      <c r="G6186" t="n">
        <v>2.3</v>
      </c>
      <c r="H6186" t="n">
        <v>0</v>
      </c>
      <c r="I6186" t="n">
        <v>0</v>
      </c>
      <c r="J6186" t="n">
        <v>0</v>
      </c>
      <c r="K6186" t="n">
        <v>0</v>
      </c>
      <c r="L6186" t="n">
        <v>0</v>
      </c>
      <c r="M6186" t="n">
        <v>0</v>
      </c>
      <c r="N6186" t="n">
        <v>0</v>
      </c>
      <c r="O6186" t="n">
        <v>0</v>
      </c>
      <c r="P6186" t="n">
        <v>0</v>
      </c>
      <c r="Q6186" t="n">
        <v>0</v>
      </c>
      <c r="R6186" s="2" t="inlineStr"/>
      <c r="U6186">
        <f>HYPERLINK("https://klasma.github.io/Logging_2182/knärot/A 38545-2025 karta knärot.png", "A 38545-2025")</f>
        <v/>
      </c>
      <c r="V6186">
        <f>HYPERLINK("https://klasma.github.io/Logging_2182/klagomål/A 38545-2025 FSC-klagomål.docx", "A 38545-2025")</f>
        <v/>
      </c>
      <c r="W6186">
        <f>HYPERLINK("https://klasma.github.io/Logging_2182/klagomålsmail/A 38545-2025 FSC-klagomål mail.docx", "A 38545-2025")</f>
        <v/>
      </c>
      <c r="X6186">
        <f>HYPERLINK("https://klasma.github.io/Logging_2182/tillsyn/A 38545-2025 tillsynsbegäran.docx", "A 38545-2025")</f>
        <v/>
      </c>
      <c r="Y6186">
        <f>HYPERLINK("https://klasma.github.io/Logging_2182/tillsynsmail/A 38545-2025 tillsynsbegäran mail.docx", "A 38545-2025")</f>
        <v/>
      </c>
    </row>
    <row r="6187" ht="15" customHeight="1">
      <c r="A6187" t="inlineStr">
        <is>
          <t>A 52568-2025</t>
        </is>
      </c>
      <c r="B6187" s="1" t="n">
        <v>45954.59832175926</v>
      </c>
      <c r="C6187" s="1" t="n">
        <v>46086</v>
      </c>
      <c r="D6187" t="inlineStr">
        <is>
          <t>GÄVLEBORGS LÄN</t>
        </is>
      </c>
      <c r="E6187" t="inlineStr">
        <is>
          <t>HUDIKSVALL</t>
        </is>
      </c>
      <c r="G6187" t="n">
        <v>8.199999999999999</v>
      </c>
      <c r="H6187" t="n">
        <v>0</v>
      </c>
      <c r="I6187" t="n">
        <v>0</v>
      </c>
      <c r="J6187" t="n">
        <v>0</v>
      </c>
      <c r="K6187" t="n">
        <v>0</v>
      </c>
      <c r="L6187" t="n">
        <v>0</v>
      </c>
      <c r="M6187" t="n">
        <v>0</v>
      </c>
      <c r="N6187" t="n">
        <v>0</v>
      </c>
      <c r="O6187" t="n">
        <v>0</v>
      </c>
      <c r="P6187" t="n">
        <v>0</v>
      </c>
      <c r="Q6187" t="n">
        <v>0</v>
      </c>
      <c r="R6187" s="2" t="inlineStr"/>
    </row>
    <row r="6188" ht="15" customHeight="1">
      <c r="A6188" t="inlineStr">
        <is>
          <t>A 32143-2024</t>
        </is>
      </c>
      <c r="B6188" s="1" t="n">
        <v>45511.55277777778</v>
      </c>
      <c r="C6188" s="1" t="n">
        <v>46086</v>
      </c>
      <c r="D6188" t="inlineStr">
        <is>
          <t>GÄVLEBORGS LÄN</t>
        </is>
      </c>
      <c r="E6188" t="inlineStr">
        <is>
          <t>GÄVLE</t>
        </is>
      </c>
      <c r="F6188" t="inlineStr">
        <is>
          <t>Bergvik skog väst AB</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32632-2024</t>
        </is>
      </c>
      <c r="B6189" s="1" t="n">
        <v>45513.88582175926</v>
      </c>
      <c r="C6189" s="1" t="n">
        <v>46086</v>
      </c>
      <c r="D6189" t="inlineStr">
        <is>
          <t>GÄVLEBORGS LÄN</t>
        </is>
      </c>
      <c r="E6189" t="inlineStr">
        <is>
          <t>HUDIKSVALL</t>
        </is>
      </c>
      <c r="F6189" t="inlineStr">
        <is>
          <t>Holmen skog AB</t>
        </is>
      </c>
      <c r="G6189" t="n">
        <v>6.6</v>
      </c>
      <c r="H6189" t="n">
        <v>0</v>
      </c>
      <c r="I6189" t="n">
        <v>0</v>
      </c>
      <c r="J6189" t="n">
        <v>0</v>
      </c>
      <c r="K6189" t="n">
        <v>0</v>
      </c>
      <c r="L6189" t="n">
        <v>0</v>
      </c>
      <c r="M6189" t="n">
        <v>0</v>
      </c>
      <c r="N6189" t="n">
        <v>0</v>
      </c>
      <c r="O6189" t="n">
        <v>0</v>
      </c>
      <c r="P6189" t="n">
        <v>0</v>
      </c>
      <c r="Q6189" t="n">
        <v>0</v>
      </c>
      <c r="R6189" s="2" t="inlineStr"/>
    </row>
    <row r="6190" ht="15" customHeight="1">
      <c r="A6190" t="inlineStr">
        <is>
          <t>A 52478-2025</t>
        </is>
      </c>
      <c r="B6190" s="1" t="n">
        <v>45954.4703125</v>
      </c>
      <c r="C6190" s="1" t="n">
        <v>46086</v>
      </c>
      <c r="D6190" t="inlineStr">
        <is>
          <t>GÄVLEBORGS LÄN</t>
        </is>
      </c>
      <c r="E6190" t="inlineStr">
        <is>
          <t>HUDIKSVALL</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16360-2025</t>
        </is>
      </c>
      <c r="B6191" s="1" t="n">
        <v>45751.39</v>
      </c>
      <c r="C6191" s="1" t="n">
        <v>46086</v>
      </c>
      <c r="D6191" t="inlineStr">
        <is>
          <t>GÄVLEBORGS LÄN</t>
        </is>
      </c>
      <c r="E6191" t="inlineStr">
        <is>
          <t>OVANÅKER</t>
        </is>
      </c>
      <c r="F6191" t="inlineStr">
        <is>
          <t>Bergvik skog öst AB</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38514-2025</t>
        </is>
      </c>
      <c r="B6192" s="1" t="n">
        <v>45884.3940162037</v>
      </c>
      <c r="C6192" s="1" t="n">
        <v>46086</v>
      </c>
      <c r="D6192" t="inlineStr">
        <is>
          <t>GÄVLEBORGS LÄN</t>
        </is>
      </c>
      <c r="E6192" t="inlineStr">
        <is>
          <t>NORDANSTIG</t>
        </is>
      </c>
      <c r="F6192" t="inlineStr">
        <is>
          <t>Holmen skog AB</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19846-2024</t>
        </is>
      </c>
      <c r="B6193" s="1" t="n">
        <v>45433.39193287037</v>
      </c>
      <c r="C6193" s="1" t="n">
        <v>46086</v>
      </c>
      <c r="D6193" t="inlineStr">
        <is>
          <t>GÄVLEBORGS LÄN</t>
        </is>
      </c>
      <c r="E6193" t="inlineStr">
        <is>
          <t>SÖDERHAMN</t>
        </is>
      </c>
      <c r="G6193" t="n">
        <v>4.8</v>
      </c>
      <c r="H6193" t="n">
        <v>0</v>
      </c>
      <c r="I6193" t="n">
        <v>0</v>
      </c>
      <c r="J6193" t="n">
        <v>0</v>
      </c>
      <c r="K6193" t="n">
        <v>0</v>
      </c>
      <c r="L6193" t="n">
        <v>0</v>
      </c>
      <c r="M6193" t="n">
        <v>0</v>
      </c>
      <c r="N6193" t="n">
        <v>0</v>
      </c>
      <c r="O6193" t="n">
        <v>0</v>
      </c>
      <c r="P6193" t="n">
        <v>0</v>
      </c>
      <c r="Q6193" t="n">
        <v>0</v>
      </c>
      <c r="R6193" s="2" t="inlineStr"/>
    </row>
    <row r="6194" ht="15" customHeight="1">
      <c r="A6194" t="inlineStr">
        <is>
          <t>A 52543-2025</t>
        </is>
      </c>
      <c r="B6194" s="1" t="n">
        <v>45954.55025462963</v>
      </c>
      <c r="C6194" s="1" t="n">
        <v>46086</v>
      </c>
      <c r="D6194" t="inlineStr">
        <is>
          <t>GÄVLEBORGS LÄN</t>
        </is>
      </c>
      <c r="E6194" t="inlineStr">
        <is>
          <t>OVANÅKER</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52445-2025</t>
        </is>
      </c>
      <c r="B6195" s="1" t="n">
        <v>45954.41722222222</v>
      </c>
      <c r="C6195" s="1" t="n">
        <v>46086</v>
      </c>
      <c r="D6195" t="inlineStr">
        <is>
          <t>GÄVLEBORGS LÄN</t>
        </is>
      </c>
      <c r="E6195" t="inlineStr">
        <is>
          <t>LJUSDAL</t>
        </is>
      </c>
      <c r="F6195" t="inlineStr">
        <is>
          <t>Allmännings- och besparingsskogar</t>
        </is>
      </c>
      <c r="G6195" t="n">
        <v>17.7</v>
      </c>
      <c r="H6195" t="n">
        <v>0</v>
      </c>
      <c r="I6195" t="n">
        <v>0</v>
      </c>
      <c r="J6195" t="n">
        <v>0</v>
      </c>
      <c r="K6195" t="n">
        <v>0</v>
      </c>
      <c r="L6195" t="n">
        <v>0</v>
      </c>
      <c r="M6195" t="n">
        <v>0</v>
      </c>
      <c r="N6195" t="n">
        <v>0</v>
      </c>
      <c r="O6195" t="n">
        <v>0</v>
      </c>
      <c r="P6195" t="n">
        <v>0</v>
      </c>
      <c r="Q6195" t="n">
        <v>0</v>
      </c>
      <c r="R6195" s="2" t="inlineStr"/>
    </row>
    <row r="6196" ht="15" customHeight="1">
      <c r="A6196" t="inlineStr">
        <is>
          <t>A 52880-2025</t>
        </is>
      </c>
      <c r="B6196" s="1" t="n">
        <v>45957.54447916667</v>
      </c>
      <c r="C6196" s="1" t="n">
        <v>46086</v>
      </c>
      <c r="D6196" t="inlineStr">
        <is>
          <t>GÄVLEBORGS LÄN</t>
        </is>
      </c>
      <c r="E6196" t="inlineStr">
        <is>
          <t>OCKELBO</t>
        </is>
      </c>
      <c r="F6196" t="inlineStr">
        <is>
          <t>Bergvik skog väst AB</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15646-2022</t>
        </is>
      </c>
      <c r="B6197" s="1" t="n">
        <v>44662.9243287037</v>
      </c>
      <c r="C6197" s="1" t="n">
        <v>46086</v>
      </c>
      <c r="D6197" t="inlineStr">
        <is>
          <t>GÄVLEBORGS LÄN</t>
        </is>
      </c>
      <c r="E6197" t="inlineStr">
        <is>
          <t>SÖDERHAMN</t>
        </is>
      </c>
      <c r="G6197" t="n">
        <v>7.6</v>
      </c>
      <c r="H6197" t="n">
        <v>0</v>
      </c>
      <c r="I6197" t="n">
        <v>0</v>
      </c>
      <c r="J6197" t="n">
        <v>0</v>
      </c>
      <c r="K6197" t="n">
        <v>0</v>
      </c>
      <c r="L6197" t="n">
        <v>0</v>
      </c>
      <c r="M6197" t="n">
        <v>0</v>
      </c>
      <c r="N6197" t="n">
        <v>0</v>
      </c>
      <c r="O6197" t="n">
        <v>0</v>
      </c>
      <c r="P6197" t="n">
        <v>0</v>
      </c>
      <c r="Q6197" t="n">
        <v>0</v>
      </c>
      <c r="R6197" s="2" t="inlineStr"/>
    </row>
    <row r="6198" ht="15" customHeight="1">
      <c r="A6198" t="inlineStr">
        <is>
          <t>A 52913-2025</t>
        </is>
      </c>
      <c r="B6198" s="1" t="n">
        <v>45957.6062962963</v>
      </c>
      <c r="C6198" s="1" t="n">
        <v>46086</v>
      </c>
      <c r="D6198" t="inlineStr">
        <is>
          <t>GÄVLEBORGS LÄN</t>
        </is>
      </c>
      <c r="E6198" t="inlineStr">
        <is>
          <t>SÖDERHAMN</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50827-2025</t>
        </is>
      </c>
      <c r="B6199" s="1" t="n">
        <v>45946.54997685185</v>
      </c>
      <c r="C6199" s="1" t="n">
        <v>46086</v>
      </c>
      <c r="D6199" t="inlineStr">
        <is>
          <t>GÄVLEBORGS LÄN</t>
        </is>
      </c>
      <c r="E6199" t="inlineStr">
        <is>
          <t>NORDANSTIG</t>
        </is>
      </c>
      <c r="G6199" t="n">
        <v>6.5</v>
      </c>
      <c r="H6199" t="n">
        <v>0</v>
      </c>
      <c r="I6199" t="n">
        <v>0</v>
      </c>
      <c r="J6199" t="n">
        <v>0</v>
      </c>
      <c r="K6199" t="n">
        <v>0</v>
      </c>
      <c r="L6199" t="n">
        <v>0</v>
      </c>
      <c r="M6199" t="n">
        <v>0</v>
      </c>
      <c r="N6199" t="n">
        <v>0</v>
      </c>
      <c r="O6199" t="n">
        <v>0</v>
      </c>
      <c r="P6199" t="n">
        <v>0</v>
      </c>
      <c r="Q6199" t="n">
        <v>0</v>
      </c>
      <c r="R6199" s="2" t="inlineStr"/>
    </row>
    <row r="6200" ht="15" customHeight="1">
      <c r="A6200" t="inlineStr">
        <is>
          <t>A 52890-2025</t>
        </is>
      </c>
      <c r="B6200" s="1" t="n">
        <v>45957.57528935185</v>
      </c>
      <c r="C6200" s="1" t="n">
        <v>46086</v>
      </c>
      <c r="D6200" t="inlineStr">
        <is>
          <t>GÄVLEBORGS LÄN</t>
        </is>
      </c>
      <c r="E6200" t="inlineStr">
        <is>
          <t>LJUSDAL</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52090-2023</t>
        </is>
      </c>
      <c r="B6201" s="1" t="n">
        <v>45223.77371527778</v>
      </c>
      <c r="C6201" s="1" t="n">
        <v>46086</v>
      </c>
      <c r="D6201" t="inlineStr">
        <is>
          <t>GÄVLEBORGS LÄN</t>
        </is>
      </c>
      <c r="E6201" t="inlineStr">
        <is>
          <t>SÖDERHAMN</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52092-2023</t>
        </is>
      </c>
      <c r="B6202" s="1" t="n">
        <v>45223.79653935185</v>
      </c>
      <c r="C6202" s="1" t="n">
        <v>46086</v>
      </c>
      <c r="D6202" t="inlineStr">
        <is>
          <t>GÄVLEBORGS LÄN</t>
        </is>
      </c>
      <c r="E6202" t="inlineStr">
        <is>
          <t>SÖDERHAMN</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39591-2024</t>
        </is>
      </c>
      <c r="B6203" s="1" t="n">
        <v>45552.37234953704</v>
      </c>
      <c r="C6203" s="1" t="n">
        <v>46086</v>
      </c>
      <c r="D6203" t="inlineStr">
        <is>
          <t>GÄVLEBORGS LÄN</t>
        </is>
      </c>
      <c r="E6203" t="inlineStr">
        <is>
          <t>SANDVIKEN</t>
        </is>
      </c>
      <c r="G6203" t="n">
        <v>3.8</v>
      </c>
      <c r="H6203" t="n">
        <v>0</v>
      </c>
      <c r="I6203" t="n">
        <v>0</v>
      </c>
      <c r="J6203" t="n">
        <v>0</v>
      </c>
      <c r="K6203" t="n">
        <v>0</v>
      </c>
      <c r="L6203" t="n">
        <v>0</v>
      </c>
      <c r="M6203" t="n">
        <v>0</v>
      </c>
      <c r="N6203" t="n">
        <v>0</v>
      </c>
      <c r="O6203" t="n">
        <v>0</v>
      </c>
      <c r="P6203" t="n">
        <v>0</v>
      </c>
      <c r="Q6203" t="n">
        <v>0</v>
      </c>
      <c r="R6203" s="2" t="inlineStr"/>
    </row>
    <row r="6204" ht="15" customHeight="1">
      <c r="A6204" t="inlineStr">
        <is>
          <t>A 52886-2025</t>
        </is>
      </c>
      <c r="B6204" s="1" t="n">
        <v>45957.56458333333</v>
      </c>
      <c r="C6204" s="1" t="n">
        <v>46086</v>
      </c>
      <c r="D6204" t="inlineStr">
        <is>
          <t>GÄVLEBORGS LÄN</t>
        </is>
      </c>
      <c r="E6204" t="inlineStr">
        <is>
          <t>SÖDERHAMN</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32106-2025</t>
        </is>
      </c>
      <c r="B6205" s="1" t="n">
        <v>45835</v>
      </c>
      <c r="C6205" s="1" t="n">
        <v>46086</v>
      </c>
      <c r="D6205" t="inlineStr">
        <is>
          <t>GÄVLEBORGS LÄN</t>
        </is>
      </c>
      <c r="E6205" t="inlineStr">
        <is>
          <t>LJUSDAL</t>
        </is>
      </c>
      <c r="F6205" t="inlineStr">
        <is>
          <t>Allmännings- och besparingsskogar</t>
        </is>
      </c>
      <c r="G6205" t="n">
        <v>11.9</v>
      </c>
      <c r="H6205" t="n">
        <v>0</v>
      </c>
      <c r="I6205" t="n">
        <v>0</v>
      </c>
      <c r="J6205" t="n">
        <v>0</v>
      </c>
      <c r="K6205" t="n">
        <v>0</v>
      </c>
      <c r="L6205" t="n">
        <v>0</v>
      </c>
      <c r="M6205" t="n">
        <v>0</v>
      </c>
      <c r="N6205" t="n">
        <v>0</v>
      </c>
      <c r="O6205" t="n">
        <v>0</v>
      </c>
      <c r="P6205" t="n">
        <v>0</v>
      </c>
      <c r="Q6205" t="n">
        <v>0</v>
      </c>
      <c r="R6205" s="2" t="inlineStr"/>
    </row>
    <row r="6206" ht="15" customHeight="1">
      <c r="A6206" t="inlineStr">
        <is>
          <t>A 15417-2025</t>
        </is>
      </c>
      <c r="B6206" s="1" t="n">
        <v>45747.45960648148</v>
      </c>
      <c r="C6206" s="1" t="n">
        <v>46086</v>
      </c>
      <c r="D6206" t="inlineStr">
        <is>
          <t>GÄVLEBORGS LÄN</t>
        </is>
      </c>
      <c r="E6206" t="inlineStr">
        <is>
          <t>SÖDERHAMN</t>
        </is>
      </c>
      <c r="G6206" t="n">
        <v>11.2</v>
      </c>
      <c r="H6206" t="n">
        <v>0</v>
      </c>
      <c r="I6206" t="n">
        <v>0</v>
      </c>
      <c r="J6206" t="n">
        <v>0</v>
      </c>
      <c r="K6206" t="n">
        <v>0</v>
      </c>
      <c r="L6206" t="n">
        <v>0</v>
      </c>
      <c r="M6206" t="n">
        <v>0</v>
      </c>
      <c r="N6206" t="n">
        <v>0</v>
      </c>
      <c r="O6206" t="n">
        <v>0</v>
      </c>
      <c r="P6206" t="n">
        <v>0</v>
      </c>
      <c r="Q6206" t="n">
        <v>0</v>
      </c>
      <c r="R6206" s="2" t="inlineStr"/>
    </row>
    <row r="6207" ht="15" customHeight="1">
      <c r="A6207" t="inlineStr">
        <is>
          <t>A 57570-2024</t>
        </is>
      </c>
      <c r="B6207" s="1" t="n">
        <v>45630.46627314815</v>
      </c>
      <c r="C6207" s="1" t="n">
        <v>46086</v>
      </c>
      <c r="D6207" t="inlineStr">
        <is>
          <t>GÄVLEBORGS LÄN</t>
        </is>
      </c>
      <c r="E6207" t="inlineStr">
        <is>
          <t>GÄVLE</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29369-2025</t>
        </is>
      </c>
      <c r="B6208" s="1" t="n">
        <v>45824.57314814815</v>
      </c>
      <c r="C6208" s="1" t="n">
        <v>46086</v>
      </c>
      <c r="D6208" t="inlineStr">
        <is>
          <t>GÄVLEBORGS LÄN</t>
        </is>
      </c>
      <c r="E6208" t="inlineStr">
        <is>
          <t>LJUSDAL</t>
        </is>
      </c>
      <c r="G6208" t="n">
        <v>8</v>
      </c>
      <c r="H6208" t="n">
        <v>0</v>
      </c>
      <c r="I6208" t="n">
        <v>0</v>
      </c>
      <c r="J6208" t="n">
        <v>0</v>
      </c>
      <c r="K6208" t="n">
        <v>0</v>
      </c>
      <c r="L6208" t="n">
        <v>0</v>
      </c>
      <c r="M6208" t="n">
        <v>0</v>
      </c>
      <c r="N6208" t="n">
        <v>0</v>
      </c>
      <c r="O6208" t="n">
        <v>0</v>
      </c>
      <c r="P6208" t="n">
        <v>0</v>
      </c>
      <c r="Q6208" t="n">
        <v>0</v>
      </c>
      <c r="R6208" s="2" t="inlineStr"/>
    </row>
    <row r="6209" ht="15" customHeight="1">
      <c r="A6209" t="inlineStr">
        <is>
          <t>A 52635-2025</t>
        </is>
      </c>
      <c r="B6209" s="1" t="n">
        <v>45954.7355787037</v>
      </c>
      <c r="C6209" s="1" t="n">
        <v>46086</v>
      </c>
      <c r="D6209" t="inlineStr">
        <is>
          <t>GÄVLEBORGS LÄN</t>
        </is>
      </c>
      <c r="E6209" t="inlineStr">
        <is>
          <t>OCKELBO</t>
        </is>
      </c>
      <c r="F6209" t="inlineStr">
        <is>
          <t>Bergvik skog väst AB</t>
        </is>
      </c>
      <c r="G6209" t="n">
        <v>5.1</v>
      </c>
      <c r="H6209" t="n">
        <v>0</v>
      </c>
      <c r="I6209" t="n">
        <v>0</v>
      </c>
      <c r="J6209" t="n">
        <v>0</v>
      </c>
      <c r="K6209" t="n">
        <v>0</v>
      </c>
      <c r="L6209" t="n">
        <v>0</v>
      </c>
      <c r="M6209" t="n">
        <v>0</v>
      </c>
      <c r="N6209" t="n">
        <v>0</v>
      </c>
      <c r="O6209" t="n">
        <v>0</v>
      </c>
      <c r="P6209" t="n">
        <v>0</v>
      </c>
      <c r="Q6209" t="n">
        <v>0</v>
      </c>
      <c r="R6209" s="2" t="inlineStr"/>
    </row>
    <row r="6210" ht="15" customHeight="1">
      <c r="A6210" t="inlineStr">
        <is>
          <t>A 52839-2025</t>
        </is>
      </c>
      <c r="B6210" s="1" t="n">
        <v>45957.475</v>
      </c>
      <c r="C6210" s="1" t="n">
        <v>46086</v>
      </c>
      <c r="D6210" t="inlineStr">
        <is>
          <t>GÄVLEBORGS LÄN</t>
        </is>
      </c>
      <c r="E6210" t="inlineStr">
        <is>
          <t>HUDIKSVALL</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52862-2025</t>
        </is>
      </c>
      <c r="B6211" s="1" t="n">
        <v>45957.50681712963</v>
      </c>
      <c r="C6211" s="1" t="n">
        <v>46086</v>
      </c>
      <c r="D6211" t="inlineStr">
        <is>
          <t>GÄVLEBORGS LÄN</t>
        </is>
      </c>
      <c r="E6211" t="inlineStr">
        <is>
          <t>HUDIKSVALL</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57970-2022</t>
        </is>
      </c>
      <c r="B6212" s="1" t="n">
        <v>44900</v>
      </c>
      <c r="C6212" s="1" t="n">
        <v>46086</v>
      </c>
      <c r="D6212" t="inlineStr">
        <is>
          <t>GÄVLEBORGS LÄN</t>
        </is>
      </c>
      <c r="E6212" t="inlineStr">
        <is>
          <t>NORDANSTIG</t>
        </is>
      </c>
      <c r="G6212" t="n">
        <v>5</v>
      </c>
      <c r="H6212" t="n">
        <v>0</v>
      </c>
      <c r="I6212" t="n">
        <v>0</v>
      </c>
      <c r="J6212" t="n">
        <v>0</v>
      </c>
      <c r="K6212" t="n">
        <v>0</v>
      </c>
      <c r="L6212" t="n">
        <v>0</v>
      </c>
      <c r="M6212" t="n">
        <v>0</v>
      </c>
      <c r="N6212" t="n">
        <v>0</v>
      </c>
      <c r="O6212" t="n">
        <v>0</v>
      </c>
      <c r="P6212" t="n">
        <v>0</v>
      </c>
      <c r="Q6212" t="n">
        <v>0</v>
      </c>
      <c r="R6212" s="2" t="inlineStr"/>
    </row>
    <row r="6213" ht="15" customHeight="1">
      <c r="A6213" t="inlineStr">
        <is>
          <t>A 52399-2025</t>
        </is>
      </c>
      <c r="B6213" s="1" t="n">
        <v>45954.34666666666</v>
      </c>
      <c r="C6213" s="1" t="n">
        <v>46086</v>
      </c>
      <c r="D6213" t="inlineStr">
        <is>
          <t>GÄVLEBORGS LÄN</t>
        </is>
      </c>
      <c r="E6213" t="inlineStr">
        <is>
          <t>OVANÅKER</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3679-2022</t>
        </is>
      </c>
      <c r="B6214" s="1" t="n">
        <v>44586</v>
      </c>
      <c r="C6214" s="1" t="n">
        <v>46086</v>
      </c>
      <c r="D6214" t="inlineStr">
        <is>
          <t>GÄVLEBORGS LÄN</t>
        </is>
      </c>
      <c r="E6214" t="inlineStr">
        <is>
          <t>SANDVIKEN</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52550-2025</t>
        </is>
      </c>
      <c r="B6215" s="1" t="n">
        <v>45954.55650462963</v>
      </c>
      <c r="C6215" s="1" t="n">
        <v>46086</v>
      </c>
      <c r="D6215" t="inlineStr">
        <is>
          <t>GÄVLEBORGS LÄN</t>
        </is>
      </c>
      <c r="E6215" t="inlineStr">
        <is>
          <t>OVANÅKER</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2274-2025</t>
        </is>
      </c>
      <c r="B6216" s="1" t="n">
        <v>45673.55641203704</v>
      </c>
      <c r="C6216" s="1" t="n">
        <v>46086</v>
      </c>
      <c r="D6216" t="inlineStr">
        <is>
          <t>GÄVLEBORGS LÄN</t>
        </is>
      </c>
      <c r="E6216" t="inlineStr">
        <is>
          <t>GÄVLE</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52461-2025</t>
        </is>
      </c>
      <c r="B6217" s="1" t="n">
        <v>45954.43909722222</v>
      </c>
      <c r="C6217" s="1" t="n">
        <v>46086</v>
      </c>
      <c r="D6217" t="inlineStr">
        <is>
          <t>GÄVLEBORGS LÄN</t>
        </is>
      </c>
      <c r="E6217" t="inlineStr">
        <is>
          <t>OCKELBO</t>
        </is>
      </c>
      <c r="F6217" t="inlineStr">
        <is>
          <t>Bergvik skog väst AB</t>
        </is>
      </c>
      <c r="G6217" t="n">
        <v>5.6</v>
      </c>
      <c r="H6217" t="n">
        <v>0</v>
      </c>
      <c r="I6217" t="n">
        <v>0</v>
      </c>
      <c r="J6217" t="n">
        <v>0</v>
      </c>
      <c r="K6217" t="n">
        <v>0</v>
      </c>
      <c r="L6217" t="n">
        <v>0</v>
      </c>
      <c r="M6217" t="n">
        <v>0</v>
      </c>
      <c r="N6217" t="n">
        <v>0</v>
      </c>
      <c r="O6217" t="n">
        <v>0</v>
      </c>
      <c r="P6217" t="n">
        <v>0</v>
      </c>
      <c r="Q6217" t="n">
        <v>0</v>
      </c>
      <c r="R6217" s="2" t="inlineStr"/>
    </row>
    <row r="6218" ht="15" customHeight="1">
      <c r="A6218" t="inlineStr">
        <is>
          <t>A 52487-2025</t>
        </is>
      </c>
      <c r="B6218" s="1" t="n">
        <v>45954.4796412037</v>
      </c>
      <c r="C6218" s="1" t="n">
        <v>46086</v>
      </c>
      <c r="D6218" t="inlineStr">
        <is>
          <t>GÄVLEBORGS LÄN</t>
        </is>
      </c>
      <c r="E6218" t="inlineStr">
        <is>
          <t>LJUSDAL</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6083-2025</t>
        </is>
      </c>
      <c r="B6219" s="1" t="n">
        <v>45697.61344907407</v>
      </c>
      <c r="C6219" s="1" t="n">
        <v>46086</v>
      </c>
      <c r="D6219" t="inlineStr">
        <is>
          <t>GÄVLEBORGS LÄN</t>
        </is>
      </c>
      <c r="E6219" t="inlineStr">
        <is>
          <t>HUDIKSVALL</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8035-2025</t>
        </is>
      </c>
      <c r="B6220" s="1" t="n">
        <v>45707.59410879629</v>
      </c>
      <c r="C6220" s="1" t="n">
        <v>46086</v>
      </c>
      <c r="D6220" t="inlineStr">
        <is>
          <t>GÄVLEBORGS LÄN</t>
        </is>
      </c>
      <c r="E6220" t="inlineStr">
        <is>
          <t>BOLLNÄS</t>
        </is>
      </c>
      <c r="F6220" t="inlineStr">
        <is>
          <t>Bergvik skog väst AB</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52197-2025</t>
        </is>
      </c>
      <c r="B6221" s="1" t="n">
        <v>45953.3990162037</v>
      </c>
      <c r="C6221" s="1" t="n">
        <v>46086</v>
      </c>
      <c r="D6221" t="inlineStr">
        <is>
          <t>GÄVLEBORGS LÄN</t>
        </is>
      </c>
      <c r="E6221" t="inlineStr">
        <is>
          <t>GÄVLE</t>
        </is>
      </c>
      <c r="F6221" t="inlineStr">
        <is>
          <t>Bergvik skog öst AB</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43395-2023</t>
        </is>
      </c>
      <c r="B6222" s="1" t="n">
        <v>45183.92149305555</v>
      </c>
      <c r="C6222" s="1" t="n">
        <v>46086</v>
      </c>
      <c r="D6222" t="inlineStr">
        <is>
          <t>GÄVLEBORGS LÄN</t>
        </is>
      </c>
      <c r="E6222" t="inlineStr">
        <is>
          <t>SÖDERHAMN</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52387-2025</t>
        </is>
      </c>
      <c r="B6223" s="1" t="n">
        <v>45954.30978009259</v>
      </c>
      <c r="C6223" s="1" t="n">
        <v>46086</v>
      </c>
      <c r="D6223" t="inlineStr">
        <is>
          <t>GÄVLEBORGS LÄN</t>
        </is>
      </c>
      <c r="E6223" t="inlineStr">
        <is>
          <t>BOLLNÄS</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50746-2025</t>
        </is>
      </c>
      <c r="B6224" s="1" t="n">
        <v>45946.3878587963</v>
      </c>
      <c r="C6224" s="1" t="n">
        <v>46086</v>
      </c>
      <c r="D6224" t="inlineStr">
        <is>
          <t>GÄVLEBORGS LÄN</t>
        </is>
      </c>
      <c r="E6224" t="inlineStr">
        <is>
          <t>BOLLNÄS</t>
        </is>
      </c>
      <c r="F6224" t="inlineStr">
        <is>
          <t>Bergvik skog väst AB</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67547-2021</t>
        </is>
      </c>
      <c r="B6225" s="1" t="n">
        <v>44524.56090277778</v>
      </c>
      <c r="C6225" s="1" t="n">
        <v>46086</v>
      </c>
      <c r="D6225" t="inlineStr">
        <is>
          <t>GÄVLEBORGS LÄN</t>
        </is>
      </c>
      <c r="E6225" t="inlineStr">
        <is>
          <t>BOLLNÄS</t>
        </is>
      </c>
      <c r="F6225" t="inlineStr">
        <is>
          <t>Övriga statliga verk och myndigheter</t>
        </is>
      </c>
      <c r="G6225" t="n">
        <v>3.7</v>
      </c>
      <c r="H6225" t="n">
        <v>0</v>
      </c>
      <c r="I6225" t="n">
        <v>0</v>
      </c>
      <c r="J6225" t="n">
        <v>0</v>
      </c>
      <c r="K6225" t="n">
        <v>0</v>
      </c>
      <c r="L6225" t="n">
        <v>0</v>
      </c>
      <c r="M6225" t="n">
        <v>0</v>
      </c>
      <c r="N6225" t="n">
        <v>0</v>
      </c>
      <c r="O6225" t="n">
        <v>0</v>
      </c>
      <c r="P6225" t="n">
        <v>0</v>
      </c>
      <c r="Q6225" t="n">
        <v>0</v>
      </c>
      <c r="R6225" s="2" t="inlineStr"/>
    </row>
    <row r="6226" ht="15" customHeight="1">
      <c r="A6226" t="inlineStr">
        <is>
          <t>A 52801-2025</t>
        </is>
      </c>
      <c r="B6226" s="1" t="n">
        <v>45957.4416550926</v>
      </c>
      <c r="C6226" s="1" t="n">
        <v>46086</v>
      </c>
      <c r="D6226" t="inlineStr">
        <is>
          <t>GÄVLEBORGS LÄN</t>
        </is>
      </c>
      <c r="E6226" t="inlineStr">
        <is>
          <t>GÄVLE</t>
        </is>
      </c>
      <c r="F6226" t="inlineStr">
        <is>
          <t>Bergvik skog väst AB</t>
        </is>
      </c>
      <c r="G6226" t="n">
        <v>6.3</v>
      </c>
      <c r="H6226" t="n">
        <v>0</v>
      </c>
      <c r="I6226" t="n">
        <v>0</v>
      </c>
      <c r="J6226" t="n">
        <v>0</v>
      </c>
      <c r="K6226" t="n">
        <v>0</v>
      </c>
      <c r="L6226" t="n">
        <v>0</v>
      </c>
      <c r="M6226" t="n">
        <v>0</v>
      </c>
      <c r="N6226" t="n">
        <v>0</v>
      </c>
      <c r="O6226" t="n">
        <v>0</v>
      </c>
      <c r="P6226" t="n">
        <v>0</v>
      </c>
      <c r="Q6226" t="n">
        <v>0</v>
      </c>
      <c r="R6226" s="2" t="inlineStr"/>
    </row>
    <row r="6227" ht="15" customHeight="1">
      <c r="A6227" t="inlineStr">
        <is>
          <t>A 19471-2025</t>
        </is>
      </c>
      <c r="B6227" s="1" t="n">
        <v>45770.38461805556</v>
      </c>
      <c r="C6227" s="1" t="n">
        <v>46086</v>
      </c>
      <c r="D6227" t="inlineStr">
        <is>
          <t>GÄVLEBORGS LÄN</t>
        </is>
      </c>
      <c r="E6227" t="inlineStr">
        <is>
          <t>LJUSDAL</t>
        </is>
      </c>
      <c r="G6227" t="n">
        <v>8</v>
      </c>
      <c r="H6227" t="n">
        <v>0</v>
      </c>
      <c r="I6227" t="n">
        <v>0</v>
      </c>
      <c r="J6227" t="n">
        <v>0</v>
      </c>
      <c r="K6227" t="n">
        <v>0</v>
      </c>
      <c r="L6227" t="n">
        <v>0</v>
      </c>
      <c r="M6227" t="n">
        <v>0</v>
      </c>
      <c r="N6227" t="n">
        <v>0</v>
      </c>
      <c r="O6227" t="n">
        <v>0</v>
      </c>
      <c r="P6227" t="n">
        <v>0</v>
      </c>
      <c r="Q6227" t="n">
        <v>0</v>
      </c>
      <c r="R6227" s="2" t="inlineStr"/>
    </row>
    <row r="6228" ht="15" customHeight="1">
      <c r="A6228" t="inlineStr">
        <is>
          <t>A 6019-2025</t>
        </is>
      </c>
      <c r="B6228" s="1" t="n">
        <v>45695</v>
      </c>
      <c r="C6228" s="1" t="n">
        <v>46086</v>
      </c>
      <c r="D6228" t="inlineStr">
        <is>
          <t>GÄVLEBORGS LÄN</t>
        </is>
      </c>
      <c r="E6228" t="inlineStr">
        <is>
          <t>HUDIKSVALL</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52897-2025</t>
        </is>
      </c>
      <c r="B6229" s="1" t="n">
        <v>45957.58747685186</v>
      </c>
      <c r="C6229" s="1" t="n">
        <v>46086</v>
      </c>
      <c r="D6229" t="inlineStr">
        <is>
          <t>GÄVLEBORGS LÄN</t>
        </is>
      </c>
      <c r="E6229" t="inlineStr">
        <is>
          <t>GÄVLE</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18218-2024</t>
        </is>
      </c>
      <c r="B6230" s="1" t="n">
        <v>45420</v>
      </c>
      <c r="C6230" s="1" t="n">
        <v>46086</v>
      </c>
      <c r="D6230" t="inlineStr">
        <is>
          <t>GÄVLEBORGS LÄN</t>
        </is>
      </c>
      <c r="E6230" t="inlineStr">
        <is>
          <t>GÄVLE</t>
        </is>
      </c>
      <c r="F6230" t="inlineStr">
        <is>
          <t>Bergvik skog väst AB</t>
        </is>
      </c>
      <c r="G6230" t="n">
        <v>13.1</v>
      </c>
      <c r="H6230" t="n">
        <v>0</v>
      </c>
      <c r="I6230" t="n">
        <v>0</v>
      </c>
      <c r="J6230" t="n">
        <v>0</v>
      </c>
      <c r="K6230" t="n">
        <v>0</v>
      </c>
      <c r="L6230" t="n">
        <v>0</v>
      </c>
      <c r="M6230" t="n">
        <v>0</v>
      </c>
      <c r="N6230" t="n">
        <v>0</v>
      </c>
      <c r="O6230" t="n">
        <v>0</v>
      </c>
      <c r="P6230" t="n">
        <v>0</v>
      </c>
      <c r="Q6230" t="n">
        <v>0</v>
      </c>
      <c r="R6230" s="2" t="inlineStr"/>
    </row>
    <row r="6231" ht="15" customHeight="1">
      <c r="A6231" t="inlineStr">
        <is>
          <t>A 52784-2025</t>
        </is>
      </c>
      <c r="B6231" s="1" t="n">
        <v>45957.4237037037</v>
      </c>
      <c r="C6231" s="1" t="n">
        <v>46086</v>
      </c>
      <c r="D6231" t="inlineStr">
        <is>
          <t>GÄVLEBORGS LÄN</t>
        </is>
      </c>
      <c r="E6231" t="inlineStr">
        <is>
          <t>SANDVIKEN</t>
        </is>
      </c>
      <c r="F6231" t="inlineStr">
        <is>
          <t>Sveaskog</t>
        </is>
      </c>
      <c r="G6231" t="n">
        <v>1.6</v>
      </c>
      <c r="H6231" t="n">
        <v>0</v>
      </c>
      <c r="I6231" t="n">
        <v>0</v>
      </c>
      <c r="J6231" t="n">
        <v>0</v>
      </c>
      <c r="K6231" t="n">
        <v>0</v>
      </c>
      <c r="L6231" t="n">
        <v>0</v>
      </c>
      <c r="M6231" t="n">
        <v>0</v>
      </c>
      <c r="N6231" t="n">
        <v>0</v>
      </c>
      <c r="O6231" t="n">
        <v>0</v>
      </c>
      <c r="P6231" t="n">
        <v>0</v>
      </c>
      <c r="Q6231" t="n">
        <v>0</v>
      </c>
      <c r="R6231" s="2" t="inlineStr"/>
      <c r="U6231">
        <f>HYPERLINK("https://klasma.github.io/Logging_2181/knärot/A 52784-2025 karta knärot.png", "A 52784-2025")</f>
        <v/>
      </c>
      <c r="V6231">
        <f>HYPERLINK("https://klasma.github.io/Logging_2181/klagomål/A 52784-2025 FSC-klagomål.docx", "A 52784-2025")</f>
        <v/>
      </c>
      <c r="W6231">
        <f>HYPERLINK("https://klasma.github.io/Logging_2181/klagomålsmail/A 52784-2025 FSC-klagomål mail.docx", "A 52784-2025")</f>
        <v/>
      </c>
      <c r="X6231">
        <f>HYPERLINK("https://klasma.github.io/Logging_2181/tillsyn/A 52784-2025 tillsynsbegäran.docx", "A 52784-2025")</f>
        <v/>
      </c>
      <c r="Y6231">
        <f>HYPERLINK("https://klasma.github.io/Logging_2181/tillsynsmail/A 52784-2025 tillsynsbegäran mail.docx", "A 52784-2025")</f>
        <v/>
      </c>
    </row>
    <row r="6232" ht="15" customHeight="1">
      <c r="A6232" t="inlineStr">
        <is>
          <t>A 52785-2025</t>
        </is>
      </c>
      <c r="B6232" s="1" t="n">
        <v>45957.42465277778</v>
      </c>
      <c r="C6232" s="1" t="n">
        <v>46086</v>
      </c>
      <c r="D6232" t="inlineStr">
        <is>
          <t>GÄVLEBORGS LÄN</t>
        </is>
      </c>
      <c r="E6232" t="inlineStr">
        <is>
          <t>SANDVIKEN</t>
        </is>
      </c>
      <c r="F6232" t="inlineStr">
        <is>
          <t>Sveaskog</t>
        </is>
      </c>
      <c r="G6232" t="n">
        <v>1.6</v>
      </c>
      <c r="H6232" t="n">
        <v>0</v>
      </c>
      <c r="I6232" t="n">
        <v>0</v>
      </c>
      <c r="J6232" t="n">
        <v>0</v>
      </c>
      <c r="K6232" t="n">
        <v>0</v>
      </c>
      <c r="L6232" t="n">
        <v>0</v>
      </c>
      <c r="M6232" t="n">
        <v>0</v>
      </c>
      <c r="N6232" t="n">
        <v>0</v>
      </c>
      <c r="O6232" t="n">
        <v>0</v>
      </c>
      <c r="P6232" t="n">
        <v>0</v>
      </c>
      <c r="Q6232" t="n">
        <v>0</v>
      </c>
      <c r="R6232" s="2" t="inlineStr"/>
      <c r="U6232">
        <f>HYPERLINK("https://klasma.github.io/Logging_2181/knärot/A 52785-2025 karta knärot.png", "A 52785-2025")</f>
        <v/>
      </c>
      <c r="V6232">
        <f>HYPERLINK("https://klasma.github.io/Logging_2181/klagomål/A 52785-2025 FSC-klagomål.docx", "A 52785-2025")</f>
        <v/>
      </c>
      <c r="W6232">
        <f>HYPERLINK("https://klasma.github.io/Logging_2181/klagomålsmail/A 52785-2025 FSC-klagomål mail.docx", "A 52785-2025")</f>
        <v/>
      </c>
      <c r="X6232">
        <f>HYPERLINK("https://klasma.github.io/Logging_2181/tillsyn/A 52785-2025 tillsynsbegäran.docx", "A 52785-2025")</f>
        <v/>
      </c>
      <c r="Y6232">
        <f>HYPERLINK("https://klasma.github.io/Logging_2181/tillsynsmail/A 52785-2025 tillsynsbegäran mail.docx", "A 52785-2025")</f>
        <v/>
      </c>
    </row>
    <row r="6233" ht="15" customHeight="1">
      <c r="A6233" t="inlineStr">
        <is>
          <t>A 52786-2025</t>
        </is>
      </c>
      <c r="B6233" s="1" t="n">
        <v>45957.42613425926</v>
      </c>
      <c r="C6233" s="1" t="n">
        <v>46086</v>
      </c>
      <c r="D6233" t="inlineStr">
        <is>
          <t>GÄVLEBORGS LÄN</t>
        </is>
      </c>
      <c r="E6233" t="inlineStr">
        <is>
          <t>SANDVIKEN</t>
        </is>
      </c>
      <c r="F6233" t="inlineStr">
        <is>
          <t>Sveaskog</t>
        </is>
      </c>
      <c r="G6233" t="n">
        <v>1.2</v>
      </c>
      <c r="H6233" t="n">
        <v>0</v>
      </c>
      <c r="I6233" t="n">
        <v>0</v>
      </c>
      <c r="J6233" t="n">
        <v>0</v>
      </c>
      <c r="K6233" t="n">
        <v>0</v>
      </c>
      <c r="L6233" t="n">
        <v>0</v>
      </c>
      <c r="M6233" t="n">
        <v>0</v>
      </c>
      <c r="N6233" t="n">
        <v>0</v>
      </c>
      <c r="O6233" t="n">
        <v>0</v>
      </c>
      <c r="P6233" t="n">
        <v>0</v>
      </c>
      <c r="Q6233" t="n">
        <v>0</v>
      </c>
      <c r="R6233" s="2" t="inlineStr"/>
      <c r="U6233">
        <f>HYPERLINK("https://klasma.github.io/Logging_2181/knärot/A 52786-2025 karta knärot.png", "A 52786-2025")</f>
        <v/>
      </c>
      <c r="V6233">
        <f>HYPERLINK("https://klasma.github.io/Logging_2181/klagomål/A 52786-2025 FSC-klagomål.docx", "A 52786-2025")</f>
        <v/>
      </c>
      <c r="W6233">
        <f>HYPERLINK("https://klasma.github.io/Logging_2181/klagomålsmail/A 52786-2025 FSC-klagomål mail.docx", "A 52786-2025")</f>
        <v/>
      </c>
      <c r="X6233">
        <f>HYPERLINK("https://klasma.github.io/Logging_2181/tillsyn/A 52786-2025 tillsynsbegäran.docx", "A 52786-2025")</f>
        <v/>
      </c>
      <c r="Y6233">
        <f>HYPERLINK("https://klasma.github.io/Logging_2181/tillsynsmail/A 52786-2025 tillsynsbegäran mail.docx", "A 52786-2025")</f>
        <v/>
      </c>
    </row>
    <row r="6234" ht="15" customHeight="1">
      <c r="A6234" t="inlineStr">
        <is>
          <t>A 6853-2024</t>
        </is>
      </c>
      <c r="B6234" s="1" t="n">
        <v>45342</v>
      </c>
      <c r="C6234" s="1" t="n">
        <v>46086</v>
      </c>
      <c r="D6234" t="inlineStr">
        <is>
          <t>GÄVLEBORGS LÄN</t>
        </is>
      </c>
      <c r="E6234" t="inlineStr">
        <is>
          <t>SÖDERHAMN</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52850-2025</t>
        </is>
      </c>
      <c r="B6235" s="1" t="n">
        <v>45957.49201388889</v>
      </c>
      <c r="C6235" s="1" t="n">
        <v>46086</v>
      </c>
      <c r="D6235" t="inlineStr">
        <is>
          <t>GÄVLEBORGS LÄN</t>
        </is>
      </c>
      <c r="E6235" t="inlineStr">
        <is>
          <t>HUDIKSVALL</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52769-2025</t>
        </is>
      </c>
      <c r="B6236" s="1" t="n">
        <v>45957.40206018519</v>
      </c>
      <c r="C6236" s="1" t="n">
        <v>46086</v>
      </c>
      <c r="D6236" t="inlineStr">
        <is>
          <t>GÄVLEBORGS LÄN</t>
        </is>
      </c>
      <c r="E6236" t="inlineStr">
        <is>
          <t>OCKELBO</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52803-2025</t>
        </is>
      </c>
      <c r="B6237" s="1" t="n">
        <v>45957.44484953704</v>
      </c>
      <c r="C6237" s="1" t="n">
        <v>46086</v>
      </c>
      <c r="D6237" t="inlineStr">
        <is>
          <t>GÄVLEBORGS LÄN</t>
        </is>
      </c>
      <c r="E6237" t="inlineStr">
        <is>
          <t>OVANÅKER</t>
        </is>
      </c>
      <c r="G6237" t="n">
        <v>6.7</v>
      </c>
      <c r="H6237" t="n">
        <v>0</v>
      </c>
      <c r="I6237" t="n">
        <v>0</v>
      </c>
      <c r="J6237" t="n">
        <v>0</v>
      </c>
      <c r="K6237" t="n">
        <v>0</v>
      </c>
      <c r="L6237" t="n">
        <v>0</v>
      </c>
      <c r="M6237" t="n">
        <v>0</v>
      </c>
      <c r="N6237" t="n">
        <v>0</v>
      </c>
      <c r="O6237" t="n">
        <v>0</v>
      </c>
      <c r="P6237" t="n">
        <v>0</v>
      </c>
      <c r="Q6237" t="n">
        <v>0</v>
      </c>
      <c r="R6237" s="2" t="inlineStr"/>
    </row>
    <row r="6238" ht="15" customHeight="1">
      <c r="A6238" t="inlineStr">
        <is>
          <t>A 52432-2025</t>
        </is>
      </c>
      <c r="B6238" s="1" t="n">
        <v>45954.38655092593</v>
      </c>
      <c r="C6238" s="1" t="n">
        <v>46086</v>
      </c>
      <c r="D6238" t="inlineStr">
        <is>
          <t>GÄVLEBORGS LÄN</t>
        </is>
      </c>
      <c r="E6238" t="inlineStr">
        <is>
          <t>BOLLNÄS</t>
        </is>
      </c>
      <c r="G6238" t="n">
        <v>7.2</v>
      </c>
      <c r="H6238" t="n">
        <v>0</v>
      </c>
      <c r="I6238" t="n">
        <v>0</v>
      </c>
      <c r="J6238" t="n">
        <v>0</v>
      </c>
      <c r="K6238" t="n">
        <v>0</v>
      </c>
      <c r="L6238" t="n">
        <v>0</v>
      </c>
      <c r="M6238" t="n">
        <v>0</v>
      </c>
      <c r="N6238" t="n">
        <v>0</v>
      </c>
      <c r="O6238" t="n">
        <v>0</v>
      </c>
      <c r="P6238" t="n">
        <v>0</v>
      </c>
      <c r="Q6238" t="n">
        <v>0</v>
      </c>
      <c r="R6238" s="2" t="inlineStr"/>
    </row>
    <row r="6239" ht="15" customHeight="1">
      <c r="A6239" t="inlineStr">
        <is>
          <t>A 52308-2025</t>
        </is>
      </c>
      <c r="B6239" s="1" t="n">
        <v>45953.64344907407</v>
      </c>
      <c r="C6239" s="1" t="n">
        <v>46086</v>
      </c>
      <c r="D6239" t="inlineStr">
        <is>
          <t>GÄVLEBORGS LÄN</t>
        </is>
      </c>
      <c r="E6239" t="inlineStr">
        <is>
          <t>BOLLNÄS</t>
        </is>
      </c>
      <c r="G6239" t="n">
        <v>6.9</v>
      </c>
      <c r="H6239" t="n">
        <v>0</v>
      </c>
      <c r="I6239" t="n">
        <v>0</v>
      </c>
      <c r="J6239" t="n">
        <v>0</v>
      </c>
      <c r="K6239" t="n">
        <v>0</v>
      </c>
      <c r="L6239" t="n">
        <v>0</v>
      </c>
      <c r="M6239" t="n">
        <v>0</v>
      </c>
      <c r="N6239" t="n">
        <v>0</v>
      </c>
      <c r="O6239" t="n">
        <v>0</v>
      </c>
      <c r="P6239" t="n">
        <v>0</v>
      </c>
      <c r="Q6239" t="n">
        <v>0</v>
      </c>
      <c r="R6239" s="2" t="inlineStr"/>
    </row>
    <row r="6240" ht="15" customHeight="1">
      <c r="A6240" t="inlineStr">
        <is>
          <t>A 60398-2023</t>
        </is>
      </c>
      <c r="B6240" s="1" t="n">
        <v>45259</v>
      </c>
      <c r="C6240" s="1" t="n">
        <v>46086</v>
      </c>
      <c r="D6240" t="inlineStr">
        <is>
          <t>GÄVLEBORGS LÄN</t>
        </is>
      </c>
      <c r="E6240" t="inlineStr">
        <is>
          <t>NORDANSTIG</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60417-2023</t>
        </is>
      </c>
      <c r="B6241" s="1" t="n">
        <v>45259.49364583333</v>
      </c>
      <c r="C6241" s="1" t="n">
        <v>46086</v>
      </c>
      <c r="D6241" t="inlineStr">
        <is>
          <t>GÄVLEBORGS LÄN</t>
        </is>
      </c>
      <c r="E6241" t="inlineStr">
        <is>
          <t>OVANÅKER</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24330-2025</t>
        </is>
      </c>
      <c r="B6242" s="1" t="n">
        <v>45797.5678587963</v>
      </c>
      <c r="C6242" s="1" t="n">
        <v>46086</v>
      </c>
      <c r="D6242" t="inlineStr">
        <is>
          <t>GÄVLEBORGS LÄN</t>
        </is>
      </c>
      <c r="E6242" t="inlineStr">
        <is>
          <t>HUDIKSVALL</t>
        </is>
      </c>
      <c r="F6242" t="inlineStr">
        <is>
          <t>Kommuner</t>
        </is>
      </c>
      <c r="G6242" t="n">
        <v>0.3</v>
      </c>
      <c r="H6242" t="n">
        <v>0</v>
      </c>
      <c r="I6242" t="n">
        <v>0</v>
      </c>
      <c r="J6242" t="n">
        <v>0</v>
      </c>
      <c r="K6242" t="n">
        <v>0</v>
      </c>
      <c r="L6242" t="n">
        <v>0</v>
      </c>
      <c r="M6242" t="n">
        <v>0</v>
      </c>
      <c r="N6242" t="n">
        <v>0</v>
      </c>
      <c r="O6242" t="n">
        <v>0</v>
      </c>
      <c r="P6242" t="n">
        <v>0</v>
      </c>
      <c r="Q6242" t="n">
        <v>0</v>
      </c>
      <c r="R6242" s="2" t="inlineStr"/>
    </row>
    <row r="6243" ht="15" customHeight="1">
      <c r="A6243" t="inlineStr">
        <is>
          <t>A 59251-2024</t>
        </is>
      </c>
      <c r="B6243" s="1" t="n">
        <v>45637.59612268519</v>
      </c>
      <c r="C6243" s="1" t="n">
        <v>46086</v>
      </c>
      <c r="D6243" t="inlineStr">
        <is>
          <t>GÄVLEBORGS LÄN</t>
        </is>
      </c>
      <c r="E6243" t="inlineStr">
        <is>
          <t>LJUSDAL</t>
        </is>
      </c>
      <c r="G6243" t="n">
        <v>0.4</v>
      </c>
      <c r="H6243" t="n">
        <v>0</v>
      </c>
      <c r="I6243" t="n">
        <v>0</v>
      </c>
      <c r="J6243" t="n">
        <v>0</v>
      </c>
      <c r="K6243" t="n">
        <v>0</v>
      </c>
      <c r="L6243" t="n">
        <v>0</v>
      </c>
      <c r="M6243" t="n">
        <v>0</v>
      </c>
      <c r="N6243" t="n">
        <v>0</v>
      </c>
      <c r="O6243" t="n">
        <v>0</v>
      </c>
      <c r="P6243" t="n">
        <v>0</v>
      </c>
      <c r="Q6243" t="n">
        <v>0</v>
      </c>
      <c r="R6243" s="2" t="inlineStr"/>
    </row>
    <row r="6244" ht="15" customHeight="1">
      <c r="A6244" t="inlineStr">
        <is>
          <t>A 53277-2025</t>
        </is>
      </c>
      <c r="B6244" s="1" t="n">
        <v>45958.75643518518</v>
      </c>
      <c r="C6244" s="1" t="n">
        <v>46086</v>
      </c>
      <c r="D6244" t="inlineStr">
        <is>
          <t>GÄVLEBORGS LÄN</t>
        </is>
      </c>
      <c r="E6244" t="inlineStr">
        <is>
          <t>LJUSDAL</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46960-2022</t>
        </is>
      </c>
      <c r="B6245" s="1" t="n">
        <v>44851.94489583333</v>
      </c>
      <c r="C6245" s="1" t="n">
        <v>46086</v>
      </c>
      <c r="D6245" t="inlineStr">
        <is>
          <t>GÄVLEBORGS LÄN</t>
        </is>
      </c>
      <c r="E6245" t="inlineStr">
        <is>
          <t>OVANÅKER</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53078-2025</t>
        </is>
      </c>
      <c r="B6246" s="1" t="n">
        <v>45958.38793981481</v>
      </c>
      <c r="C6246" s="1" t="n">
        <v>46086</v>
      </c>
      <c r="D6246" t="inlineStr">
        <is>
          <t>GÄVLEBORGS LÄN</t>
        </is>
      </c>
      <c r="E6246" t="inlineStr">
        <is>
          <t>OCKELBO</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53083-2025</t>
        </is>
      </c>
      <c r="B6247" s="1" t="n">
        <v>45958.40583333333</v>
      </c>
      <c r="C6247" s="1" t="n">
        <v>46086</v>
      </c>
      <c r="D6247" t="inlineStr">
        <is>
          <t>GÄVLEBORGS LÄN</t>
        </is>
      </c>
      <c r="E6247" t="inlineStr">
        <is>
          <t>GÄVLE</t>
        </is>
      </c>
      <c r="F6247" t="inlineStr">
        <is>
          <t>Bergvik skog öst AB</t>
        </is>
      </c>
      <c r="G6247" t="n">
        <v>4.1</v>
      </c>
      <c r="H6247" t="n">
        <v>0</v>
      </c>
      <c r="I6247" t="n">
        <v>0</v>
      </c>
      <c r="J6247" t="n">
        <v>0</v>
      </c>
      <c r="K6247" t="n">
        <v>0</v>
      </c>
      <c r="L6247" t="n">
        <v>0</v>
      </c>
      <c r="M6247" t="n">
        <v>0</v>
      </c>
      <c r="N6247" t="n">
        <v>0</v>
      </c>
      <c r="O6247" t="n">
        <v>0</v>
      </c>
      <c r="P6247" t="n">
        <v>0</v>
      </c>
      <c r="Q6247" t="n">
        <v>0</v>
      </c>
      <c r="R6247" s="2" t="inlineStr"/>
    </row>
    <row r="6248" ht="15" customHeight="1">
      <c r="A6248" t="inlineStr">
        <is>
          <t>A 47580-2024</t>
        </is>
      </c>
      <c r="B6248" s="1" t="n">
        <v>45587.76090277778</v>
      </c>
      <c r="C6248" s="1" t="n">
        <v>46086</v>
      </c>
      <c r="D6248" t="inlineStr">
        <is>
          <t>GÄVLEBORGS LÄN</t>
        </is>
      </c>
      <c r="E6248" t="inlineStr">
        <is>
          <t>LJUSDAL</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53084-2025</t>
        </is>
      </c>
      <c r="B6249" s="1" t="n">
        <v>45958.40640046296</v>
      </c>
      <c r="C6249" s="1" t="n">
        <v>46086</v>
      </c>
      <c r="D6249" t="inlineStr">
        <is>
          <t>GÄVLEBORGS LÄN</t>
        </is>
      </c>
      <c r="E6249" t="inlineStr">
        <is>
          <t>GÄVLE</t>
        </is>
      </c>
      <c r="F6249" t="inlineStr">
        <is>
          <t>Bergvik skog öst AB</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22250-2024</t>
        </is>
      </c>
      <c r="B6250" s="1" t="n">
        <v>45446.45796296297</v>
      </c>
      <c r="C6250" s="1" t="n">
        <v>46086</v>
      </c>
      <c r="D6250" t="inlineStr">
        <is>
          <t>GÄVLEBORGS LÄN</t>
        </is>
      </c>
      <c r="E6250" t="inlineStr">
        <is>
          <t>LJUSDAL</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53195-2025</t>
        </is>
      </c>
      <c r="B6251" s="1" t="n">
        <v>45958.57086805555</v>
      </c>
      <c r="C6251" s="1" t="n">
        <v>46086</v>
      </c>
      <c r="D6251" t="inlineStr">
        <is>
          <t>GÄVLEBORGS LÄN</t>
        </is>
      </c>
      <c r="E6251" t="inlineStr">
        <is>
          <t>BOLLNÄS</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53063-2025</t>
        </is>
      </c>
      <c r="B6252" s="1" t="n">
        <v>45958</v>
      </c>
      <c r="C6252" s="1" t="n">
        <v>46086</v>
      </c>
      <c r="D6252" t="inlineStr">
        <is>
          <t>GÄVLEBORGS LÄN</t>
        </is>
      </c>
      <c r="E6252" t="inlineStr">
        <is>
          <t>BOLLNÄS</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53080-2025</t>
        </is>
      </c>
      <c r="B6253" s="1" t="n">
        <v>45958.39484953704</v>
      </c>
      <c r="C6253" s="1" t="n">
        <v>46086</v>
      </c>
      <c r="D6253" t="inlineStr">
        <is>
          <t>GÄVLEBORGS LÄN</t>
        </is>
      </c>
      <c r="E6253" t="inlineStr">
        <is>
          <t>OCKELBO</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53311-2025</t>
        </is>
      </c>
      <c r="B6254" s="1" t="n">
        <v>45959.34434027778</v>
      </c>
      <c r="C6254" s="1" t="n">
        <v>46086</v>
      </c>
      <c r="D6254" t="inlineStr">
        <is>
          <t>GÄVLEBORGS LÄN</t>
        </is>
      </c>
      <c r="E6254" t="inlineStr">
        <is>
          <t>NORDANSTIG</t>
        </is>
      </c>
      <c r="F6254" t="inlineStr">
        <is>
          <t>SCA</t>
        </is>
      </c>
      <c r="G6254" t="n">
        <v>5.4</v>
      </c>
      <c r="H6254" t="n">
        <v>0</v>
      </c>
      <c r="I6254" t="n">
        <v>0</v>
      </c>
      <c r="J6254" t="n">
        <v>0</v>
      </c>
      <c r="K6254" t="n">
        <v>0</v>
      </c>
      <c r="L6254" t="n">
        <v>0</v>
      </c>
      <c r="M6254" t="n">
        <v>0</v>
      </c>
      <c r="N6254" t="n">
        <v>0</v>
      </c>
      <c r="O6254" t="n">
        <v>0</v>
      </c>
      <c r="P6254" t="n">
        <v>0</v>
      </c>
      <c r="Q6254" t="n">
        <v>0</v>
      </c>
      <c r="R6254" s="2" t="inlineStr"/>
    </row>
    <row r="6255" ht="15" customHeight="1">
      <c r="A6255" t="inlineStr">
        <is>
          <t>A 13143-2024</t>
        </is>
      </c>
      <c r="B6255" s="1" t="n">
        <v>45386.34846064815</v>
      </c>
      <c r="C6255" s="1" t="n">
        <v>46086</v>
      </c>
      <c r="D6255" t="inlineStr">
        <is>
          <t>GÄVLEBORGS LÄN</t>
        </is>
      </c>
      <c r="E6255" t="inlineStr">
        <is>
          <t>BOLLNÄS</t>
        </is>
      </c>
      <c r="G6255" t="n">
        <v>10.7</v>
      </c>
      <c r="H6255" t="n">
        <v>0</v>
      </c>
      <c r="I6255" t="n">
        <v>0</v>
      </c>
      <c r="J6255" t="n">
        <v>0</v>
      </c>
      <c r="K6255" t="n">
        <v>0</v>
      </c>
      <c r="L6255" t="n">
        <v>0</v>
      </c>
      <c r="M6255" t="n">
        <v>0</v>
      </c>
      <c r="N6255" t="n">
        <v>0</v>
      </c>
      <c r="O6255" t="n">
        <v>0</v>
      </c>
      <c r="P6255" t="n">
        <v>0</v>
      </c>
      <c r="Q6255" t="n">
        <v>0</v>
      </c>
      <c r="R6255" s="2" t="inlineStr"/>
    </row>
    <row r="6256" ht="15" customHeight="1">
      <c r="A6256" t="inlineStr">
        <is>
          <t>A 29963-2024</t>
        </is>
      </c>
      <c r="B6256" s="1" t="n">
        <v>45488.46547453704</v>
      </c>
      <c r="C6256" s="1" t="n">
        <v>46086</v>
      </c>
      <c r="D6256" t="inlineStr">
        <is>
          <t>GÄVLEBORGS LÄN</t>
        </is>
      </c>
      <c r="E6256" t="inlineStr">
        <is>
          <t>OCKELBO</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40886-2024</t>
        </is>
      </c>
      <c r="B6257" s="1" t="n">
        <v>45558.60701388889</v>
      </c>
      <c r="C6257" s="1" t="n">
        <v>46086</v>
      </c>
      <c r="D6257" t="inlineStr">
        <is>
          <t>GÄVLEBORGS LÄN</t>
        </is>
      </c>
      <c r="E6257" t="inlineStr">
        <is>
          <t>OVANÅKER</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52237-2025</t>
        </is>
      </c>
      <c r="B6258" s="1" t="n">
        <v>45953.45859953704</v>
      </c>
      <c r="C6258" s="1" t="n">
        <v>46086</v>
      </c>
      <c r="D6258" t="inlineStr">
        <is>
          <t>GÄVLEBORGS LÄN</t>
        </is>
      </c>
      <c r="E6258" t="inlineStr">
        <is>
          <t>GÄVLE</t>
        </is>
      </c>
      <c r="F6258" t="inlineStr">
        <is>
          <t>Bergvik skog öst AB</t>
        </is>
      </c>
      <c r="G6258" t="n">
        <v>8.6</v>
      </c>
      <c r="H6258" t="n">
        <v>0</v>
      </c>
      <c r="I6258" t="n">
        <v>0</v>
      </c>
      <c r="J6258" t="n">
        <v>0</v>
      </c>
      <c r="K6258" t="n">
        <v>0</v>
      </c>
      <c r="L6258" t="n">
        <v>0</v>
      </c>
      <c r="M6258" t="n">
        <v>0</v>
      </c>
      <c r="N6258" t="n">
        <v>0</v>
      </c>
      <c r="O6258" t="n">
        <v>0</v>
      </c>
      <c r="P6258" t="n">
        <v>0</v>
      </c>
      <c r="Q6258" t="n">
        <v>0</v>
      </c>
      <c r="R6258" s="2" t="inlineStr"/>
    </row>
    <row r="6259" ht="15" customHeight="1">
      <c r="A6259" t="inlineStr">
        <is>
          <t>A 58820-2022</t>
        </is>
      </c>
      <c r="B6259" s="1" t="n">
        <v>44903</v>
      </c>
      <c r="C6259" s="1" t="n">
        <v>46086</v>
      </c>
      <c r="D6259" t="inlineStr">
        <is>
          <t>GÄVLEBORGS LÄN</t>
        </is>
      </c>
      <c r="E6259" t="inlineStr">
        <is>
          <t>LJUSDAL</t>
        </is>
      </c>
      <c r="F6259" t="inlineStr">
        <is>
          <t>Kyrkan</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22136-2022</t>
        </is>
      </c>
      <c r="B6260" s="1" t="n">
        <v>44712</v>
      </c>
      <c r="C6260" s="1" t="n">
        <v>46086</v>
      </c>
      <c r="D6260" t="inlineStr">
        <is>
          <t>GÄVLEBORGS LÄN</t>
        </is>
      </c>
      <c r="E6260" t="inlineStr">
        <is>
          <t>HUDIKSVALL</t>
        </is>
      </c>
      <c r="F6260" t="inlineStr">
        <is>
          <t>Holmen skog AB</t>
        </is>
      </c>
      <c r="G6260" t="n">
        <v>3.4</v>
      </c>
      <c r="H6260" t="n">
        <v>0</v>
      </c>
      <c r="I6260" t="n">
        <v>0</v>
      </c>
      <c r="J6260" t="n">
        <v>0</v>
      </c>
      <c r="K6260" t="n">
        <v>0</v>
      </c>
      <c r="L6260" t="n">
        <v>0</v>
      </c>
      <c r="M6260" t="n">
        <v>0</v>
      </c>
      <c r="N6260" t="n">
        <v>0</v>
      </c>
      <c r="O6260" t="n">
        <v>0</v>
      </c>
      <c r="P6260" t="n">
        <v>0</v>
      </c>
      <c r="Q6260" t="n">
        <v>0</v>
      </c>
      <c r="R6260" s="2" t="inlineStr"/>
    </row>
    <row r="6261" ht="15" customHeight="1">
      <c r="A6261" t="inlineStr">
        <is>
          <t>A 22151-2022</t>
        </is>
      </c>
      <c r="B6261" s="1" t="n">
        <v>44712.42891203704</v>
      </c>
      <c r="C6261" s="1" t="n">
        <v>46086</v>
      </c>
      <c r="D6261" t="inlineStr">
        <is>
          <t>GÄVLEBORGS LÄN</t>
        </is>
      </c>
      <c r="E6261" t="inlineStr">
        <is>
          <t>OCKELBO</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53444-2025</t>
        </is>
      </c>
      <c r="B6262" s="1" t="n">
        <v>45959.64644675926</v>
      </c>
      <c r="C6262" s="1" t="n">
        <v>46086</v>
      </c>
      <c r="D6262" t="inlineStr">
        <is>
          <t>GÄVLEBORGS LÄN</t>
        </is>
      </c>
      <c r="E6262" t="inlineStr">
        <is>
          <t>BOLLNÄS</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31123-2021</t>
        </is>
      </c>
      <c r="B6263" s="1" t="n">
        <v>44368</v>
      </c>
      <c r="C6263" s="1" t="n">
        <v>46086</v>
      </c>
      <c r="D6263" t="inlineStr">
        <is>
          <t>GÄVLEBORGS LÄN</t>
        </is>
      </c>
      <c r="E6263" t="inlineStr">
        <is>
          <t>HOFORS</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57949-2022</t>
        </is>
      </c>
      <c r="B6264" s="1" t="n">
        <v>44900.41127314815</v>
      </c>
      <c r="C6264" s="1" t="n">
        <v>46086</v>
      </c>
      <c r="D6264" t="inlineStr">
        <is>
          <t>GÄVLEBORGS LÄN</t>
        </is>
      </c>
      <c r="E6264" t="inlineStr">
        <is>
          <t>LJUSDAL</t>
        </is>
      </c>
      <c r="F6264" t="inlineStr">
        <is>
          <t>Holmen skog AB</t>
        </is>
      </c>
      <c r="G6264" t="n">
        <v>6.4</v>
      </c>
      <c r="H6264" t="n">
        <v>0</v>
      </c>
      <c r="I6264" t="n">
        <v>0</v>
      </c>
      <c r="J6264" t="n">
        <v>0</v>
      </c>
      <c r="K6264" t="n">
        <v>0</v>
      </c>
      <c r="L6264" t="n">
        <v>0</v>
      </c>
      <c r="M6264" t="n">
        <v>0</v>
      </c>
      <c r="N6264" t="n">
        <v>0</v>
      </c>
      <c r="O6264" t="n">
        <v>0</v>
      </c>
      <c r="P6264" t="n">
        <v>0</v>
      </c>
      <c r="Q6264" t="n">
        <v>0</v>
      </c>
      <c r="R6264" s="2" t="inlineStr"/>
    </row>
    <row r="6265" ht="15" customHeight="1">
      <c r="A6265" t="inlineStr">
        <is>
          <t>A 53198-2025</t>
        </is>
      </c>
      <c r="B6265" s="1" t="n">
        <v>45958.57416666667</v>
      </c>
      <c r="C6265" s="1" t="n">
        <v>46086</v>
      </c>
      <c r="D6265" t="inlineStr">
        <is>
          <t>GÄVLEBORGS LÄN</t>
        </is>
      </c>
      <c r="E6265" t="inlineStr">
        <is>
          <t>BOLLNÄS</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53380-2025</t>
        </is>
      </c>
      <c r="B6266" s="1" t="n">
        <v>45959.53606481481</v>
      </c>
      <c r="C6266" s="1" t="n">
        <v>46086</v>
      </c>
      <c r="D6266" t="inlineStr">
        <is>
          <t>GÄVLEBORGS LÄN</t>
        </is>
      </c>
      <c r="E6266" t="inlineStr">
        <is>
          <t>LJUSDAL</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55019-2024</t>
        </is>
      </c>
      <c r="B6267" s="1" t="n">
        <v>45621.35841435185</v>
      </c>
      <c r="C6267" s="1" t="n">
        <v>46086</v>
      </c>
      <c r="D6267" t="inlineStr">
        <is>
          <t>GÄVLEBORGS LÄN</t>
        </is>
      </c>
      <c r="E6267" t="inlineStr">
        <is>
          <t>BOLLNÄS</t>
        </is>
      </c>
      <c r="G6267" t="n">
        <v>3.6</v>
      </c>
      <c r="H6267" t="n">
        <v>0</v>
      </c>
      <c r="I6267" t="n">
        <v>0</v>
      </c>
      <c r="J6267" t="n">
        <v>0</v>
      </c>
      <c r="K6267" t="n">
        <v>0</v>
      </c>
      <c r="L6267" t="n">
        <v>0</v>
      </c>
      <c r="M6267" t="n">
        <v>0</v>
      </c>
      <c r="N6267" t="n">
        <v>0</v>
      </c>
      <c r="O6267" t="n">
        <v>0</v>
      </c>
      <c r="P6267" t="n">
        <v>0</v>
      </c>
      <c r="Q6267" t="n">
        <v>0</v>
      </c>
      <c r="R6267" s="2" t="inlineStr"/>
    </row>
    <row r="6268" ht="15" customHeight="1">
      <c r="A6268" t="inlineStr">
        <is>
          <t>A 35783-2024</t>
        </is>
      </c>
      <c r="B6268" s="1" t="n">
        <v>45532.61126157407</v>
      </c>
      <c r="C6268" s="1" t="n">
        <v>46086</v>
      </c>
      <c r="D6268" t="inlineStr">
        <is>
          <t>GÄVLEBORGS LÄN</t>
        </is>
      </c>
      <c r="E6268" t="inlineStr">
        <is>
          <t>SANDVIKEN</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53434-2025</t>
        </is>
      </c>
      <c r="B6269" s="1" t="n">
        <v>45959.63295138889</v>
      </c>
      <c r="C6269" s="1" t="n">
        <v>46086</v>
      </c>
      <c r="D6269" t="inlineStr">
        <is>
          <t>GÄVLEBORGS LÄN</t>
        </is>
      </c>
      <c r="E6269" t="inlineStr">
        <is>
          <t>OVANÅKER</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5853-2023</t>
        </is>
      </c>
      <c r="B6270" s="1" t="n">
        <v>44963.58543981481</v>
      </c>
      <c r="C6270" s="1" t="n">
        <v>46086</v>
      </c>
      <c r="D6270" t="inlineStr">
        <is>
          <t>GÄVLEBORGS LÄN</t>
        </is>
      </c>
      <c r="E6270" t="inlineStr">
        <is>
          <t>LJUSDAL</t>
        </is>
      </c>
      <c r="F6270" t="inlineStr">
        <is>
          <t>Allmännings- och besparingsskogar</t>
        </is>
      </c>
      <c r="G6270" t="n">
        <v>4.9</v>
      </c>
      <c r="H6270" t="n">
        <v>0</v>
      </c>
      <c r="I6270" t="n">
        <v>0</v>
      </c>
      <c r="J6270" t="n">
        <v>0</v>
      </c>
      <c r="K6270" t="n">
        <v>0</v>
      </c>
      <c r="L6270" t="n">
        <v>0</v>
      </c>
      <c r="M6270" t="n">
        <v>0</v>
      </c>
      <c r="N6270" t="n">
        <v>0</v>
      </c>
      <c r="O6270" t="n">
        <v>0</v>
      </c>
      <c r="P6270" t="n">
        <v>0</v>
      </c>
      <c r="Q6270" t="n">
        <v>0</v>
      </c>
      <c r="R6270" s="2" t="inlineStr"/>
    </row>
    <row r="6271" ht="15" customHeight="1">
      <c r="A6271" t="inlineStr">
        <is>
          <t>A 5856-2023</t>
        </is>
      </c>
      <c r="B6271" s="1" t="n">
        <v>44963.58771990741</v>
      </c>
      <c r="C6271" s="1" t="n">
        <v>46086</v>
      </c>
      <c r="D6271" t="inlineStr">
        <is>
          <t>GÄVLEBORGS LÄN</t>
        </is>
      </c>
      <c r="E6271" t="inlineStr">
        <is>
          <t>LJUSDAL</t>
        </is>
      </c>
      <c r="F6271" t="inlineStr">
        <is>
          <t>Allmännings- och besparingsskogar</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53203-2025</t>
        </is>
      </c>
      <c r="B6272" s="1" t="n">
        <v>45958.57847222222</v>
      </c>
      <c r="C6272" s="1" t="n">
        <v>46086</v>
      </c>
      <c r="D6272" t="inlineStr">
        <is>
          <t>GÄVLEBORGS LÄN</t>
        </is>
      </c>
      <c r="E6272" t="inlineStr">
        <is>
          <t>BOLLNÄS</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36763-2024</t>
        </is>
      </c>
      <c r="B6273" s="1" t="n">
        <v>45538.36181712963</v>
      </c>
      <c r="C6273" s="1" t="n">
        <v>46086</v>
      </c>
      <c r="D6273" t="inlineStr">
        <is>
          <t>GÄVLEBORGS LÄN</t>
        </is>
      </c>
      <c r="E6273" t="inlineStr">
        <is>
          <t>HOFORS</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49512-2023</t>
        </is>
      </c>
      <c r="B6274" s="1" t="n">
        <v>45211.58351851852</v>
      </c>
      <c r="C6274" s="1" t="n">
        <v>46086</v>
      </c>
      <c r="D6274" t="inlineStr">
        <is>
          <t>GÄVLEBORGS LÄN</t>
        </is>
      </c>
      <c r="E6274" t="inlineStr">
        <is>
          <t>SANDVIKEN</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104-2023</t>
        </is>
      </c>
      <c r="B6275" s="1" t="n">
        <v>44928.48064814815</v>
      </c>
      <c r="C6275" s="1" t="n">
        <v>46086</v>
      </c>
      <c r="D6275" t="inlineStr">
        <is>
          <t>GÄVLEBORGS LÄN</t>
        </is>
      </c>
      <c r="E6275" t="inlineStr">
        <is>
          <t>HUDIKSVALL</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921-2024</t>
        </is>
      </c>
      <c r="B6276" s="1" t="n">
        <v>45301</v>
      </c>
      <c r="C6276" s="1" t="n">
        <v>46086</v>
      </c>
      <c r="D6276" t="inlineStr">
        <is>
          <t>GÄVLEBORGS LÄN</t>
        </is>
      </c>
      <c r="E6276" t="inlineStr">
        <is>
          <t>OCKELBO</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8005-2022</t>
        </is>
      </c>
      <c r="B6277" s="1" t="n">
        <v>44609.37395833333</v>
      </c>
      <c r="C6277" s="1" t="n">
        <v>46086</v>
      </c>
      <c r="D6277" t="inlineStr">
        <is>
          <t>GÄVLEBORGS LÄN</t>
        </is>
      </c>
      <c r="E6277" t="inlineStr">
        <is>
          <t>HUDIKSVALL</t>
        </is>
      </c>
      <c r="F6277" t="inlineStr">
        <is>
          <t>Holmen skog AB</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52746-2022</t>
        </is>
      </c>
      <c r="B6278" s="1" t="n">
        <v>44874</v>
      </c>
      <c r="C6278" s="1" t="n">
        <v>46086</v>
      </c>
      <c r="D6278" t="inlineStr">
        <is>
          <t>GÄVLEBORGS LÄN</t>
        </is>
      </c>
      <c r="E6278" t="inlineStr">
        <is>
          <t>NORDANSTIG</t>
        </is>
      </c>
      <c r="F6278" t="inlineStr">
        <is>
          <t>SCA</t>
        </is>
      </c>
      <c r="G6278" t="n">
        <v>7.1</v>
      </c>
      <c r="H6278" t="n">
        <v>0</v>
      </c>
      <c r="I6278" t="n">
        <v>0</v>
      </c>
      <c r="J6278" t="n">
        <v>0</v>
      </c>
      <c r="K6278" t="n">
        <v>0</v>
      </c>
      <c r="L6278" t="n">
        <v>0</v>
      </c>
      <c r="M6278" t="n">
        <v>0</v>
      </c>
      <c r="N6278" t="n">
        <v>0</v>
      </c>
      <c r="O6278" t="n">
        <v>0</v>
      </c>
      <c r="P6278" t="n">
        <v>0</v>
      </c>
      <c r="Q6278" t="n">
        <v>0</v>
      </c>
      <c r="R6278" s="2" t="inlineStr"/>
    </row>
    <row r="6279" ht="15" customHeight="1">
      <c r="A6279" t="inlineStr">
        <is>
          <t>A 61680-2023</t>
        </is>
      </c>
      <c r="B6279" s="1" t="n">
        <v>45265.63185185185</v>
      </c>
      <c r="C6279" s="1" t="n">
        <v>46086</v>
      </c>
      <c r="D6279" t="inlineStr">
        <is>
          <t>GÄVLEBORGS LÄN</t>
        </is>
      </c>
      <c r="E6279" t="inlineStr">
        <is>
          <t>SÖDERHAMN</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61718-2023</t>
        </is>
      </c>
      <c r="B6280" s="1" t="n">
        <v>45265</v>
      </c>
      <c r="C6280" s="1" t="n">
        <v>46086</v>
      </c>
      <c r="D6280" t="inlineStr">
        <is>
          <t>GÄVLEBORGS LÄN</t>
        </is>
      </c>
      <c r="E6280" t="inlineStr">
        <is>
          <t>LJUSDAL</t>
        </is>
      </c>
      <c r="F6280" t="inlineStr">
        <is>
          <t>Kommuner</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12088-2025</t>
        </is>
      </c>
      <c r="B6281" s="1" t="n">
        <v>45729.28755787037</v>
      </c>
      <c r="C6281" s="1" t="n">
        <v>46086</v>
      </c>
      <c r="D6281" t="inlineStr">
        <is>
          <t>GÄVLEBORGS LÄN</t>
        </is>
      </c>
      <c r="E6281" t="inlineStr">
        <is>
          <t>BOLLNÄS</t>
        </is>
      </c>
      <c r="F6281" t="inlineStr">
        <is>
          <t>Bergvik skog väst AB</t>
        </is>
      </c>
      <c r="G6281" t="n">
        <v>7.9</v>
      </c>
      <c r="H6281" t="n">
        <v>0</v>
      </c>
      <c r="I6281" t="n">
        <v>0</v>
      </c>
      <c r="J6281" t="n">
        <v>0</v>
      </c>
      <c r="K6281" t="n">
        <v>0</v>
      </c>
      <c r="L6281" t="n">
        <v>0</v>
      </c>
      <c r="M6281" t="n">
        <v>0</v>
      </c>
      <c r="N6281" t="n">
        <v>0</v>
      </c>
      <c r="O6281" t="n">
        <v>0</v>
      </c>
      <c r="P6281" t="n">
        <v>0</v>
      </c>
      <c r="Q6281" t="n">
        <v>0</v>
      </c>
      <c r="R6281" s="2" t="inlineStr"/>
    </row>
    <row r="6282" ht="15" customHeight="1">
      <c r="A6282" t="inlineStr">
        <is>
          <t>A 473-2024</t>
        </is>
      </c>
      <c r="B6282" s="1" t="n">
        <v>45297</v>
      </c>
      <c r="C6282" s="1" t="n">
        <v>46086</v>
      </c>
      <c r="D6282" t="inlineStr">
        <is>
          <t>GÄVLEBORGS LÄN</t>
        </is>
      </c>
      <c r="E6282" t="inlineStr">
        <is>
          <t>HUDIKSVALL</t>
        </is>
      </c>
      <c r="F6282" t="inlineStr">
        <is>
          <t>Holmen skog AB</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12181-2025</t>
        </is>
      </c>
      <c r="B6283" s="1" t="n">
        <v>45729.45688657407</v>
      </c>
      <c r="C6283" s="1" t="n">
        <v>46086</v>
      </c>
      <c r="D6283" t="inlineStr">
        <is>
          <t>GÄVLEBORGS LÄN</t>
        </is>
      </c>
      <c r="E6283" t="inlineStr">
        <is>
          <t>BOLLNÄS</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53340-2025</t>
        </is>
      </c>
      <c r="B6284" s="1" t="n">
        <v>45959.4071412037</v>
      </c>
      <c r="C6284" s="1" t="n">
        <v>46086</v>
      </c>
      <c r="D6284" t="inlineStr">
        <is>
          <t>GÄVLEBORGS LÄN</t>
        </is>
      </c>
      <c r="E6284" t="inlineStr">
        <is>
          <t>NORDANSTIG</t>
        </is>
      </c>
      <c r="F6284" t="inlineStr">
        <is>
          <t>SCA</t>
        </is>
      </c>
      <c r="G6284" t="n">
        <v>8</v>
      </c>
      <c r="H6284" t="n">
        <v>0</v>
      </c>
      <c r="I6284" t="n">
        <v>0</v>
      </c>
      <c r="J6284" t="n">
        <v>0</v>
      </c>
      <c r="K6284" t="n">
        <v>0</v>
      </c>
      <c r="L6284" t="n">
        <v>0</v>
      </c>
      <c r="M6284" t="n">
        <v>0</v>
      </c>
      <c r="N6284" t="n">
        <v>0</v>
      </c>
      <c r="O6284" t="n">
        <v>0</v>
      </c>
      <c r="P6284" t="n">
        <v>0</v>
      </c>
      <c r="Q6284" t="n">
        <v>0</v>
      </c>
      <c r="R6284" s="2" t="inlineStr"/>
    </row>
    <row r="6285" ht="15" customHeight="1">
      <c r="A6285" t="inlineStr">
        <is>
          <t>A 53225-2025</t>
        </is>
      </c>
      <c r="B6285" s="1" t="n">
        <v>45958.60850694445</v>
      </c>
      <c r="C6285" s="1" t="n">
        <v>46086</v>
      </c>
      <c r="D6285" t="inlineStr">
        <is>
          <t>GÄVLEBORGS LÄN</t>
        </is>
      </c>
      <c r="E6285" t="inlineStr">
        <is>
          <t>BOLLNÄS</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48856-2023</t>
        </is>
      </c>
      <c r="B6286" s="1" t="n">
        <v>45209.43892361111</v>
      </c>
      <c r="C6286" s="1" t="n">
        <v>46086</v>
      </c>
      <c r="D6286" t="inlineStr">
        <is>
          <t>GÄVLEBORGS LÄN</t>
        </is>
      </c>
      <c r="E6286" t="inlineStr">
        <is>
          <t>LJUSDAL</t>
        </is>
      </c>
      <c r="F6286" t="inlineStr">
        <is>
          <t>Bergvik skog väst AB</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53252-2025</t>
        </is>
      </c>
      <c r="B6287" s="1" t="n">
        <v>45958.66509259259</v>
      </c>
      <c r="C6287" s="1" t="n">
        <v>46086</v>
      </c>
      <c r="D6287" t="inlineStr">
        <is>
          <t>GÄVLEBORGS LÄN</t>
        </is>
      </c>
      <c r="E6287" t="inlineStr">
        <is>
          <t>LJUSDAL</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53037-2025</t>
        </is>
      </c>
      <c r="B6288" s="1" t="n">
        <v>45958.35025462963</v>
      </c>
      <c r="C6288" s="1" t="n">
        <v>46086</v>
      </c>
      <c r="D6288" t="inlineStr">
        <is>
          <t>GÄVLEBORGS LÄN</t>
        </is>
      </c>
      <c r="E6288" t="inlineStr">
        <is>
          <t>BOLLNÄS</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53391-2025</t>
        </is>
      </c>
      <c r="B6289" s="1" t="n">
        <v>45959.55204861111</v>
      </c>
      <c r="C6289" s="1" t="n">
        <v>46086</v>
      </c>
      <c r="D6289" t="inlineStr">
        <is>
          <t>GÄVLEBORGS LÄN</t>
        </is>
      </c>
      <c r="E6289" t="inlineStr">
        <is>
          <t>OCKELBO</t>
        </is>
      </c>
      <c r="F6289" t="inlineStr">
        <is>
          <t>Bergvik skog väst AB</t>
        </is>
      </c>
      <c r="G6289" t="n">
        <v>11.3</v>
      </c>
      <c r="H6289" t="n">
        <v>0</v>
      </c>
      <c r="I6289" t="n">
        <v>0</v>
      </c>
      <c r="J6289" t="n">
        <v>0</v>
      </c>
      <c r="K6289" t="n">
        <v>0</v>
      </c>
      <c r="L6289" t="n">
        <v>0</v>
      </c>
      <c r="M6289" t="n">
        <v>0</v>
      </c>
      <c r="N6289" t="n">
        <v>0</v>
      </c>
      <c r="O6289" t="n">
        <v>0</v>
      </c>
      <c r="P6289" t="n">
        <v>0</v>
      </c>
      <c r="Q6289" t="n">
        <v>0</v>
      </c>
      <c r="R6289" s="2" t="inlineStr"/>
    </row>
    <row r="6290" ht="15" customHeight="1">
      <c r="A6290" t="inlineStr">
        <is>
          <t>A 68516-2021</t>
        </is>
      </c>
      <c r="B6290" s="1" t="n">
        <v>44526</v>
      </c>
      <c r="C6290" s="1" t="n">
        <v>46086</v>
      </c>
      <c r="D6290" t="inlineStr">
        <is>
          <t>GÄVLEBORGS LÄN</t>
        </is>
      </c>
      <c r="E6290" t="inlineStr">
        <is>
          <t>BOLLNÄS</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53028-2025</t>
        </is>
      </c>
      <c r="B6291" s="1" t="n">
        <v>45958.34267361111</v>
      </c>
      <c r="C6291" s="1" t="n">
        <v>46086</v>
      </c>
      <c r="D6291" t="inlineStr">
        <is>
          <t>GÄVLEBORGS LÄN</t>
        </is>
      </c>
      <c r="E6291" t="inlineStr">
        <is>
          <t>NORDANSTIG</t>
        </is>
      </c>
      <c r="F6291" t="inlineStr">
        <is>
          <t>Holmen skog AB</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53067-2025</t>
        </is>
      </c>
      <c r="B6292" s="1" t="n">
        <v>45958.37748842593</v>
      </c>
      <c r="C6292" s="1" t="n">
        <v>46086</v>
      </c>
      <c r="D6292" t="inlineStr">
        <is>
          <t>GÄVLEBORGS LÄN</t>
        </is>
      </c>
      <c r="E6292" t="inlineStr">
        <is>
          <t>BOLLNÄS</t>
        </is>
      </c>
      <c r="G6292" t="n">
        <v>0.4</v>
      </c>
      <c r="H6292" t="n">
        <v>0</v>
      </c>
      <c r="I6292" t="n">
        <v>0</v>
      </c>
      <c r="J6292" t="n">
        <v>0</v>
      </c>
      <c r="K6292" t="n">
        <v>0</v>
      </c>
      <c r="L6292" t="n">
        <v>0</v>
      </c>
      <c r="M6292" t="n">
        <v>0</v>
      </c>
      <c r="N6292" t="n">
        <v>0</v>
      </c>
      <c r="O6292" t="n">
        <v>0</v>
      </c>
      <c r="P6292" t="n">
        <v>0</v>
      </c>
      <c r="Q6292" t="n">
        <v>0</v>
      </c>
      <c r="R6292" s="2" t="inlineStr"/>
    </row>
    <row r="6293" ht="15" customHeight="1">
      <c r="A6293" t="inlineStr">
        <is>
          <t>A 53592-2025</t>
        </is>
      </c>
      <c r="B6293" s="1" t="n">
        <v>45960.44153935185</v>
      </c>
      <c r="C6293" s="1" t="n">
        <v>46086</v>
      </c>
      <c r="D6293" t="inlineStr">
        <is>
          <t>GÄVLEBORGS LÄN</t>
        </is>
      </c>
      <c r="E6293" t="inlineStr">
        <is>
          <t>OVANÅKER</t>
        </is>
      </c>
      <c r="G6293" t="n">
        <v>5.8</v>
      </c>
      <c r="H6293" t="n">
        <v>0</v>
      </c>
      <c r="I6293" t="n">
        <v>0</v>
      </c>
      <c r="J6293" t="n">
        <v>0</v>
      </c>
      <c r="K6293" t="n">
        <v>0</v>
      </c>
      <c r="L6293" t="n">
        <v>0</v>
      </c>
      <c r="M6293" t="n">
        <v>0</v>
      </c>
      <c r="N6293" t="n">
        <v>0</v>
      </c>
      <c r="O6293" t="n">
        <v>0</v>
      </c>
      <c r="P6293" t="n">
        <v>0</v>
      </c>
      <c r="Q6293" t="n">
        <v>0</v>
      </c>
      <c r="R6293" s="2" t="inlineStr"/>
    </row>
    <row r="6294" ht="15" customHeight="1">
      <c r="A6294" t="inlineStr">
        <is>
          <t>A 53599-2025</t>
        </is>
      </c>
      <c r="B6294" s="1" t="n">
        <v>45960.4559375</v>
      </c>
      <c r="C6294" s="1" t="n">
        <v>46086</v>
      </c>
      <c r="D6294" t="inlineStr">
        <is>
          <t>GÄVLEBORGS LÄN</t>
        </is>
      </c>
      <c r="E6294" t="inlineStr">
        <is>
          <t>BOLLNÄS</t>
        </is>
      </c>
      <c r="F6294" t="inlineStr">
        <is>
          <t>Bergvik skog väst AB</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42947-2022</t>
        </is>
      </c>
      <c r="B6295" s="1" t="n">
        <v>44833.38618055556</v>
      </c>
      <c r="C6295" s="1" t="n">
        <v>46086</v>
      </c>
      <c r="D6295" t="inlineStr">
        <is>
          <t>GÄVLEBORGS LÄN</t>
        </is>
      </c>
      <c r="E6295" t="inlineStr">
        <is>
          <t>NORDANSTIG</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42964-2022</t>
        </is>
      </c>
      <c r="B6296" s="1" t="n">
        <v>44833.41857638889</v>
      </c>
      <c r="C6296" s="1" t="n">
        <v>46086</v>
      </c>
      <c r="D6296" t="inlineStr">
        <is>
          <t>GÄVLEBORGS LÄN</t>
        </is>
      </c>
      <c r="E6296" t="inlineStr">
        <is>
          <t>LJUSDAL</t>
        </is>
      </c>
      <c r="F6296" t="inlineStr">
        <is>
          <t>Bergvik skog väst AB</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53966-2025</t>
        </is>
      </c>
      <c r="B6297" s="1" t="n">
        <v>45961.54194444444</v>
      </c>
      <c r="C6297" s="1" t="n">
        <v>46086</v>
      </c>
      <c r="D6297" t="inlineStr">
        <is>
          <t>GÄVLEBORGS LÄN</t>
        </is>
      </c>
      <c r="E6297" t="inlineStr">
        <is>
          <t>HUDIKSVALL</t>
        </is>
      </c>
      <c r="F6297" t="inlineStr">
        <is>
          <t>Naturvårdsverket</t>
        </is>
      </c>
      <c r="G6297" t="n">
        <v>17.5</v>
      </c>
      <c r="H6297" t="n">
        <v>0</v>
      </c>
      <c r="I6297" t="n">
        <v>0</v>
      </c>
      <c r="J6297" t="n">
        <v>0</v>
      </c>
      <c r="K6297" t="n">
        <v>0</v>
      </c>
      <c r="L6297" t="n">
        <v>0</v>
      </c>
      <c r="M6297" t="n">
        <v>0</v>
      </c>
      <c r="N6297" t="n">
        <v>0</v>
      </c>
      <c r="O6297" t="n">
        <v>0</v>
      </c>
      <c r="P6297" t="n">
        <v>0</v>
      </c>
      <c r="Q6297" t="n">
        <v>0</v>
      </c>
      <c r="R6297" s="2" t="inlineStr"/>
    </row>
    <row r="6298" ht="15" customHeight="1">
      <c r="A6298" t="inlineStr">
        <is>
          <t>A 53998-2025</t>
        </is>
      </c>
      <c r="B6298" s="1" t="n">
        <v>45961</v>
      </c>
      <c r="C6298" s="1" t="n">
        <v>46086</v>
      </c>
      <c r="D6298" t="inlineStr">
        <is>
          <t>GÄVLEBORGS LÄN</t>
        </is>
      </c>
      <c r="E6298" t="inlineStr">
        <is>
          <t>OVANÅKER</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55112-2023</t>
        </is>
      </c>
      <c r="B6299" s="1" t="n">
        <v>45237.47232638889</v>
      </c>
      <c r="C6299" s="1" t="n">
        <v>46086</v>
      </c>
      <c r="D6299" t="inlineStr">
        <is>
          <t>GÄVLEBORGS LÄN</t>
        </is>
      </c>
      <c r="E6299" t="inlineStr">
        <is>
          <t>OCKELBO</t>
        </is>
      </c>
      <c r="G6299" t="n">
        <v>14.6</v>
      </c>
      <c r="H6299" t="n">
        <v>0</v>
      </c>
      <c r="I6299" t="n">
        <v>0</v>
      </c>
      <c r="J6299" t="n">
        <v>0</v>
      </c>
      <c r="K6299" t="n">
        <v>0</v>
      </c>
      <c r="L6299" t="n">
        <v>0</v>
      </c>
      <c r="M6299" t="n">
        <v>0</v>
      </c>
      <c r="N6299" t="n">
        <v>0</v>
      </c>
      <c r="O6299" t="n">
        <v>0</v>
      </c>
      <c r="P6299" t="n">
        <v>0</v>
      </c>
      <c r="Q6299" t="n">
        <v>0</v>
      </c>
      <c r="R6299" s="2" t="inlineStr"/>
    </row>
    <row r="6300" ht="15" customHeight="1">
      <c r="A6300" t="inlineStr">
        <is>
          <t>A 53598-2025</t>
        </is>
      </c>
      <c r="B6300" s="1" t="n">
        <v>45960.45462962963</v>
      </c>
      <c r="C6300" s="1" t="n">
        <v>46086</v>
      </c>
      <c r="D6300" t="inlineStr">
        <is>
          <t>GÄVLEBORGS LÄN</t>
        </is>
      </c>
      <c r="E6300" t="inlineStr">
        <is>
          <t>OVANÅKER</t>
        </is>
      </c>
      <c r="F6300" t="inlineStr">
        <is>
          <t>Bergvik skog väst AB</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51111-2025</t>
        </is>
      </c>
      <c r="B6301" s="1" t="n">
        <v>45947</v>
      </c>
      <c r="C6301" s="1" t="n">
        <v>46086</v>
      </c>
      <c r="D6301" t="inlineStr">
        <is>
          <t>GÄVLEBORGS LÄN</t>
        </is>
      </c>
      <c r="E6301" t="inlineStr">
        <is>
          <t>GÄVLE</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7578-2023</t>
        </is>
      </c>
      <c r="B6302" s="1" t="n">
        <v>44972.38614583333</v>
      </c>
      <c r="C6302" s="1" t="n">
        <v>46086</v>
      </c>
      <c r="D6302" t="inlineStr">
        <is>
          <t>GÄVLEBORGS LÄN</t>
        </is>
      </c>
      <c r="E6302" t="inlineStr">
        <is>
          <t>LJUSDAL</t>
        </is>
      </c>
      <c r="F6302" t="inlineStr">
        <is>
          <t>Kommuner</t>
        </is>
      </c>
      <c r="G6302" t="n">
        <v>4.5</v>
      </c>
      <c r="H6302" t="n">
        <v>0</v>
      </c>
      <c r="I6302" t="n">
        <v>0</v>
      </c>
      <c r="J6302" t="n">
        <v>0</v>
      </c>
      <c r="K6302" t="n">
        <v>0</v>
      </c>
      <c r="L6302" t="n">
        <v>0</v>
      </c>
      <c r="M6302" t="n">
        <v>0</v>
      </c>
      <c r="N6302" t="n">
        <v>0</v>
      </c>
      <c r="O6302" t="n">
        <v>0</v>
      </c>
      <c r="P6302" t="n">
        <v>0</v>
      </c>
      <c r="Q6302" t="n">
        <v>0</v>
      </c>
      <c r="R6302" s="2" t="inlineStr"/>
    </row>
    <row r="6303" ht="15" customHeight="1">
      <c r="A6303" t="inlineStr">
        <is>
          <t>A 54013-2025</t>
        </is>
      </c>
      <c r="B6303" s="1" t="n">
        <v>45961.61868055556</v>
      </c>
      <c r="C6303" s="1" t="n">
        <v>46086</v>
      </c>
      <c r="D6303" t="inlineStr">
        <is>
          <t>GÄVLEBORGS LÄN</t>
        </is>
      </c>
      <c r="E6303" t="inlineStr">
        <is>
          <t>BOLLNÄS</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53484-2025</t>
        </is>
      </c>
      <c r="B6304" s="1" t="n">
        <v>45959.88045138889</v>
      </c>
      <c r="C6304" s="1" t="n">
        <v>46086</v>
      </c>
      <c r="D6304" t="inlineStr">
        <is>
          <t>GÄVLEBORGS LÄN</t>
        </is>
      </c>
      <c r="E6304" t="inlineStr">
        <is>
          <t>NORDANSTIG</t>
        </is>
      </c>
      <c r="G6304" t="n">
        <v>3.6</v>
      </c>
      <c r="H6304" t="n">
        <v>0</v>
      </c>
      <c r="I6304" t="n">
        <v>0</v>
      </c>
      <c r="J6304" t="n">
        <v>0</v>
      </c>
      <c r="K6304" t="n">
        <v>0</v>
      </c>
      <c r="L6304" t="n">
        <v>0</v>
      </c>
      <c r="M6304" t="n">
        <v>0</v>
      </c>
      <c r="N6304" t="n">
        <v>0</v>
      </c>
      <c r="O6304" t="n">
        <v>0</v>
      </c>
      <c r="P6304" t="n">
        <v>0</v>
      </c>
      <c r="Q6304" t="n">
        <v>0</v>
      </c>
      <c r="R6304" s="2" t="inlineStr"/>
    </row>
    <row r="6305" ht="15" customHeight="1">
      <c r="A6305" t="inlineStr">
        <is>
          <t>A 53517-2025</t>
        </is>
      </c>
      <c r="B6305" s="1" t="n">
        <v>45960.35015046296</v>
      </c>
      <c r="C6305" s="1" t="n">
        <v>46086</v>
      </c>
      <c r="D6305" t="inlineStr">
        <is>
          <t>GÄVLEBORGS LÄN</t>
        </is>
      </c>
      <c r="E6305" t="inlineStr">
        <is>
          <t>LJUSDAL</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53665-2025</t>
        </is>
      </c>
      <c r="B6306" s="1" t="n">
        <v>45960.54616898148</v>
      </c>
      <c r="C6306" s="1" t="n">
        <v>46086</v>
      </c>
      <c r="D6306" t="inlineStr">
        <is>
          <t>GÄVLEBORGS LÄN</t>
        </is>
      </c>
      <c r="E6306" t="inlineStr">
        <is>
          <t>NORDANSTIG</t>
        </is>
      </c>
      <c r="F6306" t="inlineStr">
        <is>
          <t>Holmen skog AB</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53967-2025</t>
        </is>
      </c>
      <c r="B6307" s="1" t="n">
        <v>45961.54548611111</v>
      </c>
      <c r="C6307" s="1" t="n">
        <v>46086</v>
      </c>
      <c r="D6307" t="inlineStr">
        <is>
          <t>GÄVLEBORGS LÄN</t>
        </is>
      </c>
      <c r="E6307" t="inlineStr">
        <is>
          <t>HUDIKSVALL</t>
        </is>
      </c>
      <c r="F6307" t="inlineStr">
        <is>
          <t>Naturvårdsverket</t>
        </is>
      </c>
      <c r="G6307" t="n">
        <v>10.9</v>
      </c>
      <c r="H6307" t="n">
        <v>0</v>
      </c>
      <c r="I6307" t="n">
        <v>0</v>
      </c>
      <c r="J6307" t="n">
        <v>0</v>
      </c>
      <c r="K6307" t="n">
        <v>0</v>
      </c>
      <c r="L6307" t="n">
        <v>0</v>
      </c>
      <c r="M6307" t="n">
        <v>0</v>
      </c>
      <c r="N6307" t="n">
        <v>0</v>
      </c>
      <c r="O6307" t="n">
        <v>0</v>
      </c>
      <c r="P6307" t="n">
        <v>0</v>
      </c>
      <c r="Q6307" t="n">
        <v>0</v>
      </c>
      <c r="R6307" s="2" t="inlineStr"/>
    </row>
    <row r="6308" ht="15" customHeight="1">
      <c r="A6308" t="inlineStr">
        <is>
          <t>A 53492-2025</t>
        </is>
      </c>
      <c r="B6308" s="1" t="n">
        <v>45960.32342592593</v>
      </c>
      <c r="C6308" s="1" t="n">
        <v>46086</v>
      </c>
      <c r="D6308" t="inlineStr">
        <is>
          <t>GÄVLEBORGS LÄN</t>
        </is>
      </c>
      <c r="E6308" t="inlineStr">
        <is>
          <t>OVANÅKER</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53496-2025</t>
        </is>
      </c>
      <c r="B6309" s="1" t="n">
        <v>45960.32608796296</v>
      </c>
      <c r="C6309" s="1" t="n">
        <v>46086</v>
      </c>
      <c r="D6309" t="inlineStr">
        <is>
          <t>GÄVLEBORGS LÄN</t>
        </is>
      </c>
      <c r="E6309" t="inlineStr">
        <is>
          <t>LJUSDAL</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53503-2025</t>
        </is>
      </c>
      <c r="B6310" s="1" t="n">
        <v>45960.34327546296</v>
      </c>
      <c r="C6310" s="1" t="n">
        <v>46086</v>
      </c>
      <c r="D6310" t="inlineStr">
        <is>
          <t>GÄVLEBORGS LÄN</t>
        </is>
      </c>
      <c r="E6310" t="inlineStr">
        <is>
          <t>OVANÅKER</t>
        </is>
      </c>
      <c r="G6310" t="n">
        <v>4.7</v>
      </c>
      <c r="H6310" t="n">
        <v>0</v>
      </c>
      <c r="I6310" t="n">
        <v>0</v>
      </c>
      <c r="J6310" t="n">
        <v>0</v>
      </c>
      <c r="K6310" t="n">
        <v>0</v>
      </c>
      <c r="L6310" t="n">
        <v>0</v>
      </c>
      <c r="M6310" t="n">
        <v>0</v>
      </c>
      <c r="N6310" t="n">
        <v>0</v>
      </c>
      <c r="O6310" t="n">
        <v>0</v>
      </c>
      <c r="P6310" t="n">
        <v>0</v>
      </c>
      <c r="Q6310" t="n">
        <v>0</v>
      </c>
      <c r="R6310" s="2" t="inlineStr"/>
    </row>
    <row r="6311" ht="15" customHeight="1">
      <c r="A6311" t="inlineStr">
        <is>
          <t>A 13997-2024</t>
        </is>
      </c>
      <c r="B6311" s="1" t="n">
        <v>45392</v>
      </c>
      <c r="C6311" s="1" t="n">
        <v>46086</v>
      </c>
      <c r="D6311" t="inlineStr">
        <is>
          <t>GÄVLEBORGS LÄN</t>
        </is>
      </c>
      <c r="E6311" t="inlineStr">
        <is>
          <t>HUDIKSVALL</t>
        </is>
      </c>
      <c r="F6311" t="inlineStr">
        <is>
          <t>Holmen skog AB</t>
        </is>
      </c>
      <c r="G6311" t="n">
        <v>6.8</v>
      </c>
      <c r="H6311" t="n">
        <v>0</v>
      </c>
      <c r="I6311" t="n">
        <v>0</v>
      </c>
      <c r="J6311" t="n">
        <v>0</v>
      </c>
      <c r="K6311" t="n">
        <v>0</v>
      </c>
      <c r="L6311" t="n">
        <v>0</v>
      </c>
      <c r="M6311" t="n">
        <v>0</v>
      </c>
      <c r="N6311" t="n">
        <v>0</v>
      </c>
      <c r="O6311" t="n">
        <v>0</v>
      </c>
      <c r="P6311" t="n">
        <v>0</v>
      </c>
      <c r="Q6311" t="n">
        <v>0</v>
      </c>
      <c r="R6311" s="2" t="inlineStr"/>
    </row>
    <row r="6312" ht="15" customHeight="1">
      <c r="A6312" t="inlineStr">
        <is>
          <t>A 18168-2022</t>
        </is>
      </c>
      <c r="B6312" s="1" t="n">
        <v>44684</v>
      </c>
      <c r="C6312" s="1" t="n">
        <v>46086</v>
      </c>
      <c r="D6312" t="inlineStr">
        <is>
          <t>GÄVLEBORGS LÄN</t>
        </is>
      </c>
      <c r="E6312" t="inlineStr">
        <is>
          <t>GÄVLE</t>
        </is>
      </c>
      <c r="F6312" t="inlineStr">
        <is>
          <t>Bergvik skog väst AB</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53977-2025</t>
        </is>
      </c>
      <c r="B6313" s="1" t="n">
        <v>45961.55542824074</v>
      </c>
      <c r="C6313" s="1" t="n">
        <v>46086</v>
      </c>
      <c r="D6313" t="inlineStr">
        <is>
          <t>GÄVLEBORGS LÄN</t>
        </is>
      </c>
      <c r="E6313" t="inlineStr">
        <is>
          <t>HUDIKSVALL</t>
        </is>
      </c>
      <c r="F6313" t="inlineStr">
        <is>
          <t>Naturvårdsverket</t>
        </is>
      </c>
      <c r="G6313" t="n">
        <v>9.5</v>
      </c>
      <c r="H6313" t="n">
        <v>0</v>
      </c>
      <c r="I6313" t="n">
        <v>0</v>
      </c>
      <c r="J6313" t="n">
        <v>0</v>
      </c>
      <c r="K6313" t="n">
        <v>0</v>
      </c>
      <c r="L6313" t="n">
        <v>0</v>
      </c>
      <c r="M6313" t="n">
        <v>0</v>
      </c>
      <c r="N6313" t="n">
        <v>0</v>
      </c>
      <c r="O6313" t="n">
        <v>0</v>
      </c>
      <c r="P6313" t="n">
        <v>0</v>
      </c>
      <c r="Q6313" t="n">
        <v>0</v>
      </c>
      <c r="R6313" s="2" t="inlineStr"/>
    </row>
    <row r="6314" ht="15" customHeight="1">
      <c r="A6314" t="inlineStr">
        <is>
          <t>A 53693-2025</t>
        </is>
      </c>
      <c r="B6314" s="1" t="n">
        <v>45960.58559027778</v>
      </c>
      <c r="C6314" s="1" t="n">
        <v>46086</v>
      </c>
      <c r="D6314" t="inlineStr">
        <is>
          <t>GÄVLEBORGS LÄN</t>
        </is>
      </c>
      <c r="E6314" t="inlineStr">
        <is>
          <t>LJUSDAL</t>
        </is>
      </c>
      <c r="F6314" t="inlineStr">
        <is>
          <t>Bergvik skog väst AB</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53360-2025</t>
        </is>
      </c>
      <c r="B6315" s="1" t="n">
        <v>45959.47620370371</v>
      </c>
      <c r="C6315" s="1" t="n">
        <v>46086</v>
      </c>
      <c r="D6315" t="inlineStr">
        <is>
          <t>GÄVLEBORGS LÄN</t>
        </is>
      </c>
      <c r="E6315" t="inlineStr">
        <is>
          <t>NORDANSTIG</t>
        </is>
      </c>
      <c r="F6315" t="inlineStr">
        <is>
          <t>Holmen skog AB</t>
        </is>
      </c>
      <c r="G6315" t="n">
        <v>6.4</v>
      </c>
      <c r="H6315" t="n">
        <v>0</v>
      </c>
      <c r="I6315" t="n">
        <v>0</v>
      </c>
      <c r="J6315" t="n">
        <v>0</v>
      </c>
      <c r="K6315" t="n">
        <v>0</v>
      </c>
      <c r="L6315" t="n">
        <v>0</v>
      </c>
      <c r="M6315" t="n">
        <v>0</v>
      </c>
      <c r="N6315" t="n">
        <v>0</v>
      </c>
      <c r="O6315" t="n">
        <v>0</v>
      </c>
      <c r="P6315" t="n">
        <v>0</v>
      </c>
      <c r="Q6315" t="n">
        <v>0</v>
      </c>
      <c r="R6315" s="2" t="inlineStr"/>
    </row>
    <row r="6316" ht="15" customHeight="1">
      <c r="A6316" t="inlineStr">
        <is>
          <t>A 53755-2025</t>
        </is>
      </c>
      <c r="B6316" s="1" t="n">
        <v>45960.66334490741</v>
      </c>
      <c r="C6316" s="1" t="n">
        <v>46086</v>
      </c>
      <c r="D6316" t="inlineStr">
        <is>
          <t>GÄVLEBORGS LÄN</t>
        </is>
      </c>
      <c r="E6316" t="inlineStr">
        <is>
          <t>HUDIKSVALL</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53758-2025</t>
        </is>
      </c>
      <c r="B6317" s="1" t="n">
        <v>45960.6690162037</v>
      </c>
      <c r="C6317" s="1" t="n">
        <v>46086</v>
      </c>
      <c r="D6317" t="inlineStr">
        <is>
          <t>GÄVLEBORGS LÄN</t>
        </is>
      </c>
      <c r="E6317" t="inlineStr">
        <is>
          <t>OVANÅKER</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53760-2025</t>
        </is>
      </c>
      <c r="B6318" s="1" t="n">
        <v>45960.67046296296</v>
      </c>
      <c r="C6318" s="1" t="n">
        <v>46086</v>
      </c>
      <c r="D6318" t="inlineStr">
        <is>
          <t>GÄVLEBORGS LÄN</t>
        </is>
      </c>
      <c r="E6318" t="inlineStr">
        <is>
          <t>OVANÅKER</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18950-2025</t>
        </is>
      </c>
      <c r="B6319" s="1" t="n">
        <v>45764</v>
      </c>
      <c r="C6319" s="1" t="n">
        <v>46086</v>
      </c>
      <c r="D6319" t="inlineStr">
        <is>
          <t>GÄVLEBORGS LÄN</t>
        </is>
      </c>
      <c r="E6319" t="inlineStr">
        <is>
          <t>GÄVLE</t>
        </is>
      </c>
      <c r="F6319" t="inlineStr">
        <is>
          <t>Bergvik skog väst AB</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53781-2025</t>
        </is>
      </c>
      <c r="B6320" s="1" t="n">
        <v>45960.69895833333</v>
      </c>
      <c r="C6320" s="1" t="n">
        <v>46086</v>
      </c>
      <c r="D6320" t="inlineStr">
        <is>
          <t>GÄVLEBORGS LÄN</t>
        </is>
      </c>
      <c r="E6320" t="inlineStr">
        <is>
          <t>SÖDERHAMN</t>
        </is>
      </c>
      <c r="G6320" t="n">
        <v>3.6</v>
      </c>
      <c r="H6320" t="n">
        <v>0</v>
      </c>
      <c r="I6320" t="n">
        <v>0</v>
      </c>
      <c r="J6320" t="n">
        <v>0</v>
      </c>
      <c r="K6320" t="n">
        <v>0</v>
      </c>
      <c r="L6320" t="n">
        <v>0</v>
      </c>
      <c r="M6320" t="n">
        <v>0</v>
      </c>
      <c r="N6320" t="n">
        <v>0</v>
      </c>
      <c r="O6320" t="n">
        <v>0</v>
      </c>
      <c r="P6320" t="n">
        <v>0</v>
      </c>
      <c r="Q6320" t="n">
        <v>0</v>
      </c>
      <c r="R6320" s="2" t="inlineStr"/>
    </row>
    <row r="6321" ht="15" customHeight="1">
      <c r="A6321" t="inlineStr">
        <is>
          <t>A 53818-2025</t>
        </is>
      </c>
      <c r="B6321" s="1" t="n">
        <v>45961.29015046296</v>
      </c>
      <c r="C6321" s="1" t="n">
        <v>46086</v>
      </c>
      <c r="D6321" t="inlineStr">
        <is>
          <t>GÄVLEBORGS LÄN</t>
        </is>
      </c>
      <c r="E6321" t="inlineStr">
        <is>
          <t>BOLLNÄS</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53526-2025</t>
        </is>
      </c>
      <c r="B6322" s="1" t="n">
        <v>45960.36133101852</v>
      </c>
      <c r="C6322" s="1" t="n">
        <v>46086</v>
      </c>
      <c r="D6322" t="inlineStr">
        <is>
          <t>GÄVLEBORGS LÄN</t>
        </is>
      </c>
      <c r="E6322" t="inlineStr">
        <is>
          <t>OVANÅKER</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53529-2025</t>
        </is>
      </c>
      <c r="B6323" s="1" t="n">
        <v>45960.3636574074</v>
      </c>
      <c r="C6323" s="1" t="n">
        <v>46086</v>
      </c>
      <c r="D6323" t="inlineStr">
        <is>
          <t>GÄVLEBORGS LÄN</t>
        </is>
      </c>
      <c r="E6323" t="inlineStr">
        <is>
          <t>HUDIKSVALL</t>
        </is>
      </c>
      <c r="F6323" t="inlineStr">
        <is>
          <t>Naturvårdsverket</t>
        </is>
      </c>
      <c r="G6323" t="n">
        <v>7.4</v>
      </c>
      <c r="H6323" t="n">
        <v>0</v>
      </c>
      <c r="I6323" t="n">
        <v>0</v>
      </c>
      <c r="J6323" t="n">
        <v>0</v>
      </c>
      <c r="K6323" t="n">
        <v>0</v>
      </c>
      <c r="L6323" t="n">
        <v>0</v>
      </c>
      <c r="M6323" t="n">
        <v>0</v>
      </c>
      <c r="N6323" t="n">
        <v>0</v>
      </c>
      <c r="O6323" t="n">
        <v>0</v>
      </c>
      <c r="P6323" t="n">
        <v>0</v>
      </c>
      <c r="Q6323" t="n">
        <v>0</v>
      </c>
      <c r="R6323" s="2" t="inlineStr"/>
    </row>
    <row r="6324" ht="15" customHeight="1">
      <c r="A6324" t="inlineStr">
        <is>
          <t>A 64138-2023</t>
        </is>
      </c>
      <c r="B6324" s="1" t="n">
        <v>45279</v>
      </c>
      <c r="C6324" s="1" t="n">
        <v>46086</v>
      </c>
      <c r="D6324" t="inlineStr">
        <is>
          <t>GÄVLEBORGS LÄN</t>
        </is>
      </c>
      <c r="E6324" t="inlineStr">
        <is>
          <t>SÖDERHAMN</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53628-2025</t>
        </is>
      </c>
      <c r="B6325" s="1" t="n">
        <v>45960</v>
      </c>
      <c r="C6325" s="1" t="n">
        <v>46086</v>
      </c>
      <c r="D6325" t="inlineStr">
        <is>
          <t>GÄVLEBORGS LÄN</t>
        </is>
      </c>
      <c r="E6325" t="inlineStr">
        <is>
          <t>SÖDERHAMN</t>
        </is>
      </c>
      <c r="G6325" t="n">
        <v>6.5</v>
      </c>
      <c r="H6325" t="n">
        <v>0</v>
      </c>
      <c r="I6325" t="n">
        <v>0</v>
      </c>
      <c r="J6325" t="n">
        <v>0</v>
      </c>
      <c r="K6325" t="n">
        <v>0</v>
      </c>
      <c r="L6325" t="n">
        <v>0</v>
      </c>
      <c r="M6325" t="n">
        <v>0</v>
      </c>
      <c r="N6325" t="n">
        <v>0</v>
      </c>
      <c r="O6325" t="n">
        <v>0</v>
      </c>
      <c r="P6325" t="n">
        <v>0</v>
      </c>
      <c r="Q6325" t="n">
        <v>0</v>
      </c>
      <c r="R6325" s="2" t="inlineStr"/>
    </row>
    <row r="6326" ht="15" customHeight="1">
      <c r="A6326" t="inlineStr">
        <is>
          <t>A 53646-2025</t>
        </is>
      </c>
      <c r="B6326" s="1" t="n">
        <v>45960.5203125</v>
      </c>
      <c r="C6326" s="1" t="n">
        <v>46086</v>
      </c>
      <c r="D6326" t="inlineStr">
        <is>
          <t>GÄVLEBORGS LÄN</t>
        </is>
      </c>
      <c r="E6326" t="inlineStr">
        <is>
          <t>NORDANSTIG</t>
        </is>
      </c>
      <c r="F6326" t="inlineStr">
        <is>
          <t>Holmen skog AB</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48141-2022</t>
        </is>
      </c>
      <c r="B6327" s="1" t="n">
        <v>44858.00943287037</v>
      </c>
      <c r="C6327" s="1" t="n">
        <v>46086</v>
      </c>
      <c r="D6327" t="inlineStr">
        <is>
          <t>GÄVLEBORGS LÄN</t>
        </is>
      </c>
      <c r="E6327" t="inlineStr">
        <is>
          <t>BOLLNÄS</t>
        </is>
      </c>
      <c r="F6327" t="inlineStr">
        <is>
          <t>Bergvik skog väst AB</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53541-2025</t>
        </is>
      </c>
      <c r="B6328" s="1" t="n">
        <v>45960.37989583334</v>
      </c>
      <c r="C6328" s="1" t="n">
        <v>46086</v>
      </c>
      <c r="D6328" t="inlineStr">
        <is>
          <t>GÄVLEBORGS LÄN</t>
        </is>
      </c>
      <c r="E6328" t="inlineStr">
        <is>
          <t>GÄVLE</t>
        </is>
      </c>
      <c r="G6328" t="n">
        <v>3.8</v>
      </c>
      <c r="H6328" t="n">
        <v>0</v>
      </c>
      <c r="I6328" t="n">
        <v>0</v>
      </c>
      <c r="J6328" t="n">
        <v>0</v>
      </c>
      <c r="K6328" t="n">
        <v>0</v>
      </c>
      <c r="L6328" t="n">
        <v>0</v>
      </c>
      <c r="M6328" t="n">
        <v>0</v>
      </c>
      <c r="N6328" t="n">
        <v>0</v>
      </c>
      <c r="O6328" t="n">
        <v>0</v>
      </c>
      <c r="P6328" t="n">
        <v>0</v>
      </c>
      <c r="Q6328" t="n">
        <v>0</v>
      </c>
      <c r="R6328" s="2" t="inlineStr"/>
    </row>
    <row r="6329" ht="15" customHeight="1">
      <c r="A6329" t="inlineStr">
        <is>
          <t>A 53729-2025</t>
        </is>
      </c>
      <c r="B6329" s="1" t="n">
        <v>45960.63787037037</v>
      </c>
      <c r="C6329" s="1" t="n">
        <v>46086</v>
      </c>
      <c r="D6329" t="inlineStr">
        <is>
          <t>GÄVLEBORGS LÄN</t>
        </is>
      </c>
      <c r="E6329" t="inlineStr">
        <is>
          <t>SÖDERHAMN</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53278-2025</t>
        </is>
      </c>
      <c r="B6330" s="1" t="n">
        <v>45958.76284722222</v>
      </c>
      <c r="C6330" s="1" t="n">
        <v>46086</v>
      </c>
      <c r="D6330" t="inlineStr">
        <is>
          <t>GÄVLEBORGS LÄN</t>
        </is>
      </c>
      <c r="E6330" t="inlineStr">
        <is>
          <t>HUDIKSVALL</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50498-2024</t>
        </is>
      </c>
      <c r="B6331" s="1" t="n">
        <v>45601.51543981482</v>
      </c>
      <c r="C6331" s="1" t="n">
        <v>46086</v>
      </c>
      <c r="D6331" t="inlineStr">
        <is>
          <t>GÄVLEBORGS LÄN</t>
        </is>
      </c>
      <c r="E6331" t="inlineStr">
        <is>
          <t>HUDIKSVALL</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53938-2025</t>
        </is>
      </c>
      <c r="B6332" s="1" t="n">
        <v>45961.48605324074</v>
      </c>
      <c r="C6332" s="1" t="n">
        <v>46086</v>
      </c>
      <c r="D6332" t="inlineStr">
        <is>
          <t>GÄVLEBORGS LÄN</t>
        </is>
      </c>
      <c r="E6332" t="inlineStr">
        <is>
          <t>LJUSDAL</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53583-2025</t>
        </is>
      </c>
      <c r="B6333" s="1" t="n">
        <v>45960.43071759259</v>
      </c>
      <c r="C6333" s="1" t="n">
        <v>46086</v>
      </c>
      <c r="D6333" t="inlineStr">
        <is>
          <t>GÄVLEBORGS LÄN</t>
        </is>
      </c>
      <c r="E6333" t="inlineStr">
        <is>
          <t>SÖDERHAMN</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6101-2023</t>
        </is>
      </c>
      <c r="B6334" s="1" t="n">
        <v>44964.58362268518</v>
      </c>
      <c r="C6334" s="1" t="n">
        <v>46086</v>
      </c>
      <c r="D6334" t="inlineStr">
        <is>
          <t>GÄVLEBORGS LÄN</t>
        </is>
      </c>
      <c r="E6334" t="inlineStr">
        <is>
          <t>SANDVIKEN</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52823-2025</t>
        </is>
      </c>
      <c r="B6335" s="1" t="n">
        <v>45957.45982638889</v>
      </c>
      <c r="C6335" s="1" t="n">
        <v>46086</v>
      </c>
      <c r="D6335" t="inlineStr">
        <is>
          <t>GÄVLEBORGS LÄN</t>
        </is>
      </c>
      <c r="E6335" t="inlineStr">
        <is>
          <t>GÄVLE</t>
        </is>
      </c>
      <c r="G6335" t="n">
        <v>3.7</v>
      </c>
      <c r="H6335" t="n">
        <v>0</v>
      </c>
      <c r="I6335" t="n">
        <v>0</v>
      </c>
      <c r="J6335" t="n">
        <v>0</v>
      </c>
      <c r="K6335" t="n">
        <v>0</v>
      </c>
      <c r="L6335" t="n">
        <v>0</v>
      </c>
      <c r="M6335" t="n">
        <v>0</v>
      </c>
      <c r="N6335" t="n">
        <v>0</v>
      </c>
      <c r="O6335" t="n">
        <v>0</v>
      </c>
      <c r="P6335" t="n">
        <v>0</v>
      </c>
      <c r="Q6335" t="n">
        <v>0</v>
      </c>
      <c r="R6335" s="2" t="inlineStr"/>
    </row>
    <row r="6336" ht="15" customHeight="1">
      <c r="A6336" t="inlineStr">
        <is>
          <t>A 53519-2025</t>
        </is>
      </c>
      <c r="B6336" s="1" t="n">
        <v>45960.35457175926</v>
      </c>
      <c r="C6336" s="1" t="n">
        <v>46086</v>
      </c>
      <c r="D6336" t="inlineStr">
        <is>
          <t>GÄVLEBORGS LÄN</t>
        </is>
      </c>
      <c r="E6336" t="inlineStr">
        <is>
          <t>OVANÅKER</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53490-2025</t>
        </is>
      </c>
      <c r="B6337" s="1" t="n">
        <v>45960.31584490741</v>
      </c>
      <c r="C6337" s="1" t="n">
        <v>46086</v>
      </c>
      <c r="D6337" t="inlineStr">
        <is>
          <t>GÄVLEBORGS LÄN</t>
        </is>
      </c>
      <c r="E6337" t="inlineStr">
        <is>
          <t>BOLLNÄS</t>
        </is>
      </c>
      <c r="G6337" t="n">
        <v>8.4</v>
      </c>
      <c r="H6337" t="n">
        <v>0</v>
      </c>
      <c r="I6337" t="n">
        <v>0</v>
      </c>
      <c r="J6337" t="n">
        <v>0</v>
      </c>
      <c r="K6337" t="n">
        <v>0</v>
      </c>
      <c r="L6337" t="n">
        <v>0</v>
      </c>
      <c r="M6337" t="n">
        <v>0</v>
      </c>
      <c r="N6337" t="n">
        <v>0</v>
      </c>
      <c r="O6337" t="n">
        <v>0</v>
      </c>
      <c r="P6337" t="n">
        <v>0</v>
      </c>
      <c r="Q6337" t="n">
        <v>0</v>
      </c>
      <c r="R6337" s="2" t="inlineStr"/>
    </row>
    <row r="6338" ht="15" customHeight="1">
      <c r="A6338" t="inlineStr">
        <is>
          <t>A 40613-2023</t>
        </is>
      </c>
      <c r="B6338" s="1" t="n">
        <v>45170.51297453704</v>
      </c>
      <c r="C6338" s="1" t="n">
        <v>46086</v>
      </c>
      <c r="D6338" t="inlineStr">
        <is>
          <t>GÄVLEBORGS LÄN</t>
        </is>
      </c>
      <c r="E6338" t="inlineStr">
        <is>
          <t>NORDANSTIG</t>
        </is>
      </c>
      <c r="F6338" t="inlineStr">
        <is>
          <t>Holmen skog AB</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53965-2025</t>
        </is>
      </c>
      <c r="B6339" s="1" t="n">
        <v>45961.54165509259</v>
      </c>
      <c r="C6339" s="1" t="n">
        <v>46086</v>
      </c>
      <c r="D6339" t="inlineStr">
        <is>
          <t>GÄVLEBORGS LÄN</t>
        </is>
      </c>
      <c r="E6339" t="inlineStr">
        <is>
          <t>LJUSDAL</t>
        </is>
      </c>
      <c r="G6339" t="n">
        <v>9.6</v>
      </c>
      <c r="H6339" t="n">
        <v>0</v>
      </c>
      <c r="I6339" t="n">
        <v>0</v>
      </c>
      <c r="J6339" t="n">
        <v>0</v>
      </c>
      <c r="K6339" t="n">
        <v>0</v>
      </c>
      <c r="L6339" t="n">
        <v>0</v>
      </c>
      <c r="M6339" t="n">
        <v>0</v>
      </c>
      <c r="N6339" t="n">
        <v>0</v>
      </c>
      <c r="O6339" t="n">
        <v>0</v>
      </c>
      <c r="P6339" t="n">
        <v>0</v>
      </c>
      <c r="Q6339" t="n">
        <v>0</v>
      </c>
      <c r="R6339" s="2" t="inlineStr"/>
    </row>
    <row r="6340" ht="15" customHeight="1">
      <c r="A6340" t="inlineStr">
        <is>
          <t>A 14623-2023</t>
        </is>
      </c>
      <c r="B6340" s="1" t="n">
        <v>45013.65927083333</v>
      </c>
      <c r="C6340" s="1" t="n">
        <v>46086</v>
      </c>
      <c r="D6340" t="inlineStr">
        <is>
          <t>GÄVLEBORGS LÄN</t>
        </is>
      </c>
      <c r="E6340" t="inlineStr">
        <is>
          <t>BOLLNÄS</t>
        </is>
      </c>
      <c r="G6340" t="n">
        <v>5.3</v>
      </c>
      <c r="H6340" t="n">
        <v>0</v>
      </c>
      <c r="I6340" t="n">
        <v>0</v>
      </c>
      <c r="J6340" t="n">
        <v>0</v>
      </c>
      <c r="K6340" t="n">
        <v>0</v>
      </c>
      <c r="L6340" t="n">
        <v>0</v>
      </c>
      <c r="M6340" t="n">
        <v>0</v>
      </c>
      <c r="N6340" t="n">
        <v>0</v>
      </c>
      <c r="O6340" t="n">
        <v>0</v>
      </c>
      <c r="P6340" t="n">
        <v>0</v>
      </c>
      <c r="Q6340" t="n">
        <v>0</v>
      </c>
      <c r="R6340" s="2" t="inlineStr"/>
    </row>
    <row r="6341" ht="15" customHeight="1">
      <c r="A6341" t="inlineStr">
        <is>
          <t>A 44687-2024</t>
        </is>
      </c>
      <c r="B6341" s="1" t="n">
        <v>45574.55350694444</v>
      </c>
      <c r="C6341" s="1" t="n">
        <v>46086</v>
      </c>
      <c r="D6341" t="inlineStr">
        <is>
          <t>GÄVLEBORGS LÄN</t>
        </is>
      </c>
      <c r="E6341" t="inlineStr">
        <is>
          <t>HUDIKSVALL</t>
        </is>
      </c>
      <c r="G6341" t="n">
        <v>17.3</v>
      </c>
      <c r="H6341" t="n">
        <v>0</v>
      </c>
      <c r="I6341" t="n">
        <v>0</v>
      </c>
      <c r="J6341" t="n">
        <v>0</v>
      </c>
      <c r="K6341" t="n">
        <v>0</v>
      </c>
      <c r="L6341" t="n">
        <v>0</v>
      </c>
      <c r="M6341" t="n">
        <v>0</v>
      </c>
      <c r="N6341" t="n">
        <v>0</v>
      </c>
      <c r="O6341" t="n">
        <v>0</v>
      </c>
      <c r="P6341" t="n">
        <v>0</v>
      </c>
      <c r="Q6341" t="n">
        <v>0</v>
      </c>
      <c r="R6341" s="2" t="inlineStr"/>
    </row>
    <row r="6342" ht="15" customHeight="1">
      <c r="A6342" t="inlineStr">
        <is>
          <t>A 61603-2022</t>
        </is>
      </c>
      <c r="B6342" s="1" t="n">
        <v>44916</v>
      </c>
      <c r="C6342" s="1" t="n">
        <v>46086</v>
      </c>
      <c r="D6342" t="inlineStr">
        <is>
          <t>GÄVLEBORGS LÄN</t>
        </is>
      </c>
      <c r="E6342" t="inlineStr">
        <is>
          <t>LJUSDAL</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11838-2024</t>
        </is>
      </c>
      <c r="B6343" s="1" t="n">
        <v>45376.37584490741</v>
      </c>
      <c r="C6343" s="1" t="n">
        <v>46086</v>
      </c>
      <c r="D6343" t="inlineStr">
        <is>
          <t>GÄVLEBORGS LÄN</t>
        </is>
      </c>
      <c r="E6343" t="inlineStr">
        <is>
          <t>LJUSDAL</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53879-2025</t>
        </is>
      </c>
      <c r="B6344" s="1" t="n">
        <v>45961.39596064815</v>
      </c>
      <c r="C6344" s="1" t="n">
        <v>46086</v>
      </c>
      <c r="D6344" t="inlineStr">
        <is>
          <t>GÄVLEBORGS LÄN</t>
        </is>
      </c>
      <c r="E6344" t="inlineStr">
        <is>
          <t>SÖDERHAMN</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33959-2023</t>
        </is>
      </c>
      <c r="B6345" s="1" t="n">
        <v>45124</v>
      </c>
      <c r="C6345" s="1" t="n">
        <v>46086</v>
      </c>
      <c r="D6345" t="inlineStr">
        <is>
          <t>GÄVLEBORGS LÄN</t>
        </is>
      </c>
      <c r="E6345" t="inlineStr">
        <is>
          <t>HUDIKSVALL</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53817-2025</t>
        </is>
      </c>
      <c r="B6346" s="1" t="n">
        <v>45961.28778935185</v>
      </c>
      <c r="C6346" s="1" t="n">
        <v>46086</v>
      </c>
      <c r="D6346" t="inlineStr">
        <is>
          <t>GÄVLEBORGS LÄN</t>
        </is>
      </c>
      <c r="E6346" t="inlineStr">
        <is>
          <t>BOLLNÄS</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53889-2025</t>
        </is>
      </c>
      <c r="B6347" s="1" t="n">
        <v>45961.41085648148</v>
      </c>
      <c r="C6347" s="1" t="n">
        <v>46086</v>
      </c>
      <c r="D6347" t="inlineStr">
        <is>
          <t>GÄVLEBORGS LÄN</t>
        </is>
      </c>
      <c r="E6347" t="inlineStr">
        <is>
          <t>BOLLNÄS</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53494-2025</t>
        </is>
      </c>
      <c r="B6348" s="1" t="n">
        <v>45960.32569444444</v>
      </c>
      <c r="C6348" s="1" t="n">
        <v>46086</v>
      </c>
      <c r="D6348" t="inlineStr">
        <is>
          <t>GÄVLEBORGS LÄN</t>
        </is>
      </c>
      <c r="E6348" t="inlineStr">
        <is>
          <t>SÖDERHAMN</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53731-2025</t>
        </is>
      </c>
      <c r="B6349" s="1" t="n">
        <v>45960.64208333333</v>
      </c>
      <c r="C6349" s="1" t="n">
        <v>46086</v>
      </c>
      <c r="D6349" t="inlineStr">
        <is>
          <t>GÄVLEBORGS LÄN</t>
        </is>
      </c>
      <c r="E6349" t="inlineStr">
        <is>
          <t>SÖDERHAMN</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21027-2024</t>
        </is>
      </c>
      <c r="B6350" s="1" t="n">
        <v>45439</v>
      </c>
      <c r="C6350" s="1" t="n">
        <v>46086</v>
      </c>
      <c r="D6350" t="inlineStr">
        <is>
          <t>GÄVLEBORGS LÄN</t>
        </is>
      </c>
      <c r="E6350" t="inlineStr">
        <is>
          <t>HOFORS</t>
        </is>
      </c>
      <c r="F6350" t="inlineStr">
        <is>
          <t>Sveaskog</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21028-2024</t>
        </is>
      </c>
      <c r="B6351" s="1" t="n">
        <v>45439</v>
      </c>
      <c r="C6351" s="1" t="n">
        <v>46086</v>
      </c>
      <c r="D6351" t="inlineStr">
        <is>
          <t>GÄVLEBORGS LÄN</t>
        </is>
      </c>
      <c r="E6351" t="inlineStr">
        <is>
          <t>HOFORS</t>
        </is>
      </c>
      <c r="F6351" t="inlineStr">
        <is>
          <t>Sveaskog</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21316-2024</t>
        </is>
      </c>
      <c r="B6352" s="1" t="n">
        <v>45440.70765046297</v>
      </c>
      <c r="C6352" s="1" t="n">
        <v>46086</v>
      </c>
      <c r="D6352" t="inlineStr">
        <is>
          <t>GÄVLEBORGS LÄN</t>
        </is>
      </c>
      <c r="E6352" t="inlineStr">
        <is>
          <t>SÖDERHAMN</t>
        </is>
      </c>
      <c r="F6352" t="inlineStr">
        <is>
          <t>Kommuner</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53936-2025</t>
        </is>
      </c>
      <c r="B6353" s="1" t="n">
        <v>45961.48350694445</v>
      </c>
      <c r="C6353" s="1" t="n">
        <v>46086</v>
      </c>
      <c r="D6353" t="inlineStr">
        <is>
          <t>GÄVLEBORGS LÄN</t>
        </is>
      </c>
      <c r="E6353" t="inlineStr">
        <is>
          <t>HUDIKSVALL</t>
        </is>
      </c>
      <c r="F6353" t="inlineStr">
        <is>
          <t>Holmen skog AB</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53692-2025</t>
        </is>
      </c>
      <c r="B6354" s="1" t="n">
        <v>45960.58421296296</v>
      </c>
      <c r="C6354" s="1" t="n">
        <v>46086</v>
      </c>
      <c r="D6354" t="inlineStr">
        <is>
          <t>GÄVLEBORGS LÄN</t>
        </is>
      </c>
      <c r="E6354" t="inlineStr">
        <is>
          <t>BOLLNÄS</t>
        </is>
      </c>
      <c r="G6354" t="n">
        <v>3.8</v>
      </c>
      <c r="H6354" t="n">
        <v>0</v>
      </c>
      <c r="I6354" t="n">
        <v>0</v>
      </c>
      <c r="J6354" t="n">
        <v>0</v>
      </c>
      <c r="K6354" t="n">
        <v>0</v>
      </c>
      <c r="L6354" t="n">
        <v>0</v>
      </c>
      <c r="M6354" t="n">
        <v>0</v>
      </c>
      <c r="N6354" t="n">
        <v>0</v>
      </c>
      <c r="O6354" t="n">
        <v>0</v>
      </c>
      <c r="P6354" t="n">
        <v>0</v>
      </c>
      <c r="Q6354" t="n">
        <v>0</v>
      </c>
      <c r="R6354" s="2" t="inlineStr"/>
    </row>
    <row r="6355" ht="15" customHeight="1">
      <c r="A6355" t="inlineStr">
        <is>
          <t>A 9366-2024</t>
        </is>
      </c>
      <c r="B6355" s="1" t="n">
        <v>45359.34866898148</v>
      </c>
      <c r="C6355" s="1" t="n">
        <v>46086</v>
      </c>
      <c r="D6355" t="inlineStr">
        <is>
          <t>GÄVLEBORGS LÄN</t>
        </is>
      </c>
      <c r="E6355" t="inlineStr">
        <is>
          <t>HUDIKSVALL</t>
        </is>
      </c>
      <c r="F6355" t="inlineStr">
        <is>
          <t>Holmen skog AB</t>
        </is>
      </c>
      <c r="G6355" t="n">
        <v>13.6</v>
      </c>
      <c r="H6355" t="n">
        <v>0</v>
      </c>
      <c r="I6355" t="n">
        <v>0</v>
      </c>
      <c r="J6355" t="n">
        <v>0</v>
      </c>
      <c r="K6355" t="n">
        <v>0</v>
      </c>
      <c r="L6355" t="n">
        <v>0</v>
      </c>
      <c r="M6355" t="n">
        <v>0</v>
      </c>
      <c r="N6355" t="n">
        <v>0</v>
      </c>
      <c r="O6355" t="n">
        <v>0</v>
      </c>
      <c r="P6355" t="n">
        <v>0</v>
      </c>
      <c r="Q6355" t="n">
        <v>0</v>
      </c>
      <c r="R6355" s="2" t="inlineStr"/>
    </row>
    <row r="6356" ht="15" customHeight="1">
      <c r="A6356" t="inlineStr">
        <is>
          <t>A 926-2022</t>
        </is>
      </c>
      <c r="B6356" s="1" t="n">
        <v>44571</v>
      </c>
      <c r="C6356" s="1" t="n">
        <v>46086</v>
      </c>
      <c r="D6356" t="inlineStr">
        <is>
          <t>GÄVLEBORGS LÄN</t>
        </is>
      </c>
      <c r="E6356" t="inlineStr">
        <is>
          <t>OVANÅKER</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54135-2025</t>
        </is>
      </c>
      <c r="B6357" s="1" t="n">
        <v>45964.47016203704</v>
      </c>
      <c r="C6357" s="1" t="n">
        <v>46086</v>
      </c>
      <c r="D6357" t="inlineStr">
        <is>
          <t>GÄVLEBORGS LÄN</t>
        </is>
      </c>
      <c r="E6357" t="inlineStr">
        <is>
          <t>GÄVLE</t>
        </is>
      </c>
      <c r="F6357" t="inlineStr">
        <is>
          <t>Bergvik skog öst AB</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54291-2025</t>
        </is>
      </c>
      <c r="B6358" s="1" t="n">
        <v>45964.82269675926</v>
      </c>
      <c r="C6358" s="1" t="n">
        <v>46086</v>
      </c>
      <c r="D6358" t="inlineStr">
        <is>
          <t>GÄVLEBORGS LÄN</t>
        </is>
      </c>
      <c r="E6358" t="inlineStr">
        <is>
          <t>LJUSDAL</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54402-2025</t>
        </is>
      </c>
      <c r="B6359" s="1" t="n">
        <v>45965.45290509259</v>
      </c>
      <c r="C6359" s="1" t="n">
        <v>46086</v>
      </c>
      <c r="D6359" t="inlineStr">
        <is>
          <t>GÄVLEBORGS LÄN</t>
        </is>
      </c>
      <c r="E6359" t="inlineStr">
        <is>
          <t>LJUSDAL</t>
        </is>
      </c>
      <c r="G6359" t="n">
        <v>6.3</v>
      </c>
      <c r="H6359" t="n">
        <v>0</v>
      </c>
      <c r="I6359" t="n">
        <v>0</v>
      </c>
      <c r="J6359" t="n">
        <v>0</v>
      </c>
      <c r="K6359" t="n">
        <v>0</v>
      </c>
      <c r="L6359" t="n">
        <v>0</v>
      </c>
      <c r="M6359" t="n">
        <v>0</v>
      </c>
      <c r="N6359" t="n">
        <v>0</v>
      </c>
      <c r="O6359" t="n">
        <v>0</v>
      </c>
      <c r="P6359" t="n">
        <v>0</v>
      </c>
      <c r="Q6359" t="n">
        <v>0</v>
      </c>
      <c r="R6359" s="2" t="inlineStr"/>
    </row>
    <row r="6360" ht="15" customHeight="1">
      <c r="A6360" t="inlineStr">
        <is>
          <t>A 54415-2025</t>
        </is>
      </c>
      <c r="B6360" s="1" t="n">
        <v>45965.47361111111</v>
      </c>
      <c r="C6360" s="1" t="n">
        <v>46086</v>
      </c>
      <c r="D6360" t="inlineStr">
        <is>
          <t>GÄVLEBORGS LÄN</t>
        </is>
      </c>
      <c r="E6360" t="inlineStr">
        <is>
          <t>NORDANSTIG</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54266-2025</t>
        </is>
      </c>
      <c r="B6361" s="1" t="n">
        <v>45964.67049768518</v>
      </c>
      <c r="C6361" s="1" t="n">
        <v>46086</v>
      </c>
      <c r="D6361" t="inlineStr">
        <is>
          <t>GÄVLEBORGS LÄN</t>
        </is>
      </c>
      <c r="E6361" t="inlineStr">
        <is>
          <t>SÖDERHAMN</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10118-2025</t>
        </is>
      </c>
      <c r="B6362" s="1" t="n">
        <v>45719</v>
      </c>
      <c r="C6362" s="1" t="n">
        <v>46086</v>
      </c>
      <c r="D6362" t="inlineStr">
        <is>
          <t>GÄVLEBORGS LÄN</t>
        </is>
      </c>
      <c r="E6362" t="inlineStr">
        <is>
          <t>GÄVLE</t>
        </is>
      </c>
      <c r="F6362" t="inlineStr">
        <is>
          <t>Bergvik skog öst AB</t>
        </is>
      </c>
      <c r="G6362" t="n">
        <v>5.4</v>
      </c>
      <c r="H6362" t="n">
        <v>0</v>
      </c>
      <c r="I6362" t="n">
        <v>0</v>
      </c>
      <c r="J6362" t="n">
        <v>0</v>
      </c>
      <c r="K6362" t="n">
        <v>0</v>
      </c>
      <c r="L6362" t="n">
        <v>0</v>
      </c>
      <c r="M6362" t="n">
        <v>0</v>
      </c>
      <c r="N6362" t="n">
        <v>0</v>
      </c>
      <c r="O6362" t="n">
        <v>0</v>
      </c>
      <c r="P6362" t="n">
        <v>0</v>
      </c>
      <c r="Q6362" t="n">
        <v>0</v>
      </c>
      <c r="R6362" s="2" t="inlineStr"/>
    </row>
    <row r="6363" ht="15" customHeight="1">
      <c r="A6363" t="inlineStr">
        <is>
          <t>A 54149-2025</t>
        </is>
      </c>
      <c r="B6363" s="1" t="n">
        <v>45964.48533564815</v>
      </c>
      <c r="C6363" s="1" t="n">
        <v>46086</v>
      </c>
      <c r="D6363" t="inlineStr">
        <is>
          <t>GÄVLEBORGS LÄN</t>
        </is>
      </c>
      <c r="E6363" t="inlineStr">
        <is>
          <t>BOLLNÄS</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54281-2025</t>
        </is>
      </c>
      <c r="B6364" s="1" t="n">
        <v>45964.7172337963</v>
      </c>
      <c r="C6364" s="1" t="n">
        <v>46086</v>
      </c>
      <c r="D6364" t="inlineStr">
        <is>
          <t>GÄVLEBORGS LÄN</t>
        </is>
      </c>
      <c r="E6364" t="inlineStr">
        <is>
          <t>GÄVLE</t>
        </is>
      </c>
      <c r="F6364" t="inlineStr">
        <is>
          <t>Bergvik skog öst AB</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15325-2025</t>
        </is>
      </c>
      <c r="B6365" s="1" t="n">
        <v>45747.33708333333</v>
      </c>
      <c r="C6365" s="1" t="n">
        <v>46086</v>
      </c>
      <c r="D6365" t="inlineStr">
        <is>
          <t>GÄVLEBORGS LÄN</t>
        </is>
      </c>
      <c r="E6365" t="inlineStr">
        <is>
          <t>OCKELBO</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16989-2025</t>
        </is>
      </c>
      <c r="B6366" s="1" t="n">
        <v>45755.4960300926</v>
      </c>
      <c r="C6366" s="1" t="n">
        <v>46086</v>
      </c>
      <c r="D6366" t="inlineStr">
        <is>
          <t>GÄVLEBORGS LÄN</t>
        </is>
      </c>
      <c r="E6366" t="inlineStr">
        <is>
          <t>OCKELBO</t>
        </is>
      </c>
      <c r="G6366" t="n">
        <v>4.1</v>
      </c>
      <c r="H6366" t="n">
        <v>0</v>
      </c>
      <c r="I6366" t="n">
        <v>0</v>
      </c>
      <c r="J6366" t="n">
        <v>0</v>
      </c>
      <c r="K6366" t="n">
        <v>0</v>
      </c>
      <c r="L6366" t="n">
        <v>0</v>
      </c>
      <c r="M6366" t="n">
        <v>0</v>
      </c>
      <c r="N6366" t="n">
        <v>0</v>
      </c>
      <c r="O6366" t="n">
        <v>0</v>
      </c>
      <c r="P6366" t="n">
        <v>0</v>
      </c>
      <c r="Q6366" t="n">
        <v>0</v>
      </c>
      <c r="R6366" s="2" t="inlineStr"/>
    </row>
    <row r="6367" ht="15" customHeight="1">
      <c r="A6367" t="inlineStr">
        <is>
          <t>A 46006-2024</t>
        </is>
      </c>
      <c r="B6367" s="1" t="n">
        <v>45580</v>
      </c>
      <c r="C6367" s="1" t="n">
        <v>46086</v>
      </c>
      <c r="D6367" t="inlineStr">
        <is>
          <t>GÄVLEBORGS LÄN</t>
        </is>
      </c>
      <c r="E6367" t="inlineStr">
        <is>
          <t>SÖDERHAMN</t>
        </is>
      </c>
      <c r="G6367" t="n">
        <v>0.4</v>
      </c>
      <c r="H6367" t="n">
        <v>0</v>
      </c>
      <c r="I6367" t="n">
        <v>0</v>
      </c>
      <c r="J6367" t="n">
        <v>0</v>
      </c>
      <c r="K6367" t="n">
        <v>0</v>
      </c>
      <c r="L6367" t="n">
        <v>0</v>
      </c>
      <c r="M6367" t="n">
        <v>0</v>
      </c>
      <c r="N6367" t="n">
        <v>0</v>
      </c>
      <c r="O6367" t="n">
        <v>0</v>
      </c>
      <c r="P6367" t="n">
        <v>0</v>
      </c>
      <c r="Q6367" t="n">
        <v>0</v>
      </c>
      <c r="R6367" s="2" t="inlineStr"/>
    </row>
    <row r="6368" ht="15" customHeight="1">
      <c r="A6368" t="inlineStr">
        <is>
          <t>A 54423-2025</t>
        </is>
      </c>
      <c r="B6368" s="1" t="n">
        <v>45965.48761574074</v>
      </c>
      <c r="C6368" s="1" t="n">
        <v>46086</v>
      </c>
      <c r="D6368" t="inlineStr">
        <is>
          <t>GÄVLEBORGS LÄN</t>
        </is>
      </c>
      <c r="E6368" t="inlineStr">
        <is>
          <t>BOLLNÄS</t>
        </is>
      </c>
      <c r="F6368" t="inlineStr">
        <is>
          <t>Bergvik skog väst AB</t>
        </is>
      </c>
      <c r="G6368" t="n">
        <v>5.3</v>
      </c>
      <c r="H6368" t="n">
        <v>0</v>
      </c>
      <c r="I6368" t="n">
        <v>0</v>
      </c>
      <c r="J6368" t="n">
        <v>0</v>
      </c>
      <c r="K6368" t="n">
        <v>0</v>
      </c>
      <c r="L6368" t="n">
        <v>0</v>
      </c>
      <c r="M6368" t="n">
        <v>0</v>
      </c>
      <c r="N6368" t="n">
        <v>0</v>
      </c>
      <c r="O6368" t="n">
        <v>0</v>
      </c>
      <c r="P6368" t="n">
        <v>0</v>
      </c>
      <c r="Q6368" t="n">
        <v>0</v>
      </c>
      <c r="R6368" s="2" t="inlineStr"/>
    </row>
    <row r="6369" ht="15" customHeight="1">
      <c r="A6369" t="inlineStr">
        <is>
          <t>A 54053-2025</t>
        </is>
      </c>
      <c r="B6369" s="1" t="n">
        <v>45964.28209490741</v>
      </c>
      <c r="C6369" s="1" t="n">
        <v>46086</v>
      </c>
      <c r="D6369" t="inlineStr">
        <is>
          <t>GÄVLEBORGS LÄN</t>
        </is>
      </c>
      <c r="E6369" t="inlineStr">
        <is>
          <t>BOLLNÄS</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8979-2024</t>
        </is>
      </c>
      <c r="B6370" s="1" t="n">
        <v>45357</v>
      </c>
      <c r="C6370" s="1" t="n">
        <v>46086</v>
      </c>
      <c r="D6370" t="inlineStr">
        <is>
          <t>GÄVLEBORGS LÄN</t>
        </is>
      </c>
      <c r="E6370" t="inlineStr">
        <is>
          <t>LJUSDAL</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54097-2025</t>
        </is>
      </c>
      <c r="B6371" s="1" t="n">
        <v>45964.40912037037</v>
      </c>
      <c r="C6371" s="1" t="n">
        <v>46086</v>
      </c>
      <c r="D6371" t="inlineStr">
        <is>
          <t>GÄVLEBORGS LÄN</t>
        </is>
      </c>
      <c r="E6371" t="inlineStr">
        <is>
          <t>BOLLNÄS</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7503-2022</t>
        </is>
      </c>
      <c r="B6372" s="1" t="n">
        <v>44607.46671296296</v>
      </c>
      <c r="C6372" s="1" t="n">
        <v>46086</v>
      </c>
      <c r="D6372" t="inlineStr">
        <is>
          <t>GÄVLEBORGS LÄN</t>
        </is>
      </c>
      <c r="E6372" t="inlineStr">
        <is>
          <t>NORDANSTIG</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54077-2025</t>
        </is>
      </c>
      <c r="B6373" s="1" t="n">
        <v>45964.36503472222</v>
      </c>
      <c r="C6373" s="1" t="n">
        <v>46086</v>
      </c>
      <c r="D6373" t="inlineStr">
        <is>
          <t>GÄVLEBORGS LÄN</t>
        </is>
      </c>
      <c r="E6373" t="inlineStr">
        <is>
          <t>NORDANSTIG</t>
        </is>
      </c>
      <c r="F6373" t="inlineStr">
        <is>
          <t>SCA</t>
        </is>
      </c>
      <c r="G6373" t="n">
        <v>6</v>
      </c>
      <c r="H6373" t="n">
        <v>0</v>
      </c>
      <c r="I6373" t="n">
        <v>0</v>
      </c>
      <c r="J6373" t="n">
        <v>0</v>
      </c>
      <c r="K6373" t="n">
        <v>0</v>
      </c>
      <c r="L6373" t="n">
        <v>0</v>
      </c>
      <c r="M6373" t="n">
        <v>0</v>
      </c>
      <c r="N6373" t="n">
        <v>0</v>
      </c>
      <c r="O6373" t="n">
        <v>0</v>
      </c>
      <c r="P6373" t="n">
        <v>0</v>
      </c>
      <c r="Q6373" t="n">
        <v>0</v>
      </c>
      <c r="R6373" s="2" t="inlineStr"/>
    </row>
    <row r="6374" ht="15" customHeight="1">
      <c r="A6374" t="inlineStr">
        <is>
          <t>A 22373-2023</t>
        </is>
      </c>
      <c r="B6374" s="1" t="n">
        <v>45070.60813657408</v>
      </c>
      <c r="C6374" s="1" t="n">
        <v>46086</v>
      </c>
      <c r="D6374" t="inlineStr">
        <is>
          <t>GÄVLEBORGS LÄN</t>
        </is>
      </c>
      <c r="E6374" t="inlineStr">
        <is>
          <t>SANDVIKEN</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54480-2025</t>
        </is>
      </c>
      <c r="B6375" s="1" t="n">
        <v>45965.58563657408</v>
      </c>
      <c r="C6375" s="1" t="n">
        <v>46086</v>
      </c>
      <c r="D6375" t="inlineStr">
        <is>
          <t>GÄVLEBORGS LÄN</t>
        </is>
      </c>
      <c r="E6375" t="inlineStr">
        <is>
          <t>GÄVLE</t>
        </is>
      </c>
      <c r="F6375" t="inlineStr">
        <is>
          <t>Bergvik skog väst AB</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54299-2025</t>
        </is>
      </c>
      <c r="B6376" s="1" t="n">
        <v>45965.27177083334</v>
      </c>
      <c r="C6376" s="1" t="n">
        <v>46086</v>
      </c>
      <c r="D6376" t="inlineStr">
        <is>
          <t>GÄVLEBORGS LÄN</t>
        </is>
      </c>
      <c r="E6376" t="inlineStr">
        <is>
          <t>LJUSDAL</t>
        </is>
      </c>
      <c r="G6376" t="n">
        <v>6</v>
      </c>
      <c r="H6376" t="n">
        <v>0</v>
      </c>
      <c r="I6376" t="n">
        <v>0</v>
      </c>
      <c r="J6376" t="n">
        <v>0</v>
      </c>
      <c r="K6376" t="n">
        <v>0</v>
      </c>
      <c r="L6376" t="n">
        <v>0</v>
      </c>
      <c r="M6376" t="n">
        <v>0</v>
      </c>
      <c r="N6376" t="n">
        <v>0</v>
      </c>
      <c r="O6376" t="n">
        <v>0</v>
      </c>
      <c r="P6376" t="n">
        <v>0</v>
      </c>
      <c r="Q6376" t="n">
        <v>0</v>
      </c>
      <c r="R6376" s="2" t="inlineStr"/>
    </row>
    <row r="6377" ht="15" customHeight="1">
      <c r="A6377" t="inlineStr">
        <is>
          <t>A 54582-2025</t>
        </is>
      </c>
      <c r="B6377" s="1" t="n">
        <v>45965.71502314815</v>
      </c>
      <c r="C6377" s="1" t="n">
        <v>46086</v>
      </c>
      <c r="D6377" t="inlineStr">
        <is>
          <t>GÄVLEBORGS LÄN</t>
        </is>
      </c>
      <c r="E6377" t="inlineStr">
        <is>
          <t>OVANÅKER</t>
        </is>
      </c>
      <c r="F6377" t="inlineStr">
        <is>
          <t>Bergvik skog väst AB</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54373-2025</t>
        </is>
      </c>
      <c r="B6378" s="1" t="n">
        <v>45965.41546296296</v>
      </c>
      <c r="C6378" s="1" t="n">
        <v>46086</v>
      </c>
      <c r="D6378" t="inlineStr">
        <is>
          <t>GÄVLEBORGS LÄN</t>
        </is>
      </c>
      <c r="E6378" t="inlineStr">
        <is>
          <t>NORDANSTIG</t>
        </is>
      </c>
      <c r="F6378" t="inlineStr">
        <is>
          <t>Holmen skog AB</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48257-2023</t>
        </is>
      </c>
      <c r="B6379" s="1" t="n">
        <v>45205.53430555556</v>
      </c>
      <c r="C6379" s="1" t="n">
        <v>46086</v>
      </c>
      <c r="D6379" t="inlineStr">
        <is>
          <t>GÄVLEBORGS LÄN</t>
        </is>
      </c>
      <c r="E6379" t="inlineStr">
        <is>
          <t>SANDVIKEN</t>
        </is>
      </c>
      <c r="F6379" t="inlineStr">
        <is>
          <t>Sveaskog</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54300-2025</t>
        </is>
      </c>
      <c r="B6380" s="1" t="n">
        <v>45965.27563657407</v>
      </c>
      <c r="C6380" s="1" t="n">
        <v>46086</v>
      </c>
      <c r="D6380" t="inlineStr">
        <is>
          <t>GÄVLEBORGS LÄN</t>
        </is>
      </c>
      <c r="E6380" t="inlineStr">
        <is>
          <t>LJUSDAL</t>
        </is>
      </c>
      <c r="G6380" t="n">
        <v>4.8</v>
      </c>
      <c r="H6380" t="n">
        <v>0</v>
      </c>
      <c r="I6380" t="n">
        <v>0</v>
      </c>
      <c r="J6380" t="n">
        <v>0</v>
      </c>
      <c r="K6380" t="n">
        <v>0</v>
      </c>
      <c r="L6380" t="n">
        <v>0</v>
      </c>
      <c r="M6380" t="n">
        <v>0</v>
      </c>
      <c r="N6380" t="n">
        <v>0</v>
      </c>
      <c r="O6380" t="n">
        <v>0</v>
      </c>
      <c r="P6380" t="n">
        <v>0</v>
      </c>
      <c r="Q6380" t="n">
        <v>0</v>
      </c>
      <c r="R6380" s="2" t="inlineStr"/>
    </row>
    <row r="6381" ht="15" customHeight="1">
      <c r="A6381" t="inlineStr">
        <is>
          <t>A 58796-2024</t>
        </is>
      </c>
      <c r="B6381" s="1" t="n">
        <v>45636.29079861111</v>
      </c>
      <c r="C6381" s="1" t="n">
        <v>46086</v>
      </c>
      <c r="D6381" t="inlineStr">
        <is>
          <t>GÄVLEBORGS LÄN</t>
        </is>
      </c>
      <c r="E6381" t="inlineStr">
        <is>
          <t>SANDVIKEN</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54150-2025</t>
        </is>
      </c>
      <c r="B6382" s="1" t="n">
        <v>45964.48765046296</v>
      </c>
      <c r="C6382" s="1" t="n">
        <v>46086</v>
      </c>
      <c r="D6382" t="inlineStr">
        <is>
          <t>GÄVLEBORGS LÄN</t>
        </is>
      </c>
      <c r="E6382" t="inlineStr">
        <is>
          <t>BOLLNÄS</t>
        </is>
      </c>
      <c r="G6382" t="n">
        <v>3.6</v>
      </c>
      <c r="H6382" t="n">
        <v>0</v>
      </c>
      <c r="I6382" t="n">
        <v>0</v>
      </c>
      <c r="J6382" t="n">
        <v>0</v>
      </c>
      <c r="K6382" t="n">
        <v>0</v>
      </c>
      <c r="L6382" t="n">
        <v>0</v>
      </c>
      <c r="M6382" t="n">
        <v>0</v>
      </c>
      <c r="N6382" t="n">
        <v>0</v>
      </c>
      <c r="O6382" t="n">
        <v>0</v>
      </c>
      <c r="P6382" t="n">
        <v>0</v>
      </c>
      <c r="Q6382" t="n">
        <v>0</v>
      </c>
      <c r="R6382" s="2" t="inlineStr"/>
    </row>
    <row r="6383" ht="15" customHeight="1">
      <c r="A6383" t="inlineStr">
        <is>
          <t>A 54519-2025</t>
        </is>
      </c>
      <c r="B6383" s="1" t="n">
        <v>45965.62609953704</v>
      </c>
      <c r="C6383" s="1" t="n">
        <v>46086</v>
      </c>
      <c r="D6383" t="inlineStr">
        <is>
          <t>GÄVLEBORGS LÄN</t>
        </is>
      </c>
      <c r="E6383" t="inlineStr">
        <is>
          <t>OVANÅKER</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40798-2022</t>
        </is>
      </c>
      <c r="B6384" s="1" t="n">
        <v>44824.65527777778</v>
      </c>
      <c r="C6384" s="1" t="n">
        <v>46086</v>
      </c>
      <c r="D6384" t="inlineStr">
        <is>
          <t>GÄVLEBORGS LÄN</t>
        </is>
      </c>
      <c r="E6384" t="inlineStr">
        <is>
          <t>NORDANSTIG</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40876-2022</t>
        </is>
      </c>
      <c r="B6385" s="1" t="n">
        <v>44825.34003472222</v>
      </c>
      <c r="C6385" s="1" t="n">
        <v>46086</v>
      </c>
      <c r="D6385" t="inlineStr">
        <is>
          <t>GÄVLEBORGS LÄN</t>
        </is>
      </c>
      <c r="E6385" t="inlineStr">
        <is>
          <t>HUDIKSVALL</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54496-2025</t>
        </is>
      </c>
      <c r="B6386" s="1" t="n">
        <v>45965.60248842592</v>
      </c>
      <c r="C6386" s="1" t="n">
        <v>46086</v>
      </c>
      <c r="D6386" t="inlineStr">
        <is>
          <t>GÄVLEBORGS LÄN</t>
        </is>
      </c>
      <c r="E6386" t="inlineStr">
        <is>
          <t>LJUSDAL</t>
        </is>
      </c>
      <c r="F6386" t="inlineStr">
        <is>
          <t>Allmännings- och besparingsskogar</t>
        </is>
      </c>
      <c r="G6386" t="n">
        <v>6</v>
      </c>
      <c r="H6386" t="n">
        <v>0</v>
      </c>
      <c r="I6386" t="n">
        <v>0</v>
      </c>
      <c r="J6386" t="n">
        <v>0</v>
      </c>
      <c r="K6386" t="n">
        <v>0</v>
      </c>
      <c r="L6386" t="n">
        <v>0</v>
      </c>
      <c r="M6386" t="n">
        <v>0</v>
      </c>
      <c r="N6386" t="n">
        <v>0</v>
      </c>
      <c r="O6386" t="n">
        <v>0</v>
      </c>
      <c r="P6386" t="n">
        <v>0</v>
      </c>
      <c r="Q6386" t="n">
        <v>0</v>
      </c>
      <c r="R6386" s="2" t="inlineStr"/>
    </row>
    <row r="6387" ht="15" customHeight="1">
      <c r="A6387" t="inlineStr">
        <is>
          <t>A 25357-2023</t>
        </is>
      </c>
      <c r="B6387" s="1" t="n">
        <v>45087.9609837963</v>
      </c>
      <c r="C6387" s="1" t="n">
        <v>46086</v>
      </c>
      <c r="D6387" t="inlineStr">
        <is>
          <t>GÄVLEBORGS LÄN</t>
        </is>
      </c>
      <c r="E6387" t="inlineStr">
        <is>
          <t>SANDVIKEN</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49935-2024</t>
        </is>
      </c>
      <c r="B6388" s="1" t="n">
        <v>45597.58377314815</v>
      </c>
      <c r="C6388" s="1" t="n">
        <v>46086</v>
      </c>
      <c r="D6388" t="inlineStr">
        <is>
          <t>GÄVLEBORGS LÄN</t>
        </is>
      </c>
      <c r="E6388" t="inlineStr">
        <is>
          <t>SÖDERHAMN</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54512-2025</t>
        </is>
      </c>
      <c r="B6389" s="1" t="n">
        <v>45965.62202546297</v>
      </c>
      <c r="C6389" s="1" t="n">
        <v>46086</v>
      </c>
      <c r="D6389" t="inlineStr">
        <is>
          <t>GÄVLEBORGS LÄN</t>
        </is>
      </c>
      <c r="E6389" t="inlineStr">
        <is>
          <t>OVANÅKER</t>
        </is>
      </c>
      <c r="G6389" t="n">
        <v>3.8</v>
      </c>
      <c r="H6389" t="n">
        <v>0</v>
      </c>
      <c r="I6389" t="n">
        <v>0</v>
      </c>
      <c r="J6389" t="n">
        <v>0</v>
      </c>
      <c r="K6389" t="n">
        <v>0</v>
      </c>
      <c r="L6389" t="n">
        <v>0</v>
      </c>
      <c r="M6389" t="n">
        <v>0</v>
      </c>
      <c r="N6389" t="n">
        <v>0</v>
      </c>
      <c r="O6389" t="n">
        <v>0</v>
      </c>
      <c r="P6389" t="n">
        <v>0</v>
      </c>
      <c r="Q6389" t="n">
        <v>0</v>
      </c>
      <c r="R6389" s="2" t="inlineStr"/>
    </row>
    <row r="6390" ht="15" customHeight="1">
      <c r="A6390" t="inlineStr">
        <is>
          <t>A 49942-2024</t>
        </is>
      </c>
      <c r="B6390" s="1" t="n">
        <v>45597.5980324074</v>
      </c>
      <c r="C6390" s="1" t="n">
        <v>46086</v>
      </c>
      <c r="D6390" t="inlineStr">
        <is>
          <t>GÄVLEBORGS LÄN</t>
        </is>
      </c>
      <c r="E6390" t="inlineStr">
        <is>
          <t>SÖDERHAMN</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54253-2025</t>
        </is>
      </c>
      <c r="B6391" s="1" t="n">
        <v>45964.65013888889</v>
      </c>
      <c r="C6391" s="1" t="n">
        <v>46086</v>
      </c>
      <c r="D6391" t="inlineStr">
        <is>
          <t>GÄVLEBORGS LÄN</t>
        </is>
      </c>
      <c r="E6391" t="inlineStr">
        <is>
          <t>BOLLNÄS</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54515-2025</t>
        </is>
      </c>
      <c r="B6392" s="1" t="n">
        <v>45965.62277777777</v>
      </c>
      <c r="C6392" s="1" t="n">
        <v>46086</v>
      </c>
      <c r="D6392" t="inlineStr">
        <is>
          <t>GÄVLEBORGS LÄN</t>
        </is>
      </c>
      <c r="E6392" t="inlineStr">
        <is>
          <t>HUDIKSVALL</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13270-2022</t>
        </is>
      </c>
      <c r="B6393" s="1" t="n">
        <v>44644.71585648148</v>
      </c>
      <c r="C6393" s="1" t="n">
        <v>46086</v>
      </c>
      <c r="D6393" t="inlineStr">
        <is>
          <t>GÄVLEBORGS LÄN</t>
        </is>
      </c>
      <c r="E6393" t="inlineStr">
        <is>
          <t>NORDANSTIG</t>
        </is>
      </c>
      <c r="G6393" t="n">
        <v>9</v>
      </c>
      <c r="H6393" t="n">
        <v>0</v>
      </c>
      <c r="I6393" t="n">
        <v>0</v>
      </c>
      <c r="J6393" t="n">
        <v>0</v>
      </c>
      <c r="K6393" t="n">
        <v>0</v>
      </c>
      <c r="L6393" t="n">
        <v>0</v>
      </c>
      <c r="M6393" t="n">
        <v>0</v>
      </c>
      <c r="N6393" t="n">
        <v>0</v>
      </c>
      <c r="O6393" t="n">
        <v>0</v>
      </c>
      <c r="P6393" t="n">
        <v>0</v>
      </c>
      <c r="Q6393" t="n">
        <v>0</v>
      </c>
      <c r="R6393" s="2" t="inlineStr"/>
    </row>
    <row r="6394" ht="15" customHeight="1">
      <c r="A6394" t="inlineStr">
        <is>
          <t>A 54289-2025</t>
        </is>
      </c>
      <c r="B6394" s="1" t="n">
        <v>45964.81273148148</v>
      </c>
      <c r="C6394" s="1" t="n">
        <v>46086</v>
      </c>
      <c r="D6394" t="inlineStr">
        <is>
          <t>GÄVLEBORGS LÄN</t>
        </is>
      </c>
      <c r="E6394" t="inlineStr">
        <is>
          <t>LJUSDAL</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16371-2022</t>
        </is>
      </c>
      <c r="B6395" s="1" t="n">
        <v>44671</v>
      </c>
      <c r="C6395" s="1" t="n">
        <v>46086</v>
      </c>
      <c r="D6395" t="inlineStr">
        <is>
          <t>GÄVLEBORGS LÄN</t>
        </is>
      </c>
      <c r="E6395" t="inlineStr">
        <is>
          <t>HOFORS</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19730-2022</t>
        </is>
      </c>
      <c r="B6396" s="1" t="n">
        <v>44694</v>
      </c>
      <c r="C6396" s="1" t="n">
        <v>46086</v>
      </c>
      <c r="D6396" t="inlineStr">
        <is>
          <t>GÄVLEBORGS LÄN</t>
        </is>
      </c>
      <c r="E6396" t="inlineStr">
        <is>
          <t>GÄVLE</t>
        </is>
      </c>
      <c r="F6396" t="inlineStr">
        <is>
          <t>Bergvik skog väst AB</t>
        </is>
      </c>
      <c r="G6396" t="n">
        <v>3.5</v>
      </c>
      <c r="H6396" t="n">
        <v>0</v>
      </c>
      <c r="I6396" t="n">
        <v>0</v>
      </c>
      <c r="J6396" t="n">
        <v>0</v>
      </c>
      <c r="K6396" t="n">
        <v>0</v>
      </c>
      <c r="L6396" t="n">
        <v>0</v>
      </c>
      <c r="M6396" t="n">
        <v>0</v>
      </c>
      <c r="N6396" t="n">
        <v>0</v>
      </c>
      <c r="O6396" t="n">
        <v>0</v>
      </c>
      <c r="P6396" t="n">
        <v>0</v>
      </c>
      <c r="Q6396" t="n">
        <v>0</v>
      </c>
      <c r="R6396" s="2" t="inlineStr"/>
    </row>
    <row r="6397" ht="15" customHeight="1">
      <c r="A6397" t="inlineStr">
        <is>
          <t>A 54094-2025</t>
        </is>
      </c>
      <c r="B6397" s="1" t="n">
        <v>45964.40113425926</v>
      </c>
      <c r="C6397" s="1" t="n">
        <v>46086</v>
      </c>
      <c r="D6397" t="inlineStr">
        <is>
          <t>GÄVLEBORGS LÄN</t>
        </is>
      </c>
      <c r="E6397" t="inlineStr">
        <is>
          <t>HUDIKSVALL</t>
        </is>
      </c>
      <c r="F6397" t="inlineStr">
        <is>
          <t>Sveaskog</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10095-2025</t>
        </is>
      </c>
      <c r="B6398" s="1" t="n">
        <v>45719</v>
      </c>
      <c r="C6398" s="1" t="n">
        <v>46086</v>
      </c>
      <c r="D6398" t="inlineStr">
        <is>
          <t>GÄVLEBORGS LÄN</t>
        </is>
      </c>
      <c r="E6398" t="inlineStr">
        <is>
          <t>GÄVLE</t>
        </is>
      </c>
      <c r="F6398" t="inlineStr">
        <is>
          <t>Bergvik skog öst AB</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35252-2024</t>
        </is>
      </c>
      <c r="B6399" s="1" t="n">
        <v>45530.57136574074</v>
      </c>
      <c r="C6399" s="1" t="n">
        <v>46086</v>
      </c>
      <c r="D6399" t="inlineStr">
        <is>
          <t>GÄVLEBORGS LÄN</t>
        </is>
      </c>
      <c r="E6399" t="inlineStr">
        <is>
          <t>SANDVIKEN</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54370-2025</t>
        </is>
      </c>
      <c r="B6400" s="1" t="n">
        <v>45965.40790509259</v>
      </c>
      <c r="C6400" s="1" t="n">
        <v>46086</v>
      </c>
      <c r="D6400" t="inlineStr">
        <is>
          <t>GÄVLEBORGS LÄN</t>
        </is>
      </c>
      <c r="E6400" t="inlineStr">
        <is>
          <t>BOLLNÄS</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60098-2023</t>
        </is>
      </c>
      <c r="B6401" s="1" t="n">
        <v>45258.45493055556</v>
      </c>
      <c r="C6401" s="1" t="n">
        <v>46086</v>
      </c>
      <c r="D6401" t="inlineStr">
        <is>
          <t>GÄVLEBORGS LÄN</t>
        </is>
      </c>
      <c r="E6401" t="inlineStr">
        <is>
          <t>LJUSDAL</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18140-2023</t>
        </is>
      </c>
      <c r="B6402" s="1" t="n">
        <v>45040.9262037037</v>
      </c>
      <c r="C6402" s="1" t="n">
        <v>46086</v>
      </c>
      <c r="D6402" t="inlineStr">
        <is>
          <t>GÄVLEBORGS LÄN</t>
        </is>
      </c>
      <c r="E6402" t="inlineStr">
        <is>
          <t>SÖDERHAMN</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53356-2025</t>
        </is>
      </c>
      <c r="B6403" s="1" t="n">
        <v>45959.46270833333</v>
      </c>
      <c r="C6403" s="1" t="n">
        <v>46086</v>
      </c>
      <c r="D6403" t="inlineStr">
        <is>
          <t>GÄVLEBORGS LÄN</t>
        </is>
      </c>
      <c r="E6403" t="inlineStr">
        <is>
          <t>LJUSDAL</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54183-2025</t>
        </is>
      </c>
      <c r="B6404" s="1" t="n">
        <v>45964.5630787037</v>
      </c>
      <c r="C6404" s="1" t="n">
        <v>46086</v>
      </c>
      <c r="D6404" t="inlineStr">
        <is>
          <t>GÄVLEBORGS LÄN</t>
        </is>
      </c>
      <c r="E6404" t="inlineStr">
        <is>
          <t>HUDIKSVALL</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10416-2025</t>
        </is>
      </c>
      <c r="B6405" s="1" t="n">
        <v>45720.63462962963</v>
      </c>
      <c r="C6405" s="1" t="n">
        <v>46086</v>
      </c>
      <c r="D6405" t="inlineStr">
        <is>
          <t>GÄVLEBORGS LÄN</t>
        </is>
      </c>
      <c r="E6405" t="inlineStr">
        <is>
          <t>LJUSDAL</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32291-2024</t>
        </is>
      </c>
      <c r="B6406" s="1" t="n">
        <v>45512.42832175926</v>
      </c>
      <c r="C6406" s="1" t="n">
        <v>46086</v>
      </c>
      <c r="D6406" t="inlineStr">
        <is>
          <t>GÄVLEBORGS LÄN</t>
        </is>
      </c>
      <c r="E6406" t="inlineStr">
        <is>
          <t>SANDVIKEN</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32308-2024</t>
        </is>
      </c>
      <c r="B6407" s="1" t="n">
        <v>45512.45641203703</v>
      </c>
      <c r="C6407" s="1" t="n">
        <v>46086</v>
      </c>
      <c r="D6407" t="inlineStr">
        <is>
          <t>GÄVLEBORGS LÄN</t>
        </is>
      </c>
      <c r="E6407" t="inlineStr">
        <is>
          <t>HUDIKSVALL</t>
        </is>
      </c>
      <c r="F6407" t="inlineStr">
        <is>
          <t>Holmen skog AB</t>
        </is>
      </c>
      <c r="G6407" t="n">
        <v>6.8</v>
      </c>
      <c r="H6407" t="n">
        <v>0</v>
      </c>
      <c r="I6407" t="n">
        <v>0</v>
      </c>
      <c r="J6407" t="n">
        <v>0</v>
      </c>
      <c r="K6407" t="n">
        <v>0</v>
      </c>
      <c r="L6407" t="n">
        <v>0</v>
      </c>
      <c r="M6407" t="n">
        <v>0</v>
      </c>
      <c r="N6407" t="n">
        <v>0</v>
      </c>
      <c r="O6407" t="n">
        <v>0</v>
      </c>
      <c r="P6407" t="n">
        <v>0</v>
      </c>
      <c r="Q6407" t="n">
        <v>0</v>
      </c>
      <c r="R6407" s="2" t="inlineStr"/>
    </row>
    <row r="6408" ht="15" customHeight="1">
      <c r="A6408" t="inlineStr">
        <is>
          <t>A 22251-2023</t>
        </is>
      </c>
      <c r="B6408" s="1" t="n">
        <v>45070</v>
      </c>
      <c r="C6408" s="1" t="n">
        <v>46086</v>
      </c>
      <c r="D6408" t="inlineStr">
        <is>
          <t>GÄVLEBORGS LÄN</t>
        </is>
      </c>
      <c r="E6408" t="inlineStr">
        <is>
          <t>LJUSDAL</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54229-2025</t>
        </is>
      </c>
      <c r="B6409" s="1" t="n">
        <v>45964.61523148148</v>
      </c>
      <c r="C6409" s="1" t="n">
        <v>46086</v>
      </c>
      <c r="D6409" t="inlineStr">
        <is>
          <t>GÄVLEBORGS LÄN</t>
        </is>
      </c>
      <c r="E6409" t="inlineStr">
        <is>
          <t>BOLLNÄS</t>
        </is>
      </c>
      <c r="G6409" t="n">
        <v>6.2</v>
      </c>
      <c r="H6409" t="n">
        <v>0</v>
      </c>
      <c r="I6409" t="n">
        <v>0</v>
      </c>
      <c r="J6409" t="n">
        <v>0</v>
      </c>
      <c r="K6409" t="n">
        <v>0</v>
      </c>
      <c r="L6409" t="n">
        <v>0</v>
      </c>
      <c r="M6409" t="n">
        <v>0</v>
      </c>
      <c r="N6409" t="n">
        <v>0</v>
      </c>
      <c r="O6409" t="n">
        <v>0</v>
      </c>
      <c r="P6409" t="n">
        <v>0</v>
      </c>
      <c r="Q6409" t="n">
        <v>0</v>
      </c>
      <c r="R6409" s="2" t="inlineStr"/>
    </row>
    <row r="6410" ht="15" customHeight="1">
      <c r="A6410" t="inlineStr">
        <is>
          <t>A 34233-2023</t>
        </is>
      </c>
      <c r="B6410" s="1" t="n">
        <v>45138.52274305555</v>
      </c>
      <c r="C6410" s="1" t="n">
        <v>46086</v>
      </c>
      <c r="D6410" t="inlineStr">
        <is>
          <t>GÄVLEBORGS LÄN</t>
        </is>
      </c>
      <c r="E6410" t="inlineStr">
        <is>
          <t>GÄVLE</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29968-2024</t>
        </is>
      </c>
      <c r="B6411" s="1" t="n">
        <v>45488.47298611111</v>
      </c>
      <c r="C6411" s="1" t="n">
        <v>46086</v>
      </c>
      <c r="D6411" t="inlineStr">
        <is>
          <t>GÄVLEBORGS LÄN</t>
        </is>
      </c>
      <c r="E6411" t="inlineStr">
        <is>
          <t>OCKELBO</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54301-2025</t>
        </is>
      </c>
      <c r="B6412" s="1" t="n">
        <v>45965.27680555556</v>
      </c>
      <c r="C6412" s="1" t="n">
        <v>46086</v>
      </c>
      <c r="D6412" t="inlineStr">
        <is>
          <t>GÄVLEBORGS LÄN</t>
        </is>
      </c>
      <c r="E6412" t="inlineStr">
        <is>
          <t>BOLLNÄS</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26185-2023</t>
        </is>
      </c>
      <c r="B6413" s="1" t="n">
        <v>45091.53390046296</v>
      </c>
      <c r="C6413" s="1" t="n">
        <v>46086</v>
      </c>
      <c r="D6413" t="inlineStr">
        <is>
          <t>GÄVLEBORGS LÄN</t>
        </is>
      </c>
      <c r="E6413" t="inlineStr">
        <is>
          <t>LJUSDAL</t>
        </is>
      </c>
      <c r="F6413" t="inlineStr">
        <is>
          <t>Sveaskog</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26186-2023</t>
        </is>
      </c>
      <c r="B6414" s="1" t="n">
        <v>45091.53475694444</v>
      </c>
      <c r="C6414" s="1" t="n">
        <v>46086</v>
      </c>
      <c r="D6414" t="inlineStr">
        <is>
          <t>GÄVLEBORGS LÄN</t>
        </is>
      </c>
      <c r="E6414" t="inlineStr">
        <is>
          <t>LJUSDAL</t>
        </is>
      </c>
      <c r="F6414" t="inlineStr">
        <is>
          <t>Sveaskog</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54958-2025</t>
        </is>
      </c>
      <c r="B6415" s="1" t="n">
        <v>45967.4753587963</v>
      </c>
      <c r="C6415" s="1" t="n">
        <v>46086</v>
      </c>
      <c r="D6415" t="inlineStr">
        <is>
          <t>GÄVLEBORGS LÄN</t>
        </is>
      </c>
      <c r="E6415" t="inlineStr">
        <is>
          <t>GÄVLE</t>
        </is>
      </c>
      <c r="F6415" t="inlineStr">
        <is>
          <t>Bergvik skog öst AB</t>
        </is>
      </c>
      <c r="G6415" t="n">
        <v>6</v>
      </c>
      <c r="H6415" t="n">
        <v>0</v>
      </c>
      <c r="I6415" t="n">
        <v>0</v>
      </c>
      <c r="J6415" t="n">
        <v>0</v>
      </c>
      <c r="K6415" t="n">
        <v>0</v>
      </c>
      <c r="L6415" t="n">
        <v>0</v>
      </c>
      <c r="M6415" t="n">
        <v>0</v>
      </c>
      <c r="N6415" t="n">
        <v>0</v>
      </c>
      <c r="O6415" t="n">
        <v>0</v>
      </c>
      <c r="P6415" t="n">
        <v>0</v>
      </c>
      <c r="Q6415" t="n">
        <v>0</v>
      </c>
      <c r="R6415" s="2" t="inlineStr"/>
    </row>
    <row r="6416" ht="15" customHeight="1">
      <c r="A6416" t="inlineStr">
        <is>
          <t>A 54960-2025</t>
        </is>
      </c>
      <c r="B6416" s="1" t="n">
        <v>45967.47635416667</v>
      </c>
      <c r="C6416" s="1" t="n">
        <v>46086</v>
      </c>
      <c r="D6416" t="inlineStr">
        <is>
          <t>GÄVLEBORGS LÄN</t>
        </is>
      </c>
      <c r="E6416" t="inlineStr">
        <is>
          <t>GÄVLE</t>
        </is>
      </c>
      <c r="F6416" t="inlineStr">
        <is>
          <t>Bergvik skog öst AB</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57751-2024</t>
        </is>
      </c>
      <c r="B6417" s="1" t="n">
        <v>45630.82424768519</v>
      </c>
      <c r="C6417" s="1" t="n">
        <v>46086</v>
      </c>
      <c r="D6417" t="inlineStr">
        <is>
          <t>GÄVLEBORGS LÄN</t>
        </is>
      </c>
      <c r="E6417" t="inlineStr">
        <is>
          <t>HOFORS</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54966-2025</t>
        </is>
      </c>
      <c r="B6418" s="1" t="n">
        <v>45967.49037037037</v>
      </c>
      <c r="C6418" s="1" t="n">
        <v>46086</v>
      </c>
      <c r="D6418" t="inlineStr">
        <is>
          <t>GÄVLEBORGS LÄN</t>
        </is>
      </c>
      <c r="E6418" t="inlineStr">
        <is>
          <t>GÄVLE</t>
        </is>
      </c>
      <c r="F6418" t="inlineStr">
        <is>
          <t>Bergvik skog öst AB</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54975-2025</t>
        </is>
      </c>
      <c r="B6419" s="1" t="n">
        <v>45967.50736111111</v>
      </c>
      <c r="C6419" s="1" t="n">
        <v>46086</v>
      </c>
      <c r="D6419" t="inlineStr">
        <is>
          <t>GÄVLEBORGS LÄN</t>
        </is>
      </c>
      <c r="E6419" t="inlineStr">
        <is>
          <t>GÄVLE</t>
        </is>
      </c>
      <c r="F6419" t="inlineStr">
        <is>
          <t>Bergvik skog öst AB</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51023-2023</t>
        </is>
      </c>
      <c r="B6420" s="1" t="n">
        <v>45218</v>
      </c>
      <c r="C6420" s="1" t="n">
        <v>46086</v>
      </c>
      <c r="D6420" t="inlineStr">
        <is>
          <t>GÄVLEBORGS LÄN</t>
        </is>
      </c>
      <c r="E6420" t="inlineStr">
        <is>
          <t>HUDIKSVALL</t>
        </is>
      </c>
      <c r="F6420" t="inlineStr">
        <is>
          <t>Holmen skog AB</t>
        </is>
      </c>
      <c r="G6420" t="n">
        <v>13.7</v>
      </c>
      <c r="H6420" t="n">
        <v>0</v>
      </c>
      <c r="I6420" t="n">
        <v>0</v>
      </c>
      <c r="J6420" t="n">
        <v>0</v>
      </c>
      <c r="K6420" t="n">
        <v>0</v>
      </c>
      <c r="L6420" t="n">
        <v>0</v>
      </c>
      <c r="M6420" t="n">
        <v>0</v>
      </c>
      <c r="N6420" t="n">
        <v>0</v>
      </c>
      <c r="O6420" t="n">
        <v>0</v>
      </c>
      <c r="P6420" t="n">
        <v>0</v>
      </c>
      <c r="Q6420" t="n">
        <v>0</v>
      </c>
      <c r="R6420" s="2" t="inlineStr"/>
    </row>
    <row r="6421" ht="15" customHeight="1">
      <c r="A6421" t="inlineStr">
        <is>
          <t>A 17667-2023</t>
        </is>
      </c>
      <c r="B6421" s="1" t="n">
        <v>45036.94440972222</v>
      </c>
      <c r="C6421" s="1" t="n">
        <v>46086</v>
      </c>
      <c r="D6421" t="inlineStr">
        <is>
          <t>GÄVLEBORGS LÄN</t>
        </is>
      </c>
      <c r="E6421" t="inlineStr">
        <is>
          <t>LJUSDAL</t>
        </is>
      </c>
      <c r="F6421" t="inlineStr">
        <is>
          <t>SCA</t>
        </is>
      </c>
      <c r="G6421" t="n">
        <v>5.4</v>
      </c>
      <c r="H6421" t="n">
        <v>0</v>
      </c>
      <c r="I6421" t="n">
        <v>0</v>
      </c>
      <c r="J6421" t="n">
        <v>0</v>
      </c>
      <c r="K6421" t="n">
        <v>0</v>
      </c>
      <c r="L6421" t="n">
        <v>0</v>
      </c>
      <c r="M6421" t="n">
        <v>0</v>
      </c>
      <c r="N6421" t="n">
        <v>0</v>
      </c>
      <c r="O6421" t="n">
        <v>0</v>
      </c>
      <c r="P6421" t="n">
        <v>0</v>
      </c>
      <c r="Q6421" t="n">
        <v>0</v>
      </c>
      <c r="R6421" s="2" t="inlineStr"/>
    </row>
    <row r="6422" ht="15" customHeight="1">
      <c r="A6422" t="inlineStr">
        <is>
          <t>A 55064-2025</t>
        </is>
      </c>
      <c r="B6422" s="1" t="n">
        <v>45967.70875</v>
      </c>
      <c r="C6422" s="1" t="n">
        <v>46086</v>
      </c>
      <c r="D6422" t="inlineStr">
        <is>
          <t>GÄVLEBORGS LÄN</t>
        </is>
      </c>
      <c r="E6422" t="inlineStr">
        <is>
          <t>OVANÅKER</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54995-2025</t>
        </is>
      </c>
      <c r="B6423" s="1" t="n">
        <v>45967.59489583333</v>
      </c>
      <c r="C6423" s="1" t="n">
        <v>46086</v>
      </c>
      <c r="D6423" t="inlineStr">
        <is>
          <t>GÄVLEBORGS LÄN</t>
        </is>
      </c>
      <c r="E6423" t="inlineStr">
        <is>
          <t>SÖDERHAMN</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40091-2023</t>
        </is>
      </c>
      <c r="B6424" s="1" t="n">
        <v>45168.92969907408</v>
      </c>
      <c r="C6424" s="1" t="n">
        <v>46086</v>
      </c>
      <c r="D6424" t="inlineStr">
        <is>
          <t>GÄVLEBORGS LÄN</t>
        </is>
      </c>
      <c r="E6424" t="inlineStr">
        <is>
          <t>GÄVLE</t>
        </is>
      </c>
      <c r="F6424" t="inlineStr">
        <is>
          <t>Bergvik skog väst AB</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54788-2025</t>
        </is>
      </c>
      <c r="B6425" s="1" t="n">
        <v>45966.63012731481</v>
      </c>
      <c r="C6425" s="1" t="n">
        <v>46086</v>
      </c>
      <c r="D6425" t="inlineStr">
        <is>
          <t>GÄVLEBORGS LÄN</t>
        </is>
      </c>
      <c r="E6425" t="inlineStr">
        <is>
          <t>OVANÅKER</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23374-2024</t>
        </is>
      </c>
      <c r="B6426" s="1" t="n">
        <v>45453.55642361111</v>
      </c>
      <c r="C6426" s="1" t="n">
        <v>46086</v>
      </c>
      <c r="D6426" t="inlineStr">
        <is>
          <t>GÄVLEBORGS LÄN</t>
        </is>
      </c>
      <c r="E6426" t="inlineStr">
        <is>
          <t>LJUSDAL</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23386-2024</t>
        </is>
      </c>
      <c r="B6427" s="1" t="n">
        <v>45453.56219907408</v>
      </c>
      <c r="C6427" s="1" t="n">
        <v>46086</v>
      </c>
      <c r="D6427" t="inlineStr">
        <is>
          <t>GÄVLEBORGS LÄN</t>
        </is>
      </c>
      <c r="E6427" t="inlineStr">
        <is>
          <t>LJUSDAL</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50053-2022</t>
        </is>
      </c>
      <c r="B6428" s="1" t="n">
        <v>44865.47443287037</v>
      </c>
      <c r="C6428" s="1" t="n">
        <v>46086</v>
      </c>
      <c r="D6428" t="inlineStr">
        <is>
          <t>GÄVLEBORGS LÄN</t>
        </is>
      </c>
      <c r="E6428" t="inlineStr">
        <is>
          <t>BOLLNÄS</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57748-2025</t>
        </is>
      </c>
      <c r="B6429" s="1" t="n">
        <v>45981</v>
      </c>
      <c r="C6429" s="1" t="n">
        <v>46086</v>
      </c>
      <c r="D6429" t="inlineStr">
        <is>
          <t>GÄVLEBORGS LÄN</t>
        </is>
      </c>
      <c r="E6429" t="inlineStr">
        <is>
          <t>LJUSDAL</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5440-2023</t>
        </is>
      </c>
      <c r="B6430" s="1" t="n">
        <v>44959.92410879629</v>
      </c>
      <c r="C6430" s="1" t="n">
        <v>46086</v>
      </c>
      <c r="D6430" t="inlineStr">
        <is>
          <t>GÄVLEBORGS LÄN</t>
        </is>
      </c>
      <c r="E6430" t="inlineStr">
        <is>
          <t>LJUSDAL</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54655-2025</t>
        </is>
      </c>
      <c r="B6431" s="1" t="n">
        <v>45966.38342592592</v>
      </c>
      <c r="C6431" s="1" t="n">
        <v>46086</v>
      </c>
      <c r="D6431" t="inlineStr">
        <is>
          <t>GÄVLEBORGS LÄN</t>
        </is>
      </c>
      <c r="E6431" t="inlineStr">
        <is>
          <t>OCKELBO</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54656-2025</t>
        </is>
      </c>
      <c r="B6432" s="1" t="n">
        <v>45966.39697916667</v>
      </c>
      <c r="C6432" s="1" t="n">
        <v>46086</v>
      </c>
      <c r="D6432" t="inlineStr">
        <is>
          <t>GÄVLEBORGS LÄN</t>
        </is>
      </c>
      <c r="E6432" t="inlineStr">
        <is>
          <t>SÖDERHAMN</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54949-2025</t>
        </is>
      </c>
      <c r="B6433" s="1" t="n">
        <v>45967.44877314815</v>
      </c>
      <c r="C6433" s="1" t="n">
        <v>46086</v>
      </c>
      <c r="D6433" t="inlineStr">
        <is>
          <t>GÄVLEBORGS LÄN</t>
        </is>
      </c>
      <c r="E6433" t="inlineStr">
        <is>
          <t>GÄVLE</t>
        </is>
      </c>
      <c r="G6433" t="n">
        <v>4.5</v>
      </c>
      <c r="H6433" t="n">
        <v>0</v>
      </c>
      <c r="I6433" t="n">
        <v>0</v>
      </c>
      <c r="J6433" t="n">
        <v>0</v>
      </c>
      <c r="K6433" t="n">
        <v>0</v>
      </c>
      <c r="L6433" t="n">
        <v>0</v>
      </c>
      <c r="M6433" t="n">
        <v>0</v>
      </c>
      <c r="N6433" t="n">
        <v>0</v>
      </c>
      <c r="O6433" t="n">
        <v>0</v>
      </c>
      <c r="P6433" t="n">
        <v>0</v>
      </c>
      <c r="Q6433" t="n">
        <v>0</v>
      </c>
      <c r="R6433" s="2" t="inlineStr"/>
    </row>
    <row r="6434" ht="15" customHeight="1">
      <c r="A6434" t="inlineStr">
        <is>
          <t>A 43883-2021</t>
        </is>
      </c>
      <c r="B6434" s="1" t="n">
        <v>44434.33675925926</v>
      </c>
      <c r="C6434" s="1" t="n">
        <v>46086</v>
      </c>
      <c r="D6434" t="inlineStr">
        <is>
          <t>GÄVLEBORGS LÄN</t>
        </is>
      </c>
      <c r="E6434" t="inlineStr">
        <is>
          <t>NORDANSTIG</t>
        </is>
      </c>
      <c r="F6434" t="inlineStr">
        <is>
          <t>Holmen skog AB</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11373-2024</t>
        </is>
      </c>
      <c r="B6435" s="1" t="n">
        <v>45372.42395833333</v>
      </c>
      <c r="C6435" s="1" t="n">
        <v>46086</v>
      </c>
      <c r="D6435" t="inlineStr">
        <is>
          <t>GÄVLEBORGS LÄN</t>
        </is>
      </c>
      <c r="E6435" t="inlineStr">
        <is>
          <t>HUDIKSVALL</t>
        </is>
      </c>
      <c r="F6435" t="inlineStr">
        <is>
          <t>Holmen skog AB</t>
        </is>
      </c>
      <c r="G6435" t="n">
        <v>5.3</v>
      </c>
      <c r="H6435" t="n">
        <v>0</v>
      </c>
      <c r="I6435" t="n">
        <v>0</v>
      </c>
      <c r="J6435" t="n">
        <v>0</v>
      </c>
      <c r="K6435" t="n">
        <v>0</v>
      </c>
      <c r="L6435" t="n">
        <v>0</v>
      </c>
      <c r="M6435" t="n">
        <v>0</v>
      </c>
      <c r="N6435" t="n">
        <v>0</v>
      </c>
      <c r="O6435" t="n">
        <v>0</v>
      </c>
      <c r="P6435" t="n">
        <v>0</v>
      </c>
      <c r="Q6435" t="n">
        <v>0</v>
      </c>
      <c r="R6435" s="2" t="inlineStr"/>
    </row>
    <row r="6436" ht="15" customHeight="1">
      <c r="A6436" t="inlineStr">
        <is>
          <t>A 43800-2023</t>
        </is>
      </c>
      <c r="B6436" s="1" t="n">
        <v>45187.55690972223</v>
      </c>
      <c r="C6436" s="1" t="n">
        <v>46086</v>
      </c>
      <c r="D6436" t="inlineStr">
        <is>
          <t>GÄVLEBORGS LÄN</t>
        </is>
      </c>
      <c r="E6436" t="inlineStr">
        <is>
          <t>LJUSDAL</t>
        </is>
      </c>
      <c r="F6436" t="inlineStr">
        <is>
          <t>Bergvik skog väst AB</t>
        </is>
      </c>
      <c r="G6436" t="n">
        <v>6.9</v>
      </c>
      <c r="H6436" t="n">
        <v>0</v>
      </c>
      <c r="I6436" t="n">
        <v>0</v>
      </c>
      <c r="J6436" t="n">
        <v>0</v>
      </c>
      <c r="K6436" t="n">
        <v>0</v>
      </c>
      <c r="L6436" t="n">
        <v>0</v>
      </c>
      <c r="M6436" t="n">
        <v>0</v>
      </c>
      <c r="N6436" t="n">
        <v>0</v>
      </c>
      <c r="O6436" t="n">
        <v>0</v>
      </c>
      <c r="P6436" t="n">
        <v>0</v>
      </c>
      <c r="Q6436" t="n">
        <v>0</v>
      </c>
      <c r="R6436" s="2" t="inlineStr"/>
    </row>
    <row r="6437" ht="15" customHeight="1">
      <c r="A6437" t="inlineStr">
        <is>
          <t>A 54766-2025</t>
        </is>
      </c>
      <c r="B6437" s="1" t="n">
        <v>45966.60378472223</v>
      </c>
      <c r="C6437" s="1" t="n">
        <v>46086</v>
      </c>
      <c r="D6437" t="inlineStr">
        <is>
          <t>GÄVLEBORGS LÄN</t>
        </is>
      </c>
      <c r="E6437" t="inlineStr">
        <is>
          <t>OCKELBO</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54768-2025</t>
        </is>
      </c>
      <c r="B6438" s="1" t="n">
        <v>45966.60678240741</v>
      </c>
      <c r="C6438" s="1" t="n">
        <v>46086</v>
      </c>
      <c r="D6438" t="inlineStr">
        <is>
          <t>GÄVLEBORGS LÄN</t>
        </is>
      </c>
      <c r="E6438" t="inlineStr">
        <is>
          <t>GÄVLE</t>
        </is>
      </c>
      <c r="F6438" t="inlineStr">
        <is>
          <t>Bergvik skog öst AB</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4255-2024</t>
        </is>
      </c>
      <c r="B6439" s="1" t="n">
        <v>45324.48376157408</v>
      </c>
      <c r="C6439" s="1" t="n">
        <v>46086</v>
      </c>
      <c r="D6439" t="inlineStr">
        <is>
          <t>GÄVLEBORGS LÄN</t>
        </is>
      </c>
      <c r="E6439" t="inlineStr">
        <is>
          <t>NORDANSTIG</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3714-2023</t>
        </is>
      </c>
      <c r="B6440" s="1" t="n">
        <v>44951.34615740741</v>
      </c>
      <c r="C6440" s="1" t="n">
        <v>46086</v>
      </c>
      <c r="D6440" t="inlineStr">
        <is>
          <t>GÄVLEBORGS LÄN</t>
        </is>
      </c>
      <c r="E6440" t="inlineStr">
        <is>
          <t>GÄVLE</t>
        </is>
      </c>
      <c r="F6440" t="inlineStr">
        <is>
          <t>Bergvik skog väst AB</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25479-2023</t>
        </is>
      </c>
      <c r="B6441" s="1" t="n">
        <v>45089</v>
      </c>
      <c r="C6441" s="1" t="n">
        <v>46086</v>
      </c>
      <c r="D6441" t="inlineStr">
        <is>
          <t>GÄVLEBORGS LÄN</t>
        </is>
      </c>
      <c r="E6441" t="inlineStr">
        <is>
          <t>SANDVIKEN</t>
        </is>
      </c>
      <c r="G6441" t="n">
        <v>4.1</v>
      </c>
      <c r="H6441" t="n">
        <v>0</v>
      </c>
      <c r="I6441" t="n">
        <v>0</v>
      </c>
      <c r="J6441" t="n">
        <v>0</v>
      </c>
      <c r="K6441" t="n">
        <v>0</v>
      </c>
      <c r="L6441" t="n">
        <v>0</v>
      </c>
      <c r="M6441" t="n">
        <v>0</v>
      </c>
      <c r="N6441" t="n">
        <v>0</v>
      </c>
      <c r="O6441" t="n">
        <v>0</v>
      </c>
      <c r="P6441" t="n">
        <v>0</v>
      </c>
      <c r="Q6441" t="n">
        <v>0</v>
      </c>
      <c r="R6441" s="2" t="inlineStr"/>
    </row>
    <row r="6442" ht="15" customHeight="1">
      <c r="A6442" t="inlineStr">
        <is>
          <t>A 3715-2023</t>
        </is>
      </c>
      <c r="B6442" s="1" t="n">
        <v>44951</v>
      </c>
      <c r="C6442" s="1" t="n">
        <v>46086</v>
      </c>
      <c r="D6442" t="inlineStr">
        <is>
          <t>GÄVLEBORGS LÄN</t>
        </is>
      </c>
      <c r="E6442" t="inlineStr">
        <is>
          <t>GÄVLE</t>
        </is>
      </c>
      <c r="F6442" t="inlineStr">
        <is>
          <t>Bergvik skog väst AB</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628-2025</t>
        </is>
      </c>
      <c r="B6443" s="1" t="n">
        <v>45664</v>
      </c>
      <c r="C6443" s="1" t="n">
        <v>46086</v>
      </c>
      <c r="D6443" t="inlineStr">
        <is>
          <t>GÄVLEBORGS LÄN</t>
        </is>
      </c>
      <c r="E6443" t="inlineStr">
        <is>
          <t>OVANÅKER</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54876-2025</t>
        </is>
      </c>
      <c r="B6444" s="1" t="n">
        <v>45967.31611111111</v>
      </c>
      <c r="C6444" s="1" t="n">
        <v>46086</v>
      </c>
      <c r="D6444" t="inlineStr">
        <is>
          <t>GÄVLEBORGS LÄN</t>
        </is>
      </c>
      <c r="E6444" t="inlineStr">
        <is>
          <t>HOFORS</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54877-2025</t>
        </is>
      </c>
      <c r="B6445" s="1" t="n">
        <v>45967.31960648148</v>
      </c>
      <c r="C6445" s="1" t="n">
        <v>46086</v>
      </c>
      <c r="D6445" t="inlineStr">
        <is>
          <t>GÄVLEBORGS LÄN</t>
        </is>
      </c>
      <c r="E6445" t="inlineStr">
        <is>
          <t>HOFORS</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54879-2025</t>
        </is>
      </c>
      <c r="B6446" s="1" t="n">
        <v>45967.33152777778</v>
      </c>
      <c r="C6446" s="1" t="n">
        <v>46086</v>
      </c>
      <c r="D6446" t="inlineStr">
        <is>
          <t>GÄVLEBORGS LÄN</t>
        </is>
      </c>
      <c r="E6446" t="inlineStr">
        <is>
          <t>OCKELBO</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54880-2025</t>
        </is>
      </c>
      <c r="B6447" s="1" t="n">
        <v>45967.33255787037</v>
      </c>
      <c r="C6447" s="1" t="n">
        <v>46086</v>
      </c>
      <c r="D6447" t="inlineStr">
        <is>
          <t>GÄVLEBORGS LÄN</t>
        </is>
      </c>
      <c r="E6447" t="inlineStr">
        <is>
          <t>OCKELBO</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54866-2025</t>
        </is>
      </c>
      <c r="B6448" s="1" t="n">
        <v>45966.83371527777</v>
      </c>
      <c r="C6448" s="1" t="n">
        <v>46086</v>
      </c>
      <c r="D6448" t="inlineStr">
        <is>
          <t>GÄVLEBORGS LÄN</t>
        </is>
      </c>
      <c r="E6448" t="inlineStr">
        <is>
          <t>OVANÅKER</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54874-2025</t>
        </is>
      </c>
      <c r="B6449" s="1" t="n">
        <v>45967.30939814815</v>
      </c>
      <c r="C6449" s="1" t="n">
        <v>46086</v>
      </c>
      <c r="D6449" t="inlineStr">
        <is>
          <t>GÄVLEBORGS LÄN</t>
        </is>
      </c>
      <c r="E6449" t="inlineStr">
        <is>
          <t>HOFORS</t>
        </is>
      </c>
      <c r="G6449" t="n">
        <v>5.3</v>
      </c>
      <c r="H6449" t="n">
        <v>0</v>
      </c>
      <c r="I6449" t="n">
        <v>0</v>
      </c>
      <c r="J6449" t="n">
        <v>0</v>
      </c>
      <c r="K6449" t="n">
        <v>0</v>
      </c>
      <c r="L6449" t="n">
        <v>0</v>
      </c>
      <c r="M6449" t="n">
        <v>0</v>
      </c>
      <c r="N6449" t="n">
        <v>0</v>
      </c>
      <c r="O6449" t="n">
        <v>0</v>
      </c>
      <c r="P6449" t="n">
        <v>0</v>
      </c>
      <c r="Q6449" t="n">
        <v>0</v>
      </c>
      <c r="R6449" s="2" t="inlineStr"/>
    </row>
    <row r="6450" ht="15" customHeight="1">
      <c r="A6450" t="inlineStr">
        <is>
          <t>A 8119-2024</t>
        </is>
      </c>
      <c r="B6450" s="1" t="n">
        <v>45351</v>
      </c>
      <c r="C6450" s="1" t="n">
        <v>46086</v>
      </c>
      <c r="D6450" t="inlineStr">
        <is>
          <t>GÄVLEBORGS LÄN</t>
        </is>
      </c>
      <c r="E6450" t="inlineStr">
        <is>
          <t>BOLLNÄS</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54716-2025</t>
        </is>
      </c>
      <c r="B6451" s="1" t="n">
        <v>45966.51038194444</v>
      </c>
      <c r="C6451" s="1" t="n">
        <v>46086</v>
      </c>
      <c r="D6451" t="inlineStr">
        <is>
          <t>GÄVLEBORGS LÄN</t>
        </is>
      </c>
      <c r="E6451" t="inlineStr">
        <is>
          <t>SÖDERHAMN</t>
        </is>
      </c>
      <c r="G6451" t="n">
        <v>5.1</v>
      </c>
      <c r="H6451" t="n">
        <v>0</v>
      </c>
      <c r="I6451" t="n">
        <v>0</v>
      </c>
      <c r="J6451" t="n">
        <v>0</v>
      </c>
      <c r="K6451" t="n">
        <v>0</v>
      </c>
      <c r="L6451" t="n">
        <v>0</v>
      </c>
      <c r="M6451" t="n">
        <v>0</v>
      </c>
      <c r="N6451" t="n">
        <v>0</v>
      </c>
      <c r="O6451" t="n">
        <v>0</v>
      </c>
      <c r="P6451" t="n">
        <v>0</v>
      </c>
      <c r="Q6451" t="n">
        <v>0</v>
      </c>
      <c r="R6451" s="2" t="inlineStr"/>
    </row>
    <row r="6452" ht="15" customHeight="1">
      <c r="A6452" t="inlineStr">
        <is>
          <t>A 15486-2024</t>
        </is>
      </c>
      <c r="B6452" s="1" t="n">
        <v>45401.50849537037</v>
      </c>
      <c r="C6452" s="1" t="n">
        <v>46086</v>
      </c>
      <c r="D6452" t="inlineStr">
        <is>
          <t>GÄVLEBORGS LÄN</t>
        </is>
      </c>
      <c r="E6452" t="inlineStr">
        <is>
          <t>HUDIKSVALL</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24764-2024</t>
        </is>
      </c>
      <c r="B6453" s="1" t="n">
        <v>45460.6910300926</v>
      </c>
      <c r="C6453" s="1" t="n">
        <v>46086</v>
      </c>
      <c r="D6453" t="inlineStr">
        <is>
          <t>GÄVLEBORGS LÄN</t>
        </is>
      </c>
      <c r="E6453" t="inlineStr">
        <is>
          <t>SANDVIKEN</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54790-2025</t>
        </is>
      </c>
      <c r="B6454" s="1" t="n">
        <v>45966.63303240741</v>
      </c>
      <c r="C6454" s="1" t="n">
        <v>46086</v>
      </c>
      <c r="D6454" t="inlineStr">
        <is>
          <t>GÄVLEBORGS LÄN</t>
        </is>
      </c>
      <c r="E6454" t="inlineStr">
        <is>
          <t>OVANÅKER</t>
        </is>
      </c>
      <c r="G6454" t="n">
        <v>6.9</v>
      </c>
      <c r="H6454" t="n">
        <v>0</v>
      </c>
      <c r="I6454" t="n">
        <v>0</v>
      </c>
      <c r="J6454" t="n">
        <v>0</v>
      </c>
      <c r="K6454" t="n">
        <v>0</v>
      </c>
      <c r="L6454" t="n">
        <v>0</v>
      </c>
      <c r="M6454" t="n">
        <v>0</v>
      </c>
      <c r="N6454" t="n">
        <v>0</v>
      </c>
      <c r="O6454" t="n">
        <v>0</v>
      </c>
      <c r="P6454" t="n">
        <v>0</v>
      </c>
      <c r="Q6454" t="n">
        <v>0</v>
      </c>
      <c r="R6454" s="2" t="inlineStr"/>
    </row>
    <row r="6455" ht="15" customHeight="1">
      <c r="A6455" t="inlineStr">
        <is>
          <t>A 42717-2024</t>
        </is>
      </c>
      <c r="B6455" s="1" t="n">
        <v>45566.45481481482</v>
      </c>
      <c r="C6455" s="1" t="n">
        <v>46086</v>
      </c>
      <c r="D6455" t="inlineStr">
        <is>
          <t>GÄVLEBORGS LÄN</t>
        </is>
      </c>
      <c r="E6455" t="inlineStr">
        <is>
          <t>NORDANSTIG</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55058-2025</t>
        </is>
      </c>
      <c r="B6456" s="1" t="n">
        <v>45967.68291666666</v>
      </c>
      <c r="C6456" s="1" t="n">
        <v>46086</v>
      </c>
      <c r="D6456" t="inlineStr">
        <is>
          <t>GÄVLEBORGS LÄN</t>
        </is>
      </c>
      <c r="E6456" t="inlineStr">
        <is>
          <t>SÖDERHAMN</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54944-2025</t>
        </is>
      </c>
      <c r="B6457" s="1" t="n">
        <v>45967.4474537037</v>
      </c>
      <c r="C6457" s="1" t="n">
        <v>46086</v>
      </c>
      <c r="D6457" t="inlineStr">
        <is>
          <t>GÄVLEBORGS LÄN</t>
        </is>
      </c>
      <c r="E6457" t="inlineStr">
        <is>
          <t>OCKELBO</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67380-2021</t>
        </is>
      </c>
      <c r="B6458" s="1" t="n">
        <v>44523</v>
      </c>
      <c r="C6458" s="1" t="n">
        <v>46086</v>
      </c>
      <c r="D6458" t="inlineStr">
        <is>
          <t>GÄVLEBORGS LÄN</t>
        </is>
      </c>
      <c r="E6458" t="inlineStr">
        <is>
          <t>LJUSDAL</t>
        </is>
      </c>
      <c r="G6458" t="n">
        <v>4.6</v>
      </c>
      <c r="H6458" t="n">
        <v>0</v>
      </c>
      <c r="I6458" t="n">
        <v>0</v>
      </c>
      <c r="J6458" t="n">
        <v>0</v>
      </c>
      <c r="K6458" t="n">
        <v>0</v>
      </c>
      <c r="L6458" t="n">
        <v>0</v>
      </c>
      <c r="M6458" t="n">
        <v>0</v>
      </c>
      <c r="N6458" t="n">
        <v>0</v>
      </c>
      <c r="O6458" t="n">
        <v>0</v>
      </c>
      <c r="P6458" t="n">
        <v>0</v>
      </c>
      <c r="Q6458" t="n">
        <v>0</v>
      </c>
      <c r="R6458" s="2" t="inlineStr"/>
    </row>
    <row r="6459" ht="15" customHeight="1">
      <c r="A6459" t="inlineStr">
        <is>
          <t>A 39927-2024</t>
        </is>
      </c>
      <c r="B6459" s="1" t="n">
        <v>45553.54829861111</v>
      </c>
      <c r="C6459" s="1" t="n">
        <v>46086</v>
      </c>
      <c r="D6459" t="inlineStr">
        <is>
          <t>GÄVLEBORGS LÄN</t>
        </is>
      </c>
      <c r="E6459" t="inlineStr">
        <is>
          <t>LJUSDAL</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54959-2025</t>
        </is>
      </c>
      <c r="B6460" s="1" t="n">
        <v>45967.4759837963</v>
      </c>
      <c r="C6460" s="1" t="n">
        <v>46086</v>
      </c>
      <c r="D6460" t="inlineStr">
        <is>
          <t>GÄVLEBORGS LÄN</t>
        </is>
      </c>
      <c r="E6460" t="inlineStr">
        <is>
          <t>GÄVLE</t>
        </is>
      </c>
      <c r="F6460" t="inlineStr">
        <is>
          <t>Bergvik skog öst AB</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51368-2024</t>
        </is>
      </c>
      <c r="B6461" s="1" t="n">
        <v>45604.37246527777</v>
      </c>
      <c r="C6461" s="1" t="n">
        <v>46086</v>
      </c>
      <c r="D6461" t="inlineStr">
        <is>
          <t>GÄVLEBORGS LÄN</t>
        </is>
      </c>
      <c r="E6461" t="inlineStr">
        <is>
          <t>GÄVLE</t>
        </is>
      </c>
      <c r="F6461" t="inlineStr">
        <is>
          <t>Bergvik skog öst AB</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54827-2025</t>
        </is>
      </c>
      <c r="B6462" s="1" t="n">
        <v>45966.66925925926</v>
      </c>
      <c r="C6462" s="1" t="n">
        <v>46086</v>
      </c>
      <c r="D6462" t="inlineStr">
        <is>
          <t>GÄVLEBORGS LÄN</t>
        </is>
      </c>
      <c r="E6462" t="inlineStr">
        <is>
          <t>HOFORS</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39858-2023</t>
        </is>
      </c>
      <c r="B6463" s="1" t="n">
        <v>45168.37981481481</v>
      </c>
      <c r="C6463" s="1" t="n">
        <v>46086</v>
      </c>
      <c r="D6463" t="inlineStr">
        <is>
          <t>GÄVLEBORGS LÄN</t>
        </is>
      </c>
      <c r="E6463" t="inlineStr">
        <is>
          <t>HUDIKSVALL</t>
        </is>
      </c>
      <c r="F6463" t="inlineStr">
        <is>
          <t>Holmen skog AB</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54685-2025</t>
        </is>
      </c>
      <c r="B6464" s="1" t="n">
        <v>45966.4406712963</v>
      </c>
      <c r="C6464" s="1" t="n">
        <v>46086</v>
      </c>
      <c r="D6464" t="inlineStr">
        <is>
          <t>GÄVLEBORGS LÄN</t>
        </is>
      </c>
      <c r="E6464" t="inlineStr">
        <is>
          <t>SÖDERHAMN</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54717-2025</t>
        </is>
      </c>
      <c r="B6465" s="1" t="n">
        <v>45966.51206018519</v>
      </c>
      <c r="C6465" s="1" t="n">
        <v>46086</v>
      </c>
      <c r="D6465" t="inlineStr">
        <is>
          <t>GÄVLEBORGS LÄN</t>
        </is>
      </c>
      <c r="E6465" t="inlineStr">
        <is>
          <t>LJUSDAL</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60759-2024</t>
        </is>
      </c>
      <c r="B6466" s="1" t="n">
        <v>45644.57359953703</v>
      </c>
      <c r="C6466" s="1" t="n">
        <v>46086</v>
      </c>
      <c r="D6466" t="inlineStr">
        <is>
          <t>GÄVLEBORGS LÄN</t>
        </is>
      </c>
      <c r="E6466" t="inlineStr">
        <is>
          <t>BOLLNÄS</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4110-2025</t>
        </is>
      </c>
      <c r="B6467" s="1" t="n">
        <v>45684.69658564815</v>
      </c>
      <c r="C6467" s="1" t="n">
        <v>46086</v>
      </c>
      <c r="D6467" t="inlineStr">
        <is>
          <t>GÄVLEBORGS LÄN</t>
        </is>
      </c>
      <c r="E6467" t="inlineStr">
        <is>
          <t>LJUSDAL</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54864-2025</t>
        </is>
      </c>
      <c r="B6468" s="1" t="n">
        <v>45966.81302083333</v>
      </c>
      <c r="C6468" s="1" t="n">
        <v>46086</v>
      </c>
      <c r="D6468" t="inlineStr">
        <is>
          <t>GÄVLEBORGS LÄN</t>
        </is>
      </c>
      <c r="E6468" t="inlineStr">
        <is>
          <t>HUDIKSVALL</t>
        </is>
      </c>
      <c r="F6468" t="inlineStr">
        <is>
          <t>Holmen skog AB</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54599-2025</t>
        </is>
      </c>
      <c r="B6469" s="1" t="n">
        <v>45965.79302083333</v>
      </c>
      <c r="C6469" s="1" t="n">
        <v>46086</v>
      </c>
      <c r="D6469" t="inlineStr">
        <is>
          <t>GÄVLEBORGS LÄN</t>
        </is>
      </c>
      <c r="E6469" t="inlineStr">
        <is>
          <t>GÄVLE</t>
        </is>
      </c>
      <c r="G6469" t="n">
        <v>4.8</v>
      </c>
      <c r="H6469" t="n">
        <v>0</v>
      </c>
      <c r="I6469" t="n">
        <v>0</v>
      </c>
      <c r="J6469" t="n">
        <v>0</v>
      </c>
      <c r="K6469" t="n">
        <v>0</v>
      </c>
      <c r="L6469" t="n">
        <v>0</v>
      </c>
      <c r="M6469" t="n">
        <v>0</v>
      </c>
      <c r="N6469" t="n">
        <v>0</v>
      </c>
      <c r="O6469" t="n">
        <v>0</v>
      </c>
      <c r="P6469" t="n">
        <v>0</v>
      </c>
      <c r="Q6469" t="n">
        <v>0</v>
      </c>
      <c r="R6469" s="2" t="inlineStr"/>
    </row>
    <row r="6470" ht="15" customHeight="1">
      <c r="A6470" t="inlineStr">
        <is>
          <t>A 59912-2023</t>
        </is>
      </c>
      <c r="B6470" s="1" t="n">
        <v>45257.63767361111</v>
      </c>
      <c r="C6470" s="1" t="n">
        <v>46086</v>
      </c>
      <c r="D6470" t="inlineStr">
        <is>
          <t>GÄVLEBORGS LÄN</t>
        </is>
      </c>
      <c r="E6470" t="inlineStr">
        <is>
          <t>OVANÅKER</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59922-2023</t>
        </is>
      </c>
      <c r="B6471" s="1" t="n">
        <v>45254</v>
      </c>
      <c r="C6471" s="1" t="n">
        <v>46086</v>
      </c>
      <c r="D6471" t="inlineStr">
        <is>
          <t>GÄVLEBORGS LÄN</t>
        </is>
      </c>
      <c r="E6471" t="inlineStr">
        <is>
          <t>SÖDERHAMN</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36671-2023</t>
        </is>
      </c>
      <c r="B6472" s="1" t="n">
        <v>45153.58384259259</v>
      </c>
      <c r="C6472" s="1" t="n">
        <v>46086</v>
      </c>
      <c r="D6472" t="inlineStr">
        <is>
          <t>GÄVLEBORGS LÄN</t>
        </is>
      </c>
      <c r="E6472" t="inlineStr">
        <is>
          <t>SANDVIKEN</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17436-2025</t>
        </is>
      </c>
      <c r="B6473" s="1" t="n">
        <v>45757.42239583333</v>
      </c>
      <c r="C6473" s="1" t="n">
        <v>46086</v>
      </c>
      <c r="D6473" t="inlineStr">
        <is>
          <t>GÄVLEBORGS LÄN</t>
        </is>
      </c>
      <c r="E6473" t="inlineStr">
        <is>
          <t>SANDVIKEN</t>
        </is>
      </c>
      <c r="F6473" t="inlineStr">
        <is>
          <t>Bergvik skog öst AB</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15242-2023</t>
        </is>
      </c>
      <c r="B6474" s="1" t="n">
        <v>45019</v>
      </c>
      <c r="C6474" s="1" t="n">
        <v>46086</v>
      </c>
      <c r="D6474" t="inlineStr">
        <is>
          <t>GÄVLEBORGS LÄN</t>
        </is>
      </c>
      <c r="E6474" t="inlineStr">
        <is>
          <t>HUDIKSVALL</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30150-2024</t>
        </is>
      </c>
      <c r="B6475" s="1" t="n">
        <v>45489.60886574074</v>
      </c>
      <c r="C6475" s="1" t="n">
        <v>46086</v>
      </c>
      <c r="D6475" t="inlineStr">
        <is>
          <t>GÄVLEBORGS LÄN</t>
        </is>
      </c>
      <c r="E6475" t="inlineStr">
        <is>
          <t>NORDANSTIG</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2022-2025</t>
        </is>
      </c>
      <c r="B6476" s="1" t="n">
        <v>45672.47560185185</v>
      </c>
      <c r="C6476" s="1" t="n">
        <v>46086</v>
      </c>
      <c r="D6476" t="inlineStr">
        <is>
          <t>GÄVLEBORGS LÄN</t>
        </is>
      </c>
      <c r="E6476" t="inlineStr">
        <is>
          <t>BOLLNÄS</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28981-2022</t>
        </is>
      </c>
      <c r="B6477" s="1" t="n">
        <v>44749.65293981481</v>
      </c>
      <c r="C6477" s="1" t="n">
        <v>46086</v>
      </c>
      <c r="D6477" t="inlineStr">
        <is>
          <t>GÄVLEBORGS LÄN</t>
        </is>
      </c>
      <c r="E6477" t="inlineStr">
        <is>
          <t>BOLLNÄS</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54672-2025</t>
        </is>
      </c>
      <c r="B6478" s="1" t="n">
        <v>45966.4159375</v>
      </c>
      <c r="C6478" s="1" t="n">
        <v>46086</v>
      </c>
      <c r="D6478" t="inlineStr">
        <is>
          <t>GÄVLEBORGS LÄN</t>
        </is>
      </c>
      <c r="E6478" t="inlineStr">
        <is>
          <t>BOLLNÄS</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54650-2025</t>
        </is>
      </c>
      <c r="B6479" s="1" t="n">
        <v>45966.37739583333</v>
      </c>
      <c r="C6479" s="1" t="n">
        <v>46086</v>
      </c>
      <c r="D6479" t="inlineStr">
        <is>
          <t>GÄVLEBORGS LÄN</t>
        </is>
      </c>
      <c r="E6479" t="inlineStr">
        <is>
          <t>SÖDERHAMN</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15645-2025</t>
        </is>
      </c>
      <c r="B6480" s="1" t="n">
        <v>45748.39400462963</v>
      </c>
      <c r="C6480" s="1" t="n">
        <v>46086</v>
      </c>
      <c r="D6480" t="inlineStr">
        <is>
          <t>GÄVLEBORGS LÄN</t>
        </is>
      </c>
      <c r="E6480" t="inlineStr">
        <is>
          <t>LJUSDAL</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31875-2023</t>
        </is>
      </c>
      <c r="B6481" s="1" t="n">
        <v>45118</v>
      </c>
      <c r="C6481" s="1" t="n">
        <v>46086</v>
      </c>
      <c r="D6481" t="inlineStr">
        <is>
          <t>GÄVLEBORGS LÄN</t>
        </is>
      </c>
      <c r="E6481" t="inlineStr">
        <is>
          <t>OVANÅKER</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55432-2025</t>
        </is>
      </c>
      <c r="B6482" s="1" t="n">
        <v>45971.48042824074</v>
      </c>
      <c r="C6482" s="1" t="n">
        <v>46086</v>
      </c>
      <c r="D6482" t="inlineStr">
        <is>
          <t>GÄVLEBORGS LÄN</t>
        </is>
      </c>
      <c r="E6482" t="inlineStr">
        <is>
          <t>GÄVLE</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55453-2025</t>
        </is>
      </c>
      <c r="B6483" s="1" t="n">
        <v>45971.50894675926</v>
      </c>
      <c r="C6483" s="1" t="n">
        <v>46086</v>
      </c>
      <c r="D6483" t="inlineStr">
        <is>
          <t>GÄVLEBORGS LÄN</t>
        </is>
      </c>
      <c r="E6483" t="inlineStr">
        <is>
          <t>NORDANSTIG</t>
        </is>
      </c>
      <c r="F6483" t="inlineStr">
        <is>
          <t>Holmen skog AB</t>
        </is>
      </c>
      <c r="G6483" t="n">
        <v>5.6</v>
      </c>
      <c r="H6483" t="n">
        <v>0</v>
      </c>
      <c r="I6483" t="n">
        <v>0</v>
      </c>
      <c r="J6483" t="n">
        <v>0</v>
      </c>
      <c r="K6483" t="n">
        <v>0</v>
      </c>
      <c r="L6483" t="n">
        <v>0</v>
      </c>
      <c r="M6483" t="n">
        <v>0</v>
      </c>
      <c r="N6483" t="n">
        <v>0</v>
      </c>
      <c r="O6483" t="n">
        <v>0</v>
      </c>
      <c r="P6483" t="n">
        <v>0</v>
      </c>
      <c r="Q6483" t="n">
        <v>0</v>
      </c>
      <c r="R6483" s="2" t="inlineStr"/>
    </row>
    <row r="6484" ht="15" customHeight="1">
      <c r="A6484" t="inlineStr">
        <is>
          <t>A 55460-2025</t>
        </is>
      </c>
      <c r="B6484" s="1" t="n">
        <v>45971.51922453703</v>
      </c>
      <c r="C6484" s="1" t="n">
        <v>46086</v>
      </c>
      <c r="D6484" t="inlineStr">
        <is>
          <t>GÄVLEBORGS LÄN</t>
        </is>
      </c>
      <c r="E6484" t="inlineStr">
        <is>
          <t>NORDANSTIG</t>
        </is>
      </c>
      <c r="F6484" t="inlineStr">
        <is>
          <t>Holmen skog AB</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55330-2025</t>
        </is>
      </c>
      <c r="B6485" s="1" t="n">
        <v>45971.34104166667</v>
      </c>
      <c r="C6485" s="1" t="n">
        <v>46086</v>
      </c>
      <c r="D6485" t="inlineStr">
        <is>
          <t>GÄVLEBORGS LÄN</t>
        </is>
      </c>
      <c r="E6485" t="inlineStr">
        <is>
          <t>HUDIKSVALL</t>
        </is>
      </c>
      <c r="F6485" t="inlineStr">
        <is>
          <t>Holmen skog AB</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43723-2022</t>
        </is>
      </c>
      <c r="B6486" s="1" t="n">
        <v>44837.67238425926</v>
      </c>
      <c r="C6486" s="1" t="n">
        <v>46086</v>
      </c>
      <c r="D6486" t="inlineStr">
        <is>
          <t>GÄVLEBORGS LÄN</t>
        </is>
      </c>
      <c r="E6486" t="inlineStr">
        <is>
          <t>SÖDERHAMN</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25411-2024</t>
        </is>
      </c>
      <c r="B6487" s="1" t="n">
        <v>45463.35957175926</v>
      </c>
      <c r="C6487" s="1" t="n">
        <v>46086</v>
      </c>
      <c r="D6487" t="inlineStr">
        <is>
          <t>GÄVLEBORGS LÄN</t>
        </is>
      </c>
      <c r="E6487" t="inlineStr">
        <is>
          <t>OVANÅKER</t>
        </is>
      </c>
      <c r="F6487" t="inlineStr">
        <is>
          <t>Bergvik skog öst AB</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55481-2025</t>
        </is>
      </c>
      <c r="B6488" s="1" t="n">
        <v>45971.56431712963</v>
      </c>
      <c r="C6488" s="1" t="n">
        <v>46086</v>
      </c>
      <c r="D6488" t="inlineStr">
        <is>
          <t>GÄVLEBORGS LÄN</t>
        </is>
      </c>
      <c r="E6488" t="inlineStr">
        <is>
          <t>HUDIKSVALL</t>
        </is>
      </c>
      <c r="F6488" t="inlineStr">
        <is>
          <t>Holmen skog AB</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55494-2025</t>
        </is>
      </c>
      <c r="B6489" s="1" t="n">
        <v>45971.57972222222</v>
      </c>
      <c r="C6489" s="1" t="n">
        <v>46086</v>
      </c>
      <c r="D6489" t="inlineStr">
        <is>
          <t>GÄVLEBORGS LÄN</t>
        </is>
      </c>
      <c r="E6489" t="inlineStr">
        <is>
          <t>OVANÅKER</t>
        </is>
      </c>
      <c r="G6489" t="n">
        <v>6.4</v>
      </c>
      <c r="H6489" t="n">
        <v>0</v>
      </c>
      <c r="I6489" t="n">
        <v>0</v>
      </c>
      <c r="J6489" t="n">
        <v>0</v>
      </c>
      <c r="K6489" t="n">
        <v>0</v>
      </c>
      <c r="L6489" t="n">
        <v>0</v>
      </c>
      <c r="M6489" t="n">
        <v>0</v>
      </c>
      <c r="N6489" t="n">
        <v>0</v>
      </c>
      <c r="O6489" t="n">
        <v>0</v>
      </c>
      <c r="P6489" t="n">
        <v>0</v>
      </c>
      <c r="Q6489" t="n">
        <v>0</v>
      </c>
      <c r="R6489" s="2" t="inlineStr"/>
    </row>
    <row r="6490" ht="15" customHeight="1">
      <c r="A6490" t="inlineStr">
        <is>
          <t>A 55246-2025</t>
        </is>
      </c>
      <c r="B6490" s="1" t="n">
        <v>45968.62332175926</v>
      </c>
      <c r="C6490" s="1" t="n">
        <v>46086</v>
      </c>
      <c r="D6490" t="inlineStr">
        <is>
          <t>GÄVLEBORGS LÄN</t>
        </is>
      </c>
      <c r="E6490" t="inlineStr">
        <is>
          <t>OVANÅKER</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55288-2025</t>
        </is>
      </c>
      <c r="B6491" s="1" t="n">
        <v>45969.33444444444</v>
      </c>
      <c r="C6491" s="1" t="n">
        <v>46086</v>
      </c>
      <c r="D6491" t="inlineStr">
        <is>
          <t>GÄVLEBORGS LÄN</t>
        </is>
      </c>
      <c r="E6491" t="inlineStr">
        <is>
          <t>HOFORS</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35348-2022</t>
        </is>
      </c>
      <c r="B6492" s="1" t="n">
        <v>44798</v>
      </c>
      <c r="C6492" s="1" t="n">
        <v>46086</v>
      </c>
      <c r="D6492" t="inlineStr">
        <is>
          <t>GÄVLEBORGS LÄN</t>
        </is>
      </c>
      <c r="E6492" t="inlineStr">
        <is>
          <t>OVANÅKER</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55501-2025</t>
        </is>
      </c>
      <c r="B6493" s="1" t="n">
        <v>45971.58571759259</v>
      </c>
      <c r="C6493" s="1" t="n">
        <v>46086</v>
      </c>
      <c r="D6493" t="inlineStr">
        <is>
          <t>GÄVLEBORGS LÄN</t>
        </is>
      </c>
      <c r="E6493" t="inlineStr">
        <is>
          <t>LJUSDAL</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55374-2025</t>
        </is>
      </c>
      <c r="B6494" s="1" t="n">
        <v>45971.42385416666</v>
      </c>
      <c r="C6494" s="1" t="n">
        <v>46086</v>
      </c>
      <c r="D6494" t="inlineStr">
        <is>
          <t>GÄVLEBORGS LÄN</t>
        </is>
      </c>
      <c r="E6494" t="inlineStr">
        <is>
          <t>LJUSDAL</t>
        </is>
      </c>
      <c r="G6494" t="n">
        <v>4.4</v>
      </c>
      <c r="H6494" t="n">
        <v>0</v>
      </c>
      <c r="I6494" t="n">
        <v>0</v>
      </c>
      <c r="J6494" t="n">
        <v>0</v>
      </c>
      <c r="K6494" t="n">
        <v>0</v>
      </c>
      <c r="L6494" t="n">
        <v>0</v>
      </c>
      <c r="M6494" t="n">
        <v>0</v>
      </c>
      <c r="N6494" t="n">
        <v>0</v>
      </c>
      <c r="O6494" t="n">
        <v>0</v>
      </c>
      <c r="P6494" t="n">
        <v>0</v>
      </c>
      <c r="Q6494" t="n">
        <v>0</v>
      </c>
      <c r="R6494" s="2" t="inlineStr"/>
    </row>
    <row r="6495" ht="15" customHeight="1">
      <c r="A6495" t="inlineStr">
        <is>
          <t>A 55383-2025</t>
        </is>
      </c>
      <c r="B6495" s="1" t="n">
        <v>45971.43109953704</v>
      </c>
      <c r="C6495" s="1" t="n">
        <v>46086</v>
      </c>
      <c r="D6495" t="inlineStr">
        <is>
          <t>GÄVLEBORGS LÄN</t>
        </is>
      </c>
      <c r="E6495" t="inlineStr">
        <is>
          <t>SÖDERHAMN</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55404-2025</t>
        </is>
      </c>
      <c r="B6496" s="1" t="n">
        <v>45971.45509259259</v>
      </c>
      <c r="C6496" s="1" t="n">
        <v>46086</v>
      </c>
      <c r="D6496" t="inlineStr">
        <is>
          <t>GÄVLEBORGS LÄN</t>
        </is>
      </c>
      <c r="E6496" t="inlineStr">
        <is>
          <t>HUDIKSVALL</t>
        </is>
      </c>
      <c r="F6496" t="inlineStr">
        <is>
          <t>Holmen skog AB</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62215-2023</t>
        </is>
      </c>
      <c r="B6497" s="1" t="n">
        <v>45267</v>
      </c>
      <c r="C6497" s="1" t="n">
        <v>46086</v>
      </c>
      <c r="D6497" t="inlineStr">
        <is>
          <t>GÄVLEBORGS LÄN</t>
        </is>
      </c>
      <c r="E6497" t="inlineStr">
        <is>
          <t>GÄVLE</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55100-2025</t>
        </is>
      </c>
      <c r="B6498" s="1" t="n">
        <v>45968.34864583334</v>
      </c>
      <c r="C6498" s="1" t="n">
        <v>46086</v>
      </c>
      <c r="D6498" t="inlineStr">
        <is>
          <t>GÄVLEBORGS LÄN</t>
        </is>
      </c>
      <c r="E6498" t="inlineStr">
        <is>
          <t>LJUSDAL</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55470-2025</t>
        </is>
      </c>
      <c r="B6499" s="1" t="n">
        <v>45971.53881944445</v>
      </c>
      <c r="C6499" s="1" t="n">
        <v>46086</v>
      </c>
      <c r="D6499" t="inlineStr">
        <is>
          <t>GÄVLEBORGS LÄN</t>
        </is>
      </c>
      <c r="E6499" t="inlineStr">
        <is>
          <t>OVANÅKER</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57110-2022</t>
        </is>
      </c>
      <c r="B6500" s="1" t="n">
        <v>44895.51792824074</v>
      </c>
      <c r="C6500" s="1" t="n">
        <v>46086</v>
      </c>
      <c r="D6500" t="inlineStr">
        <is>
          <t>GÄVLEBORGS LÄN</t>
        </is>
      </c>
      <c r="E6500" t="inlineStr">
        <is>
          <t>LJUSDAL</t>
        </is>
      </c>
      <c r="G6500" t="n">
        <v>0.4</v>
      </c>
      <c r="H6500" t="n">
        <v>0</v>
      </c>
      <c r="I6500" t="n">
        <v>0</v>
      </c>
      <c r="J6500" t="n">
        <v>0</v>
      </c>
      <c r="K6500" t="n">
        <v>0</v>
      </c>
      <c r="L6500" t="n">
        <v>0</v>
      </c>
      <c r="M6500" t="n">
        <v>0</v>
      </c>
      <c r="N6500" t="n">
        <v>0</v>
      </c>
      <c r="O6500" t="n">
        <v>0</v>
      </c>
      <c r="P6500" t="n">
        <v>0</v>
      </c>
      <c r="Q6500" t="n">
        <v>0</v>
      </c>
      <c r="R6500" s="2" t="inlineStr"/>
    </row>
    <row r="6501" ht="15" customHeight="1">
      <c r="A6501" t="inlineStr">
        <is>
          <t>A 55373-2025</t>
        </is>
      </c>
      <c r="B6501" s="1" t="n">
        <v>45971.41752314815</v>
      </c>
      <c r="C6501" s="1" t="n">
        <v>46086</v>
      </c>
      <c r="D6501" t="inlineStr">
        <is>
          <t>GÄVLEBORGS LÄN</t>
        </is>
      </c>
      <c r="E6501" t="inlineStr">
        <is>
          <t>LJUSDAL</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55375-2025</t>
        </is>
      </c>
      <c r="B6502" s="1" t="n">
        <v>45971.42423611111</v>
      </c>
      <c r="C6502" s="1" t="n">
        <v>46086</v>
      </c>
      <c r="D6502" t="inlineStr">
        <is>
          <t>GÄVLEBORGS LÄN</t>
        </is>
      </c>
      <c r="E6502" t="inlineStr">
        <is>
          <t>HUDIKSVALL</t>
        </is>
      </c>
      <c r="F6502" t="inlineStr">
        <is>
          <t>Holmen skog AB</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55170-2025</t>
        </is>
      </c>
      <c r="B6503" s="1" t="n">
        <v>45968.49258101852</v>
      </c>
      <c r="C6503" s="1" t="n">
        <v>46086</v>
      </c>
      <c r="D6503" t="inlineStr">
        <is>
          <t>GÄVLEBORGS LÄN</t>
        </is>
      </c>
      <c r="E6503" t="inlineStr">
        <is>
          <t>NORDANSTIG</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55595-2025</t>
        </is>
      </c>
      <c r="B6504" s="1" t="n">
        <v>45971.71429398148</v>
      </c>
      <c r="C6504" s="1" t="n">
        <v>46086</v>
      </c>
      <c r="D6504" t="inlineStr">
        <is>
          <t>GÄVLEBORGS LÄN</t>
        </is>
      </c>
      <c r="E6504" t="inlineStr">
        <is>
          <t>SANDVIKEN</t>
        </is>
      </c>
      <c r="G6504" t="n">
        <v>5</v>
      </c>
      <c r="H6504" t="n">
        <v>0</v>
      </c>
      <c r="I6504" t="n">
        <v>0</v>
      </c>
      <c r="J6504" t="n">
        <v>0</v>
      </c>
      <c r="K6504" t="n">
        <v>0</v>
      </c>
      <c r="L6504" t="n">
        <v>0</v>
      </c>
      <c r="M6504" t="n">
        <v>0</v>
      </c>
      <c r="N6504" t="n">
        <v>0</v>
      </c>
      <c r="O6504" t="n">
        <v>0</v>
      </c>
      <c r="P6504" t="n">
        <v>0</v>
      </c>
      <c r="Q6504" t="n">
        <v>0</v>
      </c>
      <c r="R6504" s="2" t="inlineStr"/>
    </row>
    <row r="6505" ht="15" customHeight="1">
      <c r="A6505" t="inlineStr">
        <is>
          <t>A 55355-2025</t>
        </is>
      </c>
      <c r="B6505" s="1" t="n">
        <v>45971.3704050926</v>
      </c>
      <c r="C6505" s="1" t="n">
        <v>46086</v>
      </c>
      <c r="D6505" t="inlineStr">
        <is>
          <t>GÄVLEBORGS LÄN</t>
        </is>
      </c>
      <c r="E6505" t="inlineStr">
        <is>
          <t>SANDVIKEN</t>
        </is>
      </c>
      <c r="F6505" t="inlineStr">
        <is>
          <t>Sveaskog</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55085-2025</t>
        </is>
      </c>
      <c r="B6506" s="1" t="n">
        <v>45968.32643518518</v>
      </c>
      <c r="C6506" s="1" t="n">
        <v>46086</v>
      </c>
      <c r="D6506" t="inlineStr">
        <is>
          <t>GÄVLEBORGS LÄN</t>
        </is>
      </c>
      <c r="E6506" t="inlineStr">
        <is>
          <t>LJUSDAL</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24691-2024</t>
        </is>
      </c>
      <c r="B6507" s="1" t="n">
        <v>45460.60364583333</v>
      </c>
      <c r="C6507" s="1" t="n">
        <v>46086</v>
      </c>
      <c r="D6507" t="inlineStr">
        <is>
          <t>GÄVLEBORGS LÄN</t>
        </is>
      </c>
      <c r="E6507" t="inlineStr">
        <is>
          <t>LJUSDAL</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38048-2024</t>
        </is>
      </c>
      <c r="B6508" s="1" t="n">
        <v>45544</v>
      </c>
      <c r="C6508" s="1" t="n">
        <v>46086</v>
      </c>
      <c r="D6508" t="inlineStr">
        <is>
          <t>GÄVLEBORGS LÄN</t>
        </is>
      </c>
      <c r="E6508" t="inlineStr">
        <is>
          <t>NORDANSTIG</t>
        </is>
      </c>
      <c r="F6508" t="inlineStr">
        <is>
          <t>Holmen skog AB</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42265-2024</t>
        </is>
      </c>
      <c r="B6509" s="1" t="n">
        <v>45562.59310185185</v>
      </c>
      <c r="C6509" s="1" t="n">
        <v>46086</v>
      </c>
      <c r="D6509" t="inlineStr">
        <is>
          <t>GÄVLEBORGS LÄN</t>
        </is>
      </c>
      <c r="E6509" t="inlineStr">
        <is>
          <t>SÖDERHAMN</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55180-2025</t>
        </is>
      </c>
      <c r="B6510" s="1" t="n">
        <v>45968.53173611111</v>
      </c>
      <c r="C6510" s="1" t="n">
        <v>46086</v>
      </c>
      <c r="D6510" t="inlineStr">
        <is>
          <t>GÄVLEBORGS LÄN</t>
        </is>
      </c>
      <c r="E6510" t="inlineStr">
        <is>
          <t>LJUSDAL</t>
        </is>
      </c>
      <c r="F6510" t="inlineStr">
        <is>
          <t>Holmen skog AB</t>
        </is>
      </c>
      <c r="G6510" t="n">
        <v>4.5</v>
      </c>
      <c r="H6510" t="n">
        <v>0</v>
      </c>
      <c r="I6510" t="n">
        <v>0</v>
      </c>
      <c r="J6510" t="n">
        <v>0</v>
      </c>
      <c r="K6510" t="n">
        <v>0</v>
      </c>
      <c r="L6510" t="n">
        <v>0</v>
      </c>
      <c r="M6510" t="n">
        <v>0</v>
      </c>
      <c r="N6510" t="n">
        <v>0</v>
      </c>
      <c r="O6510" t="n">
        <v>0</v>
      </c>
      <c r="P6510" t="n">
        <v>0</v>
      </c>
      <c r="Q6510" t="n">
        <v>0</v>
      </c>
      <c r="R6510" s="2" t="inlineStr"/>
    </row>
    <row r="6511" ht="15" customHeight="1">
      <c r="A6511" t="inlineStr">
        <is>
          <t>A 55203-2025</t>
        </is>
      </c>
      <c r="B6511" s="1" t="n">
        <v>45968.5668287037</v>
      </c>
      <c r="C6511" s="1" t="n">
        <v>46086</v>
      </c>
      <c r="D6511" t="inlineStr">
        <is>
          <t>GÄVLEBORGS LÄN</t>
        </is>
      </c>
      <c r="E6511" t="inlineStr">
        <is>
          <t>NORDANSTIG</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55232-2025</t>
        </is>
      </c>
      <c r="B6512" s="1" t="n">
        <v>45968.60851851852</v>
      </c>
      <c r="C6512" s="1" t="n">
        <v>46086</v>
      </c>
      <c r="D6512" t="inlineStr">
        <is>
          <t>GÄVLEBORGS LÄN</t>
        </is>
      </c>
      <c r="E6512" t="inlineStr">
        <is>
          <t>OVANÅKER</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60956-2022</t>
        </is>
      </c>
      <c r="B6513" s="1" t="n">
        <v>44914</v>
      </c>
      <c r="C6513" s="1" t="n">
        <v>46086</v>
      </c>
      <c r="D6513" t="inlineStr">
        <is>
          <t>GÄVLEBORGS LÄN</t>
        </is>
      </c>
      <c r="E6513" t="inlineStr">
        <is>
          <t>BOLLNÄS</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55245-2025</t>
        </is>
      </c>
      <c r="B6514" s="1" t="n">
        <v>45968.62094907407</v>
      </c>
      <c r="C6514" s="1" t="n">
        <v>46086</v>
      </c>
      <c r="D6514" t="inlineStr">
        <is>
          <t>GÄVLEBORGS LÄN</t>
        </is>
      </c>
      <c r="E6514" t="inlineStr">
        <is>
          <t>OVANÅKER</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61774-2023</t>
        </is>
      </c>
      <c r="B6515" s="1" t="n">
        <v>45265</v>
      </c>
      <c r="C6515" s="1" t="n">
        <v>46086</v>
      </c>
      <c r="D6515" t="inlineStr">
        <is>
          <t>GÄVLEBORGS LÄN</t>
        </is>
      </c>
      <c r="E6515" t="inlineStr">
        <is>
          <t>HUDIKSVALL</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55089-2025</t>
        </is>
      </c>
      <c r="B6516" s="1" t="n">
        <v>45968.34244212963</v>
      </c>
      <c r="C6516" s="1" t="n">
        <v>46086</v>
      </c>
      <c r="D6516" t="inlineStr">
        <is>
          <t>GÄVLEBORGS LÄN</t>
        </is>
      </c>
      <c r="E6516" t="inlineStr">
        <is>
          <t>LJUSDAL</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45221-2023</t>
        </is>
      </c>
      <c r="B6517" s="1" t="n">
        <v>45191.57886574074</v>
      </c>
      <c r="C6517" s="1" t="n">
        <v>46086</v>
      </c>
      <c r="D6517" t="inlineStr">
        <is>
          <t>GÄVLEBORGS LÄN</t>
        </is>
      </c>
      <c r="E6517" t="inlineStr">
        <is>
          <t>HUDIKSVALL</t>
        </is>
      </c>
      <c r="F6517" t="inlineStr">
        <is>
          <t>Holmen skog AB</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14321-2024</t>
        </is>
      </c>
      <c r="B6518" s="1" t="n">
        <v>45393.69122685185</v>
      </c>
      <c r="C6518" s="1" t="n">
        <v>46086</v>
      </c>
      <c r="D6518" t="inlineStr">
        <is>
          <t>GÄVLEBORGS LÄN</t>
        </is>
      </c>
      <c r="E6518" t="inlineStr">
        <is>
          <t>SÖDERHAMN</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15615-2021</t>
        </is>
      </c>
      <c r="B6519" s="1" t="n">
        <v>44285</v>
      </c>
      <c r="C6519" s="1" t="n">
        <v>46086</v>
      </c>
      <c r="D6519" t="inlineStr">
        <is>
          <t>GÄVLEBORGS LÄN</t>
        </is>
      </c>
      <c r="E6519" t="inlineStr">
        <is>
          <t>HUDIKSVALL</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20708-2021</t>
        </is>
      </c>
      <c r="B6520" s="1" t="n">
        <v>44316</v>
      </c>
      <c r="C6520" s="1" t="n">
        <v>46086</v>
      </c>
      <c r="D6520" t="inlineStr">
        <is>
          <t>GÄVLEBORGS LÄN</t>
        </is>
      </c>
      <c r="E6520" t="inlineStr">
        <is>
          <t>HUDIKSVALL</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55287-2025</t>
        </is>
      </c>
      <c r="B6521" s="1" t="n">
        <v>45969.30730324074</v>
      </c>
      <c r="C6521" s="1" t="n">
        <v>46086</v>
      </c>
      <c r="D6521" t="inlineStr">
        <is>
          <t>GÄVLEBORGS LÄN</t>
        </is>
      </c>
      <c r="E6521" t="inlineStr">
        <is>
          <t>HOFORS</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55072-2025</t>
        </is>
      </c>
      <c r="B6522" s="1" t="n">
        <v>45967.7925462963</v>
      </c>
      <c r="C6522" s="1" t="n">
        <v>46086</v>
      </c>
      <c r="D6522" t="inlineStr">
        <is>
          <t>GÄVLEBORGS LÄN</t>
        </is>
      </c>
      <c r="E6522" t="inlineStr">
        <is>
          <t>HUDIKSVALL</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55084-2025</t>
        </is>
      </c>
      <c r="B6523" s="1" t="n">
        <v>45968.32015046296</v>
      </c>
      <c r="C6523" s="1" t="n">
        <v>46086</v>
      </c>
      <c r="D6523" t="inlineStr">
        <is>
          <t>GÄVLEBORGS LÄN</t>
        </is>
      </c>
      <c r="E6523" t="inlineStr">
        <is>
          <t>LJUSDAL</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55099-2025</t>
        </is>
      </c>
      <c r="B6524" s="1" t="n">
        <v>45968.34590277778</v>
      </c>
      <c r="C6524" s="1" t="n">
        <v>46086</v>
      </c>
      <c r="D6524" t="inlineStr">
        <is>
          <t>GÄVLEBORGS LÄN</t>
        </is>
      </c>
      <c r="E6524" t="inlineStr">
        <is>
          <t>SANDVIKEN</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55340-2025</t>
        </is>
      </c>
      <c r="B6525" s="1" t="n">
        <v>45971.34491898148</v>
      </c>
      <c r="C6525" s="1" t="n">
        <v>46086</v>
      </c>
      <c r="D6525" t="inlineStr">
        <is>
          <t>GÄVLEBORGS LÄN</t>
        </is>
      </c>
      <c r="E6525" t="inlineStr">
        <is>
          <t>HUDIKSVALL</t>
        </is>
      </c>
      <c r="F6525" t="inlineStr">
        <is>
          <t>Holmen skog AB</t>
        </is>
      </c>
      <c r="G6525" t="n">
        <v>6.5</v>
      </c>
      <c r="H6525" t="n">
        <v>0</v>
      </c>
      <c r="I6525" t="n">
        <v>0</v>
      </c>
      <c r="J6525" t="n">
        <v>0</v>
      </c>
      <c r="K6525" t="n">
        <v>0</v>
      </c>
      <c r="L6525" t="n">
        <v>0</v>
      </c>
      <c r="M6525" t="n">
        <v>0</v>
      </c>
      <c r="N6525" t="n">
        <v>0</v>
      </c>
      <c r="O6525" t="n">
        <v>0</v>
      </c>
      <c r="P6525" t="n">
        <v>0</v>
      </c>
      <c r="Q6525" t="n">
        <v>0</v>
      </c>
      <c r="R6525" s="2" t="inlineStr"/>
    </row>
    <row r="6526" ht="15" customHeight="1">
      <c r="A6526" t="inlineStr">
        <is>
          <t>A 28606-2023</t>
        </is>
      </c>
      <c r="B6526" s="1" t="n">
        <v>45103</v>
      </c>
      <c r="C6526" s="1" t="n">
        <v>46086</v>
      </c>
      <c r="D6526" t="inlineStr">
        <is>
          <t>GÄVLEBORGS LÄN</t>
        </is>
      </c>
      <c r="E6526" t="inlineStr">
        <is>
          <t>OVANÅKER</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55073-2025</t>
        </is>
      </c>
      <c r="B6527" s="1" t="n">
        <v>45967.79689814815</v>
      </c>
      <c r="C6527" s="1" t="n">
        <v>46086</v>
      </c>
      <c r="D6527" t="inlineStr">
        <is>
          <t>GÄVLEBORGS LÄN</t>
        </is>
      </c>
      <c r="E6527" t="inlineStr">
        <is>
          <t>HUDIKSVALL</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55191-2025</t>
        </is>
      </c>
      <c r="B6528" s="1" t="n">
        <v>45968.5480787037</v>
      </c>
      <c r="C6528" s="1" t="n">
        <v>46086</v>
      </c>
      <c r="D6528" t="inlineStr">
        <is>
          <t>GÄVLEBORGS LÄN</t>
        </is>
      </c>
      <c r="E6528" t="inlineStr">
        <is>
          <t>BOLLNÄS</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55221-2025</t>
        </is>
      </c>
      <c r="B6529" s="1" t="n">
        <v>45968.59128472222</v>
      </c>
      <c r="C6529" s="1" t="n">
        <v>46086</v>
      </c>
      <c r="D6529" t="inlineStr">
        <is>
          <t>GÄVLEBORGS LÄN</t>
        </is>
      </c>
      <c r="E6529" t="inlineStr">
        <is>
          <t>GÄVLE</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27113-2023</t>
        </is>
      </c>
      <c r="B6530" s="1" t="n">
        <v>45096.43399305556</v>
      </c>
      <c r="C6530" s="1" t="n">
        <v>46086</v>
      </c>
      <c r="D6530" t="inlineStr">
        <is>
          <t>GÄVLEBORGS LÄN</t>
        </is>
      </c>
      <c r="E6530" t="inlineStr">
        <is>
          <t>OVANÅKER</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55248-2025</t>
        </is>
      </c>
      <c r="B6531" s="1" t="n">
        <v>45968.62568287037</v>
      </c>
      <c r="C6531" s="1" t="n">
        <v>46086</v>
      </c>
      <c r="D6531" t="inlineStr">
        <is>
          <t>GÄVLEBORGS LÄN</t>
        </is>
      </c>
      <c r="E6531" t="inlineStr">
        <is>
          <t>OVANÅKER</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55590-2025</t>
        </is>
      </c>
      <c r="B6532" s="1" t="n">
        <v>45971.68881944445</v>
      </c>
      <c r="C6532" s="1" t="n">
        <v>46086</v>
      </c>
      <c r="D6532" t="inlineStr">
        <is>
          <t>GÄVLEBORGS LÄN</t>
        </is>
      </c>
      <c r="E6532" t="inlineStr">
        <is>
          <t>NORDANSTIG</t>
        </is>
      </c>
      <c r="F6532" t="inlineStr">
        <is>
          <t>Holmen skog AB</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55370-2025</t>
        </is>
      </c>
      <c r="B6533" s="1" t="n">
        <v>45971.41508101852</v>
      </c>
      <c r="C6533" s="1" t="n">
        <v>46086</v>
      </c>
      <c r="D6533" t="inlineStr">
        <is>
          <t>GÄVLEBORGS LÄN</t>
        </is>
      </c>
      <c r="E6533" t="inlineStr">
        <is>
          <t>HUDIKSVALL</t>
        </is>
      </c>
      <c r="G6533" t="n">
        <v>4.1</v>
      </c>
      <c r="H6533" t="n">
        <v>0</v>
      </c>
      <c r="I6533" t="n">
        <v>0</v>
      </c>
      <c r="J6533" t="n">
        <v>0</v>
      </c>
      <c r="K6533" t="n">
        <v>0</v>
      </c>
      <c r="L6533" t="n">
        <v>0</v>
      </c>
      <c r="M6533" t="n">
        <v>0</v>
      </c>
      <c r="N6533" t="n">
        <v>0</v>
      </c>
      <c r="O6533" t="n">
        <v>0</v>
      </c>
      <c r="P6533" t="n">
        <v>0</v>
      </c>
      <c r="Q6533" t="n">
        <v>0</v>
      </c>
      <c r="R6533" s="2" t="inlineStr"/>
    </row>
    <row r="6534" ht="15" customHeight="1">
      <c r="A6534" t="inlineStr">
        <is>
          <t>A 55401-2025</t>
        </is>
      </c>
      <c r="B6534" s="1" t="n">
        <v>45971.45069444444</v>
      </c>
      <c r="C6534" s="1" t="n">
        <v>46086</v>
      </c>
      <c r="D6534" t="inlineStr">
        <is>
          <t>GÄVLEBORGS LÄN</t>
        </is>
      </c>
      <c r="E6534" t="inlineStr">
        <is>
          <t>SÖDERHAMN</t>
        </is>
      </c>
      <c r="G6534" t="n">
        <v>4.2</v>
      </c>
      <c r="H6534" t="n">
        <v>0</v>
      </c>
      <c r="I6534" t="n">
        <v>0</v>
      </c>
      <c r="J6534" t="n">
        <v>0</v>
      </c>
      <c r="K6534" t="n">
        <v>0</v>
      </c>
      <c r="L6534" t="n">
        <v>0</v>
      </c>
      <c r="M6534" t="n">
        <v>0</v>
      </c>
      <c r="N6534" t="n">
        <v>0</v>
      </c>
      <c r="O6534" t="n">
        <v>0</v>
      </c>
      <c r="P6534" t="n">
        <v>0</v>
      </c>
      <c r="Q6534" t="n">
        <v>0</v>
      </c>
      <c r="R6534" s="2" t="inlineStr"/>
    </row>
    <row r="6535" ht="15" customHeight="1">
      <c r="A6535" t="inlineStr">
        <is>
          <t>A 55154-2025</t>
        </is>
      </c>
      <c r="B6535" s="1" t="n">
        <v>45968.46167824074</v>
      </c>
      <c r="C6535" s="1" t="n">
        <v>46086</v>
      </c>
      <c r="D6535" t="inlineStr">
        <is>
          <t>GÄVLEBORGS LÄN</t>
        </is>
      </c>
      <c r="E6535" t="inlineStr">
        <is>
          <t>OVANÅKER</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5691-2022</t>
        </is>
      </c>
      <c r="B6536" s="1" t="n">
        <v>44596</v>
      </c>
      <c r="C6536" s="1" t="n">
        <v>46086</v>
      </c>
      <c r="D6536" t="inlineStr">
        <is>
          <t>GÄVLEBORGS LÄN</t>
        </is>
      </c>
      <c r="E6536" t="inlineStr">
        <is>
          <t>BOLLNÄS</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55164-2025</t>
        </is>
      </c>
      <c r="B6537" s="1" t="n">
        <v>45968.48046296297</v>
      </c>
      <c r="C6537" s="1" t="n">
        <v>46086</v>
      </c>
      <c r="D6537" t="inlineStr">
        <is>
          <t>GÄVLEBORGS LÄN</t>
        </is>
      </c>
      <c r="E6537" t="inlineStr">
        <is>
          <t>BOLLNÄS</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55186-2025</t>
        </is>
      </c>
      <c r="B6538" s="1" t="n">
        <v>45968.53877314815</v>
      </c>
      <c r="C6538" s="1" t="n">
        <v>46086</v>
      </c>
      <c r="D6538" t="inlineStr">
        <is>
          <t>GÄVLEBORGS LÄN</t>
        </is>
      </c>
      <c r="E6538" t="inlineStr">
        <is>
          <t>NORDANSTIG</t>
        </is>
      </c>
      <c r="G6538" t="n">
        <v>3.8</v>
      </c>
      <c r="H6538" t="n">
        <v>0</v>
      </c>
      <c r="I6538" t="n">
        <v>0</v>
      </c>
      <c r="J6538" t="n">
        <v>0</v>
      </c>
      <c r="K6538" t="n">
        <v>0</v>
      </c>
      <c r="L6538" t="n">
        <v>0</v>
      </c>
      <c r="M6538" t="n">
        <v>0</v>
      </c>
      <c r="N6538" t="n">
        <v>0</v>
      </c>
      <c r="O6538" t="n">
        <v>0</v>
      </c>
      <c r="P6538" t="n">
        <v>0</v>
      </c>
      <c r="Q6538" t="n">
        <v>0</v>
      </c>
      <c r="R6538" s="2" t="inlineStr"/>
    </row>
    <row r="6539" ht="15" customHeight="1">
      <c r="A6539" t="inlineStr">
        <is>
          <t>A 43152-2023</t>
        </is>
      </c>
      <c r="B6539" s="1" t="n">
        <v>45183.32864583333</v>
      </c>
      <c r="C6539" s="1" t="n">
        <v>46086</v>
      </c>
      <c r="D6539" t="inlineStr">
        <is>
          <t>GÄVLEBORGS LÄN</t>
        </is>
      </c>
      <c r="E6539" t="inlineStr">
        <is>
          <t>BOLLNÄS</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55513-2025</t>
        </is>
      </c>
      <c r="B6540" s="1" t="n">
        <v>45971.60115740741</v>
      </c>
      <c r="C6540" s="1" t="n">
        <v>46086</v>
      </c>
      <c r="D6540" t="inlineStr">
        <is>
          <t>GÄVLEBORGS LÄN</t>
        </is>
      </c>
      <c r="E6540" t="inlineStr">
        <is>
          <t>NORDANSTIG</t>
        </is>
      </c>
      <c r="F6540" t="inlineStr">
        <is>
          <t>Holmen skog AB</t>
        </is>
      </c>
      <c r="G6540" t="n">
        <v>6</v>
      </c>
      <c r="H6540" t="n">
        <v>0</v>
      </c>
      <c r="I6540" t="n">
        <v>0</v>
      </c>
      <c r="J6540" t="n">
        <v>0</v>
      </c>
      <c r="K6540" t="n">
        <v>0</v>
      </c>
      <c r="L6540" t="n">
        <v>0</v>
      </c>
      <c r="M6540" t="n">
        <v>0</v>
      </c>
      <c r="N6540" t="n">
        <v>0</v>
      </c>
      <c r="O6540" t="n">
        <v>0</v>
      </c>
      <c r="P6540" t="n">
        <v>0</v>
      </c>
      <c r="Q6540" t="n">
        <v>0</v>
      </c>
      <c r="R6540" s="2" t="inlineStr"/>
    </row>
    <row r="6541" ht="15" customHeight="1">
      <c r="A6541" t="inlineStr">
        <is>
          <t>A 60897-2023</t>
        </is>
      </c>
      <c r="B6541" s="1" t="n">
        <v>45261</v>
      </c>
      <c r="C6541" s="1" t="n">
        <v>46086</v>
      </c>
      <c r="D6541" t="inlineStr">
        <is>
          <t>GÄVLEBORGS LÄN</t>
        </is>
      </c>
      <c r="E6541" t="inlineStr">
        <is>
          <t>SANDVIKEN</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59322-2022</t>
        </is>
      </c>
      <c r="B6542" s="1" t="n">
        <v>44904.63638888889</v>
      </c>
      <c r="C6542" s="1" t="n">
        <v>46086</v>
      </c>
      <c r="D6542" t="inlineStr">
        <is>
          <t>GÄVLEBORGS LÄN</t>
        </is>
      </c>
      <c r="E6542" t="inlineStr">
        <is>
          <t>GÄVLE</t>
        </is>
      </c>
      <c r="F6542" t="inlineStr">
        <is>
          <t>Bergvik skog öst AB</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55495-2025</t>
        </is>
      </c>
      <c r="B6543" s="1" t="n">
        <v>45971.58234953704</v>
      </c>
      <c r="C6543" s="1" t="n">
        <v>46086</v>
      </c>
      <c r="D6543" t="inlineStr">
        <is>
          <t>GÄVLEBORGS LÄN</t>
        </is>
      </c>
      <c r="E6543" t="inlineStr">
        <is>
          <t>OVANÅKER</t>
        </is>
      </c>
      <c r="G6543" t="n">
        <v>5.6</v>
      </c>
      <c r="H6543" t="n">
        <v>0</v>
      </c>
      <c r="I6543" t="n">
        <v>0</v>
      </c>
      <c r="J6543" t="n">
        <v>0</v>
      </c>
      <c r="K6543" t="n">
        <v>0</v>
      </c>
      <c r="L6543" t="n">
        <v>0</v>
      </c>
      <c r="M6543" t="n">
        <v>0</v>
      </c>
      <c r="N6543" t="n">
        <v>0</v>
      </c>
      <c r="O6543" t="n">
        <v>0</v>
      </c>
      <c r="P6543" t="n">
        <v>0</v>
      </c>
      <c r="Q6543" t="n">
        <v>0</v>
      </c>
      <c r="R6543" s="2" t="inlineStr"/>
    </row>
    <row r="6544" ht="15" customHeight="1">
      <c r="A6544" t="inlineStr">
        <is>
          <t>A 5728-2023</t>
        </is>
      </c>
      <c r="B6544" s="1" t="n">
        <v>44962.43650462963</v>
      </c>
      <c r="C6544" s="1" t="n">
        <v>46086</v>
      </c>
      <c r="D6544" t="inlineStr">
        <is>
          <t>GÄVLEBORGS LÄN</t>
        </is>
      </c>
      <c r="E6544" t="inlineStr">
        <is>
          <t>GÄVLE</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247-2025</t>
        </is>
      </c>
      <c r="B6545" s="1" t="n">
        <v>45660.41883101852</v>
      </c>
      <c r="C6545" s="1" t="n">
        <v>46086</v>
      </c>
      <c r="D6545" t="inlineStr">
        <is>
          <t>GÄVLEBORGS LÄN</t>
        </is>
      </c>
      <c r="E6545" t="inlineStr">
        <is>
          <t>GÄVLE</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18123-2025</t>
        </is>
      </c>
      <c r="B6546" s="1" t="n">
        <v>45761.59417824074</v>
      </c>
      <c r="C6546" s="1" t="n">
        <v>46086</v>
      </c>
      <c r="D6546" t="inlineStr">
        <is>
          <t>GÄVLEBORGS LÄN</t>
        </is>
      </c>
      <c r="E6546" t="inlineStr">
        <is>
          <t>LJUSDAL</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55194-2025</t>
        </is>
      </c>
      <c r="B6547" s="1" t="n">
        <v>45968.55011574074</v>
      </c>
      <c r="C6547" s="1" t="n">
        <v>46086</v>
      </c>
      <c r="D6547" t="inlineStr">
        <is>
          <t>GÄVLEBORGS LÄN</t>
        </is>
      </c>
      <c r="E6547" t="inlineStr">
        <is>
          <t>LJUSDAL</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55174-2025</t>
        </is>
      </c>
      <c r="B6548" s="1" t="n">
        <v>45968.50053240741</v>
      </c>
      <c r="C6548" s="1" t="n">
        <v>46086</v>
      </c>
      <c r="D6548" t="inlineStr">
        <is>
          <t>GÄVLEBORGS LÄN</t>
        </is>
      </c>
      <c r="E6548" t="inlineStr">
        <is>
          <t>LJUSDAL</t>
        </is>
      </c>
      <c r="F6548" t="inlineStr">
        <is>
          <t>Holmen skog AB</t>
        </is>
      </c>
      <c r="G6548" t="n">
        <v>5.8</v>
      </c>
      <c r="H6548" t="n">
        <v>0</v>
      </c>
      <c r="I6548" t="n">
        <v>0</v>
      </c>
      <c r="J6548" t="n">
        <v>0</v>
      </c>
      <c r="K6548" t="n">
        <v>0</v>
      </c>
      <c r="L6548" t="n">
        <v>0</v>
      </c>
      <c r="M6548" t="n">
        <v>0</v>
      </c>
      <c r="N6548" t="n">
        <v>0</v>
      </c>
      <c r="O6548" t="n">
        <v>0</v>
      </c>
      <c r="P6548" t="n">
        <v>0</v>
      </c>
      <c r="Q6548" t="n">
        <v>0</v>
      </c>
      <c r="R6548" s="2" t="inlineStr"/>
    </row>
    <row r="6549" ht="15" customHeight="1">
      <c r="A6549" t="inlineStr">
        <is>
          <t>A 55395-2025</t>
        </is>
      </c>
      <c r="B6549" s="1" t="n">
        <v>45971.4485300926</v>
      </c>
      <c r="C6549" s="1" t="n">
        <v>46086</v>
      </c>
      <c r="D6549" t="inlineStr">
        <is>
          <t>GÄVLEBORGS LÄN</t>
        </is>
      </c>
      <c r="E6549" t="inlineStr">
        <is>
          <t>HUDIKSVALL</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56502-2023</t>
        </is>
      </c>
      <c r="B6550" s="1" t="n">
        <v>45243</v>
      </c>
      <c r="C6550" s="1" t="n">
        <v>46086</v>
      </c>
      <c r="D6550" t="inlineStr">
        <is>
          <t>GÄVLEBORGS LÄN</t>
        </is>
      </c>
      <c r="E6550" t="inlineStr">
        <is>
          <t>SÖDERHAMN</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30717-2024</t>
        </is>
      </c>
      <c r="B6551" s="1" t="n">
        <v>45496.48064814815</v>
      </c>
      <c r="C6551" s="1" t="n">
        <v>46086</v>
      </c>
      <c r="D6551" t="inlineStr">
        <is>
          <t>GÄVLEBORGS LÄN</t>
        </is>
      </c>
      <c r="E6551" t="inlineStr">
        <is>
          <t>NORDANSTIG</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62047-2022</t>
        </is>
      </c>
      <c r="B6552" s="1" t="n">
        <v>44918</v>
      </c>
      <c r="C6552" s="1" t="n">
        <v>46086</v>
      </c>
      <c r="D6552" t="inlineStr">
        <is>
          <t>GÄVLEBORGS LÄN</t>
        </is>
      </c>
      <c r="E6552" t="inlineStr">
        <is>
          <t>SANDVIKEN</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44628-2025</t>
        </is>
      </c>
      <c r="B6553" s="1" t="n">
        <v>45917</v>
      </c>
      <c r="C6553" s="1" t="n">
        <v>46086</v>
      </c>
      <c r="D6553" t="inlineStr">
        <is>
          <t>GÄVLEBORGS LÄN</t>
        </is>
      </c>
      <c r="E6553" t="inlineStr">
        <is>
          <t>BOLLNÄS</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41730-2024</t>
        </is>
      </c>
      <c r="B6554" s="1" t="n">
        <v>45560.90769675926</v>
      </c>
      <c r="C6554" s="1" t="n">
        <v>46086</v>
      </c>
      <c r="D6554" t="inlineStr">
        <is>
          <t>GÄVLEBORGS LÄN</t>
        </is>
      </c>
      <c r="E6554" t="inlineStr">
        <is>
          <t>LJUSDAL</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39154-2021</t>
        </is>
      </c>
      <c r="B6555" s="1" t="n">
        <v>44412</v>
      </c>
      <c r="C6555" s="1" t="n">
        <v>46086</v>
      </c>
      <c r="D6555" t="inlineStr">
        <is>
          <t>GÄVLEBORGS LÄN</t>
        </is>
      </c>
      <c r="E6555" t="inlineStr">
        <is>
          <t>HUDIKSVALL</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55199-2025</t>
        </is>
      </c>
      <c r="B6556" s="1" t="n">
        <v>45968.55811342593</v>
      </c>
      <c r="C6556" s="1" t="n">
        <v>46086</v>
      </c>
      <c r="D6556" t="inlineStr">
        <is>
          <t>GÄVLEBORGS LÄN</t>
        </is>
      </c>
      <c r="E6556" t="inlineStr">
        <is>
          <t>GÄVLE</t>
        </is>
      </c>
      <c r="F6556" t="inlineStr">
        <is>
          <t>Bergvik skog öst AB</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55840-2025</t>
        </is>
      </c>
      <c r="B6557" s="1" t="n">
        <v>45973.27221064815</v>
      </c>
      <c r="C6557" s="1" t="n">
        <v>46086</v>
      </c>
      <c r="D6557" t="inlineStr">
        <is>
          <t>GÄVLEBORGS LÄN</t>
        </is>
      </c>
      <c r="E6557" t="inlineStr">
        <is>
          <t>OVANÅKER</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56121-2025</t>
        </is>
      </c>
      <c r="B6558" s="1" t="n">
        <v>45973</v>
      </c>
      <c r="C6558" s="1" t="n">
        <v>46086</v>
      </c>
      <c r="D6558" t="inlineStr">
        <is>
          <t>GÄVLEBORGS LÄN</t>
        </is>
      </c>
      <c r="E6558" t="inlineStr">
        <is>
          <t>GÄVLE</t>
        </is>
      </c>
      <c r="F6558" t="inlineStr">
        <is>
          <t>Bergvik skog väst AB</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56021-2025</t>
        </is>
      </c>
      <c r="B6559" s="1" t="n">
        <v>45973.59534722222</v>
      </c>
      <c r="C6559" s="1" t="n">
        <v>46086</v>
      </c>
      <c r="D6559" t="inlineStr">
        <is>
          <t>GÄVLEBORGS LÄN</t>
        </is>
      </c>
      <c r="E6559" t="inlineStr">
        <is>
          <t>HUDIKSVALL</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55753-2025</t>
        </is>
      </c>
      <c r="B6560" s="1" t="n">
        <v>45972.58767361111</v>
      </c>
      <c r="C6560" s="1" t="n">
        <v>46086</v>
      </c>
      <c r="D6560" t="inlineStr">
        <is>
          <t>GÄVLEBORGS LÄN</t>
        </is>
      </c>
      <c r="E6560" t="inlineStr">
        <is>
          <t>SANDVIKEN</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59759-2022</t>
        </is>
      </c>
      <c r="B6561" s="1" t="n">
        <v>44908.48275462963</v>
      </c>
      <c r="C6561" s="1" t="n">
        <v>46086</v>
      </c>
      <c r="D6561" t="inlineStr">
        <is>
          <t>GÄVLEBORGS LÄN</t>
        </is>
      </c>
      <c r="E6561" t="inlineStr">
        <is>
          <t>HUDIKSVALL</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51431-2021</t>
        </is>
      </c>
      <c r="B6562" s="1" t="n">
        <v>44461</v>
      </c>
      <c r="C6562" s="1" t="n">
        <v>46086</v>
      </c>
      <c r="D6562" t="inlineStr">
        <is>
          <t>GÄVLEBORGS LÄN</t>
        </is>
      </c>
      <c r="E6562" t="inlineStr">
        <is>
          <t>LJUSDAL</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38634-2023</t>
        </is>
      </c>
      <c r="B6563" s="1" t="n">
        <v>45162.70454861111</v>
      </c>
      <c r="C6563" s="1" t="n">
        <v>46086</v>
      </c>
      <c r="D6563" t="inlineStr">
        <is>
          <t>GÄVLEBORGS LÄN</t>
        </is>
      </c>
      <c r="E6563" t="inlineStr">
        <is>
          <t>LJUSDAL</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55711-2025</t>
        </is>
      </c>
      <c r="B6564" s="1" t="n">
        <v>45972.4805324074</v>
      </c>
      <c r="C6564" s="1" t="n">
        <v>46086</v>
      </c>
      <c r="D6564" t="inlineStr">
        <is>
          <t>GÄVLEBORGS LÄN</t>
        </is>
      </c>
      <c r="E6564" t="inlineStr">
        <is>
          <t>SÖDERHAMN</t>
        </is>
      </c>
      <c r="F6564" t="inlineStr">
        <is>
          <t>Bergvik skog väst AB</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21724-2021</t>
        </is>
      </c>
      <c r="B6565" s="1" t="n">
        <v>44322</v>
      </c>
      <c r="C6565" s="1" t="n">
        <v>46086</v>
      </c>
      <c r="D6565" t="inlineStr">
        <is>
          <t>GÄVLEBORGS LÄN</t>
        </is>
      </c>
      <c r="E6565" t="inlineStr">
        <is>
          <t>LJUSDAL</t>
        </is>
      </c>
      <c r="F6565" t="inlineStr">
        <is>
          <t>Sveaskog</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55726-2025</t>
        </is>
      </c>
      <c r="B6566" s="1" t="n">
        <v>45972.53399305556</v>
      </c>
      <c r="C6566" s="1" t="n">
        <v>46086</v>
      </c>
      <c r="D6566" t="inlineStr">
        <is>
          <t>GÄVLEBORGS LÄN</t>
        </is>
      </c>
      <c r="E6566" t="inlineStr">
        <is>
          <t>OCKELBO</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55730-2025</t>
        </is>
      </c>
      <c r="B6567" s="1" t="n">
        <v>45972.54152777778</v>
      </c>
      <c r="C6567" s="1" t="n">
        <v>46086</v>
      </c>
      <c r="D6567" t="inlineStr">
        <is>
          <t>GÄVLEBORGS LÄN</t>
        </is>
      </c>
      <c r="E6567" t="inlineStr">
        <is>
          <t>SÖDERHAMN</t>
        </is>
      </c>
      <c r="F6567" t="inlineStr">
        <is>
          <t>Bergvik skog väst AB</t>
        </is>
      </c>
      <c r="G6567" t="n">
        <v>0.1</v>
      </c>
      <c r="H6567" t="n">
        <v>0</v>
      </c>
      <c r="I6567" t="n">
        <v>0</v>
      </c>
      <c r="J6567" t="n">
        <v>0</v>
      </c>
      <c r="K6567" t="n">
        <v>0</v>
      </c>
      <c r="L6567" t="n">
        <v>0</v>
      </c>
      <c r="M6567" t="n">
        <v>0</v>
      </c>
      <c r="N6567" t="n">
        <v>0</v>
      </c>
      <c r="O6567" t="n">
        <v>0</v>
      </c>
      <c r="P6567" t="n">
        <v>0</v>
      </c>
      <c r="Q6567" t="n">
        <v>0</v>
      </c>
      <c r="R6567" s="2" t="inlineStr"/>
    </row>
    <row r="6568" ht="15" customHeight="1">
      <c r="A6568" t="inlineStr">
        <is>
          <t>A 55607-2025</t>
        </is>
      </c>
      <c r="B6568" s="1" t="n">
        <v>45971.79834490741</v>
      </c>
      <c r="C6568" s="1" t="n">
        <v>46086</v>
      </c>
      <c r="D6568" t="inlineStr">
        <is>
          <t>GÄVLEBORGS LÄN</t>
        </is>
      </c>
      <c r="E6568" t="inlineStr">
        <is>
          <t>SANDVIKEN</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55964-2025</t>
        </is>
      </c>
      <c r="B6569" s="1" t="n">
        <v>45973.48133101852</v>
      </c>
      <c r="C6569" s="1" t="n">
        <v>46086</v>
      </c>
      <c r="D6569" t="inlineStr">
        <is>
          <t>GÄVLEBORGS LÄN</t>
        </is>
      </c>
      <c r="E6569" t="inlineStr">
        <is>
          <t>NORDANSTIG</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31348-2022</t>
        </is>
      </c>
      <c r="B6570" s="1" t="n">
        <v>44774.54951388889</v>
      </c>
      <c r="C6570" s="1" t="n">
        <v>46086</v>
      </c>
      <c r="D6570" t="inlineStr">
        <is>
          <t>GÄVLEBORGS LÄN</t>
        </is>
      </c>
      <c r="E6570" t="inlineStr">
        <is>
          <t>LJUSDAL</t>
        </is>
      </c>
      <c r="F6570" t="inlineStr">
        <is>
          <t>Holmen skog AB</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50469-2024</t>
        </is>
      </c>
      <c r="B6571" s="1" t="n">
        <v>45601.47113425926</v>
      </c>
      <c r="C6571" s="1" t="n">
        <v>46086</v>
      </c>
      <c r="D6571" t="inlineStr">
        <is>
          <t>GÄVLEBORGS LÄN</t>
        </is>
      </c>
      <c r="E6571" t="inlineStr">
        <is>
          <t>OVANÅKER</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45331-2024</t>
        </is>
      </c>
      <c r="B6572" s="1" t="n">
        <v>45576.4566087963</v>
      </c>
      <c r="C6572" s="1" t="n">
        <v>46086</v>
      </c>
      <c r="D6572" t="inlineStr">
        <is>
          <t>GÄVLEBORGS LÄN</t>
        </is>
      </c>
      <c r="E6572" t="inlineStr">
        <is>
          <t>SANDVIKEN</t>
        </is>
      </c>
      <c r="F6572" t="inlineStr">
        <is>
          <t>Bergvik skog öst AB</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55931-2025</t>
        </is>
      </c>
      <c r="B6573" s="1" t="n">
        <v>45973.43884259259</v>
      </c>
      <c r="C6573" s="1" t="n">
        <v>46086</v>
      </c>
      <c r="D6573" t="inlineStr">
        <is>
          <t>GÄVLEBORGS LÄN</t>
        </is>
      </c>
      <c r="E6573" t="inlineStr">
        <is>
          <t>HUDIKSVALL</t>
        </is>
      </c>
      <c r="F6573" t="inlineStr">
        <is>
          <t>Naturvårdsverket</t>
        </is>
      </c>
      <c r="G6573" t="n">
        <v>5.3</v>
      </c>
      <c r="H6573" t="n">
        <v>0</v>
      </c>
      <c r="I6573" t="n">
        <v>0</v>
      </c>
      <c r="J6573" t="n">
        <v>0</v>
      </c>
      <c r="K6573" t="n">
        <v>0</v>
      </c>
      <c r="L6573" t="n">
        <v>0</v>
      </c>
      <c r="M6573" t="n">
        <v>0</v>
      </c>
      <c r="N6573" t="n">
        <v>0</v>
      </c>
      <c r="O6573" t="n">
        <v>0</v>
      </c>
      <c r="P6573" t="n">
        <v>0</v>
      </c>
      <c r="Q6573" t="n">
        <v>0</v>
      </c>
      <c r="R6573" s="2" t="inlineStr"/>
    </row>
    <row r="6574" ht="15" customHeight="1">
      <c r="A6574" t="inlineStr">
        <is>
          <t>A 55955-2025</t>
        </is>
      </c>
      <c r="B6574" s="1" t="n">
        <v>45973.47506944444</v>
      </c>
      <c r="C6574" s="1" t="n">
        <v>46086</v>
      </c>
      <c r="D6574" t="inlineStr">
        <is>
          <t>GÄVLEBORGS LÄN</t>
        </is>
      </c>
      <c r="E6574" t="inlineStr">
        <is>
          <t>NORDANSTIG</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6617-2025</t>
        </is>
      </c>
      <c r="B6575" s="1" t="n">
        <v>45700</v>
      </c>
      <c r="C6575" s="1" t="n">
        <v>46086</v>
      </c>
      <c r="D6575" t="inlineStr">
        <is>
          <t>GÄVLEBORGS LÄN</t>
        </is>
      </c>
      <c r="E6575" t="inlineStr">
        <is>
          <t>OCKELBO</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55968-2025</t>
        </is>
      </c>
      <c r="B6576" s="1" t="n">
        <v>45973.48645833333</v>
      </c>
      <c r="C6576" s="1" t="n">
        <v>46086</v>
      </c>
      <c r="D6576" t="inlineStr">
        <is>
          <t>GÄVLEBORGS LÄN</t>
        </is>
      </c>
      <c r="E6576" t="inlineStr">
        <is>
          <t>LJUSDAL</t>
        </is>
      </c>
      <c r="G6576" t="n">
        <v>6.8</v>
      </c>
      <c r="H6576" t="n">
        <v>0</v>
      </c>
      <c r="I6576" t="n">
        <v>0</v>
      </c>
      <c r="J6576" t="n">
        <v>0</v>
      </c>
      <c r="K6576" t="n">
        <v>0</v>
      </c>
      <c r="L6576" t="n">
        <v>0</v>
      </c>
      <c r="M6576" t="n">
        <v>0</v>
      </c>
      <c r="N6576" t="n">
        <v>0</v>
      </c>
      <c r="O6576" t="n">
        <v>0</v>
      </c>
      <c r="P6576" t="n">
        <v>0</v>
      </c>
      <c r="Q6576" t="n">
        <v>0</v>
      </c>
      <c r="R6576" s="2" t="inlineStr"/>
    </row>
    <row r="6577" ht="15" customHeight="1">
      <c r="A6577" t="inlineStr">
        <is>
          <t>A 17228-2023</t>
        </is>
      </c>
      <c r="B6577" s="1" t="n">
        <v>45035.31238425926</v>
      </c>
      <c r="C6577" s="1" t="n">
        <v>46086</v>
      </c>
      <c r="D6577" t="inlineStr">
        <is>
          <t>GÄVLEBORGS LÄN</t>
        </is>
      </c>
      <c r="E6577" t="inlineStr">
        <is>
          <t>LJUSDAL</t>
        </is>
      </c>
      <c r="F6577" t="inlineStr">
        <is>
          <t>Holmen skog AB</t>
        </is>
      </c>
      <c r="G6577" t="n">
        <v>1.8</v>
      </c>
      <c r="H6577" t="n">
        <v>0</v>
      </c>
      <c r="I6577" t="n">
        <v>0</v>
      </c>
      <c r="J6577" t="n">
        <v>0</v>
      </c>
      <c r="K6577" t="n">
        <v>0</v>
      </c>
      <c r="L6577" t="n">
        <v>0</v>
      </c>
      <c r="M6577" t="n">
        <v>0</v>
      </c>
      <c r="N6577" t="n">
        <v>0</v>
      </c>
      <c r="O6577" t="n">
        <v>0</v>
      </c>
      <c r="P6577" t="n">
        <v>0</v>
      </c>
      <c r="Q6577" t="n">
        <v>0</v>
      </c>
      <c r="R6577" s="2" t="inlineStr"/>
      <c r="U6577">
        <f>HYPERLINK("https://klasma.github.io/Logging_2161/knärot/A 17228-2023 karta knärot.png", "A 17228-2023")</f>
        <v/>
      </c>
      <c r="V6577">
        <f>HYPERLINK("https://klasma.github.io/Logging_2161/klagomål/A 17228-2023 FSC-klagomål.docx", "A 17228-2023")</f>
        <v/>
      </c>
      <c r="W6577">
        <f>HYPERLINK("https://klasma.github.io/Logging_2161/klagomålsmail/A 17228-2023 FSC-klagomål mail.docx", "A 17228-2023")</f>
        <v/>
      </c>
      <c r="X6577">
        <f>HYPERLINK("https://klasma.github.io/Logging_2161/tillsyn/A 17228-2023 tillsynsbegäran.docx", "A 17228-2023")</f>
        <v/>
      </c>
      <c r="Y6577">
        <f>HYPERLINK("https://klasma.github.io/Logging_2161/tillsynsmail/A 17228-2023 tillsynsbegäran mail.docx", "A 17228-2023")</f>
        <v/>
      </c>
    </row>
    <row r="6578" ht="15" customHeight="1">
      <c r="A6578" t="inlineStr">
        <is>
          <t>A 55976-2025</t>
        </is>
      </c>
      <c r="B6578" s="1" t="n">
        <v>45973.51217592593</v>
      </c>
      <c r="C6578" s="1" t="n">
        <v>46086</v>
      </c>
      <c r="D6578" t="inlineStr">
        <is>
          <t>GÄVLEBORGS LÄN</t>
        </is>
      </c>
      <c r="E6578" t="inlineStr">
        <is>
          <t>OCKELBO</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56000-2025</t>
        </is>
      </c>
      <c r="B6579" s="1" t="n">
        <v>45973.57445601852</v>
      </c>
      <c r="C6579" s="1" t="n">
        <v>46086</v>
      </c>
      <c r="D6579" t="inlineStr">
        <is>
          <t>GÄVLEBORGS LÄN</t>
        </is>
      </c>
      <c r="E6579" t="inlineStr">
        <is>
          <t>HUDIKSVALL</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55859-2025</t>
        </is>
      </c>
      <c r="B6580" s="1" t="n">
        <v>45973.33715277778</v>
      </c>
      <c r="C6580" s="1" t="n">
        <v>46086</v>
      </c>
      <c r="D6580" t="inlineStr">
        <is>
          <t>GÄVLEBORGS LÄN</t>
        </is>
      </c>
      <c r="E6580" t="inlineStr">
        <is>
          <t>OCKELBO</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28272-2023</t>
        </is>
      </c>
      <c r="B6581" s="1" t="n">
        <v>45099.62010416666</v>
      </c>
      <c r="C6581" s="1" t="n">
        <v>46086</v>
      </c>
      <c r="D6581" t="inlineStr">
        <is>
          <t>GÄVLEBORGS LÄN</t>
        </is>
      </c>
      <c r="E6581" t="inlineStr">
        <is>
          <t>LJUSDAL</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55866-2025</t>
        </is>
      </c>
      <c r="B6582" s="1" t="n">
        <v>45973.35025462963</v>
      </c>
      <c r="C6582" s="1" t="n">
        <v>46086</v>
      </c>
      <c r="D6582" t="inlineStr">
        <is>
          <t>GÄVLEBORGS LÄN</t>
        </is>
      </c>
      <c r="E6582" t="inlineStr">
        <is>
          <t>OCKELBO</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26936-2023</t>
        </is>
      </c>
      <c r="B6583" s="1" t="n">
        <v>45093.62740740741</v>
      </c>
      <c r="C6583" s="1" t="n">
        <v>46086</v>
      </c>
      <c r="D6583" t="inlineStr">
        <is>
          <t>GÄVLEBORGS LÄN</t>
        </is>
      </c>
      <c r="E6583" t="inlineStr">
        <is>
          <t>SÖDERHAMN</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41254-2024</t>
        </is>
      </c>
      <c r="B6584" s="1" t="n">
        <v>45559.58112268519</v>
      </c>
      <c r="C6584" s="1" t="n">
        <v>46086</v>
      </c>
      <c r="D6584" t="inlineStr">
        <is>
          <t>GÄVLEBORGS LÄN</t>
        </is>
      </c>
      <c r="E6584" t="inlineStr">
        <is>
          <t>HUDIKSVALL</t>
        </is>
      </c>
      <c r="F6584" t="inlineStr">
        <is>
          <t>Holmen skog AB</t>
        </is>
      </c>
      <c r="G6584" t="n">
        <v>6.4</v>
      </c>
      <c r="H6584" t="n">
        <v>0</v>
      </c>
      <c r="I6584" t="n">
        <v>0</v>
      </c>
      <c r="J6584" t="n">
        <v>0</v>
      </c>
      <c r="K6584" t="n">
        <v>0</v>
      </c>
      <c r="L6584" t="n">
        <v>0</v>
      </c>
      <c r="M6584" t="n">
        <v>0</v>
      </c>
      <c r="N6584" t="n">
        <v>0</v>
      </c>
      <c r="O6584" t="n">
        <v>0</v>
      </c>
      <c r="P6584" t="n">
        <v>0</v>
      </c>
      <c r="Q6584" t="n">
        <v>0</v>
      </c>
      <c r="R6584" s="2" t="inlineStr"/>
    </row>
    <row r="6585" ht="15" customHeight="1">
      <c r="A6585" t="inlineStr">
        <is>
          <t>A 55632-2025</t>
        </is>
      </c>
      <c r="B6585" s="1" t="n">
        <v>45972.34230324074</v>
      </c>
      <c r="C6585" s="1" t="n">
        <v>46086</v>
      </c>
      <c r="D6585" t="inlineStr">
        <is>
          <t>GÄVLEBORGS LÄN</t>
        </is>
      </c>
      <c r="E6585" t="inlineStr">
        <is>
          <t>OCKELBO</t>
        </is>
      </c>
      <c r="G6585" t="n">
        <v>7.8</v>
      </c>
      <c r="H6585" t="n">
        <v>0</v>
      </c>
      <c r="I6585" t="n">
        <v>0</v>
      </c>
      <c r="J6585" t="n">
        <v>0</v>
      </c>
      <c r="K6585" t="n">
        <v>0</v>
      </c>
      <c r="L6585" t="n">
        <v>0</v>
      </c>
      <c r="M6585" t="n">
        <v>0</v>
      </c>
      <c r="N6585" t="n">
        <v>0</v>
      </c>
      <c r="O6585" t="n">
        <v>0</v>
      </c>
      <c r="P6585" t="n">
        <v>0</v>
      </c>
      <c r="Q6585" t="n">
        <v>0</v>
      </c>
      <c r="R6585" s="2" t="inlineStr"/>
    </row>
    <row r="6586" ht="15" customHeight="1">
      <c r="A6586" t="inlineStr">
        <is>
          <t>A 55930-2025</t>
        </is>
      </c>
      <c r="B6586" s="1" t="n">
        <v>45973.43680555555</v>
      </c>
      <c r="C6586" s="1" t="n">
        <v>46086</v>
      </c>
      <c r="D6586" t="inlineStr">
        <is>
          <t>GÄVLEBORGS LÄN</t>
        </is>
      </c>
      <c r="E6586" t="inlineStr">
        <is>
          <t>BOLLNÄS</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55884-2025</t>
        </is>
      </c>
      <c r="B6587" s="1" t="n">
        <v>45973.36832175926</v>
      </c>
      <c r="C6587" s="1" t="n">
        <v>46086</v>
      </c>
      <c r="D6587" t="inlineStr">
        <is>
          <t>GÄVLEBORGS LÄN</t>
        </is>
      </c>
      <c r="E6587" t="inlineStr">
        <is>
          <t>OCKELBO</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56031-2025</t>
        </is>
      </c>
      <c r="B6588" s="1" t="n">
        <v>45973.60341435186</v>
      </c>
      <c r="C6588" s="1" t="n">
        <v>46086</v>
      </c>
      <c r="D6588" t="inlineStr">
        <is>
          <t>GÄVLEBORGS LÄN</t>
        </is>
      </c>
      <c r="E6588" t="inlineStr">
        <is>
          <t>NORDANSTIG</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55920-2025</t>
        </is>
      </c>
      <c r="B6589" s="1" t="n">
        <v>45973.4175462963</v>
      </c>
      <c r="C6589" s="1" t="n">
        <v>46086</v>
      </c>
      <c r="D6589" t="inlineStr">
        <is>
          <t>GÄVLEBORGS LÄN</t>
        </is>
      </c>
      <c r="E6589" t="inlineStr">
        <is>
          <t>OCKELBO</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55926-2025</t>
        </is>
      </c>
      <c r="B6590" s="1" t="n">
        <v>45973.42826388889</v>
      </c>
      <c r="C6590" s="1" t="n">
        <v>46086</v>
      </c>
      <c r="D6590" t="inlineStr">
        <is>
          <t>GÄVLEBORGS LÄN</t>
        </is>
      </c>
      <c r="E6590" t="inlineStr">
        <is>
          <t>OCKELBO</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55629-2025</t>
        </is>
      </c>
      <c r="B6591" s="1" t="n">
        <v>45972.33707175926</v>
      </c>
      <c r="C6591" s="1" t="n">
        <v>46086</v>
      </c>
      <c r="D6591" t="inlineStr">
        <is>
          <t>GÄVLEBORGS LÄN</t>
        </is>
      </c>
      <c r="E6591" t="inlineStr">
        <is>
          <t>OCKELBO</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62642-2023</t>
        </is>
      </c>
      <c r="B6592" s="1" t="n">
        <v>45271.42324074074</v>
      </c>
      <c r="C6592" s="1" t="n">
        <v>46086</v>
      </c>
      <c r="D6592" t="inlineStr">
        <is>
          <t>GÄVLEBORGS LÄN</t>
        </is>
      </c>
      <c r="E6592" t="inlineStr">
        <is>
          <t>SANDVIKEN</t>
        </is>
      </c>
      <c r="F6592" t="inlineStr">
        <is>
          <t>Bergvik skog öst AB</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62651-2023</t>
        </is>
      </c>
      <c r="B6593" s="1" t="n">
        <v>45271</v>
      </c>
      <c r="C6593" s="1" t="n">
        <v>46086</v>
      </c>
      <c r="D6593" t="inlineStr">
        <is>
          <t>GÄVLEBORGS LÄN</t>
        </is>
      </c>
      <c r="E6593" t="inlineStr">
        <is>
          <t>OVANÅKER</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56039-2025</t>
        </is>
      </c>
      <c r="B6594" s="1" t="n">
        <v>45973.61271990741</v>
      </c>
      <c r="C6594" s="1" t="n">
        <v>46086</v>
      </c>
      <c r="D6594" t="inlineStr">
        <is>
          <t>GÄVLEBORGS LÄN</t>
        </is>
      </c>
      <c r="E6594" t="inlineStr">
        <is>
          <t>NORDANSTIG</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4234-2024</t>
        </is>
      </c>
      <c r="B6595" s="1" t="n">
        <v>45324</v>
      </c>
      <c r="C6595" s="1" t="n">
        <v>46086</v>
      </c>
      <c r="D6595" t="inlineStr">
        <is>
          <t>GÄVLEBORGS LÄN</t>
        </is>
      </c>
      <c r="E6595" t="inlineStr">
        <is>
          <t>OVANÅKER</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56056-2025</t>
        </is>
      </c>
      <c r="B6596" s="1" t="n">
        <v>45973.63414351852</v>
      </c>
      <c r="C6596" s="1" t="n">
        <v>46086</v>
      </c>
      <c r="D6596" t="inlineStr">
        <is>
          <t>GÄVLEBORGS LÄN</t>
        </is>
      </c>
      <c r="E6596" t="inlineStr">
        <is>
          <t>NORDANSTIG</t>
        </is>
      </c>
      <c r="G6596" t="n">
        <v>5.9</v>
      </c>
      <c r="H6596" t="n">
        <v>0</v>
      </c>
      <c r="I6596" t="n">
        <v>0</v>
      </c>
      <c r="J6596" t="n">
        <v>0</v>
      </c>
      <c r="K6596" t="n">
        <v>0</v>
      </c>
      <c r="L6596" t="n">
        <v>0</v>
      </c>
      <c r="M6596" t="n">
        <v>0</v>
      </c>
      <c r="N6596" t="n">
        <v>0</v>
      </c>
      <c r="O6596" t="n">
        <v>0</v>
      </c>
      <c r="P6596" t="n">
        <v>0</v>
      </c>
      <c r="Q6596" t="n">
        <v>0</v>
      </c>
      <c r="R6596" s="2" t="inlineStr"/>
    </row>
    <row r="6597" ht="15" customHeight="1">
      <c r="A6597" t="inlineStr">
        <is>
          <t>A 55778-2025</t>
        </is>
      </c>
      <c r="B6597" s="1" t="n">
        <v>45972.6244212963</v>
      </c>
      <c r="C6597" s="1" t="n">
        <v>46086</v>
      </c>
      <c r="D6597" t="inlineStr">
        <is>
          <t>GÄVLEBORGS LÄN</t>
        </is>
      </c>
      <c r="E6597" t="inlineStr">
        <is>
          <t>OCKELBO</t>
        </is>
      </c>
      <c r="F6597" t="inlineStr">
        <is>
          <t>Bergvik skog väst AB</t>
        </is>
      </c>
      <c r="G6597" t="n">
        <v>12.3</v>
      </c>
      <c r="H6597" t="n">
        <v>0</v>
      </c>
      <c r="I6597" t="n">
        <v>0</v>
      </c>
      <c r="J6597" t="n">
        <v>0</v>
      </c>
      <c r="K6597" t="n">
        <v>0</v>
      </c>
      <c r="L6597" t="n">
        <v>0</v>
      </c>
      <c r="M6597" t="n">
        <v>0</v>
      </c>
      <c r="N6597" t="n">
        <v>0</v>
      </c>
      <c r="O6597" t="n">
        <v>0</v>
      </c>
      <c r="P6597" t="n">
        <v>0</v>
      </c>
      <c r="Q6597" t="n">
        <v>0</v>
      </c>
      <c r="R6597" s="2" t="inlineStr"/>
    </row>
    <row r="6598" ht="15" customHeight="1">
      <c r="A6598" t="inlineStr">
        <is>
          <t>A 3233-2025</t>
        </is>
      </c>
      <c r="B6598" s="1" t="n">
        <v>45679.49009259259</v>
      </c>
      <c r="C6598" s="1" t="n">
        <v>46086</v>
      </c>
      <c r="D6598" t="inlineStr">
        <is>
          <t>GÄVLEBORGS LÄN</t>
        </is>
      </c>
      <c r="E6598" t="inlineStr">
        <is>
          <t>LJUSDAL</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55785-2025</t>
        </is>
      </c>
      <c r="B6599" s="1" t="n">
        <v>45972.63847222222</v>
      </c>
      <c r="C6599" s="1" t="n">
        <v>46086</v>
      </c>
      <c r="D6599" t="inlineStr">
        <is>
          <t>GÄVLEBORGS LÄN</t>
        </is>
      </c>
      <c r="E6599" t="inlineStr">
        <is>
          <t>BOLLNÄS</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56120-2025</t>
        </is>
      </c>
      <c r="B6600" s="1" t="n">
        <v>45973</v>
      </c>
      <c r="C6600" s="1" t="n">
        <v>46086</v>
      </c>
      <c r="D6600" t="inlineStr">
        <is>
          <t>GÄVLEBORGS LÄN</t>
        </is>
      </c>
      <c r="E6600" t="inlineStr">
        <is>
          <t>GÄVLE</t>
        </is>
      </c>
      <c r="F6600" t="inlineStr">
        <is>
          <t>Bergvik skog väst AB</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56122-2025</t>
        </is>
      </c>
      <c r="B6601" s="1" t="n">
        <v>45973</v>
      </c>
      <c r="C6601" s="1" t="n">
        <v>46086</v>
      </c>
      <c r="D6601" t="inlineStr">
        <is>
          <t>GÄVLEBORGS LÄN</t>
        </is>
      </c>
      <c r="E6601" t="inlineStr">
        <is>
          <t>GÄVLE</t>
        </is>
      </c>
      <c r="F6601" t="inlineStr">
        <is>
          <t>Bergvik skog väst AB</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62056-2022</t>
        </is>
      </c>
      <c r="B6602" s="1" t="n">
        <v>44918</v>
      </c>
      <c r="C6602" s="1" t="n">
        <v>46086</v>
      </c>
      <c r="D6602" t="inlineStr">
        <is>
          <t>GÄVLEBORGS LÄN</t>
        </is>
      </c>
      <c r="E6602" t="inlineStr">
        <is>
          <t>SANDVIKEN</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55903-2025</t>
        </is>
      </c>
      <c r="B6603" s="1" t="n">
        <v>45973.38965277778</v>
      </c>
      <c r="C6603" s="1" t="n">
        <v>46086</v>
      </c>
      <c r="D6603" t="inlineStr">
        <is>
          <t>GÄVLEBORGS LÄN</t>
        </is>
      </c>
      <c r="E6603" t="inlineStr">
        <is>
          <t>HUDIKSVALL</t>
        </is>
      </c>
      <c r="F6603" t="inlineStr">
        <is>
          <t>Naturvårdsverket</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55911-2025</t>
        </is>
      </c>
      <c r="B6604" s="1" t="n">
        <v>45973.39857638889</v>
      </c>
      <c r="C6604" s="1" t="n">
        <v>46086</v>
      </c>
      <c r="D6604" t="inlineStr">
        <is>
          <t>GÄVLEBORGS LÄN</t>
        </is>
      </c>
      <c r="E6604" t="inlineStr">
        <is>
          <t>OCKELBO</t>
        </is>
      </c>
      <c r="F6604" t="inlineStr">
        <is>
          <t>Bergvik skog väst AB</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59856-2022</t>
        </is>
      </c>
      <c r="B6605" s="1" t="n">
        <v>44908</v>
      </c>
      <c r="C6605" s="1" t="n">
        <v>46086</v>
      </c>
      <c r="D6605" t="inlineStr">
        <is>
          <t>GÄVLEBORGS LÄN</t>
        </is>
      </c>
      <c r="E6605" t="inlineStr">
        <is>
          <t>HUDIKSVALL</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55913-2025</t>
        </is>
      </c>
      <c r="B6606" s="1" t="n">
        <v>45973.4030787037</v>
      </c>
      <c r="C6606" s="1" t="n">
        <v>46086</v>
      </c>
      <c r="D6606" t="inlineStr">
        <is>
          <t>GÄVLEBORGS LÄN</t>
        </is>
      </c>
      <c r="E6606" t="inlineStr">
        <is>
          <t>OCKELBO</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56119-2025</t>
        </is>
      </c>
      <c r="B6607" s="1" t="n">
        <v>45973</v>
      </c>
      <c r="C6607" s="1" t="n">
        <v>46086</v>
      </c>
      <c r="D6607" t="inlineStr">
        <is>
          <t>GÄVLEBORGS LÄN</t>
        </is>
      </c>
      <c r="E6607" t="inlineStr">
        <is>
          <t>GÄVLE</t>
        </is>
      </c>
      <c r="F6607" t="inlineStr">
        <is>
          <t>Bergvik skog väst AB</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56123-2025</t>
        </is>
      </c>
      <c r="B6608" s="1" t="n">
        <v>45973</v>
      </c>
      <c r="C6608" s="1" t="n">
        <v>46086</v>
      </c>
      <c r="D6608" t="inlineStr">
        <is>
          <t>GÄVLEBORGS LÄN</t>
        </is>
      </c>
      <c r="E6608" t="inlineStr">
        <is>
          <t>GÄVLE</t>
        </is>
      </c>
      <c r="F6608" t="inlineStr">
        <is>
          <t>Bergvik skog väst AB</t>
        </is>
      </c>
      <c r="G6608" t="n">
        <v>10.5</v>
      </c>
      <c r="H6608" t="n">
        <v>0</v>
      </c>
      <c r="I6608" t="n">
        <v>0</v>
      </c>
      <c r="J6608" t="n">
        <v>0</v>
      </c>
      <c r="K6608" t="n">
        <v>0</v>
      </c>
      <c r="L6608" t="n">
        <v>0</v>
      </c>
      <c r="M6608" t="n">
        <v>0</v>
      </c>
      <c r="N6608" t="n">
        <v>0</v>
      </c>
      <c r="O6608" t="n">
        <v>0</v>
      </c>
      <c r="P6608" t="n">
        <v>0</v>
      </c>
      <c r="Q6608" t="n">
        <v>0</v>
      </c>
      <c r="R6608" s="2" t="inlineStr"/>
    </row>
    <row r="6609" ht="15" customHeight="1">
      <c r="A6609" t="inlineStr">
        <is>
          <t>A 2247-2023</t>
        </is>
      </c>
      <c r="B6609" s="1" t="n">
        <v>44942.47491898148</v>
      </c>
      <c r="C6609" s="1" t="n">
        <v>46086</v>
      </c>
      <c r="D6609" t="inlineStr">
        <is>
          <t>GÄVLEBORGS LÄN</t>
        </is>
      </c>
      <c r="E6609" t="inlineStr">
        <is>
          <t>GÄVLE</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19490-2025</t>
        </is>
      </c>
      <c r="B6610" s="1" t="n">
        <v>45770.38850694444</v>
      </c>
      <c r="C6610" s="1" t="n">
        <v>46086</v>
      </c>
      <c r="D6610" t="inlineStr">
        <is>
          <t>GÄVLEBORGS LÄN</t>
        </is>
      </c>
      <c r="E6610" t="inlineStr">
        <is>
          <t>LJUSDAL</t>
        </is>
      </c>
      <c r="G6610" t="n">
        <v>4.3</v>
      </c>
      <c r="H6610" t="n">
        <v>0</v>
      </c>
      <c r="I6610" t="n">
        <v>0</v>
      </c>
      <c r="J6610" t="n">
        <v>0</v>
      </c>
      <c r="K6610" t="n">
        <v>0</v>
      </c>
      <c r="L6610" t="n">
        <v>0</v>
      </c>
      <c r="M6610" t="n">
        <v>0</v>
      </c>
      <c r="N6610" t="n">
        <v>0</v>
      </c>
      <c r="O6610" t="n">
        <v>0</v>
      </c>
      <c r="P6610" t="n">
        <v>0</v>
      </c>
      <c r="Q6610" t="n">
        <v>0</v>
      </c>
      <c r="R6610" s="2" t="inlineStr"/>
    </row>
    <row r="6611" ht="15" customHeight="1">
      <c r="A6611" t="inlineStr">
        <is>
          <t>A 11006-2025</t>
        </is>
      </c>
      <c r="B6611" s="1" t="n">
        <v>45723.44689814815</v>
      </c>
      <c r="C6611" s="1" t="n">
        <v>46086</v>
      </c>
      <c r="D6611" t="inlineStr">
        <is>
          <t>GÄVLEBORGS LÄN</t>
        </is>
      </c>
      <c r="E6611" t="inlineStr">
        <is>
          <t>BOLLNÄS</t>
        </is>
      </c>
      <c r="F6611" t="inlineStr">
        <is>
          <t>Kyrkan</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56587-2025</t>
        </is>
      </c>
      <c r="B6612" s="1" t="n">
        <v>45975</v>
      </c>
      <c r="C6612" s="1" t="n">
        <v>46086</v>
      </c>
      <c r="D6612" t="inlineStr">
        <is>
          <t>GÄVLEBORGS LÄN</t>
        </is>
      </c>
      <c r="E6612" t="inlineStr">
        <is>
          <t>SANDVIKEN</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56328-2025</t>
        </is>
      </c>
      <c r="B6613" s="1" t="n">
        <v>45974.6381712963</v>
      </c>
      <c r="C6613" s="1" t="n">
        <v>46086</v>
      </c>
      <c r="D6613" t="inlineStr">
        <is>
          <t>GÄVLEBORGS LÄN</t>
        </is>
      </c>
      <c r="E6613" t="inlineStr">
        <is>
          <t>BOLLNÄS</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56348-2025</t>
        </is>
      </c>
      <c r="B6614" s="1" t="n">
        <v>45974.65085648148</v>
      </c>
      <c r="C6614" s="1" t="n">
        <v>46086</v>
      </c>
      <c r="D6614" t="inlineStr">
        <is>
          <t>GÄVLEBORGS LÄN</t>
        </is>
      </c>
      <c r="E6614" t="inlineStr">
        <is>
          <t>LJUSDAL</t>
        </is>
      </c>
      <c r="G6614" t="n">
        <v>8.6</v>
      </c>
      <c r="H6614" t="n">
        <v>0</v>
      </c>
      <c r="I6614" t="n">
        <v>0</v>
      </c>
      <c r="J6614" t="n">
        <v>0</v>
      </c>
      <c r="K6614" t="n">
        <v>0</v>
      </c>
      <c r="L6614" t="n">
        <v>0</v>
      </c>
      <c r="M6614" t="n">
        <v>0</v>
      </c>
      <c r="N6614" t="n">
        <v>0</v>
      </c>
      <c r="O6614" t="n">
        <v>0</v>
      </c>
      <c r="P6614" t="n">
        <v>0</v>
      </c>
      <c r="Q6614" t="n">
        <v>0</v>
      </c>
      <c r="R6614" s="2" t="inlineStr"/>
    </row>
    <row r="6615" ht="15" customHeight="1">
      <c r="A6615" t="inlineStr">
        <is>
          <t>A 13582-2021</t>
        </is>
      </c>
      <c r="B6615" s="1" t="n">
        <v>44274.30858796297</v>
      </c>
      <c r="C6615" s="1" t="n">
        <v>46086</v>
      </c>
      <c r="D6615" t="inlineStr">
        <is>
          <t>GÄVLEBORGS LÄN</t>
        </is>
      </c>
      <c r="E6615" t="inlineStr">
        <is>
          <t>SÖDERHAMN</t>
        </is>
      </c>
      <c r="F6615" t="inlineStr">
        <is>
          <t>Bergvik skog väst AB</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41034-2021</t>
        </is>
      </c>
      <c r="B6616" s="1" t="n">
        <v>44421</v>
      </c>
      <c r="C6616" s="1" t="n">
        <v>46086</v>
      </c>
      <c r="D6616" t="inlineStr">
        <is>
          <t>GÄVLEBORGS LÄN</t>
        </is>
      </c>
      <c r="E6616" t="inlineStr">
        <is>
          <t>HUDIKSVALL</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6331-2025</t>
        </is>
      </c>
      <c r="B6617" s="1" t="n">
        <v>45698.88701388889</v>
      </c>
      <c r="C6617" s="1" t="n">
        <v>46086</v>
      </c>
      <c r="D6617" t="inlineStr">
        <is>
          <t>GÄVLEBORGS LÄN</t>
        </is>
      </c>
      <c r="E6617" t="inlineStr">
        <is>
          <t>HUDIKSVALL</t>
        </is>
      </c>
      <c r="F6617" t="inlineStr">
        <is>
          <t>Holmen skog AB</t>
        </is>
      </c>
      <c r="G6617" t="n">
        <v>21.6</v>
      </c>
      <c r="H6617" t="n">
        <v>0</v>
      </c>
      <c r="I6617" t="n">
        <v>0</v>
      </c>
      <c r="J6617" t="n">
        <v>0</v>
      </c>
      <c r="K6617" t="n">
        <v>0</v>
      </c>
      <c r="L6617" t="n">
        <v>0</v>
      </c>
      <c r="M6617" t="n">
        <v>0</v>
      </c>
      <c r="N6617" t="n">
        <v>0</v>
      </c>
      <c r="O6617" t="n">
        <v>0</v>
      </c>
      <c r="P6617" t="n">
        <v>0</v>
      </c>
      <c r="Q6617" t="n">
        <v>0</v>
      </c>
      <c r="R6617" s="2" t="inlineStr"/>
    </row>
    <row r="6618" ht="15" customHeight="1">
      <c r="A6618" t="inlineStr">
        <is>
          <t>A 6339-2025</t>
        </is>
      </c>
      <c r="B6618" s="1" t="n">
        <v>45699</v>
      </c>
      <c r="C6618" s="1" t="n">
        <v>46086</v>
      </c>
      <c r="D6618" t="inlineStr">
        <is>
          <t>GÄVLEBORGS LÄN</t>
        </is>
      </c>
      <c r="E6618" t="inlineStr">
        <is>
          <t>LJUSDAL</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56395-2025</t>
        </is>
      </c>
      <c r="B6619" s="1" t="n">
        <v>45974.75262731482</v>
      </c>
      <c r="C6619" s="1" t="n">
        <v>46086</v>
      </c>
      <c r="D6619" t="inlineStr">
        <is>
          <t>GÄVLEBORGS LÄN</t>
        </is>
      </c>
      <c r="E6619" t="inlineStr">
        <is>
          <t>LJUSDAL</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56397-2025</t>
        </is>
      </c>
      <c r="B6620" s="1" t="n">
        <v>45974.77915509259</v>
      </c>
      <c r="C6620" s="1" t="n">
        <v>46086</v>
      </c>
      <c r="D6620" t="inlineStr">
        <is>
          <t>GÄVLEBORGS LÄN</t>
        </is>
      </c>
      <c r="E6620" t="inlineStr">
        <is>
          <t>LJUSDAL</t>
        </is>
      </c>
      <c r="G6620" t="n">
        <v>3.8</v>
      </c>
      <c r="H6620" t="n">
        <v>0</v>
      </c>
      <c r="I6620" t="n">
        <v>0</v>
      </c>
      <c r="J6620" t="n">
        <v>0</v>
      </c>
      <c r="K6620" t="n">
        <v>0</v>
      </c>
      <c r="L6620" t="n">
        <v>0</v>
      </c>
      <c r="M6620" t="n">
        <v>0</v>
      </c>
      <c r="N6620" t="n">
        <v>0</v>
      </c>
      <c r="O6620" t="n">
        <v>0</v>
      </c>
      <c r="P6620" t="n">
        <v>0</v>
      </c>
      <c r="Q6620" t="n">
        <v>0</v>
      </c>
      <c r="R6620" s="2" t="inlineStr"/>
    </row>
    <row r="6621" ht="15" customHeight="1">
      <c r="A6621" t="inlineStr">
        <is>
          <t>A 56271-2025</t>
        </is>
      </c>
      <c r="B6621" s="1" t="n">
        <v>45974.58554398148</v>
      </c>
      <c r="C6621" s="1" t="n">
        <v>46086</v>
      </c>
      <c r="D6621" t="inlineStr">
        <is>
          <t>GÄVLEBORGS LÄN</t>
        </is>
      </c>
      <c r="E6621" t="inlineStr">
        <is>
          <t>GÄVLE</t>
        </is>
      </c>
      <c r="F6621" t="inlineStr">
        <is>
          <t>Bergvik skog öst AB</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56277-2025</t>
        </is>
      </c>
      <c r="B6622" s="1" t="n">
        <v>45974.58813657407</v>
      </c>
      <c r="C6622" s="1" t="n">
        <v>46086</v>
      </c>
      <c r="D6622" t="inlineStr">
        <is>
          <t>GÄVLEBORGS LÄN</t>
        </is>
      </c>
      <c r="E6622" t="inlineStr">
        <is>
          <t>GÄVLE</t>
        </is>
      </c>
      <c r="F6622" t="inlineStr">
        <is>
          <t>Bergvik skog öst AB</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14002-2025</t>
        </is>
      </c>
      <c r="B6623" s="1" t="n">
        <v>45740.28945601852</v>
      </c>
      <c r="C6623" s="1" t="n">
        <v>46086</v>
      </c>
      <c r="D6623" t="inlineStr">
        <is>
          <t>GÄVLEBORGS LÄN</t>
        </is>
      </c>
      <c r="E6623" t="inlineStr">
        <is>
          <t>LJUSDAL</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6742-2024</t>
        </is>
      </c>
      <c r="B6624" s="1" t="n">
        <v>45342.40693287037</v>
      </c>
      <c r="C6624" s="1" t="n">
        <v>46086</v>
      </c>
      <c r="D6624" t="inlineStr">
        <is>
          <t>GÄVLEBORGS LÄN</t>
        </is>
      </c>
      <c r="E6624" t="inlineStr">
        <is>
          <t>OCKELBO</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56188-2025</t>
        </is>
      </c>
      <c r="B6625" s="1" t="n">
        <v>45974.42587962963</v>
      </c>
      <c r="C6625" s="1" t="n">
        <v>46086</v>
      </c>
      <c r="D6625" t="inlineStr">
        <is>
          <t>GÄVLEBORGS LÄN</t>
        </is>
      </c>
      <c r="E6625" t="inlineStr">
        <is>
          <t>BOLLNÄS</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47108-2024</t>
        </is>
      </c>
      <c r="B6626" s="1" t="n">
        <v>45586.55236111111</v>
      </c>
      <c r="C6626" s="1" t="n">
        <v>46086</v>
      </c>
      <c r="D6626" t="inlineStr">
        <is>
          <t>GÄVLEBORGS LÄN</t>
        </is>
      </c>
      <c r="E6626" t="inlineStr">
        <is>
          <t>GÄVLE</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56608-2025</t>
        </is>
      </c>
      <c r="B6627" s="1" t="n">
        <v>45975.58508101852</v>
      </c>
      <c r="C6627" s="1" t="n">
        <v>46086</v>
      </c>
      <c r="D6627" t="inlineStr">
        <is>
          <t>GÄVLEBORGS LÄN</t>
        </is>
      </c>
      <c r="E6627" t="inlineStr">
        <is>
          <t>SÖDERHAMN</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42513-2022</t>
        </is>
      </c>
      <c r="B6628" s="1" t="n">
        <v>44831.59701388889</v>
      </c>
      <c r="C6628" s="1" t="n">
        <v>46086</v>
      </c>
      <c r="D6628" t="inlineStr">
        <is>
          <t>GÄVLEBORGS LÄN</t>
        </is>
      </c>
      <c r="E6628" t="inlineStr">
        <is>
          <t>BOLLNÄS</t>
        </is>
      </c>
      <c r="G6628" t="n">
        <v>6.3</v>
      </c>
      <c r="H6628" t="n">
        <v>0</v>
      </c>
      <c r="I6628" t="n">
        <v>0</v>
      </c>
      <c r="J6628" t="n">
        <v>0</v>
      </c>
      <c r="K6628" t="n">
        <v>0</v>
      </c>
      <c r="L6628" t="n">
        <v>0</v>
      </c>
      <c r="M6628" t="n">
        <v>0</v>
      </c>
      <c r="N6628" t="n">
        <v>0</v>
      </c>
      <c r="O6628" t="n">
        <v>0</v>
      </c>
      <c r="P6628" t="n">
        <v>0</v>
      </c>
      <c r="Q6628" t="n">
        <v>0</v>
      </c>
      <c r="R6628" s="2" t="inlineStr"/>
    </row>
    <row r="6629" ht="15" customHeight="1">
      <c r="A6629" t="inlineStr">
        <is>
          <t>A 2873-2025</t>
        </is>
      </c>
      <c r="B6629" s="1" t="n">
        <v>45677.68695601852</v>
      </c>
      <c r="C6629" s="1" t="n">
        <v>46086</v>
      </c>
      <c r="D6629" t="inlineStr">
        <is>
          <t>GÄVLEBORGS LÄN</t>
        </is>
      </c>
      <c r="E6629" t="inlineStr">
        <is>
          <t>SÖDERHAMN</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4091-2025</t>
        </is>
      </c>
      <c r="B6630" s="1" t="n">
        <v>45684.67659722222</v>
      </c>
      <c r="C6630" s="1" t="n">
        <v>46086</v>
      </c>
      <c r="D6630" t="inlineStr">
        <is>
          <t>GÄVLEBORGS LÄN</t>
        </is>
      </c>
      <c r="E6630" t="inlineStr">
        <is>
          <t>GÄVLE</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56429-2025</t>
        </is>
      </c>
      <c r="B6631" s="1" t="n">
        <v>45975.34590277778</v>
      </c>
      <c r="C6631" s="1" t="n">
        <v>46086</v>
      </c>
      <c r="D6631" t="inlineStr">
        <is>
          <t>GÄVLEBORGS LÄN</t>
        </is>
      </c>
      <c r="E6631" t="inlineStr">
        <is>
          <t>LJUSDAL</t>
        </is>
      </c>
      <c r="F6631" t="inlineStr">
        <is>
          <t>Bergvik skog väst AB</t>
        </is>
      </c>
      <c r="G6631" t="n">
        <v>6.6</v>
      </c>
      <c r="H6631" t="n">
        <v>0</v>
      </c>
      <c r="I6631" t="n">
        <v>0</v>
      </c>
      <c r="J6631" t="n">
        <v>0</v>
      </c>
      <c r="K6631" t="n">
        <v>0</v>
      </c>
      <c r="L6631" t="n">
        <v>0</v>
      </c>
      <c r="M6631" t="n">
        <v>0</v>
      </c>
      <c r="N6631" t="n">
        <v>0</v>
      </c>
      <c r="O6631" t="n">
        <v>0</v>
      </c>
      <c r="P6631" t="n">
        <v>0</v>
      </c>
      <c r="Q6631" t="n">
        <v>0</v>
      </c>
      <c r="R6631" s="2" t="inlineStr"/>
    </row>
    <row r="6632" ht="15" customHeight="1">
      <c r="A6632" t="inlineStr">
        <is>
          <t>A 56454-2025</t>
        </is>
      </c>
      <c r="B6632" s="1" t="n">
        <v>45975.35673611111</v>
      </c>
      <c r="C6632" s="1" t="n">
        <v>46086</v>
      </c>
      <c r="D6632" t="inlineStr">
        <is>
          <t>GÄVLEBORGS LÄN</t>
        </is>
      </c>
      <c r="E6632" t="inlineStr">
        <is>
          <t>OCKELBO</t>
        </is>
      </c>
      <c r="G6632" t="n">
        <v>7.7</v>
      </c>
      <c r="H6632" t="n">
        <v>0</v>
      </c>
      <c r="I6632" t="n">
        <v>0</v>
      </c>
      <c r="J6632" t="n">
        <v>0</v>
      </c>
      <c r="K6632" t="n">
        <v>0</v>
      </c>
      <c r="L6632" t="n">
        <v>0</v>
      </c>
      <c r="M6632" t="n">
        <v>0</v>
      </c>
      <c r="N6632" t="n">
        <v>0</v>
      </c>
      <c r="O6632" t="n">
        <v>0</v>
      </c>
      <c r="P6632" t="n">
        <v>0</v>
      </c>
      <c r="Q6632" t="n">
        <v>0</v>
      </c>
      <c r="R6632" s="2" t="inlineStr"/>
    </row>
    <row r="6633" ht="15" customHeight="1">
      <c r="A6633" t="inlineStr">
        <is>
          <t>A 56463-2025</t>
        </is>
      </c>
      <c r="B6633" s="1" t="n">
        <v>45975.37078703703</v>
      </c>
      <c r="C6633" s="1" t="n">
        <v>46086</v>
      </c>
      <c r="D6633" t="inlineStr">
        <is>
          <t>GÄVLEBORGS LÄN</t>
        </is>
      </c>
      <c r="E6633" t="inlineStr">
        <is>
          <t>LJUSDAL</t>
        </is>
      </c>
      <c r="F6633" t="inlineStr">
        <is>
          <t>Bergvik skog väst AB</t>
        </is>
      </c>
      <c r="G6633" t="n">
        <v>18.4</v>
      </c>
      <c r="H6633" t="n">
        <v>0</v>
      </c>
      <c r="I6633" t="n">
        <v>0</v>
      </c>
      <c r="J6633" t="n">
        <v>0</v>
      </c>
      <c r="K6633" t="n">
        <v>0</v>
      </c>
      <c r="L6633" t="n">
        <v>0</v>
      </c>
      <c r="M6633" t="n">
        <v>0</v>
      </c>
      <c r="N6633" t="n">
        <v>0</v>
      </c>
      <c r="O6633" t="n">
        <v>0</v>
      </c>
      <c r="P6633" t="n">
        <v>0</v>
      </c>
      <c r="Q6633" t="n">
        <v>0</v>
      </c>
      <c r="R6633" s="2" t="inlineStr"/>
    </row>
    <row r="6634" ht="15" customHeight="1">
      <c r="A6634" t="inlineStr">
        <is>
          <t>A 56766-2022</t>
        </is>
      </c>
      <c r="B6634" s="1" t="n">
        <v>44894</v>
      </c>
      <c r="C6634" s="1" t="n">
        <v>46086</v>
      </c>
      <c r="D6634" t="inlineStr">
        <is>
          <t>GÄVLEBORGS LÄN</t>
        </is>
      </c>
      <c r="E6634" t="inlineStr">
        <is>
          <t>LJUSDAL</t>
        </is>
      </c>
      <c r="F6634" t="inlineStr">
        <is>
          <t>Holmen skog AB</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56474-2025</t>
        </is>
      </c>
      <c r="B6635" s="1" t="n">
        <v>45975.38306712963</v>
      </c>
      <c r="C6635" s="1" t="n">
        <v>46086</v>
      </c>
      <c r="D6635" t="inlineStr">
        <is>
          <t>GÄVLEBORGS LÄN</t>
        </is>
      </c>
      <c r="E6635" t="inlineStr">
        <is>
          <t>LJUSDAL</t>
        </is>
      </c>
      <c r="F6635" t="inlineStr">
        <is>
          <t>Bergvik skog väst AB</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56481-2025</t>
        </is>
      </c>
      <c r="B6636" s="1" t="n">
        <v>45975.39924768519</v>
      </c>
      <c r="C6636" s="1" t="n">
        <v>46086</v>
      </c>
      <c r="D6636" t="inlineStr">
        <is>
          <t>GÄVLEBORGS LÄN</t>
        </is>
      </c>
      <c r="E6636" t="inlineStr">
        <is>
          <t>BOLLNÄS</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56488-2025</t>
        </is>
      </c>
      <c r="B6637" s="1" t="n">
        <v>45975.41121527777</v>
      </c>
      <c r="C6637" s="1" t="n">
        <v>46086</v>
      </c>
      <c r="D6637" t="inlineStr">
        <is>
          <t>GÄVLEBORGS LÄN</t>
        </is>
      </c>
      <c r="E6637" t="inlineStr">
        <is>
          <t>OVANÅKER</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56637-2025</t>
        </is>
      </c>
      <c r="B6638" s="1" t="n">
        <v>45975.61675925926</v>
      </c>
      <c r="C6638" s="1" t="n">
        <v>46086</v>
      </c>
      <c r="D6638" t="inlineStr">
        <is>
          <t>GÄVLEBORGS LÄN</t>
        </is>
      </c>
      <c r="E6638" t="inlineStr">
        <is>
          <t>HUDIKSVALL</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56189-2025</t>
        </is>
      </c>
      <c r="B6639" s="1" t="n">
        <v>45974.43295138889</v>
      </c>
      <c r="C6639" s="1" t="n">
        <v>46086</v>
      </c>
      <c r="D6639" t="inlineStr">
        <is>
          <t>GÄVLEBORGS LÄN</t>
        </is>
      </c>
      <c r="E6639" t="inlineStr">
        <is>
          <t>NORDANSTIG</t>
        </is>
      </c>
      <c r="G6639" t="n">
        <v>5.3</v>
      </c>
      <c r="H6639" t="n">
        <v>0</v>
      </c>
      <c r="I6639" t="n">
        <v>0</v>
      </c>
      <c r="J6639" t="n">
        <v>0</v>
      </c>
      <c r="K6639" t="n">
        <v>0</v>
      </c>
      <c r="L6639" t="n">
        <v>0</v>
      </c>
      <c r="M6639" t="n">
        <v>0</v>
      </c>
      <c r="N6639" t="n">
        <v>0</v>
      </c>
      <c r="O6639" t="n">
        <v>0</v>
      </c>
      <c r="P6639" t="n">
        <v>0</v>
      </c>
      <c r="Q6639" t="n">
        <v>0</v>
      </c>
      <c r="R6639" s="2" t="inlineStr"/>
    </row>
    <row r="6640" ht="15" customHeight="1">
      <c r="A6640" t="inlineStr">
        <is>
          <t>A 56256-2025</t>
        </is>
      </c>
      <c r="B6640" s="1" t="n">
        <v>45974.56379629629</v>
      </c>
      <c r="C6640" s="1" t="n">
        <v>46086</v>
      </c>
      <c r="D6640" t="inlineStr">
        <is>
          <t>GÄVLEBORGS LÄN</t>
        </is>
      </c>
      <c r="E6640" t="inlineStr">
        <is>
          <t>HUDIKSVALL</t>
        </is>
      </c>
      <c r="F6640" t="inlineStr">
        <is>
          <t>Holmen skog AB</t>
        </is>
      </c>
      <c r="G6640" t="n">
        <v>8.6</v>
      </c>
      <c r="H6640" t="n">
        <v>0</v>
      </c>
      <c r="I6640" t="n">
        <v>0</v>
      </c>
      <c r="J6640" t="n">
        <v>0</v>
      </c>
      <c r="K6640" t="n">
        <v>0</v>
      </c>
      <c r="L6640" t="n">
        <v>0</v>
      </c>
      <c r="M6640" t="n">
        <v>0</v>
      </c>
      <c r="N6640" t="n">
        <v>0</v>
      </c>
      <c r="O6640" t="n">
        <v>0</v>
      </c>
      <c r="P6640" t="n">
        <v>0</v>
      </c>
      <c r="Q6640" t="n">
        <v>0</v>
      </c>
      <c r="R6640" s="2" t="inlineStr"/>
    </row>
    <row r="6641" ht="15" customHeight="1">
      <c r="A6641" t="inlineStr">
        <is>
          <t>A 56250-2025</t>
        </is>
      </c>
      <c r="B6641" s="1" t="n">
        <v>45974.56021990741</v>
      </c>
      <c r="C6641" s="1" t="n">
        <v>46086</v>
      </c>
      <c r="D6641" t="inlineStr">
        <is>
          <t>GÄVLEBORGS LÄN</t>
        </is>
      </c>
      <c r="E6641" t="inlineStr">
        <is>
          <t>HUDIKSVALL</t>
        </is>
      </c>
      <c r="F6641" t="inlineStr">
        <is>
          <t>Holmen skog AB</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56267-2025</t>
        </is>
      </c>
      <c r="B6642" s="1" t="n">
        <v>45974.58145833333</v>
      </c>
      <c r="C6642" s="1" t="n">
        <v>46086</v>
      </c>
      <c r="D6642" t="inlineStr">
        <is>
          <t>GÄVLEBORGS LÄN</t>
        </is>
      </c>
      <c r="E6642" t="inlineStr">
        <is>
          <t>GÄVLE</t>
        </is>
      </c>
      <c r="F6642" t="inlineStr">
        <is>
          <t>Bergvik skog öst AB</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56272-2025</t>
        </is>
      </c>
      <c r="B6643" s="1" t="n">
        <v>45974.58606481482</v>
      </c>
      <c r="C6643" s="1" t="n">
        <v>46086</v>
      </c>
      <c r="D6643" t="inlineStr">
        <is>
          <t>GÄVLEBORGS LÄN</t>
        </is>
      </c>
      <c r="E6643" t="inlineStr">
        <is>
          <t>GÄVLE</t>
        </is>
      </c>
      <c r="F6643" t="inlineStr">
        <is>
          <t>Bergvik skog öst AB</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56273-2025</t>
        </is>
      </c>
      <c r="B6644" s="1" t="n">
        <v>45974.58680555555</v>
      </c>
      <c r="C6644" s="1" t="n">
        <v>46086</v>
      </c>
      <c r="D6644" t="inlineStr">
        <is>
          <t>GÄVLEBORGS LÄN</t>
        </is>
      </c>
      <c r="E6644" t="inlineStr">
        <is>
          <t>GÄVLE</t>
        </is>
      </c>
      <c r="F6644" t="inlineStr">
        <is>
          <t>Bergvik skog öst AB</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56276-2025</t>
        </is>
      </c>
      <c r="B6645" s="1" t="n">
        <v>45974.58774305556</v>
      </c>
      <c r="C6645" s="1" t="n">
        <v>46086</v>
      </c>
      <c r="D6645" t="inlineStr">
        <is>
          <t>GÄVLEBORGS LÄN</t>
        </is>
      </c>
      <c r="E6645" t="inlineStr">
        <is>
          <t>LJUSDAL</t>
        </is>
      </c>
      <c r="G6645" t="n">
        <v>3.5</v>
      </c>
      <c r="H6645" t="n">
        <v>0</v>
      </c>
      <c r="I6645" t="n">
        <v>0</v>
      </c>
      <c r="J6645" t="n">
        <v>0</v>
      </c>
      <c r="K6645" t="n">
        <v>0</v>
      </c>
      <c r="L6645" t="n">
        <v>0</v>
      </c>
      <c r="M6645" t="n">
        <v>0</v>
      </c>
      <c r="N6645" t="n">
        <v>0</v>
      </c>
      <c r="O6645" t="n">
        <v>0</v>
      </c>
      <c r="P6645" t="n">
        <v>0</v>
      </c>
      <c r="Q6645" t="n">
        <v>0</v>
      </c>
      <c r="R6645" s="2" t="inlineStr"/>
    </row>
    <row r="6646" ht="15" customHeight="1">
      <c r="A6646" t="inlineStr">
        <is>
          <t>A 21300-2024</t>
        </is>
      </c>
      <c r="B6646" s="1" t="n">
        <v>45440.67074074074</v>
      </c>
      <c r="C6646" s="1" t="n">
        <v>46086</v>
      </c>
      <c r="D6646" t="inlineStr">
        <is>
          <t>GÄVLEBORGS LÄN</t>
        </is>
      </c>
      <c r="E6646" t="inlineStr">
        <is>
          <t>GÄVLE</t>
        </is>
      </c>
      <c r="G6646" t="n">
        <v>8.6</v>
      </c>
      <c r="H6646" t="n">
        <v>0</v>
      </c>
      <c r="I6646" t="n">
        <v>0</v>
      </c>
      <c r="J6646" t="n">
        <v>0</v>
      </c>
      <c r="K6646" t="n">
        <v>0</v>
      </c>
      <c r="L6646" t="n">
        <v>0</v>
      </c>
      <c r="M6646" t="n">
        <v>0</v>
      </c>
      <c r="N6646" t="n">
        <v>0</v>
      </c>
      <c r="O6646" t="n">
        <v>0</v>
      </c>
      <c r="P6646" t="n">
        <v>0</v>
      </c>
      <c r="Q6646" t="n">
        <v>0</v>
      </c>
      <c r="R6646" s="2" t="inlineStr"/>
    </row>
    <row r="6647" ht="15" customHeight="1">
      <c r="A6647" t="inlineStr">
        <is>
          <t>A 58182-2023</t>
        </is>
      </c>
      <c r="B6647" s="1" t="n">
        <v>45245</v>
      </c>
      <c r="C6647" s="1" t="n">
        <v>46086</v>
      </c>
      <c r="D6647" t="inlineStr">
        <is>
          <t>GÄVLEBORGS LÄN</t>
        </is>
      </c>
      <c r="E6647" t="inlineStr">
        <is>
          <t>SANDVIKEN</t>
        </is>
      </c>
      <c r="G6647" t="n">
        <v>8.1</v>
      </c>
      <c r="H6647" t="n">
        <v>0</v>
      </c>
      <c r="I6647" t="n">
        <v>0</v>
      </c>
      <c r="J6647" t="n">
        <v>0</v>
      </c>
      <c r="K6647" t="n">
        <v>0</v>
      </c>
      <c r="L6647" t="n">
        <v>0</v>
      </c>
      <c r="M6647" t="n">
        <v>0</v>
      </c>
      <c r="N6647" t="n">
        <v>0</v>
      </c>
      <c r="O6647" t="n">
        <v>0</v>
      </c>
      <c r="P6647" t="n">
        <v>0</v>
      </c>
      <c r="Q6647" t="n">
        <v>0</v>
      </c>
      <c r="R6647" s="2" t="inlineStr"/>
    </row>
    <row r="6648" ht="15" customHeight="1">
      <c r="A6648" t="inlineStr">
        <is>
          <t>A 56275-2025</t>
        </is>
      </c>
      <c r="B6648" s="1" t="n">
        <v>45974.58744212963</v>
      </c>
      <c r="C6648" s="1" t="n">
        <v>46086</v>
      </c>
      <c r="D6648" t="inlineStr">
        <is>
          <t>GÄVLEBORGS LÄN</t>
        </is>
      </c>
      <c r="E6648" t="inlineStr">
        <is>
          <t>GÄVLE</t>
        </is>
      </c>
      <c r="F6648" t="inlineStr">
        <is>
          <t>Bergvik skog öst AB</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56663-2025</t>
        </is>
      </c>
      <c r="B6649" s="1" t="n">
        <v>45975.65731481482</v>
      </c>
      <c r="C6649" s="1" t="n">
        <v>46086</v>
      </c>
      <c r="D6649" t="inlineStr">
        <is>
          <t>GÄVLEBORGS LÄN</t>
        </is>
      </c>
      <c r="E6649" t="inlineStr">
        <is>
          <t>HUDIKSVALL</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56357-2025</t>
        </is>
      </c>
      <c r="B6650" s="1" t="n">
        <v>45974.66179398148</v>
      </c>
      <c r="C6650" s="1" t="n">
        <v>46086</v>
      </c>
      <c r="D6650" t="inlineStr">
        <is>
          <t>GÄVLEBORGS LÄN</t>
        </is>
      </c>
      <c r="E6650" t="inlineStr">
        <is>
          <t>NORDANSTIG</t>
        </is>
      </c>
      <c r="F6650" t="inlineStr">
        <is>
          <t>Holmen skog AB</t>
        </is>
      </c>
      <c r="G6650" t="n">
        <v>4.9</v>
      </c>
      <c r="H6650" t="n">
        <v>0</v>
      </c>
      <c r="I6650" t="n">
        <v>0</v>
      </c>
      <c r="J6650" t="n">
        <v>0</v>
      </c>
      <c r="K6650" t="n">
        <v>0</v>
      </c>
      <c r="L6650" t="n">
        <v>0</v>
      </c>
      <c r="M6650" t="n">
        <v>0</v>
      </c>
      <c r="N6650" t="n">
        <v>0</v>
      </c>
      <c r="O6650" t="n">
        <v>0</v>
      </c>
      <c r="P6650" t="n">
        <v>0</v>
      </c>
      <c r="Q6650" t="n">
        <v>0</v>
      </c>
      <c r="R6650" s="2" t="inlineStr"/>
    </row>
    <row r="6651" ht="15" customHeight="1">
      <c r="A6651" t="inlineStr">
        <is>
          <t>A 22641-2024</t>
        </is>
      </c>
      <c r="B6651" s="1" t="n">
        <v>45447</v>
      </c>
      <c r="C6651" s="1" t="n">
        <v>46086</v>
      </c>
      <c r="D6651" t="inlineStr">
        <is>
          <t>GÄVLEBORGS LÄN</t>
        </is>
      </c>
      <c r="E6651" t="inlineStr">
        <is>
          <t>HUDIKSVALL</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1809-2023</t>
        </is>
      </c>
      <c r="B6652" s="1" t="n">
        <v>44938.64925925926</v>
      </c>
      <c r="C6652" s="1" t="n">
        <v>46086</v>
      </c>
      <c r="D6652" t="inlineStr">
        <is>
          <t>GÄVLEBORGS LÄN</t>
        </is>
      </c>
      <c r="E6652" t="inlineStr">
        <is>
          <t>HUDIKSVALL</t>
        </is>
      </c>
      <c r="F6652" t="inlineStr">
        <is>
          <t>Holmen skog AB</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59912-2024</t>
        </is>
      </c>
      <c r="B6653" s="1" t="n">
        <v>45641</v>
      </c>
      <c r="C6653" s="1" t="n">
        <v>46086</v>
      </c>
      <c r="D6653" t="inlineStr">
        <is>
          <t>GÄVLEBORGS LÄN</t>
        </is>
      </c>
      <c r="E6653" t="inlineStr">
        <is>
          <t>NORDANSTIG</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59930-2024</t>
        </is>
      </c>
      <c r="B6654" s="1" t="n">
        <v>45642</v>
      </c>
      <c r="C6654" s="1" t="n">
        <v>46086</v>
      </c>
      <c r="D6654" t="inlineStr">
        <is>
          <t>GÄVLEBORGS LÄN</t>
        </is>
      </c>
      <c r="E6654" t="inlineStr">
        <is>
          <t>NORDANSTIG</t>
        </is>
      </c>
      <c r="G6654" t="n">
        <v>0.1</v>
      </c>
      <c r="H6654" t="n">
        <v>0</v>
      </c>
      <c r="I6654" t="n">
        <v>0</v>
      </c>
      <c r="J6654" t="n">
        <v>0</v>
      </c>
      <c r="K6654" t="n">
        <v>0</v>
      </c>
      <c r="L6654" t="n">
        <v>0</v>
      </c>
      <c r="M6654" t="n">
        <v>0</v>
      </c>
      <c r="N6654" t="n">
        <v>0</v>
      </c>
      <c r="O6654" t="n">
        <v>0</v>
      </c>
      <c r="P6654" t="n">
        <v>0</v>
      </c>
      <c r="Q6654" t="n">
        <v>0</v>
      </c>
      <c r="R6654" s="2" t="inlineStr"/>
    </row>
    <row r="6655" ht="15" customHeight="1">
      <c r="A6655" t="inlineStr">
        <is>
          <t>A 56596-2025</t>
        </is>
      </c>
      <c r="B6655" s="1" t="n">
        <v>45975.56984953704</v>
      </c>
      <c r="C6655" s="1" t="n">
        <v>46086</v>
      </c>
      <c r="D6655" t="inlineStr">
        <is>
          <t>GÄVLEBORGS LÄN</t>
        </is>
      </c>
      <c r="E6655" t="inlineStr">
        <is>
          <t>BOLLNÄS</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56609-2025</t>
        </is>
      </c>
      <c r="B6656" s="1" t="n">
        <v>45975.58710648148</v>
      </c>
      <c r="C6656" s="1" t="n">
        <v>46086</v>
      </c>
      <c r="D6656" t="inlineStr">
        <is>
          <t>GÄVLEBORGS LÄN</t>
        </is>
      </c>
      <c r="E6656" t="inlineStr">
        <is>
          <t>BOLLNÄS</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47746-2023</t>
        </is>
      </c>
      <c r="B6657" s="1" t="n">
        <v>45203</v>
      </c>
      <c r="C6657" s="1" t="n">
        <v>46086</v>
      </c>
      <c r="D6657" t="inlineStr">
        <is>
          <t>GÄVLEBORGS LÄN</t>
        </is>
      </c>
      <c r="E6657" t="inlineStr">
        <is>
          <t>GÄVLE</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15674-2024</t>
        </is>
      </c>
      <c r="B6658" s="1" t="n">
        <v>45404.40354166667</v>
      </c>
      <c r="C6658" s="1" t="n">
        <v>46086</v>
      </c>
      <c r="D6658" t="inlineStr">
        <is>
          <t>GÄVLEBORGS LÄN</t>
        </is>
      </c>
      <c r="E6658" t="inlineStr">
        <is>
          <t>SANDVIKEN</t>
        </is>
      </c>
      <c r="F6658" t="inlineStr">
        <is>
          <t>Bergvik skog öst AB</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59331-2022</t>
        </is>
      </c>
      <c r="B6659" s="1" t="n">
        <v>44904.6508912037</v>
      </c>
      <c r="C6659" s="1" t="n">
        <v>46086</v>
      </c>
      <c r="D6659" t="inlineStr">
        <is>
          <t>GÄVLEBORGS LÄN</t>
        </is>
      </c>
      <c r="E6659" t="inlineStr">
        <is>
          <t>BOLLNÄS</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56143-2025</t>
        </is>
      </c>
      <c r="B6660" s="1" t="n">
        <v>45974.34460648148</v>
      </c>
      <c r="C6660" s="1" t="n">
        <v>46086</v>
      </c>
      <c r="D6660" t="inlineStr">
        <is>
          <t>GÄVLEBORGS LÄN</t>
        </is>
      </c>
      <c r="E6660" t="inlineStr">
        <is>
          <t>LJUSDAL</t>
        </is>
      </c>
      <c r="F6660" t="inlineStr">
        <is>
          <t>SCA</t>
        </is>
      </c>
      <c r="G6660" t="n">
        <v>4.2</v>
      </c>
      <c r="H6660" t="n">
        <v>0</v>
      </c>
      <c r="I6660" t="n">
        <v>0</v>
      </c>
      <c r="J6660" t="n">
        <v>0</v>
      </c>
      <c r="K6660" t="n">
        <v>0</v>
      </c>
      <c r="L6660" t="n">
        <v>0</v>
      </c>
      <c r="M6660" t="n">
        <v>0</v>
      </c>
      <c r="N6660" t="n">
        <v>0</v>
      </c>
      <c r="O6660" t="n">
        <v>0</v>
      </c>
      <c r="P6660" t="n">
        <v>0</v>
      </c>
      <c r="Q6660" t="n">
        <v>0</v>
      </c>
      <c r="R6660" s="2" t="inlineStr"/>
    </row>
    <row r="6661" ht="15" customHeight="1">
      <c r="A6661" t="inlineStr">
        <is>
          <t>A 56151-2025</t>
        </is>
      </c>
      <c r="B6661" s="1" t="n">
        <v>45974.36195601852</v>
      </c>
      <c r="C6661" s="1" t="n">
        <v>46086</v>
      </c>
      <c r="D6661" t="inlineStr">
        <is>
          <t>GÄVLEBORGS LÄN</t>
        </is>
      </c>
      <c r="E6661" t="inlineStr">
        <is>
          <t>HUDIKSVALL</t>
        </is>
      </c>
      <c r="G6661" t="n">
        <v>3.9</v>
      </c>
      <c r="H6661" t="n">
        <v>0</v>
      </c>
      <c r="I6661" t="n">
        <v>0</v>
      </c>
      <c r="J6661" t="n">
        <v>0</v>
      </c>
      <c r="K6661" t="n">
        <v>0</v>
      </c>
      <c r="L6661" t="n">
        <v>0</v>
      </c>
      <c r="M6661" t="n">
        <v>0</v>
      </c>
      <c r="N6661" t="n">
        <v>0</v>
      </c>
      <c r="O6661" t="n">
        <v>0</v>
      </c>
      <c r="P6661" t="n">
        <v>0</v>
      </c>
      <c r="Q6661" t="n">
        <v>0</v>
      </c>
      <c r="R6661" s="2" t="inlineStr"/>
    </row>
    <row r="6662" ht="15" customHeight="1">
      <c r="A6662" t="inlineStr">
        <is>
          <t>A 56191-2025</t>
        </is>
      </c>
      <c r="B6662" s="1" t="n">
        <v>45974.44013888889</v>
      </c>
      <c r="C6662" s="1" t="n">
        <v>46086</v>
      </c>
      <c r="D6662" t="inlineStr">
        <is>
          <t>GÄVLEBORGS LÄN</t>
        </is>
      </c>
      <c r="E6662" t="inlineStr">
        <is>
          <t>NORDANSTIG</t>
        </is>
      </c>
      <c r="G6662" t="n">
        <v>4.8</v>
      </c>
      <c r="H6662" t="n">
        <v>0</v>
      </c>
      <c r="I6662" t="n">
        <v>0</v>
      </c>
      <c r="J6662" t="n">
        <v>0</v>
      </c>
      <c r="K6662" t="n">
        <v>0</v>
      </c>
      <c r="L6662" t="n">
        <v>0</v>
      </c>
      <c r="M6662" t="n">
        <v>0</v>
      </c>
      <c r="N6662" t="n">
        <v>0</v>
      </c>
      <c r="O6662" t="n">
        <v>0</v>
      </c>
      <c r="P6662" t="n">
        <v>0</v>
      </c>
      <c r="Q6662" t="n">
        <v>0</v>
      </c>
      <c r="R6662" s="2" t="inlineStr"/>
    </row>
    <row r="6663" ht="15" customHeight="1">
      <c r="A6663" t="inlineStr">
        <is>
          <t>A 7276-2023</t>
        </is>
      </c>
      <c r="B6663" s="1" t="n">
        <v>44970</v>
      </c>
      <c r="C6663" s="1" t="n">
        <v>46086</v>
      </c>
      <c r="D6663" t="inlineStr">
        <is>
          <t>GÄVLEBORGS LÄN</t>
        </is>
      </c>
      <c r="E6663" t="inlineStr">
        <is>
          <t>OCKELBO</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56230-2025</t>
        </is>
      </c>
      <c r="B6664" s="1" t="n">
        <v>45974</v>
      </c>
      <c r="C6664" s="1" t="n">
        <v>46086</v>
      </c>
      <c r="D6664" t="inlineStr">
        <is>
          <t>GÄVLEBORGS LÄN</t>
        </is>
      </c>
      <c r="E6664" t="inlineStr">
        <is>
          <t>HUDIKSVALL</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56268-2025</t>
        </is>
      </c>
      <c r="B6665" s="1" t="n">
        <v>45974.58296296297</v>
      </c>
      <c r="C6665" s="1" t="n">
        <v>46086</v>
      </c>
      <c r="D6665" t="inlineStr">
        <is>
          <t>GÄVLEBORGS LÄN</t>
        </is>
      </c>
      <c r="E6665" t="inlineStr">
        <is>
          <t>GÄVLE</t>
        </is>
      </c>
      <c r="F6665" t="inlineStr">
        <is>
          <t>Bergvik skog öst AB</t>
        </is>
      </c>
      <c r="G6665" t="n">
        <v>6.8</v>
      </c>
      <c r="H6665" t="n">
        <v>0</v>
      </c>
      <c r="I6665" t="n">
        <v>0</v>
      </c>
      <c r="J6665" t="n">
        <v>0</v>
      </c>
      <c r="K6665" t="n">
        <v>0</v>
      </c>
      <c r="L6665" t="n">
        <v>0</v>
      </c>
      <c r="M6665" t="n">
        <v>0</v>
      </c>
      <c r="N6665" t="n">
        <v>0</v>
      </c>
      <c r="O6665" t="n">
        <v>0</v>
      </c>
      <c r="P6665" t="n">
        <v>0</v>
      </c>
      <c r="Q6665" t="n">
        <v>0</v>
      </c>
      <c r="R6665" s="2" t="inlineStr"/>
    </row>
    <row r="6666" ht="15" customHeight="1">
      <c r="A6666" t="inlineStr">
        <is>
          <t>A 56269-2025</t>
        </is>
      </c>
      <c r="B6666" s="1" t="n">
        <v>45974.58350694444</v>
      </c>
      <c r="C6666" s="1" t="n">
        <v>46086</v>
      </c>
      <c r="D6666" t="inlineStr">
        <is>
          <t>GÄVLEBORGS LÄN</t>
        </is>
      </c>
      <c r="E6666" t="inlineStr">
        <is>
          <t>GÄVLE</t>
        </is>
      </c>
      <c r="F6666" t="inlineStr">
        <is>
          <t>Bergvik skog öst AB</t>
        </is>
      </c>
      <c r="G6666" t="n">
        <v>0.4</v>
      </c>
      <c r="H6666" t="n">
        <v>0</v>
      </c>
      <c r="I6666" t="n">
        <v>0</v>
      </c>
      <c r="J6666" t="n">
        <v>0</v>
      </c>
      <c r="K6666" t="n">
        <v>0</v>
      </c>
      <c r="L6666" t="n">
        <v>0</v>
      </c>
      <c r="M6666" t="n">
        <v>0</v>
      </c>
      <c r="N6666" t="n">
        <v>0</v>
      </c>
      <c r="O6666" t="n">
        <v>0</v>
      </c>
      <c r="P6666" t="n">
        <v>0</v>
      </c>
      <c r="Q6666" t="n">
        <v>0</v>
      </c>
      <c r="R6666" s="2" t="inlineStr"/>
    </row>
    <row r="6667" ht="15" customHeight="1">
      <c r="A6667" t="inlineStr">
        <is>
          <t>A 56530-2025</t>
        </is>
      </c>
      <c r="B6667" s="1" t="n">
        <v>45975.46813657408</v>
      </c>
      <c r="C6667" s="1" t="n">
        <v>46086</v>
      </c>
      <c r="D6667" t="inlineStr">
        <is>
          <t>GÄVLEBORGS LÄN</t>
        </is>
      </c>
      <c r="E6667" t="inlineStr">
        <is>
          <t>LJUSDAL</t>
        </is>
      </c>
      <c r="F6667" t="inlineStr">
        <is>
          <t>Sveaskog</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56244-2025</t>
        </is>
      </c>
      <c r="B6668" s="1" t="n">
        <v>45974.55081018519</v>
      </c>
      <c r="C6668" s="1" t="n">
        <v>46086</v>
      </c>
      <c r="D6668" t="inlineStr">
        <is>
          <t>GÄVLEBORGS LÄN</t>
        </is>
      </c>
      <c r="E6668" t="inlineStr">
        <is>
          <t>HUDIKSVALL</t>
        </is>
      </c>
      <c r="F6668" t="inlineStr">
        <is>
          <t>Holmen skog AB</t>
        </is>
      </c>
      <c r="G6668" t="n">
        <v>5.5</v>
      </c>
      <c r="H6668" t="n">
        <v>0</v>
      </c>
      <c r="I6668" t="n">
        <v>0</v>
      </c>
      <c r="J6668" t="n">
        <v>0</v>
      </c>
      <c r="K6668" t="n">
        <v>0</v>
      </c>
      <c r="L6668" t="n">
        <v>0</v>
      </c>
      <c r="M6668" t="n">
        <v>0</v>
      </c>
      <c r="N6668" t="n">
        <v>0</v>
      </c>
      <c r="O6668" t="n">
        <v>0</v>
      </c>
      <c r="P6668" t="n">
        <v>0</v>
      </c>
      <c r="Q6668" t="n">
        <v>0</v>
      </c>
      <c r="R6668" s="2" t="inlineStr"/>
    </row>
    <row r="6669" ht="15" customHeight="1">
      <c r="A6669" t="inlineStr">
        <is>
          <t>A 5779-2023</t>
        </is>
      </c>
      <c r="B6669" s="1" t="n">
        <v>44963.4146412037</v>
      </c>
      <c r="C6669" s="1" t="n">
        <v>46086</v>
      </c>
      <c r="D6669" t="inlineStr">
        <is>
          <t>GÄVLEBORGS LÄN</t>
        </is>
      </c>
      <c r="E6669" t="inlineStr">
        <is>
          <t>LJUSDAL</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10426-2025</t>
        </is>
      </c>
      <c r="B6670" s="1" t="n">
        <v>45720.6534837963</v>
      </c>
      <c r="C6670" s="1" t="n">
        <v>46086</v>
      </c>
      <c r="D6670" t="inlineStr">
        <is>
          <t>GÄVLEBORGS LÄN</t>
        </is>
      </c>
      <c r="E6670" t="inlineStr">
        <is>
          <t>HUDIKSVALL</t>
        </is>
      </c>
      <c r="G6670" t="n">
        <v>4.5</v>
      </c>
      <c r="H6670" t="n">
        <v>0</v>
      </c>
      <c r="I6670" t="n">
        <v>0</v>
      </c>
      <c r="J6670" t="n">
        <v>0</v>
      </c>
      <c r="K6670" t="n">
        <v>0</v>
      </c>
      <c r="L6670" t="n">
        <v>0</v>
      </c>
      <c r="M6670" t="n">
        <v>0</v>
      </c>
      <c r="N6670" t="n">
        <v>0</v>
      </c>
      <c r="O6670" t="n">
        <v>0</v>
      </c>
      <c r="P6670" t="n">
        <v>0</v>
      </c>
      <c r="Q6670" t="n">
        <v>0</v>
      </c>
      <c r="R6670" s="2" t="inlineStr"/>
    </row>
    <row r="6671" ht="15" customHeight="1">
      <c r="A6671" t="inlineStr">
        <is>
          <t>A 51725-2024</t>
        </is>
      </c>
      <c r="B6671" s="1" t="n">
        <v>45607.383125</v>
      </c>
      <c r="C6671" s="1" t="n">
        <v>46086</v>
      </c>
      <c r="D6671" t="inlineStr">
        <is>
          <t>GÄVLEBORGS LÄN</t>
        </is>
      </c>
      <c r="E6671" t="inlineStr">
        <is>
          <t>LJUSDAL</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58192-2024</t>
        </is>
      </c>
      <c r="B6672" s="1" t="n">
        <v>45632.47849537037</v>
      </c>
      <c r="C6672" s="1" t="n">
        <v>46086</v>
      </c>
      <c r="D6672" t="inlineStr">
        <is>
          <t>GÄVLEBORGS LÄN</t>
        </is>
      </c>
      <c r="E6672" t="inlineStr">
        <is>
          <t>GÄVLE</t>
        </is>
      </c>
      <c r="G6672" t="n">
        <v>4.4</v>
      </c>
      <c r="H6672" t="n">
        <v>0</v>
      </c>
      <c r="I6672" t="n">
        <v>0</v>
      </c>
      <c r="J6672" t="n">
        <v>0</v>
      </c>
      <c r="K6672" t="n">
        <v>0</v>
      </c>
      <c r="L6672" t="n">
        <v>0</v>
      </c>
      <c r="M6672" t="n">
        <v>0</v>
      </c>
      <c r="N6672" t="n">
        <v>0</v>
      </c>
      <c r="O6672" t="n">
        <v>0</v>
      </c>
      <c r="P6672" t="n">
        <v>0</v>
      </c>
      <c r="Q6672" t="n">
        <v>0</v>
      </c>
      <c r="R6672" s="2" t="inlineStr"/>
    </row>
    <row r="6673" ht="15" customHeight="1">
      <c r="A6673" t="inlineStr">
        <is>
          <t>A 56270-2025</t>
        </is>
      </c>
      <c r="B6673" s="1" t="n">
        <v>45974.58498842592</v>
      </c>
      <c r="C6673" s="1" t="n">
        <v>46086</v>
      </c>
      <c r="D6673" t="inlineStr">
        <is>
          <t>GÄVLEBORGS LÄN</t>
        </is>
      </c>
      <c r="E6673" t="inlineStr">
        <is>
          <t>GÄVLE</t>
        </is>
      </c>
      <c r="F6673" t="inlineStr">
        <is>
          <t>Bergvik skog öst AB</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2915-2025</t>
        </is>
      </c>
      <c r="B6674" s="1" t="n">
        <v>45677.96424768519</v>
      </c>
      <c r="C6674" s="1" t="n">
        <v>46086</v>
      </c>
      <c r="D6674" t="inlineStr">
        <is>
          <t>GÄVLEBORGS LÄN</t>
        </is>
      </c>
      <c r="E6674" t="inlineStr">
        <is>
          <t>HOFORS</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61319-2024</t>
        </is>
      </c>
      <c r="B6675" s="1" t="n">
        <v>45646.33236111111</v>
      </c>
      <c r="C6675" s="1" t="n">
        <v>46086</v>
      </c>
      <c r="D6675" t="inlineStr">
        <is>
          <t>GÄVLEBORGS LÄN</t>
        </is>
      </c>
      <c r="E6675" t="inlineStr">
        <is>
          <t>OCKELBO</t>
        </is>
      </c>
      <c r="G6675" t="n">
        <v>3.5</v>
      </c>
      <c r="H6675" t="n">
        <v>0</v>
      </c>
      <c r="I6675" t="n">
        <v>0</v>
      </c>
      <c r="J6675" t="n">
        <v>0</v>
      </c>
      <c r="K6675" t="n">
        <v>0</v>
      </c>
      <c r="L6675" t="n">
        <v>0</v>
      </c>
      <c r="M6675" t="n">
        <v>0</v>
      </c>
      <c r="N6675" t="n">
        <v>0</v>
      </c>
      <c r="O6675" t="n">
        <v>0</v>
      </c>
      <c r="P6675" t="n">
        <v>0</v>
      </c>
      <c r="Q6675" t="n">
        <v>0</v>
      </c>
      <c r="R6675" s="2" t="inlineStr"/>
    </row>
    <row r="6676" ht="15" customHeight="1">
      <c r="A6676" t="inlineStr">
        <is>
          <t>A 56228-2025</t>
        </is>
      </c>
      <c r="B6676" s="1" t="n">
        <v>45974</v>
      </c>
      <c r="C6676" s="1" t="n">
        <v>46086</v>
      </c>
      <c r="D6676" t="inlineStr">
        <is>
          <t>GÄVLEBORGS LÄN</t>
        </is>
      </c>
      <c r="E6676" t="inlineStr">
        <is>
          <t>SÖDERHAMN</t>
        </is>
      </c>
      <c r="G6676" t="n">
        <v>9.800000000000001</v>
      </c>
      <c r="H6676" t="n">
        <v>0</v>
      </c>
      <c r="I6676" t="n">
        <v>0</v>
      </c>
      <c r="J6676" t="n">
        <v>0</v>
      </c>
      <c r="K6676" t="n">
        <v>0</v>
      </c>
      <c r="L6676" t="n">
        <v>0</v>
      </c>
      <c r="M6676" t="n">
        <v>0</v>
      </c>
      <c r="N6676" t="n">
        <v>0</v>
      </c>
      <c r="O6676" t="n">
        <v>0</v>
      </c>
      <c r="P6676" t="n">
        <v>0</v>
      </c>
      <c r="Q6676" t="n">
        <v>0</v>
      </c>
      <c r="R6676" s="2" t="inlineStr"/>
    </row>
    <row r="6677" ht="15" customHeight="1">
      <c r="A6677" t="inlineStr">
        <is>
          <t>A 38079-2024</t>
        </is>
      </c>
      <c r="B6677" s="1" t="n">
        <v>45545</v>
      </c>
      <c r="C6677" s="1" t="n">
        <v>46086</v>
      </c>
      <c r="D6677" t="inlineStr">
        <is>
          <t>GÄVLEBORGS LÄN</t>
        </is>
      </c>
      <c r="E6677" t="inlineStr">
        <is>
          <t>SÖDERHAMN</t>
        </is>
      </c>
      <c r="G6677" t="n">
        <v>3.4</v>
      </c>
      <c r="H6677" t="n">
        <v>0</v>
      </c>
      <c r="I6677" t="n">
        <v>0</v>
      </c>
      <c r="J6677" t="n">
        <v>0</v>
      </c>
      <c r="K6677" t="n">
        <v>0</v>
      </c>
      <c r="L6677" t="n">
        <v>0</v>
      </c>
      <c r="M6677" t="n">
        <v>0</v>
      </c>
      <c r="N6677" t="n">
        <v>0</v>
      </c>
      <c r="O6677" t="n">
        <v>0</v>
      </c>
      <c r="P6677" t="n">
        <v>0</v>
      </c>
      <c r="Q6677" t="n">
        <v>0</v>
      </c>
      <c r="R6677" s="2" t="inlineStr"/>
    </row>
    <row r="6678" ht="15" customHeight="1">
      <c r="A6678" t="inlineStr">
        <is>
          <t>A 35164-2023</t>
        </is>
      </c>
      <c r="B6678" s="1" t="n">
        <v>45145</v>
      </c>
      <c r="C6678" s="1" t="n">
        <v>46086</v>
      </c>
      <c r="D6678" t="inlineStr">
        <is>
          <t>GÄVLEBORGS LÄN</t>
        </is>
      </c>
      <c r="E6678" t="inlineStr">
        <is>
          <t>HUDIKSVALL</t>
        </is>
      </c>
      <c r="F6678" t="inlineStr">
        <is>
          <t>Holmen skog AB</t>
        </is>
      </c>
      <c r="G6678" t="n">
        <v>8.800000000000001</v>
      </c>
      <c r="H6678" t="n">
        <v>0</v>
      </c>
      <c r="I6678" t="n">
        <v>0</v>
      </c>
      <c r="J6678" t="n">
        <v>0</v>
      </c>
      <c r="K6678" t="n">
        <v>0</v>
      </c>
      <c r="L6678" t="n">
        <v>0</v>
      </c>
      <c r="M6678" t="n">
        <v>0</v>
      </c>
      <c r="N6678" t="n">
        <v>0</v>
      </c>
      <c r="O6678" t="n">
        <v>0</v>
      </c>
      <c r="P6678" t="n">
        <v>0</v>
      </c>
      <c r="Q6678" t="n">
        <v>0</v>
      </c>
      <c r="R6678" s="2" t="inlineStr"/>
    </row>
    <row r="6679" ht="15" customHeight="1">
      <c r="A6679" t="inlineStr">
        <is>
          <t>A 2461-2024</t>
        </is>
      </c>
      <c r="B6679" s="1" t="n">
        <v>45312.93891203704</v>
      </c>
      <c r="C6679" s="1" t="n">
        <v>46086</v>
      </c>
      <c r="D6679" t="inlineStr">
        <is>
          <t>GÄVLEBORGS LÄN</t>
        </is>
      </c>
      <c r="E6679" t="inlineStr">
        <is>
          <t>GÄVLE</t>
        </is>
      </c>
      <c r="G6679" t="n">
        <v>4.3</v>
      </c>
      <c r="H6679" t="n">
        <v>0</v>
      </c>
      <c r="I6679" t="n">
        <v>0</v>
      </c>
      <c r="J6679" t="n">
        <v>0</v>
      </c>
      <c r="K6679" t="n">
        <v>0</v>
      </c>
      <c r="L6679" t="n">
        <v>0</v>
      </c>
      <c r="M6679" t="n">
        <v>0</v>
      </c>
      <c r="N6679" t="n">
        <v>0</v>
      </c>
      <c r="O6679" t="n">
        <v>0</v>
      </c>
      <c r="P6679" t="n">
        <v>0</v>
      </c>
      <c r="Q6679" t="n">
        <v>0</v>
      </c>
      <c r="R6679" s="2" t="inlineStr"/>
    </row>
    <row r="6680" ht="15" customHeight="1">
      <c r="A6680" t="inlineStr">
        <is>
          <t>A 52495-2021</t>
        </is>
      </c>
      <c r="B6680" s="1" t="n">
        <v>44466.43295138889</v>
      </c>
      <c r="C6680" s="1" t="n">
        <v>46086</v>
      </c>
      <c r="D6680" t="inlineStr">
        <is>
          <t>GÄVLEBORGS LÄN</t>
        </is>
      </c>
      <c r="E6680" t="inlineStr">
        <is>
          <t>GÄVLE</t>
        </is>
      </c>
      <c r="F6680" t="inlineStr">
        <is>
          <t>Bergvik skog väst AB</t>
        </is>
      </c>
      <c r="G6680" t="n">
        <v>5.9</v>
      </c>
      <c r="H6680" t="n">
        <v>0</v>
      </c>
      <c r="I6680" t="n">
        <v>0</v>
      </c>
      <c r="J6680" t="n">
        <v>0</v>
      </c>
      <c r="K6680" t="n">
        <v>0</v>
      </c>
      <c r="L6680" t="n">
        <v>0</v>
      </c>
      <c r="M6680" t="n">
        <v>0</v>
      </c>
      <c r="N6680" t="n">
        <v>0</v>
      </c>
      <c r="O6680" t="n">
        <v>0</v>
      </c>
      <c r="P6680" t="n">
        <v>0</v>
      </c>
      <c r="Q6680" t="n">
        <v>0</v>
      </c>
      <c r="R6680" s="2" t="inlineStr"/>
    </row>
    <row r="6681" ht="15" customHeight="1">
      <c r="A6681" t="inlineStr">
        <is>
          <t>A 56877-2025</t>
        </is>
      </c>
      <c r="B6681" s="1" t="n">
        <v>45978.53877314815</v>
      </c>
      <c r="C6681" s="1" t="n">
        <v>46086</v>
      </c>
      <c r="D6681" t="inlineStr">
        <is>
          <t>GÄVLEBORGS LÄN</t>
        </is>
      </c>
      <c r="E6681" t="inlineStr">
        <is>
          <t>OCKELBO</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56698-2025</t>
        </is>
      </c>
      <c r="B6682" s="1" t="n">
        <v>45976.88498842593</v>
      </c>
      <c r="C6682" s="1" t="n">
        <v>46086</v>
      </c>
      <c r="D6682" t="inlineStr">
        <is>
          <t>GÄVLEBORGS LÄN</t>
        </is>
      </c>
      <c r="E6682" t="inlineStr">
        <is>
          <t>HUDIKSVALL</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56766-2025</t>
        </is>
      </c>
      <c r="B6683" s="1" t="n">
        <v>45978.38041666667</v>
      </c>
      <c r="C6683" s="1" t="n">
        <v>46086</v>
      </c>
      <c r="D6683" t="inlineStr">
        <is>
          <t>GÄVLEBORGS LÄN</t>
        </is>
      </c>
      <c r="E6683" t="inlineStr">
        <is>
          <t>OVANÅKER</t>
        </is>
      </c>
      <c r="F6683" t="inlineStr">
        <is>
          <t>Bergvik skog väst AB</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56774-2025</t>
        </is>
      </c>
      <c r="B6684" s="1" t="n">
        <v>45978.39347222223</v>
      </c>
      <c r="C6684" s="1" t="n">
        <v>46086</v>
      </c>
      <c r="D6684" t="inlineStr">
        <is>
          <t>GÄVLEBORGS LÄN</t>
        </is>
      </c>
      <c r="E6684" t="inlineStr">
        <is>
          <t>GÄVLE</t>
        </is>
      </c>
      <c r="F6684" t="inlineStr">
        <is>
          <t>Bergvik skog väst AB</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56776-2025</t>
        </is>
      </c>
      <c r="B6685" s="1" t="n">
        <v>45978.39571759259</v>
      </c>
      <c r="C6685" s="1" t="n">
        <v>46086</v>
      </c>
      <c r="D6685" t="inlineStr">
        <is>
          <t>GÄVLEBORGS LÄN</t>
        </is>
      </c>
      <c r="E6685" t="inlineStr">
        <is>
          <t>GÄVLE</t>
        </is>
      </c>
      <c r="F6685" t="inlineStr">
        <is>
          <t>Bergvik skog väst AB</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8486-2024</t>
        </is>
      </c>
      <c r="B6686" s="1" t="n">
        <v>45355</v>
      </c>
      <c r="C6686" s="1" t="n">
        <v>46086</v>
      </c>
      <c r="D6686" t="inlineStr">
        <is>
          <t>GÄVLEBORGS LÄN</t>
        </is>
      </c>
      <c r="E6686" t="inlineStr">
        <is>
          <t>HUDIKSVALL</t>
        </is>
      </c>
      <c r="G6686" t="n">
        <v>4.7</v>
      </c>
      <c r="H6686" t="n">
        <v>0</v>
      </c>
      <c r="I6686" t="n">
        <v>0</v>
      </c>
      <c r="J6686" t="n">
        <v>0</v>
      </c>
      <c r="K6686" t="n">
        <v>0</v>
      </c>
      <c r="L6686" t="n">
        <v>0</v>
      </c>
      <c r="M6686" t="n">
        <v>0</v>
      </c>
      <c r="N6686" t="n">
        <v>0</v>
      </c>
      <c r="O6686" t="n">
        <v>0</v>
      </c>
      <c r="P6686" t="n">
        <v>0</v>
      </c>
      <c r="Q6686" t="n">
        <v>0</v>
      </c>
      <c r="R6686" s="2" t="inlineStr"/>
    </row>
    <row r="6687" ht="15" customHeight="1">
      <c r="A6687" t="inlineStr">
        <is>
          <t>A 57284-2025</t>
        </is>
      </c>
      <c r="B6687" s="1" t="n">
        <v>45979.71936342592</v>
      </c>
      <c r="C6687" s="1" t="n">
        <v>46086</v>
      </c>
      <c r="D6687" t="inlineStr">
        <is>
          <t>GÄVLEBORGS LÄN</t>
        </is>
      </c>
      <c r="E6687" t="inlineStr">
        <is>
          <t>NORDANSTIG</t>
        </is>
      </c>
      <c r="F6687" t="inlineStr">
        <is>
          <t>SCA</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56694-2025</t>
        </is>
      </c>
      <c r="B6688" s="1" t="n">
        <v>45976.73663194444</v>
      </c>
      <c r="C6688" s="1" t="n">
        <v>46086</v>
      </c>
      <c r="D6688" t="inlineStr">
        <is>
          <t>GÄVLEBORGS LÄN</t>
        </is>
      </c>
      <c r="E6688" t="inlineStr">
        <is>
          <t>HUDIKSVALL</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31916-2024</t>
        </is>
      </c>
      <c r="B6689" s="1" t="n">
        <v>45510.39054398148</v>
      </c>
      <c r="C6689" s="1" t="n">
        <v>46086</v>
      </c>
      <c r="D6689" t="inlineStr">
        <is>
          <t>GÄVLEBORGS LÄN</t>
        </is>
      </c>
      <c r="E6689" t="inlineStr">
        <is>
          <t>SÖDERHAMN</t>
        </is>
      </c>
      <c r="F6689" t="inlineStr">
        <is>
          <t>Bergvik skog väst AB</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3692-2022</t>
        </is>
      </c>
      <c r="B6690" s="1" t="n">
        <v>44586</v>
      </c>
      <c r="C6690" s="1" t="n">
        <v>46086</v>
      </c>
      <c r="D6690" t="inlineStr">
        <is>
          <t>GÄVLEBORGS LÄN</t>
        </is>
      </c>
      <c r="E6690" t="inlineStr">
        <is>
          <t>NORDANSTIG</t>
        </is>
      </c>
      <c r="F6690" t="inlineStr">
        <is>
          <t>Holmen skog AB</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57159-2025</t>
        </is>
      </c>
      <c r="B6691" s="1" t="n">
        <v>45979.52887731481</v>
      </c>
      <c r="C6691" s="1" t="n">
        <v>46086</v>
      </c>
      <c r="D6691" t="inlineStr">
        <is>
          <t>GÄVLEBORGS LÄN</t>
        </is>
      </c>
      <c r="E6691" t="inlineStr">
        <is>
          <t>OVANÅKER</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57186-2025</t>
        </is>
      </c>
      <c r="B6692" s="1" t="n">
        <v>45979.57400462963</v>
      </c>
      <c r="C6692" s="1" t="n">
        <v>46086</v>
      </c>
      <c r="D6692" t="inlineStr">
        <is>
          <t>GÄVLEBORGS LÄN</t>
        </is>
      </c>
      <c r="E6692" t="inlineStr">
        <is>
          <t>NORDANSTIG</t>
        </is>
      </c>
      <c r="G6692" t="n">
        <v>5.1</v>
      </c>
      <c r="H6692" t="n">
        <v>0</v>
      </c>
      <c r="I6692" t="n">
        <v>0</v>
      </c>
      <c r="J6692" t="n">
        <v>0</v>
      </c>
      <c r="K6692" t="n">
        <v>0</v>
      </c>
      <c r="L6692" t="n">
        <v>0</v>
      </c>
      <c r="M6692" t="n">
        <v>0</v>
      </c>
      <c r="N6692" t="n">
        <v>0</v>
      </c>
      <c r="O6692" t="n">
        <v>0</v>
      </c>
      <c r="P6692" t="n">
        <v>0</v>
      </c>
      <c r="Q6692" t="n">
        <v>0</v>
      </c>
      <c r="R6692" s="2" t="inlineStr"/>
    </row>
    <row r="6693" ht="15" customHeight="1">
      <c r="A6693" t="inlineStr">
        <is>
          <t>A 56888-2025</t>
        </is>
      </c>
      <c r="B6693" s="1" t="n">
        <v>45978.56181712963</v>
      </c>
      <c r="C6693" s="1" t="n">
        <v>46086</v>
      </c>
      <c r="D6693" t="inlineStr">
        <is>
          <t>GÄVLEBORGS LÄN</t>
        </is>
      </c>
      <c r="E6693" t="inlineStr">
        <is>
          <t>OCKELBO</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56919-2025</t>
        </is>
      </c>
      <c r="B6694" s="1" t="n">
        <v>45978.59431712963</v>
      </c>
      <c r="C6694" s="1" t="n">
        <v>46086</v>
      </c>
      <c r="D6694" t="inlineStr">
        <is>
          <t>GÄVLEBORGS LÄN</t>
        </is>
      </c>
      <c r="E6694" t="inlineStr">
        <is>
          <t>OCKELBO</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56921-2025</t>
        </is>
      </c>
      <c r="B6695" s="1" t="n">
        <v>45978.59633101852</v>
      </c>
      <c r="C6695" s="1" t="n">
        <v>46086</v>
      </c>
      <c r="D6695" t="inlineStr">
        <is>
          <t>GÄVLEBORGS LÄN</t>
        </is>
      </c>
      <c r="E6695" t="inlineStr">
        <is>
          <t>OCKELBO</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56945-2025</t>
        </is>
      </c>
      <c r="B6696" s="1" t="n">
        <v>45978.63996527778</v>
      </c>
      <c r="C6696" s="1" t="n">
        <v>46086</v>
      </c>
      <c r="D6696" t="inlineStr">
        <is>
          <t>GÄVLEBORGS LÄN</t>
        </is>
      </c>
      <c r="E6696" t="inlineStr">
        <is>
          <t>SÖDERHAMN</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56825-2025</t>
        </is>
      </c>
      <c r="B6697" s="1" t="n">
        <v>45978.46519675926</v>
      </c>
      <c r="C6697" s="1" t="n">
        <v>46086</v>
      </c>
      <c r="D6697" t="inlineStr">
        <is>
          <t>GÄVLEBORGS LÄN</t>
        </is>
      </c>
      <c r="E6697" t="inlineStr">
        <is>
          <t>LJUSDAL</t>
        </is>
      </c>
      <c r="F6697" t="inlineStr">
        <is>
          <t>Allmännings- och besparingsskogar</t>
        </is>
      </c>
      <c r="G6697" t="n">
        <v>7.7</v>
      </c>
      <c r="H6697" t="n">
        <v>0</v>
      </c>
      <c r="I6697" t="n">
        <v>0</v>
      </c>
      <c r="J6697" t="n">
        <v>0</v>
      </c>
      <c r="K6697" t="n">
        <v>0</v>
      </c>
      <c r="L6697" t="n">
        <v>0</v>
      </c>
      <c r="M6697" t="n">
        <v>0</v>
      </c>
      <c r="N6697" t="n">
        <v>0</v>
      </c>
      <c r="O6697" t="n">
        <v>0</v>
      </c>
      <c r="P6697" t="n">
        <v>0</v>
      </c>
      <c r="Q6697" t="n">
        <v>0</v>
      </c>
      <c r="R6697" s="2" t="inlineStr"/>
    </row>
    <row r="6698" ht="15" customHeight="1">
      <c r="A6698" t="inlineStr">
        <is>
          <t>A 22042-2023</t>
        </is>
      </c>
      <c r="B6698" s="1" t="n">
        <v>45069</v>
      </c>
      <c r="C6698" s="1" t="n">
        <v>46086</v>
      </c>
      <c r="D6698" t="inlineStr">
        <is>
          <t>GÄVLEBORGS LÄN</t>
        </is>
      </c>
      <c r="E6698" t="inlineStr">
        <is>
          <t>SANDVIKEN</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34668-2024</t>
        </is>
      </c>
      <c r="B6699" s="1" t="n">
        <v>45526.51855324074</v>
      </c>
      <c r="C6699" s="1" t="n">
        <v>46086</v>
      </c>
      <c r="D6699" t="inlineStr">
        <is>
          <t>GÄVLEBORGS LÄN</t>
        </is>
      </c>
      <c r="E6699" t="inlineStr">
        <is>
          <t>GÄVLE</t>
        </is>
      </c>
      <c r="F6699" t="inlineStr">
        <is>
          <t>Bergvik skog väst AB</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56695-2025</t>
        </is>
      </c>
      <c r="B6700" s="1" t="n">
        <v>45976.77318287037</v>
      </c>
      <c r="C6700" s="1" t="n">
        <v>46086</v>
      </c>
      <c r="D6700" t="inlineStr">
        <is>
          <t>GÄVLEBORGS LÄN</t>
        </is>
      </c>
      <c r="E6700" t="inlineStr">
        <is>
          <t>HUDIKSVALL</t>
        </is>
      </c>
      <c r="G6700" t="n">
        <v>3.3</v>
      </c>
      <c r="H6700" t="n">
        <v>0</v>
      </c>
      <c r="I6700" t="n">
        <v>0</v>
      </c>
      <c r="J6700" t="n">
        <v>0</v>
      </c>
      <c r="K6700" t="n">
        <v>0</v>
      </c>
      <c r="L6700" t="n">
        <v>0</v>
      </c>
      <c r="M6700" t="n">
        <v>0</v>
      </c>
      <c r="N6700" t="n">
        <v>0</v>
      </c>
      <c r="O6700" t="n">
        <v>0</v>
      </c>
      <c r="P6700" t="n">
        <v>0</v>
      </c>
      <c r="Q6700" t="n">
        <v>0</v>
      </c>
      <c r="R6700" s="2" t="inlineStr"/>
    </row>
    <row r="6701" ht="15" customHeight="1">
      <c r="A6701" t="inlineStr">
        <is>
          <t>A 56703-2025</t>
        </is>
      </c>
      <c r="B6701" s="1" t="n">
        <v>45977.45782407407</v>
      </c>
      <c r="C6701" s="1" t="n">
        <v>46086</v>
      </c>
      <c r="D6701" t="inlineStr">
        <is>
          <t>GÄVLEBORGS LÄN</t>
        </is>
      </c>
      <c r="E6701" t="inlineStr">
        <is>
          <t>SANDVIKEN</t>
        </is>
      </c>
      <c r="G6701" t="n">
        <v>4.8</v>
      </c>
      <c r="H6701" t="n">
        <v>0</v>
      </c>
      <c r="I6701" t="n">
        <v>0</v>
      </c>
      <c r="J6701" t="n">
        <v>0</v>
      </c>
      <c r="K6701" t="n">
        <v>0</v>
      </c>
      <c r="L6701" t="n">
        <v>0</v>
      </c>
      <c r="M6701" t="n">
        <v>0</v>
      </c>
      <c r="N6701" t="n">
        <v>0</v>
      </c>
      <c r="O6701" t="n">
        <v>0</v>
      </c>
      <c r="P6701" t="n">
        <v>0</v>
      </c>
      <c r="Q6701" t="n">
        <v>0</v>
      </c>
      <c r="R6701" s="2" t="inlineStr"/>
    </row>
    <row r="6702" ht="15" customHeight="1">
      <c r="A6702" t="inlineStr">
        <is>
          <t>A 16750-2025</t>
        </is>
      </c>
      <c r="B6702" s="1" t="n">
        <v>45754.56719907407</v>
      </c>
      <c r="C6702" s="1" t="n">
        <v>46086</v>
      </c>
      <c r="D6702" t="inlineStr">
        <is>
          <t>GÄVLEBORGS LÄN</t>
        </is>
      </c>
      <c r="E6702" t="inlineStr">
        <is>
          <t>SÖDERHAMN</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57214-2025</t>
        </is>
      </c>
      <c r="B6703" s="1" t="n">
        <v>45979.60623842593</v>
      </c>
      <c r="C6703" s="1" t="n">
        <v>46086</v>
      </c>
      <c r="D6703" t="inlineStr">
        <is>
          <t>GÄVLEBORGS LÄN</t>
        </is>
      </c>
      <c r="E6703" t="inlineStr">
        <is>
          <t>BOLLNÄS</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32980-2023</t>
        </is>
      </c>
      <c r="B6704" s="1" t="n">
        <v>45125.59980324074</v>
      </c>
      <c r="C6704" s="1" t="n">
        <v>46086</v>
      </c>
      <c r="D6704" t="inlineStr">
        <is>
          <t>GÄVLEBORGS LÄN</t>
        </is>
      </c>
      <c r="E6704" t="inlineStr">
        <is>
          <t>HOFORS</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57054-2025</t>
        </is>
      </c>
      <c r="B6705" s="1" t="n">
        <v>45979.36201388889</v>
      </c>
      <c r="C6705" s="1" t="n">
        <v>46086</v>
      </c>
      <c r="D6705" t="inlineStr">
        <is>
          <t>GÄVLEBORGS LÄN</t>
        </is>
      </c>
      <c r="E6705" t="inlineStr">
        <is>
          <t>BOLLNÄS</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1037-2025</t>
        </is>
      </c>
      <c r="B6706" s="1" t="n">
        <v>45666.53684027777</v>
      </c>
      <c r="C6706" s="1" t="n">
        <v>46086</v>
      </c>
      <c r="D6706" t="inlineStr">
        <is>
          <t>GÄVLEBORGS LÄN</t>
        </is>
      </c>
      <c r="E6706" t="inlineStr">
        <is>
          <t>SANDVIKEN</t>
        </is>
      </c>
      <c r="G6706" t="n">
        <v>6</v>
      </c>
      <c r="H6706" t="n">
        <v>0</v>
      </c>
      <c r="I6706" t="n">
        <v>0</v>
      </c>
      <c r="J6706" t="n">
        <v>0</v>
      </c>
      <c r="K6706" t="n">
        <v>0</v>
      </c>
      <c r="L6706" t="n">
        <v>0</v>
      </c>
      <c r="M6706" t="n">
        <v>0</v>
      </c>
      <c r="N6706" t="n">
        <v>0</v>
      </c>
      <c r="O6706" t="n">
        <v>0</v>
      </c>
      <c r="P6706" t="n">
        <v>0</v>
      </c>
      <c r="Q6706" t="n">
        <v>0</v>
      </c>
      <c r="R6706" s="2" t="inlineStr"/>
    </row>
    <row r="6707" ht="15" customHeight="1">
      <c r="A6707" t="inlineStr">
        <is>
          <t>A 56850-2025</t>
        </is>
      </c>
      <c r="B6707" s="1" t="n">
        <v>45978.49068287037</v>
      </c>
      <c r="C6707" s="1" t="n">
        <v>46086</v>
      </c>
      <c r="D6707" t="inlineStr">
        <is>
          <t>GÄVLEBORGS LÄN</t>
        </is>
      </c>
      <c r="E6707" t="inlineStr">
        <is>
          <t>OCKELBO</t>
        </is>
      </c>
      <c r="G6707" t="n">
        <v>3.4</v>
      </c>
      <c r="H6707" t="n">
        <v>0</v>
      </c>
      <c r="I6707" t="n">
        <v>0</v>
      </c>
      <c r="J6707" t="n">
        <v>0</v>
      </c>
      <c r="K6707" t="n">
        <v>0</v>
      </c>
      <c r="L6707" t="n">
        <v>0</v>
      </c>
      <c r="M6707" t="n">
        <v>0</v>
      </c>
      <c r="N6707" t="n">
        <v>0</v>
      </c>
      <c r="O6707" t="n">
        <v>0</v>
      </c>
      <c r="P6707" t="n">
        <v>0</v>
      </c>
      <c r="Q6707" t="n">
        <v>0</v>
      </c>
      <c r="R6707" s="2" t="inlineStr"/>
    </row>
    <row r="6708" ht="15" customHeight="1">
      <c r="A6708" t="inlineStr">
        <is>
          <t>A 1062-2025</t>
        </is>
      </c>
      <c r="B6708" s="1" t="n">
        <v>45666.58149305556</v>
      </c>
      <c r="C6708" s="1" t="n">
        <v>46086</v>
      </c>
      <c r="D6708" t="inlineStr">
        <is>
          <t>GÄVLEBORGS LÄN</t>
        </is>
      </c>
      <c r="E6708" t="inlineStr">
        <is>
          <t>GÄVLE</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56882-2025</t>
        </is>
      </c>
      <c r="B6709" s="1" t="n">
        <v>45978.55541666667</v>
      </c>
      <c r="C6709" s="1" t="n">
        <v>46086</v>
      </c>
      <c r="D6709" t="inlineStr">
        <is>
          <t>GÄVLEBORGS LÄN</t>
        </is>
      </c>
      <c r="E6709" t="inlineStr">
        <is>
          <t>OCKELBO</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6058-2023</t>
        </is>
      </c>
      <c r="B6710" s="1" t="n">
        <v>44964</v>
      </c>
      <c r="C6710" s="1" t="n">
        <v>46086</v>
      </c>
      <c r="D6710" t="inlineStr">
        <is>
          <t>GÄVLEBORGS LÄN</t>
        </is>
      </c>
      <c r="E6710" t="inlineStr">
        <is>
          <t>OCKELBO</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6099-2023</t>
        </is>
      </c>
      <c r="B6711" s="1" t="n">
        <v>44964.58133101852</v>
      </c>
      <c r="C6711" s="1" t="n">
        <v>46086</v>
      </c>
      <c r="D6711" t="inlineStr">
        <is>
          <t>GÄVLEBORGS LÄN</t>
        </is>
      </c>
      <c r="E6711" t="inlineStr">
        <is>
          <t>NORDANSTIG</t>
        </is>
      </c>
      <c r="F6711" t="inlineStr">
        <is>
          <t>Holmen skog AB</t>
        </is>
      </c>
      <c r="G6711" t="n">
        <v>8.199999999999999</v>
      </c>
      <c r="H6711" t="n">
        <v>0</v>
      </c>
      <c r="I6711" t="n">
        <v>0</v>
      </c>
      <c r="J6711" t="n">
        <v>0</v>
      </c>
      <c r="K6711" t="n">
        <v>0</v>
      </c>
      <c r="L6711" t="n">
        <v>0</v>
      </c>
      <c r="M6711" t="n">
        <v>0</v>
      </c>
      <c r="N6711" t="n">
        <v>0</v>
      </c>
      <c r="O6711" t="n">
        <v>0</v>
      </c>
      <c r="P6711" t="n">
        <v>0</v>
      </c>
      <c r="Q6711" t="n">
        <v>0</v>
      </c>
      <c r="R6711" s="2" t="inlineStr"/>
    </row>
    <row r="6712" ht="15" customHeight="1">
      <c r="A6712" t="inlineStr">
        <is>
          <t>A 55860-2025</t>
        </is>
      </c>
      <c r="B6712" s="1" t="n">
        <v>45973</v>
      </c>
      <c r="C6712" s="1" t="n">
        <v>46086</v>
      </c>
      <c r="D6712" t="inlineStr">
        <is>
          <t>GÄVLEBORGS LÄN</t>
        </is>
      </c>
      <c r="E6712" t="inlineStr">
        <is>
          <t>BOLLNÄS</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57201-2025</t>
        </is>
      </c>
      <c r="B6713" s="1" t="n">
        <v>45979.58494212963</v>
      </c>
      <c r="C6713" s="1" t="n">
        <v>46086</v>
      </c>
      <c r="D6713" t="inlineStr">
        <is>
          <t>GÄVLEBORGS LÄN</t>
        </is>
      </c>
      <c r="E6713" t="inlineStr">
        <is>
          <t>OVANÅKER</t>
        </is>
      </c>
      <c r="G6713" t="n">
        <v>3.4</v>
      </c>
      <c r="H6713" t="n">
        <v>0</v>
      </c>
      <c r="I6713" t="n">
        <v>0</v>
      </c>
      <c r="J6713" t="n">
        <v>0</v>
      </c>
      <c r="K6713" t="n">
        <v>0</v>
      </c>
      <c r="L6713" t="n">
        <v>0</v>
      </c>
      <c r="M6713" t="n">
        <v>0</v>
      </c>
      <c r="N6713" t="n">
        <v>0</v>
      </c>
      <c r="O6713" t="n">
        <v>0</v>
      </c>
      <c r="P6713" t="n">
        <v>0</v>
      </c>
      <c r="Q6713" t="n">
        <v>0</v>
      </c>
      <c r="R6713" s="2" t="inlineStr"/>
    </row>
    <row r="6714" ht="15" customHeight="1">
      <c r="A6714" t="inlineStr">
        <is>
          <t>A 53918-2025</t>
        </is>
      </c>
      <c r="B6714" s="1" t="n">
        <v>45961</v>
      </c>
      <c r="C6714" s="1" t="n">
        <v>46086</v>
      </c>
      <c r="D6714" t="inlineStr">
        <is>
          <t>GÄVLEBORGS LÄN</t>
        </is>
      </c>
      <c r="E6714" t="inlineStr">
        <is>
          <t>SÖDERHAMN</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57210-2025</t>
        </is>
      </c>
      <c r="B6715" s="1" t="n">
        <v>45979.59921296296</v>
      </c>
      <c r="C6715" s="1" t="n">
        <v>46086</v>
      </c>
      <c r="D6715" t="inlineStr">
        <is>
          <t>GÄVLEBORGS LÄN</t>
        </is>
      </c>
      <c r="E6715" t="inlineStr">
        <is>
          <t>HUDIKSVALL</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57213-2025</t>
        </is>
      </c>
      <c r="B6716" s="1" t="n">
        <v>45979.60475694444</v>
      </c>
      <c r="C6716" s="1" t="n">
        <v>46086</v>
      </c>
      <c r="D6716" t="inlineStr">
        <is>
          <t>GÄVLEBORGS LÄN</t>
        </is>
      </c>
      <c r="E6716" t="inlineStr">
        <is>
          <t>HUDIKSVALL</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57265-2025</t>
        </is>
      </c>
      <c r="B6717" s="1" t="n">
        <v>45979.66085648148</v>
      </c>
      <c r="C6717" s="1" t="n">
        <v>46086</v>
      </c>
      <c r="D6717" t="inlineStr">
        <is>
          <t>GÄVLEBORGS LÄN</t>
        </is>
      </c>
      <c r="E6717" t="inlineStr">
        <is>
          <t>LJUSDAL</t>
        </is>
      </c>
      <c r="G6717" t="n">
        <v>2.9</v>
      </c>
      <c r="H6717" t="n">
        <v>0</v>
      </c>
      <c r="I6717" t="n">
        <v>0</v>
      </c>
      <c r="J6717" t="n">
        <v>0</v>
      </c>
      <c r="K6717" t="n">
        <v>0</v>
      </c>
      <c r="L6717" t="n">
        <v>0</v>
      </c>
      <c r="M6717" t="n">
        <v>0</v>
      </c>
      <c r="N6717" t="n">
        <v>0</v>
      </c>
      <c r="O6717" t="n">
        <v>0</v>
      </c>
      <c r="P6717" t="n">
        <v>0</v>
      </c>
      <c r="Q6717" t="n">
        <v>0</v>
      </c>
      <c r="R6717" s="2" t="inlineStr"/>
    </row>
    <row r="6718" ht="15" customHeight="1">
      <c r="A6718" t="inlineStr">
        <is>
          <t>A 14850-2024</t>
        </is>
      </c>
      <c r="B6718" s="1" t="n">
        <v>45398.43495370371</v>
      </c>
      <c r="C6718" s="1" t="n">
        <v>46086</v>
      </c>
      <c r="D6718" t="inlineStr">
        <is>
          <t>GÄVLEBORGS LÄN</t>
        </is>
      </c>
      <c r="E6718" t="inlineStr">
        <is>
          <t>SÖDERHAMN</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14863-2024</t>
        </is>
      </c>
      <c r="B6719" s="1" t="n">
        <v>45398.46366898148</v>
      </c>
      <c r="C6719" s="1" t="n">
        <v>46086</v>
      </c>
      <c r="D6719" t="inlineStr">
        <is>
          <t>GÄVLEBORGS LÄN</t>
        </is>
      </c>
      <c r="E6719" t="inlineStr">
        <is>
          <t>HUDIKSVALL</t>
        </is>
      </c>
      <c r="F6719" t="inlineStr">
        <is>
          <t>Holmen skog AB</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57072-2025</t>
        </is>
      </c>
      <c r="B6720" s="1" t="n">
        <v>45979.39356481482</v>
      </c>
      <c r="C6720" s="1" t="n">
        <v>46086</v>
      </c>
      <c r="D6720" t="inlineStr">
        <is>
          <t>GÄVLEBORGS LÄN</t>
        </is>
      </c>
      <c r="E6720" t="inlineStr">
        <is>
          <t>OVANÅKER</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57077-2025</t>
        </is>
      </c>
      <c r="B6721" s="1" t="n">
        <v>45979.40359953704</v>
      </c>
      <c r="C6721" s="1" t="n">
        <v>46086</v>
      </c>
      <c r="D6721" t="inlineStr">
        <is>
          <t>GÄVLEBORGS LÄN</t>
        </is>
      </c>
      <c r="E6721" t="inlineStr">
        <is>
          <t>OVANÅKER</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57098-2025</t>
        </is>
      </c>
      <c r="B6722" s="1" t="n">
        <v>45979.4353125</v>
      </c>
      <c r="C6722" s="1" t="n">
        <v>46086</v>
      </c>
      <c r="D6722" t="inlineStr">
        <is>
          <t>GÄVLEBORGS LÄN</t>
        </is>
      </c>
      <c r="E6722" t="inlineStr">
        <is>
          <t>LJUSDAL</t>
        </is>
      </c>
      <c r="G6722" t="n">
        <v>6.4</v>
      </c>
      <c r="H6722" t="n">
        <v>0</v>
      </c>
      <c r="I6722" t="n">
        <v>0</v>
      </c>
      <c r="J6722" t="n">
        <v>0</v>
      </c>
      <c r="K6722" t="n">
        <v>0</v>
      </c>
      <c r="L6722" t="n">
        <v>0</v>
      </c>
      <c r="M6722" t="n">
        <v>0</v>
      </c>
      <c r="N6722" t="n">
        <v>0</v>
      </c>
      <c r="O6722" t="n">
        <v>0</v>
      </c>
      <c r="P6722" t="n">
        <v>0</v>
      </c>
      <c r="Q6722" t="n">
        <v>0</v>
      </c>
      <c r="R6722" s="2" t="inlineStr"/>
    </row>
    <row r="6723" ht="15" customHeight="1">
      <c r="A6723" t="inlineStr">
        <is>
          <t>A 60617-2024</t>
        </is>
      </c>
      <c r="B6723" s="1" t="n">
        <v>45644.38703703704</v>
      </c>
      <c r="C6723" s="1" t="n">
        <v>46086</v>
      </c>
      <c r="D6723" t="inlineStr">
        <is>
          <t>GÄVLEBORGS LÄN</t>
        </is>
      </c>
      <c r="E6723" t="inlineStr">
        <is>
          <t>GÄVLE</t>
        </is>
      </c>
      <c r="F6723" t="inlineStr">
        <is>
          <t>Kyrkan</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45551-2024</t>
        </is>
      </c>
      <c r="B6724" s="1" t="n">
        <v>45579</v>
      </c>
      <c r="C6724" s="1" t="n">
        <v>46086</v>
      </c>
      <c r="D6724" t="inlineStr">
        <is>
          <t>GÄVLEBORGS LÄN</t>
        </is>
      </c>
      <c r="E6724" t="inlineStr">
        <is>
          <t>NORDANSTIG</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57085-2025</t>
        </is>
      </c>
      <c r="B6725" s="1" t="n">
        <v>45979.41935185185</v>
      </c>
      <c r="C6725" s="1" t="n">
        <v>46086</v>
      </c>
      <c r="D6725" t="inlineStr">
        <is>
          <t>GÄVLEBORGS LÄN</t>
        </is>
      </c>
      <c r="E6725" t="inlineStr">
        <is>
          <t>SÖDERHAMN</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56733-2025</t>
        </is>
      </c>
      <c r="B6726" s="1" t="n">
        <v>45978.33262731481</v>
      </c>
      <c r="C6726" s="1" t="n">
        <v>46086</v>
      </c>
      <c r="D6726" t="inlineStr">
        <is>
          <t>GÄVLEBORGS LÄN</t>
        </is>
      </c>
      <c r="E6726" t="inlineStr">
        <is>
          <t>BOLLNÄS</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56755-2025</t>
        </is>
      </c>
      <c r="B6727" s="1" t="n">
        <v>45978.36744212963</v>
      </c>
      <c r="C6727" s="1" t="n">
        <v>46086</v>
      </c>
      <c r="D6727" t="inlineStr">
        <is>
          <t>GÄVLEBORGS LÄN</t>
        </is>
      </c>
      <c r="E6727" t="inlineStr">
        <is>
          <t>SANDVIKEN</t>
        </is>
      </c>
      <c r="G6727" t="n">
        <v>10.4</v>
      </c>
      <c r="H6727" t="n">
        <v>0</v>
      </c>
      <c r="I6727" t="n">
        <v>0</v>
      </c>
      <c r="J6727" t="n">
        <v>0</v>
      </c>
      <c r="K6727" t="n">
        <v>0</v>
      </c>
      <c r="L6727" t="n">
        <v>0</v>
      </c>
      <c r="M6727" t="n">
        <v>0</v>
      </c>
      <c r="N6727" t="n">
        <v>0</v>
      </c>
      <c r="O6727" t="n">
        <v>0</v>
      </c>
      <c r="P6727" t="n">
        <v>0</v>
      </c>
      <c r="Q6727" t="n">
        <v>0</v>
      </c>
      <c r="R6727" s="2" t="inlineStr"/>
    </row>
    <row r="6728" ht="15" customHeight="1">
      <c r="A6728" t="inlineStr">
        <is>
          <t>A 56773-2025</t>
        </is>
      </c>
      <c r="B6728" s="1" t="n">
        <v>45978.38915509259</v>
      </c>
      <c r="C6728" s="1" t="n">
        <v>46086</v>
      </c>
      <c r="D6728" t="inlineStr">
        <is>
          <t>GÄVLEBORGS LÄN</t>
        </is>
      </c>
      <c r="E6728" t="inlineStr">
        <is>
          <t>GÄVLE</t>
        </is>
      </c>
      <c r="F6728" t="inlineStr">
        <is>
          <t>Bergvik skog väst AB</t>
        </is>
      </c>
      <c r="G6728" t="n">
        <v>0.4</v>
      </c>
      <c r="H6728" t="n">
        <v>0</v>
      </c>
      <c r="I6728" t="n">
        <v>0</v>
      </c>
      <c r="J6728" t="n">
        <v>0</v>
      </c>
      <c r="K6728" t="n">
        <v>0</v>
      </c>
      <c r="L6728" t="n">
        <v>0</v>
      </c>
      <c r="M6728" t="n">
        <v>0</v>
      </c>
      <c r="N6728" t="n">
        <v>0</v>
      </c>
      <c r="O6728" t="n">
        <v>0</v>
      </c>
      <c r="P6728" t="n">
        <v>0</v>
      </c>
      <c r="Q6728" t="n">
        <v>0</v>
      </c>
      <c r="R6728" s="2" t="inlineStr"/>
    </row>
    <row r="6729" ht="15" customHeight="1">
      <c r="A6729" t="inlineStr">
        <is>
          <t>A 16980-2025</t>
        </is>
      </c>
      <c r="B6729" s="1" t="n">
        <v>45755.47873842593</v>
      </c>
      <c r="C6729" s="1" t="n">
        <v>46086</v>
      </c>
      <c r="D6729" t="inlineStr">
        <is>
          <t>GÄVLEBORGS LÄN</t>
        </is>
      </c>
      <c r="E6729" t="inlineStr">
        <is>
          <t>SANDVIKEN</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56789-2025</t>
        </is>
      </c>
      <c r="B6730" s="1" t="n">
        <v>45978.42759259259</v>
      </c>
      <c r="C6730" s="1" t="n">
        <v>46086</v>
      </c>
      <c r="D6730" t="inlineStr">
        <is>
          <t>GÄVLEBORGS LÄN</t>
        </is>
      </c>
      <c r="E6730" t="inlineStr">
        <is>
          <t>NORDANSTIG</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63953-2025</t>
        </is>
      </c>
      <c r="B6731" s="1" t="n">
        <v>46020.83641203704</v>
      </c>
      <c r="C6731" s="1" t="n">
        <v>46086</v>
      </c>
      <c r="D6731" t="inlineStr">
        <is>
          <t>GÄVLEBORGS LÄN</t>
        </is>
      </c>
      <c r="E6731" t="inlineStr">
        <is>
          <t>BOLLNÄS</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57400-2024</t>
        </is>
      </c>
      <c r="B6732" s="1" t="n">
        <v>45629.71085648148</v>
      </c>
      <c r="C6732" s="1" t="n">
        <v>46086</v>
      </c>
      <c r="D6732" t="inlineStr">
        <is>
          <t>GÄVLEBORGS LÄN</t>
        </is>
      </c>
      <c r="E6732" t="inlineStr">
        <is>
          <t>HOFORS</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18486-2022</t>
        </is>
      </c>
      <c r="B6733" s="1" t="n">
        <v>44686.5978125</v>
      </c>
      <c r="C6733" s="1" t="n">
        <v>46086</v>
      </c>
      <c r="D6733" t="inlineStr">
        <is>
          <t>GÄVLEBORGS LÄN</t>
        </is>
      </c>
      <c r="E6733" t="inlineStr">
        <is>
          <t>BOLLNÄS</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56958-2025</t>
        </is>
      </c>
      <c r="B6734" s="1" t="n">
        <v>45978.65644675926</v>
      </c>
      <c r="C6734" s="1" t="n">
        <v>46086</v>
      </c>
      <c r="D6734" t="inlineStr">
        <is>
          <t>GÄVLEBORGS LÄN</t>
        </is>
      </c>
      <c r="E6734" t="inlineStr">
        <is>
          <t>BOLLNÄS</t>
        </is>
      </c>
      <c r="G6734" t="n">
        <v>10.8</v>
      </c>
      <c r="H6734" t="n">
        <v>0</v>
      </c>
      <c r="I6734" t="n">
        <v>0</v>
      </c>
      <c r="J6734" t="n">
        <v>0</v>
      </c>
      <c r="K6734" t="n">
        <v>0</v>
      </c>
      <c r="L6734" t="n">
        <v>0</v>
      </c>
      <c r="M6734" t="n">
        <v>0</v>
      </c>
      <c r="N6734" t="n">
        <v>0</v>
      </c>
      <c r="O6734" t="n">
        <v>0</v>
      </c>
      <c r="P6734" t="n">
        <v>0</v>
      </c>
      <c r="Q6734" t="n">
        <v>0</v>
      </c>
      <c r="R6734" s="2" t="inlineStr"/>
    </row>
    <row r="6735" ht="15" customHeight="1">
      <c r="A6735" t="inlineStr">
        <is>
          <t>A 56818-2025</t>
        </is>
      </c>
      <c r="B6735" s="1" t="n">
        <v>45978.46162037037</v>
      </c>
      <c r="C6735" s="1" t="n">
        <v>46086</v>
      </c>
      <c r="D6735" t="inlineStr">
        <is>
          <t>GÄVLEBORGS LÄN</t>
        </is>
      </c>
      <c r="E6735" t="inlineStr">
        <is>
          <t>HUDIKSVALL</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56819-2025</t>
        </is>
      </c>
      <c r="B6736" s="1" t="n">
        <v>45978.46253472222</v>
      </c>
      <c r="C6736" s="1" t="n">
        <v>46086</v>
      </c>
      <c r="D6736" t="inlineStr">
        <is>
          <t>GÄVLEBORGS LÄN</t>
        </is>
      </c>
      <c r="E6736" t="inlineStr">
        <is>
          <t>LJUSDAL</t>
        </is>
      </c>
      <c r="F6736" t="inlineStr">
        <is>
          <t>Allmännings- och besparingsskogar</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12768-2025</t>
        </is>
      </c>
      <c r="B6737" s="1" t="n">
        <v>45733.57840277778</v>
      </c>
      <c r="C6737" s="1" t="n">
        <v>46086</v>
      </c>
      <c r="D6737" t="inlineStr">
        <is>
          <t>GÄVLEBORGS LÄN</t>
        </is>
      </c>
      <c r="E6737" t="inlineStr">
        <is>
          <t>LJUSDAL</t>
        </is>
      </c>
      <c r="G6737" t="n">
        <v>5.4</v>
      </c>
      <c r="H6737" t="n">
        <v>0</v>
      </c>
      <c r="I6737" t="n">
        <v>0</v>
      </c>
      <c r="J6737" t="n">
        <v>0</v>
      </c>
      <c r="K6737" t="n">
        <v>0</v>
      </c>
      <c r="L6737" t="n">
        <v>0</v>
      </c>
      <c r="M6737" t="n">
        <v>0</v>
      </c>
      <c r="N6737" t="n">
        <v>0</v>
      </c>
      <c r="O6737" t="n">
        <v>0</v>
      </c>
      <c r="P6737" t="n">
        <v>0</v>
      </c>
      <c r="Q6737" t="n">
        <v>0</v>
      </c>
      <c r="R6737" s="2" t="inlineStr"/>
    </row>
    <row r="6738" ht="15" customHeight="1">
      <c r="A6738" t="inlineStr">
        <is>
          <t>A 57172-2025</t>
        </is>
      </c>
      <c r="B6738" s="1" t="n">
        <v>45979.54767361111</v>
      </c>
      <c r="C6738" s="1" t="n">
        <v>46086</v>
      </c>
      <c r="D6738" t="inlineStr">
        <is>
          <t>GÄVLEBORGS LÄN</t>
        </is>
      </c>
      <c r="E6738" t="inlineStr">
        <is>
          <t>OVANÅKER</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56949-2025</t>
        </is>
      </c>
      <c r="B6739" s="1" t="n">
        <v>45978.64606481481</v>
      </c>
      <c r="C6739" s="1" t="n">
        <v>46086</v>
      </c>
      <c r="D6739" t="inlineStr">
        <is>
          <t>GÄVLEBORGS LÄN</t>
        </is>
      </c>
      <c r="E6739" t="inlineStr">
        <is>
          <t>SÖDERHAMN</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20689-2024</t>
        </is>
      </c>
      <c r="B6740" s="1" t="n">
        <v>45436</v>
      </c>
      <c r="C6740" s="1" t="n">
        <v>46086</v>
      </c>
      <c r="D6740" t="inlineStr">
        <is>
          <t>GÄVLEBORGS LÄN</t>
        </is>
      </c>
      <c r="E6740" t="inlineStr">
        <is>
          <t>GÄVLE</t>
        </is>
      </c>
      <c r="G6740" t="n">
        <v>0.2</v>
      </c>
      <c r="H6740" t="n">
        <v>0</v>
      </c>
      <c r="I6740" t="n">
        <v>0</v>
      </c>
      <c r="J6740" t="n">
        <v>0</v>
      </c>
      <c r="K6740" t="n">
        <v>0</v>
      </c>
      <c r="L6740" t="n">
        <v>0</v>
      </c>
      <c r="M6740" t="n">
        <v>0</v>
      </c>
      <c r="N6740" t="n">
        <v>0</v>
      </c>
      <c r="O6740" t="n">
        <v>0</v>
      </c>
      <c r="P6740" t="n">
        <v>0</v>
      </c>
      <c r="Q6740" t="n">
        <v>0</v>
      </c>
      <c r="R6740" s="2" t="inlineStr"/>
    </row>
    <row r="6741" ht="15" customHeight="1">
      <c r="A6741" t="inlineStr">
        <is>
          <t>A 16623-2025</t>
        </is>
      </c>
      <c r="B6741" s="1" t="n">
        <v>45754.34134259259</v>
      </c>
      <c r="C6741" s="1" t="n">
        <v>46086</v>
      </c>
      <c r="D6741" t="inlineStr">
        <is>
          <t>GÄVLEBORGS LÄN</t>
        </is>
      </c>
      <c r="E6741" t="inlineStr">
        <is>
          <t>OCKELBO</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43310-2024</t>
        </is>
      </c>
      <c r="B6742" s="1" t="n">
        <v>45568.44828703703</v>
      </c>
      <c r="C6742" s="1" t="n">
        <v>46086</v>
      </c>
      <c r="D6742" t="inlineStr">
        <is>
          <t>GÄVLEBORGS LÄN</t>
        </is>
      </c>
      <c r="E6742" t="inlineStr">
        <is>
          <t>BOLLNÄS</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16629-2025</t>
        </is>
      </c>
      <c r="B6743" s="1" t="n">
        <v>45754.36008101852</v>
      </c>
      <c r="C6743" s="1" t="n">
        <v>46086</v>
      </c>
      <c r="D6743" t="inlineStr">
        <is>
          <t>GÄVLEBORGS LÄN</t>
        </is>
      </c>
      <c r="E6743" t="inlineStr">
        <is>
          <t>OCKELBO</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3267-2025</t>
        </is>
      </c>
      <c r="B6744" s="1" t="n">
        <v>45679.57982638889</v>
      </c>
      <c r="C6744" s="1" t="n">
        <v>46086</v>
      </c>
      <c r="D6744" t="inlineStr">
        <is>
          <t>GÄVLEBORGS LÄN</t>
        </is>
      </c>
      <c r="E6744" t="inlineStr">
        <is>
          <t>OCKELBO</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57175-2025</t>
        </is>
      </c>
      <c r="B6745" s="1" t="n">
        <v>45979.55052083333</v>
      </c>
      <c r="C6745" s="1" t="n">
        <v>46086</v>
      </c>
      <c r="D6745" t="inlineStr">
        <is>
          <t>GÄVLEBORGS LÄN</t>
        </is>
      </c>
      <c r="E6745" t="inlineStr">
        <is>
          <t>SÖDERHAMN</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57191-2025</t>
        </is>
      </c>
      <c r="B6746" s="1" t="n">
        <v>45979.57627314814</v>
      </c>
      <c r="C6746" s="1" t="n">
        <v>46086</v>
      </c>
      <c r="D6746" t="inlineStr">
        <is>
          <t>GÄVLEBORGS LÄN</t>
        </is>
      </c>
      <c r="E6746" t="inlineStr">
        <is>
          <t>HUDIKSVALL</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56771-2025</t>
        </is>
      </c>
      <c r="B6747" s="1" t="n">
        <v>45978.38471064815</v>
      </c>
      <c r="C6747" s="1" t="n">
        <v>46086</v>
      </c>
      <c r="D6747" t="inlineStr">
        <is>
          <t>GÄVLEBORGS LÄN</t>
        </is>
      </c>
      <c r="E6747" t="inlineStr">
        <is>
          <t>OVANÅKER</t>
        </is>
      </c>
      <c r="F6747" t="inlineStr">
        <is>
          <t>Bergvik skog väst AB</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56876-2025</t>
        </is>
      </c>
      <c r="B6748" s="1" t="n">
        <v>45978.53752314814</v>
      </c>
      <c r="C6748" s="1" t="n">
        <v>46086</v>
      </c>
      <c r="D6748" t="inlineStr">
        <is>
          <t>GÄVLEBORGS LÄN</t>
        </is>
      </c>
      <c r="E6748" t="inlineStr">
        <is>
          <t>OCKELBO</t>
        </is>
      </c>
      <c r="G6748" t="n">
        <v>3.7</v>
      </c>
      <c r="H6748" t="n">
        <v>0</v>
      </c>
      <c r="I6748" t="n">
        <v>0</v>
      </c>
      <c r="J6748" t="n">
        <v>0</v>
      </c>
      <c r="K6748" t="n">
        <v>0</v>
      </c>
      <c r="L6748" t="n">
        <v>0</v>
      </c>
      <c r="M6748" t="n">
        <v>0</v>
      </c>
      <c r="N6748" t="n">
        <v>0</v>
      </c>
      <c r="O6748" t="n">
        <v>0</v>
      </c>
      <c r="P6748" t="n">
        <v>0</v>
      </c>
      <c r="Q6748" t="n">
        <v>0</v>
      </c>
      <c r="R6748" s="2" t="inlineStr"/>
    </row>
    <row r="6749" ht="15" customHeight="1">
      <c r="A6749" t="inlineStr">
        <is>
          <t>A 60194-2023</t>
        </is>
      </c>
      <c r="B6749" s="1" t="n">
        <v>45258.58299768518</v>
      </c>
      <c r="C6749" s="1" t="n">
        <v>46086</v>
      </c>
      <c r="D6749" t="inlineStr">
        <is>
          <t>GÄVLEBORGS LÄN</t>
        </is>
      </c>
      <c r="E6749" t="inlineStr">
        <is>
          <t>HUDIKSVALL</t>
        </is>
      </c>
      <c r="F6749" t="inlineStr">
        <is>
          <t>Holmen skog AB</t>
        </is>
      </c>
      <c r="G6749" t="n">
        <v>5.8</v>
      </c>
      <c r="H6749" t="n">
        <v>0</v>
      </c>
      <c r="I6749" t="n">
        <v>0</v>
      </c>
      <c r="J6749" t="n">
        <v>0</v>
      </c>
      <c r="K6749" t="n">
        <v>0</v>
      </c>
      <c r="L6749" t="n">
        <v>0</v>
      </c>
      <c r="M6749" t="n">
        <v>0</v>
      </c>
      <c r="N6749" t="n">
        <v>0</v>
      </c>
      <c r="O6749" t="n">
        <v>0</v>
      </c>
      <c r="P6749" t="n">
        <v>0</v>
      </c>
      <c r="Q6749" t="n">
        <v>0</v>
      </c>
      <c r="R6749" s="2" t="inlineStr"/>
    </row>
    <row r="6750" ht="15" customHeight="1">
      <c r="A6750" t="inlineStr">
        <is>
          <t>A 56834-2025</t>
        </is>
      </c>
      <c r="B6750" s="1" t="n">
        <v>45978.47350694444</v>
      </c>
      <c r="C6750" s="1" t="n">
        <v>46086</v>
      </c>
      <c r="D6750" t="inlineStr">
        <is>
          <t>GÄVLEBORGS LÄN</t>
        </is>
      </c>
      <c r="E6750" t="inlineStr">
        <is>
          <t>HUDIKSVALL</t>
        </is>
      </c>
      <c r="G6750" t="n">
        <v>4</v>
      </c>
      <c r="H6750" t="n">
        <v>0</v>
      </c>
      <c r="I6750" t="n">
        <v>0</v>
      </c>
      <c r="J6750" t="n">
        <v>0</v>
      </c>
      <c r="K6750" t="n">
        <v>0</v>
      </c>
      <c r="L6750" t="n">
        <v>0</v>
      </c>
      <c r="M6750" t="n">
        <v>0</v>
      </c>
      <c r="N6750" t="n">
        <v>0</v>
      </c>
      <c r="O6750" t="n">
        <v>0</v>
      </c>
      <c r="P6750" t="n">
        <v>0</v>
      </c>
      <c r="Q6750" t="n">
        <v>0</v>
      </c>
      <c r="R6750" s="2" t="inlineStr"/>
    </row>
    <row r="6751" ht="15" customHeight="1">
      <c r="A6751" t="inlineStr">
        <is>
          <t>A 60218-2023</t>
        </is>
      </c>
      <c r="B6751" s="1" t="n">
        <v>45258.61202546296</v>
      </c>
      <c r="C6751" s="1" t="n">
        <v>46086</v>
      </c>
      <c r="D6751" t="inlineStr">
        <is>
          <t>GÄVLEBORGS LÄN</t>
        </is>
      </c>
      <c r="E6751" t="inlineStr">
        <is>
          <t>OVANÅKER</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56803-2025</t>
        </is>
      </c>
      <c r="B6752" s="1" t="n">
        <v>45978.44311342593</v>
      </c>
      <c r="C6752" s="1" t="n">
        <v>46086</v>
      </c>
      <c r="D6752" t="inlineStr">
        <is>
          <t>GÄVLEBORGS LÄN</t>
        </is>
      </c>
      <c r="E6752" t="inlineStr">
        <is>
          <t>OCKELBO</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56820-2025</t>
        </is>
      </c>
      <c r="B6753" s="1" t="n">
        <v>45978</v>
      </c>
      <c r="C6753" s="1" t="n">
        <v>46086</v>
      </c>
      <c r="D6753" t="inlineStr">
        <is>
          <t>GÄVLEBORGS LÄN</t>
        </is>
      </c>
      <c r="E6753" t="inlineStr">
        <is>
          <t>HUDIKSVALL</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56832-2025</t>
        </is>
      </c>
      <c r="B6754" s="1" t="n">
        <v>45978.46799768518</v>
      </c>
      <c r="C6754" s="1" t="n">
        <v>46086</v>
      </c>
      <c r="D6754" t="inlineStr">
        <is>
          <t>GÄVLEBORGS LÄN</t>
        </is>
      </c>
      <c r="E6754" t="inlineStr">
        <is>
          <t>HUDIKSVALL</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57261-2025</t>
        </is>
      </c>
      <c r="B6755" s="1" t="n">
        <v>45979.65626157408</v>
      </c>
      <c r="C6755" s="1" t="n">
        <v>46086</v>
      </c>
      <c r="D6755" t="inlineStr">
        <is>
          <t>GÄVLEBORGS LÄN</t>
        </is>
      </c>
      <c r="E6755" t="inlineStr">
        <is>
          <t>SANDVIKEN</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17498-2024</t>
        </is>
      </c>
      <c r="B6756" s="1" t="n">
        <v>45415</v>
      </c>
      <c r="C6756" s="1" t="n">
        <v>46086</v>
      </c>
      <c r="D6756" t="inlineStr">
        <is>
          <t>GÄVLEBORGS LÄN</t>
        </is>
      </c>
      <c r="E6756" t="inlineStr">
        <is>
          <t>SANDVIKEN</t>
        </is>
      </c>
      <c r="F6756" t="inlineStr">
        <is>
          <t>Kommuner</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56946-2025</t>
        </is>
      </c>
      <c r="B6757" s="1" t="n">
        <v>45978.64278935185</v>
      </c>
      <c r="C6757" s="1" t="n">
        <v>46086</v>
      </c>
      <c r="D6757" t="inlineStr">
        <is>
          <t>GÄVLEBORGS LÄN</t>
        </is>
      </c>
      <c r="E6757" t="inlineStr">
        <is>
          <t>SÖDERHAMN</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57071-2025</t>
        </is>
      </c>
      <c r="B6758" s="1" t="n">
        <v>45979.39049768518</v>
      </c>
      <c r="C6758" s="1" t="n">
        <v>46086</v>
      </c>
      <c r="D6758" t="inlineStr">
        <is>
          <t>GÄVLEBORGS LÄN</t>
        </is>
      </c>
      <c r="E6758" t="inlineStr">
        <is>
          <t>OVANÅKER</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19568-2024</t>
        </is>
      </c>
      <c r="B6759" s="1" t="n">
        <v>45429.92326388889</v>
      </c>
      <c r="C6759" s="1" t="n">
        <v>46086</v>
      </c>
      <c r="D6759" t="inlineStr">
        <is>
          <t>GÄVLEBORGS LÄN</t>
        </is>
      </c>
      <c r="E6759" t="inlineStr">
        <is>
          <t>NORDANSTIG</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19569-2024</t>
        </is>
      </c>
      <c r="B6760" s="1" t="n">
        <v>45429.92331018519</v>
      </c>
      <c r="C6760" s="1" t="n">
        <v>46086</v>
      </c>
      <c r="D6760" t="inlineStr">
        <is>
          <t>GÄVLEBORGS LÄN</t>
        </is>
      </c>
      <c r="E6760" t="inlineStr">
        <is>
          <t>NORDANSTIG</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57120-2025</t>
        </is>
      </c>
      <c r="B6761" s="1" t="n">
        <v>45978</v>
      </c>
      <c r="C6761" s="1" t="n">
        <v>46086</v>
      </c>
      <c r="D6761" t="inlineStr">
        <is>
          <t>GÄVLEBORGS LÄN</t>
        </is>
      </c>
      <c r="E6761" t="inlineStr">
        <is>
          <t>SÖDERHAMN</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62596-2023</t>
        </is>
      </c>
      <c r="B6762" s="1" t="n">
        <v>45271</v>
      </c>
      <c r="C6762" s="1" t="n">
        <v>46086</v>
      </c>
      <c r="D6762" t="inlineStr">
        <is>
          <t>GÄVLEBORGS LÄN</t>
        </is>
      </c>
      <c r="E6762" t="inlineStr">
        <is>
          <t>HOFORS</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57151-2025</t>
        </is>
      </c>
      <c r="B6763" s="1" t="n">
        <v>45979.5083912037</v>
      </c>
      <c r="C6763" s="1" t="n">
        <v>46086</v>
      </c>
      <c r="D6763" t="inlineStr">
        <is>
          <t>GÄVLEBORGS LÄN</t>
        </is>
      </c>
      <c r="E6763" t="inlineStr">
        <is>
          <t>BOLLNÄS</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57596-2025</t>
        </is>
      </c>
      <c r="B6764" s="1" t="n">
        <v>45980.9716087963</v>
      </c>
      <c r="C6764" s="1" t="n">
        <v>46086</v>
      </c>
      <c r="D6764" t="inlineStr">
        <is>
          <t>GÄVLEBORGS LÄN</t>
        </is>
      </c>
      <c r="E6764" t="inlineStr">
        <is>
          <t>HOFORS</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5131-2024</t>
        </is>
      </c>
      <c r="B6765" s="1" t="n">
        <v>45330.44824074074</v>
      </c>
      <c r="C6765" s="1" t="n">
        <v>46086</v>
      </c>
      <c r="D6765" t="inlineStr">
        <is>
          <t>GÄVLEBORGS LÄN</t>
        </is>
      </c>
      <c r="E6765" t="inlineStr">
        <is>
          <t>OCKELBO</t>
        </is>
      </c>
      <c r="F6765" t="inlineStr">
        <is>
          <t>Bergvik skog väst AB</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11756-2023</t>
        </is>
      </c>
      <c r="B6766" s="1" t="n">
        <v>44994</v>
      </c>
      <c r="C6766" s="1" t="n">
        <v>46086</v>
      </c>
      <c r="D6766" t="inlineStr">
        <is>
          <t>GÄVLEBORGS LÄN</t>
        </is>
      </c>
      <c r="E6766" t="inlineStr">
        <is>
          <t>SANDVIKEN</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11764-2023</t>
        </is>
      </c>
      <c r="B6767" s="1" t="n">
        <v>44994.62415509259</v>
      </c>
      <c r="C6767" s="1" t="n">
        <v>46086</v>
      </c>
      <c r="D6767" t="inlineStr">
        <is>
          <t>GÄVLEBORGS LÄN</t>
        </is>
      </c>
      <c r="E6767" t="inlineStr">
        <is>
          <t>SANDVIKEN</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57593-2025</t>
        </is>
      </c>
      <c r="B6768" s="1" t="n">
        <v>45980.96055555555</v>
      </c>
      <c r="C6768" s="1" t="n">
        <v>46086</v>
      </c>
      <c r="D6768" t="inlineStr">
        <is>
          <t>GÄVLEBORGS LÄN</t>
        </is>
      </c>
      <c r="E6768" t="inlineStr">
        <is>
          <t>HOFORS</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57595-2025</t>
        </is>
      </c>
      <c r="B6769" s="1" t="n">
        <v>45980.97019675926</v>
      </c>
      <c r="C6769" s="1" t="n">
        <v>46086</v>
      </c>
      <c r="D6769" t="inlineStr">
        <is>
          <t>GÄVLEBORGS LÄN</t>
        </is>
      </c>
      <c r="E6769" t="inlineStr">
        <is>
          <t>HOFORS</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57604-2025</t>
        </is>
      </c>
      <c r="B6770" s="1" t="n">
        <v>45981.32533564815</v>
      </c>
      <c r="C6770" s="1" t="n">
        <v>46086</v>
      </c>
      <c r="D6770" t="inlineStr">
        <is>
          <t>GÄVLEBORGS LÄN</t>
        </is>
      </c>
      <c r="E6770" t="inlineStr">
        <is>
          <t>SANDVIKEN</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57614-2025</t>
        </is>
      </c>
      <c r="B6771" s="1" t="n">
        <v>45981.34307870371</v>
      </c>
      <c r="C6771" s="1" t="n">
        <v>46086</v>
      </c>
      <c r="D6771" t="inlineStr">
        <is>
          <t>GÄVLEBORGS LÄN</t>
        </is>
      </c>
      <c r="E6771" t="inlineStr">
        <is>
          <t>OCKELBO</t>
        </is>
      </c>
      <c r="F6771" t="inlineStr">
        <is>
          <t>Bergvik skog väst AB</t>
        </is>
      </c>
      <c r="G6771" t="n">
        <v>10.4</v>
      </c>
      <c r="H6771" t="n">
        <v>0</v>
      </c>
      <c r="I6771" t="n">
        <v>0</v>
      </c>
      <c r="J6771" t="n">
        <v>0</v>
      </c>
      <c r="K6771" t="n">
        <v>0</v>
      </c>
      <c r="L6771" t="n">
        <v>0</v>
      </c>
      <c r="M6771" t="n">
        <v>0</v>
      </c>
      <c r="N6771" t="n">
        <v>0</v>
      </c>
      <c r="O6771" t="n">
        <v>0</v>
      </c>
      <c r="P6771" t="n">
        <v>0</v>
      </c>
      <c r="Q6771" t="n">
        <v>0</v>
      </c>
      <c r="R6771" s="2" t="inlineStr"/>
    </row>
    <row r="6772" ht="15" customHeight="1">
      <c r="A6772" t="inlineStr">
        <is>
          <t>A 57322-2025</t>
        </is>
      </c>
      <c r="B6772" s="1" t="n">
        <v>45980.3249074074</v>
      </c>
      <c r="C6772" s="1" t="n">
        <v>46086</v>
      </c>
      <c r="D6772" t="inlineStr">
        <is>
          <t>GÄVLEBORGS LÄN</t>
        </is>
      </c>
      <c r="E6772" t="inlineStr">
        <is>
          <t>HUDIKSVALL</t>
        </is>
      </c>
      <c r="G6772" t="n">
        <v>0.2</v>
      </c>
      <c r="H6772" t="n">
        <v>0</v>
      </c>
      <c r="I6772" t="n">
        <v>0</v>
      </c>
      <c r="J6772" t="n">
        <v>0</v>
      </c>
      <c r="K6772" t="n">
        <v>0</v>
      </c>
      <c r="L6772" t="n">
        <v>0</v>
      </c>
      <c r="M6772" t="n">
        <v>0</v>
      </c>
      <c r="N6772" t="n">
        <v>0</v>
      </c>
      <c r="O6772" t="n">
        <v>0</v>
      </c>
      <c r="P6772" t="n">
        <v>0</v>
      </c>
      <c r="Q6772" t="n">
        <v>0</v>
      </c>
      <c r="R6772" s="2" t="inlineStr"/>
    </row>
    <row r="6773" ht="15" customHeight="1">
      <c r="A6773" t="inlineStr">
        <is>
          <t>A 8081-2024</t>
        </is>
      </c>
      <c r="B6773" s="1" t="n">
        <v>45351.43940972222</v>
      </c>
      <c r="C6773" s="1" t="n">
        <v>46086</v>
      </c>
      <c r="D6773" t="inlineStr">
        <is>
          <t>GÄVLEBORGS LÄN</t>
        </is>
      </c>
      <c r="E6773" t="inlineStr">
        <is>
          <t>LJUSDAL</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7136-2025</t>
        </is>
      </c>
      <c r="B6774" s="1" t="n">
        <v>45702.36628472222</v>
      </c>
      <c r="C6774" s="1" t="n">
        <v>46086</v>
      </c>
      <c r="D6774" t="inlineStr">
        <is>
          <t>GÄVLEBORGS LÄN</t>
        </is>
      </c>
      <c r="E6774" t="inlineStr">
        <is>
          <t>BOLLNÄS</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23195-2022</t>
        </is>
      </c>
      <c r="B6775" s="1" t="n">
        <v>44719.92542824074</v>
      </c>
      <c r="C6775" s="1" t="n">
        <v>46086</v>
      </c>
      <c r="D6775" t="inlineStr">
        <is>
          <t>GÄVLEBORGS LÄN</t>
        </is>
      </c>
      <c r="E6775" t="inlineStr">
        <is>
          <t>LJUSDAL</t>
        </is>
      </c>
      <c r="G6775" t="n">
        <v>4.2</v>
      </c>
      <c r="H6775" t="n">
        <v>0</v>
      </c>
      <c r="I6775" t="n">
        <v>0</v>
      </c>
      <c r="J6775" t="n">
        <v>0</v>
      </c>
      <c r="K6775" t="n">
        <v>0</v>
      </c>
      <c r="L6775" t="n">
        <v>0</v>
      </c>
      <c r="M6775" t="n">
        <v>0</v>
      </c>
      <c r="N6775" t="n">
        <v>0</v>
      </c>
      <c r="O6775" t="n">
        <v>0</v>
      </c>
      <c r="P6775" t="n">
        <v>0</v>
      </c>
      <c r="Q6775" t="n">
        <v>0</v>
      </c>
      <c r="R6775" s="2" t="inlineStr"/>
    </row>
    <row r="6776" ht="15" customHeight="1">
      <c r="A6776" t="inlineStr">
        <is>
          <t>A 45626-2022</t>
        </is>
      </c>
      <c r="B6776" s="1" t="n">
        <v>44845</v>
      </c>
      <c r="C6776" s="1" t="n">
        <v>46086</v>
      </c>
      <c r="D6776" t="inlineStr">
        <is>
          <t>GÄVLEBORGS LÄN</t>
        </is>
      </c>
      <c r="E6776" t="inlineStr">
        <is>
          <t>GÄVLE</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32353-2023</t>
        </is>
      </c>
      <c r="B6777" s="1" t="n">
        <v>45120.51550925926</v>
      </c>
      <c r="C6777" s="1" t="n">
        <v>46086</v>
      </c>
      <c r="D6777" t="inlineStr">
        <is>
          <t>GÄVLEBORGS LÄN</t>
        </is>
      </c>
      <c r="E6777" t="inlineStr">
        <is>
          <t>GÄVLE</t>
        </is>
      </c>
      <c r="G6777" t="n">
        <v>3.7</v>
      </c>
      <c r="H6777" t="n">
        <v>0</v>
      </c>
      <c r="I6777" t="n">
        <v>0</v>
      </c>
      <c r="J6777" t="n">
        <v>0</v>
      </c>
      <c r="K6777" t="n">
        <v>0</v>
      </c>
      <c r="L6777" t="n">
        <v>0</v>
      </c>
      <c r="M6777" t="n">
        <v>0</v>
      </c>
      <c r="N6777" t="n">
        <v>0</v>
      </c>
      <c r="O6777" t="n">
        <v>0</v>
      </c>
      <c r="P6777" t="n">
        <v>0</v>
      </c>
      <c r="Q6777" t="n">
        <v>0</v>
      </c>
      <c r="R6777" s="2" t="inlineStr"/>
    </row>
    <row r="6778" ht="15" customHeight="1">
      <c r="A6778" t="inlineStr">
        <is>
          <t>A 42136-2024</t>
        </is>
      </c>
      <c r="B6778" s="1" t="n">
        <v>45562.41775462963</v>
      </c>
      <c r="C6778" s="1" t="n">
        <v>46086</v>
      </c>
      <c r="D6778" t="inlineStr">
        <is>
          <t>GÄVLEBORGS LÄN</t>
        </is>
      </c>
      <c r="E6778" t="inlineStr">
        <is>
          <t>HUDIKSVALL</t>
        </is>
      </c>
      <c r="F6778" t="inlineStr">
        <is>
          <t>Holmen skog AB</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57875-2025</t>
        </is>
      </c>
      <c r="B6779" s="1" t="n">
        <v>45981.65532407408</v>
      </c>
      <c r="C6779" s="1" t="n">
        <v>46086</v>
      </c>
      <c r="D6779" t="inlineStr">
        <is>
          <t>GÄVLEBORGS LÄN</t>
        </is>
      </c>
      <c r="E6779" t="inlineStr">
        <is>
          <t>NORDANSTIG</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43378-2023</t>
        </is>
      </c>
      <c r="B6780" s="1" t="n">
        <v>45183</v>
      </c>
      <c r="C6780" s="1" t="n">
        <v>46086</v>
      </c>
      <c r="D6780" t="inlineStr">
        <is>
          <t>GÄVLEBORGS LÄN</t>
        </is>
      </c>
      <c r="E6780" t="inlineStr">
        <is>
          <t>NORDANSTIG</t>
        </is>
      </c>
      <c r="F6780" t="inlineStr">
        <is>
          <t>Holmen skog AB</t>
        </is>
      </c>
      <c r="G6780" t="n">
        <v>8</v>
      </c>
      <c r="H6780" t="n">
        <v>0</v>
      </c>
      <c r="I6780" t="n">
        <v>0</v>
      </c>
      <c r="J6780" t="n">
        <v>0</v>
      </c>
      <c r="K6780" t="n">
        <v>0</v>
      </c>
      <c r="L6780" t="n">
        <v>0</v>
      </c>
      <c r="M6780" t="n">
        <v>0</v>
      </c>
      <c r="N6780" t="n">
        <v>0</v>
      </c>
      <c r="O6780" t="n">
        <v>0</v>
      </c>
      <c r="P6780" t="n">
        <v>0</v>
      </c>
      <c r="Q6780" t="n">
        <v>0</v>
      </c>
      <c r="R6780" s="2" t="inlineStr"/>
    </row>
    <row r="6781" ht="15" customHeight="1">
      <c r="A6781" t="inlineStr">
        <is>
          <t>A 57636-2025</t>
        </is>
      </c>
      <c r="B6781" s="1" t="n">
        <v>45981.3564699074</v>
      </c>
      <c r="C6781" s="1" t="n">
        <v>46086</v>
      </c>
      <c r="D6781" t="inlineStr">
        <is>
          <t>GÄVLEBORGS LÄN</t>
        </is>
      </c>
      <c r="E6781" t="inlineStr">
        <is>
          <t>OVANÅKER</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57554-2025</t>
        </is>
      </c>
      <c r="B6782" s="1" t="n">
        <v>45980.67041666667</v>
      </c>
      <c r="C6782" s="1" t="n">
        <v>46086</v>
      </c>
      <c r="D6782" t="inlineStr">
        <is>
          <t>GÄVLEBORGS LÄN</t>
        </is>
      </c>
      <c r="E6782" t="inlineStr">
        <is>
          <t>OVANÅKER</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60872-2024</t>
        </is>
      </c>
      <c r="B6783" s="1" t="n">
        <v>45644</v>
      </c>
      <c r="C6783" s="1" t="n">
        <v>46086</v>
      </c>
      <c r="D6783" t="inlineStr">
        <is>
          <t>GÄVLEBORGS LÄN</t>
        </is>
      </c>
      <c r="E6783" t="inlineStr">
        <is>
          <t>HUDIKSVALL</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1392-2025</t>
        </is>
      </c>
      <c r="B6784" s="1" t="n">
        <v>45667</v>
      </c>
      <c r="C6784" s="1" t="n">
        <v>46086</v>
      </c>
      <c r="D6784" t="inlineStr">
        <is>
          <t>GÄVLEBORGS LÄN</t>
        </is>
      </c>
      <c r="E6784" t="inlineStr">
        <is>
          <t>NORDANSTIG</t>
        </is>
      </c>
      <c r="G6784" t="n">
        <v>4</v>
      </c>
      <c r="H6784" t="n">
        <v>0</v>
      </c>
      <c r="I6784" t="n">
        <v>0</v>
      </c>
      <c r="J6784" t="n">
        <v>0</v>
      </c>
      <c r="K6784" t="n">
        <v>0</v>
      </c>
      <c r="L6784" t="n">
        <v>0</v>
      </c>
      <c r="M6784" t="n">
        <v>0</v>
      </c>
      <c r="N6784" t="n">
        <v>0</v>
      </c>
      <c r="O6784" t="n">
        <v>0</v>
      </c>
      <c r="P6784" t="n">
        <v>0</v>
      </c>
      <c r="Q6784" t="n">
        <v>0</v>
      </c>
      <c r="R6784" s="2" t="inlineStr"/>
    </row>
    <row r="6785" ht="15" customHeight="1">
      <c r="A6785" t="inlineStr">
        <is>
          <t>A 27418-2024</t>
        </is>
      </c>
      <c r="B6785" s="1" t="n">
        <v>45474</v>
      </c>
      <c r="C6785" s="1" t="n">
        <v>46086</v>
      </c>
      <c r="D6785" t="inlineStr">
        <is>
          <t>GÄVLEBORGS LÄN</t>
        </is>
      </c>
      <c r="E6785" t="inlineStr">
        <is>
          <t>HUDIKSVALL</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27422-2024</t>
        </is>
      </c>
      <c r="B6786" s="1" t="n">
        <v>45474.37935185185</v>
      </c>
      <c r="C6786" s="1" t="n">
        <v>46086</v>
      </c>
      <c r="D6786" t="inlineStr">
        <is>
          <t>GÄVLEBORGS LÄN</t>
        </is>
      </c>
      <c r="E6786" t="inlineStr">
        <is>
          <t>OVANÅKER</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57772-2025</t>
        </is>
      </c>
      <c r="B6787" s="1" t="n">
        <v>45981.5628125</v>
      </c>
      <c r="C6787" s="1" t="n">
        <v>46086</v>
      </c>
      <c r="D6787" t="inlineStr">
        <is>
          <t>GÄVLEBORGS LÄN</t>
        </is>
      </c>
      <c r="E6787" t="inlineStr">
        <is>
          <t>OVANÅKER</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17256-2024</t>
        </is>
      </c>
      <c r="B6788" s="1" t="n">
        <v>45414.41319444445</v>
      </c>
      <c r="C6788" s="1" t="n">
        <v>46086</v>
      </c>
      <c r="D6788" t="inlineStr">
        <is>
          <t>GÄVLEBORGS LÄN</t>
        </is>
      </c>
      <c r="E6788" t="inlineStr">
        <is>
          <t>SANDVIKEN</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57706-2025</t>
        </is>
      </c>
      <c r="B6789" s="1" t="n">
        <v>45981.46954861111</v>
      </c>
      <c r="C6789" s="1" t="n">
        <v>46086</v>
      </c>
      <c r="D6789" t="inlineStr">
        <is>
          <t>GÄVLEBORGS LÄN</t>
        </is>
      </c>
      <c r="E6789" t="inlineStr">
        <is>
          <t>BOLLNÄS</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58796-2022</t>
        </is>
      </c>
      <c r="B6790" s="1" t="n">
        <v>44903</v>
      </c>
      <c r="C6790" s="1" t="n">
        <v>46086</v>
      </c>
      <c r="D6790" t="inlineStr">
        <is>
          <t>GÄVLEBORGS LÄN</t>
        </is>
      </c>
      <c r="E6790" t="inlineStr">
        <is>
          <t>LJUSDAL</t>
        </is>
      </c>
      <c r="F6790" t="inlineStr">
        <is>
          <t>Kyrkan</t>
        </is>
      </c>
      <c r="G6790" t="n">
        <v>6.8</v>
      </c>
      <c r="H6790" t="n">
        <v>0</v>
      </c>
      <c r="I6790" t="n">
        <v>0</v>
      </c>
      <c r="J6790" t="n">
        <v>0</v>
      </c>
      <c r="K6790" t="n">
        <v>0</v>
      </c>
      <c r="L6790" t="n">
        <v>0</v>
      </c>
      <c r="M6790" t="n">
        <v>0</v>
      </c>
      <c r="N6790" t="n">
        <v>0</v>
      </c>
      <c r="O6790" t="n">
        <v>0</v>
      </c>
      <c r="P6790" t="n">
        <v>0</v>
      </c>
      <c r="Q6790" t="n">
        <v>0</v>
      </c>
      <c r="R6790" s="2" t="inlineStr"/>
      <c r="U6790">
        <f>HYPERLINK("https://klasma.github.io/Logging_2161/knärot/A 58796-2022 karta knärot.png", "A 58796-2022")</f>
        <v/>
      </c>
      <c r="V6790">
        <f>HYPERLINK("https://klasma.github.io/Logging_2161/klagomål/A 58796-2022 FSC-klagomål.docx", "A 58796-2022")</f>
        <v/>
      </c>
      <c r="W6790">
        <f>HYPERLINK("https://klasma.github.io/Logging_2161/klagomålsmail/A 58796-2022 FSC-klagomål mail.docx", "A 58796-2022")</f>
        <v/>
      </c>
      <c r="X6790">
        <f>HYPERLINK("https://klasma.github.io/Logging_2161/tillsyn/A 58796-2022 tillsynsbegäran.docx", "A 58796-2022")</f>
        <v/>
      </c>
      <c r="Y6790">
        <f>HYPERLINK("https://klasma.github.io/Logging_2161/tillsynsmail/A 58796-2022 tillsynsbegäran mail.docx", "A 58796-2022")</f>
        <v/>
      </c>
    </row>
    <row r="6791" ht="15" customHeight="1">
      <c r="A6791" t="inlineStr">
        <is>
          <t>A 61858-2024</t>
        </is>
      </c>
      <c r="B6791" s="1" t="n">
        <v>45649.75841435185</v>
      </c>
      <c r="C6791" s="1" t="n">
        <v>46086</v>
      </c>
      <c r="D6791" t="inlineStr">
        <is>
          <t>GÄVLEBORGS LÄN</t>
        </is>
      </c>
      <c r="E6791" t="inlineStr">
        <is>
          <t>SANDVIKEN</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57753-2025</t>
        </is>
      </c>
      <c r="B6792" s="1" t="n">
        <v>45981.54328703704</v>
      </c>
      <c r="C6792" s="1" t="n">
        <v>46086</v>
      </c>
      <c r="D6792" t="inlineStr">
        <is>
          <t>GÄVLEBORGS LÄN</t>
        </is>
      </c>
      <c r="E6792" t="inlineStr">
        <is>
          <t>GÄVLE</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57707-2025</t>
        </is>
      </c>
      <c r="B6793" s="1" t="n">
        <v>45981.46956018519</v>
      </c>
      <c r="C6793" s="1" t="n">
        <v>46086</v>
      </c>
      <c r="D6793" t="inlineStr">
        <is>
          <t>GÄVLEBORGS LÄN</t>
        </is>
      </c>
      <c r="E6793" t="inlineStr">
        <is>
          <t>BOLLNÄS</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61141-2022</t>
        </is>
      </c>
      <c r="B6794" s="1" t="n">
        <v>44915.45592592593</v>
      </c>
      <c r="C6794" s="1" t="n">
        <v>46086</v>
      </c>
      <c r="D6794" t="inlineStr">
        <is>
          <t>GÄVLEBORGS LÄN</t>
        </is>
      </c>
      <c r="E6794" t="inlineStr">
        <is>
          <t>NORDANSTIG</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61167-2022</t>
        </is>
      </c>
      <c r="B6795" s="1" t="n">
        <v>44915.48208333334</v>
      </c>
      <c r="C6795" s="1" t="n">
        <v>46086</v>
      </c>
      <c r="D6795" t="inlineStr">
        <is>
          <t>GÄVLEBORGS LÄN</t>
        </is>
      </c>
      <c r="E6795" t="inlineStr">
        <is>
          <t>SANDVIKEN</t>
        </is>
      </c>
      <c r="G6795" t="n">
        <v>4</v>
      </c>
      <c r="H6795" t="n">
        <v>0</v>
      </c>
      <c r="I6795" t="n">
        <v>0</v>
      </c>
      <c r="J6795" t="n">
        <v>0</v>
      </c>
      <c r="K6795" t="n">
        <v>0</v>
      </c>
      <c r="L6795" t="n">
        <v>0</v>
      </c>
      <c r="M6795" t="n">
        <v>0</v>
      </c>
      <c r="N6795" t="n">
        <v>0</v>
      </c>
      <c r="O6795" t="n">
        <v>0</v>
      </c>
      <c r="P6795" t="n">
        <v>0</v>
      </c>
      <c r="Q6795" t="n">
        <v>0</v>
      </c>
      <c r="R6795" s="2" t="inlineStr"/>
    </row>
    <row r="6796" ht="15" customHeight="1">
      <c r="A6796" t="inlineStr">
        <is>
          <t>A 5405-2025</t>
        </is>
      </c>
      <c r="B6796" s="1" t="n">
        <v>45692</v>
      </c>
      <c r="C6796" s="1" t="n">
        <v>46086</v>
      </c>
      <c r="D6796" t="inlineStr">
        <is>
          <t>GÄVLEBORGS LÄN</t>
        </is>
      </c>
      <c r="E6796" t="inlineStr">
        <is>
          <t>HUDIKSVALL</t>
        </is>
      </c>
      <c r="F6796" t="inlineStr">
        <is>
          <t>Holmen skog AB</t>
        </is>
      </c>
      <c r="G6796" t="n">
        <v>48.2</v>
      </c>
      <c r="H6796" t="n">
        <v>0</v>
      </c>
      <c r="I6796" t="n">
        <v>0</v>
      </c>
      <c r="J6796" t="n">
        <v>0</v>
      </c>
      <c r="K6796" t="n">
        <v>0</v>
      </c>
      <c r="L6796" t="n">
        <v>0</v>
      </c>
      <c r="M6796" t="n">
        <v>0</v>
      </c>
      <c r="N6796" t="n">
        <v>0</v>
      </c>
      <c r="O6796" t="n">
        <v>0</v>
      </c>
      <c r="P6796" t="n">
        <v>0</v>
      </c>
      <c r="Q6796" t="n">
        <v>0</v>
      </c>
      <c r="R6796" s="2" t="inlineStr"/>
    </row>
    <row r="6797" ht="15" customHeight="1">
      <c r="A6797" t="inlineStr">
        <is>
          <t>A 60700-2023</t>
        </is>
      </c>
      <c r="B6797" s="1" t="n">
        <v>45260.50872685185</v>
      </c>
      <c r="C6797" s="1" t="n">
        <v>46086</v>
      </c>
      <c r="D6797" t="inlineStr">
        <is>
          <t>GÄVLEBORGS LÄN</t>
        </is>
      </c>
      <c r="E6797" t="inlineStr">
        <is>
          <t>SANDVIKEN</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33354-2024</t>
        </is>
      </c>
      <c r="B6798" s="1" t="n">
        <v>45519</v>
      </c>
      <c r="C6798" s="1" t="n">
        <v>46086</v>
      </c>
      <c r="D6798" t="inlineStr">
        <is>
          <t>GÄVLEBORGS LÄN</t>
        </is>
      </c>
      <c r="E6798" t="inlineStr">
        <is>
          <t>LJUSDAL</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38167-2024</t>
        </is>
      </c>
      <c r="B6799" s="1" t="n">
        <v>45545.45190972222</v>
      </c>
      <c r="C6799" s="1" t="n">
        <v>46086</v>
      </c>
      <c r="D6799" t="inlineStr">
        <is>
          <t>GÄVLEBORGS LÄN</t>
        </is>
      </c>
      <c r="E6799" t="inlineStr">
        <is>
          <t>HUDIKSVALL</t>
        </is>
      </c>
      <c r="F6799" t="inlineStr">
        <is>
          <t>Holmen skog AB</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57558-2025</t>
        </is>
      </c>
      <c r="B6800" s="1" t="n">
        <v>45980.69833333333</v>
      </c>
      <c r="C6800" s="1" t="n">
        <v>46086</v>
      </c>
      <c r="D6800" t="inlineStr">
        <is>
          <t>GÄVLEBORGS LÄN</t>
        </is>
      </c>
      <c r="E6800" t="inlineStr">
        <is>
          <t>NORDANSTIG</t>
        </is>
      </c>
      <c r="F6800" t="inlineStr">
        <is>
          <t>SCA</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57559-2025</t>
        </is>
      </c>
      <c r="B6801" s="1" t="n">
        <v>45980.6985300926</v>
      </c>
      <c r="C6801" s="1" t="n">
        <v>46086</v>
      </c>
      <c r="D6801" t="inlineStr">
        <is>
          <t>GÄVLEBORGS LÄN</t>
        </is>
      </c>
      <c r="E6801" t="inlineStr">
        <is>
          <t>NORDANSTIG</t>
        </is>
      </c>
      <c r="F6801" t="inlineStr">
        <is>
          <t>SCA</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57798-2021</t>
        </is>
      </c>
      <c r="B6802" s="1" t="n">
        <v>44484</v>
      </c>
      <c r="C6802" s="1" t="n">
        <v>46086</v>
      </c>
      <c r="D6802" t="inlineStr">
        <is>
          <t>GÄVLEBORGS LÄN</t>
        </is>
      </c>
      <c r="E6802" t="inlineStr">
        <is>
          <t>OVANÅKER</t>
        </is>
      </c>
      <c r="G6802" t="n">
        <v>13.4</v>
      </c>
      <c r="H6802" t="n">
        <v>0</v>
      </c>
      <c r="I6802" t="n">
        <v>0</v>
      </c>
      <c r="J6802" t="n">
        <v>0</v>
      </c>
      <c r="K6802" t="n">
        <v>0</v>
      </c>
      <c r="L6802" t="n">
        <v>0</v>
      </c>
      <c r="M6802" t="n">
        <v>0</v>
      </c>
      <c r="N6802" t="n">
        <v>0</v>
      </c>
      <c r="O6802" t="n">
        <v>0</v>
      </c>
      <c r="P6802" t="n">
        <v>0</v>
      </c>
      <c r="Q6802" t="n">
        <v>0</v>
      </c>
      <c r="R6802" s="2" t="inlineStr"/>
    </row>
    <row r="6803" ht="15" customHeight="1">
      <c r="A6803" t="inlineStr">
        <is>
          <t>A 14296-2024</t>
        </is>
      </c>
      <c r="B6803" s="1" t="n">
        <v>45393</v>
      </c>
      <c r="C6803" s="1" t="n">
        <v>46086</v>
      </c>
      <c r="D6803" t="inlineStr">
        <is>
          <t>GÄVLEBORGS LÄN</t>
        </is>
      </c>
      <c r="E6803" t="inlineStr">
        <is>
          <t>LJUSDAL</t>
        </is>
      </c>
      <c r="F6803" t="inlineStr">
        <is>
          <t>Bergvik skog väst AB</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18401-2023</t>
        </is>
      </c>
      <c r="B6804" s="1" t="n">
        <v>45042.3791550926</v>
      </c>
      <c r="C6804" s="1" t="n">
        <v>46086</v>
      </c>
      <c r="D6804" t="inlineStr">
        <is>
          <t>GÄVLEBORGS LÄN</t>
        </is>
      </c>
      <c r="E6804" t="inlineStr">
        <is>
          <t>NORDANSTIG</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6951-2024</t>
        </is>
      </c>
      <c r="B6805" s="1" t="n">
        <v>45343.43699074074</v>
      </c>
      <c r="C6805" s="1" t="n">
        <v>46086</v>
      </c>
      <c r="D6805" t="inlineStr">
        <is>
          <t>GÄVLEBORGS LÄN</t>
        </is>
      </c>
      <c r="E6805" t="inlineStr">
        <is>
          <t>SANDVIKEN</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57708-2025</t>
        </is>
      </c>
      <c r="B6806" s="1" t="n">
        <v>45981.46957175926</v>
      </c>
      <c r="C6806" s="1" t="n">
        <v>46086</v>
      </c>
      <c r="D6806" t="inlineStr">
        <is>
          <t>GÄVLEBORGS LÄN</t>
        </is>
      </c>
      <c r="E6806" t="inlineStr">
        <is>
          <t>BOLLNÄS</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57831-2025</t>
        </is>
      </c>
      <c r="B6807" s="1" t="n">
        <v>45981.61270833333</v>
      </c>
      <c r="C6807" s="1" t="n">
        <v>46086</v>
      </c>
      <c r="D6807" t="inlineStr">
        <is>
          <t>GÄVLEBORGS LÄN</t>
        </is>
      </c>
      <c r="E6807" t="inlineStr">
        <is>
          <t>NORDANSTIG</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17526-2025</t>
        </is>
      </c>
      <c r="B6808" s="1" t="n">
        <v>45757</v>
      </c>
      <c r="C6808" s="1" t="n">
        <v>46086</v>
      </c>
      <c r="D6808" t="inlineStr">
        <is>
          <t>GÄVLEBORGS LÄN</t>
        </is>
      </c>
      <c r="E6808" t="inlineStr">
        <is>
          <t>SÖDERHAMN</t>
        </is>
      </c>
      <c r="F6808" t="inlineStr">
        <is>
          <t>Bergvik skog väst AB</t>
        </is>
      </c>
      <c r="G6808" t="n">
        <v>7.3</v>
      </c>
      <c r="H6808" t="n">
        <v>0</v>
      </c>
      <c r="I6808" t="n">
        <v>0</v>
      </c>
      <c r="J6808" t="n">
        <v>0</v>
      </c>
      <c r="K6808" t="n">
        <v>0</v>
      </c>
      <c r="L6808" t="n">
        <v>0</v>
      </c>
      <c r="M6808" t="n">
        <v>0</v>
      </c>
      <c r="N6808" t="n">
        <v>0</v>
      </c>
      <c r="O6808" t="n">
        <v>0</v>
      </c>
      <c r="P6808" t="n">
        <v>0</v>
      </c>
      <c r="Q6808" t="n">
        <v>0</v>
      </c>
      <c r="R6808" s="2" t="inlineStr"/>
    </row>
    <row r="6809" ht="15" customHeight="1">
      <c r="A6809" t="inlineStr">
        <is>
          <t>A 57594-2025</t>
        </is>
      </c>
      <c r="B6809" s="1" t="n">
        <v>45980.96221064815</v>
      </c>
      <c r="C6809" s="1" t="n">
        <v>46086</v>
      </c>
      <c r="D6809" t="inlineStr">
        <is>
          <t>GÄVLEBORGS LÄN</t>
        </is>
      </c>
      <c r="E6809" t="inlineStr">
        <is>
          <t>HOFORS</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57835-2025</t>
        </is>
      </c>
      <c r="B6810" s="1" t="n">
        <v>45981.61557870371</v>
      </c>
      <c r="C6810" s="1" t="n">
        <v>46086</v>
      </c>
      <c r="D6810" t="inlineStr">
        <is>
          <t>GÄVLEBORGS LÄN</t>
        </is>
      </c>
      <c r="E6810" t="inlineStr">
        <is>
          <t>GÄVLE</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57860-2025</t>
        </is>
      </c>
      <c r="B6811" s="1" t="n">
        <v>45981.64178240741</v>
      </c>
      <c r="C6811" s="1" t="n">
        <v>46086</v>
      </c>
      <c r="D6811" t="inlineStr">
        <is>
          <t>GÄVLEBORGS LÄN</t>
        </is>
      </c>
      <c r="E6811" t="inlineStr">
        <is>
          <t>LJUSDAL</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36525-2024</t>
        </is>
      </c>
      <c r="B6812" s="1" t="n">
        <v>45537.43836805555</v>
      </c>
      <c r="C6812" s="1" t="n">
        <v>46086</v>
      </c>
      <c r="D6812" t="inlineStr">
        <is>
          <t>GÄVLEBORGS LÄN</t>
        </is>
      </c>
      <c r="E6812" t="inlineStr">
        <is>
          <t>NORDANSTIG</t>
        </is>
      </c>
      <c r="F6812" t="inlineStr">
        <is>
          <t>Holmen skog AB</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39340-2024</t>
        </is>
      </c>
      <c r="B6813" s="1" t="n">
        <v>45551.44383101852</v>
      </c>
      <c r="C6813" s="1" t="n">
        <v>46086</v>
      </c>
      <c r="D6813" t="inlineStr">
        <is>
          <t>GÄVLEBORGS LÄN</t>
        </is>
      </c>
      <c r="E6813" t="inlineStr">
        <is>
          <t>SANDVIKEN</t>
        </is>
      </c>
      <c r="F6813" t="inlineStr">
        <is>
          <t>Sveaskog</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57893-2025</t>
        </is>
      </c>
      <c r="B6814" s="1" t="n">
        <v>45981.69824074074</v>
      </c>
      <c r="C6814" s="1" t="n">
        <v>46086</v>
      </c>
      <c r="D6814" t="inlineStr">
        <is>
          <t>GÄVLEBORGS LÄN</t>
        </is>
      </c>
      <c r="E6814" t="inlineStr">
        <is>
          <t>BOLLNÄS</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25474-2024</t>
        </is>
      </c>
      <c r="B6815" s="1" t="n">
        <v>45463.44631944445</v>
      </c>
      <c r="C6815" s="1" t="n">
        <v>46086</v>
      </c>
      <c r="D6815" t="inlineStr">
        <is>
          <t>GÄVLEBORGS LÄN</t>
        </is>
      </c>
      <c r="E6815" t="inlineStr">
        <is>
          <t>HOFORS</t>
        </is>
      </c>
      <c r="F6815" t="inlineStr">
        <is>
          <t>Sveaskog</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57443-2025</t>
        </is>
      </c>
      <c r="B6816" s="1" t="n">
        <v>45980.48813657407</v>
      </c>
      <c r="C6816" s="1" t="n">
        <v>46086</v>
      </c>
      <c r="D6816" t="inlineStr">
        <is>
          <t>GÄVLEBORGS LÄN</t>
        </is>
      </c>
      <c r="E6816" t="inlineStr">
        <is>
          <t>BOLLNÄS</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57445-2025</t>
        </is>
      </c>
      <c r="B6817" s="1" t="n">
        <v>45980.49053240741</v>
      </c>
      <c r="C6817" s="1" t="n">
        <v>46086</v>
      </c>
      <c r="D6817" t="inlineStr">
        <is>
          <t>GÄVLEBORGS LÄN</t>
        </is>
      </c>
      <c r="E6817" t="inlineStr">
        <is>
          <t>BOLLNÄS</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57472-2025</t>
        </is>
      </c>
      <c r="B6818" s="1" t="n">
        <v>45980.5663425926</v>
      </c>
      <c r="C6818" s="1" t="n">
        <v>46086</v>
      </c>
      <c r="D6818" t="inlineStr">
        <is>
          <t>GÄVLEBORGS LÄN</t>
        </is>
      </c>
      <c r="E6818" t="inlineStr">
        <is>
          <t>LJUSDAL</t>
        </is>
      </c>
      <c r="F6818" t="inlineStr">
        <is>
          <t>Sveaskog</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57486-2025</t>
        </is>
      </c>
      <c r="B6819" s="1" t="n">
        <v>45980.57918981482</v>
      </c>
      <c r="C6819" s="1" t="n">
        <v>46086</v>
      </c>
      <c r="D6819" t="inlineStr">
        <is>
          <t>GÄVLEBORGS LÄN</t>
        </is>
      </c>
      <c r="E6819" t="inlineStr">
        <is>
          <t>HUDIKSVALL</t>
        </is>
      </c>
      <c r="G6819" t="n">
        <v>5.8</v>
      </c>
      <c r="H6819" t="n">
        <v>0</v>
      </c>
      <c r="I6819" t="n">
        <v>0</v>
      </c>
      <c r="J6819" t="n">
        <v>0</v>
      </c>
      <c r="K6819" t="n">
        <v>0</v>
      </c>
      <c r="L6819" t="n">
        <v>0</v>
      </c>
      <c r="M6819" t="n">
        <v>0</v>
      </c>
      <c r="N6819" t="n">
        <v>0</v>
      </c>
      <c r="O6819" t="n">
        <v>0</v>
      </c>
      <c r="P6819" t="n">
        <v>0</v>
      </c>
      <c r="Q6819" t="n">
        <v>0</v>
      </c>
      <c r="R6819" s="2" t="inlineStr"/>
    </row>
    <row r="6820" ht="15" customHeight="1">
      <c r="A6820" t="inlineStr">
        <is>
          <t>A 58214-2025</t>
        </is>
      </c>
      <c r="B6820" s="1" t="n">
        <v>45985.35077546296</v>
      </c>
      <c r="C6820" s="1" t="n">
        <v>46086</v>
      </c>
      <c r="D6820" t="inlineStr">
        <is>
          <t>GÄVLEBORGS LÄN</t>
        </is>
      </c>
      <c r="E6820" t="inlineStr">
        <is>
          <t>OVANÅKER</t>
        </is>
      </c>
      <c r="G6820" t="n">
        <v>9.6</v>
      </c>
      <c r="H6820" t="n">
        <v>0</v>
      </c>
      <c r="I6820" t="n">
        <v>0</v>
      </c>
      <c r="J6820" t="n">
        <v>0</v>
      </c>
      <c r="K6820" t="n">
        <v>0</v>
      </c>
      <c r="L6820" t="n">
        <v>0</v>
      </c>
      <c r="M6820" t="n">
        <v>0</v>
      </c>
      <c r="N6820" t="n">
        <v>0</v>
      </c>
      <c r="O6820" t="n">
        <v>0</v>
      </c>
      <c r="P6820" t="n">
        <v>0</v>
      </c>
      <c r="Q6820" t="n">
        <v>0</v>
      </c>
      <c r="R6820" s="2" t="inlineStr"/>
    </row>
    <row r="6821" ht="15" customHeight="1">
      <c r="A6821" t="inlineStr">
        <is>
          <t>A 58215-2025</t>
        </is>
      </c>
      <c r="B6821" s="1" t="n">
        <v>45985.3565162037</v>
      </c>
      <c r="C6821" s="1" t="n">
        <v>46086</v>
      </c>
      <c r="D6821" t="inlineStr">
        <is>
          <t>GÄVLEBORGS LÄN</t>
        </is>
      </c>
      <c r="E6821" t="inlineStr">
        <is>
          <t>SÖDERHAMN</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58059-2025</t>
        </is>
      </c>
      <c r="B6822" s="1" t="n">
        <v>45982.53160879629</v>
      </c>
      <c r="C6822" s="1" t="n">
        <v>46086</v>
      </c>
      <c r="D6822" t="inlineStr">
        <is>
          <t>GÄVLEBORGS LÄN</t>
        </is>
      </c>
      <c r="E6822" t="inlineStr">
        <is>
          <t>HUDIKSVALL</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21616-2022</t>
        </is>
      </c>
      <c r="B6823" s="1" t="n">
        <v>44706</v>
      </c>
      <c r="C6823" s="1" t="n">
        <v>46086</v>
      </c>
      <c r="D6823" t="inlineStr">
        <is>
          <t>GÄVLEBORGS LÄN</t>
        </is>
      </c>
      <c r="E6823" t="inlineStr">
        <is>
          <t>BOLLNÄS</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8448-2025</t>
        </is>
      </c>
      <c r="B6824" s="1" t="n">
        <v>45709</v>
      </c>
      <c r="C6824" s="1" t="n">
        <v>46086</v>
      </c>
      <c r="D6824" t="inlineStr">
        <is>
          <t>GÄVLEBORGS LÄN</t>
        </is>
      </c>
      <c r="E6824" t="inlineStr">
        <is>
          <t>HOFORS</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58184-2025</t>
        </is>
      </c>
      <c r="B6825" s="1" t="n">
        <v>45983.29730324074</v>
      </c>
      <c r="C6825" s="1" t="n">
        <v>46086</v>
      </c>
      <c r="D6825" t="inlineStr">
        <is>
          <t>GÄVLEBORGS LÄN</t>
        </is>
      </c>
      <c r="E6825" t="inlineStr">
        <is>
          <t>SANDVIKEN</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58254-2025</t>
        </is>
      </c>
      <c r="B6826" s="1" t="n">
        <v>45985.39994212963</v>
      </c>
      <c r="C6826" s="1" t="n">
        <v>46086</v>
      </c>
      <c r="D6826" t="inlineStr">
        <is>
          <t>GÄVLEBORGS LÄN</t>
        </is>
      </c>
      <c r="E6826" t="inlineStr">
        <is>
          <t>HUDIKSVALL</t>
        </is>
      </c>
      <c r="F6826" t="inlineStr">
        <is>
          <t>Holmen skog AB</t>
        </is>
      </c>
      <c r="G6826" t="n">
        <v>15.5</v>
      </c>
      <c r="H6826" t="n">
        <v>0</v>
      </c>
      <c r="I6826" t="n">
        <v>0</v>
      </c>
      <c r="J6826" t="n">
        <v>0</v>
      </c>
      <c r="K6826" t="n">
        <v>0</v>
      </c>
      <c r="L6826" t="n">
        <v>0</v>
      </c>
      <c r="M6826" t="n">
        <v>0</v>
      </c>
      <c r="N6826" t="n">
        <v>0</v>
      </c>
      <c r="O6826" t="n">
        <v>0</v>
      </c>
      <c r="P6826" t="n">
        <v>0</v>
      </c>
      <c r="Q6826" t="n">
        <v>0</v>
      </c>
      <c r="R6826" s="2" t="inlineStr"/>
    </row>
    <row r="6827" ht="15" customHeight="1">
      <c r="A6827" t="inlineStr">
        <is>
          <t>A 166-2026</t>
        </is>
      </c>
      <c r="B6827" s="1" t="n">
        <v>46024.8162962963</v>
      </c>
      <c r="C6827" s="1" t="n">
        <v>46086</v>
      </c>
      <c r="D6827" t="inlineStr">
        <is>
          <t>GÄVLEBORGS LÄN</t>
        </is>
      </c>
      <c r="E6827" t="inlineStr">
        <is>
          <t>SÖDERHAMN</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16197-2025</t>
        </is>
      </c>
      <c r="B6828" s="1" t="n">
        <v>45750.60393518519</v>
      </c>
      <c r="C6828" s="1" t="n">
        <v>46086</v>
      </c>
      <c r="D6828" t="inlineStr">
        <is>
          <t>GÄVLEBORGS LÄN</t>
        </is>
      </c>
      <c r="E6828" t="inlineStr">
        <is>
          <t>SÖDERHAMN</t>
        </is>
      </c>
      <c r="F6828" t="inlineStr">
        <is>
          <t>Kommuner</t>
        </is>
      </c>
      <c r="G6828" t="n">
        <v>5</v>
      </c>
      <c r="H6828" t="n">
        <v>0</v>
      </c>
      <c r="I6828" t="n">
        <v>0</v>
      </c>
      <c r="J6828" t="n">
        <v>0</v>
      </c>
      <c r="K6828" t="n">
        <v>0</v>
      </c>
      <c r="L6828" t="n">
        <v>0</v>
      </c>
      <c r="M6828" t="n">
        <v>0</v>
      </c>
      <c r="N6828" t="n">
        <v>0</v>
      </c>
      <c r="O6828" t="n">
        <v>0</v>
      </c>
      <c r="P6828" t="n">
        <v>0</v>
      </c>
      <c r="Q6828" t="n">
        <v>0</v>
      </c>
      <c r="R6828" s="2" t="inlineStr"/>
    </row>
    <row r="6829" ht="15" customHeight="1">
      <c r="A6829" t="inlineStr">
        <is>
          <t>A 58047-2025</t>
        </is>
      </c>
      <c r="B6829" s="1" t="n">
        <v>45982.51212962963</v>
      </c>
      <c r="C6829" s="1" t="n">
        <v>46086</v>
      </c>
      <c r="D6829" t="inlineStr">
        <is>
          <t>GÄVLEBORGS LÄN</t>
        </is>
      </c>
      <c r="E6829" t="inlineStr">
        <is>
          <t>SÖDERHAMN</t>
        </is>
      </c>
      <c r="G6829" t="n">
        <v>3.9</v>
      </c>
      <c r="H6829" t="n">
        <v>0</v>
      </c>
      <c r="I6829" t="n">
        <v>0</v>
      </c>
      <c r="J6829" t="n">
        <v>0</v>
      </c>
      <c r="K6829" t="n">
        <v>0</v>
      </c>
      <c r="L6829" t="n">
        <v>0</v>
      </c>
      <c r="M6829" t="n">
        <v>0</v>
      </c>
      <c r="N6829" t="n">
        <v>0</v>
      </c>
      <c r="O6829" t="n">
        <v>0</v>
      </c>
      <c r="P6829" t="n">
        <v>0</v>
      </c>
      <c r="Q6829" t="n">
        <v>0</v>
      </c>
      <c r="R6829" s="2" t="inlineStr"/>
    </row>
    <row r="6830" ht="15" customHeight="1">
      <c r="A6830" t="inlineStr">
        <is>
          <t>A 48149-2024</t>
        </is>
      </c>
      <c r="B6830" s="1" t="n">
        <v>45589.6787962963</v>
      </c>
      <c r="C6830" s="1" t="n">
        <v>46086</v>
      </c>
      <c r="D6830" t="inlineStr">
        <is>
          <t>GÄVLEBORGS LÄN</t>
        </is>
      </c>
      <c r="E6830" t="inlineStr">
        <is>
          <t>LJUSDAL</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39417-2024</t>
        </is>
      </c>
      <c r="B6831" s="1" t="n">
        <v>45551</v>
      </c>
      <c r="C6831" s="1" t="n">
        <v>46086</v>
      </c>
      <c r="D6831" t="inlineStr">
        <is>
          <t>GÄVLEBORGS LÄN</t>
        </is>
      </c>
      <c r="E6831" t="inlineStr">
        <is>
          <t>LJUSDAL</t>
        </is>
      </c>
      <c r="G6831" t="n">
        <v>0.1</v>
      </c>
      <c r="H6831" t="n">
        <v>0</v>
      </c>
      <c r="I6831" t="n">
        <v>0</v>
      </c>
      <c r="J6831" t="n">
        <v>0</v>
      </c>
      <c r="K6831" t="n">
        <v>0</v>
      </c>
      <c r="L6831" t="n">
        <v>0</v>
      </c>
      <c r="M6831" t="n">
        <v>0</v>
      </c>
      <c r="N6831" t="n">
        <v>0</v>
      </c>
      <c r="O6831" t="n">
        <v>0</v>
      </c>
      <c r="P6831" t="n">
        <v>0</v>
      </c>
      <c r="Q6831" t="n">
        <v>0</v>
      </c>
      <c r="R6831" s="2" t="inlineStr"/>
    </row>
    <row r="6832" ht="15" customHeight="1">
      <c r="A6832" t="inlineStr">
        <is>
          <t>A 58197-2025</t>
        </is>
      </c>
      <c r="B6832" s="1" t="n">
        <v>45984.44152777778</v>
      </c>
      <c r="C6832" s="1" t="n">
        <v>46086</v>
      </c>
      <c r="D6832" t="inlineStr">
        <is>
          <t>GÄVLEBORGS LÄN</t>
        </is>
      </c>
      <c r="E6832" t="inlineStr">
        <is>
          <t>SANDVIKEN</t>
        </is>
      </c>
      <c r="F6832" t="inlineStr">
        <is>
          <t>Bergvik skog öst AB</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58199-2025</t>
        </is>
      </c>
      <c r="B6833" s="1" t="n">
        <v>45984.44215277778</v>
      </c>
      <c r="C6833" s="1" t="n">
        <v>46086</v>
      </c>
      <c r="D6833" t="inlineStr">
        <is>
          <t>GÄVLEBORGS LÄN</t>
        </is>
      </c>
      <c r="E6833" t="inlineStr">
        <is>
          <t>SANDVIKEN</t>
        </is>
      </c>
      <c r="F6833" t="inlineStr">
        <is>
          <t>Bergvik skog öst AB</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58201-2025</t>
        </is>
      </c>
      <c r="B6834" s="1" t="n">
        <v>45984.44289351852</v>
      </c>
      <c r="C6834" s="1" t="n">
        <v>46086</v>
      </c>
      <c r="D6834" t="inlineStr">
        <is>
          <t>GÄVLEBORGS LÄN</t>
        </is>
      </c>
      <c r="E6834" t="inlineStr">
        <is>
          <t>SANDVIKEN</t>
        </is>
      </c>
      <c r="F6834" t="inlineStr">
        <is>
          <t>Bergvik skog öst AB</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23200-2024</t>
        </is>
      </c>
      <c r="B6835" s="1" t="n">
        <v>45451.93958333333</v>
      </c>
      <c r="C6835" s="1" t="n">
        <v>46086</v>
      </c>
      <c r="D6835" t="inlineStr">
        <is>
          <t>GÄVLEBORGS LÄN</t>
        </is>
      </c>
      <c r="E6835" t="inlineStr">
        <is>
          <t>SANDVIKEN</t>
        </is>
      </c>
      <c r="G6835" t="n">
        <v>4.8</v>
      </c>
      <c r="H6835" t="n">
        <v>0</v>
      </c>
      <c r="I6835" t="n">
        <v>0</v>
      </c>
      <c r="J6835" t="n">
        <v>0</v>
      </c>
      <c r="K6835" t="n">
        <v>0</v>
      </c>
      <c r="L6835" t="n">
        <v>0</v>
      </c>
      <c r="M6835" t="n">
        <v>0</v>
      </c>
      <c r="N6835" t="n">
        <v>0</v>
      </c>
      <c r="O6835" t="n">
        <v>0</v>
      </c>
      <c r="P6835" t="n">
        <v>0</v>
      </c>
      <c r="Q6835" t="n">
        <v>0</v>
      </c>
      <c r="R6835" s="2" t="inlineStr"/>
    </row>
    <row r="6836" ht="15" customHeight="1">
      <c r="A6836" t="inlineStr">
        <is>
          <t>A 58324-2025</t>
        </is>
      </c>
      <c r="B6836" s="1" t="n">
        <v>45985.47690972222</v>
      </c>
      <c r="C6836" s="1" t="n">
        <v>46086</v>
      </c>
      <c r="D6836" t="inlineStr">
        <is>
          <t>GÄVLEBORGS LÄN</t>
        </is>
      </c>
      <c r="E6836" t="inlineStr">
        <is>
          <t>HOFORS</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18488-2024</t>
        </is>
      </c>
      <c r="B6837" s="1" t="n">
        <v>45425.54863425926</v>
      </c>
      <c r="C6837" s="1" t="n">
        <v>46086</v>
      </c>
      <c r="D6837" t="inlineStr">
        <is>
          <t>GÄVLEBORGS LÄN</t>
        </is>
      </c>
      <c r="E6837" t="inlineStr">
        <is>
          <t>LJUSDAL</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57995-2025</t>
        </is>
      </c>
      <c r="B6838" s="1" t="n">
        <v>45982.43063657408</v>
      </c>
      <c r="C6838" s="1" t="n">
        <v>46086</v>
      </c>
      <c r="D6838" t="inlineStr">
        <is>
          <t>GÄVLEBORGS LÄN</t>
        </is>
      </c>
      <c r="E6838" t="inlineStr">
        <is>
          <t>BOLLNÄS</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376-2026</t>
        </is>
      </c>
      <c r="B6839" s="1" t="n">
        <v>46027.72077546296</v>
      </c>
      <c r="C6839" s="1" t="n">
        <v>46086</v>
      </c>
      <c r="D6839" t="inlineStr">
        <is>
          <t>GÄVLEBORGS LÄN</t>
        </is>
      </c>
      <c r="E6839" t="inlineStr">
        <is>
          <t>SÖDERHAMN</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58008-2025</t>
        </is>
      </c>
      <c r="B6840" s="1" t="n">
        <v>45982.45744212963</v>
      </c>
      <c r="C6840" s="1" t="n">
        <v>46086</v>
      </c>
      <c r="D6840" t="inlineStr">
        <is>
          <t>GÄVLEBORGS LÄN</t>
        </is>
      </c>
      <c r="E6840" t="inlineStr">
        <is>
          <t>HOFORS</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58035-2025</t>
        </is>
      </c>
      <c r="B6841" s="1" t="n">
        <v>45982.4896875</v>
      </c>
      <c r="C6841" s="1" t="n">
        <v>46086</v>
      </c>
      <c r="D6841" t="inlineStr">
        <is>
          <t>GÄVLEBORGS LÄN</t>
        </is>
      </c>
      <c r="E6841" t="inlineStr">
        <is>
          <t>HUDIKSVALL</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58038-2025</t>
        </is>
      </c>
      <c r="B6842" s="1" t="n">
        <v>45982.49230324074</v>
      </c>
      <c r="C6842" s="1" t="n">
        <v>46086</v>
      </c>
      <c r="D6842" t="inlineStr">
        <is>
          <t>GÄVLEBORGS LÄN</t>
        </is>
      </c>
      <c r="E6842" t="inlineStr">
        <is>
          <t>HUDIKSVALL</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58295-2025</t>
        </is>
      </c>
      <c r="B6843" s="1" t="n">
        <v>45985.45576388889</v>
      </c>
      <c r="C6843" s="1" t="n">
        <v>46086</v>
      </c>
      <c r="D6843" t="inlineStr">
        <is>
          <t>GÄVLEBORGS LÄN</t>
        </is>
      </c>
      <c r="E6843" t="inlineStr">
        <is>
          <t>OCKELBO</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58522-2025</t>
        </is>
      </c>
      <c r="B6844" s="1" t="n">
        <v>45985.71815972222</v>
      </c>
      <c r="C6844" s="1" t="n">
        <v>46086</v>
      </c>
      <c r="D6844" t="inlineStr">
        <is>
          <t>GÄVLEBORGS LÄN</t>
        </is>
      </c>
      <c r="E6844" t="inlineStr">
        <is>
          <t>NORDANSTIG</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58401-2025</t>
        </is>
      </c>
      <c r="B6845" s="1" t="n">
        <v>45985.56396990741</v>
      </c>
      <c r="C6845" s="1" t="n">
        <v>46086</v>
      </c>
      <c r="D6845" t="inlineStr">
        <is>
          <t>GÄVLEBORGS LÄN</t>
        </is>
      </c>
      <c r="E6845" t="inlineStr">
        <is>
          <t>SÖDERHAMN</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58069-2025</t>
        </is>
      </c>
      <c r="B6846" s="1" t="n">
        <v>45982.54618055555</v>
      </c>
      <c r="C6846" s="1" t="n">
        <v>46086</v>
      </c>
      <c r="D6846" t="inlineStr">
        <is>
          <t>GÄVLEBORGS LÄN</t>
        </is>
      </c>
      <c r="E6846" t="inlineStr">
        <is>
          <t>SÖDERHAMN</t>
        </is>
      </c>
      <c r="G6846" t="n">
        <v>5.9</v>
      </c>
      <c r="H6846" t="n">
        <v>0</v>
      </c>
      <c r="I6846" t="n">
        <v>0</v>
      </c>
      <c r="J6846" t="n">
        <v>0</v>
      </c>
      <c r="K6846" t="n">
        <v>0</v>
      </c>
      <c r="L6846" t="n">
        <v>0</v>
      </c>
      <c r="M6846" t="n">
        <v>0</v>
      </c>
      <c r="N6846" t="n">
        <v>0</v>
      </c>
      <c r="O6846" t="n">
        <v>0</v>
      </c>
      <c r="P6846" t="n">
        <v>0</v>
      </c>
      <c r="Q6846" t="n">
        <v>0</v>
      </c>
      <c r="R6846" s="2" t="inlineStr"/>
    </row>
    <row r="6847" ht="15" customHeight="1">
      <c r="A6847" t="inlineStr">
        <is>
          <t>A 57999-2025</t>
        </is>
      </c>
      <c r="B6847" s="1" t="n">
        <v>45982.43417824074</v>
      </c>
      <c r="C6847" s="1" t="n">
        <v>46086</v>
      </c>
      <c r="D6847" t="inlineStr">
        <is>
          <t>GÄVLEBORGS LÄN</t>
        </is>
      </c>
      <c r="E6847" t="inlineStr">
        <is>
          <t>HUDIKSVALL</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29534-2023</t>
        </is>
      </c>
      <c r="B6848" s="1" t="n">
        <v>45106.63590277778</v>
      </c>
      <c r="C6848" s="1" t="n">
        <v>46086</v>
      </c>
      <c r="D6848" t="inlineStr">
        <is>
          <t>GÄVLEBORGS LÄN</t>
        </is>
      </c>
      <c r="E6848" t="inlineStr">
        <is>
          <t>OCKELBO</t>
        </is>
      </c>
      <c r="F6848" t="inlineStr">
        <is>
          <t>Bergvik skog väst AB</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58040-2025</t>
        </is>
      </c>
      <c r="B6849" s="1" t="n">
        <v>45982.49633101852</v>
      </c>
      <c r="C6849" s="1" t="n">
        <v>46086</v>
      </c>
      <c r="D6849" t="inlineStr">
        <is>
          <t>GÄVLEBORGS LÄN</t>
        </is>
      </c>
      <c r="E6849" t="inlineStr">
        <is>
          <t>HUDIKSVALL</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58119-2025</t>
        </is>
      </c>
      <c r="B6850" s="1" t="n">
        <v>45982.60759259259</v>
      </c>
      <c r="C6850" s="1" t="n">
        <v>46086</v>
      </c>
      <c r="D6850" t="inlineStr">
        <is>
          <t>GÄVLEBORGS LÄN</t>
        </is>
      </c>
      <c r="E6850" t="inlineStr">
        <is>
          <t>BOLLNÄS</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58127-2025</t>
        </is>
      </c>
      <c r="B6851" s="1" t="n">
        <v>45982.61534722222</v>
      </c>
      <c r="C6851" s="1" t="n">
        <v>46086</v>
      </c>
      <c r="D6851" t="inlineStr">
        <is>
          <t>GÄVLEBORGS LÄN</t>
        </is>
      </c>
      <c r="E6851" t="inlineStr">
        <is>
          <t>BOLLNÄS</t>
        </is>
      </c>
      <c r="G6851" t="n">
        <v>3.7</v>
      </c>
      <c r="H6851" t="n">
        <v>0</v>
      </c>
      <c r="I6851" t="n">
        <v>0</v>
      </c>
      <c r="J6851" t="n">
        <v>0</v>
      </c>
      <c r="K6851" t="n">
        <v>0</v>
      </c>
      <c r="L6851" t="n">
        <v>0</v>
      </c>
      <c r="M6851" t="n">
        <v>0</v>
      </c>
      <c r="N6851" t="n">
        <v>0</v>
      </c>
      <c r="O6851" t="n">
        <v>0</v>
      </c>
      <c r="P6851" t="n">
        <v>0</v>
      </c>
      <c r="Q6851" t="n">
        <v>0</v>
      </c>
      <c r="R6851" s="2" t="inlineStr"/>
    </row>
    <row r="6852" ht="15" customHeight="1">
      <c r="A6852" t="inlineStr">
        <is>
          <t>A 11645-2022</t>
        </is>
      </c>
      <c r="B6852" s="1" t="n">
        <v>44631</v>
      </c>
      <c r="C6852" s="1" t="n">
        <v>46086</v>
      </c>
      <c r="D6852" t="inlineStr">
        <is>
          <t>GÄVLEBORGS LÄN</t>
        </is>
      </c>
      <c r="E6852" t="inlineStr">
        <is>
          <t>BOLLNÄS</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24-2026</t>
        </is>
      </c>
      <c r="B6853" s="1" t="n">
        <v>46024.01207175926</v>
      </c>
      <c r="C6853" s="1" t="n">
        <v>46086</v>
      </c>
      <c r="D6853" t="inlineStr">
        <is>
          <t>GÄVLEBORGS LÄN</t>
        </is>
      </c>
      <c r="E6853" t="inlineStr">
        <is>
          <t>BOLLNÄS</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57932-2025</t>
        </is>
      </c>
      <c r="B6854" s="1" t="n">
        <v>45981.94925925926</v>
      </c>
      <c r="C6854" s="1" t="n">
        <v>46086</v>
      </c>
      <c r="D6854" t="inlineStr">
        <is>
          <t>GÄVLEBORGS LÄN</t>
        </is>
      </c>
      <c r="E6854" t="inlineStr">
        <is>
          <t>SANDVIKEN</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57934-2025</t>
        </is>
      </c>
      <c r="B6855" s="1" t="n">
        <v>45981.95412037037</v>
      </c>
      <c r="C6855" s="1" t="n">
        <v>46086</v>
      </c>
      <c r="D6855" t="inlineStr">
        <is>
          <t>GÄVLEBORGS LÄN</t>
        </is>
      </c>
      <c r="E6855" t="inlineStr">
        <is>
          <t>SANDVIKEN</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363-2024</t>
        </is>
      </c>
      <c r="B6856" s="1" t="n">
        <v>45295.92835648148</v>
      </c>
      <c r="C6856" s="1" t="n">
        <v>46086</v>
      </c>
      <c r="D6856" t="inlineStr">
        <is>
          <t>GÄVLEBORGS LÄN</t>
        </is>
      </c>
      <c r="E6856" t="inlineStr">
        <is>
          <t>HUDIKSVALL</t>
        </is>
      </c>
      <c r="G6856" t="n">
        <v>13.3</v>
      </c>
      <c r="H6856" t="n">
        <v>0</v>
      </c>
      <c r="I6856" t="n">
        <v>0</v>
      </c>
      <c r="J6856" t="n">
        <v>0</v>
      </c>
      <c r="K6856" t="n">
        <v>0</v>
      </c>
      <c r="L6856" t="n">
        <v>0</v>
      </c>
      <c r="M6856" t="n">
        <v>0</v>
      </c>
      <c r="N6856" t="n">
        <v>0</v>
      </c>
      <c r="O6856" t="n">
        <v>0</v>
      </c>
      <c r="P6856" t="n">
        <v>0</v>
      </c>
      <c r="Q6856" t="n">
        <v>0</v>
      </c>
      <c r="R6856" s="2" t="inlineStr"/>
    </row>
    <row r="6857" ht="15" customHeight="1">
      <c r="A6857" t="inlineStr">
        <is>
          <t>A 365-2024</t>
        </is>
      </c>
      <c r="B6857" s="1" t="n">
        <v>45295.92863425926</v>
      </c>
      <c r="C6857" s="1" t="n">
        <v>46086</v>
      </c>
      <c r="D6857" t="inlineStr">
        <is>
          <t>GÄVLEBORGS LÄN</t>
        </is>
      </c>
      <c r="E6857" t="inlineStr">
        <is>
          <t>HUDIKSVALL</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377-2024</t>
        </is>
      </c>
      <c r="B6858" s="1" t="n">
        <v>45296.35038194444</v>
      </c>
      <c r="C6858" s="1" t="n">
        <v>46086</v>
      </c>
      <c r="D6858" t="inlineStr">
        <is>
          <t>GÄVLEBORGS LÄN</t>
        </is>
      </c>
      <c r="E6858" t="inlineStr">
        <is>
          <t>NORDANSTIG</t>
        </is>
      </c>
      <c r="F6858" t="inlineStr">
        <is>
          <t>Holmen skog AB</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47493-2024</t>
        </is>
      </c>
      <c r="B6859" s="1" t="n">
        <v>45587.59410879629</v>
      </c>
      <c r="C6859" s="1" t="n">
        <v>46086</v>
      </c>
      <c r="D6859" t="inlineStr">
        <is>
          <t>GÄVLEBORGS LÄN</t>
        </is>
      </c>
      <c r="E6859" t="inlineStr">
        <is>
          <t>HOFORS</t>
        </is>
      </c>
      <c r="F6859" t="inlineStr">
        <is>
          <t>Sveaskog</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58281-2025</t>
        </is>
      </c>
      <c r="B6860" s="1" t="n">
        <v>45985.44121527778</v>
      </c>
      <c r="C6860" s="1" t="n">
        <v>46086</v>
      </c>
      <c r="D6860" t="inlineStr">
        <is>
          <t>GÄVLEBORGS LÄN</t>
        </is>
      </c>
      <c r="E6860" t="inlineStr">
        <is>
          <t>BOLLNÄS</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58257-2025</t>
        </is>
      </c>
      <c r="B6861" s="1" t="n">
        <v>45985.40459490741</v>
      </c>
      <c r="C6861" s="1" t="n">
        <v>46086</v>
      </c>
      <c r="D6861" t="inlineStr">
        <is>
          <t>GÄVLEBORGS LÄN</t>
        </is>
      </c>
      <c r="E6861" t="inlineStr">
        <is>
          <t>HUDIKSVALL</t>
        </is>
      </c>
      <c r="F6861" t="inlineStr">
        <is>
          <t>Holmen skog AB</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30398-2023</t>
        </is>
      </c>
      <c r="B6862" s="1" t="n">
        <v>45111.47403935185</v>
      </c>
      <c r="C6862" s="1" t="n">
        <v>46086</v>
      </c>
      <c r="D6862" t="inlineStr">
        <is>
          <t>GÄVLEBORGS LÄN</t>
        </is>
      </c>
      <c r="E6862" t="inlineStr">
        <is>
          <t>HUDIKSVALL</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61301-2024</t>
        </is>
      </c>
      <c r="B6863" s="1" t="n">
        <v>45645.9084375</v>
      </c>
      <c r="C6863" s="1" t="n">
        <v>46086</v>
      </c>
      <c r="D6863" t="inlineStr">
        <is>
          <t>GÄVLEBORGS LÄN</t>
        </is>
      </c>
      <c r="E6863" t="inlineStr">
        <is>
          <t>GÄVLE</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58299-2025</t>
        </is>
      </c>
      <c r="B6864" s="1" t="n">
        <v>45985.45773148148</v>
      </c>
      <c r="C6864" s="1" t="n">
        <v>46086</v>
      </c>
      <c r="D6864" t="inlineStr">
        <is>
          <t>GÄVLEBORGS LÄN</t>
        </is>
      </c>
      <c r="E6864" t="inlineStr">
        <is>
          <t>OCKELBO</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58279-2025</t>
        </is>
      </c>
      <c r="B6865" s="1" t="n">
        <v>45985.43799768519</v>
      </c>
      <c r="C6865" s="1" t="n">
        <v>46086</v>
      </c>
      <c r="D6865" t="inlineStr">
        <is>
          <t>GÄVLEBORGS LÄN</t>
        </is>
      </c>
      <c r="E6865" t="inlineStr">
        <is>
          <t>BOLLNÄS</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58121-2025</t>
        </is>
      </c>
      <c r="B6866" s="1" t="n">
        <v>45982.60978009259</v>
      </c>
      <c r="C6866" s="1" t="n">
        <v>46086</v>
      </c>
      <c r="D6866" t="inlineStr">
        <is>
          <t>GÄVLEBORGS LÄN</t>
        </is>
      </c>
      <c r="E6866" t="inlineStr">
        <is>
          <t>BOLLNÄS</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57936-2025</t>
        </is>
      </c>
      <c r="B6867" s="1" t="n">
        <v>45982.27430555555</v>
      </c>
      <c r="C6867" s="1" t="n">
        <v>46086</v>
      </c>
      <c r="D6867" t="inlineStr">
        <is>
          <t>GÄVLEBORGS LÄN</t>
        </is>
      </c>
      <c r="E6867" t="inlineStr">
        <is>
          <t>OVANÅKER</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58051-2025</t>
        </is>
      </c>
      <c r="B6868" s="1" t="n">
        <v>45982.51814814815</v>
      </c>
      <c r="C6868" s="1" t="n">
        <v>46086</v>
      </c>
      <c r="D6868" t="inlineStr">
        <is>
          <t>GÄVLEBORGS LÄN</t>
        </is>
      </c>
      <c r="E6868" t="inlineStr">
        <is>
          <t>GÄVLE</t>
        </is>
      </c>
      <c r="F6868" t="inlineStr">
        <is>
          <t>Bergvik skog väst AB</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58156-2025</t>
        </is>
      </c>
      <c r="B6869" s="1" t="n">
        <v>45982.66631944444</v>
      </c>
      <c r="C6869" s="1" t="n">
        <v>46086</v>
      </c>
      <c r="D6869" t="inlineStr">
        <is>
          <t>GÄVLEBORGS LÄN</t>
        </is>
      </c>
      <c r="E6869" t="inlineStr">
        <is>
          <t>OCKELBO</t>
        </is>
      </c>
      <c r="F6869" t="inlineStr">
        <is>
          <t>Bergvik skog väst AB</t>
        </is>
      </c>
      <c r="G6869" t="n">
        <v>5.5</v>
      </c>
      <c r="H6869" t="n">
        <v>0</v>
      </c>
      <c r="I6869" t="n">
        <v>0</v>
      </c>
      <c r="J6869" t="n">
        <v>0</v>
      </c>
      <c r="K6869" t="n">
        <v>0</v>
      </c>
      <c r="L6869" t="n">
        <v>0</v>
      </c>
      <c r="M6869" t="n">
        <v>0</v>
      </c>
      <c r="N6869" t="n">
        <v>0</v>
      </c>
      <c r="O6869" t="n">
        <v>0</v>
      </c>
      <c r="P6869" t="n">
        <v>0</v>
      </c>
      <c r="Q6869" t="n">
        <v>0</v>
      </c>
      <c r="R6869" s="2" t="inlineStr"/>
    </row>
    <row r="6870" ht="15" customHeight="1">
      <c r="A6870" t="inlineStr">
        <is>
          <t>A 54676-2024</t>
        </is>
      </c>
      <c r="B6870" s="1" t="n">
        <v>45618.34304398148</v>
      </c>
      <c r="C6870" s="1" t="n">
        <v>46086</v>
      </c>
      <c r="D6870" t="inlineStr">
        <is>
          <t>GÄVLEBORGS LÄN</t>
        </is>
      </c>
      <c r="E6870" t="inlineStr">
        <is>
          <t>HUDIKSVALL</t>
        </is>
      </c>
      <c r="F6870" t="inlineStr">
        <is>
          <t>Holmen skog AB</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58112-2025</t>
        </is>
      </c>
      <c r="B6871" s="1" t="n">
        <v>45982.59918981481</v>
      </c>
      <c r="C6871" s="1" t="n">
        <v>46086</v>
      </c>
      <c r="D6871" t="inlineStr">
        <is>
          <t>GÄVLEBORGS LÄN</t>
        </is>
      </c>
      <c r="E6871" t="inlineStr">
        <is>
          <t>BOLLNÄS</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54705-2024</t>
        </is>
      </c>
      <c r="B6872" s="1" t="n">
        <v>45618.41390046296</v>
      </c>
      <c r="C6872" s="1" t="n">
        <v>46086</v>
      </c>
      <c r="D6872" t="inlineStr">
        <is>
          <t>GÄVLEBORGS LÄN</t>
        </is>
      </c>
      <c r="E6872" t="inlineStr">
        <is>
          <t>NORDANSTIG</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58481-2025</t>
        </is>
      </c>
      <c r="B6873" s="1" t="n">
        <v>45985.65215277778</v>
      </c>
      <c r="C6873" s="1" t="n">
        <v>46086</v>
      </c>
      <c r="D6873" t="inlineStr">
        <is>
          <t>GÄVLEBORGS LÄN</t>
        </is>
      </c>
      <c r="E6873" t="inlineStr">
        <is>
          <t>HUDIKSVALL</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57927-2025</t>
        </is>
      </c>
      <c r="B6874" s="1" t="n">
        <v>45981.88649305556</v>
      </c>
      <c r="C6874" s="1" t="n">
        <v>46086</v>
      </c>
      <c r="D6874" t="inlineStr">
        <is>
          <t>GÄVLEBORGS LÄN</t>
        </is>
      </c>
      <c r="E6874" t="inlineStr">
        <is>
          <t>LJUSDAL</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57933-2025</t>
        </is>
      </c>
      <c r="B6875" s="1" t="n">
        <v>45981.95112268518</v>
      </c>
      <c r="C6875" s="1" t="n">
        <v>46086</v>
      </c>
      <c r="D6875" t="inlineStr">
        <is>
          <t>GÄVLEBORGS LÄN</t>
        </is>
      </c>
      <c r="E6875" t="inlineStr">
        <is>
          <t>SANDVIKEN</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24205-2022</t>
        </is>
      </c>
      <c r="B6876" s="1" t="n">
        <v>44725.58780092592</v>
      </c>
      <c r="C6876" s="1" t="n">
        <v>46086</v>
      </c>
      <c r="D6876" t="inlineStr">
        <is>
          <t>GÄVLEBORGS LÄN</t>
        </is>
      </c>
      <c r="E6876" t="inlineStr">
        <is>
          <t>LJUSDAL</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5983-2025</t>
        </is>
      </c>
      <c r="B6877" s="1" t="n">
        <v>45695</v>
      </c>
      <c r="C6877" s="1" t="n">
        <v>46086</v>
      </c>
      <c r="D6877" t="inlineStr">
        <is>
          <t>GÄVLEBORGS LÄN</t>
        </is>
      </c>
      <c r="E6877" t="inlineStr">
        <is>
          <t>HUDIKSVALL</t>
        </is>
      </c>
      <c r="G6877" t="n">
        <v>3.9</v>
      </c>
      <c r="H6877" t="n">
        <v>0</v>
      </c>
      <c r="I6877" t="n">
        <v>0</v>
      </c>
      <c r="J6877" t="n">
        <v>0</v>
      </c>
      <c r="K6877" t="n">
        <v>0</v>
      </c>
      <c r="L6877" t="n">
        <v>0</v>
      </c>
      <c r="M6877" t="n">
        <v>0</v>
      </c>
      <c r="N6877" t="n">
        <v>0</v>
      </c>
      <c r="O6877" t="n">
        <v>0</v>
      </c>
      <c r="P6877" t="n">
        <v>0</v>
      </c>
      <c r="Q6877" t="n">
        <v>0</v>
      </c>
      <c r="R6877" s="2" t="inlineStr"/>
    </row>
    <row r="6878" ht="15" customHeight="1">
      <c r="A6878" t="inlineStr">
        <is>
          <t>A 58492-2025</t>
        </is>
      </c>
      <c r="B6878" s="1" t="n">
        <v>45985.67304398148</v>
      </c>
      <c r="C6878" s="1" t="n">
        <v>46086</v>
      </c>
      <c r="D6878" t="inlineStr">
        <is>
          <t>GÄVLEBORGS LÄN</t>
        </is>
      </c>
      <c r="E6878" t="inlineStr">
        <is>
          <t>OVANÅKER</t>
        </is>
      </c>
      <c r="G6878" t="n">
        <v>4</v>
      </c>
      <c r="H6878" t="n">
        <v>0</v>
      </c>
      <c r="I6878" t="n">
        <v>0</v>
      </c>
      <c r="J6878" t="n">
        <v>0</v>
      </c>
      <c r="K6878" t="n">
        <v>0</v>
      </c>
      <c r="L6878" t="n">
        <v>0</v>
      </c>
      <c r="M6878" t="n">
        <v>0</v>
      </c>
      <c r="N6878" t="n">
        <v>0</v>
      </c>
      <c r="O6878" t="n">
        <v>0</v>
      </c>
      <c r="P6878" t="n">
        <v>0</v>
      </c>
      <c r="Q6878" t="n">
        <v>0</v>
      </c>
      <c r="R6878" s="2" t="inlineStr"/>
    </row>
    <row r="6879" ht="15" customHeight="1">
      <c r="A6879" t="inlineStr">
        <is>
          <t>A 58499-2025</t>
        </is>
      </c>
      <c r="B6879" s="1" t="n">
        <v>45985.68675925926</v>
      </c>
      <c r="C6879" s="1" t="n">
        <v>46086</v>
      </c>
      <c r="D6879" t="inlineStr">
        <is>
          <t>GÄVLEBORGS LÄN</t>
        </is>
      </c>
      <c r="E6879" t="inlineStr">
        <is>
          <t>SÖDERHAMN</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58502-2025</t>
        </is>
      </c>
      <c r="B6880" s="1" t="n">
        <v>45985.6922337963</v>
      </c>
      <c r="C6880" s="1" t="n">
        <v>46086</v>
      </c>
      <c r="D6880" t="inlineStr">
        <is>
          <t>GÄVLEBORGS LÄN</t>
        </is>
      </c>
      <c r="E6880" t="inlineStr">
        <is>
          <t>SÖDERHAMN</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58243-2025</t>
        </is>
      </c>
      <c r="B6881" s="1" t="n">
        <v>45985.38920138889</v>
      </c>
      <c r="C6881" s="1" t="n">
        <v>46086</v>
      </c>
      <c r="D6881" t="inlineStr">
        <is>
          <t>GÄVLEBORGS LÄN</t>
        </is>
      </c>
      <c r="E6881" t="inlineStr">
        <is>
          <t>HUDIKSVALL</t>
        </is>
      </c>
      <c r="F6881" t="inlineStr">
        <is>
          <t>Holmen skog AB</t>
        </is>
      </c>
      <c r="G6881" t="n">
        <v>3.9</v>
      </c>
      <c r="H6881" t="n">
        <v>0</v>
      </c>
      <c r="I6881" t="n">
        <v>0</v>
      </c>
      <c r="J6881" t="n">
        <v>0</v>
      </c>
      <c r="K6881" t="n">
        <v>0</v>
      </c>
      <c r="L6881" t="n">
        <v>0</v>
      </c>
      <c r="M6881" t="n">
        <v>0</v>
      </c>
      <c r="N6881" t="n">
        <v>0</v>
      </c>
      <c r="O6881" t="n">
        <v>0</v>
      </c>
      <c r="P6881" t="n">
        <v>0</v>
      </c>
      <c r="Q6881" t="n">
        <v>0</v>
      </c>
      <c r="R6881" s="2" t="inlineStr"/>
    </row>
    <row r="6882" ht="15" customHeight="1">
      <c r="A6882" t="inlineStr">
        <is>
          <t>A 58207-2025</t>
        </is>
      </c>
      <c r="B6882" s="1" t="n">
        <v>45985.30828703703</v>
      </c>
      <c r="C6882" s="1" t="n">
        <v>46086</v>
      </c>
      <c r="D6882" t="inlineStr">
        <is>
          <t>GÄVLEBORGS LÄN</t>
        </is>
      </c>
      <c r="E6882" t="inlineStr">
        <is>
          <t>SANDVIKEN</t>
        </is>
      </c>
      <c r="G6882" t="n">
        <v>4.1</v>
      </c>
      <c r="H6882" t="n">
        <v>0</v>
      </c>
      <c r="I6882" t="n">
        <v>0</v>
      </c>
      <c r="J6882" t="n">
        <v>0</v>
      </c>
      <c r="K6882" t="n">
        <v>0</v>
      </c>
      <c r="L6882" t="n">
        <v>0</v>
      </c>
      <c r="M6882" t="n">
        <v>0</v>
      </c>
      <c r="N6882" t="n">
        <v>0</v>
      </c>
      <c r="O6882" t="n">
        <v>0</v>
      </c>
      <c r="P6882" t="n">
        <v>0</v>
      </c>
      <c r="Q6882" t="n">
        <v>0</v>
      </c>
      <c r="R6882" s="2" t="inlineStr"/>
    </row>
    <row r="6883" ht="15" customHeight="1">
      <c r="A6883" t="inlineStr">
        <is>
          <t>A 46437-2025</t>
        </is>
      </c>
      <c r="B6883" s="1" t="n">
        <v>45925.63690972222</v>
      </c>
      <c r="C6883" s="1" t="n">
        <v>46086</v>
      </c>
      <c r="D6883" t="inlineStr">
        <is>
          <t>GÄVLEBORGS LÄN</t>
        </is>
      </c>
      <c r="E6883" t="inlineStr">
        <is>
          <t>GÄVLE</t>
        </is>
      </c>
      <c r="F6883" t="inlineStr">
        <is>
          <t>Bergvik skog öst AB</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46608-2025</t>
        </is>
      </c>
      <c r="B6884" s="1" t="n">
        <v>45926.4177662037</v>
      </c>
      <c r="C6884" s="1" t="n">
        <v>46086</v>
      </c>
      <c r="D6884" t="inlineStr">
        <is>
          <t>GÄVLEBORGS LÄN</t>
        </is>
      </c>
      <c r="E6884" t="inlineStr">
        <is>
          <t>GÄVLE</t>
        </is>
      </c>
      <c r="F6884" t="inlineStr">
        <is>
          <t>Bergvik skog öst AB</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45696-2024</t>
        </is>
      </c>
      <c r="B6885" s="1" t="n">
        <v>45579.55864583333</v>
      </c>
      <c r="C6885" s="1" t="n">
        <v>46086</v>
      </c>
      <c r="D6885" t="inlineStr">
        <is>
          <t>GÄVLEBORGS LÄN</t>
        </is>
      </c>
      <c r="E6885" t="inlineStr">
        <is>
          <t>LJUSDAL</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43771-2025</t>
        </is>
      </c>
      <c r="B6886" s="1" t="n">
        <v>45912.50488425926</v>
      </c>
      <c r="C6886" s="1" t="n">
        <v>46086</v>
      </c>
      <c r="D6886" t="inlineStr">
        <is>
          <t>GÄVLEBORGS LÄN</t>
        </is>
      </c>
      <c r="E6886" t="inlineStr">
        <is>
          <t>GÄVLE</t>
        </is>
      </c>
      <c r="F6886" t="inlineStr">
        <is>
          <t>Bergvik skog öst AB</t>
        </is>
      </c>
      <c r="G6886" t="n">
        <v>7.3</v>
      </c>
      <c r="H6886" t="n">
        <v>0</v>
      </c>
      <c r="I6886" t="n">
        <v>0</v>
      </c>
      <c r="J6886" t="n">
        <v>0</v>
      </c>
      <c r="K6886" t="n">
        <v>0</v>
      </c>
      <c r="L6886" t="n">
        <v>0</v>
      </c>
      <c r="M6886" t="n">
        <v>0</v>
      </c>
      <c r="N6886" t="n">
        <v>0</v>
      </c>
      <c r="O6886" t="n">
        <v>0</v>
      </c>
      <c r="P6886" t="n">
        <v>0</v>
      </c>
      <c r="Q6886" t="n">
        <v>0</v>
      </c>
      <c r="R6886" s="2" t="inlineStr"/>
    </row>
    <row r="6887" ht="15" customHeight="1">
      <c r="A6887" t="inlineStr">
        <is>
          <t>A 43780-2025</t>
        </is>
      </c>
      <c r="B6887" s="1" t="n">
        <v>45912.52225694444</v>
      </c>
      <c r="C6887" s="1" t="n">
        <v>46086</v>
      </c>
      <c r="D6887" t="inlineStr">
        <is>
          <t>GÄVLEBORGS LÄN</t>
        </is>
      </c>
      <c r="E6887" t="inlineStr">
        <is>
          <t>GÄVLE</t>
        </is>
      </c>
      <c r="F6887" t="inlineStr">
        <is>
          <t>Bergvik skog öst AB</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50937-2022</t>
        </is>
      </c>
      <c r="B6888" s="1" t="n">
        <v>44867.65224537037</v>
      </c>
      <c r="C6888" s="1" t="n">
        <v>46086</v>
      </c>
      <c r="D6888" t="inlineStr">
        <is>
          <t>GÄVLEBORGS LÄN</t>
        </is>
      </c>
      <c r="E6888" t="inlineStr">
        <is>
          <t>OVANÅKER</t>
        </is>
      </c>
      <c r="F6888" t="inlineStr">
        <is>
          <t>Bergvik skog väst AB</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44000-2025</t>
        </is>
      </c>
      <c r="B6889" s="1" t="n">
        <v>45915.45304398148</v>
      </c>
      <c r="C6889" s="1" t="n">
        <v>46086</v>
      </c>
      <c r="D6889" t="inlineStr">
        <is>
          <t>GÄVLEBORGS LÄN</t>
        </is>
      </c>
      <c r="E6889" t="inlineStr">
        <is>
          <t>GÄVLE</t>
        </is>
      </c>
      <c r="F6889" t="inlineStr">
        <is>
          <t>Bergvik skog öst AB</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44003-2025</t>
        </is>
      </c>
      <c r="B6890" s="1" t="n">
        <v>45915.45480324074</v>
      </c>
      <c r="C6890" s="1" t="n">
        <v>46086</v>
      </c>
      <c r="D6890" t="inlineStr">
        <is>
          <t>GÄVLEBORGS LÄN</t>
        </is>
      </c>
      <c r="E6890" t="inlineStr">
        <is>
          <t>GÄVLE</t>
        </is>
      </c>
      <c r="F6890" t="inlineStr">
        <is>
          <t>Bergvik skog öst AB</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577-2026</t>
        </is>
      </c>
      <c r="B6891" s="1" t="n">
        <v>46029.47628472222</v>
      </c>
      <c r="C6891" s="1" t="n">
        <v>46086</v>
      </c>
      <c r="D6891" t="inlineStr">
        <is>
          <t>GÄVLEBORGS LÄN</t>
        </is>
      </c>
      <c r="E6891" t="inlineStr">
        <is>
          <t>OVANÅKER</t>
        </is>
      </c>
      <c r="G6891" t="n">
        <v>8.6</v>
      </c>
      <c r="H6891" t="n">
        <v>0</v>
      </c>
      <c r="I6891" t="n">
        <v>0</v>
      </c>
      <c r="J6891" t="n">
        <v>0</v>
      </c>
      <c r="K6891" t="n">
        <v>0</v>
      </c>
      <c r="L6891" t="n">
        <v>0</v>
      </c>
      <c r="M6891" t="n">
        <v>0</v>
      </c>
      <c r="N6891" t="n">
        <v>0</v>
      </c>
      <c r="O6891" t="n">
        <v>0</v>
      </c>
      <c r="P6891" t="n">
        <v>0</v>
      </c>
      <c r="Q6891" t="n">
        <v>0</v>
      </c>
      <c r="R6891" s="2" t="inlineStr"/>
    </row>
    <row r="6892" ht="15" customHeight="1">
      <c r="A6892" t="inlineStr">
        <is>
          <t>A 58529-2025</t>
        </is>
      </c>
      <c r="B6892" s="1" t="n">
        <v>45985.7803587963</v>
      </c>
      <c r="C6892" s="1" t="n">
        <v>46086</v>
      </c>
      <c r="D6892" t="inlineStr">
        <is>
          <t>GÄVLEBORGS LÄN</t>
        </is>
      </c>
      <c r="E6892" t="inlineStr">
        <is>
          <t>HUDIKSVALL</t>
        </is>
      </c>
      <c r="F6892" t="inlineStr">
        <is>
          <t>Holmen skog AB</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58533-2025</t>
        </is>
      </c>
      <c r="B6893" s="1" t="n">
        <v>45985.79769675926</v>
      </c>
      <c r="C6893" s="1" t="n">
        <v>46086</v>
      </c>
      <c r="D6893" t="inlineStr">
        <is>
          <t>GÄVLEBORGS LÄN</t>
        </is>
      </c>
      <c r="E6893" t="inlineStr">
        <is>
          <t>NORDANSTIG</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58561-2025</t>
        </is>
      </c>
      <c r="B6894" s="1" t="n">
        <v>45986.34486111111</v>
      </c>
      <c r="C6894" s="1" t="n">
        <v>46086</v>
      </c>
      <c r="D6894" t="inlineStr">
        <is>
          <t>GÄVLEBORGS LÄN</t>
        </is>
      </c>
      <c r="E6894" t="inlineStr">
        <is>
          <t>HUDIKSVALL</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18800-2024</t>
        </is>
      </c>
      <c r="B6895" s="1" t="n">
        <v>45426</v>
      </c>
      <c r="C6895" s="1" t="n">
        <v>46086</v>
      </c>
      <c r="D6895" t="inlineStr">
        <is>
          <t>GÄVLEBORGS LÄN</t>
        </is>
      </c>
      <c r="E6895" t="inlineStr">
        <is>
          <t>SÖDERHAMN</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58770-2025</t>
        </is>
      </c>
      <c r="B6896" s="1" t="n">
        <v>45986.68657407408</v>
      </c>
      <c r="C6896" s="1" t="n">
        <v>46086</v>
      </c>
      <c r="D6896" t="inlineStr">
        <is>
          <t>GÄVLEBORGS LÄN</t>
        </is>
      </c>
      <c r="E6896" t="inlineStr">
        <is>
          <t>OCKELBO</t>
        </is>
      </c>
      <c r="F6896" t="inlineStr">
        <is>
          <t>Bergvik skog väst AB</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54349-2022</t>
        </is>
      </c>
      <c r="B6897" s="1" t="n">
        <v>44882.45284722222</v>
      </c>
      <c r="C6897" s="1" t="n">
        <v>46086</v>
      </c>
      <c r="D6897" t="inlineStr">
        <is>
          <t>GÄVLEBORGS LÄN</t>
        </is>
      </c>
      <c r="E6897" t="inlineStr">
        <is>
          <t>LJUSDAL</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5195-2025</t>
        </is>
      </c>
      <c r="B6898" s="1" t="n">
        <v>45691.65653935185</v>
      </c>
      <c r="C6898" s="1" t="n">
        <v>46086</v>
      </c>
      <c r="D6898" t="inlineStr">
        <is>
          <t>GÄVLEBORGS LÄN</t>
        </is>
      </c>
      <c r="E6898" t="inlineStr">
        <is>
          <t>HUDIKSVALL</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49959-2024</t>
        </is>
      </c>
      <c r="B6899" s="1" t="n">
        <v>45597.62274305556</v>
      </c>
      <c r="C6899" s="1" t="n">
        <v>46086</v>
      </c>
      <c r="D6899" t="inlineStr">
        <is>
          <t>GÄVLEBORGS LÄN</t>
        </is>
      </c>
      <c r="E6899" t="inlineStr">
        <is>
          <t>SÖDERHAMN</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45448-2025</t>
        </is>
      </c>
      <c r="B6900" s="1" t="n">
        <v>45922.48277777778</v>
      </c>
      <c r="C6900" s="1" t="n">
        <v>46086</v>
      </c>
      <c r="D6900" t="inlineStr">
        <is>
          <t>GÄVLEBORGS LÄN</t>
        </is>
      </c>
      <c r="E6900" t="inlineStr">
        <is>
          <t>GÄVLE</t>
        </is>
      </c>
      <c r="F6900" t="inlineStr">
        <is>
          <t>Bergvik skog öst AB</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45469-2025</t>
        </is>
      </c>
      <c r="B6901" s="1" t="n">
        <v>45922.51021990741</v>
      </c>
      <c r="C6901" s="1" t="n">
        <v>46086</v>
      </c>
      <c r="D6901" t="inlineStr">
        <is>
          <t>GÄVLEBORGS LÄN</t>
        </is>
      </c>
      <c r="E6901" t="inlineStr">
        <is>
          <t>GÄVLE</t>
        </is>
      </c>
      <c r="F6901" t="inlineStr">
        <is>
          <t>Bergvik skog öst AB</t>
        </is>
      </c>
      <c r="G6901" t="n">
        <v>0.3</v>
      </c>
      <c r="H6901" t="n">
        <v>0</v>
      </c>
      <c r="I6901" t="n">
        <v>0</v>
      </c>
      <c r="J6901" t="n">
        <v>0</v>
      </c>
      <c r="K6901" t="n">
        <v>0</v>
      </c>
      <c r="L6901" t="n">
        <v>0</v>
      </c>
      <c r="M6901" t="n">
        <v>0</v>
      </c>
      <c r="N6901" t="n">
        <v>0</v>
      </c>
      <c r="O6901" t="n">
        <v>0</v>
      </c>
      <c r="P6901" t="n">
        <v>0</v>
      </c>
      <c r="Q6901" t="n">
        <v>0</v>
      </c>
      <c r="R6901" s="2" t="inlineStr"/>
    </row>
    <row r="6902" ht="15" customHeight="1">
      <c r="A6902" t="inlineStr">
        <is>
          <t>A 45548-2025</t>
        </is>
      </c>
      <c r="B6902" s="1" t="n">
        <v>45922.63182870371</v>
      </c>
      <c r="C6902" s="1" t="n">
        <v>46086</v>
      </c>
      <c r="D6902" t="inlineStr">
        <is>
          <t>GÄVLEBORGS LÄN</t>
        </is>
      </c>
      <c r="E6902" t="inlineStr">
        <is>
          <t>GÄVLE</t>
        </is>
      </c>
      <c r="F6902" t="inlineStr">
        <is>
          <t>Bergvik skog öst AB</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45410-2025</t>
        </is>
      </c>
      <c r="B6903" s="1" t="n">
        <v>45922.43664351852</v>
      </c>
      <c r="C6903" s="1" t="n">
        <v>46086</v>
      </c>
      <c r="D6903" t="inlineStr">
        <is>
          <t>GÄVLEBORGS LÄN</t>
        </is>
      </c>
      <c r="E6903" t="inlineStr">
        <is>
          <t>GÄVLE</t>
        </is>
      </c>
      <c r="F6903" t="inlineStr">
        <is>
          <t>Bergvik skog öst AB</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45442-2025</t>
        </is>
      </c>
      <c r="B6904" s="1" t="n">
        <v>45922.47429398148</v>
      </c>
      <c r="C6904" s="1" t="n">
        <v>46086</v>
      </c>
      <c r="D6904" t="inlineStr">
        <is>
          <t>GÄVLEBORGS LÄN</t>
        </is>
      </c>
      <c r="E6904" t="inlineStr">
        <is>
          <t>GÄVLE</t>
        </is>
      </c>
      <c r="F6904" t="inlineStr">
        <is>
          <t>Bergvik skog öst AB</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58655-2025</t>
        </is>
      </c>
      <c r="B6905" s="1" t="n">
        <v>45986.52337962963</v>
      </c>
      <c r="C6905" s="1" t="n">
        <v>46086</v>
      </c>
      <c r="D6905" t="inlineStr">
        <is>
          <t>GÄVLEBORGS LÄN</t>
        </is>
      </c>
      <c r="E6905" t="inlineStr">
        <is>
          <t>OVANÅKER</t>
        </is>
      </c>
      <c r="G6905" t="n">
        <v>19.4</v>
      </c>
      <c r="H6905" t="n">
        <v>0</v>
      </c>
      <c r="I6905" t="n">
        <v>0</v>
      </c>
      <c r="J6905" t="n">
        <v>0</v>
      </c>
      <c r="K6905" t="n">
        <v>0</v>
      </c>
      <c r="L6905" t="n">
        <v>0</v>
      </c>
      <c r="M6905" t="n">
        <v>0</v>
      </c>
      <c r="N6905" t="n">
        <v>0</v>
      </c>
      <c r="O6905" t="n">
        <v>0</v>
      </c>
      <c r="P6905" t="n">
        <v>0</v>
      </c>
      <c r="Q6905" t="n">
        <v>0</v>
      </c>
      <c r="R6905" s="2" t="inlineStr"/>
    </row>
    <row r="6906" ht="15" customHeight="1">
      <c r="A6906" t="inlineStr">
        <is>
          <t>A 46814-2025</t>
        </is>
      </c>
      <c r="B6906" s="1" t="n">
        <v>45926.70542824074</v>
      </c>
      <c r="C6906" s="1" t="n">
        <v>46086</v>
      </c>
      <c r="D6906" t="inlineStr">
        <is>
          <t>GÄVLEBORGS LÄN</t>
        </is>
      </c>
      <c r="E6906" t="inlineStr">
        <is>
          <t>GÄVLE</t>
        </is>
      </c>
      <c r="F6906" t="inlineStr">
        <is>
          <t>Bergvik skog öst AB</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58967-2025</t>
        </is>
      </c>
      <c r="B6907" s="1" t="n">
        <v>45987.6040625</v>
      </c>
      <c r="C6907" s="1" t="n">
        <v>46086</v>
      </c>
      <c r="D6907" t="inlineStr">
        <is>
          <t>GÄVLEBORGS LÄN</t>
        </is>
      </c>
      <c r="E6907" t="inlineStr">
        <is>
          <t>BOLLNÄS</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43624-2025</t>
        </is>
      </c>
      <c r="B6908" s="1" t="n">
        <v>45911.68925925926</v>
      </c>
      <c r="C6908" s="1" t="n">
        <v>46086</v>
      </c>
      <c r="D6908" t="inlineStr">
        <is>
          <t>GÄVLEBORGS LÄN</t>
        </is>
      </c>
      <c r="E6908" t="inlineStr">
        <is>
          <t>GÄVLE</t>
        </is>
      </c>
      <c r="F6908" t="inlineStr">
        <is>
          <t>Bergvik skog öst AB</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14098-2025</t>
        </is>
      </c>
      <c r="B6909" s="1" t="n">
        <v>45740.4488425926</v>
      </c>
      <c r="C6909" s="1" t="n">
        <v>46086</v>
      </c>
      <c r="D6909" t="inlineStr">
        <is>
          <t>GÄVLEBORGS LÄN</t>
        </is>
      </c>
      <c r="E6909" t="inlineStr">
        <is>
          <t>HUDIKSVALL</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43742-2025</t>
        </is>
      </c>
      <c r="B6910" s="1" t="n">
        <v>45912.45679398148</v>
      </c>
      <c r="C6910" s="1" t="n">
        <v>46086</v>
      </c>
      <c r="D6910" t="inlineStr">
        <is>
          <t>GÄVLEBORGS LÄN</t>
        </is>
      </c>
      <c r="E6910" t="inlineStr">
        <is>
          <t>GÄVLE</t>
        </is>
      </c>
      <c r="F6910" t="inlineStr">
        <is>
          <t>Bergvik skog öst AB</t>
        </is>
      </c>
      <c r="G6910" t="n">
        <v>3.9</v>
      </c>
      <c r="H6910" t="n">
        <v>0</v>
      </c>
      <c r="I6910" t="n">
        <v>0</v>
      </c>
      <c r="J6910" t="n">
        <v>0</v>
      </c>
      <c r="K6910" t="n">
        <v>0</v>
      </c>
      <c r="L6910" t="n">
        <v>0</v>
      </c>
      <c r="M6910" t="n">
        <v>0</v>
      </c>
      <c r="N6910" t="n">
        <v>0</v>
      </c>
      <c r="O6910" t="n">
        <v>0</v>
      </c>
      <c r="P6910" t="n">
        <v>0</v>
      </c>
      <c r="Q6910" t="n">
        <v>0</v>
      </c>
      <c r="R6910" s="2" t="inlineStr"/>
    </row>
    <row r="6911" ht="15" customHeight="1">
      <c r="A6911" t="inlineStr">
        <is>
          <t>A 53060-2025</t>
        </is>
      </c>
      <c r="B6911" s="1" t="n">
        <v>45958.36918981482</v>
      </c>
      <c r="C6911" s="1" t="n">
        <v>46086</v>
      </c>
      <c r="D6911" t="inlineStr">
        <is>
          <t>GÄVLEBORGS LÄN</t>
        </is>
      </c>
      <c r="E6911" t="inlineStr">
        <is>
          <t>OVANÅKER</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25631-2022</t>
        </is>
      </c>
      <c r="B6912" s="1" t="n">
        <v>44732</v>
      </c>
      <c r="C6912" s="1" t="n">
        <v>46086</v>
      </c>
      <c r="D6912" t="inlineStr">
        <is>
          <t>GÄVLEBORGS LÄN</t>
        </is>
      </c>
      <c r="E6912" t="inlineStr">
        <is>
          <t>BOLLNÄS</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46433-2025</t>
        </is>
      </c>
      <c r="B6913" s="1" t="n">
        <v>45925.6292824074</v>
      </c>
      <c r="C6913" s="1" t="n">
        <v>46086</v>
      </c>
      <c r="D6913" t="inlineStr">
        <is>
          <t>GÄVLEBORGS LÄN</t>
        </is>
      </c>
      <c r="E6913" t="inlineStr">
        <is>
          <t>GÄVLE</t>
        </is>
      </c>
      <c r="F6913" t="inlineStr">
        <is>
          <t>Bergvik skog öst AB</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17164-2023</t>
        </is>
      </c>
      <c r="B6914" s="1" t="n">
        <v>45034</v>
      </c>
      <c r="C6914" s="1" t="n">
        <v>46086</v>
      </c>
      <c r="D6914" t="inlineStr">
        <is>
          <t>GÄVLEBORGS LÄN</t>
        </is>
      </c>
      <c r="E6914" t="inlineStr">
        <is>
          <t>HUDIKSVALL</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58713-2025</t>
        </is>
      </c>
      <c r="B6915" s="1" t="n">
        <v>45986.61143518519</v>
      </c>
      <c r="C6915" s="1" t="n">
        <v>46086</v>
      </c>
      <c r="D6915" t="inlineStr">
        <is>
          <t>GÄVLEBORGS LÄN</t>
        </is>
      </c>
      <c r="E6915" t="inlineStr">
        <is>
          <t>OCKELBO</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64868-2023</t>
        </is>
      </c>
      <c r="B6916" s="1" t="n">
        <v>45282</v>
      </c>
      <c r="C6916" s="1" t="n">
        <v>46086</v>
      </c>
      <c r="D6916" t="inlineStr">
        <is>
          <t>GÄVLEBORGS LÄN</t>
        </is>
      </c>
      <c r="E6916" t="inlineStr">
        <is>
          <t>GÄVLE</t>
        </is>
      </c>
      <c r="G6916" t="n">
        <v>0.2</v>
      </c>
      <c r="H6916" t="n">
        <v>0</v>
      </c>
      <c r="I6916" t="n">
        <v>0</v>
      </c>
      <c r="J6916" t="n">
        <v>0</v>
      </c>
      <c r="K6916" t="n">
        <v>0</v>
      </c>
      <c r="L6916" t="n">
        <v>0</v>
      </c>
      <c r="M6916" t="n">
        <v>0</v>
      </c>
      <c r="N6916" t="n">
        <v>0</v>
      </c>
      <c r="O6916" t="n">
        <v>0</v>
      </c>
      <c r="P6916" t="n">
        <v>0</v>
      </c>
      <c r="Q6916" t="n">
        <v>0</v>
      </c>
      <c r="R6916" s="2" t="inlineStr"/>
    </row>
    <row r="6917" ht="15" customHeight="1">
      <c r="A6917" t="inlineStr">
        <is>
          <t>A 42981-2022</t>
        </is>
      </c>
      <c r="B6917" s="1" t="n">
        <v>44833.46821759259</v>
      </c>
      <c r="C6917" s="1" t="n">
        <v>46086</v>
      </c>
      <c r="D6917" t="inlineStr">
        <is>
          <t>GÄVLEBORGS LÄN</t>
        </is>
      </c>
      <c r="E6917" t="inlineStr">
        <is>
          <t>HUDIKSVALL</t>
        </is>
      </c>
      <c r="F6917" t="inlineStr">
        <is>
          <t>Holmen skog AB</t>
        </is>
      </c>
      <c r="G6917" t="n">
        <v>4.3</v>
      </c>
      <c r="H6917" t="n">
        <v>0</v>
      </c>
      <c r="I6917" t="n">
        <v>0</v>
      </c>
      <c r="J6917" t="n">
        <v>0</v>
      </c>
      <c r="K6917" t="n">
        <v>0</v>
      </c>
      <c r="L6917" t="n">
        <v>0</v>
      </c>
      <c r="M6917" t="n">
        <v>0</v>
      </c>
      <c r="N6917" t="n">
        <v>0</v>
      </c>
      <c r="O6917" t="n">
        <v>0</v>
      </c>
      <c r="P6917" t="n">
        <v>0</v>
      </c>
      <c r="Q6917" t="n">
        <v>0</v>
      </c>
      <c r="R6917" s="2" t="inlineStr"/>
    </row>
    <row r="6918" ht="15" customHeight="1">
      <c r="A6918" t="inlineStr">
        <is>
          <t>A 58535-2025</t>
        </is>
      </c>
      <c r="B6918" s="1" t="n">
        <v>45985.805625</v>
      </c>
      <c r="C6918" s="1" t="n">
        <v>46086</v>
      </c>
      <c r="D6918" t="inlineStr">
        <is>
          <t>GÄVLEBORGS LÄN</t>
        </is>
      </c>
      <c r="E6918" t="inlineStr">
        <is>
          <t>NORDANSTIG</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43010-2022</t>
        </is>
      </c>
      <c r="B6919" s="1" t="n">
        <v>44833.55001157407</v>
      </c>
      <c r="C6919" s="1" t="n">
        <v>46086</v>
      </c>
      <c r="D6919" t="inlineStr">
        <is>
          <t>GÄVLEBORGS LÄN</t>
        </is>
      </c>
      <c r="E6919" t="inlineStr">
        <is>
          <t>HUDIKSVALL</t>
        </is>
      </c>
      <c r="F6919" t="inlineStr">
        <is>
          <t>Holmen skog AB</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58541-2025</t>
        </is>
      </c>
      <c r="B6920" s="1" t="n">
        <v>45985.90016203704</v>
      </c>
      <c r="C6920" s="1" t="n">
        <v>46086</v>
      </c>
      <c r="D6920" t="inlineStr">
        <is>
          <t>GÄVLEBORGS LÄN</t>
        </is>
      </c>
      <c r="E6920" t="inlineStr">
        <is>
          <t>GÄVLE</t>
        </is>
      </c>
      <c r="F6920" t="inlineStr">
        <is>
          <t>Bergvik skog öst AB</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58542-2025</t>
        </is>
      </c>
      <c r="B6921" s="1" t="n">
        <v>45985.90041666666</v>
      </c>
      <c r="C6921" s="1" t="n">
        <v>46086</v>
      </c>
      <c r="D6921" t="inlineStr">
        <is>
          <t>GÄVLEBORGS LÄN</t>
        </is>
      </c>
      <c r="E6921" t="inlineStr">
        <is>
          <t>GÄVLE</t>
        </is>
      </c>
      <c r="F6921" t="inlineStr">
        <is>
          <t>Bergvik skog öst AB</t>
        </is>
      </c>
      <c r="G6921" t="n">
        <v>0.4</v>
      </c>
      <c r="H6921" t="n">
        <v>0</v>
      </c>
      <c r="I6921" t="n">
        <v>0</v>
      </c>
      <c r="J6921" t="n">
        <v>0</v>
      </c>
      <c r="K6921" t="n">
        <v>0</v>
      </c>
      <c r="L6921" t="n">
        <v>0</v>
      </c>
      <c r="M6921" t="n">
        <v>0</v>
      </c>
      <c r="N6921" t="n">
        <v>0</v>
      </c>
      <c r="O6921" t="n">
        <v>0</v>
      </c>
      <c r="P6921" t="n">
        <v>0</v>
      </c>
      <c r="Q6921" t="n">
        <v>0</v>
      </c>
      <c r="R6921" s="2" t="inlineStr"/>
    </row>
    <row r="6922" ht="15" customHeight="1">
      <c r="A6922" t="inlineStr">
        <is>
          <t>A 58812-2025</t>
        </is>
      </c>
      <c r="B6922" s="1" t="n">
        <v>45987.32815972222</v>
      </c>
      <c r="C6922" s="1" t="n">
        <v>46086</v>
      </c>
      <c r="D6922" t="inlineStr">
        <is>
          <t>GÄVLEBORGS LÄN</t>
        </is>
      </c>
      <c r="E6922" t="inlineStr">
        <is>
          <t>LJUSDAL</t>
        </is>
      </c>
      <c r="G6922" t="n">
        <v>4.9</v>
      </c>
      <c r="H6922" t="n">
        <v>0</v>
      </c>
      <c r="I6922" t="n">
        <v>0</v>
      </c>
      <c r="J6922" t="n">
        <v>0</v>
      </c>
      <c r="K6922" t="n">
        <v>0</v>
      </c>
      <c r="L6922" t="n">
        <v>0</v>
      </c>
      <c r="M6922" t="n">
        <v>0</v>
      </c>
      <c r="N6922" t="n">
        <v>0</v>
      </c>
      <c r="O6922" t="n">
        <v>0</v>
      </c>
      <c r="P6922" t="n">
        <v>0</v>
      </c>
      <c r="Q6922" t="n">
        <v>0</v>
      </c>
      <c r="R6922" s="2" t="inlineStr"/>
    </row>
    <row r="6923" ht="15" customHeight="1">
      <c r="A6923" t="inlineStr">
        <is>
          <t>A 452-2026</t>
        </is>
      </c>
      <c r="B6923" s="1" t="n">
        <v>46029.35450231482</v>
      </c>
      <c r="C6923" s="1" t="n">
        <v>46086</v>
      </c>
      <c r="D6923" t="inlineStr">
        <is>
          <t>GÄVLEBORGS LÄN</t>
        </is>
      </c>
      <c r="E6923" t="inlineStr">
        <is>
          <t>LJUSDAL</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58855-2025</t>
        </is>
      </c>
      <c r="B6924" s="1" t="n">
        <v>45987.4071875</v>
      </c>
      <c r="C6924" s="1" t="n">
        <v>46086</v>
      </c>
      <c r="D6924" t="inlineStr">
        <is>
          <t>GÄVLEBORGS LÄN</t>
        </is>
      </c>
      <c r="E6924" t="inlineStr">
        <is>
          <t>LJUSDAL</t>
        </is>
      </c>
      <c r="F6924" t="inlineStr">
        <is>
          <t>SCA</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58697-2025</t>
        </is>
      </c>
      <c r="B6925" s="1" t="n">
        <v>45986.58783564815</v>
      </c>
      <c r="C6925" s="1" t="n">
        <v>46086</v>
      </c>
      <c r="D6925" t="inlineStr">
        <is>
          <t>GÄVLEBORGS LÄN</t>
        </is>
      </c>
      <c r="E6925" t="inlineStr">
        <is>
          <t>BOLLNÄS</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30134-2024</t>
        </is>
      </c>
      <c r="B6926" s="1" t="n">
        <v>45489</v>
      </c>
      <c r="C6926" s="1" t="n">
        <v>46086</v>
      </c>
      <c r="D6926" t="inlineStr">
        <is>
          <t>GÄVLEBORGS LÄN</t>
        </is>
      </c>
      <c r="E6926" t="inlineStr">
        <is>
          <t>HUDIKSVALL</t>
        </is>
      </c>
      <c r="F6926" t="inlineStr">
        <is>
          <t>Holmen skog AB</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43774-2025</t>
        </is>
      </c>
      <c r="B6927" s="1" t="n">
        <v>45912.50679398148</v>
      </c>
      <c r="C6927" s="1" t="n">
        <v>46086</v>
      </c>
      <c r="D6927" t="inlineStr">
        <is>
          <t>GÄVLEBORGS LÄN</t>
        </is>
      </c>
      <c r="E6927" t="inlineStr">
        <is>
          <t>GÄVLE</t>
        </is>
      </c>
      <c r="F6927" t="inlineStr">
        <is>
          <t>Bergvik skog öst AB</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37071-2022</t>
        </is>
      </c>
      <c r="B6928" s="1" t="n">
        <v>44806</v>
      </c>
      <c r="C6928" s="1" t="n">
        <v>46086</v>
      </c>
      <c r="D6928" t="inlineStr">
        <is>
          <t>GÄVLEBORGS LÄN</t>
        </is>
      </c>
      <c r="E6928" t="inlineStr">
        <is>
          <t>BOLLNÄS</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58532-2025</t>
        </is>
      </c>
      <c r="B6929" s="1" t="n">
        <v>45985.79741898148</v>
      </c>
      <c r="C6929" s="1" t="n">
        <v>46086</v>
      </c>
      <c r="D6929" t="inlineStr">
        <is>
          <t>GÄVLEBORGS LÄN</t>
        </is>
      </c>
      <c r="E6929" t="inlineStr">
        <is>
          <t>NORDANSTIG</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17764-2025</t>
        </is>
      </c>
      <c r="B6930" s="1" t="n">
        <v>45758.50128472222</v>
      </c>
      <c r="C6930" s="1" t="n">
        <v>46086</v>
      </c>
      <c r="D6930" t="inlineStr">
        <is>
          <t>GÄVLEBORGS LÄN</t>
        </is>
      </c>
      <c r="E6930" t="inlineStr">
        <is>
          <t>HUDIKSVALL</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47376-2024</t>
        </is>
      </c>
      <c r="B6931" s="1" t="n">
        <v>45587.45378472222</v>
      </c>
      <c r="C6931" s="1" t="n">
        <v>46086</v>
      </c>
      <c r="D6931" t="inlineStr">
        <is>
          <t>GÄVLEBORGS LÄN</t>
        </is>
      </c>
      <c r="E6931" t="inlineStr">
        <is>
          <t>OVANÅKER</t>
        </is>
      </c>
      <c r="G6931" t="n">
        <v>5.3</v>
      </c>
      <c r="H6931" t="n">
        <v>0</v>
      </c>
      <c r="I6931" t="n">
        <v>0</v>
      </c>
      <c r="J6931" t="n">
        <v>0</v>
      </c>
      <c r="K6931" t="n">
        <v>0</v>
      </c>
      <c r="L6931" t="n">
        <v>0</v>
      </c>
      <c r="M6931" t="n">
        <v>0</v>
      </c>
      <c r="N6931" t="n">
        <v>0</v>
      </c>
      <c r="O6931" t="n">
        <v>0</v>
      </c>
      <c r="P6931" t="n">
        <v>0</v>
      </c>
      <c r="Q6931" t="n">
        <v>0</v>
      </c>
      <c r="R6931" s="2" t="inlineStr"/>
    </row>
    <row r="6932" ht="15" customHeight="1">
      <c r="A6932" t="inlineStr">
        <is>
          <t>A 58592-2025</t>
        </is>
      </c>
      <c r="B6932" s="1" t="n">
        <v>45986.41121527777</v>
      </c>
      <c r="C6932" s="1" t="n">
        <v>46086</v>
      </c>
      <c r="D6932" t="inlineStr">
        <is>
          <t>GÄVLEBORGS LÄN</t>
        </is>
      </c>
      <c r="E6932" t="inlineStr">
        <is>
          <t>SANDVIKEN</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58595-2025</t>
        </is>
      </c>
      <c r="B6933" s="1" t="n">
        <v>45986.42084490741</v>
      </c>
      <c r="C6933" s="1" t="n">
        <v>46086</v>
      </c>
      <c r="D6933" t="inlineStr">
        <is>
          <t>GÄVLEBORGS LÄN</t>
        </is>
      </c>
      <c r="E6933" t="inlineStr">
        <is>
          <t>NORDANSTIG</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45426-2025</t>
        </is>
      </c>
      <c r="B6934" s="1" t="n">
        <v>45922.45283564815</v>
      </c>
      <c r="C6934" s="1" t="n">
        <v>46086</v>
      </c>
      <c r="D6934" t="inlineStr">
        <is>
          <t>GÄVLEBORGS LÄN</t>
        </is>
      </c>
      <c r="E6934" t="inlineStr">
        <is>
          <t>GÄVLE</t>
        </is>
      </c>
      <c r="F6934" t="inlineStr">
        <is>
          <t>Bergvik skog öst AB</t>
        </is>
      </c>
      <c r="G6934" t="n">
        <v>8.199999999999999</v>
      </c>
      <c r="H6934" t="n">
        <v>0</v>
      </c>
      <c r="I6934" t="n">
        <v>0</v>
      </c>
      <c r="J6934" t="n">
        <v>0</v>
      </c>
      <c r="K6934" t="n">
        <v>0</v>
      </c>
      <c r="L6934" t="n">
        <v>0</v>
      </c>
      <c r="M6934" t="n">
        <v>0</v>
      </c>
      <c r="N6934" t="n">
        <v>0</v>
      </c>
      <c r="O6934" t="n">
        <v>0</v>
      </c>
      <c r="P6934" t="n">
        <v>0</v>
      </c>
      <c r="Q6934" t="n">
        <v>0</v>
      </c>
      <c r="R6934" s="2" t="inlineStr"/>
    </row>
    <row r="6935" ht="15" customHeight="1">
      <c r="A6935" t="inlineStr">
        <is>
          <t>A 58968-2025</t>
        </is>
      </c>
      <c r="B6935" s="1" t="n">
        <v>45987.60523148148</v>
      </c>
      <c r="C6935" s="1" t="n">
        <v>46086</v>
      </c>
      <c r="D6935" t="inlineStr">
        <is>
          <t>GÄVLEBORGS LÄN</t>
        </is>
      </c>
      <c r="E6935" t="inlineStr">
        <is>
          <t>LJUSDAL</t>
        </is>
      </c>
      <c r="G6935" t="n">
        <v>9.1</v>
      </c>
      <c r="H6935" t="n">
        <v>0</v>
      </c>
      <c r="I6935" t="n">
        <v>0</v>
      </c>
      <c r="J6935" t="n">
        <v>0</v>
      </c>
      <c r="K6935" t="n">
        <v>0</v>
      </c>
      <c r="L6935" t="n">
        <v>0</v>
      </c>
      <c r="M6935" t="n">
        <v>0</v>
      </c>
      <c r="N6935" t="n">
        <v>0</v>
      </c>
      <c r="O6935" t="n">
        <v>0</v>
      </c>
      <c r="P6935" t="n">
        <v>0</v>
      </c>
      <c r="Q6935" t="n">
        <v>0</v>
      </c>
      <c r="R6935" s="2" t="inlineStr"/>
    </row>
    <row r="6936" ht="15" customHeight="1">
      <c r="A6936" t="inlineStr">
        <is>
          <t>A 57716-2022</t>
        </is>
      </c>
      <c r="B6936" s="1" t="n">
        <v>44897</v>
      </c>
      <c r="C6936" s="1" t="n">
        <v>46086</v>
      </c>
      <c r="D6936" t="inlineStr">
        <is>
          <t>GÄVLEBORGS LÄN</t>
        </is>
      </c>
      <c r="E6936" t="inlineStr">
        <is>
          <t>HUDIKSVALL</t>
        </is>
      </c>
      <c r="F6936" t="inlineStr">
        <is>
          <t>Holmen skog AB</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2573-2024</t>
        </is>
      </c>
      <c r="B6937" s="1" t="n">
        <v>45313.63486111111</v>
      </c>
      <c r="C6937" s="1" t="n">
        <v>46086</v>
      </c>
      <c r="D6937" t="inlineStr">
        <is>
          <t>GÄVLEBORGS LÄN</t>
        </is>
      </c>
      <c r="E6937" t="inlineStr">
        <is>
          <t>NORDANSTIG</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45546-2025</t>
        </is>
      </c>
      <c r="B6938" s="1" t="n">
        <v>45922.62494212963</v>
      </c>
      <c r="C6938" s="1" t="n">
        <v>46086</v>
      </c>
      <c r="D6938" t="inlineStr">
        <is>
          <t>GÄVLEBORGS LÄN</t>
        </is>
      </c>
      <c r="E6938" t="inlineStr">
        <is>
          <t>GÄVLE</t>
        </is>
      </c>
      <c r="F6938" t="inlineStr">
        <is>
          <t>Bergvik skog öst AB</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58562-2025</t>
        </is>
      </c>
      <c r="B6939" s="1" t="n">
        <v>45986.34489583333</v>
      </c>
      <c r="C6939" s="1" t="n">
        <v>46086</v>
      </c>
      <c r="D6939" t="inlineStr">
        <is>
          <t>GÄVLEBORGS LÄN</t>
        </is>
      </c>
      <c r="E6939" t="inlineStr">
        <is>
          <t>HUDIKSVALL</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43606-2025</t>
        </is>
      </c>
      <c r="B6940" s="1" t="n">
        <v>45911.66760416667</v>
      </c>
      <c r="C6940" s="1" t="n">
        <v>46086</v>
      </c>
      <c r="D6940" t="inlineStr">
        <is>
          <t>GÄVLEBORGS LÄN</t>
        </is>
      </c>
      <c r="E6940" t="inlineStr">
        <is>
          <t>GÄVLE</t>
        </is>
      </c>
      <c r="F6940" t="inlineStr">
        <is>
          <t>Bergvik skog öst AB</t>
        </is>
      </c>
      <c r="G6940" t="n">
        <v>4.1</v>
      </c>
      <c r="H6940" t="n">
        <v>0</v>
      </c>
      <c r="I6940" t="n">
        <v>0</v>
      </c>
      <c r="J6940" t="n">
        <v>0</v>
      </c>
      <c r="K6940" t="n">
        <v>0</v>
      </c>
      <c r="L6940" t="n">
        <v>0</v>
      </c>
      <c r="M6940" t="n">
        <v>0</v>
      </c>
      <c r="N6940" t="n">
        <v>0</v>
      </c>
      <c r="O6940" t="n">
        <v>0</v>
      </c>
      <c r="P6940" t="n">
        <v>0</v>
      </c>
      <c r="Q6940" t="n">
        <v>0</v>
      </c>
      <c r="R6940" s="2" t="inlineStr"/>
    </row>
    <row r="6941" ht="15" customHeight="1">
      <c r="A6941" t="inlineStr">
        <is>
          <t>A 570-2026</t>
        </is>
      </c>
      <c r="B6941" s="1" t="n">
        <v>46029.47126157407</v>
      </c>
      <c r="C6941" s="1" t="n">
        <v>46086</v>
      </c>
      <c r="D6941" t="inlineStr">
        <is>
          <t>GÄVLEBORGS LÄN</t>
        </is>
      </c>
      <c r="E6941" t="inlineStr">
        <is>
          <t>BOLLNÄS</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45415-2025</t>
        </is>
      </c>
      <c r="B6942" s="1" t="n">
        <v>45922.44605324074</v>
      </c>
      <c r="C6942" s="1" t="n">
        <v>46086</v>
      </c>
      <c r="D6942" t="inlineStr">
        <is>
          <t>GÄVLEBORGS LÄN</t>
        </is>
      </c>
      <c r="E6942" t="inlineStr">
        <is>
          <t>GÄVLE</t>
        </is>
      </c>
      <c r="F6942" t="inlineStr">
        <is>
          <t>Bergvik skog öst AB</t>
        </is>
      </c>
      <c r="G6942" t="n">
        <v>4.6</v>
      </c>
      <c r="H6942" t="n">
        <v>0</v>
      </c>
      <c r="I6942" t="n">
        <v>0</v>
      </c>
      <c r="J6942" t="n">
        <v>0</v>
      </c>
      <c r="K6942" t="n">
        <v>0</v>
      </c>
      <c r="L6942" t="n">
        <v>0</v>
      </c>
      <c r="M6942" t="n">
        <v>0</v>
      </c>
      <c r="N6942" t="n">
        <v>0</v>
      </c>
      <c r="O6942" t="n">
        <v>0</v>
      </c>
      <c r="P6942" t="n">
        <v>0</v>
      </c>
      <c r="Q6942" t="n">
        <v>0</v>
      </c>
      <c r="R6942" s="2" t="inlineStr"/>
    </row>
    <row r="6943" ht="15" customHeight="1">
      <c r="A6943" t="inlineStr">
        <is>
          <t>A 45438-2025</t>
        </is>
      </c>
      <c r="B6943" s="1" t="n">
        <v>45922.47163194444</v>
      </c>
      <c r="C6943" s="1" t="n">
        <v>46086</v>
      </c>
      <c r="D6943" t="inlineStr">
        <is>
          <t>GÄVLEBORGS LÄN</t>
        </is>
      </c>
      <c r="E6943" t="inlineStr">
        <is>
          <t>GÄVLE</t>
        </is>
      </c>
      <c r="F6943" t="inlineStr">
        <is>
          <t>Bergvik skog öst AB</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45456-2025</t>
        </is>
      </c>
      <c r="B6944" s="1" t="n">
        <v>45922.49119212963</v>
      </c>
      <c r="C6944" s="1" t="n">
        <v>46086</v>
      </c>
      <c r="D6944" t="inlineStr">
        <is>
          <t>GÄVLEBORGS LÄN</t>
        </is>
      </c>
      <c r="E6944" t="inlineStr">
        <is>
          <t>GÄVLE</t>
        </is>
      </c>
      <c r="F6944" t="inlineStr">
        <is>
          <t>Bergvik skog öst AB</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58718-2025</t>
        </is>
      </c>
      <c r="B6945" s="1" t="n">
        <v>45986.61519675926</v>
      </c>
      <c r="C6945" s="1" t="n">
        <v>46086</v>
      </c>
      <c r="D6945" t="inlineStr">
        <is>
          <t>GÄVLEBORGS LÄN</t>
        </is>
      </c>
      <c r="E6945" t="inlineStr">
        <is>
          <t>OCKELBO</t>
        </is>
      </c>
      <c r="F6945" t="inlineStr">
        <is>
          <t>Bergvik skog väst AB</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8805-2025</t>
        </is>
      </c>
      <c r="B6946" s="1" t="n">
        <v>45712.66641203704</v>
      </c>
      <c r="C6946" s="1" t="n">
        <v>46086</v>
      </c>
      <c r="D6946" t="inlineStr">
        <is>
          <t>GÄVLEBORGS LÄN</t>
        </is>
      </c>
      <c r="E6946" t="inlineStr">
        <is>
          <t>NORDANSTIG</t>
        </is>
      </c>
      <c r="F6946" t="inlineStr">
        <is>
          <t>Holmen skog AB</t>
        </is>
      </c>
      <c r="G6946" t="n">
        <v>5.8</v>
      </c>
      <c r="H6946" t="n">
        <v>0</v>
      </c>
      <c r="I6946" t="n">
        <v>0</v>
      </c>
      <c r="J6946" t="n">
        <v>0</v>
      </c>
      <c r="K6946" t="n">
        <v>0</v>
      </c>
      <c r="L6946" t="n">
        <v>0</v>
      </c>
      <c r="M6946" t="n">
        <v>0</v>
      </c>
      <c r="N6946" t="n">
        <v>0</v>
      </c>
      <c r="O6946" t="n">
        <v>0</v>
      </c>
      <c r="P6946" t="n">
        <v>0</v>
      </c>
      <c r="Q6946" t="n">
        <v>0</v>
      </c>
      <c r="R6946" s="2" t="inlineStr"/>
    </row>
    <row r="6947" ht="15" customHeight="1">
      <c r="A6947" t="inlineStr">
        <is>
          <t>A 58816-2025</t>
        </is>
      </c>
      <c r="B6947" s="1" t="n">
        <v>45987.33459490741</v>
      </c>
      <c r="C6947" s="1" t="n">
        <v>46086</v>
      </c>
      <c r="D6947" t="inlineStr">
        <is>
          <t>GÄVLEBORGS LÄN</t>
        </is>
      </c>
      <c r="E6947" t="inlineStr">
        <is>
          <t>LJUSDAL</t>
        </is>
      </c>
      <c r="G6947" t="n">
        <v>5.7</v>
      </c>
      <c r="H6947" t="n">
        <v>0</v>
      </c>
      <c r="I6947" t="n">
        <v>0</v>
      </c>
      <c r="J6947" t="n">
        <v>0</v>
      </c>
      <c r="K6947" t="n">
        <v>0</v>
      </c>
      <c r="L6947" t="n">
        <v>0</v>
      </c>
      <c r="M6947" t="n">
        <v>0</v>
      </c>
      <c r="N6947" t="n">
        <v>0</v>
      </c>
      <c r="O6947" t="n">
        <v>0</v>
      </c>
      <c r="P6947" t="n">
        <v>0</v>
      </c>
      <c r="Q6947" t="n">
        <v>0</v>
      </c>
      <c r="R6947" s="2" t="inlineStr"/>
    </row>
    <row r="6948" ht="15" customHeight="1">
      <c r="A6948" t="inlineStr">
        <is>
          <t>A 58843-2025</t>
        </is>
      </c>
      <c r="B6948" s="1" t="n">
        <v>45987</v>
      </c>
      <c r="C6948" s="1" t="n">
        <v>46086</v>
      </c>
      <c r="D6948" t="inlineStr">
        <is>
          <t>GÄVLEBORGS LÄN</t>
        </is>
      </c>
      <c r="E6948" t="inlineStr">
        <is>
          <t>HUDIKSVALL</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58633-2025</t>
        </is>
      </c>
      <c r="B6949" s="1" t="n">
        <v>45986.48885416667</v>
      </c>
      <c r="C6949" s="1" t="n">
        <v>46086</v>
      </c>
      <c r="D6949" t="inlineStr">
        <is>
          <t>GÄVLEBORGS LÄN</t>
        </is>
      </c>
      <c r="E6949" t="inlineStr">
        <is>
          <t>HOFORS</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58808-2025</t>
        </is>
      </c>
      <c r="B6950" s="1" t="n">
        <v>45987.29195601852</v>
      </c>
      <c r="C6950" s="1" t="n">
        <v>46086</v>
      </c>
      <c r="D6950" t="inlineStr">
        <is>
          <t>GÄVLEBORGS LÄN</t>
        </is>
      </c>
      <c r="E6950" t="inlineStr">
        <is>
          <t>BOLLNÄS</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54209-2024</t>
        </is>
      </c>
      <c r="B6951" s="1" t="n">
        <v>45616.6565162037</v>
      </c>
      <c r="C6951" s="1" t="n">
        <v>46086</v>
      </c>
      <c r="D6951" t="inlineStr">
        <is>
          <t>GÄVLEBORGS LÄN</t>
        </is>
      </c>
      <c r="E6951" t="inlineStr">
        <is>
          <t>HUDIKSVALL</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558-2026</t>
        </is>
      </c>
      <c r="B6952" s="1" t="n">
        <v>46029.465</v>
      </c>
      <c r="C6952" s="1" t="n">
        <v>46086</v>
      </c>
      <c r="D6952" t="inlineStr">
        <is>
          <t>GÄVLEBORGS LÄN</t>
        </is>
      </c>
      <c r="E6952" t="inlineStr">
        <is>
          <t>BOLLNÄS</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1974-2025</t>
        </is>
      </c>
      <c r="B6953" s="1" t="n">
        <v>45672.39145833333</v>
      </c>
      <c r="C6953" s="1" t="n">
        <v>46086</v>
      </c>
      <c r="D6953" t="inlineStr">
        <is>
          <t>GÄVLEBORGS LÄN</t>
        </is>
      </c>
      <c r="E6953" t="inlineStr">
        <is>
          <t>GÄVLE</t>
        </is>
      </c>
      <c r="F6953" t="inlineStr">
        <is>
          <t>Kyrkan</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58925-2025</t>
        </is>
      </c>
      <c r="B6954" s="1" t="n">
        <v>45987.54464120371</v>
      </c>
      <c r="C6954" s="1" t="n">
        <v>46086</v>
      </c>
      <c r="D6954" t="inlineStr">
        <is>
          <t>GÄVLEBORGS LÄN</t>
        </is>
      </c>
      <c r="E6954" t="inlineStr">
        <is>
          <t>GÄVLE</t>
        </is>
      </c>
      <c r="F6954" t="inlineStr">
        <is>
          <t>Bergvik skog öst AB</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58898-2025</t>
        </is>
      </c>
      <c r="B6955" s="1" t="n">
        <v>45987.4984837963</v>
      </c>
      <c r="C6955" s="1" t="n">
        <v>46086</v>
      </c>
      <c r="D6955" t="inlineStr">
        <is>
          <t>GÄVLEBORGS LÄN</t>
        </is>
      </c>
      <c r="E6955" t="inlineStr">
        <is>
          <t>LJUSDAL</t>
        </is>
      </c>
      <c r="F6955" t="inlineStr">
        <is>
          <t>Bergvik skog väst AB</t>
        </is>
      </c>
      <c r="G6955" t="n">
        <v>3.8</v>
      </c>
      <c r="H6955" t="n">
        <v>0</v>
      </c>
      <c r="I6955" t="n">
        <v>0</v>
      </c>
      <c r="J6955" t="n">
        <v>0</v>
      </c>
      <c r="K6955" t="n">
        <v>0</v>
      </c>
      <c r="L6955" t="n">
        <v>0</v>
      </c>
      <c r="M6955" t="n">
        <v>0</v>
      </c>
      <c r="N6955" t="n">
        <v>0</v>
      </c>
      <c r="O6955" t="n">
        <v>0</v>
      </c>
      <c r="P6955" t="n">
        <v>0</v>
      </c>
      <c r="Q6955" t="n">
        <v>0</v>
      </c>
      <c r="R6955" s="2" t="inlineStr"/>
    </row>
    <row r="6956" ht="15" customHeight="1">
      <c r="A6956" t="inlineStr">
        <is>
          <t>A 46817-2025</t>
        </is>
      </c>
      <c r="B6956" s="1" t="n">
        <v>45926.71798611111</v>
      </c>
      <c r="C6956" s="1" t="n">
        <v>46086</v>
      </c>
      <c r="D6956" t="inlineStr">
        <is>
          <t>GÄVLEBORGS LÄN</t>
        </is>
      </c>
      <c r="E6956" t="inlineStr">
        <is>
          <t>GÄVLE</t>
        </is>
      </c>
      <c r="F6956" t="inlineStr">
        <is>
          <t>Bergvik skog öst AB</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58531-2025</t>
        </is>
      </c>
      <c r="B6957" s="1" t="n">
        <v>45985.79703703704</v>
      </c>
      <c r="C6957" s="1" t="n">
        <v>46086</v>
      </c>
      <c r="D6957" t="inlineStr">
        <is>
          <t>GÄVLEBORGS LÄN</t>
        </is>
      </c>
      <c r="E6957" t="inlineStr">
        <is>
          <t>NORDANSTIG</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25564-2023</t>
        </is>
      </c>
      <c r="B6958" s="1" t="n">
        <v>45089.60670138889</v>
      </c>
      <c r="C6958" s="1" t="n">
        <v>46086</v>
      </c>
      <c r="D6958" t="inlineStr">
        <is>
          <t>GÄVLEBORGS LÄN</t>
        </is>
      </c>
      <c r="E6958" t="inlineStr">
        <is>
          <t>LJUSDAL</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35356-2025</t>
        </is>
      </c>
      <c r="B6959" s="1" t="n">
        <v>45854.65872685185</v>
      </c>
      <c r="C6959" s="1" t="n">
        <v>46086</v>
      </c>
      <c r="D6959" t="inlineStr">
        <is>
          <t>GÄVLEBORGS LÄN</t>
        </is>
      </c>
      <c r="E6959" t="inlineStr">
        <is>
          <t>GÄVLE</t>
        </is>
      </c>
      <c r="F6959" t="inlineStr">
        <is>
          <t>Bergvik skog öst AB</t>
        </is>
      </c>
      <c r="G6959" t="n">
        <v>8.6</v>
      </c>
      <c r="H6959" t="n">
        <v>0</v>
      </c>
      <c r="I6959" t="n">
        <v>0</v>
      </c>
      <c r="J6959" t="n">
        <v>0</v>
      </c>
      <c r="K6959" t="n">
        <v>0</v>
      </c>
      <c r="L6959" t="n">
        <v>0</v>
      </c>
      <c r="M6959" t="n">
        <v>0</v>
      </c>
      <c r="N6959" t="n">
        <v>0</v>
      </c>
      <c r="O6959" t="n">
        <v>0</v>
      </c>
      <c r="P6959" t="n">
        <v>0</v>
      </c>
      <c r="Q6959" t="n">
        <v>0</v>
      </c>
      <c r="R6959" s="2" t="inlineStr"/>
    </row>
    <row r="6960" ht="15" customHeight="1">
      <c r="A6960" t="inlineStr">
        <is>
          <t>A 25631-2023</t>
        </is>
      </c>
      <c r="B6960" s="1" t="n">
        <v>45089.71152777778</v>
      </c>
      <c r="C6960" s="1" t="n">
        <v>46086</v>
      </c>
      <c r="D6960" t="inlineStr">
        <is>
          <t>GÄVLEBORGS LÄN</t>
        </is>
      </c>
      <c r="E6960" t="inlineStr">
        <is>
          <t>NORDANSTIG</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40528-2025</t>
        </is>
      </c>
      <c r="B6961" s="1" t="n">
        <v>45896.38170138889</v>
      </c>
      <c r="C6961" s="1" t="n">
        <v>46086</v>
      </c>
      <c r="D6961" t="inlineStr">
        <is>
          <t>GÄVLEBORGS LÄN</t>
        </is>
      </c>
      <c r="E6961" t="inlineStr">
        <is>
          <t>GÄVLE</t>
        </is>
      </c>
      <c r="F6961" t="inlineStr">
        <is>
          <t>Bergvik skog öst AB</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40534-2025</t>
        </is>
      </c>
      <c r="B6962" s="1" t="n">
        <v>45896.39373842593</v>
      </c>
      <c r="C6962" s="1" t="n">
        <v>46086</v>
      </c>
      <c r="D6962" t="inlineStr">
        <is>
          <t>GÄVLEBORGS LÄN</t>
        </is>
      </c>
      <c r="E6962" t="inlineStr">
        <is>
          <t>GÄVLE</t>
        </is>
      </c>
      <c r="F6962" t="inlineStr">
        <is>
          <t>Bergvik skog öst AB</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58768-2025</t>
        </is>
      </c>
      <c r="B6963" s="1" t="n">
        <v>45986.67872685185</v>
      </c>
      <c r="C6963" s="1" t="n">
        <v>46086</v>
      </c>
      <c r="D6963" t="inlineStr">
        <is>
          <t>GÄVLEBORGS LÄN</t>
        </is>
      </c>
      <c r="E6963" t="inlineStr">
        <is>
          <t>OCKELBO</t>
        </is>
      </c>
      <c r="F6963" t="inlineStr">
        <is>
          <t>Bergvik skog väst AB</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58773-2025</t>
        </is>
      </c>
      <c r="B6964" s="1" t="n">
        <v>45986.6946875</v>
      </c>
      <c r="C6964" s="1" t="n">
        <v>46086</v>
      </c>
      <c r="D6964" t="inlineStr">
        <is>
          <t>GÄVLEBORGS LÄN</t>
        </is>
      </c>
      <c r="E6964" t="inlineStr">
        <is>
          <t>SANDVIKEN</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15042-2022</t>
        </is>
      </c>
      <c r="B6965" s="1" t="n">
        <v>44657</v>
      </c>
      <c r="C6965" s="1" t="n">
        <v>46086</v>
      </c>
      <c r="D6965" t="inlineStr">
        <is>
          <t>GÄVLEBORGS LÄN</t>
        </is>
      </c>
      <c r="E6965" t="inlineStr">
        <is>
          <t>LJUSDAL</t>
        </is>
      </c>
      <c r="G6965" t="n">
        <v>4.1</v>
      </c>
      <c r="H6965" t="n">
        <v>0</v>
      </c>
      <c r="I6965" t="n">
        <v>0</v>
      </c>
      <c r="J6965" t="n">
        <v>0</v>
      </c>
      <c r="K6965" t="n">
        <v>0</v>
      </c>
      <c r="L6965" t="n">
        <v>0</v>
      </c>
      <c r="M6965" t="n">
        <v>0</v>
      </c>
      <c r="N6965" t="n">
        <v>0</v>
      </c>
      <c r="O6965" t="n">
        <v>0</v>
      </c>
      <c r="P6965" t="n">
        <v>0</v>
      </c>
      <c r="Q6965" t="n">
        <v>0</v>
      </c>
      <c r="R6965" s="2" t="inlineStr"/>
    </row>
    <row r="6966" ht="15" customHeight="1">
      <c r="A6966" t="inlineStr">
        <is>
          <t>A 24106-2023</t>
        </is>
      </c>
      <c r="B6966" s="1" t="n">
        <v>45079.46560185185</v>
      </c>
      <c r="C6966" s="1" t="n">
        <v>46086</v>
      </c>
      <c r="D6966" t="inlineStr">
        <is>
          <t>GÄVLEBORGS LÄN</t>
        </is>
      </c>
      <c r="E6966" t="inlineStr">
        <is>
          <t>NORDANSTIG</t>
        </is>
      </c>
      <c r="F6966" t="inlineStr">
        <is>
          <t>Holmen skog AB</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43565-2025</t>
        </is>
      </c>
      <c r="B6967" s="1" t="n">
        <v>45911.63229166667</v>
      </c>
      <c r="C6967" s="1" t="n">
        <v>46086</v>
      </c>
      <c r="D6967" t="inlineStr">
        <is>
          <t>GÄVLEBORGS LÄN</t>
        </is>
      </c>
      <c r="E6967" t="inlineStr">
        <is>
          <t>GÄVLE</t>
        </is>
      </c>
      <c r="F6967" t="inlineStr">
        <is>
          <t>Bergvik skog öst AB</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611-2026</t>
        </is>
      </c>
      <c r="B6968" s="1" t="n">
        <v>46029.52001157407</v>
      </c>
      <c r="C6968" s="1" t="n">
        <v>46086</v>
      </c>
      <c r="D6968" t="inlineStr">
        <is>
          <t>GÄVLEBORGS LÄN</t>
        </is>
      </c>
      <c r="E6968" t="inlineStr">
        <is>
          <t>BOLLNÄS</t>
        </is>
      </c>
      <c r="G6968" t="n">
        <v>9.199999999999999</v>
      </c>
      <c r="H6968" t="n">
        <v>0</v>
      </c>
      <c r="I6968" t="n">
        <v>0</v>
      </c>
      <c r="J6968" t="n">
        <v>0</v>
      </c>
      <c r="K6968" t="n">
        <v>0</v>
      </c>
      <c r="L6968" t="n">
        <v>0</v>
      </c>
      <c r="M6968" t="n">
        <v>0</v>
      </c>
      <c r="N6968" t="n">
        <v>0</v>
      </c>
      <c r="O6968" t="n">
        <v>0</v>
      </c>
      <c r="P6968" t="n">
        <v>0</v>
      </c>
      <c r="Q6968" t="n">
        <v>0</v>
      </c>
      <c r="R6968" s="2" t="inlineStr"/>
    </row>
    <row r="6969" ht="15" customHeight="1">
      <c r="A6969" t="inlineStr">
        <is>
          <t>A 48879-2023</t>
        </is>
      </c>
      <c r="B6969" s="1" t="n">
        <v>45209.46855324074</v>
      </c>
      <c r="C6969" s="1" t="n">
        <v>46086</v>
      </c>
      <c r="D6969" t="inlineStr">
        <is>
          <t>GÄVLEBORGS LÄN</t>
        </is>
      </c>
      <c r="E6969" t="inlineStr">
        <is>
          <t>LJUSDAL</t>
        </is>
      </c>
      <c r="F6969" t="inlineStr">
        <is>
          <t>Bergvik skog väst AB</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57909-2024</t>
        </is>
      </c>
      <c r="B6970" s="1" t="n">
        <v>45631.49298611111</v>
      </c>
      <c r="C6970" s="1" t="n">
        <v>46086</v>
      </c>
      <c r="D6970" t="inlineStr">
        <is>
          <t>GÄVLEBORGS LÄN</t>
        </is>
      </c>
      <c r="E6970" t="inlineStr">
        <is>
          <t>HUDIKSVALL</t>
        </is>
      </c>
      <c r="F6970" t="inlineStr">
        <is>
          <t>Holmen skog AB</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58560-2025</t>
        </is>
      </c>
      <c r="B6971" s="1" t="n">
        <v>45986.34482638889</v>
      </c>
      <c r="C6971" s="1" t="n">
        <v>46086</v>
      </c>
      <c r="D6971" t="inlineStr">
        <is>
          <t>GÄVLEBORGS LÄN</t>
        </is>
      </c>
      <c r="E6971" t="inlineStr">
        <is>
          <t>HUDIKSVALL</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12893-2024</t>
        </is>
      </c>
      <c r="B6972" s="1" t="n">
        <v>45385.36851851852</v>
      </c>
      <c r="C6972" s="1" t="n">
        <v>46086</v>
      </c>
      <c r="D6972" t="inlineStr">
        <is>
          <t>GÄVLEBORGS LÄN</t>
        </is>
      </c>
      <c r="E6972" t="inlineStr">
        <is>
          <t>HUDIKSVALL</t>
        </is>
      </c>
      <c r="F6972" t="inlineStr">
        <is>
          <t>Holmen skog AB</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60896-2024</t>
        </is>
      </c>
      <c r="B6973" s="1" t="n">
        <v>45645.2721875</v>
      </c>
      <c r="C6973" s="1" t="n">
        <v>46086</v>
      </c>
      <c r="D6973" t="inlineStr">
        <is>
          <t>GÄVLEBORGS LÄN</t>
        </is>
      </c>
      <c r="E6973" t="inlineStr">
        <is>
          <t>LJUSDAL</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12417-2025</t>
        </is>
      </c>
      <c r="B6974" s="1" t="n">
        <v>45730.44833333333</v>
      </c>
      <c r="C6974" s="1" t="n">
        <v>46086</v>
      </c>
      <c r="D6974" t="inlineStr">
        <is>
          <t>GÄVLEBORGS LÄN</t>
        </is>
      </c>
      <c r="E6974" t="inlineStr">
        <is>
          <t>SANDVIKEN</t>
        </is>
      </c>
      <c r="F6974" t="inlineStr">
        <is>
          <t>Bergvik skog öst AB</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12418-2025</t>
        </is>
      </c>
      <c r="B6975" s="1" t="n">
        <v>45730.4502662037</v>
      </c>
      <c r="C6975" s="1" t="n">
        <v>46086</v>
      </c>
      <c r="D6975" t="inlineStr">
        <is>
          <t>GÄVLEBORGS LÄN</t>
        </is>
      </c>
      <c r="E6975" t="inlineStr">
        <is>
          <t>SANDVIKEN</t>
        </is>
      </c>
      <c r="F6975" t="inlineStr">
        <is>
          <t>Bergvik skog öst AB</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52391-2023</t>
        </is>
      </c>
      <c r="B6976" s="1" t="n">
        <v>45224.92597222222</v>
      </c>
      <c r="C6976" s="1" t="n">
        <v>46086</v>
      </c>
      <c r="D6976" t="inlineStr">
        <is>
          <t>GÄVLEBORGS LÄN</t>
        </is>
      </c>
      <c r="E6976" t="inlineStr">
        <is>
          <t>LJUSDAL</t>
        </is>
      </c>
      <c r="G6976" t="n">
        <v>4.4</v>
      </c>
      <c r="H6976" t="n">
        <v>0</v>
      </c>
      <c r="I6976" t="n">
        <v>0</v>
      </c>
      <c r="J6976" t="n">
        <v>0</v>
      </c>
      <c r="K6976" t="n">
        <v>0</v>
      </c>
      <c r="L6976" t="n">
        <v>0</v>
      </c>
      <c r="M6976" t="n">
        <v>0</v>
      </c>
      <c r="N6976" t="n">
        <v>0</v>
      </c>
      <c r="O6976" t="n">
        <v>0</v>
      </c>
      <c r="P6976" t="n">
        <v>0</v>
      </c>
      <c r="Q6976" t="n">
        <v>0</v>
      </c>
      <c r="R6976" s="2" t="inlineStr"/>
    </row>
    <row r="6977" ht="15" customHeight="1">
      <c r="A6977" t="inlineStr">
        <is>
          <t>A 59008-2025</t>
        </is>
      </c>
      <c r="B6977" s="1" t="n">
        <v>45987</v>
      </c>
      <c r="C6977" s="1" t="n">
        <v>46086</v>
      </c>
      <c r="D6977" t="inlineStr">
        <is>
          <t>GÄVLEBORGS LÄN</t>
        </is>
      </c>
      <c r="E6977" t="inlineStr">
        <is>
          <t>NORDANSTIG</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9139-2025</t>
        </is>
      </c>
      <c r="B6978" s="1" t="n">
        <v>45714.29621527778</v>
      </c>
      <c r="C6978" s="1" t="n">
        <v>46086</v>
      </c>
      <c r="D6978" t="inlineStr">
        <is>
          <t>GÄVLEBORGS LÄN</t>
        </is>
      </c>
      <c r="E6978" t="inlineStr">
        <is>
          <t>LJUSDAL</t>
        </is>
      </c>
      <c r="G6978" t="n">
        <v>5.2</v>
      </c>
      <c r="H6978" t="n">
        <v>0</v>
      </c>
      <c r="I6978" t="n">
        <v>0</v>
      </c>
      <c r="J6978" t="n">
        <v>0</v>
      </c>
      <c r="K6978" t="n">
        <v>0</v>
      </c>
      <c r="L6978" t="n">
        <v>0</v>
      </c>
      <c r="M6978" t="n">
        <v>0</v>
      </c>
      <c r="N6978" t="n">
        <v>0</v>
      </c>
      <c r="O6978" t="n">
        <v>0</v>
      </c>
      <c r="P6978" t="n">
        <v>0</v>
      </c>
      <c r="Q6978" t="n">
        <v>0</v>
      </c>
      <c r="R6978" s="2" t="inlineStr"/>
    </row>
    <row r="6979" ht="15" customHeight="1">
      <c r="A6979" t="inlineStr">
        <is>
          <t>A 52981-2024</t>
        </is>
      </c>
      <c r="B6979" s="1" t="n">
        <v>45611.35353009259</v>
      </c>
      <c r="C6979" s="1" t="n">
        <v>46086</v>
      </c>
      <c r="D6979" t="inlineStr">
        <is>
          <t>GÄVLEBORGS LÄN</t>
        </is>
      </c>
      <c r="E6979" t="inlineStr">
        <is>
          <t>LJUSDAL</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53007-2024</t>
        </is>
      </c>
      <c r="B6980" s="1" t="n">
        <v>45611.39570601852</v>
      </c>
      <c r="C6980" s="1" t="n">
        <v>46086</v>
      </c>
      <c r="D6980" t="inlineStr">
        <is>
          <t>GÄVLEBORGS LÄN</t>
        </is>
      </c>
      <c r="E6980" t="inlineStr">
        <is>
          <t>LJUSDAL</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58727-2025</t>
        </is>
      </c>
      <c r="B6981" s="1" t="n">
        <v>45986.62328703704</v>
      </c>
      <c r="C6981" s="1" t="n">
        <v>46086</v>
      </c>
      <c r="D6981" t="inlineStr">
        <is>
          <t>GÄVLEBORGS LÄN</t>
        </is>
      </c>
      <c r="E6981" t="inlineStr">
        <is>
          <t>OCKELBO</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58819-2025</t>
        </is>
      </c>
      <c r="B6982" s="1" t="n">
        <v>45987.34052083334</v>
      </c>
      <c r="C6982" s="1" t="n">
        <v>46086</v>
      </c>
      <c r="D6982" t="inlineStr">
        <is>
          <t>GÄVLEBORGS LÄN</t>
        </is>
      </c>
      <c r="E6982" t="inlineStr">
        <is>
          <t>BOLLNÄS</t>
        </is>
      </c>
      <c r="G6982" t="n">
        <v>8.699999999999999</v>
      </c>
      <c r="H6982" t="n">
        <v>0</v>
      </c>
      <c r="I6982" t="n">
        <v>0</v>
      </c>
      <c r="J6982" t="n">
        <v>0</v>
      </c>
      <c r="K6982" t="n">
        <v>0</v>
      </c>
      <c r="L6982" t="n">
        <v>0</v>
      </c>
      <c r="M6982" t="n">
        <v>0</v>
      </c>
      <c r="N6982" t="n">
        <v>0</v>
      </c>
      <c r="O6982" t="n">
        <v>0</v>
      </c>
      <c r="P6982" t="n">
        <v>0</v>
      </c>
      <c r="Q6982" t="n">
        <v>0</v>
      </c>
      <c r="R6982" s="2" t="inlineStr"/>
    </row>
    <row r="6983" ht="15" customHeight="1">
      <c r="A6983" t="inlineStr">
        <is>
          <t>A 58782-2025</t>
        </is>
      </c>
      <c r="B6983" s="1" t="n">
        <v>45986.73296296296</v>
      </c>
      <c r="C6983" s="1" t="n">
        <v>46086</v>
      </c>
      <c r="D6983" t="inlineStr">
        <is>
          <t>GÄVLEBORGS LÄN</t>
        </is>
      </c>
      <c r="E6983" t="inlineStr">
        <is>
          <t>HUDIKSVALL</t>
        </is>
      </c>
      <c r="G6983" t="n">
        <v>8.9</v>
      </c>
      <c r="H6983" t="n">
        <v>0</v>
      </c>
      <c r="I6983" t="n">
        <v>0</v>
      </c>
      <c r="J6983" t="n">
        <v>0</v>
      </c>
      <c r="K6983" t="n">
        <v>0</v>
      </c>
      <c r="L6983" t="n">
        <v>0</v>
      </c>
      <c r="M6983" t="n">
        <v>0</v>
      </c>
      <c r="N6983" t="n">
        <v>0</v>
      </c>
      <c r="O6983" t="n">
        <v>0</v>
      </c>
      <c r="P6983" t="n">
        <v>0</v>
      </c>
      <c r="Q6983" t="n">
        <v>0</v>
      </c>
      <c r="R6983" s="2" t="inlineStr"/>
    </row>
    <row r="6984" ht="15" customHeight="1">
      <c r="A6984" t="inlineStr">
        <is>
          <t>A 13844-2025</t>
        </is>
      </c>
      <c r="B6984" s="1" t="n">
        <v>45737.55976851852</v>
      </c>
      <c r="C6984" s="1" t="n">
        <v>46086</v>
      </c>
      <c r="D6984" t="inlineStr">
        <is>
          <t>GÄVLEBORGS LÄN</t>
        </is>
      </c>
      <c r="E6984" t="inlineStr">
        <is>
          <t>LJUSDAL</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58530-2025</t>
        </is>
      </c>
      <c r="B6985" s="1" t="n">
        <v>45985.78628472222</v>
      </c>
      <c r="C6985" s="1" t="n">
        <v>46086</v>
      </c>
      <c r="D6985" t="inlineStr">
        <is>
          <t>GÄVLEBORGS LÄN</t>
        </is>
      </c>
      <c r="E6985" t="inlineStr">
        <is>
          <t>HUDIKSVALL</t>
        </is>
      </c>
      <c r="F6985" t="inlineStr">
        <is>
          <t>Holmen skog AB</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59001-2025</t>
        </is>
      </c>
      <c r="B6986" s="1" t="n">
        <v>45987</v>
      </c>
      <c r="C6986" s="1" t="n">
        <v>46086</v>
      </c>
      <c r="D6986" t="inlineStr">
        <is>
          <t>GÄVLEBORGS LÄN</t>
        </is>
      </c>
      <c r="E6986" t="inlineStr">
        <is>
          <t>NORDANSTIG</t>
        </is>
      </c>
      <c r="F6986" t="inlineStr">
        <is>
          <t>SCA</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59003-2025</t>
        </is>
      </c>
      <c r="B6987" s="1" t="n">
        <v>45987</v>
      </c>
      <c r="C6987" s="1" t="n">
        <v>46086</v>
      </c>
      <c r="D6987" t="inlineStr">
        <is>
          <t>GÄVLEBORGS LÄN</t>
        </is>
      </c>
      <c r="E6987" t="inlineStr">
        <is>
          <t>NORDANSTIG</t>
        </is>
      </c>
      <c r="F6987" t="inlineStr">
        <is>
          <t>SCA</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518-2026</t>
        </is>
      </c>
      <c r="B6988" s="1" t="n">
        <v>46029.44641203704</v>
      </c>
      <c r="C6988" s="1" t="n">
        <v>46086</v>
      </c>
      <c r="D6988" t="inlineStr">
        <is>
          <t>GÄVLEBORGS LÄN</t>
        </is>
      </c>
      <c r="E6988" t="inlineStr">
        <is>
          <t>BOLLNÄS</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46813-2025</t>
        </is>
      </c>
      <c r="B6989" s="1" t="n">
        <v>45926.70128472222</v>
      </c>
      <c r="C6989" s="1" t="n">
        <v>46086</v>
      </c>
      <c r="D6989" t="inlineStr">
        <is>
          <t>GÄVLEBORGS LÄN</t>
        </is>
      </c>
      <c r="E6989" t="inlineStr">
        <is>
          <t>GÄVLE</t>
        </is>
      </c>
      <c r="F6989" t="inlineStr">
        <is>
          <t>Bergvik skog öst AB</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550-2026</t>
        </is>
      </c>
      <c r="B6990" s="1" t="n">
        <v>46029.46165509259</v>
      </c>
      <c r="C6990" s="1" t="n">
        <v>46086</v>
      </c>
      <c r="D6990" t="inlineStr">
        <is>
          <t>GÄVLEBORGS LÄN</t>
        </is>
      </c>
      <c r="E6990" t="inlineStr">
        <is>
          <t>BOLLNÄS</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43764-2025</t>
        </is>
      </c>
      <c r="B6991" s="1" t="n">
        <v>45912.49040509259</v>
      </c>
      <c r="C6991" s="1" t="n">
        <v>46086</v>
      </c>
      <c r="D6991" t="inlineStr">
        <is>
          <t>GÄVLEBORGS LÄN</t>
        </is>
      </c>
      <c r="E6991" t="inlineStr">
        <is>
          <t>GÄVLE</t>
        </is>
      </c>
      <c r="F6991" t="inlineStr">
        <is>
          <t>Bergvik skog öst AB</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58805-2025</t>
        </is>
      </c>
      <c r="B6992" s="1" t="n">
        <v>45986.9652662037</v>
      </c>
      <c r="C6992" s="1" t="n">
        <v>46086</v>
      </c>
      <c r="D6992" t="inlineStr">
        <is>
          <t>GÄVLEBORGS LÄN</t>
        </is>
      </c>
      <c r="E6992" t="inlineStr">
        <is>
          <t>HOFORS</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10858-2025</t>
        </is>
      </c>
      <c r="B6993" s="1" t="n">
        <v>45722.59630787037</v>
      </c>
      <c r="C6993" s="1" t="n">
        <v>46086</v>
      </c>
      <c r="D6993" t="inlineStr">
        <is>
          <t>GÄVLEBORGS LÄN</t>
        </is>
      </c>
      <c r="E6993" t="inlineStr">
        <is>
          <t>HUDIKSVALL</t>
        </is>
      </c>
      <c r="F6993" t="inlineStr">
        <is>
          <t>Holmen skog AB</t>
        </is>
      </c>
      <c r="G6993" t="n">
        <v>13.4</v>
      </c>
      <c r="H6993" t="n">
        <v>0</v>
      </c>
      <c r="I6993" t="n">
        <v>0</v>
      </c>
      <c r="J6993" t="n">
        <v>0</v>
      </c>
      <c r="K6993" t="n">
        <v>0</v>
      </c>
      <c r="L6993" t="n">
        <v>0</v>
      </c>
      <c r="M6993" t="n">
        <v>0</v>
      </c>
      <c r="N6993" t="n">
        <v>0</v>
      </c>
      <c r="O6993" t="n">
        <v>0</v>
      </c>
      <c r="P6993" t="n">
        <v>0</v>
      </c>
      <c r="Q6993" t="n">
        <v>0</v>
      </c>
      <c r="R6993" s="2" t="inlineStr"/>
    </row>
    <row r="6994" ht="15" customHeight="1">
      <c r="A6994" t="inlineStr">
        <is>
          <t>A 5230-2024</t>
        </is>
      </c>
      <c r="B6994" s="1" t="n">
        <v>45330</v>
      </c>
      <c r="C6994" s="1" t="n">
        <v>46086</v>
      </c>
      <c r="D6994" t="inlineStr">
        <is>
          <t>GÄVLEBORGS LÄN</t>
        </is>
      </c>
      <c r="E6994" t="inlineStr">
        <is>
          <t>HUDIKSVALL</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60914-2024</t>
        </is>
      </c>
      <c r="B6995" s="1" t="n">
        <v>45645.3344212963</v>
      </c>
      <c r="C6995" s="1" t="n">
        <v>46086</v>
      </c>
      <c r="D6995" t="inlineStr">
        <is>
          <t>GÄVLEBORGS LÄN</t>
        </is>
      </c>
      <c r="E6995" t="inlineStr">
        <is>
          <t>LJUSDAL</t>
        </is>
      </c>
      <c r="G6995" t="n">
        <v>6.9</v>
      </c>
      <c r="H6995" t="n">
        <v>0</v>
      </c>
      <c r="I6995" t="n">
        <v>0</v>
      </c>
      <c r="J6995" t="n">
        <v>0</v>
      </c>
      <c r="K6995" t="n">
        <v>0</v>
      </c>
      <c r="L6995" t="n">
        <v>0</v>
      </c>
      <c r="M6995" t="n">
        <v>0</v>
      </c>
      <c r="N6995" t="n">
        <v>0</v>
      </c>
      <c r="O6995" t="n">
        <v>0</v>
      </c>
      <c r="P6995" t="n">
        <v>0</v>
      </c>
      <c r="Q6995" t="n">
        <v>0</v>
      </c>
      <c r="R6995" s="2" t="inlineStr"/>
    </row>
    <row r="6996" ht="15" customHeight="1">
      <c r="A6996" t="inlineStr">
        <is>
          <t>A 59353-2025</t>
        </is>
      </c>
      <c r="B6996" s="1" t="n">
        <v>45989</v>
      </c>
      <c r="C6996" s="1" t="n">
        <v>46086</v>
      </c>
      <c r="D6996" t="inlineStr">
        <is>
          <t>GÄVLEBORGS LÄN</t>
        </is>
      </c>
      <c r="E6996" t="inlineStr">
        <is>
          <t>LJUSDAL</t>
        </is>
      </c>
      <c r="G6996" t="n">
        <v>3.6</v>
      </c>
      <c r="H6996" t="n">
        <v>0</v>
      </c>
      <c r="I6996" t="n">
        <v>0</v>
      </c>
      <c r="J6996" t="n">
        <v>0</v>
      </c>
      <c r="K6996" t="n">
        <v>0</v>
      </c>
      <c r="L6996" t="n">
        <v>0</v>
      </c>
      <c r="M6996" t="n">
        <v>0</v>
      </c>
      <c r="N6996" t="n">
        <v>0</v>
      </c>
      <c r="O6996" t="n">
        <v>0</v>
      </c>
      <c r="P6996" t="n">
        <v>0</v>
      </c>
      <c r="Q6996" t="n">
        <v>0</v>
      </c>
      <c r="R6996" s="2" t="inlineStr"/>
    </row>
    <row r="6997" ht="15" customHeight="1">
      <c r="A6997" t="inlineStr">
        <is>
          <t>A 59362-2025</t>
        </is>
      </c>
      <c r="B6997" s="1" t="n">
        <v>45989.43668981481</v>
      </c>
      <c r="C6997" s="1" t="n">
        <v>46086</v>
      </c>
      <c r="D6997" t="inlineStr">
        <is>
          <t>GÄVLEBORGS LÄN</t>
        </is>
      </c>
      <c r="E6997" t="inlineStr">
        <is>
          <t>BOLLNÄS</t>
        </is>
      </c>
      <c r="F6997" t="inlineStr">
        <is>
          <t>Sveaskog</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61016-2024</t>
        </is>
      </c>
      <c r="B6998" s="1" t="n">
        <v>45645.45041666667</v>
      </c>
      <c r="C6998" s="1" t="n">
        <v>46086</v>
      </c>
      <c r="D6998" t="inlineStr">
        <is>
          <t>GÄVLEBORGS LÄN</t>
        </is>
      </c>
      <c r="E6998" t="inlineStr">
        <is>
          <t>GÄVLE</t>
        </is>
      </c>
      <c r="F6998" t="inlineStr">
        <is>
          <t>Bergvik skog öst AB</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3188-2023</t>
        </is>
      </c>
      <c r="B6999" s="1" t="n">
        <v>44946</v>
      </c>
      <c r="C6999" s="1" t="n">
        <v>46086</v>
      </c>
      <c r="D6999" t="inlineStr">
        <is>
          <t>GÄVLEBORGS LÄN</t>
        </is>
      </c>
      <c r="E6999" t="inlineStr">
        <is>
          <t>LJUSDAL</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59231-2025</t>
        </is>
      </c>
      <c r="B7000" s="1" t="n">
        <v>45988.62530092592</v>
      </c>
      <c r="C7000" s="1" t="n">
        <v>46086</v>
      </c>
      <c r="D7000" t="inlineStr">
        <is>
          <t>GÄVLEBORGS LÄN</t>
        </is>
      </c>
      <c r="E7000" t="inlineStr">
        <is>
          <t>BOLLNÄS</t>
        </is>
      </c>
      <c r="G7000" t="n">
        <v>4.1</v>
      </c>
      <c r="H7000" t="n">
        <v>0</v>
      </c>
      <c r="I7000" t="n">
        <v>0</v>
      </c>
      <c r="J7000" t="n">
        <v>0</v>
      </c>
      <c r="K7000" t="n">
        <v>0</v>
      </c>
      <c r="L7000" t="n">
        <v>0</v>
      </c>
      <c r="M7000" t="n">
        <v>0</v>
      </c>
      <c r="N7000" t="n">
        <v>0</v>
      </c>
      <c r="O7000" t="n">
        <v>0</v>
      </c>
      <c r="P7000" t="n">
        <v>0</v>
      </c>
      <c r="Q7000" t="n">
        <v>0</v>
      </c>
      <c r="R7000" s="2" t="inlineStr"/>
    </row>
    <row r="7001" ht="15" customHeight="1">
      <c r="A7001" t="inlineStr">
        <is>
          <t>A 18361-2024</t>
        </is>
      </c>
      <c r="B7001" s="1" t="n">
        <v>45422</v>
      </c>
      <c r="C7001" s="1" t="n">
        <v>46086</v>
      </c>
      <c r="D7001" t="inlineStr">
        <is>
          <t>GÄVLEBORGS LÄN</t>
        </is>
      </c>
      <c r="E7001" t="inlineStr">
        <is>
          <t>GÄVLE</t>
        </is>
      </c>
      <c r="F7001" t="inlineStr">
        <is>
          <t>Bergvik skog väst AB</t>
        </is>
      </c>
      <c r="G7001" t="n">
        <v>7</v>
      </c>
      <c r="H7001" t="n">
        <v>0</v>
      </c>
      <c r="I7001" t="n">
        <v>0</v>
      </c>
      <c r="J7001" t="n">
        <v>0</v>
      </c>
      <c r="K7001" t="n">
        <v>0</v>
      </c>
      <c r="L7001" t="n">
        <v>0</v>
      </c>
      <c r="M7001" t="n">
        <v>0</v>
      </c>
      <c r="N7001" t="n">
        <v>0</v>
      </c>
      <c r="O7001" t="n">
        <v>0</v>
      </c>
      <c r="P7001" t="n">
        <v>0</v>
      </c>
      <c r="Q7001" t="n">
        <v>0</v>
      </c>
      <c r="R7001" s="2" t="inlineStr"/>
    </row>
    <row r="7002" ht="15" customHeight="1">
      <c r="A7002" t="inlineStr">
        <is>
          <t>A 14681-2023</t>
        </is>
      </c>
      <c r="B7002" s="1" t="n">
        <v>45014.3017824074</v>
      </c>
      <c r="C7002" s="1" t="n">
        <v>46086</v>
      </c>
      <c r="D7002" t="inlineStr">
        <is>
          <t>GÄVLEBORGS LÄN</t>
        </is>
      </c>
      <c r="E7002" t="inlineStr">
        <is>
          <t>BOLLNÄS</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28163-2023</t>
        </is>
      </c>
      <c r="B7003" s="1" t="n">
        <v>45096</v>
      </c>
      <c r="C7003" s="1" t="n">
        <v>46086</v>
      </c>
      <c r="D7003" t="inlineStr">
        <is>
          <t>GÄVLEBORGS LÄN</t>
        </is>
      </c>
      <c r="E7003" t="inlineStr">
        <is>
          <t>SANDVIKEN</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59078-2025</t>
        </is>
      </c>
      <c r="B7004" s="1" t="n">
        <v>45988.43143518519</v>
      </c>
      <c r="C7004" s="1" t="n">
        <v>46086</v>
      </c>
      <c r="D7004" t="inlineStr">
        <is>
          <t>GÄVLEBORGS LÄN</t>
        </is>
      </c>
      <c r="E7004" t="inlineStr">
        <is>
          <t>LJUSDAL</t>
        </is>
      </c>
      <c r="G7004" t="n">
        <v>16.4</v>
      </c>
      <c r="H7004" t="n">
        <v>0</v>
      </c>
      <c r="I7004" t="n">
        <v>0</v>
      </c>
      <c r="J7004" t="n">
        <v>0</v>
      </c>
      <c r="K7004" t="n">
        <v>0</v>
      </c>
      <c r="L7004" t="n">
        <v>0</v>
      </c>
      <c r="M7004" t="n">
        <v>0</v>
      </c>
      <c r="N7004" t="n">
        <v>0</v>
      </c>
      <c r="O7004" t="n">
        <v>0</v>
      </c>
      <c r="P7004" t="n">
        <v>0</v>
      </c>
      <c r="Q7004" t="n">
        <v>0</v>
      </c>
      <c r="R7004" s="2" t="inlineStr"/>
    </row>
    <row r="7005" ht="15" customHeight="1">
      <c r="A7005" t="inlineStr">
        <is>
          <t>A 43517-2023</t>
        </is>
      </c>
      <c r="B7005" s="1" t="n">
        <v>45184.48697916666</v>
      </c>
      <c r="C7005" s="1" t="n">
        <v>46086</v>
      </c>
      <c r="D7005" t="inlineStr">
        <is>
          <t>GÄVLEBORGS LÄN</t>
        </is>
      </c>
      <c r="E7005" t="inlineStr">
        <is>
          <t>LJUSDAL</t>
        </is>
      </c>
      <c r="G7005" t="n">
        <v>23.5</v>
      </c>
      <c r="H7005" t="n">
        <v>0</v>
      </c>
      <c r="I7005" t="n">
        <v>0</v>
      </c>
      <c r="J7005" t="n">
        <v>0</v>
      </c>
      <c r="K7005" t="n">
        <v>0</v>
      </c>
      <c r="L7005" t="n">
        <v>0</v>
      </c>
      <c r="M7005" t="n">
        <v>0</v>
      </c>
      <c r="N7005" t="n">
        <v>0</v>
      </c>
      <c r="O7005" t="n">
        <v>0</v>
      </c>
      <c r="P7005" t="n">
        <v>0</v>
      </c>
      <c r="Q7005" t="n">
        <v>0</v>
      </c>
      <c r="R7005" s="2" t="inlineStr"/>
    </row>
    <row r="7006" ht="15" customHeight="1">
      <c r="A7006" t="inlineStr">
        <is>
          <t>A 48607-2023</t>
        </is>
      </c>
      <c r="B7006" s="1" t="n">
        <v>45208.53420138889</v>
      </c>
      <c r="C7006" s="1" t="n">
        <v>46086</v>
      </c>
      <c r="D7006" t="inlineStr">
        <is>
          <t>GÄVLEBORGS LÄN</t>
        </is>
      </c>
      <c r="E7006" t="inlineStr">
        <is>
          <t>NORDANSTIG</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1060-2026</t>
        </is>
      </c>
      <c r="B7007" s="1" t="n">
        <v>46030.63916666667</v>
      </c>
      <c r="C7007" s="1" t="n">
        <v>46086</v>
      </c>
      <c r="D7007" t="inlineStr">
        <is>
          <t>GÄVLEBORGS LÄN</t>
        </is>
      </c>
      <c r="E7007" t="inlineStr">
        <is>
          <t>SANDVIKEN</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59325-2025</t>
        </is>
      </c>
      <c r="B7008" s="1" t="n">
        <v>45989.34472222222</v>
      </c>
      <c r="C7008" s="1" t="n">
        <v>46086</v>
      </c>
      <c r="D7008" t="inlineStr">
        <is>
          <t>GÄVLEBORGS LÄN</t>
        </is>
      </c>
      <c r="E7008" t="inlineStr">
        <is>
          <t>HUDIKSVALL</t>
        </is>
      </c>
      <c r="G7008" t="n">
        <v>4.5</v>
      </c>
      <c r="H7008" t="n">
        <v>0</v>
      </c>
      <c r="I7008" t="n">
        <v>0</v>
      </c>
      <c r="J7008" t="n">
        <v>0</v>
      </c>
      <c r="K7008" t="n">
        <v>0</v>
      </c>
      <c r="L7008" t="n">
        <v>0</v>
      </c>
      <c r="M7008" t="n">
        <v>0</v>
      </c>
      <c r="N7008" t="n">
        <v>0</v>
      </c>
      <c r="O7008" t="n">
        <v>0</v>
      </c>
      <c r="P7008" t="n">
        <v>0</v>
      </c>
      <c r="Q7008" t="n">
        <v>0</v>
      </c>
      <c r="R7008" s="2" t="inlineStr"/>
    </row>
    <row r="7009" ht="15" customHeight="1">
      <c r="A7009" t="inlineStr">
        <is>
          <t>A 59326-2025</t>
        </is>
      </c>
      <c r="B7009" s="1" t="n">
        <v>45989.34479166667</v>
      </c>
      <c r="C7009" s="1" t="n">
        <v>46086</v>
      </c>
      <c r="D7009" t="inlineStr">
        <is>
          <t>GÄVLEBORGS LÄN</t>
        </is>
      </c>
      <c r="E7009" t="inlineStr">
        <is>
          <t>HUDIKSVALL</t>
        </is>
      </c>
      <c r="G7009" t="n">
        <v>5.3</v>
      </c>
      <c r="H7009" t="n">
        <v>0</v>
      </c>
      <c r="I7009" t="n">
        <v>0</v>
      </c>
      <c r="J7009" t="n">
        <v>0</v>
      </c>
      <c r="K7009" t="n">
        <v>0</v>
      </c>
      <c r="L7009" t="n">
        <v>0</v>
      </c>
      <c r="M7009" t="n">
        <v>0</v>
      </c>
      <c r="N7009" t="n">
        <v>0</v>
      </c>
      <c r="O7009" t="n">
        <v>0</v>
      </c>
      <c r="P7009" t="n">
        <v>0</v>
      </c>
      <c r="Q7009" t="n">
        <v>0</v>
      </c>
      <c r="R7009" s="2" t="inlineStr"/>
    </row>
    <row r="7010" ht="15" customHeight="1">
      <c r="A7010" t="inlineStr">
        <is>
          <t>A 22646-2022</t>
        </is>
      </c>
      <c r="B7010" s="1" t="n">
        <v>44714.4553125</v>
      </c>
      <c r="C7010" s="1" t="n">
        <v>46086</v>
      </c>
      <c r="D7010" t="inlineStr">
        <is>
          <t>GÄVLEBORGS LÄN</t>
        </is>
      </c>
      <c r="E7010" t="inlineStr">
        <is>
          <t>BOLLNÄS</t>
        </is>
      </c>
      <c r="F7010" t="inlineStr">
        <is>
          <t>Bergvik skog väst AB</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1167-2026</t>
        </is>
      </c>
      <c r="B7011" s="1" t="n">
        <v>46031.34339120371</v>
      </c>
      <c r="C7011" s="1" t="n">
        <v>46086</v>
      </c>
      <c r="D7011" t="inlineStr">
        <is>
          <t>GÄVLEBORGS LÄN</t>
        </is>
      </c>
      <c r="E7011" t="inlineStr">
        <is>
          <t>BOLLNÄS</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879-2026</t>
        </is>
      </c>
      <c r="B7012" s="1" t="n">
        <v>46030.44342592593</v>
      </c>
      <c r="C7012" s="1" t="n">
        <v>46086</v>
      </c>
      <c r="D7012" t="inlineStr">
        <is>
          <t>GÄVLEBORGS LÄN</t>
        </is>
      </c>
      <c r="E7012" t="inlineStr">
        <is>
          <t>NORDANSTIG</t>
        </is>
      </c>
      <c r="F7012" t="inlineStr">
        <is>
          <t>Holmen skog AB</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1165-2026</t>
        </is>
      </c>
      <c r="B7013" s="1" t="n">
        <v>46031.34253472222</v>
      </c>
      <c r="C7013" s="1" t="n">
        <v>46086</v>
      </c>
      <c r="D7013" t="inlineStr">
        <is>
          <t>GÄVLEBORGS LÄN</t>
        </is>
      </c>
      <c r="E7013" t="inlineStr">
        <is>
          <t>BOLLNÄS</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1172-2026</t>
        </is>
      </c>
      <c r="B7014" s="1" t="n">
        <v>46031.34699074074</v>
      </c>
      <c r="C7014" s="1" t="n">
        <v>46086</v>
      </c>
      <c r="D7014" t="inlineStr">
        <is>
          <t>GÄVLEBORGS LÄN</t>
        </is>
      </c>
      <c r="E7014" t="inlineStr">
        <is>
          <t>BOLLNÄS</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1034-2026</t>
        </is>
      </c>
      <c r="B7015" s="1" t="n">
        <v>46030.61552083334</v>
      </c>
      <c r="C7015" s="1" t="n">
        <v>46086</v>
      </c>
      <c r="D7015" t="inlineStr">
        <is>
          <t>GÄVLEBORGS LÄN</t>
        </is>
      </c>
      <c r="E7015" t="inlineStr">
        <is>
          <t>NORDANSTIG</t>
        </is>
      </c>
      <c r="G7015" t="n">
        <v>11.5</v>
      </c>
      <c r="H7015" t="n">
        <v>0</v>
      </c>
      <c r="I7015" t="n">
        <v>0</v>
      </c>
      <c r="J7015" t="n">
        <v>0</v>
      </c>
      <c r="K7015" t="n">
        <v>0</v>
      </c>
      <c r="L7015" t="n">
        <v>0</v>
      </c>
      <c r="M7015" t="n">
        <v>0</v>
      </c>
      <c r="N7015" t="n">
        <v>0</v>
      </c>
      <c r="O7015" t="n">
        <v>0</v>
      </c>
      <c r="P7015" t="n">
        <v>0</v>
      </c>
      <c r="Q7015" t="n">
        <v>0</v>
      </c>
      <c r="R7015" s="2" t="inlineStr"/>
    </row>
    <row r="7016" ht="15" customHeight="1">
      <c r="A7016" t="inlineStr">
        <is>
          <t>A 2556-2025</t>
        </is>
      </c>
      <c r="B7016" s="1" t="n">
        <v>45674.64923611111</v>
      </c>
      <c r="C7016" s="1" t="n">
        <v>46086</v>
      </c>
      <c r="D7016" t="inlineStr">
        <is>
          <t>GÄVLEBORGS LÄN</t>
        </is>
      </c>
      <c r="E7016" t="inlineStr">
        <is>
          <t>OCKELBO</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38495-2023</t>
        </is>
      </c>
      <c r="B7017" s="1" t="n">
        <v>45162</v>
      </c>
      <c r="C7017" s="1" t="n">
        <v>46086</v>
      </c>
      <c r="D7017" t="inlineStr">
        <is>
          <t>GÄVLEBORGS LÄN</t>
        </is>
      </c>
      <c r="E7017" t="inlineStr">
        <is>
          <t>GÄVLE</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18638-2023</t>
        </is>
      </c>
      <c r="B7018" s="1" t="n">
        <v>45043.49929398148</v>
      </c>
      <c r="C7018" s="1" t="n">
        <v>46086</v>
      </c>
      <c r="D7018" t="inlineStr">
        <is>
          <t>GÄVLEBORGS LÄN</t>
        </is>
      </c>
      <c r="E7018" t="inlineStr">
        <is>
          <t>NORDANSTIG</t>
        </is>
      </c>
      <c r="G7018" t="n">
        <v>11.3</v>
      </c>
      <c r="H7018" t="n">
        <v>0</v>
      </c>
      <c r="I7018" t="n">
        <v>0</v>
      </c>
      <c r="J7018" t="n">
        <v>0</v>
      </c>
      <c r="K7018" t="n">
        <v>0</v>
      </c>
      <c r="L7018" t="n">
        <v>0</v>
      </c>
      <c r="M7018" t="n">
        <v>0</v>
      </c>
      <c r="N7018" t="n">
        <v>0</v>
      </c>
      <c r="O7018" t="n">
        <v>0</v>
      </c>
      <c r="P7018" t="n">
        <v>0</v>
      </c>
      <c r="Q7018" t="n">
        <v>0</v>
      </c>
      <c r="R7018" s="2" t="inlineStr"/>
    </row>
    <row r="7019" ht="15" customHeight="1">
      <c r="A7019" t="inlineStr">
        <is>
          <t>A 1175-2026</t>
        </is>
      </c>
      <c r="B7019" s="1" t="n">
        <v>46031.34988425926</v>
      </c>
      <c r="C7019" s="1" t="n">
        <v>46086</v>
      </c>
      <c r="D7019" t="inlineStr">
        <is>
          <t>GÄVLEBORGS LÄN</t>
        </is>
      </c>
      <c r="E7019" t="inlineStr">
        <is>
          <t>BOLLNÄS</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59420-2025</t>
        </is>
      </c>
      <c r="B7020" s="1" t="n">
        <v>45989.52212962963</v>
      </c>
      <c r="C7020" s="1" t="n">
        <v>46086</v>
      </c>
      <c r="D7020" t="inlineStr">
        <is>
          <t>GÄVLEBORGS LÄN</t>
        </is>
      </c>
      <c r="E7020" t="inlineStr">
        <is>
          <t>SÖDERHAMN</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59426-2025</t>
        </is>
      </c>
      <c r="B7021" s="1" t="n">
        <v>45989.5396875</v>
      </c>
      <c r="C7021" s="1" t="n">
        <v>46086</v>
      </c>
      <c r="D7021" t="inlineStr">
        <is>
          <t>GÄVLEBORGS LÄN</t>
        </is>
      </c>
      <c r="E7021" t="inlineStr">
        <is>
          <t>LJUSDAL</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1214-2026</t>
        </is>
      </c>
      <c r="B7022" s="1" t="n">
        <v>46031.3956712963</v>
      </c>
      <c r="C7022" s="1" t="n">
        <v>46086</v>
      </c>
      <c r="D7022" t="inlineStr">
        <is>
          <t>GÄVLEBORGS LÄN</t>
        </is>
      </c>
      <c r="E7022" t="inlineStr">
        <is>
          <t>NORDANSTIG</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47871-2025</t>
        </is>
      </c>
      <c r="B7023" s="1" t="n">
        <v>45932</v>
      </c>
      <c r="C7023" s="1" t="n">
        <v>46086</v>
      </c>
      <c r="D7023" t="inlineStr">
        <is>
          <t>GÄVLEBORGS LÄN</t>
        </is>
      </c>
      <c r="E7023" t="inlineStr">
        <is>
          <t>LJUSDAL</t>
        </is>
      </c>
      <c r="G7023" t="n">
        <v>6.5</v>
      </c>
      <c r="H7023" t="n">
        <v>0</v>
      </c>
      <c r="I7023" t="n">
        <v>0</v>
      </c>
      <c r="J7023" t="n">
        <v>0</v>
      </c>
      <c r="K7023" t="n">
        <v>0</v>
      </c>
      <c r="L7023" t="n">
        <v>0</v>
      </c>
      <c r="M7023" t="n">
        <v>0</v>
      </c>
      <c r="N7023" t="n">
        <v>0</v>
      </c>
      <c r="O7023" t="n">
        <v>0</v>
      </c>
      <c r="P7023" t="n">
        <v>0</v>
      </c>
      <c r="Q7023" t="n">
        <v>0</v>
      </c>
      <c r="R7023" s="2" t="inlineStr"/>
    </row>
    <row r="7024" ht="15" customHeight="1">
      <c r="A7024" t="inlineStr">
        <is>
          <t>A 2909-2024</t>
        </is>
      </c>
      <c r="B7024" s="1" t="n">
        <v>45315</v>
      </c>
      <c r="C7024" s="1" t="n">
        <v>46086</v>
      </c>
      <c r="D7024" t="inlineStr">
        <is>
          <t>GÄVLEBORGS LÄN</t>
        </is>
      </c>
      <c r="E7024" t="inlineStr">
        <is>
          <t>LJUSDAL</t>
        </is>
      </c>
      <c r="G7024" t="n">
        <v>4.2</v>
      </c>
      <c r="H7024" t="n">
        <v>0</v>
      </c>
      <c r="I7024" t="n">
        <v>0</v>
      </c>
      <c r="J7024" t="n">
        <v>0</v>
      </c>
      <c r="K7024" t="n">
        <v>0</v>
      </c>
      <c r="L7024" t="n">
        <v>0</v>
      </c>
      <c r="M7024" t="n">
        <v>0</v>
      </c>
      <c r="N7024" t="n">
        <v>0</v>
      </c>
      <c r="O7024" t="n">
        <v>0</v>
      </c>
      <c r="P7024" t="n">
        <v>0</v>
      </c>
      <c r="Q7024" t="n">
        <v>0</v>
      </c>
      <c r="R7024" s="2" t="inlineStr"/>
    </row>
    <row r="7025" ht="15" customHeight="1">
      <c r="A7025" t="inlineStr">
        <is>
          <t>A 11301-2025</t>
        </is>
      </c>
      <c r="B7025" s="1" t="n">
        <v>45726.44162037037</v>
      </c>
      <c r="C7025" s="1" t="n">
        <v>46086</v>
      </c>
      <c r="D7025" t="inlineStr">
        <is>
          <t>GÄVLEBORGS LÄN</t>
        </is>
      </c>
      <c r="E7025" t="inlineStr">
        <is>
          <t>OVANÅKER</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11340-2025</t>
        </is>
      </c>
      <c r="B7026" s="1" t="n">
        <v>45726.49440972223</v>
      </c>
      <c r="C7026" s="1" t="n">
        <v>46086</v>
      </c>
      <c r="D7026" t="inlineStr">
        <is>
          <t>GÄVLEBORGS LÄN</t>
        </is>
      </c>
      <c r="E7026" t="inlineStr">
        <is>
          <t>GÄVLE</t>
        </is>
      </c>
      <c r="F7026" t="inlineStr">
        <is>
          <t>Bergvik skog öst AB</t>
        </is>
      </c>
      <c r="G7026" t="n">
        <v>4.4</v>
      </c>
      <c r="H7026" t="n">
        <v>0</v>
      </c>
      <c r="I7026" t="n">
        <v>0</v>
      </c>
      <c r="J7026" t="n">
        <v>0</v>
      </c>
      <c r="K7026" t="n">
        <v>0</v>
      </c>
      <c r="L7026" t="n">
        <v>0</v>
      </c>
      <c r="M7026" t="n">
        <v>0</v>
      </c>
      <c r="N7026" t="n">
        <v>0</v>
      </c>
      <c r="O7026" t="n">
        <v>0</v>
      </c>
      <c r="P7026" t="n">
        <v>0</v>
      </c>
      <c r="Q7026" t="n">
        <v>0</v>
      </c>
      <c r="R7026" s="2" t="inlineStr"/>
    </row>
    <row r="7027" ht="15" customHeight="1">
      <c r="A7027" t="inlineStr">
        <is>
          <t>A 955-2026</t>
        </is>
      </c>
      <c r="B7027" s="1" t="n">
        <v>46030.54699074074</v>
      </c>
      <c r="C7027" s="1" t="n">
        <v>46086</v>
      </c>
      <c r="D7027" t="inlineStr">
        <is>
          <t>GÄVLEBORGS LÄN</t>
        </is>
      </c>
      <c r="E7027" t="inlineStr">
        <is>
          <t>SANDVIKEN</t>
        </is>
      </c>
      <c r="G7027" t="n">
        <v>14.2</v>
      </c>
      <c r="H7027" t="n">
        <v>0</v>
      </c>
      <c r="I7027" t="n">
        <v>0</v>
      </c>
      <c r="J7027" t="n">
        <v>0</v>
      </c>
      <c r="K7027" t="n">
        <v>0</v>
      </c>
      <c r="L7027" t="n">
        <v>0</v>
      </c>
      <c r="M7027" t="n">
        <v>0</v>
      </c>
      <c r="N7027" t="n">
        <v>0</v>
      </c>
      <c r="O7027" t="n">
        <v>0</v>
      </c>
      <c r="P7027" t="n">
        <v>0</v>
      </c>
      <c r="Q7027" t="n">
        <v>0</v>
      </c>
      <c r="R7027" s="2" t="inlineStr"/>
    </row>
    <row r="7028" ht="15" customHeight="1">
      <c r="A7028" t="inlineStr">
        <is>
          <t>A 53384-2023</t>
        </is>
      </c>
      <c r="B7028" s="1" t="n">
        <v>45223</v>
      </c>
      <c r="C7028" s="1" t="n">
        <v>46086</v>
      </c>
      <c r="D7028" t="inlineStr">
        <is>
          <t>GÄVLEBORGS LÄN</t>
        </is>
      </c>
      <c r="E7028" t="inlineStr">
        <is>
          <t>BOLLNÄS</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1047-2026</t>
        </is>
      </c>
      <c r="B7029" s="1" t="n">
        <v>46030.62704861111</v>
      </c>
      <c r="C7029" s="1" t="n">
        <v>46086</v>
      </c>
      <c r="D7029" t="inlineStr">
        <is>
          <t>GÄVLEBORGS LÄN</t>
        </is>
      </c>
      <c r="E7029" t="inlineStr">
        <is>
          <t>BOLLNÄS</t>
        </is>
      </c>
      <c r="G7029" t="n">
        <v>32.1</v>
      </c>
      <c r="H7029" t="n">
        <v>0</v>
      </c>
      <c r="I7029" t="n">
        <v>0</v>
      </c>
      <c r="J7029" t="n">
        <v>0</v>
      </c>
      <c r="K7029" t="n">
        <v>0</v>
      </c>
      <c r="L7029" t="n">
        <v>0</v>
      </c>
      <c r="M7029" t="n">
        <v>0</v>
      </c>
      <c r="N7029" t="n">
        <v>0</v>
      </c>
      <c r="O7029" t="n">
        <v>0</v>
      </c>
      <c r="P7029" t="n">
        <v>0</v>
      </c>
      <c r="Q7029" t="n">
        <v>0</v>
      </c>
      <c r="R7029" s="2" t="inlineStr"/>
    </row>
    <row r="7030" ht="15" customHeight="1">
      <c r="A7030" t="inlineStr">
        <is>
          <t>A 1230-2026</t>
        </is>
      </c>
      <c r="B7030" s="1" t="n">
        <v>46031.40800925926</v>
      </c>
      <c r="C7030" s="1" t="n">
        <v>46086</v>
      </c>
      <c r="D7030" t="inlineStr">
        <is>
          <t>GÄVLEBORGS LÄN</t>
        </is>
      </c>
      <c r="E7030" t="inlineStr">
        <is>
          <t>NORDANSTIG</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60891-2023</t>
        </is>
      </c>
      <c r="B7031" s="1" t="n">
        <v>45261.34476851852</v>
      </c>
      <c r="C7031" s="1" t="n">
        <v>46086</v>
      </c>
      <c r="D7031" t="inlineStr">
        <is>
          <t>GÄVLEBORGS LÄN</t>
        </is>
      </c>
      <c r="E7031" t="inlineStr">
        <is>
          <t>SANDVIKEN</t>
        </is>
      </c>
      <c r="G7031" t="n">
        <v>3.3</v>
      </c>
      <c r="H7031" t="n">
        <v>0</v>
      </c>
      <c r="I7031" t="n">
        <v>0</v>
      </c>
      <c r="J7031" t="n">
        <v>0</v>
      </c>
      <c r="K7031" t="n">
        <v>0</v>
      </c>
      <c r="L7031" t="n">
        <v>0</v>
      </c>
      <c r="M7031" t="n">
        <v>0</v>
      </c>
      <c r="N7031" t="n">
        <v>0</v>
      </c>
      <c r="O7031" t="n">
        <v>0</v>
      </c>
      <c r="P7031" t="n">
        <v>0</v>
      </c>
      <c r="Q7031" t="n">
        <v>0</v>
      </c>
      <c r="R7031" s="2" t="inlineStr"/>
    </row>
    <row r="7032" ht="15" customHeight="1">
      <c r="A7032" t="inlineStr">
        <is>
          <t>A 33138-2022</t>
        </is>
      </c>
      <c r="B7032" s="1" t="n">
        <v>44785.54732638889</v>
      </c>
      <c r="C7032" s="1" t="n">
        <v>46086</v>
      </c>
      <c r="D7032" t="inlineStr">
        <is>
          <t>GÄVLEBORGS LÄN</t>
        </is>
      </c>
      <c r="E7032" t="inlineStr">
        <is>
          <t>HUDIKSVALL</t>
        </is>
      </c>
      <c r="F7032" t="inlineStr">
        <is>
          <t>Holmen skog AB</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18825-2024</t>
        </is>
      </c>
      <c r="B7033" s="1" t="n">
        <v>45426</v>
      </c>
      <c r="C7033" s="1" t="n">
        <v>46086</v>
      </c>
      <c r="D7033" t="inlineStr">
        <is>
          <t>GÄVLEBORGS LÄN</t>
        </is>
      </c>
      <c r="E7033" t="inlineStr">
        <is>
          <t>HUDIKSVALL</t>
        </is>
      </c>
      <c r="G7033" t="n">
        <v>0.3</v>
      </c>
      <c r="H7033" t="n">
        <v>0</v>
      </c>
      <c r="I7033" t="n">
        <v>0</v>
      </c>
      <c r="J7033" t="n">
        <v>0</v>
      </c>
      <c r="K7033" t="n">
        <v>0</v>
      </c>
      <c r="L7033" t="n">
        <v>0</v>
      </c>
      <c r="M7033" t="n">
        <v>0</v>
      </c>
      <c r="N7033" t="n">
        <v>0</v>
      </c>
      <c r="O7033" t="n">
        <v>0</v>
      </c>
      <c r="P7033" t="n">
        <v>0</v>
      </c>
      <c r="Q7033" t="n">
        <v>0</v>
      </c>
      <c r="R7033" s="2" t="inlineStr"/>
    </row>
    <row r="7034" ht="15" customHeight="1">
      <c r="A7034" t="inlineStr">
        <is>
          <t>A 18832-2024</t>
        </is>
      </c>
      <c r="B7034" s="1" t="n">
        <v>45426</v>
      </c>
      <c r="C7034" s="1" t="n">
        <v>46086</v>
      </c>
      <c r="D7034" t="inlineStr">
        <is>
          <t>GÄVLEBORGS LÄN</t>
        </is>
      </c>
      <c r="E7034" t="inlineStr">
        <is>
          <t>HUDIKSVALL</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10119-2025</t>
        </is>
      </c>
      <c r="B7035" s="1" t="n">
        <v>45719.59969907408</v>
      </c>
      <c r="C7035" s="1" t="n">
        <v>46086</v>
      </c>
      <c r="D7035" t="inlineStr">
        <is>
          <t>GÄVLEBORGS LÄN</t>
        </is>
      </c>
      <c r="E7035" t="inlineStr">
        <is>
          <t>OVANÅKER</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59428-2025</t>
        </is>
      </c>
      <c r="B7036" s="1" t="n">
        <v>45989.5432175926</v>
      </c>
      <c r="C7036" s="1" t="n">
        <v>46086</v>
      </c>
      <c r="D7036" t="inlineStr">
        <is>
          <t>GÄVLEBORGS LÄN</t>
        </is>
      </c>
      <c r="E7036" t="inlineStr">
        <is>
          <t>BOLLNÄS</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59086-2025</t>
        </is>
      </c>
      <c r="B7037" s="1" t="n">
        <v>45988.4421412037</v>
      </c>
      <c r="C7037" s="1" t="n">
        <v>46086</v>
      </c>
      <c r="D7037" t="inlineStr">
        <is>
          <t>GÄVLEBORGS LÄN</t>
        </is>
      </c>
      <c r="E7037" t="inlineStr">
        <is>
          <t>OCKELBO</t>
        </is>
      </c>
      <c r="F7037" t="inlineStr">
        <is>
          <t>Bergvik skog väst AB</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59441-2025</t>
        </is>
      </c>
      <c r="B7038" s="1" t="n">
        <v>45989.56060185185</v>
      </c>
      <c r="C7038" s="1" t="n">
        <v>46086</v>
      </c>
      <c r="D7038" t="inlineStr">
        <is>
          <t>GÄVLEBORGS LÄN</t>
        </is>
      </c>
      <c r="E7038" t="inlineStr">
        <is>
          <t>BOLLNÄS</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42780-2022</t>
        </is>
      </c>
      <c r="B7039" s="1" t="n">
        <v>44832.5190625</v>
      </c>
      <c r="C7039" s="1" t="n">
        <v>46086</v>
      </c>
      <c r="D7039" t="inlineStr">
        <is>
          <t>GÄVLEBORGS LÄN</t>
        </is>
      </c>
      <c r="E7039" t="inlineStr">
        <is>
          <t>NORDANSTIG</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1322-2026</t>
        </is>
      </c>
      <c r="B7040" s="1" t="n">
        <v>46031.54829861111</v>
      </c>
      <c r="C7040" s="1" t="n">
        <v>46086</v>
      </c>
      <c r="D7040" t="inlineStr">
        <is>
          <t>GÄVLEBORGS LÄN</t>
        </is>
      </c>
      <c r="E7040" t="inlineStr">
        <is>
          <t>HUDIKSVALL</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1360-2026</t>
        </is>
      </c>
      <c r="B7041" s="1" t="n">
        <v>46031.60224537037</v>
      </c>
      <c r="C7041" s="1" t="n">
        <v>46086</v>
      </c>
      <c r="D7041" t="inlineStr">
        <is>
          <t>GÄVLEBORGS LÄN</t>
        </is>
      </c>
      <c r="E7041" t="inlineStr">
        <is>
          <t>SANDVIKEN</t>
        </is>
      </c>
      <c r="G7041" t="n">
        <v>11.2</v>
      </c>
      <c r="H7041" t="n">
        <v>0</v>
      </c>
      <c r="I7041" t="n">
        <v>0</v>
      </c>
      <c r="J7041" t="n">
        <v>0</v>
      </c>
      <c r="K7041" t="n">
        <v>0</v>
      </c>
      <c r="L7041" t="n">
        <v>0</v>
      </c>
      <c r="M7041" t="n">
        <v>0</v>
      </c>
      <c r="N7041" t="n">
        <v>0</v>
      </c>
      <c r="O7041" t="n">
        <v>0</v>
      </c>
      <c r="P7041" t="n">
        <v>0</v>
      </c>
      <c r="Q7041" t="n">
        <v>0</v>
      </c>
      <c r="R7041" s="2" t="inlineStr"/>
    </row>
    <row r="7042" ht="15" customHeight="1">
      <c r="A7042" t="inlineStr">
        <is>
          <t>A 59327-2025</t>
        </is>
      </c>
      <c r="B7042" s="1" t="n">
        <v>45989.34484953704</v>
      </c>
      <c r="C7042" s="1" t="n">
        <v>46086</v>
      </c>
      <c r="D7042" t="inlineStr">
        <is>
          <t>GÄVLEBORGS LÄN</t>
        </is>
      </c>
      <c r="E7042" t="inlineStr">
        <is>
          <t>HUDIKSVALL</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1295-2026</t>
        </is>
      </c>
      <c r="B7043" s="1" t="n">
        <v>46031.51228009259</v>
      </c>
      <c r="C7043" s="1" t="n">
        <v>46086</v>
      </c>
      <c r="D7043" t="inlineStr">
        <is>
          <t>GÄVLEBORGS LÄN</t>
        </is>
      </c>
      <c r="E7043" t="inlineStr">
        <is>
          <t>OCKELBO</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59353-2024</t>
        </is>
      </c>
      <c r="B7044" s="1" t="n">
        <v>45638.30491898148</v>
      </c>
      <c r="C7044" s="1" t="n">
        <v>46086</v>
      </c>
      <c r="D7044" t="inlineStr">
        <is>
          <t>GÄVLEBORGS LÄN</t>
        </is>
      </c>
      <c r="E7044" t="inlineStr">
        <is>
          <t>OVANÅKER</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41922-2024</t>
        </is>
      </c>
      <c r="B7045" s="1" t="n">
        <v>45561.55555555555</v>
      </c>
      <c r="C7045" s="1" t="n">
        <v>46086</v>
      </c>
      <c r="D7045" t="inlineStr">
        <is>
          <t>GÄVLEBORGS LÄN</t>
        </is>
      </c>
      <c r="E7045" t="inlineStr">
        <is>
          <t>LJUSDAL</t>
        </is>
      </c>
      <c r="F7045" t="inlineStr">
        <is>
          <t>Sveaskog</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867-2026</t>
        </is>
      </c>
      <c r="B7046" s="1" t="n">
        <v>46030.42943287037</v>
      </c>
      <c r="C7046" s="1" t="n">
        <v>46086</v>
      </c>
      <c r="D7046" t="inlineStr">
        <is>
          <t>GÄVLEBORGS LÄN</t>
        </is>
      </c>
      <c r="E7046" t="inlineStr">
        <is>
          <t>SANDVIKEN</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37-2024</t>
        </is>
      </c>
      <c r="B7047" s="1" t="n">
        <v>45293</v>
      </c>
      <c r="C7047" s="1" t="n">
        <v>46086</v>
      </c>
      <c r="D7047" t="inlineStr">
        <is>
          <t>GÄVLEBORGS LÄN</t>
        </is>
      </c>
      <c r="E7047" t="inlineStr">
        <is>
          <t>SANDVIKEN</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39-2024</t>
        </is>
      </c>
      <c r="B7048" s="1" t="n">
        <v>45293.50021990741</v>
      </c>
      <c r="C7048" s="1" t="n">
        <v>46086</v>
      </c>
      <c r="D7048" t="inlineStr">
        <is>
          <t>GÄVLEBORGS LÄN</t>
        </is>
      </c>
      <c r="E7048" t="inlineStr">
        <is>
          <t>SANDVIKEN</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30577-2021</t>
        </is>
      </c>
      <c r="B7049" s="1" t="n">
        <v>44364</v>
      </c>
      <c r="C7049" s="1" t="n">
        <v>46086</v>
      </c>
      <c r="D7049" t="inlineStr">
        <is>
          <t>GÄVLEBORGS LÄN</t>
        </is>
      </c>
      <c r="E7049" t="inlineStr">
        <is>
          <t>LJUSDAL</t>
        </is>
      </c>
      <c r="G7049" t="n">
        <v>5.7</v>
      </c>
      <c r="H7049" t="n">
        <v>0</v>
      </c>
      <c r="I7049" t="n">
        <v>0</v>
      </c>
      <c r="J7049" t="n">
        <v>0</v>
      </c>
      <c r="K7049" t="n">
        <v>0</v>
      </c>
      <c r="L7049" t="n">
        <v>0</v>
      </c>
      <c r="M7049" t="n">
        <v>0</v>
      </c>
      <c r="N7049" t="n">
        <v>0</v>
      </c>
      <c r="O7049" t="n">
        <v>0</v>
      </c>
      <c r="P7049" t="n">
        <v>0</v>
      </c>
      <c r="Q7049" t="n">
        <v>0</v>
      </c>
      <c r="R7049" s="2" t="inlineStr"/>
    </row>
    <row r="7050" ht="15" customHeight="1">
      <c r="A7050" t="inlineStr">
        <is>
          <t>A 59096-2025</t>
        </is>
      </c>
      <c r="B7050" s="1" t="n">
        <v>45988.45265046296</v>
      </c>
      <c r="C7050" s="1" t="n">
        <v>46086</v>
      </c>
      <c r="D7050" t="inlineStr">
        <is>
          <t>GÄVLEBORGS LÄN</t>
        </is>
      </c>
      <c r="E7050" t="inlineStr">
        <is>
          <t>HUDIKSVALL</t>
        </is>
      </c>
      <c r="G7050" t="n">
        <v>12.9</v>
      </c>
      <c r="H7050" t="n">
        <v>0</v>
      </c>
      <c r="I7050" t="n">
        <v>0</v>
      </c>
      <c r="J7050" t="n">
        <v>0</v>
      </c>
      <c r="K7050" t="n">
        <v>0</v>
      </c>
      <c r="L7050" t="n">
        <v>0</v>
      </c>
      <c r="M7050" t="n">
        <v>0</v>
      </c>
      <c r="N7050" t="n">
        <v>0</v>
      </c>
      <c r="O7050" t="n">
        <v>0</v>
      </c>
      <c r="P7050" t="n">
        <v>0</v>
      </c>
      <c r="Q7050" t="n">
        <v>0</v>
      </c>
      <c r="R7050" s="2" t="inlineStr"/>
    </row>
    <row r="7051" ht="15" customHeight="1">
      <c r="A7051" t="inlineStr">
        <is>
          <t>A 51740-2023</t>
        </is>
      </c>
      <c r="B7051" s="1" t="n">
        <v>45222.66674768519</v>
      </c>
      <c r="C7051" s="1" t="n">
        <v>46086</v>
      </c>
      <c r="D7051" t="inlineStr">
        <is>
          <t>GÄVLEBORGS LÄN</t>
        </is>
      </c>
      <c r="E7051" t="inlineStr">
        <is>
          <t>NORDANSTIG</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68659-2021</t>
        </is>
      </c>
      <c r="B7052" s="1" t="n">
        <v>44529</v>
      </c>
      <c r="C7052" s="1" t="n">
        <v>46086</v>
      </c>
      <c r="D7052" t="inlineStr">
        <is>
          <t>GÄVLEBORGS LÄN</t>
        </is>
      </c>
      <c r="E7052" t="inlineStr">
        <is>
          <t>HUDIKSVALL</t>
        </is>
      </c>
      <c r="F7052" t="inlineStr">
        <is>
          <t>Holmen skog AB</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25655-2024</t>
        </is>
      </c>
      <c r="B7053" s="1" t="n">
        <v>45463.68395833333</v>
      </c>
      <c r="C7053" s="1" t="n">
        <v>46086</v>
      </c>
      <c r="D7053" t="inlineStr">
        <is>
          <t>GÄVLEBORGS LÄN</t>
        </is>
      </c>
      <c r="E7053" t="inlineStr">
        <is>
          <t>GÄVLE</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59427-2025</t>
        </is>
      </c>
      <c r="B7054" s="1" t="n">
        <v>45989.5421875</v>
      </c>
      <c r="C7054" s="1" t="n">
        <v>46086</v>
      </c>
      <c r="D7054" t="inlineStr">
        <is>
          <t>GÄVLEBORGS LÄN</t>
        </is>
      </c>
      <c r="E7054" t="inlineStr">
        <is>
          <t>BOLLNÄS</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59488-2025</t>
        </is>
      </c>
      <c r="B7055" s="1" t="n">
        <v>45989.59631944444</v>
      </c>
      <c r="C7055" s="1" t="n">
        <v>46086</v>
      </c>
      <c r="D7055" t="inlineStr">
        <is>
          <t>GÄVLEBORGS LÄN</t>
        </is>
      </c>
      <c r="E7055" t="inlineStr">
        <is>
          <t>HUDIKSVALL</t>
        </is>
      </c>
      <c r="F7055" t="inlineStr">
        <is>
          <t>Holmen skog AB</t>
        </is>
      </c>
      <c r="G7055" t="n">
        <v>3.4</v>
      </c>
      <c r="H7055" t="n">
        <v>0</v>
      </c>
      <c r="I7055" t="n">
        <v>0</v>
      </c>
      <c r="J7055" t="n">
        <v>0</v>
      </c>
      <c r="K7055" t="n">
        <v>0</v>
      </c>
      <c r="L7055" t="n">
        <v>0</v>
      </c>
      <c r="M7055" t="n">
        <v>0</v>
      </c>
      <c r="N7055" t="n">
        <v>0</v>
      </c>
      <c r="O7055" t="n">
        <v>0</v>
      </c>
      <c r="P7055" t="n">
        <v>0</v>
      </c>
      <c r="Q7055" t="n">
        <v>0</v>
      </c>
      <c r="R7055" s="2" t="inlineStr"/>
    </row>
    <row r="7056" ht="15" customHeight="1">
      <c r="A7056" t="inlineStr">
        <is>
          <t>A 20682-2023</t>
        </is>
      </c>
      <c r="B7056" s="1" t="n">
        <v>45058.38581018519</v>
      </c>
      <c r="C7056" s="1" t="n">
        <v>46086</v>
      </c>
      <c r="D7056" t="inlineStr">
        <is>
          <t>GÄVLEBORGS LÄN</t>
        </is>
      </c>
      <c r="E7056" t="inlineStr">
        <is>
          <t>GÄVLE</t>
        </is>
      </c>
      <c r="G7056" t="n">
        <v>5.1</v>
      </c>
      <c r="H7056" t="n">
        <v>0</v>
      </c>
      <c r="I7056" t="n">
        <v>0</v>
      </c>
      <c r="J7056" t="n">
        <v>0</v>
      </c>
      <c r="K7056" t="n">
        <v>0</v>
      </c>
      <c r="L7056" t="n">
        <v>0</v>
      </c>
      <c r="M7056" t="n">
        <v>0</v>
      </c>
      <c r="N7056" t="n">
        <v>0</v>
      </c>
      <c r="O7056" t="n">
        <v>0</v>
      </c>
      <c r="P7056" t="n">
        <v>0</v>
      </c>
      <c r="Q7056" t="n">
        <v>0</v>
      </c>
      <c r="R7056" s="2" t="inlineStr"/>
    </row>
    <row r="7057" ht="15" customHeight="1">
      <c r="A7057" t="inlineStr">
        <is>
          <t>A 18529-2022</t>
        </is>
      </c>
      <c r="B7057" s="1" t="n">
        <v>44686.7058912037</v>
      </c>
      <c r="C7057" s="1" t="n">
        <v>46086</v>
      </c>
      <c r="D7057" t="inlineStr">
        <is>
          <t>GÄVLEBORGS LÄN</t>
        </is>
      </c>
      <c r="E7057" t="inlineStr">
        <is>
          <t>NORDANSTIG</t>
        </is>
      </c>
      <c r="F7057" t="inlineStr">
        <is>
          <t>Holmen skog AB</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1288-2026</t>
        </is>
      </c>
      <c r="B7058" s="1" t="n">
        <v>46031.50038194445</v>
      </c>
      <c r="C7058" s="1" t="n">
        <v>46086</v>
      </c>
      <c r="D7058" t="inlineStr">
        <is>
          <t>GÄVLEBORGS LÄN</t>
        </is>
      </c>
      <c r="E7058" t="inlineStr">
        <is>
          <t>OCKELBO</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1293-2026</t>
        </is>
      </c>
      <c r="B7059" s="1" t="n">
        <v>46031.50792824074</v>
      </c>
      <c r="C7059" s="1" t="n">
        <v>46086</v>
      </c>
      <c r="D7059" t="inlineStr">
        <is>
          <t>GÄVLEBORGS LÄN</t>
        </is>
      </c>
      <c r="E7059" t="inlineStr">
        <is>
          <t>OCKELBO</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1286-2026</t>
        </is>
      </c>
      <c r="B7060" s="1" t="n">
        <v>46031.49777777777</v>
      </c>
      <c r="C7060" s="1" t="n">
        <v>46086</v>
      </c>
      <c r="D7060" t="inlineStr">
        <is>
          <t>GÄVLEBORGS LÄN</t>
        </is>
      </c>
      <c r="E7060" t="inlineStr">
        <is>
          <t>OCKELBO</t>
        </is>
      </c>
      <c r="G7060" t="n">
        <v>3.7</v>
      </c>
      <c r="H7060" t="n">
        <v>0</v>
      </c>
      <c r="I7060" t="n">
        <v>0</v>
      </c>
      <c r="J7060" t="n">
        <v>0</v>
      </c>
      <c r="K7060" t="n">
        <v>0</v>
      </c>
      <c r="L7060" t="n">
        <v>0</v>
      </c>
      <c r="M7060" t="n">
        <v>0</v>
      </c>
      <c r="N7060" t="n">
        <v>0</v>
      </c>
      <c r="O7060" t="n">
        <v>0</v>
      </c>
      <c r="P7060" t="n">
        <v>0</v>
      </c>
      <c r="Q7060" t="n">
        <v>0</v>
      </c>
      <c r="R7060" s="2" t="inlineStr"/>
    </row>
    <row r="7061" ht="15" customHeight="1">
      <c r="A7061" t="inlineStr">
        <is>
          <t>A 1320-2026</t>
        </is>
      </c>
      <c r="B7061" s="1" t="n">
        <v>46031.54450231481</v>
      </c>
      <c r="C7061" s="1" t="n">
        <v>46086</v>
      </c>
      <c r="D7061" t="inlineStr">
        <is>
          <t>GÄVLEBORGS LÄN</t>
        </is>
      </c>
      <c r="E7061" t="inlineStr">
        <is>
          <t>BOLLNÄS</t>
        </is>
      </c>
      <c r="G7061" t="n">
        <v>8.6</v>
      </c>
      <c r="H7061" t="n">
        <v>0</v>
      </c>
      <c r="I7061" t="n">
        <v>0</v>
      </c>
      <c r="J7061" t="n">
        <v>0</v>
      </c>
      <c r="K7061" t="n">
        <v>0</v>
      </c>
      <c r="L7061" t="n">
        <v>0</v>
      </c>
      <c r="M7061" t="n">
        <v>0</v>
      </c>
      <c r="N7061" t="n">
        <v>0</v>
      </c>
      <c r="O7061" t="n">
        <v>0</v>
      </c>
      <c r="P7061" t="n">
        <v>0</v>
      </c>
      <c r="Q7061" t="n">
        <v>0</v>
      </c>
      <c r="R7061" s="2" t="inlineStr"/>
    </row>
    <row r="7062" ht="15" customHeight="1">
      <c r="A7062" t="inlineStr">
        <is>
          <t>A 1151-2026</t>
        </is>
      </c>
      <c r="B7062" s="1" t="n">
        <v>46031.25649305555</v>
      </c>
      <c r="C7062" s="1" t="n">
        <v>46086</v>
      </c>
      <c r="D7062" t="inlineStr">
        <is>
          <t>GÄVLEBORGS LÄN</t>
        </is>
      </c>
      <c r="E7062" t="inlineStr">
        <is>
          <t>BOLLNÄS</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60148-2023</t>
        </is>
      </c>
      <c r="B7063" s="1" t="n">
        <v>45258.52659722222</v>
      </c>
      <c r="C7063" s="1" t="n">
        <v>46086</v>
      </c>
      <c r="D7063" t="inlineStr">
        <is>
          <t>GÄVLEBORGS LÄN</t>
        </is>
      </c>
      <c r="E7063" t="inlineStr">
        <is>
          <t>OCKELBO</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32859-2024</t>
        </is>
      </c>
      <c r="B7064" s="1" t="n">
        <v>45516.64608796296</v>
      </c>
      <c r="C7064" s="1" t="n">
        <v>46086</v>
      </c>
      <c r="D7064" t="inlineStr">
        <is>
          <t>GÄVLEBORGS LÄN</t>
        </is>
      </c>
      <c r="E7064" t="inlineStr">
        <is>
          <t>BOLLNÄS</t>
        </is>
      </c>
      <c r="F7064" t="inlineStr">
        <is>
          <t>Sveaskog</t>
        </is>
      </c>
      <c r="G7064" t="n">
        <v>0.3</v>
      </c>
      <c r="H7064" t="n">
        <v>0</v>
      </c>
      <c r="I7064" t="n">
        <v>0</v>
      </c>
      <c r="J7064" t="n">
        <v>0</v>
      </c>
      <c r="K7064" t="n">
        <v>0</v>
      </c>
      <c r="L7064" t="n">
        <v>0</v>
      </c>
      <c r="M7064" t="n">
        <v>0</v>
      </c>
      <c r="N7064" t="n">
        <v>0</v>
      </c>
      <c r="O7064" t="n">
        <v>0</v>
      </c>
      <c r="P7064" t="n">
        <v>0</v>
      </c>
      <c r="Q7064" t="n">
        <v>0</v>
      </c>
      <c r="R7064" s="2" t="inlineStr"/>
    </row>
    <row r="7065" ht="15" customHeight="1">
      <c r="A7065" t="inlineStr">
        <is>
          <t>A 1372-2026</t>
        </is>
      </c>
      <c r="B7065" s="1" t="n">
        <v>46031.6131712963</v>
      </c>
      <c r="C7065" s="1" t="n">
        <v>46086</v>
      </c>
      <c r="D7065" t="inlineStr">
        <is>
          <t>GÄVLEBORGS LÄN</t>
        </is>
      </c>
      <c r="E7065" t="inlineStr">
        <is>
          <t>SANDVIKEN</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6583-2022</t>
        </is>
      </c>
      <c r="B7066" s="1" t="n">
        <v>44601</v>
      </c>
      <c r="C7066" s="1" t="n">
        <v>46086</v>
      </c>
      <c r="D7066" t="inlineStr">
        <is>
          <t>GÄVLEBORGS LÄN</t>
        </is>
      </c>
      <c r="E7066" t="inlineStr">
        <is>
          <t>NORDANSTIG</t>
        </is>
      </c>
      <c r="G7066" t="n">
        <v>8.800000000000001</v>
      </c>
      <c r="H7066" t="n">
        <v>0</v>
      </c>
      <c r="I7066" t="n">
        <v>0</v>
      </c>
      <c r="J7066" t="n">
        <v>0</v>
      </c>
      <c r="K7066" t="n">
        <v>0</v>
      </c>
      <c r="L7066" t="n">
        <v>0</v>
      </c>
      <c r="M7066" t="n">
        <v>0</v>
      </c>
      <c r="N7066" t="n">
        <v>0</v>
      </c>
      <c r="O7066" t="n">
        <v>0</v>
      </c>
      <c r="P7066" t="n">
        <v>0</v>
      </c>
      <c r="Q7066" t="n">
        <v>0</v>
      </c>
      <c r="R7066" s="2" t="inlineStr"/>
    </row>
    <row r="7067" ht="15" customHeight="1">
      <c r="A7067" t="inlineStr">
        <is>
          <t>A 60066-2025</t>
        </is>
      </c>
      <c r="B7067" s="1" t="n">
        <v>45993.65913194444</v>
      </c>
      <c r="C7067" s="1" t="n">
        <v>46086</v>
      </c>
      <c r="D7067" t="inlineStr">
        <is>
          <t>GÄVLEBORGS LÄN</t>
        </is>
      </c>
      <c r="E7067" t="inlineStr">
        <is>
          <t>HUDIKSVALL</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60073-2025</t>
        </is>
      </c>
      <c r="B7068" s="1" t="n">
        <v>45993.675625</v>
      </c>
      <c r="C7068" s="1" t="n">
        <v>46086</v>
      </c>
      <c r="D7068" t="inlineStr">
        <is>
          <t>GÄVLEBORGS LÄN</t>
        </is>
      </c>
      <c r="E7068" t="inlineStr">
        <is>
          <t>HUDIKSVALL</t>
        </is>
      </c>
      <c r="G7068" t="n">
        <v>3.9</v>
      </c>
      <c r="H7068" t="n">
        <v>0</v>
      </c>
      <c r="I7068" t="n">
        <v>0</v>
      </c>
      <c r="J7068" t="n">
        <v>0</v>
      </c>
      <c r="K7068" t="n">
        <v>0</v>
      </c>
      <c r="L7068" t="n">
        <v>0</v>
      </c>
      <c r="M7068" t="n">
        <v>0</v>
      </c>
      <c r="N7068" t="n">
        <v>0</v>
      </c>
      <c r="O7068" t="n">
        <v>0</v>
      </c>
      <c r="P7068" t="n">
        <v>0</v>
      </c>
      <c r="Q7068" t="n">
        <v>0</v>
      </c>
      <c r="R7068" s="2" t="inlineStr"/>
    </row>
    <row r="7069" ht="15" customHeight="1">
      <c r="A7069" t="inlineStr">
        <is>
          <t>A 41512-2023</t>
        </is>
      </c>
      <c r="B7069" s="1" t="n">
        <v>45175</v>
      </c>
      <c r="C7069" s="1" t="n">
        <v>46086</v>
      </c>
      <c r="D7069" t="inlineStr">
        <is>
          <t>GÄVLEBORGS LÄN</t>
        </is>
      </c>
      <c r="E7069" t="inlineStr">
        <is>
          <t>OVANÅKER</t>
        </is>
      </c>
      <c r="G7069" t="n">
        <v>7.7</v>
      </c>
      <c r="H7069" t="n">
        <v>0</v>
      </c>
      <c r="I7069" t="n">
        <v>0</v>
      </c>
      <c r="J7069" t="n">
        <v>0</v>
      </c>
      <c r="K7069" t="n">
        <v>0</v>
      </c>
      <c r="L7069" t="n">
        <v>0</v>
      </c>
      <c r="M7069" t="n">
        <v>0</v>
      </c>
      <c r="N7069" t="n">
        <v>0</v>
      </c>
      <c r="O7069" t="n">
        <v>0</v>
      </c>
      <c r="P7069" t="n">
        <v>0</v>
      </c>
      <c r="Q7069" t="n">
        <v>0</v>
      </c>
      <c r="R7069" s="2" t="inlineStr"/>
    </row>
    <row r="7070" ht="15" customHeight="1">
      <c r="A7070" t="inlineStr">
        <is>
          <t>A 59827-2025</t>
        </is>
      </c>
      <c r="B7070" s="1" t="n">
        <v>45992.65472222222</v>
      </c>
      <c r="C7070" s="1" t="n">
        <v>46086</v>
      </c>
      <c r="D7070" t="inlineStr">
        <is>
          <t>GÄVLEBORGS LÄN</t>
        </is>
      </c>
      <c r="E7070" t="inlineStr">
        <is>
          <t>SÖDERHAMN</t>
        </is>
      </c>
      <c r="G7070" t="n">
        <v>8.5</v>
      </c>
      <c r="H7070" t="n">
        <v>0</v>
      </c>
      <c r="I7070" t="n">
        <v>0</v>
      </c>
      <c r="J7070" t="n">
        <v>0</v>
      </c>
      <c r="K7070" t="n">
        <v>0</v>
      </c>
      <c r="L7070" t="n">
        <v>0</v>
      </c>
      <c r="M7070" t="n">
        <v>0</v>
      </c>
      <c r="N7070" t="n">
        <v>0</v>
      </c>
      <c r="O7070" t="n">
        <v>0</v>
      </c>
      <c r="P7070" t="n">
        <v>0</v>
      </c>
      <c r="Q7070" t="n">
        <v>0</v>
      </c>
      <c r="R7070" s="2" t="inlineStr"/>
    </row>
    <row r="7071" ht="15" customHeight="1">
      <c r="A7071" t="inlineStr">
        <is>
          <t>A 9140-2023</t>
        </is>
      </c>
      <c r="B7071" s="1" t="n">
        <v>44980.36575231481</v>
      </c>
      <c r="C7071" s="1" t="n">
        <v>46086</v>
      </c>
      <c r="D7071" t="inlineStr">
        <is>
          <t>GÄVLEBORGS LÄN</t>
        </is>
      </c>
      <c r="E7071" t="inlineStr">
        <is>
          <t>HUDIKSVALL</t>
        </is>
      </c>
      <c r="F7071" t="inlineStr">
        <is>
          <t>Holmen skog AB</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9163-2023</t>
        </is>
      </c>
      <c r="B7072" s="1" t="n">
        <v>44980.4041087963</v>
      </c>
      <c r="C7072" s="1" t="n">
        <v>46086</v>
      </c>
      <c r="D7072" t="inlineStr">
        <is>
          <t>GÄVLEBORGS LÄN</t>
        </is>
      </c>
      <c r="E7072" t="inlineStr">
        <is>
          <t>HUDIKSVALL</t>
        </is>
      </c>
      <c r="F7072" t="inlineStr">
        <is>
          <t>Holmen skog AB</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59836-2025</t>
        </is>
      </c>
      <c r="B7073" s="1" t="n">
        <v>45992.67038194444</v>
      </c>
      <c r="C7073" s="1" t="n">
        <v>46086</v>
      </c>
      <c r="D7073" t="inlineStr">
        <is>
          <t>GÄVLEBORGS LÄN</t>
        </is>
      </c>
      <c r="E7073" t="inlineStr">
        <is>
          <t>LJUSDAL</t>
        </is>
      </c>
      <c r="F7073" t="inlineStr">
        <is>
          <t>Allmännings- och besparingsskogar</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14415-2025</t>
        </is>
      </c>
      <c r="B7074" s="1" t="n">
        <v>45741.47692129629</v>
      </c>
      <c r="C7074" s="1" t="n">
        <v>46086</v>
      </c>
      <c r="D7074" t="inlineStr">
        <is>
          <t>GÄVLEBORGS LÄN</t>
        </is>
      </c>
      <c r="E7074" t="inlineStr">
        <is>
          <t>NORDANSTIG</t>
        </is>
      </c>
      <c r="G7074" t="n">
        <v>16.7</v>
      </c>
      <c r="H7074" t="n">
        <v>0</v>
      </c>
      <c r="I7074" t="n">
        <v>0</v>
      </c>
      <c r="J7074" t="n">
        <v>0</v>
      </c>
      <c r="K7074" t="n">
        <v>0</v>
      </c>
      <c r="L7074" t="n">
        <v>0</v>
      </c>
      <c r="M7074" t="n">
        <v>0</v>
      </c>
      <c r="N7074" t="n">
        <v>0</v>
      </c>
      <c r="O7074" t="n">
        <v>0</v>
      </c>
      <c r="P7074" t="n">
        <v>0</v>
      </c>
      <c r="Q7074" t="n">
        <v>0</v>
      </c>
      <c r="R7074" s="2" t="inlineStr"/>
    </row>
    <row r="7075" ht="15" customHeight="1">
      <c r="A7075" t="inlineStr">
        <is>
          <t>A 10161-2023</t>
        </is>
      </c>
      <c r="B7075" s="1" t="n">
        <v>44986</v>
      </c>
      <c r="C7075" s="1" t="n">
        <v>46086</v>
      </c>
      <c r="D7075" t="inlineStr">
        <is>
          <t>GÄVLEBORGS LÄN</t>
        </is>
      </c>
      <c r="E7075" t="inlineStr">
        <is>
          <t>HOFORS</t>
        </is>
      </c>
      <c r="F7075" t="inlineStr">
        <is>
          <t>Övriga statliga verk och myndigheter</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59750-2025</t>
        </is>
      </c>
      <c r="B7076" s="1" t="n">
        <v>45992.58516203704</v>
      </c>
      <c r="C7076" s="1" t="n">
        <v>46086</v>
      </c>
      <c r="D7076" t="inlineStr">
        <is>
          <t>GÄVLEBORGS LÄN</t>
        </is>
      </c>
      <c r="E7076" t="inlineStr">
        <is>
          <t>SANDVIKEN</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59755-2025</t>
        </is>
      </c>
      <c r="B7077" s="1" t="n">
        <v>45992.586875</v>
      </c>
      <c r="C7077" s="1" t="n">
        <v>46086</v>
      </c>
      <c r="D7077" t="inlineStr">
        <is>
          <t>GÄVLEBORGS LÄN</t>
        </is>
      </c>
      <c r="E7077" t="inlineStr">
        <is>
          <t>SANDVIKEN</t>
        </is>
      </c>
      <c r="G7077" t="n">
        <v>0.4</v>
      </c>
      <c r="H7077" t="n">
        <v>0</v>
      </c>
      <c r="I7077" t="n">
        <v>0</v>
      </c>
      <c r="J7077" t="n">
        <v>0</v>
      </c>
      <c r="K7077" t="n">
        <v>0</v>
      </c>
      <c r="L7077" t="n">
        <v>0</v>
      </c>
      <c r="M7077" t="n">
        <v>0</v>
      </c>
      <c r="N7077" t="n">
        <v>0</v>
      </c>
      <c r="O7077" t="n">
        <v>0</v>
      </c>
      <c r="P7077" t="n">
        <v>0</v>
      </c>
      <c r="Q7077" t="n">
        <v>0</v>
      </c>
      <c r="R7077" s="2" t="inlineStr"/>
    </row>
    <row r="7078" ht="15" customHeight="1">
      <c r="A7078" t="inlineStr">
        <is>
          <t>A 59781-2025</t>
        </is>
      </c>
      <c r="B7078" s="1" t="n">
        <v>45992.60998842592</v>
      </c>
      <c r="C7078" s="1" t="n">
        <v>46086</v>
      </c>
      <c r="D7078" t="inlineStr">
        <is>
          <t>GÄVLEBORGS LÄN</t>
        </is>
      </c>
      <c r="E7078" t="inlineStr">
        <is>
          <t>HUDIKSVALL</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59847-2025</t>
        </is>
      </c>
      <c r="B7079" s="1" t="n">
        <v>45992.685625</v>
      </c>
      <c r="C7079" s="1" t="n">
        <v>46086</v>
      </c>
      <c r="D7079" t="inlineStr">
        <is>
          <t>GÄVLEBORGS LÄN</t>
        </is>
      </c>
      <c r="E7079" t="inlineStr">
        <is>
          <t>SÖDERHAMN</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1739-2026</t>
        </is>
      </c>
      <c r="B7080" s="1" t="n">
        <v>46034.64688657408</v>
      </c>
      <c r="C7080" s="1" t="n">
        <v>46086</v>
      </c>
      <c r="D7080" t="inlineStr">
        <is>
          <t>GÄVLEBORGS LÄN</t>
        </is>
      </c>
      <c r="E7080" t="inlineStr">
        <is>
          <t>HUDIKSVALL</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59702-2025</t>
        </is>
      </c>
      <c r="B7081" s="1" t="n">
        <v>45992.4962962963</v>
      </c>
      <c r="C7081" s="1" t="n">
        <v>46086</v>
      </c>
      <c r="D7081" t="inlineStr">
        <is>
          <t>GÄVLEBORGS LÄN</t>
        </is>
      </c>
      <c r="E7081" t="inlineStr">
        <is>
          <t>BOLLNÄS</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59718-2025</t>
        </is>
      </c>
      <c r="B7082" s="1" t="n">
        <v>45992.53359953704</v>
      </c>
      <c r="C7082" s="1" t="n">
        <v>46086</v>
      </c>
      <c r="D7082" t="inlineStr">
        <is>
          <t>GÄVLEBORGS LÄN</t>
        </is>
      </c>
      <c r="E7082" t="inlineStr">
        <is>
          <t>SANDVIKEN</t>
        </is>
      </c>
      <c r="G7082" t="n">
        <v>10.2</v>
      </c>
      <c r="H7082" t="n">
        <v>0</v>
      </c>
      <c r="I7082" t="n">
        <v>0</v>
      </c>
      <c r="J7082" t="n">
        <v>0</v>
      </c>
      <c r="K7082" t="n">
        <v>0</v>
      </c>
      <c r="L7082" t="n">
        <v>0</v>
      </c>
      <c r="M7082" t="n">
        <v>0</v>
      </c>
      <c r="N7082" t="n">
        <v>0</v>
      </c>
      <c r="O7082" t="n">
        <v>0</v>
      </c>
      <c r="P7082" t="n">
        <v>0</v>
      </c>
      <c r="Q7082" t="n">
        <v>0</v>
      </c>
      <c r="R7082" s="2" t="inlineStr"/>
    </row>
    <row r="7083" ht="15" customHeight="1">
      <c r="A7083" t="inlineStr">
        <is>
          <t>A 59997-2025</t>
        </is>
      </c>
      <c r="B7083" s="1" t="n">
        <v>45993.57200231482</v>
      </c>
      <c r="C7083" s="1" t="n">
        <v>46086</v>
      </c>
      <c r="D7083" t="inlineStr">
        <is>
          <t>GÄVLEBORGS LÄN</t>
        </is>
      </c>
      <c r="E7083" t="inlineStr">
        <is>
          <t>NORDANSTIG</t>
        </is>
      </c>
      <c r="F7083" t="inlineStr">
        <is>
          <t>Holmen skog AB</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18135-2025</t>
        </is>
      </c>
      <c r="B7084" s="1" t="n">
        <v>45761.60195601852</v>
      </c>
      <c r="C7084" s="1" t="n">
        <v>46086</v>
      </c>
      <c r="D7084" t="inlineStr">
        <is>
          <t>GÄVLEBORGS LÄN</t>
        </is>
      </c>
      <c r="E7084" t="inlineStr">
        <is>
          <t>SÖDERHAMN</t>
        </is>
      </c>
      <c r="G7084" t="n">
        <v>6.8</v>
      </c>
      <c r="H7084" t="n">
        <v>0</v>
      </c>
      <c r="I7084" t="n">
        <v>0</v>
      </c>
      <c r="J7084" t="n">
        <v>0</v>
      </c>
      <c r="K7084" t="n">
        <v>0</v>
      </c>
      <c r="L7084" t="n">
        <v>0</v>
      </c>
      <c r="M7084" t="n">
        <v>0</v>
      </c>
      <c r="N7084" t="n">
        <v>0</v>
      </c>
      <c r="O7084" t="n">
        <v>0</v>
      </c>
      <c r="P7084" t="n">
        <v>0</v>
      </c>
      <c r="Q7084" t="n">
        <v>0</v>
      </c>
      <c r="R7084" s="2" t="inlineStr"/>
    </row>
    <row r="7085" ht="15" customHeight="1">
      <c r="A7085" t="inlineStr">
        <is>
          <t>A 1956-2026</t>
        </is>
      </c>
      <c r="B7085" s="1" t="n">
        <v>46035.6121412037</v>
      </c>
      <c r="C7085" s="1" t="n">
        <v>46086</v>
      </c>
      <c r="D7085" t="inlineStr">
        <is>
          <t>GÄVLEBORGS LÄN</t>
        </is>
      </c>
      <c r="E7085" t="inlineStr">
        <is>
          <t>NORDANSTIG</t>
        </is>
      </c>
      <c r="G7085" t="n">
        <v>4.5</v>
      </c>
      <c r="H7085" t="n">
        <v>0</v>
      </c>
      <c r="I7085" t="n">
        <v>0</v>
      </c>
      <c r="J7085" t="n">
        <v>0</v>
      </c>
      <c r="K7085" t="n">
        <v>0</v>
      </c>
      <c r="L7085" t="n">
        <v>0</v>
      </c>
      <c r="M7085" t="n">
        <v>0</v>
      </c>
      <c r="N7085" t="n">
        <v>0</v>
      </c>
      <c r="O7085" t="n">
        <v>0</v>
      </c>
      <c r="P7085" t="n">
        <v>0</v>
      </c>
      <c r="Q7085" t="n">
        <v>0</v>
      </c>
      <c r="R7085" s="2" t="inlineStr"/>
    </row>
    <row r="7086" ht="15" customHeight="1">
      <c r="A7086" t="inlineStr">
        <is>
          <t>A 3639-2022</t>
        </is>
      </c>
      <c r="B7086" s="1" t="n">
        <v>44586</v>
      </c>
      <c r="C7086" s="1" t="n">
        <v>46086</v>
      </c>
      <c r="D7086" t="inlineStr">
        <is>
          <t>GÄVLEBORGS LÄN</t>
        </is>
      </c>
      <c r="E7086" t="inlineStr">
        <is>
          <t>GÄVLE</t>
        </is>
      </c>
      <c r="F7086" t="inlineStr">
        <is>
          <t>Bergvik skog öst AB</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1912-2026</t>
        </is>
      </c>
      <c r="B7087" s="1" t="n">
        <v>46035.5568287037</v>
      </c>
      <c r="C7087" s="1" t="n">
        <v>46086</v>
      </c>
      <c r="D7087" t="inlineStr">
        <is>
          <t>GÄVLEBORGS LÄN</t>
        </is>
      </c>
      <c r="E7087" t="inlineStr">
        <is>
          <t>OVANÅKER</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2024-2026</t>
        </is>
      </c>
      <c r="B7088" s="1" t="n">
        <v>46035.72274305556</v>
      </c>
      <c r="C7088" s="1" t="n">
        <v>46086</v>
      </c>
      <c r="D7088" t="inlineStr">
        <is>
          <t>GÄVLEBORGS LÄN</t>
        </is>
      </c>
      <c r="E7088" t="inlineStr">
        <is>
          <t>SANDVIKEN</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59811-2025</t>
        </is>
      </c>
      <c r="B7089" s="1" t="n">
        <v>45992.63217592592</v>
      </c>
      <c r="C7089" s="1" t="n">
        <v>46086</v>
      </c>
      <c r="D7089" t="inlineStr">
        <is>
          <t>GÄVLEBORGS LÄN</t>
        </is>
      </c>
      <c r="E7089" t="inlineStr">
        <is>
          <t>LJUSDAL</t>
        </is>
      </c>
      <c r="F7089" t="inlineStr">
        <is>
          <t>Allmännings- och besparingsskogar</t>
        </is>
      </c>
      <c r="G7089" t="n">
        <v>9.199999999999999</v>
      </c>
      <c r="H7089" t="n">
        <v>0</v>
      </c>
      <c r="I7089" t="n">
        <v>0</v>
      </c>
      <c r="J7089" t="n">
        <v>0</v>
      </c>
      <c r="K7089" t="n">
        <v>0</v>
      </c>
      <c r="L7089" t="n">
        <v>0</v>
      </c>
      <c r="M7089" t="n">
        <v>0</v>
      </c>
      <c r="N7089" t="n">
        <v>0</v>
      </c>
      <c r="O7089" t="n">
        <v>0</v>
      </c>
      <c r="P7089" t="n">
        <v>0</v>
      </c>
      <c r="Q7089" t="n">
        <v>0</v>
      </c>
      <c r="R7089" s="2" t="inlineStr"/>
    </row>
    <row r="7090" ht="15" customHeight="1">
      <c r="A7090" t="inlineStr">
        <is>
          <t>A 25345-2024</t>
        </is>
      </c>
      <c r="B7090" s="1" t="n">
        <v>45462.92701388889</v>
      </c>
      <c r="C7090" s="1" t="n">
        <v>46086</v>
      </c>
      <c r="D7090" t="inlineStr">
        <is>
          <t>GÄVLEBORGS LÄN</t>
        </is>
      </c>
      <c r="E7090" t="inlineStr">
        <is>
          <t>OVANÅKER</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59843-2025</t>
        </is>
      </c>
      <c r="B7091" s="1" t="n">
        <v>45992.67851851852</v>
      </c>
      <c r="C7091" s="1" t="n">
        <v>46086</v>
      </c>
      <c r="D7091" t="inlineStr">
        <is>
          <t>GÄVLEBORGS LÄN</t>
        </is>
      </c>
      <c r="E7091" t="inlineStr">
        <is>
          <t>HUDIKSVALL</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59850-2025</t>
        </is>
      </c>
      <c r="B7092" s="1" t="n">
        <v>45992.70818287037</v>
      </c>
      <c r="C7092" s="1" t="n">
        <v>46086</v>
      </c>
      <c r="D7092" t="inlineStr">
        <is>
          <t>GÄVLEBORGS LÄN</t>
        </is>
      </c>
      <c r="E7092" t="inlineStr">
        <is>
          <t>LJUSDAL</t>
        </is>
      </c>
      <c r="F7092" t="inlineStr">
        <is>
          <t>Allmännings- och besparingsskogar</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53916-2024</t>
        </is>
      </c>
      <c r="B7093" s="1" t="n">
        <v>45615.75822916667</v>
      </c>
      <c r="C7093" s="1" t="n">
        <v>46086</v>
      </c>
      <c r="D7093" t="inlineStr">
        <is>
          <t>GÄVLEBORGS LÄN</t>
        </is>
      </c>
      <c r="E7093" t="inlineStr">
        <is>
          <t>SÖDERHAMN</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13201-2024</t>
        </is>
      </c>
      <c r="B7094" s="1" t="n">
        <v>45386.48677083333</v>
      </c>
      <c r="C7094" s="1" t="n">
        <v>46086</v>
      </c>
      <c r="D7094" t="inlineStr">
        <is>
          <t>GÄVLEBORGS LÄN</t>
        </is>
      </c>
      <c r="E7094" t="inlineStr">
        <is>
          <t>HUDIKSVALL</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21157-2022</t>
        </is>
      </c>
      <c r="B7095" s="1" t="n">
        <v>44704</v>
      </c>
      <c r="C7095" s="1" t="n">
        <v>46086</v>
      </c>
      <c r="D7095" t="inlineStr">
        <is>
          <t>GÄVLEBORGS LÄN</t>
        </is>
      </c>
      <c r="E7095" t="inlineStr">
        <is>
          <t>NORDANSTIG</t>
        </is>
      </c>
      <c r="F7095" t="inlineStr">
        <is>
          <t>Holmen skog AB</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1765-2026</t>
        </is>
      </c>
      <c r="B7096" s="1" t="n">
        <v>46034.68653935185</v>
      </c>
      <c r="C7096" s="1" t="n">
        <v>46086</v>
      </c>
      <c r="D7096" t="inlineStr">
        <is>
          <t>GÄVLEBORGS LÄN</t>
        </is>
      </c>
      <c r="E7096" t="inlineStr">
        <is>
          <t>BOLLNÄS</t>
        </is>
      </c>
      <c r="G7096" t="n">
        <v>5.1</v>
      </c>
      <c r="H7096" t="n">
        <v>0</v>
      </c>
      <c r="I7096" t="n">
        <v>0</v>
      </c>
      <c r="J7096" t="n">
        <v>0</v>
      </c>
      <c r="K7096" t="n">
        <v>0</v>
      </c>
      <c r="L7096" t="n">
        <v>0</v>
      </c>
      <c r="M7096" t="n">
        <v>0</v>
      </c>
      <c r="N7096" t="n">
        <v>0</v>
      </c>
      <c r="O7096" t="n">
        <v>0</v>
      </c>
      <c r="P7096" t="n">
        <v>0</v>
      </c>
      <c r="Q7096" t="n">
        <v>0</v>
      </c>
      <c r="R7096" s="2" t="inlineStr"/>
    </row>
    <row r="7097" ht="15" customHeight="1">
      <c r="A7097" t="inlineStr">
        <is>
          <t>A 58100-2025</t>
        </is>
      </c>
      <c r="B7097" s="1" t="n">
        <v>45982.58819444444</v>
      </c>
      <c r="C7097" s="1" t="n">
        <v>46086</v>
      </c>
      <c r="D7097" t="inlineStr">
        <is>
          <t>GÄVLEBORGS LÄN</t>
        </is>
      </c>
      <c r="E7097" t="inlineStr">
        <is>
          <t>BOLLNÄS</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16726-2025</t>
        </is>
      </c>
      <c r="B7098" s="1" t="n">
        <v>45754.52270833333</v>
      </c>
      <c r="C7098" s="1" t="n">
        <v>46086</v>
      </c>
      <c r="D7098" t="inlineStr">
        <is>
          <t>GÄVLEBORGS LÄN</t>
        </is>
      </c>
      <c r="E7098" t="inlineStr">
        <is>
          <t>SÖDERHAMN</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15635-2025</t>
        </is>
      </c>
      <c r="B7099" s="1" t="n">
        <v>45748.3718287037</v>
      </c>
      <c r="C7099" s="1" t="n">
        <v>46086</v>
      </c>
      <c r="D7099" t="inlineStr">
        <is>
          <t>GÄVLEBORGS LÄN</t>
        </is>
      </c>
      <c r="E7099" t="inlineStr">
        <is>
          <t>SÖDERHAMN</t>
        </is>
      </c>
      <c r="F7099" t="inlineStr">
        <is>
          <t>Kommuner</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59844-2025</t>
        </is>
      </c>
      <c r="B7100" s="1" t="n">
        <v>45992.6824537037</v>
      </c>
      <c r="C7100" s="1" t="n">
        <v>46086</v>
      </c>
      <c r="D7100" t="inlineStr">
        <is>
          <t>GÄVLEBORGS LÄN</t>
        </is>
      </c>
      <c r="E7100" t="inlineStr">
        <is>
          <t>BOLLNÄS</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58876-2024</t>
        </is>
      </c>
      <c r="B7101" s="1" t="n">
        <v>45636.44318287037</v>
      </c>
      <c r="C7101" s="1" t="n">
        <v>46086</v>
      </c>
      <c r="D7101" t="inlineStr">
        <is>
          <t>GÄVLEBORGS LÄN</t>
        </is>
      </c>
      <c r="E7101" t="inlineStr">
        <is>
          <t>NORDANSTIG</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47895-2023</t>
        </is>
      </c>
      <c r="B7102" s="1" t="n">
        <v>45204.49018518518</v>
      </c>
      <c r="C7102" s="1" t="n">
        <v>46086</v>
      </c>
      <c r="D7102" t="inlineStr">
        <is>
          <t>GÄVLEBORGS LÄN</t>
        </is>
      </c>
      <c r="E7102" t="inlineStr">
        <is>
          <t>SANDVIKEN</t>
        </is>
      </c>
      <c r="F7102" t="inlineStr">
        <is>
          <t>Bergvik skog öst AB</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59623-2025</t>
        </is>
      </c>
      <c r="B7103" s="1" t="n">
        <v>45992.38607638889</v>
      </c>
      <c r="C7103" s="1" t="n">
        <v>46086</v>
      </c>
      <c r="D7103" t="inlineStr">
        <is>
          <t>GÄVLEBORGS LÄN</t>
        </is>
      </c>
      <c r="E7103" t="inlineStr">
        <is>
          <t>SANDVIKEN</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59624-2025</t>
        </is>
      </c>
      <c r="B7104" s="1" t="n">
        <v>45992.38846064815</v>
      </c>
      <c r="C7104" s="1" t="n">
        <v>46086</v>
      </c>
      <c r="D7104" t="inlineStr">
        <is>
          <t>GÄVLEBORGS LÄN</t>
        </is>
      </c>
      <c r="E7104" t="inlineStr">
        <is>
          <t>GÄVLE</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58894-2024</t>
        </is>
      </c>
      <c r="B7105" s="1" t="n">
        <v>45636.46609953704</v>
      </c>
      <c r="C7105" s="1" t="n">
        <v>46086</v>
      </c>
      <c r="D7105" t="inlineStr">
        <is>
          <t>GÄVLEBORGS LÄN</t>
        </is>
      </c>
      <c r="E7105" t="inlineStr">
        <is>
          <t>LJUSDAL</t>
        </is>
      </c>
      <c r="G7105" t="n">
        <v>4.4</v>
      </c>
      <c r="H7105" t="n">
        <v>0</v>
      </c>
      <c r="I7105" t="n">
        <v>0</v>
      </c>
      <c r="J7105" t="n">
        <v>0</v>
      </c>
      <c r="K7105" t="n">
        <v>0</v>
      </c>
      <c r="L7105" t="n">
        <v>0</v>
      </c>
      <c r="M7105" t="n">
        <v>0</v>
      </c>
      <c r="N7105" t="n">
        <v>0</v>
      </c>
      <c r="O7105" t="n">
        <v>0</v>
      </c>
      <c r="P7105" t="n">
        <v>0</v>
      </c>
      <c r="Q7105" t="n">
        <v>0</v>
      </c>
      <c r="R7105" s="2" t="inlineStr"/>
    </row>
    <row r="7106" ht="15" customHeight="1">
      <c r="A7106" t="inlineStr">
        <is>
          <t>A 2478-2023</t>
        </is>
      </c>
      <c r="B7106" s="1" t="n">
        <v>44943</v>
      </c>
      <c r="C7106" s="1" t="n">
        <v>46086</v>
      </c>
      <c r="D7106" t="inlineStr">
        <is>
          <t>GÄVLEBORGS LÄN</t>
        </is>
      </c>
      <c r="E7106" t="inlineStr">
        <is>
          <t>OVANÅKER</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59643-2025</t>
        </is>
      </c>
      <c r="B7107" s="1" t="n">
        <v>45992.41833333333</v>
      </c>
      <c r="C7107" s="1" t="n">
        <v>46086</v>
      </c>
      <c r="D7107" t="inlineStr">
        <is>
          <t>GÄVLEBORGS LÄN</t>
        </is>
      </c>
      <c r="E7107" t="inlineStr">
        <is>
          <t>OVANÅKER</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59785-2025</t>
        </is>
      </c>
      <c r="B7108" s="1" t="n">
        <v>45992.61177083333</v>
      </c>
      <c r="C7108" s="1" t="n">
        <v>46086</v>
      </c>
      <c r="D7108" t="inlineStr">
        <is>
          <t>GÄVLEBORGS LÄN</t>
        </is>
      </c>
      <c r="E7108" t="inlineStr">
        <is>
          <t>LJUSDAL</t>
        </is>
      </c>
      <c r="G7108" t="n">
        <v>4.5</v>
      </c>
      <c r="H7108" t="n">
        <v>0</v>
      </c>
      <c r="I7108" t="n">
        <v>0</v>
      </c>
      <c r="J7108" t="n">
        <v>0</v>
      </c>
      <c r="K7108" t="n">
        <v>0</v>
      </c>
      <c r="L7108" t="n">
        <v>0</v>
      </c>
      <c r="M7108" t="n">
        <v>0</v>
      </c>
      <c r="N7108" t="n">
        <v>0</v>
      </c>
      <c r="O7108" t="n">
        <v>0</v>
      </c>
      <c r="P7108" t="n">
        <v>0</v>
      </c>
      <c r="Q7108" t="n">
        <v>0</v>
      </c>
      <c r="R7108" s="2" t="inlineStr"/>
    </row>
    <row r="7109" ht="15" customHeight="1">
      <c r="A7109" t="inlineStr">
        <is>
          <t>A 35026-2024</t>
        </is>
      </c>
      <c r="B7109" s="1" t="n">
        <v>45527.6043287037</v>
      </c>
      <c r="C7109" s="1" t="n">
        <v>46086</v>
      </c>
      <c r="D7109" t="inlineStr">
        <is>
          <t>GÄVLEBORGS LÄN</t>
        </is>
      </c>
      <c r="E7109" t="inlineStr">
        <is>
          <t>HUDIKSVALL</t>
        </is>
      </c>
      <c r="F7109" t="inlineStr">
        <is>
          <t>Holmen skog AB</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59754-2025</t>
        </is>
      </c>
      <c r="B7110" s="1" t="n">
        <v>45992.58619212963</v>
      </c>
      <c r="C7110" s="1" t="n">
        <v>46086</v>
      </c>
      <c r="D7110" t="inlineStr">
        <is>
          <t>GÄVLEBORGS LÄN</t>
        </is>
      </c>
      <c r="E7110" t="inlineStr">
        <is>
          <t>SÖDERHAMN</t>
        </is>
      </c>
      <c r="F7110" t="inlineStr">
        <is>
          <t>Bergvik skog väst AB</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59756-2025</t>
        </is>
      </c>
      <c r="B7111" s="1" t="n">
        <v>45992.58737268519</v>
      </c>
      <c r="C7111" s="1" t="n">
        <v>46086</v>
      </c>
      <c r="D7111" t="inlineStr">
        <is>
          <t>GÄVLEBORGS LÄN</t>
        </is>
      </c>
      <c r="E7111" t="inlineStr">
        <is>
          <t>SÖDERHAMN</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1997-2026</t>
        </is>
      </c>
      <c r="B7112" s="1" t="n">
        <v>46035.67670138889</v>
      </c>
      <c r="C7112" s="1" t="n">
        <v>46086</v>
      </c>
      <c r="D7112" t="inlineStr">
        <is>
          <t>GÄVLEBORGS LÄN</t>
        </is>
      </c>
      <c r="E7112" t="inlineStr">
        <is>
          <t>SANDVIKEN</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1649-2025</t>
        </is>
      </c>
      <c r="B7113" s="1" t="n">
        <v>45670.6528587963</v>
      </c>
      <c r="C7113" s="1" t="n">
        <v>46086</v>
      </c>
      <c r="D7113" t="inlineStr">
        <is>
          <t>GÄVLEBORGS LÄN</t>
        </is>
      </c>
      <c r="E7113" t="inlineStr">
        <is>
          <t>SÖDERHAMN</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60042-2025</t>
        </is>
      </c>
      <c r="B7114" s="1" t="n">
        <v>45993.62627314815</v>
      </c>
      <c r="C7114" s="1" t="n">
        <v>46086</v>
      </c>
      <c r="D7114" t="inlineStr">
        <is>
          <t>GÄVLEBORGS LÄN</t>
        </is>
      </c>
      <c r="E7114" t="inlineStr">
        <is>
          <t>LJUSDAL</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59674-2025</t>
        </is>
      </c>
      <c r="B7115" s="1" t="n">
        <v>45992.46377314815</v>
      </c>
      <c r="C7115" s="1" t="n">
        <v>46086</v>
      </c>
      <c r="D7115" t="inlineStr">
        <is>
          <t>GÄVLEBORGS LÄN</t>
        </is>
      </c>
      <c r="E7115" t="inlineStr">
        <is>
          <t>OVANÅKER</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59684-2025</t>
        </is>
      </c>
      <c r="B7116" s="1" t="n">
        <v>45992.47364583334</v>
      </c>
      <c r="C7116" s="1" t="n">
        <v>46086</v>
      </c>
      <c r="D7116" t="inlineStr">
        <is>
          <t>GÄVLEBORGS LÄN</t>
        </is>
      </c>
      <c r="E7116" t="inlineStr">
        <is>
          <t>SÖDERHAMN</t>
        </is>
      </c>
      <c r="G7116" t="n">
        <v>6.8</v>
      </c>
      <c r="H7116" t="n">
        <v>0</v>
      </c>
      <c r="I7116" t="n">
        <v>0</v>
      </c>
      <c r="J7116" t="n">
        <v>0</v>
      </c>
      <c r="K7116" t="n">
        <v>0</v>
      </c>
      <c r="L7116" t="n">
        <v>0</v>
      </c>
      <c r="M7116" t="n">
        <v>0</v>
      </c>
      <c r="N7116" t="n">
        <v>0</v>
      </c>
      <c r="O7116" t="n">
        <v>0</v>
      </c>
      <c r="P7116" t="n">
        <v>0</v>
      </c>
      <c r="Q7116" t="n">
        <v>0</v>
      </c>
      <c r="R7116" s="2" t="inlineStr"/>
    </row>
    <row r="7117" ht="15" customHeight="1">
      <c r="A7117" t="inlineStr">
        <is>
          <t>A 55672-2024</t>
        </is>
      </c>
      <c r="B7117" s="1" t="n">
        <v>45622.65292824074</v>
      </c>
      <c r="C7117" s="1" t="n">
        <v>46086</v>
      </c>
      <c r="D7117" t="inlineStr">
        <is>
          <t>GÄVLEBORGS LÄN</t>
        </is>
      </c>
      <c r="E7117" t="inlineStr">
        <is>
          <t>OVANÅKER</t>
        </is>
      </c>
      <c r="G7117" t="n">
        <v>4.9</v>
      </c>
      <c r="H7117" t="n">
        <v>0</v>
      </c>
      <c r="I7117" t="n">
        <v>0</v>
      </c>
      <c r="J7117" t="n">
        <v>0</v>
      </c>
      <c r="K7117" t="n">
        <v>0</v>
      </c>
      <c r="L7117" t="n">
        <v>0</v>
      </c>
      <c r="M7117" t="n">
        <v>0</v>
      </c>
      <c r="N7117" t="n">
        <v>0</v>
      </c>
      <c r="O7117" t="n">
        <v>0</v>
      </c>
      <c r="P7117" t="n">
        <v>0</v>
      </c>
      <c r="Q7117" t="n">
        <v>0</v>
      </c>
      <c r="R7117" s="2" t="inlineStr"/>
    </row>
    <row r="7118" ht="15" customHeight="1">
      <c r="A7118" t="inlineStr">
        <is>
          <t>A 60031-2025</t>
        </is>
      </c>
      <c r="B7118" s="1" t="n">
        <v>45993.61243055556</v>
      </c>
      <c r="C7118" s="1" t="n">
        <v>46086</v>
      </c>
      <c r="D7118" t="inlineStr">
        <is>
          <t>GÄVLEBORGS LÄN</t>
        </is>
      </c>
      <c r="E7118" t="inlineStr">
        <is>
          <t>HUDIKSVALL</t>
        </is>
      </c>
      <c r="G7118" t="n">
        <v>3.6</v>
      </c>
      <c r="H7118" t="n">
        <v>0</v>
      </c>
      <c r="I7118" t="n">
        <v>0</v>
      </c>
      <c r="J7118" t="n">
        <v>0</v>
      </c>
      <c r="K7118" t="n">
        <v>0</v>
      </c>
      <c r="L7118" t="n">
        <v>0</v>
      </c>
      <c r="M7118" t="n">
        <v>0</v>
      </c>
      <c r="N7118" t="n">
        <v>0</v>
      </c>
      <c r="O7118" t="n">
        <v>0</v>
      </c>
      <c r="P7118" t="n">
        <v>0</v>
      </c>
      <c r="Q7118" t="n">
        <v>0</v>
      </c>
      <c r="R7118" s="2" t="inlineStr"/>
    </row>
    <row r="7119" ht="15" customHeight="1">
      <c r="A7119" t="inlineStr">
        <is>
          <t>A 60038-2025</t>
        </is>
      </c>
      <c r="B7119" s="1" t="n">
        <v>45993.61978009259</v>
      </c>
      <c r="C7119" s="1" t="n">
        <v>46086</v>
      </c>
      <c r="D7119" t="inlineStr">
        <is>
          <t>GÄVLEBORGS LÄN</t>
        </is>
      </c>
      <c r="E7119" t="inlineStr">
        <is>
          <t>GÄVLE</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41801-2023</t>
        </is>
      </c>
      <c r="B7120" s="1" t="n">
        <v>45176.50149305556</v>
      </c>
      <c r="C7120" s="1" t="n">
        <v>46086</v>
      </c>
      <c r="D7120" t="inlineStr">
        <is>
          <t>GÄVLEBORGS LÄN</t>
        </is>
      </c>
      <c r="E7120" t="inlineStr">
        <is>
          <t>OVANÅKER</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26510-2023</t>
        </is>
      </c>
      <c r="B7121" s="1" t="n">
        <v>45092</v>
      </c>
      <c r="C7121" s="1" t="n">
        <v>46086</v>
      </c>
      <c r="D7121" t="inlineStr">
        <is>
          <t>GÄVLEBORGS LÄN</t>
        </is>
      </c>
      <c r="E7121" t="inlineStr">
        <is>
          <t>LJUSDAL</t>
        </is>
      </c>
      <c r="F7121" t="inlineStr">
        <is>
          <t>Sveaskog</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18078-2024</t>
        </is>
      </c>
      <c r="B7122" s="1" t="n">
        <v>45420.43887731482</v>
      </c>
      <c r="C7122" s="1" t="n">
        <v>46086</v>
      </c>
      <c r="D7122" t="inlineStr">
        <is>
          <t>GÄVLEBORGS LÄN</t>
        </is>
      </c>
      <c r="E7122" t="inlineStr">
        <is>
          <t>LJUSDAL</t>
        </is>
      </c>
      <c r="F7122" t="inlineStr">
        <is>
          <t>Holmen skog AB</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34752-2024</t>
        </is>
      </c>
      <c r="B7123" s="1" t="n">
        <v>45526</v>
      </c>
      <c r="C7123" s="1" t="n">
        <v>46086</v>
      </c>
      <c r="D7123" t="inlineStr">
        <is>
          <t>GÄVLEBORGS LÄN</t>
        </is>
      </c>
      <c r="E7123" t="inlineStr">
        <is>
          <t>SÖDERHAMN</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59627-2025</t>
        </is>
      </c>
      <c r="B7124" s="1" t="n">
        <v>45992.39109953704</v>
      </c>
      <c r="C7124" s="1" t="n">
        <v>46086</v>
      </c>
      <c r="D7124" t="inlineStr">
        <is>
          <t>GÄVLEBORGS LÄN</t>
        </is>
      </c>
      <c r="E7124" t="inlineStr">
        <is>
          <t>GÄVLE</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19696-2025</t>
        </is>
      </c>
      <c r="B7125" s="1" t="n">
        <v>45771</v>
      </c>
      <c r="C7125" s="1" t="n">
        <v>46086</v>
      </c>
      <c r="D7125" t="inlineStr">
        <is>
          <t>GÄVLEBORGS LÄN</t>
        </is>
      </c>
      <c r="E7125" t="inlineStr">
        <is>
          <t>GÄVLE</t>
        </is>
      </c>
      <c r="F7125" t="inlineStr">
        <is>
          <t>Bergvik skog väst AB</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7192-2023</t>
        </is>
      </c>
      <c r="B7126" s="1" t="n">
        <v>44970</v>
      </c>
      <c r="C7126" s="1" t="n">
        <v>46086</v>
      </c>
      <c r="D7126" t="inlineStr">
        <is>
          <t>GÄVLEBORGS LÄN</t>
        </is>
      </c>
      <c r="E7126" t="inlineStr">
        <is>
          <t>LJUSDAL</t>
        </is>
      </c>
      <c r="G7126" t="n">
        <v>3.6</v>
      </c>
      <c r="H7126" t="n">
        <v>0</v>
      </c>
      <c r="I7126" t="n">
        <v>0</v>
      </c>
      <c r="J7126" t="n">
        <v>0</v>
      </c>
      <c r="K7126" t="n">
        <v>0</v>
      </c>
      <c r="L7126" t="n">
        <v>0</v>
      </c>
      <c r="M7126" t="n">
        <v>0</v>
      </c>
      <c r="N7126" t="n">
        <v>0</v>
      </c>
      <c r="O7126" t="n">
        <v>0</v>
      </c>
      <c r="P7126" t="n">
        <v>0</v>
      </c>
      <c r="Q7126" t="n">
        <v>0</v>
      </c>
      <c r="R7126" s="2" t="inlineStr"/>
    </row>
    <row r="7127" ht="15" customHeight="1">
      <c r="A7127" t="inlineStr">
        <is>
          <t>A 59977-2025</t>
        </is>
      </c>
      <c r="B7127" s="1" t="n">
        <v>45993.5110300926</v>
      </c>
      <c r="C7127" s="1" t="n">
        <v>46086</v>
      </c>
      <c r="D7127" t="inlineStr">
        <is>
          <t>GÄVLEBORGS LÄN</t>
        </is>
      </c>
      <c r="E7127" t="inlineStr">
        <is>
          <t>LJUSDAL</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24-2025</t>
        </is>
      </c>
      <c r="B7128" s="1" t="n">
        <v>45658.82557870371</v>
      </c>
      <c r="C7128" s="1" t="n">
        <v>46086</v>
      </c>
      <c r="D7128" t="inlineStr">
        <is>
          <t>GÄVLEBORGS LÄN</t>
        </is>
      </c>
      <c r="E7128" t="inlineStr">
        <is>
          <t>GÄVLE</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49740-2024</t>
        </is>
      </c>
      <c r="B7129" s="1" t="n">
        <v>45596.92895833333</v>
      </c>
      <c r="C7129" s="1" t="n">
        <v>46086</v>
      </c>
      <c r="D7129" t="inlineStr">
        <is>
          <t>GÄVLEBORGS LÄN</t>
        </is>
      </c>
      <c r="E7129" t="inlineStr">
        <is>
          <t>OCKELBO</t>
        </is>
      </c>
      <c r="F7129" t="inlineStr">
        <is>
          <t>Bergvik skog väst AB</t>
        </is>
      </c>
      <c r="G7129" t="n">
        <v>4.4</v>
      </c>
      <c r="H7129" t="n">
        <v>0</v>
      </c>
      <c r="I7129" t="n">
        <v>0</v>
      </c>
      <c r="J7129" t="n">
        <v>0</v>
      </c>
      <c r="K7129" t="n">
        <v>0</v>
      </c>
      <c r="L7129" t="n">
        <v>0</v>
      </c>
      <c r="M7129" t="n">
        <v>0</v>
      </c>
      <c r="N7129" t="n">
        <v>0</v>
      </c>
      <c r="O7129" t="n">
        <v>0</v>
      </c>
      <c r="P7129" t="n">
        <v>0</v>
      </c>
      <c r="Q7129" t="n">
        <v>0</v>
      </c>
      <c r="R7129" s="2" t="inlineStr"/>
    </row>
    <row r="7130" ht="15" customHeight="1">
      <c r="A7130" t="inlineStr">
        <is>
          <t>A 1562-2026</t>
        </is>
      </c>
      <c r="B7130" s="1" t="n">
        <v>46034.39454861111</v>
      </c>
      <c r="C7130" s="1" t="n">
        <v>46086</v>
      </c>
      <c r="D7130" t="inlineStr">
        <is>
          <t>GÄVLEBORGS LÄN</t>
        </is>
      </c>
      <c r="E7130" t="inlineStr">
        <is>
          <t>SANDVIKEN</t>
        </is>
      </c>
      <c r="G7130" t="n">
        <v>9.300000000000001</v>
      </c>
      <c r="H7130" t="n">
        <v>0</v>
      </c>
      <c r="I7130" t="n">
        <v>0</v>
      </c>
      <c r="J7130" t="n">
        <v>0</v>
      </c>
      <c r="K7130" t="n">
        <v>0</v>
      </c>
      <c r="L7130" t="n">
        <v>0</v>
      </c>
      <c r="M7130" t="n">
        <v>0</v>
      </c>
      <c r="N7130" t="n">
        <v>0</v>
      </c>
      <c r="O7130" t="n">
        <v>0</v>
      </c>
      <c r="P7130" t="n">
        <v>0</v>
      </c>
      <c r="Q7130" t="n">
        <v>0</v>
      </c>
      <c r="R7130" s="2" t="inlineStr"/>
    </row>
    <row r="7131" ht="15" customHeight="1">
      <c r="A7131" t="inlineStr">
        <is>
          <t>A 49765-2024</t>
        </is>
      </c>
      <c r="B7131" s="1" t="n">
        <v>45597.34137731481</v>
      </c>
      <c r="C7131" s="1" t="n">
        <v>46086</v>
      </c>
      <c r="D7131" t="inlineStr">
        <is>
          <t>GÄVLEBORGS LÄN</t>
        </is>
      </c>
      <c r="E7131" t="inlineStr">
        <is>
          <t>SÖDERHAMN</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4498-2024</t>
        </is>
      </c>
      <c r="B7132" s="1" t="n">
        <v>45327.61053240741</v>
      </c>
      <c r="C7132" s="1" t="n">
        <v>46086</v>
      </c>
      <c r="D7132" t="inlineStr">
        <is>
          <t>GÄVLEBORGS LÄN</t>
        </is>
      </c>
      <c r="E7132" t="inlineStr">
        <is>
          <t>SANDVIKEN</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4504-2024</t>
        </is>
      </c>
      <c r="B7133" s="1" t="n">
        <v>45327</v>
      </c>
      <c r="C7133" s="1" t="n">
        <v>46086</v>
      </c>
      <c r="D7133" t="inlineStr">
        <is>
          <t>GÄVLEBORGS LÄN</t>
        </is>
      </c>
      <c r="E7133" t="inlineStr">
        <is>
          <t>HUDIKSVALL</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59595-2025</t>
        </is>
      </c>
      <c r="B7134" s="1" t="n">
        <v>45992</v>
      </c>
      <c r="C7134" s="1" t="n">
        <v>46086</v>
      </c>
      <c r="D7134" t="inlineStr">
        <is>
          <t>GÄVLEBORGS LÄN</t>
        </is>
      </c>
      <c r="E7134" t="inlineStr">
        <is>
          <t>HUDIKSVALL</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13490-2024</t>
        </is>
      </c>
      <c r="B7135" s="1" t="n">
        <v>45387.61716435185</v>
      </c>
      <c r="C7135" s="1" t="n">
        <v>46086</v>
      </c>
      <c r="D7135" t="inlineStr">
        <is>
          <t>GÄVLEBORGS LÄN</t>
        </is>
      </c>
      <c r="E7135" t="inlineStr">
        <is>
          <t>HUDIKSVALL</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27467-2024</t>
        </is>
      </c>
      <c r="B7136" s="1" t="n">
        <v>45474.45664351852</v>
      </c>
      <c r="C7136" s="1" t="n">
        <v>46086</v>
      </c>
      <c r="D7136" t="inlineStr">
        <is>
          <t>GÄVLEBORGS LÄN</t>
        </is>
      </c>
      <c r="E7136" t="inlineStr">
        <is>
          <t>HUDIKSVALL</t>
        </is>
      </c>
      <c r="F7136" t="inlineStr">
        <is>
          <t>Holmen skog AB</t>
        </is>
      </c>
      <c r="G7136" t="n">
        <v>8.6</v>
      </c>
      <c r="H7136" t="n">
        <v>0</v>
      </c>
      <c r="I7136" t="n">
        <v>0</v>
      </c>
      <c r="J7136" t="n">
        <v>0</v>
      </c>
      <c r="K7136" t="n">
        <v>0</v>
      </c>
      <c r="L7136" t="n">
        <v>0</v>
      </c>
      <c r="M7136" t="n">
        <v>0</v>
      </c>
      <c r="N7136" t="n">
        <v>0</v>
      </c>
      <c r="O7136" t="n">
        <v>0</v>
      </c>
      <c r="P7136" t="n">
        <v>0</v>
      </c>
      <c r="Q7136" t="n">
        <v>0</v>
      </c>
      <c r="R7136" s="2" t="inlineStr"/>
    </row>
    <row r="7137" ht="15" customHeight="1">
      <c r="A7137" t="inlineStr">
        <is>
          <t>A 59663-2025</t>
        </is>
      </c>
      <c r="B7137" s="1" t="n">
        <v>45992.4491550926</v>
      </c>
      <c r="C7137" s="1" t="n">
        <v>46086</v>
      </c>
      <c r="D7137" t="inlineStr">
        <is>
          <t>GÄVLEBORGS LÄN</t>
        </is>
      </c>
      <c r="E7137" t="inlineStr">
        <is>
          <t>OVANÅKER</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54468-2024</t>
        </is>
      </c>
      <c r="B7138" s="1" t="n">
        <v>45617.54085648148</v>
      </c>
      <c r="C7138" s="1" t="n">
        <v>46086</v>
      </c>
      <c r="D7138" t="inlineStr">
        <is>
          <t>GÄVLEBORGS LÄN</t>
        </is>
      </c>
      <c r="E7138" t="inlineStr">
        <is>
          <t>HUDIKSVALL</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34842-2023</t>
        </is>
      </c>
      <c r="B7139" s="1" t="n">
        <v>45141.92449074074</v>
      </c>
      <c r="C7139" s="1" t="n">
        <v>46086</v>
      </c>
      <c r="D7139" t="inlineStr">
        <is>
          <t>GÄVLEBORGS LÄN</t>
        </is>
      </c>
      <c r="E7139" t="inlineStr">
        <is>
          <t>NORDANSTIG</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1978-2026</t>
        </is>
      </c>
      <c r="B7140" s="1" t="n">
        <v>46035.65304398148</v>
      </c>
      <c r="C7140" s="1" t="n">
        <v>46086</v>
      </c>
      <c r="D7140" t="inlineStr">
        <is>
          <t>GÄVLEBORGS LÄN</t>
        </is>
      </c>
      <c r="E7140" t="inlineStr">
        <is>
          <t>SANDVIKEN</t>
        </is>
      </c>
      <c r="G7140" t="n">
        <v>6.9</v>
      </c>
      <c r="H7140" t="n">
        <v>0</v>
      </c>
      <c r="I7140" t="n">
        <v>0</v>
      </c>
      <c r="J7140" t="n">
        <v>0</v>
      </c>
      <c r="K7140" t="n">
        <v>0</v>
      </c>
      <c r="L7140" t="n">
        <v>0</v>
      </c>
      <c r="M7140" t="n">
        <v>0</v>
      </c>
      <c r="N7140" t="n">
        <v>0</v>
      </c>
      <c r="O7140" t="n">
        <v>0</v>
      </c>
      <c r="P7140" t="n">
        <v>0</v>
      </c>
      <c r="Q7140" t="n">
        <v>0</v>
      </c>
      <c r="R7140" s="2" t="inlineStr"/>
    </row>
    <row r="7141" ht="15" customHeight="1">
      <c r="A7141" t="inlineStr">
        <is>
          <t>A 60530-2025</t>
        </is>
      </c>
      <c r="B7141" s="1" t="n">
        <v>45995.65537037037</v>
      </c>
      <c r="C7141" s="1" t="n">
        <v>46086</v>
      </c>
      <c r="D7141" t="inlineStr">
        <is>
          <t>GÄVLEBORGS LÄN</t>
        </is>
      </c>
      <c r="E7141" t="inlineStr">
        <is>
          <t>GÄVLE</t>
        </is>
      </c>
      <c r="F7141" t="inlineStr">
        <is>
          <t>Bergvik skog öst AB</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60105-2025</t>
        </is>
      </c>
      <c r="B7142" s="1" t="n">
        <v>45994.27650462963</v>
      </c>
      <c r="C7142" s="1" t="n">
        <v>46086</v>
      </c>
      <c r="D7142" t="inlineStr">
        <is>
          <t>GÄVLEBORGS LÄN</t>
        </is>
      </c>
      <c r="E7142" t="inlineStr">
        <is>
          <t>GÄVLE</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66351-2021</t>
        </is>
      </c>
      <c r="B7143" s="1" t="n">
        <v>44518</v>
      </c>
      <c r="C7143" s="1" t="n">
        <v>46086</v>
      </c>
      <c r="D7143" t="inlineStr">
        <is>
          <t>GÄVLEBORGS LÄN</t>
        </is>
      </c>
      <c r="E7143" t="inlineStr">
        <is>
          <t>GÄVLE</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60107-2025</t>
        </is>
      </c>
      <c r="B7144" s="1" t="n">
        <v>45994.29716435185</v>
      </c>
      <c r="C7144" s="1" t="n">
        <v>46086</v>
      </c>
      <c r="D7144" t="inlineStr">
        <is>
          <t>GÄVLEBORGS LÄN</t>
        </is>
      </c>
      <c r="E7144" t="inlineStr">
        <is>
          <t>OVANÅKER</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28504-2025</t>
        </is>
      </c>
      <c r="B7145" s="1" t="n">
        <v>45819.47546296296</v>
      </c>
      <c r="C7145" s="1" t="n">
        <v>46086</v>
      </c>
      <c r="D7145" t="inlineStr">
        <is>
          <t>GÄVLEBORGS LÄN</t>
        </is>
      </c>
      <c r="E7145" t="inlineStr">
        <is>
          <t>HUDIKSVALL</t>
        </is>
      </c>
      <c r="F7145" t="inlineStr">
        <is>
          <t>Holmen skog AB</t>
        </is>
      </c>
      <c r="G7145" t="n">
        <v>3.9</v>
      </c>
      <c r="H7145" t="n">
        <v>0</v>
      </c>
      <c r="I7145" t="n">
        <v>0</v>
      </c>
      <c r="J7145" t="n">
        <v>0</v>
      </c>
      <c r="K7145" t="n">
        <v>0</v>
      </c>
      <c r="L7145" t="n">
        <v>0</v>
      </c>
      <c r="M7145" t="n">
        <v>0</v>
      </c>
      <c r="N7145" t="n">
        <v>0</v>
      </c>
      <c r="O7145" t="n">
        <v>0</v>
      </c>
      <c r="P7145" t="n">
        <v>0</v>
      </c>
      <c r="Q7145" t="n">
        <v>0</v>
      </c>
      <c r="R7145" s="2" t="inlineStr"/>
    </row>
    <row r="7146" ht="15" customHeight="1">
      <c r="A7146" t="inlineStr">
        <is>
          <t>A 60352-2025</t>
        </is>
      </c>
      <c r="B7146" s="1" t="n">
        <v>45995.30913194444</v>
      </c>
      <c r="C7146" s="1" t="n">
        <v>46086</v>
      </c>
      <c r="D7146" t="inlineStr">
        <is>
          <t>GÄVLEBORGS LÄN</t>
        </is>
      </c>
      <c r="E7146" t="inlineStr">
        <is>
          <t>LJUSDAL</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60319-2025</t>
        </is>
      </c>
      <c r="B7147" s="1" t="n">
        <v>45994.71756944444</v>
      </c>
      <c r="C7147" s="1" t="n">
        <v>46086</v>
      </c>
      <c r="D7147" t="inlineStr">
        <is>
          <t>GÄVLEBORGS LÄN</t>
        </is>
      </c>
      <c r="E7147" t="inlineStr">
        <is>
          <t>HUDIKSVALL</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60364-2025</t>
        </is>
      </c>
      <c r="B7148" s="1" t="n">
        <v>45995.335625</v>
      </c>
      <c r="C7148" s="1" t="n">
        <v>46086</v>
      </c>
      <c r="D7148" t="inlineStr">
        <is>
          <t>GÄVLEBORGS LÄN</t>
        </is>
      </c>
      <c r="E7148" t="inlineStr">
        <is>
          <t>GÄVLE</t>
        </is>
      </c>
      <c r="F7148" t="inlineStr">
        <is>
          <t>Bergvik skog öst AB</t>
        </is>
      </c>
      <c r="G7148" t="n">
        <v>0.2</v>
      </c>
      <c r="H7148" t="n">
        <v>0</v>
      </c>
      <c r="I7148" t="n">
        <v>0</v>
      </c>
      <c r="J7148" t="n">
        <v>0</v>
      </c>
      <c r="K7148" t="n">
        <v>0</v>
      </c>
      <c r="L7148" t="n">
        <v>0</v>
      </c>
      <c r="M7148" t="n">
        <v>0</v>
      </c>
      <c r="N7148" t="n">
        <v>0</v>
      </c>
      <c r="O7148" t="n">
        <v>0</v>
      </c>
      <c r="P7148" t="n">
        <v>0</v>
      </c>
      <c r="Q7148" t="n">
        <v>0</v>
      </c>
      <c r="R7148" s="2" t="inlineStr"/>
    </row>
    <row r="7149" ht="15" customHeight="1">
      <c r="A7149" t="inlineStr">
        <is>
          <t>A 60365-2025</t>
        </is>
      </c>
      <c r="B7149" s="1" t="n">
        <v>45995.33622685185</v>
      </c>
      <c r="C7149" s="1" t="n">
        <v>46086</v>
      </c>
      <c r="D7149" t="inlineStr">
        <is>
          <t>GÄVLEBORGS LÄN</t>
        </is>
      </c>
      <c r="E7149" t="inlineStr">
        <is>
          <t>GÄVLE</t>
        </is>
      </c>
      <c r="F7149" t="inlineStr">
        <is>
          <t>Bergvik skog öst AB</t>
        </is>
      </c>
      <c r="G7149" t="n">
        <v>4.9</v>
      </c>
      <c r="H7149" t="n">
        <v>0</v>
      </c>
      <c r="I7149" t="n">
        <v>0</v>
      </c>
      <c r="J7149" t="n">
        <v>0</v>
      </c>
      <c r="K7149" t="n">
        <v>0</v>
      </c>
      <c r="L7149" t="n">
        <v>0</v>
      </c>
      <c r="M7149" t="n">
        <v>0</v>
      </c>
      <c r="N7149" t="n">
        <v>0</v>
      </c>
      <c r="O7149" t="n">
        <v>0</v>
      </c>
      <c r="P7149" t="n">
        <v>0</v>
      </c>
      <c r="Q7149" t="n">
        <v>0</v>
      </c>
      <c r="R7149" s="2" t="inlineStr"/>
    </row>
    <row r="7150" ht="15" customHeight="1">
      <c r="A7150" t="inlineStr">
        <is>
          <t>A 60106-2025</t>
        </is>
      </c>
      <c r="B7150" s="1" t="n">
        <v>45994.28327546296</v>
      </c>
      <c r="C7150" s="1" t="n">
        <v>46086</v>
      </c>
      <c r="D7150" t="inlineStr">
        <is>
          <t>GÄVLEBORGS LÄN</t>
        </is>
      </c>
      <c r="E7150" t="inlineStr">
        <is>
          <t>OVANÅKER</t>
        </is>
      </c>
      <c r="G7150" t="n">
        <v>3.6</v>
      </c>
      <c r="H7150" t="n">
        <v>0</v>
      </c>
      <c r="I7150" t="n">
        <v>0</v>
      </c>
      <c r="J7150" t="n">
        <v>0</v>
      </c>
      <c r="K7150" t="n">
        <v>0</v>
      </c>
      <c r="L7150" t="n">
        <v>0</v>
      </c>
      <c r="M7150" t="n">
        <v>0</v>
      </c>
      <c r="N7150" t="n">
        <v>0</v>
      </c>
      <c r="O7150" t="n">
        <v>0</v>
      </c>
      <c r="P7150" t="n">
        <v>0</v>
      </c>
      <c r="Q7150" t="n">
        <v>0</v>
      </c>
      <c r="R7150" s="2" t="inlineStr"/>
    </row>
    <row r="7151" ht="15" customHeight="1">
      <c r="A7151" t="inlineStr">
        <is>
          <t>A 60108-2025</t>
        </is>
      </c>
      <c r="B7151" s="1" t="n">
        <v>45994.29895833333</v>
      </c>
      <c r="C7151" s="1" t="n">
        <v>46086</v>
      </c>
      <c r="D7151" t="inlineStr">
        <is>
          <t>GÄVLEBORGS LÄN</t>
        </is>
      </c>
      <c r="E7151" t="inlineStr">
        <is>
          <t>OVANÅKER</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60251-2025</t>
        </is>
      </c>
      <c r="B7152" s="1" t="n">
        <v>45994.59480324074</v>
      </c>
      <c r="C7152" s="1" t="n">
        <v>46086</v>
      </c>
      <c r="D7152" t="inlineStr">
        <is>
          <t>GÄVLEBORGS LÄN</t>
        </is>
      </c>
      <c r="E7152" t="inlineStr">
        <is>
          <t>LJUSDAL</t>
        </is>
      </c>
      <c r="G7152" t="n">
        <v>3.1</v>
      </c>
      <c r="H7152" t="n">
        <v>0</v>
      </c>
      <c r="I7152" t="n">
        <v>0</v>
      </c>
      <c r="J7152" t="n">
        <v>0</v>
      </c>
      <c r="K7152" t="n">
        <v>0</v>
      </c>
      <c r="L7152" t="n">
        <v>0</v>
      </c>
      <c r="M7152" t="n">
        <v>0</v>
      </c>
      <c r="N7152" t="n">
        <v>0</v>
      </c>
      <c r="O7152" t="n">
        <v>0</v>
      </c>
      <c r="P7152" t="n">
        <v>0</v>
      </c>
      <c r="Q7152" t="n">
        <v>0</v>
      </c>
      <c r="R7152" s="2" t="inlineStr"/>
    </row>
    <row r="7153" ht="15" customHeight="1">
      <c r="A7153" t="inlineStr">
        <is>
          <t>A 25318-2021</t>
        </is>
      </c>
      <c r="B7153" s="1" t="n">
        <v>44342</v>
      </c>
      <c r="C7153" s="1" t="n">
        <v>46086</v>
      </c>
      <c r="D7153" t="inlineStr">
        <is>
          <t>GÄVLEBORGS LÄN</t>
        </is>
      </c>
      <c r="E7153" t="inlineStr">
        <is>
          <t>OCKELBO</t>
        </is>
      </c>
      <c r="G7153" t="n">
        <v>9.9</v>
      </c>
      <c r="H7153" t="n">
        <v>0</v>
      </c>
      <c r="I7153" t="n">
        <v>0</v>
      </c>
      <c r="J7153" t="n">
        <v>0</v>
      </c>
      <c r="K7153" t="n">
        <v>0</v>
      </c>
      <c r="L7153" t="n">
        <v>0</v>
      </c>
      <c r="M7153" t="n">
        <v>0</v>
      </c>
      <c r="N7153" t="n">
        <v>0</v>
      </c>
      <c r="O7153" t="n">
        <v>0</v>
      </c>
      <c r="P7153" t="n">
        <v>0</v>
      </c>
      <c r="Q7153" t="n">
        <v>0</v>
      </c>
      <c r="R7153" s="2" t="inlineStr"/>
    </row>
    <row r="7154" ht="15" customHeight="1">
      <c r="A7154" t="inlineStr">
        <is>
          <t>A 60415-2025</t>
        </is>
      </c>
      <c r="B7154" s="1" t="n">
        <v>45995.4490162037</v>
      </c>
      <c r="C7154" s="1" t="n">
        <v>46086</v>
      </c>
      <c r="D7154" t="inlineStr">
        <is>
          <t>GÄVLEBORGS LÄN</t>
        </is>
      </c>
      <c r="E7154" t="inlineStr">
        <is>
          <t>LJUSDAL</t>
        </is>
      </c>
      <c r="F7154" t="inlineStr">
        <is>
          <t>Övriga Aktiebolag</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2531-2026</t>
        </is>
      </c>
      <c r="B7155" s="1" t="n">
        <v>46037.44373842593</v>
      </c>
      <c r="C7155" s="1" t="n">
        <v>46086</v>
      </c>
      <c r="D7155" t="inlineStr">
        <is>
          <t>GÄVLEBORGS LÄN</t>
        </is>
      </c>
      <c r="E7155" t="inlineStr">
        <is>
          <t>OVANÅKER</t>
        </is>
      </c>
      <c r="F7155" t="inlineStr">
        <is>
          <t>Bergvik skog väst AB</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60117-2025</t>
        </is>
      </c>
      <c r="B7156" s="1" t="n">
        <v>45994.32405092593</v>
      </c>
      <c r="C7156" s="1" t="n">
        <v>46086</v>
      </c>
      <c r="D7156" t="inlineStr">
        <is>
          <t>GÄVLEBORGS LÄN</t>
        </is>
      </c>
      <c r="E7156" t="inlineStr">
        <is>
          <t>OCKELBO</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24724-2023</t>
        </is>
      </c>
      <c r="B7157" s="1" t="n">
        <v>45084</v>
      </c>
      <c r="C7157" s="1" t="n">
        <v>46086</v>
      </c>
      <c r="D7157" t="inlineStr">
        <is>
          <t>GÄVLEBORGS LÄN</t>
        </is>
      </c>
      <c r="E7157" t="inlineStr">
        <is>
          <t>GÄVLE</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60476-2025</t>
        </is>
      </c>
      <c r="B7158" s="1" t="n">
        <v>45995.58584490741</v>
      </c>
      <c r="C7158" s="1" t="n">
        <v>46086</v>
      </c>
      <c r="D7158" t="inlineStr">
        <is>
          <t>GÄVLEBORGS LÄN</t>
        </is>
      </c>
      <c r="E7158" t="inlineStr">
        <is>
          <t>OVANÅKER</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60527-2025</t>
        </is>
      </c>
      <c r="B7159" s="1" t="n">
        <v>45995.64913194445</v>
      </c>
      <c r="C7159" s="1" t="n">
        <v>46086</v>
      </c>
      <c r="D7159" t="inlineStr">
        <is>
          <t>GÄVLEBORGS LÄN</t>
        </is>
      </c>
      <c r="E7159" t="inlineStr">
        <is>
          <t>OCKELBO</t>
        </is>
      </c>
      <c r="F7159" t="inlineStr">
        <is>
          <t>Bergvik skog väst AB</t>
        </is>
      </c>
      <c r="G7159" t="n">
        <v>4.5</v>
      </c>
      <c r="H7159" t="n">
        <v>0</v>
      </c>
      <c r="I7159" t="n">
        <v>0</v>
      </c>
      <c r="J7159" t="n">
        <v>0</v>
      </c>
      <c r="K7159" t="n">
        <v>0</v>
      </c>
      <c r="L7159" t="n">
        <v>0</v>
      </c>
      <c r="M7159" t="n">
        <v>0</v>
      </c>
      <c r="N7159" t="n">
        <v>0</v>
      </c>
      <c r="O7159" t="n">
        <v>0</v>
      </c>
      <c r="P7159" t="n">
        <v>0</v>
      </c>
      <c r="Q7159" t="n">
        <v>0</v>
      </c>
      <c r="R7159" s="2" t="inlineStr"/>
    </row>
    <row r="7160" ht="15" customHeight="1">
      <c r="A7160" t="inlineStr">
        <is>
          <t>A 60427-2025</t>
        </is>
      </c>
      <c r="B7160" s="1" t="n">
        <v>45995.46996527778</v>
      </c>
      <c r="C7160" s="1" t="n">
        <v>46086</v>
      </c>
      <c r="D7160" t="inlineStr">
        <is>
          <t>GÄVLEBORGS LÄN</t>
        </is>
      </c>
      <c r="E7160" t="inlineStr">
        <is>
          <t>HUDIKSVALL</t>
        </is>
      </c>
      <c r="G7160" t="n">
        <v>11.5</v>
      </c>
      <c r="H7160" t="n">
        <v>0</v>
      </c>
      <c r="I7160" t="n">
        <v>0</v>
      </c>
      <c r="J7160" t="n">
        <v>0</v>
      </c>
      <c r="K7160" t="n">
        <v>0</v>
      </c>
      <c r="L7160" t="n">
        <v>0</v>
      </c>
      <c r="M7160" t="n">
        <v>0</v>
      </c>
      <c r="N7160" t="n">
        <v>0</v>
      </c>
      <c r="O7160" t="n">
        <v>0</v>
      </c>
      <c r="P7160" t="n">
        <v>0</v>
      </c>
      <c r="Q7160" t="n">
        <v>0</v>
      </c>
      <c r="R7160" s="2" t="inlineStr"/>
    </row>
    <row r="7161" ht="15" customHeight="1">
      <c r="A7161" t="inlineStr">
        <is>
          <t>A 60379-2025</t>
        </is>
      </c>
      <c r="B7161" s="1" t="n">
        <v>45995.36715277778</v>
      </c>
      <c r="C7161" s="1" t="n">
        <v>46086</v>
      </c>
      <c r="D7161" t="inlineStr">
        <is>
          <t>GÄVLEBORGS LÄN</t>
        </is>
      </c>
      <c r="E7161" t="inlineStr">
        <is>
          <t>OVANÅKER</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2529-2026</t>
        </is>
      </c>
      <c r="B7162" s="1" t="n">
        <v>46037.44083333333</v>
      </c>
      <c r="C7162" s="1" t="n">
        <v>46086</v>
      </c>
      <c r="D7162" t="inlineStr">
        <is>
          <t>GÄVLEBORGS LÄN</t>
        </is>
      </c>
      <c r="E7162" t="inlineStr">
        <is>
          <t>OVANÅKER</t>
        </is>
      </c>
      <c r="F7162" t="inlineStr">
        <is>
          <t>Bergvik skog väst AB</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13843-2025</t>
        </is>
      </c>
      <c r="B7163" s="1" t="n">
        <v>45737.55868055556</v>
      </c>
      <c r="C7163" s="1" t="n">
        <v>46086</v>
      </c>
      <c r="D7163" t="inlineStr">
        <is>
          <t>GÄVLEBORGS LÄN</t>
        </is>
      </c>
      <c r="E7163" t="inlineStr">
        <is>
          <t>LJUSDAL</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60532-2025</t>
        </is>
      </c>
      <c r="B7164" s="1" t="n">
        <v>45995.6593287037</v>
      </c>
      <c r="C7164" s="1" t="n">
        <v>46086</v>
      </c>
      <c r="D7164" t="inlineStr">
        <is>
          <t>GÄVLEBORGS LÄN</t>
        </is>
      </c>
      <c r="E7164" t="inlineStr">
        <is>
          <t>GÄVLE</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5487-2025</t>
        </is>
      </c>
      <c r="B7165" s="1" t="n">
        <v>45693.36196759259</v>
      </c>
      <c r="C7165" s="1" t="n">
        <v>46086</v>
      </c>
      <c r="D7165" t="inlineStr">
        <is>
          <t>GÄVLEBORGS LÄN</t>
        </is>
      </c>
      <c r="E7165" t="inlineStr">
        <is>
          <t>GÄVLE</t>
        </is>
      </c>
      <c r="F7165" t="inlineStr">
        <is>
          <t>Kyrkan</t>
        </is>
      </c>
      <c r="G7165" t="n">
        <v>4.7</v>
      </c>
      <c r="H7165" t="n">
        <v>0</v>
      </c>
      <c r="I7165" t="n">
        <v>0</v>
      </c>
      <c r="J7165" t="n">
        <v>0</v>
      </c>
      <c r="K7165" t="n">
        <v>0</v>
      </c>
      <c r="L7165" t="n">
        <v>0</v>
      </c>
      <c r="M7165" t="n">
        <v>0</v>
      </c>
      <c r="N7165" t="n">
        <v>0</v>
      </c>
      <c r="O7165" t="n">
        <v>0</v>
      </c>
      <c r="P7165" t="n">
        <v>0</v>
      </c>
      <c r="Q7165" t="n">
        <v>0</v>
      </c>
      <c r="R7165" s="2" t="inlineStr"/>
    </row>
    <row r="7166" ht="15" customHeight="1">
      <c r="A7166" t="inlineStr">
        <is>
          <t>A 14574-2025</t>
        </is>
      </c>
      <c r="B7166" s="1" t="n">
        <v>45741</v>
      </c>
      <c r="C7166" s="1" t="n">
        <v>46086</v>
      </c>
      <c r="D7166" t="inlineStr">
        <is>
          <t>GÄVLEBORGS LÄN</t>
        </is>
      </c>
      <c r="E7166" t="inlineStr">
        <is>
          <t>OVANÅKER</t>
        </is>
      </c>
      <c r="G7166" t="n">
        <v>3.8</v>
      </c>
      <c r="H7166" t="n">
        <v>0</v>
      </c>
      <c r="I7166" t="n">
        <v>0</v>
      </c>
      <c r="J7166" t="n">
        <v>0</v>
      </c>
      <c r="K7166" t="n">
        <v>0</v>
      </c>
      <c r="L7166" t="n">
        <v>0</v>
      </c>
      <c r="M7166" t="n">
        <v>0</v>
      </c>
      <c r="N7166" t="n">
        <v>0</v>
      </c>
      <c r="O7166" t="n">
        <v>0</v>
      </c>
      <c r="P7166" t="n">
        <v>0</v>
      </c>
      <c r="Q7166" t="n">
        <v>0</v>
      </c>
      <c r="R7166" s="2" t="inlineStr"/>
    </row>
    <row r="7167" ht="15" customHeight="1">
      <c r="A7167" t="inlineStr">
        <is>
          <t>A 60232-2025</t>
        </is>
      </c>
      <c r="B7167" s="1" t="n">
        <v>45994.57300925926</v>
      </c>
      <c r="C7167" s="1" t="n">
        <v>46086</v>
      </c>
      <c r="D7167" t="inlineStr">
        <is>
          <t>GÄVLEBORGS LÄN</t>
        </is>
      </c>
      <c r="E7167" t="inlineStr">
        <is>
          <t>LJUSDAL</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2627-2026</t>
        </is>
      </c>
      <c r="B7168" s="1" t="n">
        <v>46037.60197916667</v>
      </c>
      <c r="C7168" s="1" t="n">
        <v>46086</v>
      </c>
      <c r="D7168" t="inlineStr">
        <is>
          <t>GÄVLEBORGS LÄN</t>
        </is>
      </c>
      <c r="E7168" t="inlineStr">
        <is>
          <t>SANDVIKEN</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23663-2025</t>
        </is>
      </c>
      <c r="B7169" s="1" t="n">
        <v>45792.81592592593</v>
      </c>
      <c r="C7169" s="1" t="n">
        <v>46086</v>
      </c>
      <c r="D7169" t="inlineStr">
        <is>
          <t>GÄVLEBORGS LÄN</t>
        </is>
      </c>
      <c r="E7169" t="inlineStr">
        <is>
          <t>HUDIKSVALL</t>
        </is>
      </c>
      <c r="F7169" t="inlineStr">
        <is>
          <t>Holmen skog AB</t>
        </is>
      </c>
      <c r="G7169" t="n">
        <v>24.7</v>
      </c>
      <c r="H7169" t="n">
        <v>0</v>
      </c>
      <c r="I7169" t="n">
        <v>0</v>
      </c>
      <c r="J7169" t="n">
        <v>0</v>
      </c>
      <c r="K7169" t="n">
        <v>0</v>
      </c>
      <c r="L7169" t="n">
        <v>0</v>
      </c>
      <c r="M7169" t="n">
        <v>0</v>
      </c>
      <c r="N7169" t="n">
        <v>0</v>
      </c>
      <c r="O7169" t="n">
        <v>0</v>
      </c>
      <c r="P7169" t="n">
        <v>0</v>
      </c>
      <c r="Q7169" t="n">
        <v>0</v>
      </c>
      <c r="R7169" s="2" t="inlineStr"/>
    </row>
    <row r="7170" ht="15" customHeight="1">
      <c r="A7170" t="inlineStr">
        <is>
          <t>A 1782-2023</t>
        </is>
      </c>
      <c r="B7170" s="1" t="n">
        <v>44938.60140046296</v>
      </c>
      <c r="C7170" s="1" t="n">
        <v>46086</v>
      </c>
      <c r="D7170" t="inlineStr">
        <is>
          <t>GÄVLEBORGS LÄN</t>
        </is>
      </c>
      <c r="E7170" t="inlineStr">
        <is>
          <t>SÖDERHAMN</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60372-2025</t>
        </is>
      </c>
      <c r="B7171" s="1" t="n">
        <v>45995.34509259259</v>
      </c>
      <c r="C7171" s="1" t="n">
        <v>46086</v>
      </c>
      <c r="D7171" t="inlineStr">
        <is>
          <t>GÄVLEBORGS LÄN</t>
        </is>
      </c>
      <c r="E7171" t="inlineStr">
        <is>
          <t>NORDANSTIG</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65195-2023</t>
        </is>
      </c>
      <c r="B7172" s="1" t="n">
        <v>45289.39172453704</v>
      </c>
      <c r="C7172" s="1" t="n">
        <v>46086</v>
      </c>
      <c r="D7172" t="inlineStr">
        <is>
          <t>GÄVLEBORGS LÄN</t>
        </is>
      </c>
      <c r="E7172" t="inlineStr">
        <is>
          <t>HUDIKSVALL</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65259-2023</t>
        </is>
      </c>
      <c r="B7173" s="1" t="n">
        <v>45291.52712962963</v>
      </c>
      <c r="C7173" s="1" t="n">
        <v>46086</v>
      </c>
      <c r="D7173" t="inlineStr">
        <is>
          <t>GÄVLEBORGS LÄN</t>
        </is>
      </c>
      <c r="E7173" t="inlineStr">
        <is>
          <t>OCKELBO</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60487-2025</t>
        </is>
      </c>
      <c r="B7174" s="1" t="n">
        <v>45995.60189814815</v>
      </c>
      <c r="C7174" s="1" t="n">
        <v>46086</v>
      </c>
      <c r="D7174" t="inlineStr">
        <is>
          <t>GÄVLEBORGS LÄN</t>
        </is>
      </c>
      <c r="E7174" t="inlineStr">
        <is>
          <t>OCKELBO</t>
        </is>
      </c>
      <c r="F7174" t="inlineStr">
        <is>
          <t>Bergvik skog väst AB</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44208-2024</t>
        </is>
      </c>
      <c r="B7175" s="1" t="n">
        <v>45573.35883101852</v>
      </c>
      <c r="C7175" s="1" t="n">
        <v>46086</v>
      </c>
      <c r="D7175" t="inlineStr">
        <is>
          <t>GÄVLEBORGS LÄN</t>
        </is>
      </c>
      <c r="E7175" t="inlineStr">
        <is>
          <t>OVANÅKER</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40794-2024</t>
        </is>
      </c>
      <c r="B7176" s="1" t="n">
        <v>45558.50545138889</v>
      </c>
      <c r="C7176" s="1" t="n">
        <v>46086</v>
      </c>
      <c r="D7176" t="inlineStr">
        <is>
          <t>GÄVLEBORGS LÄN</t>
        </is>
      </c>
      <c r="E7176" t="inlineStr">
        <is>
          <t>OCKELBO</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51424-2024</t>
        </is>
      </c>
      <c r="B7177" s="1" t="n">
        <v>45604.46155092592</v>
      </c>
      <c r="C7177" s="1" t="n">
        <v>46086</v>
      </c>
      <c r="D7177" t="inlineStr">
        <is>
          <t>GÄVLEBORGS LÄN</t>
        </is>
      </c>
      <c r="E7177" t="inlineStr">
        <is>
          <t>HUDIKSVALL</t>
        </is>
      </c>
      <c r="G7177" t="n">
        <v>8.800000000000001</v>
      </c>
      <c r="H7177" t="n">
        <v>0</v>
      </c>
      <c r="I7177" t="n">
        <v>0</v>
      </c>
      <c r="J7177" t="n">
        <v>0</v>
      </c>
      <c r="K7177" t="n">
        <v>0</v>
      </c>
      <c r="L7177" t="n">
        <v>0</v>
      </c>
      <c r="M7177" t="n">
        <v>0</v>
      </c>
      <c r="N7177" t="n">
        <v>0</v>
      </c>
      <c r="O7177" t="n">
        <v>0</v>
      </c>
      <c r="P7177" t="n">
        <v>0</v>
      </c>
      <c r="Q7177" t="n">
        <v>0</v>
      </c>
      <c r="R7177" s="2" t="inlineStr"/>
    </row>
    <row r="7178" ht="15" customHeight="1">
      <c r="A7178" t="inlineStr">
        <is>
          <t>A 15091-2025</t>
        </is>
      </c>
      <c r="B7178" s="1" t="n">
        <v>45744.3275462963</v>
      </c>
      <c r="C7178" s="1" t="n">
        <v>46086</v>
      </c>
      <c r="D7178" t="inlineStr">
        <is>
          <t>GÄVLEBORGS LÄN</t>
        </is>
      </c>
      <c r="E7178" t="inlineStr">
        <is>
          <t>LJUSDAL</t>
        </is>
      </c>
      <c r="G7178" t="n">
        <v>4.7</v>
      </c>
      <c r="H7178" t="n">
        <v>0</v>
      </c>
      <c r="I7178" t="n">
        <v>0</v>
      </c>
      <c r="J7178" t="n">
        <v>0</v>
      </c>
      <c r="K7178" t="n">
        <v>0</v>
      </c>
      <c r="L7178" t="n">
        <v>0</v>
      </c>
      <c r="M7178" t="n">
        <v>0</v>
      </c>
      <c r="N7178" t="n">
        <v>0</v>
      </c>
      <c r="O7178" t="n">
        <v>0</v>
      </c>
      <c r="P7178" t="n">
        <v>0</v>
      </c>
      <c r="Q7178" t="n">
        <v>0</v>
      </c>
      <c r="R7178" s="2" t="inlineStr"/>
    </row>
    <row r="7179" ht="15" customHeight="1">
      <c r="A7179" t="inlineStr">
        <is>
          <t>A 60301-2025</t>
        </is>
      </c>
      <c r="B7179" s="1" t="n">
        <v>45994.67194444445</v>
      </c>
      <c r="C7179" s="1" t="n">
        <v>46086</v>
      </c>
      <c r="D7179" t="inlineStr">
        <is>
          <t>GÄVLEBORGS LÄN</t>
        </is>
      </c>
      <c r="E7179" t="inlineStr">
        <is>
          <t>SÖDERHAMN</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55217-2025</t>
        </is>
      </c>
      <c r="B7180" s="1" t="n">
        <v>45968</v>
      </c>
      <c r="C7180" s="1" t="n">
        <v>46086</v>
      </c>
      <c r="D7180" t="inlineStr">
        <is>
          <t>GÄVLEBORGS LÄN</t>
        </is>
      </c>
      <c r="E7180" t="inlineStr">
        <is>
          <t>GÄVLE</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60183-2025</t>
        </is>
      </c>
      <c r="B7181" s="1" t="n">
        <v>45994.47068287037</v>
      </c>
      <c r="C7181" s="1" t="n">
        <v>46086</v>
      </c>
      <c r="D7181" t="inlineStr">
        <is>
          <t>GÄVLEBORGS LÄN</t>
        </is>
      </c>
      <c r="E7181" t="inlineStr">
        <is>
          <t>OCKELBO</t>
        </is>
      </c>
      <c r="F7181" t="inlineStr">
        <is>
          <t>Bergvik skog väst AB</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14415-2022</t>
        </is>
      </c>
      <c r="B7182" s="1" t="n">
        <v>44652</v>
      </c>
      <c r="C7182" s="1" t="n">
        <v>46086</v>
      </c>
      <c r="D7182" t="inlineStr">
        <is>
          <t>GÄVLEBORGS LÄN</t>
        </is>
      </c>
      <c r="E7182" t="inlineStr">
        <is>
          <t>NORDANSTIG</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31084-2024</t>
        </is>
      </c>
      <c r="B7183" s="1" t="n">
        <v>45502.47806712963</v>
      </c>
      <c r="C7183" s="1" t="n">
        <v>46086</v>
      </c>
      <c r="D7183" t="inlineStr">
        <is>
          <t>GÄVLEBORGS LÄN</t>
        </is>
      </c>
      <c r="E7183" t="inlineStr">
        <is>
          <t>OVANÅKER</t>
        </is>
      </c>
      <c r="F7183" t="inlineStr">
        <is>
          <t>Bergvik skog öst AB</t>
        </is>
      </c>
      <c r="G7183" t="n">
        <v>6.7</v>
      </c>
      <c r="H7183" t="n">
        <v>0</v>
      </c>
      <c r="I7183" t="n">
        <v>0</v>
      </c>
      <c r="J7183" t="n">
        <v>0</v>
      </c>
      <c r="K7183" t="n">
        <v>0</v>
      </c>
      <c r="L7183" t="n">
        <v>0</v>
      </c>
      <c r="M7183" t="n">
        <v>0</v>
      </c>
      <c r="N7183" t="n">
        <v>0</v>
      </c>
      <c r="O7183" t="n">
        <v>0</v>
      </c>
      <c r="P7183" t="n">
        <v>0</v>
      </c>
      <c r="Q7183" t="n">
        <v>0</v>
      </c>
      <c r="R7183" s="2" t="inlineStr"/>
    </row>
    <row r="7184" ht="15" customHeight="1">
      <c r="A7184" t="inlineStr">
        <is>
          <t>A 3451-2025</t>
        </is>
      </c>
      <c r="B7184" s="1" t="n">
        <v>45680</v>
      </c>
      <c r="C7184" s="1" t="n">
        <v>46086</v>
      </c>
      <c r="D7184" t="inlineStr">
        <is>
          <t>GÄVLEBORGS LÄN</t>
        </is>
      </c>
      <c r="E7184" t="inlineStr">
        <is>
          <t>BOLLNÄS</t>
        </is>
      </c>
      <c r="G7184" t="n">
        <v>4.2</v>
      </c>
      <c r="H7184" t="n">
        <v>0</v>
      </c>
      <c r="I7184" t="n">
        <v>0</v>
      </c>
      <c r="J7184" t="n">
        <v>0</v>
      </c>
      <c r="K7184" t="n">
        <v>0</v>
      </c>
      <c r="L7184" t="n">
        <v>0</v>
      </c>
      <c r="M7184" t="n">
        <v>0</v>
      </c>
      <c r="N7184" t="n">
        <v>0</v>
      </c>
      <c r="O7184" t="n">
        <v>0</v>
      </c>
      <c r="P7184" t="n">
        <v>0</v>
      </c>
      <c r="Q7184" t="n">
        <v>0</v>
      </c>
      <c r="R7184" s="2" t="inlineStr"/>
    </row>
    <row r="7185" ht="15" customHeight="1">
      <c r="A7185" t="inlineStr">
        <is>
          <t>A 60419-2025</t>
        </is>
      </c>
      <c r="B7185" s="1" t="n">
        <v>45995.45788194444</v>
      </c>
      <c r="C7185" s="1" t="n">
        <v>46086</v>
      </c>
      <c r="D7185" t="inlineStr">
        <is>
          <t>GÄVLEBORGS LÄN</t>
        </is>
      </c>
      <c r="E7185" t="inlineStr">
        <is>
          <t>LJUSDAL</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20208-2023</t>
        </is>
      </c>
      <c r="B7186" s="1" t="n">
        <v>45055.60613425926</v>
      </c>
      <c r="C7186" s="1" t="n">
        <v>46086</v>
      </c>
      <c r="D7186" t="inlineStr">
        <is>
          <t>GÄVLEBORGS LÄN</t>
        </is>
      </c>
      <c r="E7186" t="inlineStr">
        <is>
          <t>HUDIKSVALL</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6085-2025</t>
        </is>
      </c>
      <c r="B7187" s="1" t="n">
        <v>45697.62211805556</v>
      </c>
      <c r="C7187" s="1" t="n">
        <v>46086</v>
      </c>
      <c r="D7187" t="inlineStr">
        <is>
          <t>GÄVLEBORGS LÄN</t>
        </is>
      </c>
      <c r="E7187" t="inlineStr">
        <is>
          <t>HUDIKSVALL</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60371-2025</t>
        </is>
      </c>
      <c r="B7188" s="1" t="n">
        <v>45995.34503472222</v>
      </c>
      <c r="C7188" s="1" t="n">
        <v>46086</v>
      </c>
      <c r="D7188" t="inlineStr">
        <is>
          <t>GÄVLEBORGS LÄN</t>
        </is>
      </c>
      <c r="E7188" t="inlineStr">
        <is>
          <t>NORDANSTIG</t>
        </is>
      </c>
      <c r="G7188" t="n">
        <v>3.5</v>
      </c>
      <c r="H7188" t="n">
        <v>0</v>
      </c>
      <c r="I7188" t="n">
        <v>0</v>
      </c>
      <c r="J7188" t="n">
        <v>0</v>
      </c>
      <c r="K7188" t="n">
        <v>0</v>
      </c>
      <c r="L7188" t="n">
        <v>0</v>
      </c>
      <c r="M7188" t="n">
        <v>0</v>
      </c>
      <c r="N7188" t="n">
        <v>0</v>
      </c>
      <c r="O7188" t="n">
        <v>0</v>
      </c>
      <c r="P7188" t="n">
        <v>0</v>
      </c>
      <c r="Q7188" t="n">
        <v>0</v>
      </c>
      <c r="R7188" s="2" t="inlineStr"/>
    </row>
    <row r="7189" ht="15" customHeight="1">
      <c r="A7189" t="inlineStr">
        <is>
          <t>A 469-2024</t>
        </is>
      </c>
      <c r="B7189" s="1" t="n">
        <v>45297.67460648148</v>
      </c>
      <c r="C7189" s="1" t="n">
        <v>46086</v>
      </c>
      <c r="D7189" t="inlineStr">
        <is>
          <t>GÄVLEBORGS LÄN</t>
        </is>
      </c>
      <c r="E7189" t="inlineStr">
        <is>
          <t>NORDANSTIG</t>
        </is>
      </c>
      <c r="F7189" t="inlineStr">
        <is>
          <t>Holmen skog AB</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21263-2024</t>
        </is>
      </c>
      <c r="B7190" s="1" t="n">
        <v>45440</v>
      </c>
      <c r="C7190" s="1" t="n">
        <v>46086</v>
      </c>
      <c r="D7190" t="inlineStr">
        <is>
          <t>GÄVLEBORGS LÄN</t>
        </is>
      </c>
      <c r="E7190" t="inlineStr">
        <is>
          <t>OVANÅKER</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60431-2025</t>
        </is>
      </c>
      <c r="B7191" s="1" t="n">
        <v>45995.47032407407</v>
      </c>
      <c r="C7191" s="1" t="n">
        <v>46086</v>
      </c>
      <c r="D7191" t="inlineStr">
        <is>
          <t>GÄVLEBORGS LÄN</t>
        </is>
      </c>
      <c r="E7191" t="inlineStr">
        <is>
          <t>HUDIKSVALL</t>
        </is>
      </c>
      <c r="G7191" t="n">
        <v>6</v>
      </c>
      <c r="H7191" t="n">
        <v>0</v>
      </c>
      <c r="I7191" t="n">
        <v>0</v>
      </c>
      <c r="J7191" t="n">
        <v>0</v>
      </c>
      <c r="K7191" t="n">
        <v>0</v>
      </c>
      <c r="L7191" t="n">
        <v>0</v>
      </c>
      <c r="M7191" t="n">
        <v>0</v>
      </c>
      <c r="N7191" t="n">
        <v>0</v>
      </c>
      <c r="O7191" t="n">
        <v>0</v>
      </c>
      <c r="P7191" t="n">
        <v>0</v>
      </c>
      <c r="Q7191" t="n">
        <v>0</v>
      </c>
      <c r="R7191" s="2" t="inlineStr"/>
    </row>
    <row r="7192" ht="15" customHeight="1">
      <c r="A7192" t="inlineStr">
        <is>
          <t>A 60438-2025</t>
        </is>
      </c>
      <c r="B7192" s="1" t="n">
        <v>45995.49</v>
      </c>
      <c r="C7192" s="1" t="n">
        <v>46086</v>
      </c>
      <c r="D7192" t="inlineStr">
        <is>
          <t>GÄVLEBORGS LÄN</t>
        </is>
      </c>
      <c r="E7192" t="inlineStr">
        <is>
          <t>LJUSDAL</t>
        </is>
      </c>
      <c r="F7192" t="inlineStr">
        <is>
          <t>SCA</t>
        </is>
      </c>
      <c r="G7192" t="n">
        <v>7.4</v>
      </c>
      <c r="H7192" t="n">
        <v>0</v>
      </c>
      <c r="I7192" t="n">
        <v>0</v>
      </c>
      <c r="J7192" t="n">
        <v>0</v>
      </c>
      <c r="K7192" t="n">
        <v>0</v>
      </c>
      <c r="L7192" t="n">
        <v>0</v>
      </c>
      <c r="M7192" t="n">
        <v>0</v>
      </c>
      <c r="N7192" t="n">
        <v>0</v>
      </c>
      <c r="O7192" t="n">
        <v>0</v>
      </c>
      <c r="P7192" t="n">
        <v>0</v>
      </c>
      <c r="Q7192" t="n">
        <v>0</v>
      </c>
      <c r="R7192" s="2" t="inlineStr"/>
    </row>
    <row r="7193" ht="15" customHeight="1">
      <c r="A7193" t="inlineStr">
        <is>
          <t>A 17322-2022</t>
        </is>
      </c>
      <c r="B7193" s="1" t="n">
        <v>44678</v>
      </c>
      <c r="C7193" s="1" t="n">
        <v>46086</v>
      </c>
      <c r="D7193" t="inlineStr">
        <is>
          <t>GÄVLEBORGS LÄN</t>
        </is>
      </c>
      <c r="E7193" t="inlineStr">
        <is>
          <t>HUDIKSVALL</t>
        </is>
      </c>
      <c r="F7193" t="inlineStr">
        <is>
          <t>Holmen skog AB</t>
        </is>
      </c>
      <c r="G7193" t="n">
        <v>5.3</v>
      </c>
      <c r="H7193" t="n">
        <v>0</v>
      </c>
      <c r="I7193" t="n">
        <v>0</v>
      </c>
      <c r="J7193" t="n">
        <v>0</v>
      </c>
      <c r="K7193" t="n">
        <v>0</v>
      </c>
      <c r="L7193" t="n">
        <v>0</v>
      </c>
      <c r="M7193" t="n">
        <v>0</v>
      </c>
      <c r="N7193" t="n">
        <v>0</v>
      </c>
      <c r="O7193" t="n">
        <v>0</v>
      </c>
      <c r="P7193" t="n">
        <v>0</v>
      </c>
      <c r="Q7193" t="n">
        <v>0</v>
      </c>
      <c r="R7193" s="2" t="inlineStr"/>
    </row>
    <row r="7194" ht="15" customHeight="1">
      <c r="A7194" t="inlineStr">
        <is>
          <t>A 57485-2024</t>
        </is>
      </c>
      <c r="B7194" s="1" t="n">
        <v>45630.35421296296</v>
      </c>
      <c r="C7194" s="1" t="n">
        <v>46086</v>
      </c>
      <c r="D7194" t="inlineStr">
        <is>
          <t>GÄVLEBORGS LÄN</t>
        </is>
      </c>
      <c r="E7194" t="inlineStr">
        <is>
          <t>OCKELBO</t>
        </is>
      </c>
      <c r="G7194" t="n">
        <v>9.199999999999999</v>
      </c>
      <c r="H7194" t="n">
        <v>0</v>
      </c>
      <c r="I7194" t="n">
        <v>0</v>
      </c>
      <c r="J7194" t="n">
        <v>0</v>
      </c>
      <c r="K7194" t="n">
        <v>0</v>
      </c>
      <c r="L7194" t="n">
        <v>0</v>
      </c>
      <c r="M7194" t="n">
        <v>0</v>
      </c>
      <c r="N7194" t="n">
        <v>0</v>
      </c>
      <c r="O7194" t="n">
        <v>0</v>
      </c>
      <c r="P7194" t="n">
        <v>0</v>
      </c>
      <c r="Q7194" t="n">
        <v>0</v>
      </c>
      <c r="R7194" s="2" t="inlineStr"/>
    </row>
    <row r="7195" ht="15" customHeight="1">
      <c r="A7195" t="inlineStr">
        <is>
          <t>A 56277-2024</t>
        </is>
      </c>
      <c r="B7195" s="1" t="n">
        <v>45624.66956018518</v>
      </c>
      <c r="C7195" s="1" t="n">
        <v>46086</v>
      </c>
      <c r="D7195" t="inlineStr">
        <is>
          <t>GÄVLEBORGS LÄN</t>
        </is>
      </c>
      <c r="E7195" t="inlineStr">
        <is>
          <t>HUDIKSVALL</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56281-2024</t>
        </is>
      </c>
      <c r="B7196" s="1" t="n">
        <v>45624.6768287037</v>
      </c>
      <c r="C7196" s="1" t="n">
        <v>46086</v>
      </c>
      <c r="D7196" t="inlineStr">
        <is>
          <t>GÄVLEBORGS LÄN</t>
        </is>
      </c>
      <c r="E7196" t="inlineStr">
        <is>
          <t>NORDANSTIG</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56295-2024</t>
        </is>
      </c>
      <c r="B7197" s="1" t="n">
        <v>45624.6821875</v>
      </c>
      <c r="C7197" s="1" t="n">
        <v>46086</v>
      </c>
      <c r="D7197" t="inlineStr">
        <is>
          <t>GÄVLEBORGS LÄN</t>
        </is>
      </c>
      <c r="E7197" t="inlineStr">
        <is>
          <t>NORDANSTIG</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60121-2025</t>
        </is>
      </c>
      <c r="B7198" s="1" t="n">
        <v>45994.33305555556</v>
      </c>
      <c r="C7198" s="1" t="n">
        <v>46086</v>
      </c>
      <c r="D7198" t="inlineStr">
        <is>
          <t>GÄVLEBORGS LÄN</t>
        </is>
      </c>
      <c r="E7198" t="inlineStr">
        <is>
          <t>OVANÅKER</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2251-2026</t>
        </is>
      </c>
      <c r="B7199" s="1" t="n">
        <v>46036.55474537037</v>
      </c>
      <c r="C7199" s="1" t="n">
        <v>46086</v>
      </c>
      <c r="D7199" t="inlineStr">
        <is>
          <t>GÄVLEBORGS LÄN</t>
        </is>
      </c>
      <c r="E7199" t="inlineStr">
        <is>
          <t>SANDVIKEN</t>
        </is>
      </c>
      <c r="G7199" t="n">
        <v>6.7</v>
      </c>
      <c r="H7199" t="n">
        <v>0</v>
      </c>
      <c r="I7199" t="n">
        <v>0</v>
      </c>
      <c r="J7199" t="n">
        <v>0</v>
      </c>
      <c r="K7199" t="n">
        <v>0</v>
      </c>
      <c r="L7199" t="n">
        <v>0</v>
      </c>
      <c r="M7199" t="n">
        <v>0</v>
      </c>
      <c r="N7199" t="n">
        <v>0</v>
      </c>
      <c r="O7199" t="n">
        <v>0</v>
      </c>
      <c r="P7199" t="n">
        <v>0</v>
      </c>
      <c r="Q7199" t="n">
        <v>0</v>
      </c>
      <c r="R7199" s="2" t="inlineStr"/>
    </row>
    <row r="7200" ht="15" customHeight="1">
      <c r="A7200" t="inlineStr">
        <is>
          <t>A 56352-2024</t>
        </is>
      </c>
      <c r="B7200" s="1" t="n">
        <v>45624.92115740741</v>
      </c>
      <c r="C7200" s="1" t="n">
        <v>46086</v>
      </c>
      <c r="D7200" t="inlineStr">
        <is>
          <t>GÄVLEBORGS LÄN</t>
        </is>
      </c>
      <c r="E7200" t="inlineStr">
        <is>
          <t>OCKELBO</t>
        </is>
      </c>
      <c r="F7200" t="inlineStr">
        <is>
          <t>Bergvik skog väst AB</t>
        </is>
      </c>
      <c r="G7200" t="n">
        <v>4.6</v>
      </c>
      <c r="H7200" t="n">
        <v>0</v>
      </c>
      <c r="I7200" t="n">
        <v>0</v>
      </c>
      <c r="J7200" t="n">
        <v>0</v>
      </c>
      <c r="K7200" t="n">
        <v>0</v>
      </c>
      <c r="L7200" t="n">
        <v>0</v>
      </c>
      <c r="M7200" t="n">
        <v>0</v>
      </c>
      <c r="N7200" t="n">
        <v>0</v>
      </c>
      <c r="O7200" t="n">
        <v>0</v>
      </c>
      <c r="P7200" t="n">
        <v>0</v>
      </c>
      <c r="Q7200" t="n">
        <v>0</v>
      </c>
      <c r="R7200" s="2" t="inlineStr"/>
    </row>
    <row r="7201" ht="15" customHeight="1">
      <c r="A7201" t="inlineStr">
        <is>
          <t>A 56376-2024</t>
        </is>
      </c>
      <c r="B7201" s="1" t="n">
        <v>45625.33287037037</v>
      </c>
      <c r="C7201" s="1" t="n">
        <v>46086</v>
      </c>
      <c r="D7201" t="inlineStr">
        <is>
          <t>GÄVLEBORGS LÄN</t>
        </is>
      </c>
      <c r="E7201" t="inlineStr">
        <is>
          <t>OCKELBO</t>
        </is>
      </c>
      <c r="F7201" t="inlineStr">
        <is>
          <t>Bergvik skog väst AB</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59822-2024</t>
        </is>
      </c>
      <c r="B7202" s="1" t="n">
        <v>45639.63640046296</v>
      </c>
      <c r="C7202" s="1" t="n">
        <v>46086</v>
      </c>
      <c r="D7202" t="inlineStr">
        <is>
          <t>GÄVLEBORGS LÄN</t>
        </is>
      </c>
      <c r="E7202" t="inlineStr">
        <is>
          <t>HUDIKSVALL</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45241-2024</t>
        </is>
      </c>
      <c r="B7203" s="1" t="n">
        <v>45575.95956018518</v>
      </c>
      <c r="C7203" s="1" t="n">
        <v>46086</v>
      </c>
      <c r="D7203" t="inlineStr">
        <is>
          <t>GÄVLEBORGS LÄN</t>
        </is>
      </c>
      <c r="E7203" t="inlineStr">
        <is>
          <t>LJUSDAL</t>
        </is>
      </c>
      <c r="F7203" t="inlineStr">
        <is>
          <t>Sveaskog</t>
        </is>
      </c>
      <c r="G7203" t="n">
        <v>14.4</v>
      </c>
      <c r="H7203" t="n">
        <v>0</v>
      </c>
      <c r="I7203" t="n">
        <v>0</v>
      </c>
      <c r="J7203" t="n">
        <v>0</v>
      </c>
      <c r="K7203" t="n">
        <v>0</v>
      </c>
      <c r="L7203" t="n">
        <v>0</v>
      </c>
      <c r="M7203" t="n">
        <v>0</v>
      </c>
      <c r="N7203" t="n">
        <v>0</v>
      </c>
      <c r="O7203" t="n">
        <v>0</v>
      </c>
      <c r="P7203" t="n">
        <v>0</v>
      </c>
      <c r="Q7203" t="n">
        <v>0</v>
      </c>
      <c r="R7203" s="2" t="inlineStr"/>
    </row>
    <row r="7204" ht="15" customHeight="1">
      <c r="A7204" t="inlineStr">
        <is>
          <t>A 60299-2025</t>
        </is>
      </c>
      <c r="B7204" s="1" t="n">
        <v>45994</v>
      </c>
      <c r="C7204" s="1" t="n">
        <v>46086</v>
      </c>
      <c r="D7204" t="inlineStr">
        <is>
          <t>GÄVLEBORGS LÄN</t>
        </is>
      </c>
      <c r="E7204" t="inlineStr">
        <is>
          <t>NORDANSTIG</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60536-2025</t>
        </is>
      </c>
      <c r="B7205" s="1" t="n">
        <v>45995.66488425926</v>
      </c>
      <c r="C7205" s="1" t="n">
        <v>46086</v>
      </c>
      <c r="D7205" t="inlineStr">
        <is>
          <t>GÄVLEBORGS LÄN</t>
        </is>
      </c>
      <c r="E7205" t="inlineStr">
        <is>
          <t>GÄVLE</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14059-2025</t>
        </is>
      </c>
      <c r="B7206" s="1" t="n">
        <v>45740.40756944445</v>
      </c>
      <c r="C7206" s="1" t="n">
        <v>46086</v>
      </c>
      <c r="D7206" t="inlineStr">
        <is>
          <t>GÄVLEBORGS LÄN</t>
        </is>
      </c>
      <c r="E7206" t="inlineStr">
        <is>
          <t>HUDIKSVALL</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2257-2026</t>
        </is>
      </c>
      <c r="B7207" s="1" t="n">
        <v>46036.56502314815</v>
      </c>
      <c r="C7207" s="1" t="n">
        <v>46086</v>
      </c>
      <c r="D7207" t="inlineStr">
        <is>
          <t>GÄVLEBORGS LÄN</t>
        </is>
      </c>
      <c r="E7207" t="inlineStr">
        <is>
          <t>SANDVIKEN</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2712-2026</t>
        </is>
      </c>
      <c r="B7208" s="1" t="n">
        <v>46037.73251157408</v>
      </c>
      <c r="C7208" s="1" t="n">
        <v>46086</v>
      </c>
      <c r="D7208" t="inlineStr">
        <is>
          <t>GÄVLEBORGS LÄN</t>
        </is>
      </c>
      <c r="E7208" t="inlineStr">
        <is>
          <t>SANDVIKEN</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60453-2025</t>
        </is>
      </c>
      <c r="B7209" s="1" t="n">
        <v>45995</v>
      </c>
      <c r="C7209" s="1" t="n">
        <v>46086</v>
      </c>
      <c r="D7209" t="inlineStr">
        <is>
          <t>GÄVLEBORGS LÄN</t>
        </is>
      </c>
      <c r="E7209" t="inlineStr">
        <is>
          <t>SÖDERHAMN</t>
        </is>
      </c>
      <c r="G7209" t="n">
        <v>14.1</v>
      </c>
      <c r="H7209" t="n">
        <v>0</v>
      </c>
      <c r="I7209" t="n">
        <v>0</v>
      </c>
      <c r="J7209" t="n">
        <v>0</v>
      </c>
      <c r="K7209" t="n">
        <v>0</v>
      </c>
      <c r="L7209" t="n">
        <v>0</v>
      </c>
      <c r="M7209" t="n">
        <v>0</v>
      </c>
      <c r="N7209" t="n">
        <v>0</v>
      </c>
      <c r="O7209" t="n">
        <v>0</v>
      </c>
      <c r="P7209" t="n">
        <v>0</v>
      </c>
      <c r="Q7209" t="n">
        <v>0</v>
      </c>
      <c r="R7209" s="2" t="inlineStr"/>
    </row>
    <row r="7210" ht="15" customHeight="1">
      <c r="A7210" t="inlineStr">
        <is>
          <t>A 57767-2025</t>
        </is>
      </c>
      <c r="B7210" s="1" t="n">
        <v>45981</v>
      </c>
      <c r="C7210" s="1" t="n">
        <v>46086</v>
      </c>
      <c r="D7210" t="inlineStr">
        <is>
          <t>GÄVLEBORGS LÄN</t>
        </is>
      </c>
      <c r="E7210" t="inlineStr">
        <is>
          <t>GÄVLE</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60501-2025</t>
        </is>
      </c>
      <c r="B7211" s="1" t="n">
        <v>45995.61873842592</v>
      </c>
      <c r="C7211" s="1" t="n">
        <v>46086</v>
      </c>
      <c r="D7211" t="inlineStr">
        <is>
          <t>GÄVLEBORGS LÄN</t>
        </is>
      </c>
      <c r="E7211" t="inlineStr">
        <is>
          <t>SÖDERHAMN</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19855-2025</t>
        </is>
      </c>
      <c r="B7212" s="1" t="n">
        <v>45771</v>
      </c>
      <c r="C7212" s="1" t="n">
        <v>46086</v>
      </c>
      <c r="D7212" t="inlineStr">
        <is>
          <t>GÄVLEBORGS LÄN</t>
        </is>
      </c>
      <c r="E7212" t="inlineStr">
        <is>
          <t>LJUSDAL</t>
        </is>
      </c>
      <c r="F7212" t="inlineStr">
        <is>
          <t>Bergvik skog väst AB</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60366-2025</t>
        </is>
      </c>
      <c r="B7213" s="1" t="n">
        <v>45995.3383912037</v>
      </c>
      <c r="C7213" s="1" t="n">
        <v>46086</v>
      </c>
      <c r="D7213" t="inlineStr">
        <is>
          <t>GÄVLEBORGS LÄN</t>
        </is>
      </c>
      <c r="E7213" t="inlineStr">
        <is>
          <t>HUDIKSVALL</t>
        </is>
      </c>
      <c r="G7213" t="n">
        <v>4.2</v>
      </c>
      <c r="H7213" t="n">
        <v>0</v>
      </c>
      <c r="I7213" t="n">
        <v>0</v>
      </c>
      <c r="J7213" t="n">
        <v>0</v>
      </c>
      <c r="K7213" t="n">
        <v>0</v>
      </c>
      <c r="L7213" t="n">
        <v>0</v>
      </c>
      <c r="M7213" t="n">
        <v>0</v>
      </c>
      <c r="N7213" t="n">
        <v>0</v>
      </c>
      <c r="O7213" t="n">
        <v>0</v>
      </c>
      <c r="P7213" t="n">
        <v>0</v>
      </c>
      <c r="Q7213" t="n">
        <v>0</v>
      </c>
      <c r="R7213" s="2" t="inlineStr"/>
    </row>
    <row r="7214" ht="15" customHeight="1">
      <c r="A7214" t="inlineStr">
        <is>
          <t>A 17529-2024</t>
        </is>
      </c>
      <c r="B7214" s="1" t="n">
        <v>45415</v>
      </c>
      <c r="C7214" s="1" t="n">
        <v>46086</v>
      </c>
      <c r="D7214" t="inlineStr">
        <is>
          <t>GÄVLEBORGS LÄN</t>
        </is>
      </c>
      <c r="E7214" t="inlineStr">
        <is>
          <t>BOLLNÄS</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29205-2023</t>
        </is>
      </c>
      <c r="B7215" s="1" t="n">
        <v>45105.56778935185</v>
      </c>
      <c r="C7215" s="1" t="n">
        <v>46086</v>
      </c>
      <c r="D7215" t="inlineStr">
        <is>
          <t>GÄVLEBORGS LÄN</t>
        </is>
      </c>
      <c r="E7215" t="inlineStr">
        <is>
          <t>LJUSDAL</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585-2026</t>
        </is>
      </c>
      <c r="B7216" s="1" t="n">
        <v>46029</v>
      </c>
      <c r="C7216" s="1" t="n">
        <v>46086</v>
      </c>
      <c r="D7216" t="inlineStr">
        <is>
          <t>GÄVLEBORGS LÄN</t>
        </is>
      </c>
      <c r="E7216" t="inlineStr">
        <is>
          <t>BOLLNÄS</t>
        </is>
      </c>
      <c r="G7216" t="n">
        <v>5.6</v>
      </c>
      <c r="H7216" t="n">
        <v>0</v>
      </c>
      <c r="I7216" t="n">
        <v>0</v>
      </c>
      <c r="J7216" t="n">
        <v>0</v>
      </c>
      <c r="K7216" t="n">
        <v>0</v>
      </c>
      <c r="L7216" t="n">
        <v>0</v>
      </c>
      <c r="M7216" t="n">
        <v>0</v>
      </c>
      <c r="N7216" t="n">
        <v>0</v>
      </c>
      <c r="O7216" t="n">
        <v>0</v>
      </c>
      <c r="P7216" t="n">
        <v>0</v>
      </c>
      <c r="Q7216" t="n">
        <v>0</v>
      </c>
      <c r="R7216" s="2" t="inlineStr"/>
    </row>
    <row r="7217" ht="15" customHeight="1">
      <c r="A7217" t="inlineStr">
        <is>
          <t>A 60679-2025</t>
        </is>
      </c>
      <c r="B7217" s="1" t="n">
        <v>45996.5630787037</v>
      </c>
      <c r="C7217" s="1" t="n">
        <v>46086</v>
      </c>
      <c r="D7217" t="inlineStr">
        <is>
          <t>GÄVLEBORGS LÄN</t>
        </is>
      </c>
      <c r="E7217" t="inlineStr">
        <is>
          <t>LJUSDAL</t>
        </is>
      </c>
      <c r="F7217" t="inlineStr">
        <is>
          <t>Bergvik skog väst AB</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26126-2023</t>
        </is>
      </c>
      <c r="B7218" s="1" t="n">
        <v>45091</v>
      </c>
      <c r="C7218" s="1" t="n">
        <v>46086</v>
      </c>
      <c r="D7218" t="inlineStr">
        <is>
          <t>GÄVLEBORGS LÄN</t>
        </is>
      </c>
      <c r="E7218" t="inlineStr">
        <is>
          <t>BOLLNÄS</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50769-2023</t>
        </is>
      </c>
      <c r="B7219" s="1" t="n">
        <v>45217.62091435185</v>
      </c>
      <c r="C7219" s="1" t="n">
        <v>46086</v>
      </c>
      <c r="D7219" t="inlineStr">
        <is>
          <t>GÄVLEBORGS LÄN</t>
        </is>
      </c>
      <c r="E7219" t="inlineStr">
        <is>
          <t>OVANÅKER</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60757-2025</t>
        </is>
      </c>
      <c r="B7220" s="1" t="n">
        <v>45999.38424768519</v>
      </c>
      <c r="C7220" s="1" t="n">
        <v>46086</v>
      </c>
      <c r="D7220" t="inlineStr">
        <is>
          <t>GÄVLEBORGS LÄN</t>
        </is>
      </c>
      <c r="E7220" t="inlineStr">
        <is>
          <t>BOLLNÄS</t>
        </is>
      </c>
      <c r="F7220" t="inlineStr">
        <is>
          <t>Bergvik skog väst AB</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10030-2025</t>
        </is>
      </c>
      <c r="B7221" s="1" t="n">
        <v>45719.49319444445</v>
      </c>
      <c r="C7221" s="1" t="n">
        <v>46086</v>
      </c>
      <c r="D7221" t="inlineStr">
        <is>
          <t>GÄVLEBORGS LÄN</t>
        </is>
      </c>
      <c r="E7221" t="inlineStr">
        <is>
          <t>BOLLNÄS</t>
        </is>
      </c>
      <c r="F7221" t="inlineStr">
        <is>
          <t>Bergvik skog väst AB</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43930-2023</t>
        </is>
      </c>
      <c r="B7222" s="1" t="n">
        <v>45187</v>
      </c>
      <c r="C7222" s="1" t="n">
        <v>46086</v>
      </c>
      <c r="D7222" t="inlineStr">
        <is>
          <t>GÄVLEBORGS LÄN</t>
        </is>
      </c>
      <c r="E7222" t="inlineStr">
        <is>
          <t>HUDIKSVALL</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12216-2025</t>
        </is>
      </c>
      <c r="B7223" s="1" t="n">
        <v>45729.53565972222</v>
      </c>
      <c r="C7223" s="1" t="n">
        <v>46086</v>
      </c>
      <c r="D7223" t="inlineStr">
        <is>
          <t>GÄVLEBORGS LÄN</t>
        </is>
      </c>
      <c r="E7223" t="inlineStr">
        <is>
          <t>NORDANSTIG</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14961-2025</t>
        </is>
      </c>
      <c r="B7224" s="1" t="n">
        <v>45743.58578703704</v>
      </c>
      <c r="C7224" s="1" t="n">
        <v>46086</v>
      </c>
      <c r="D7224" t="inlineStr">
        <is>
          <t>GÄVLEBORGS LÄN</t>
        </is>
      </c>
      <c r="E7224" t="inlineStr">
        <is>
          <t>NORDANSTIG</t>
        </is>
      </c>
      <c r="F7224" t="inlineStr">
        <is>
          <t>Holmen skog AB</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4774-2025</t>
        </is>
      </c>
      <c r="B7225" s="1" t="n">
        <v>45688.50829861111</v>
      </c>
      <c r="C7225" s="1" t="n">
        <v>46086</v>
      </c>
      <c r="D7225" t="inlineStr">
        <is>
          <t>GÄVLEBORGS LÄN</t>
        </is>
      </c>
      <c r="E7225" t="inlineStr">
        <is>
          <t>HUDIKSVALL</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60939-2025</t>
        </is>
      </c>
      <c r="B7226" s="1" t="n">
        <v>45999.6430787037</v>
      </c>
      <c r="C7226" s="1" t="n">
        <v>46086</v>
      </c>
      <c r="D7226" t="inlineStr">
        <is>
          <t>GÄVLEBORGS LÄN</t>
        </is>
      </c>
      <c r="E7226" t="inlineStr">
        <is>
          <t>SÖDERHAMN</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61166-2022</t>
        </is>
      </c>
      <c r="B7227" s="1" t="n">
        <v>44915.47952546296</v>
      </c>
      <c r="C7227" s="1" t="n">
        <v>46086</v>
      </c>
      <c r="D7227" t="inlineStr">
        <is>
          <t>GÄVLEBORGS LÄN</t>
        </is>
      </c>
      <c r="E7227" t="inlineStr">
        <is>
          <t>SANDVIKEN</t>
        </is>
      </c>
      <c r="G7227" t="n">
        <v>5.4</v>
      </c>
      <c r="H7227" t="n">
        <v>0</v>
      </c>
      <c r="I7227" t="n">
        <v>0</v>
      </c>
      <c r="J7227" t="n">
        <v>0</v>
      </c>
      <c r="K7227" t="n">
        <v>0</v>
      </c>
      <c r="L7227" t="n">
        <v>0</v>
      </c>
      <c r="M7227" t="n">
        <v>0</v>
      </c>
      <c r="N7227" t="n">
        <v>0</v>
      </c>
      <c r="O7227" t="n">
        <v>0</v>
      </c>
      <c r="P7227" t="n">
        <v>0</v>
      </c>
      <c r="Q7227" t="n">
        <v>0</v>
      </c>
      <c r="R7227" s="2" t="inlineStr"/>
    </row>
    <row r="7228" ht="15" customHeight="1">
      <c r="A7228" t="inlineStr">
        <is>
          <t>A 60952-2025</t>
        </is>
      </c>
      <c r="B7228" s="1" t="n">
        <v>45999.65306712963</v>
      </c>
      <c r="C7228" s="1" t="n">
        <v>46086</v>
      </c>
      <c r="D7228" t="inlineStr">
        <is>
          <t>GÄVLEBORGS LÄN</t>
        </is>
      </c>
      <c r="E7228" t="inlineStr">
        <is>
          <t>SANDVIKEN</t>
        </is>
      </c>
      <c r="G7228" t="n">
        <v>9.6</v>
      </c>
      <c r="H7228" t="n">
        <v>0</v>
      </c>
      <c r="I7228" t="n">
        <v>0</v>
      </c>
      <c r="J7228" t="n">
        <v>0</v>
      </c>
      <c r="K7228" t="n">
        <v>0</v>
      </c>
      <c r="L7228" t="n">
        <v>0</v>
      </c>
      <c r="M7228" t="n">
        <v>0</v>
      </c>
      <c r="N7228" t="n">
        <v>0</v>
      </c>
      <c r="O7228" t="n">
        <v>0</v>
      </c>
      <c r="P7228" t="n">
        <v>0</v>
      </c>
      <c r="Q7228" t="n">
        <v>0</v>
      </c>
      <c r="R7228" s="2" t="inlineStr"/>
    </row>
    <row r="7229" ht="15" customHeight="1">
      <c r="A7229" t="inlineStr">
        <is>
          <t>A 60684-2025</t>
        </is>
      </c>
      <c r="B7229" s="1" t="n">
        <v>45996.579375</v>
      </c>
      <c r="C7229" s="1" t="n">
        <v>46086</v>
      </c>
      <c r="D7229" t="inlineStr">
        <is>
          <t>GÄVLEBORGS LÄN</t>
        </is>
      </c>
      <c r="E7229" t="inlineStr">
        <is>
          <t>HUDIKSVALL</t>
        </is>
      </c>
      <c r="F7229" t="inlineStr">
        <is>
          <t>Naturvårdsverket</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29929-2022</t>
        </is>
      </c>
      <c r="B7230" s="1" t="n">
        <v>44756.57740740741</v>
      </c>
      <c r="C7230" s="1" t="n">
        <v>46086</v>
      </c>
      <c r="D7230" t="inlineStr">
        <is>
          <t>GÄVLEBORGS LÄN</t>
        </is>
      </c>
      <c r="E7230" t="inlineStr">
        <is>
          <t>GÄVLE</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60779-2025</t>
        </is>
      </c>
      <c r="B7231" s="1" t="n">
        <v>45999.39215277778</v>
      </c>
      <c r="C7231" s="1" t="n">
        <v>46086</v>
      </c>
      <c r="D7231" t="inlineStr">
        <is>
          <t>GÄVLEBORGS LÄN</t>
        </is>
      </c>
      <c r="E7231" t="inlineStr">
        <is>
          <t>BOLLNÄS</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58212-2025</t>
        </is>
      </c>
      <c r="B7232" s="1" t="n">
        <v>45985.34894675926</v>
      </c>
      <c r="C7232" s="1" t="n">
        <v>46086</v>
      </c>
      <c r="D7232" t="inlineStr">
        <is>
          <t>GÄVLEBORGS LÄN</t>
        </is>
      </c>
      <c r="E7232" t="inlineStr">
        <is>
          <t>SÖDERHAMN</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60955-2025</t>
        </is>
      </c>
      <c r="B7233" s="1" t="n">
        <v>45999</v>
      </c>
      <c r="C7233" s="1" t="n">
        <v>46086</v>
      </c>
      <c r="D7233" t="inlineStr">
        <is>
          <t>GÄVLEBORGS LÄN</t>
        </is>
      </c>
      <c r="E7233" t="inlineStr">
        <is>
          <t>BOLLNÄS</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5262-2025</t>
        </is>
      </c>
      <c r="B7234" s="1" t="n">
        <v>45692.37174768518</v>
      </c>
      <c r="C7234" s="1" t="n">
        <v>46086</v>
      </c>
      <c r="D7234" t="inlineStr">
        <is>
          <t>GÄVLEBORGS LÄN</t>
        </is>
      </c>
      <c r="E7234" t="inlineStr">
        <is>
          <t>BOLLNÄS</t>
        </is>
      </c>
      <c r="F7234" t="inlineStr">
        <is>
          <t>Bergvik skog öst AB</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38673-2024</t>
        </is>
      </c>
      <c r="B7235" s="1" t="n">
        <v>45547.33135416666</v>
      </c>
      <c r="C7235" s="1" t="n">
        <v>46086</v>
      </c>
      <c r="D7235" t="inlineStr">
        <is>
          <t>GÄVLEBORGS LÄN</t>
        </is>
      </c>
      <c r="E7235" t="inlineStr">
        <is>
          <t>GÄVLE</t>
        </is>
      </c>
      <c r="F7235" t="inlineStr">
        <is>
          <t>Bergvik skog öst AB</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3007-2026</t>
        </is>
      </c>
      <c r="B7236" s="1" t="n">
        <v>46038.66013888889</v>
      </c>
      <c r="C7236" s="1" t="n">
        <v>46086</v>
      </c>
      <c r="D7236" t="inlineStr">
        <is>
          <t>GÄVLEBORGS LÄN</t>
        </is>
      </c>
      <c r="E7236" t="inlineStr">
        <is>
          <t>OCKELBO</t>
        </is>
      </c>
      <c r="G7236" t="n">
        <v>3.2</v>
      </c>
      <c r="H7236" t="n">
        <v>0</v>
      </c>
      <c r="I7236" t="n">
        <v>0</v>
      </c>
      <c r="J7236" t="n">
        <v>0</v>
      </c>
      <c r="K7236" t="n">
        <v>0</v>
      </c>
      <c r="L7236" t="n">
        <v>0</v>
      </c>
      <c r="M7236" t="n">
        <v>0</v>
      </c>
      <c r="N7236" t="n">
        <v>0</v>
      </c>
      <c r="O7236" t="n">
        <v>0</v>
      </c>
      <c r="P7236" t="n">
        <v>0</v>
      </c>
      <c r="Q7236" t="n">
        <v>0</v>
      </c>
      <c r="R7236" s="2" t="inlineStr"/>
    </row>
    <row r="7237" ht="15" customHeight="1">
      <c r="A7237" t="inlineStr">
        <is>
          <t>A 38687-2024</t>
        </is>
      </c>
      <c r="B7237" s="1" t="n">
        <v>45547</v>
      </c>
      <c r="C7237" s="1" t="n">
        <v>46086</v>
      </c>
      <c r="D7237" t="inlineStr">
        <is>
          <t>GÄVLEBORGS LÄN</t>
        </is>
      </c>
      <c r="E7237" t="inlineStr">
        <is>
          <t>HUDIKSVALL</t>
        </is>
      </c>
      <c r="G7237" t="n">
        <v>8.9</v>
      </c>
      <c r="H7237" t="n">
        <v>0</v>
      </c>
      <c r="I7237" t="n">
        <v>0</v>
      </c>
      <c r="J7237" t="n">
        <v>0</v>
      </c>
      <c r="K7237" t="n">
        <v>0</v>
      </c>
      <c r="L7237" t="n">
        <v>0</v>
      </c>
      <c r="M7237" t="n">
        <v>0</v>
      </c>
      <c r="N7237" t="n">
        <v>0</v>
      </c>
      <c r="O7237" t="n">
        <v>0</v>
      </c>
      <c r="P7237" t="n">
        <v>0</v>
      </c>
      <c r="Q7237" t="n">
        <v>0</v>
      </c>
      <c r="R7237" s="2" t="inlineStr"/>
    </row>
    <row r="7238" ht="15" customHeight="1">
      <c r="A7238" t="inlineStr">
        <is>
          <t>A 38703-2024</t>
        </is>
      </c>
      <c r="B7238" s="1" t="n">
        <v>45547</v>
      </c>
      <c r="C7238" s="1" t="n">
        <v>46086</v>
      </c>
      <c r="D7238" t="inlineStr">
        <is>
          <t>GÄVLEBORGS LÄN</t>
        </is>
      </c>
      <c r="E7238" t="inlineStr">
        <is>
          <t>HUDIKSVALL</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60787-2025</t>
        </is>
      </c>
      <c r="B7239" s="1" t="n">
        <v>45999.40980324074</v>
      </c>
      <c r="C7239" s="1" t="n">
        <v>46086</v>
      </c>
      <c r="D7239" t="inlineStr">
        <is>
          <t>GÄVLEBORGS LÄN</t>
        </is>
      </c>
      <c r="E7239" t="inlineStr">
        <is>
          <t>NORDANSTIG</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60707-2025</t>
        </is>
      </c>
      <c r="B7240" s="1" t="n">
        <v>45996.61716435185</v>
      </c>
      <c r="C7240" s="1" t="n">
        <v>46086</v>
      </c>
      <c r="D7240" t="inlineStr">
        <is>
          <t>GÄVLEBORGS LÄN</t>
        </is>
      </c>
      <c r="E7240" t="inlineStr">
        <is>
          <t>BOLLNÄS</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60937-2025</t>
        </is>
      </c>
      <c r="B7241" s="1" t="n">
        <v>45999.64283564815</v>
      </c>
      <c r="C7241" s="1" t="n">
        <v>46086</v>
      </c>
      <c r="D7241" t="inlineStr">
        <is>
          <t>GÄVLEBORGS LÄN</t>
        </is>
      </c>
      <c r="E7241" t="inlineStr">
        <is>
          <t>SÖDERHAMN</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36877-2022</t>
        </is>
      </c>
      <c r="B7242" s="1" t="n">
        <v>44805</v>
      </c>
      <c r="C7242" s="1" t="n">
        <v>46086</v>
      </c>
      <c r="D7242" t="inlineStr">
        <is>
          <t>GÄVLEBORGS LÄN</t>
        </is>
      </c>
      <c r="E7242" t="inlineStr">
        <is>
          <t>BOLLNÄS</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60919-2025</t>
        </is>
      </c>
      <c r="B7243" s="1" t="n">
        <v>45999.6171412037</v>
      </c>
      <c r="C7243" s="1" t="n">
        <v>46086</v>
      </c>
      <c r="D7243" t="inlineStr">
        <is>
          <t>GÄVLEBORGS LÄN</t>
        </is>
      </c>
      <c r="E7243" t="inlineStr">
        <is>
          <t>LJUSDAL</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60810-2025</t>
        </is>
      </c>
      <c r="B7244" s="1" t="n">
        <v>45999.44400462963</v>
      </c>
      <c r="C7244" s="1" t="n">
        <v>46086</v>
      </c>
      <c r="D7244" t="inlineStr">
        <is>
          <t>GÄVLEBORGS LÄN</t>
        </is>
      </c>
      <c r="E7244" t="inlineStr">
        <is>
          <t>BOLLNÄS</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58544-2025</t>
        </is>
      </c>
      <c r="B7245" s="1" t="n">
        <v>45985.90451388889</v>
      </c>
      <c r="C7245" s="1" t="n">
        <v>46086</v>
      </c>
      <c r="D7245" t="inlineStr">
        <is>
          <t>GÄVLEBORGS LÄN</t>
        </is>
      </c>
      <c r="E7245" t="inlineStr">
        <is>
          <t>HUDIKSVALL</t>
        </is>
      </c>
      <c r="G7245" t="n">
        <v>4.2</v>
      </c>
      <c r="H7245" t="n">
        <v>0</v>
      </c>
      <c r="I7245" t="n">
        <v>0</v>
      </c>
      <c r="J7245" t="n">
        <v>0</v>
      </c>
      <c r="K7245" t="n">
        <v>0</v>
      </c>
      <c r="L7245" t="n">
        <v>0</v>
      </c>
      <c r="M7245" t="n">
        <v>0</v>
      </c>
      <c r="N7245" t="n">
        <v>0</v>
      </c>
      <c r="O7245" t="n">
        <v>0</v>
      </c>
      <c r="P7245" t="n">
        <v>0</v>
      </c>
      <c r="Q7245" t="n">
        <v>0</v>
      </c>
      <c r="R7245" s="2" t="inlineStr"/>
    </row>
    <row r="7246" ht="15" customHeight="1">
      <c r="A7246" t="inlineStr">
        <is>
          <t>A 60573-2025</t>
        </is>
      </c>
      <c r="B7246" s="1" t="n">
        <v>45996.24320601852</v>
      </c>
      <c r="C7246" s="1" t="n">
        <v>46086</v>
      </c>
      <c r="D7246" t="inlineStr">
        <is>
          <t>GÄVLEBORGS LÄN</t>
        </is>
      </c>
      <c r="E7246" t="inlineStr">
        <is>
          <t>BOLLNÄS</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60885-2025</t>
        </is>
      </c>
      <c r="B7247" s="1" t="n">
        <v>45999.56585648148</v>
      </c>
      <c r="C7247" s="1" t="n">
        <v>46086</v>
      </c>
      <c r="D7247" t="inlineStr">
        <is>
          <t>GÄVLEBORGS LÄN</t>
        </is>
      </c>
      <c r="E7247" t="inlineStr">
        <is>
          <t>LJUSDAL</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60935-2025</t>
        </is>
      </c>
      <c r="B7248" s="1" t="n">
        <v>45999.64253472222</v>
      </c>
      <c r="C7248" s="1" t="n">
        <v>46086</v>
      </c>
      <c r="D7248" t="inlineStr">
        <is>
          <t>GÄVLEBORGS LÄN</t>
        </is>
      </c>
      <c r="E7248" t="inlineStr">
        <is>
          <t>SÖDERHAMN</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7799-2025</t>
        </is>
      </c>
      <c r="B7249" s="1" t="n">
        <v>45706.60534722222</v>
      </c>
      <c r="C7249" s="1" t="n">
        <v>46086</v>
      </c>
      <c r="D7249" t="inlineStr">
        <is>
          <t>GÄVLEBORGS LÄN</t>
        </is>
      </c>
      <c r="E7249" t="inlineStr">
        <is>
          <t>SÖDERHAMN</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59186-2022</t>
        </is>
      </c>
      <c r="B7250" s="1" t="n">
        <v>44904.49101851852</v>
      </c>
      <c r="C7250" s="1" t="n">
        <v>46086</v>
      </c>
      <c r="D7250" t="inlineStr">
        <is>
          <t>GÄVLEBORGS LÄN</t>
        </is>
      </c>
      <c r="E7250" t="inlineStr">
        <is>
          <t>OVANÅKER</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60922-2025</t>
        </is>
      </c>
      <c r="B7251" s="1" t="n">
        <v>45999.62391203704</v>
      </c>
      <c r="C7251" s="1" t="n">
        <v>46086</v>
      </c>
      <c r="D7251" t="inlineStr">
        <is>
          <t>GÄVLEBORGS LÄN</t>
        </is>
      </c>
      <c r="E7251" t="inlineStr">
        <is>
          <t>GÄVLE</t>
        </is>
      </c>
      <c r="F7251" t="inlineStr">
        <is>
          <t>Bergvik skog väst AB</t>
        </is>
      </c>
      <c r="G7251" t="n">
        <v>4.9</v>
      </c>
      <c r="H7251" t="n">
        <v>0</v>
      </c>
      <c r="I7251" t="n">
        <v>0</v>
      </c>
      <c r="J7251" t="n">
        <v>0</v>
      </c>
      <c r="K7251" t="n">
        <v>0</v>
      </c>
      <c r="L7251" t="n">
        <v>0</v>
      </c>
      <c r="M7251" t="n">
        <v>0</v>
      </c>
      <c r="N7251" t="n">
        <v>0</v>
      </c>
      <c r="O7251" t="n">
        <v>0</v>
      </c>
      <c r="P7251" t="n">
        <v>0</v>
      </c>
      <c r="Q7251" t="n">
        <v>0</v>
      </c>
      <c r="R7251" s="2" t="inlineStr"/>
    </row>
    <row r="7252" ht="15" customHeight="1">
      <c r="A7252" t="inlineStr">
        <is>
          <t>A 5395-2025</t>
        </is>
      </c>
      <c r="B7252" s="1" t="n">
        <v>45692</v>
      </c>
      <c r="C7252" s="1" t="n">
        <v>46086</v>
      </c>
      <c r="D7252" t="inlineStr">
        <is>
          <t>GÄVLEBORGS LÄN</t>
        </is>
      </c>
      <c r="E7252" t="inlineStr">
        <is>
          <t>HUDIKSVALL</t>
        </is>
      </c>
      <c r="F7252" t="inlineStr">
        <is>
          <t>Holmen skog AB</t>
        </is>
      </c>
      <c r="G7252" t="n">
        <v>7.3</v>
      </c>
      <c r="H7252" t="n">
        <v>0</v>
      </c>
      <c r="I7252" t="n">
        <v>0</v>
      </c>
      <c r="J7252" t="n">
        <v>0</v>
      </c>
      <c r="K7252" t="n">
        <v>0</v>
      </c>
      <c r="L7252" t="n">
        <v>0</v>
      </c>
      <c r="M7252" t="n">
        <v>0</v>
      </c>
      <c r="N7252" t="n">
        <v>0</v>
      </c>
      <c r="O7252" t="n">
        <v>0</v>
      </c>
      <c r="P7252" t="n">
        <v>0</v>
      </c>
      <c r="Q7252" t="n">
        <v>0</v>
      </c>
      <c r="R7252" s="2" t="inlineStr"/>
    </row>
    <row r="7253" ht="15" customHeight="1">
      <c r="A7253" t="inlineStr">
        <is>
          <t>A 60616-2025</t>
        </is>
      </c>
      <c r="B7253" s="1" t="n">
        <v>45996.37003472223</v>
      </c>
      <c r="C7253" s="1" t="n">
        <v>46086</v>
      </c>
      <c r="D7253" t="inlineStr">
        <is>
          <t>GÄVLEBORGS LÄN</t>
        </is>
      </c>
      <c r="E7253" t="inlineStr">
        <is>
          <t>OCKELBO</t>
        </is>
      </c>
      <c r="F7253" t="inlineStr">
        <is>
          <t>Bergvik skog väst AB</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60874-2025</t>
        </is>
      </c>
      <c r="B7254" s="1" t="n">
        <v>45999.5552662037</v>
      </c>
      <c r="C7254" s="1" t="n">
        <v>46086</v>
      </c>
      <c r="D7254" t="inlineStr">
        <is>
          <t>GÄVLEBORGS LÄN</t>
        </is>
      </c>
      <c r="E7254" t="inlineStr">
        <is>
          <t>LJUSDAL</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60912-2025</t>
        </is>
      </c>
      <c r="B7255" s="1" t="n">
        <v>45999.60133101852</v>
      </c>
      <c r="C7255" s="1" t="n">
        <v>46086</v>
      </c>
      <c r="D7255" t="inlineStr">
        <is>
          <t>GÄVLEBORGS LÄN</t>
        </is>
      </c>
      <c r="E7255" t="inlineStr">
        <is>
          <t>OVANÅKER</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36829-2024</t>
        </is>
      </c>
      <c r="B7256" s="1" t="n">
        <v>45538.50928240741</v>
      </c>
      <c r="C7256" s="1" t="n">
        <v>46086</v>
      </c>
      <c r="D7256" t="inlineStr">
        <is>
          <t>GÄVLEBORGS LÄN</t>
        </is>
      </c>
      <c r="E7256" t="inlineStr">
        <is>
          <t>HUDIKSVALL</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584-2026</t>
        </is>
      </c>
      <c r="B7257" s="1" t="n">
        <v>46029</v>
      </c>
      <c r="C7257" s="1" t="n">
        <v>46086</v>
      </c>
      <c r="D7257" t="inlineStr">
        <is>
          <t>GÄVLEBORGS LÄN</t>
        </is>
      </c>
      <c r="E7257" t="inlineStr">
        <is>
          <t>BOLLNÄS</t>
        </is>
      </c>
      <c r="G7257" t="n">
        <v>4.7</v>
      </c>
      <c r="H7257" t="n">
        <v>0</v>
      </c>
      <c r="I7257" t="n">
        <v>0</v>
      </c>
      <c r="J7257" t="n">
        <v>0</v>
      </c>
      <c r="K7257" t="n">
        <v>0</v>
      </c>
      <c r="L7257" t="n">
        <v>0</v>
      </c>
      <c r="M7257" t="n">
        <v>0</v>
      </c>
      <c r="N7257" t="n">
        <v>0</v>
      </c>
      <c r="O7257" t="n">
        <v>0</v>
      </c>
      <c r="P7257" t="n">
        <v>0</v>
      </c>
      <c r="Q7257" t="n">
        <v>0</v>
      </c>
      <c r="R7257" s="2" t="inlineStr"/>
    </row>
    <row r="7258" ht="15" customHeight="1">
      <c r="A7258" t="inlineStr">
        <is>
          <t>A 603-2026</t>
        </is>
      </c>
      <c r="B7258" s="1" t="n">
        <v>46029</v>
      </c>
      <c r="C7258" s="1" t="n">
        <v>46086</v>
      </c>
      <c r="D7258" t="inlineStr">
        <is>
          <t>GÄVLEBORGS LÄN</t>
        </is>
      </c>
      <c r="E7258" t="inlineStr">
        <is>
          <t>BOLLNÄS</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1252-2026</t>
        </is>
      </c>
      <c r="B7259" s="1" t="n">
        <v>46031</v>
      </c>
      <c r="C7259" s="1" t="n">
        <v>46086</v>
      </c>
      <c r="D7259" t="inlineStr">
        <is>
          <t>GÄVLEBORGS LÄN</t>
        </is>
      </c>
      <c r="E7259" t="inlineStr">
        <is>
          <t>GÄVLE</t>
        </is>
      </c>
      <c r="G7259" t="n">
        <v>4.2</v>
      </c>
      <c r="H7259" t="n">
        <v>0</v>
      </c>
      <c r="I7259" t="n">
        <v>0</v>
      </c>
      <c r="J7259" t="n">
        <v>0</v>
      </c>
      <c r="K7259" t="n">
        <v>0</v>
      </c>
      <c r="L7259" t="n">
        <v>0</v>
      </c>
      <c r="M7259" t="n">
        <v>0</v>
      </c>
      <c r="N7259" t="n">
        <v>0</v>
      </c>
      <c r="O7259" t="n">
        <v>0</v>
      </c>
      <c r="P7259" t="n">
        <v>0</v>
      </c>
      <c r="Q7259" t="n">
        <v>0</v>
      </c>
      <c r="R7259" s="2" t="inlineStr"/>
    </row>
    <row r="7260" ht="15" customHeight="1">
      <c r="A7260" t="inlineStr">
        <is>
          <t>A 57387-2024</t>
        </is>
      </c>
      <c r="B7260" s="1" t="n">
        <v>45629.68421296297</v>
      </c>
      <c r="C7260" s="1" t="n">
        <v>46086</v>
      </c>
      <c r="D7260" t="inlineStr">
        <is>
          <t>GÄVLEBORGS LÄN</t>
        </is>
      </c>
      <c r="E7260" t="inlineStr">
        <is>
          <t>BOLLNÄS</t>
        </is>
      </c>
      <c r="G7260" t="n">
        <v>0.4</v>
      </c>
      <c r="H7260" t="n">
        <v>0</v>
      </c>
      <c r="I7260" t="n">
        <v>0</v>
      </c>
      <c r="J7260" t="n">
        <v>0</v>
      </c>
      <c r="K7260" t="n">
        <v>0</v>
      </c>
      <c r="L7260" t="n">
        <v>0</v>
      </c>
      <c r="M7260" t="n">
        <v>0</v>
      </c>
      <c r="N7260" t="n">
        <v>0</v>
      </c>
      <c r="O7260" t="n">
        <v>0</v>
      </c>
      <c r="P7260" t="n">
        <v>0</v>
      </c>
      <c r="Q7260" t="n">
        <v>0</v>
      </c>
      <c r="R7260" s="2" t="inlineStr"/>
    </row>
    <row r="7261" ht="15" customHeight="1">
      <c r="A7261" t="inlineStr">
        <is>
          <t>A 3296-2026</t>
        </is>
      </c>
      <c r="B7261" s="1" t="n">
        <v>46041.64916666667</v>
      </c>
      <c r="C7261" s="1" t="n">
        <v>46086</v>
      </c>
      <c r="D7261" t="inlineStr">
        <is>
          <t>GÄVLEBORGS LÄN</t>
        </is>
      </c>
      <c r="E7261" t="inlineStr">
        <is>
          <t>HUDIKSVALL</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49980-2024</t>
        </is>
      </c>
      <c r="B7262" s="1" t="n">
        <v>45597.74361111111</v>
      </c>
      <c r="C7262" s="1" t="n">
        <v>46086</v>
      </c>
      <c r="D7262" t="inlineStr">
        <is>
          <t>GÄVLEBORGS LÄN</t>
        </is>
      </c>
      <c r="E7262" t="inlineStr">
        <is>
          <t>BOLLNÄS</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60682-2025</t>
        </is>
      </c>
      <c r="B7263" s="1" t="n">
        <v>45996</v>
      </c>
      <c r="C7263" s="1" t="n">
        <v>46086</v>
      </c>
      <c r="D7263" t="inlineStr">
        <is>
          <t>GÄVLEBORGS LÄN</t>
        </is>
      </c>
      <c r="E7263" t="inlineStr">
        <is>
          <t>LJUSDAL</t>
        </is>
      </c>
      <c r="G7263" t="n">
        <v>7.2</v>
      </c>
      <c r="H7263" t="n">
        <v>0</v>
      </c>
      <c r="I7263" t="n">
        <v>0</v>
      </c>
      <c r="J7263" t="n">
        <v>0</v>
      </c>
      <c r="K7263" t="n">
        <v>0</v>
      </c>
      <c r="L7263" t="n">
        <v>0</v>
      </c>
      <c r="M7263" t="n">
        <v>0</v>
      </c>
      <c r="N7263" t="n">
        <v>0</v>
      </c>
      <c r="O7263" t="n">
        <v>0</v>
      </c>
      <c r="P7263" t="n">
        <v>0</v>
      </c>
      <c r="Q7263" t="n">
        <v>0</v>
      </c>
      <c r="R7263" s="2" t="inlineStr"/>
    </row>
    <row r="7264" ht="15" customHeight="1">
      <c r="A7264" t="inlineStr">
        <is>
          <t>A 59511-2022</t>
        </is>
      </c>
      <c r="B7264" s="1" t="n">
        <v>44907</v>
      </c>
      <c r="C7264" s="1" t="n">
        <v>46086</v>
      </c>
      <c r="D7264" t="inlineStr">
        <is>
          <t>GÄVLEBORGS LÄN</t>
        </is>
      </c>
      <c r="E7264" t="inlineStr">
        <is>
          <t>OVANÅKER</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1244-2023</t>
        </is>
      </c>
      <c r="B7265" s="1" t="n">
        <v>44936.34145833334</v>
      </c>
      <c r="C7265" s="1" t="n">
        <v>46086</v>
      </c>
      <c r="D7265" t="inlineStr">
        <is>
          <t>GÄVLEBORGS LÄN</t>
        </is>
      </c>
      <c r="E7265" t="inlineStr">
        <is>
          <t>GÄVLE</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62152-2024</t>
        </is>
      </c>
      <c r="B7266" s="1" t="n">
        <v>45656</v>
      </c>
      <c r="C7266" s="1" t="n">
        <v>46086</v>
      </c>
      <c r="D7266" t="inlineStr">
        <is>
          <t>GÄVLEBORGS LÄN</t>
        </is>
      </c>
      <c r="E7266" t="inlineStr">
        <is>
          <t>OVANÅKER</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17411-2025</t>
        </is>
      </c>
      <c r="B7267" s="1" t="n">
        <v>45757.37238425926</v>
      </c>
      <c r="C7267" s="1" t="n">
        <v>46086</v>
      </c>
      <c r="D7267" t="inlineStr">
        <is>
          <t>GÄVLEBORGS LÄN</t>
        </is>
      </c>
      <c r="E7267" t="inlineStr">
        <is>
          <t>SANDVIKEN</t>
        </is>
      </c>
      <c r="F7267" t="inlineStr">
        <is>
          <t>Bergvik skog öst AB</t>
        </is>
      </c>
      <c r="G7267" t="n">
        <v>9.6</v>
      </c>
      <c r="H7267" t="n">
        <v>0</v>
      </c>
      <c r="I7267" t="n">
        <v>0</v>
      </c>
      <c r="J7267" t="n">
        <v>0</v>
      </c>
      <c r="K7267" t="n">
        <v>0</v>
      </c>
      <c r="L7267" t="n">
        <v>0</v>
      </c>
      <c r="M7267" t="n">
        <v>0</v>
      </c>
      <c r="N7267" t="n">
        <v>0</v>
      </c>
      <c r="O7267" t="n">
        <v>0</v>
      </c>
      <c r="P7267" t="n">
        <v>0</v>
      </c>
      <c r="Q7267" t="n">
        <v>0</v>
      </c>
      <c r="R7267" s="2" t="inlineStr"/>
    </row>
    <row r="7268" ht="15" customHeight="1">
      <c r="A7268" t="inlineStr">
        <is>
          <t>A 56453-2023</t>
        </is>
      </c>
      <c r="B7268" s="1" t="n">
        <v>45243</v>
      </c>
      <c r="C7268" s="1" t="n">
        <v>46086</v>
      </c>
      <c r="D7268" t="inlineStr">
        <is>
          <t>GÄVLEBORGS LÄN</t>
        </is>
      </c>
      <c r="E7268" t="inlineStr">
        <is>
          <t>BOLLNÄS</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3779-2026</t>
        </is>
      </c>
      <c r="B7269" s="1" t="n">
        <v>46043.56841435185</v>
      </c>
      <c r="C7269" s="1" t="n">
        <v>46086</v>
      </c>
      <c r="D7269" t="inlineStr">
        <is>
          <t>GÄVLEBORGS LÄN</t>
        </is>
      </c>
      <c r="E7269" t="inlineStr">
        <is>
          <t>NORDANSTIG</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3788-2026</t>
        </is>
      </c>
      <c r="B7270" s="1" t="n">
        <v>46043.573125</v>
      </c>
      <c r="C7270" s="1" t="n">
        <v>46086</v>
      </c>
      <c r="D7270" t="inlineStr">
        <is>
          <t>GÄVLEBORGS LÄN</t>
        </is>
      </c>
      <c r="E7270" t="inlineStr">
        <is>
          <t>SANDVIKEN</t>
        </is>
      </c>
      <c r="G7270" t="n">
        <v>6.3</v>
      </c>
      <c r="H7270" t="n">
        <v>0</v>
      </c>
      <c r="I7270" t="n">
        <v>0</v>
      </c>
      <c r="J7270" t="n">
        <v>0</v>
      </c>
      <c r="K7270" t="n">
        <v>0</v>
      </c>
      <c r="L7270" t="n">
        <v>0</v>
      </c>
      <c r="M7270" t="n">
        <v>0</v>
      </c>
      <c r="N7270" t="n">
        <v>0</v>
      </c>
      <c r="O7270" t="n">
        <v>0</v>
      </c>
      <c r="P7270" t="n">
        <v>0</v>
      </c>
      <c r="Q7270" t="n">
        <v>0</v>
      </c>
      <c r="R7270" s="2" t="inlineStr"/>
    </row>
    <row r="7271" ht="15" customHeight="1">
      <c r="A7271" t="inlineStr">
        <is>
          <t>A 61093-2025</t>
        </is>
      </c>
      <c r="B7271" s="1" t="n">
        <v>46000.43332175926</v>
      </c>
      <c r="C7271" s="1" t="n">
        <v>46086</v>
      </c>
      <c r="D7271" t="inlineStr">
        <is>
          <t>GÄVLEBORGS LÄN</t>
        </is>
      </c>
      <c r="E7271" t="inlineStr">
        <is>
          <t>GÄVLE</t>
        </is>
      </c>
      <c r="G7271" t="n">
        <v>5.7</v>
      </c>
      <c r="H7271" t="n">
        <v>0</v>
      </c>
      <c r="I7271" t="n">
        <v>0</v>
      </c>
      <c r="J7271" t="n">
        <v>0</v>
      </c>
      <c r="K7271" t="n">
        <v>0</v>
      </c>
      <c r="L7271" t="n">
        <v>0</v>
      </c>
      <c r="M7271" t="n">
        <v>0</v>
      </c>
      <c r="N7271" t="n">
        <v>0</v>
      </c>
      <c r="O7271" t="n">
        <v>0</v>
      </c>
      <c r="P7271" t="n">
        <v>0</v>
      </c>
      <c r="Q7271" t="n">
        <v>0</v>
      </c>
      <c r="R7271" s="2" t="inlineStr"/>
    </row>
    <row r="7272" ht="15" customHeight="1">
      <c r="A7272" t="inlineStr">
        <is>
          <t>A 39430-2024</t>
        </is>
      </c>
      <c r="B7272" s="1" t="n">
        <v>45551.59668981482</v>
      </c>
      <c r="C7272" s="1" t="n">
        <v>46086</v>
      </c>
      <c r="D7272" t="inlineStr">
        <is>
          <t>GÄVLEBORGS LÄN</t>
        </is>
      </c>
      <c r="E7272" t="inlineStr">
        <is>
          <t>OCKELBO</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61234-2025</t>
        </is>
      </c>
      <c r="B7273" s="1" t="n">
        <v>46000.63702546297</v>
      </c>
      <c r="C7273" s="1" t="n">
        <v>46086</v>
      </c>
      <c r="D7273" t="inlineStr">
        <is>
          <t>GÄVLEBORGS LÄN</t>
        </is>
      </c>
      <c r="E7273" t="inlineStr">
        <is>
          <t>LJUSDAL</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23378-2022</t>
        </is>
      </c>
      <c r="B7274" s="1" t="n">
        <v>44720</v>
      </c>
      <c r="C7274" s="1" t="n">
        <v>46086</v>
      </c>
      <c r="D7274" t="inlineStr">
        <is>
          <t>GÄVLEBORGS LÄN</t>
        </is>
      </c>
      <c r="E7274" t="inlineStr">
        <is>
          <t>BOLLNÄS</t>
        </is>
      </c>
      <c r="G7274" t="n">
        <v>5.2</v>
      </c>
      <c r="H7274" t="n">
        <v>0</v>
      </c>
      <c r="I7274" t="n">
        <v>0</v>
      </c>
      <c r="J7274" t="n">
        <v>0</v>
      </c>
      <c r="K7274" t="n">
        <v>0</v>
      </c>
      <c r="L7274" t="n">
        <v>0</v>
      </c>
      <c r="M7274" t="n">
        <v>0</v>
      </c>
      <c r="N7274" t="n">
        <v>0</v>
      </c>
      <c r="O7274" t="n">
        <v>0</v>
      </c>
      <c r="P7274" t="n">
        <v>0</v>
      </c>
      <c r="Q7274" t="n">
        <v>0</v>
      </c>
      <c r="R7274" s="2" t="inlineStr"/>
    </row>
    <row r="7275" ht="15" customHeight="1">
      <c r="A7275" t="inlineStr">
        <is>
          <t>A 11476-2025</t>
        </is>
      </c>
      <c r="B7275" s="1" t="n">
        <v>45726.67202546296</v>
      </c>
      <c r="C7275" s="1" t="n">
        <v>46086</v>
      </c>
      <c r="D7275" t="inlineStr">
        <is>
          <t>GÄVLEBORGS LÄN</t>
        </is>
      </c>
      <c r="E7275" t="inlineStr">
        <is>
          <t>OVANÅKER</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61042-2025</t>
        </is>
      </c>
      <c r="B7276" s="1" t="n">
        <v>46000.27725694444</v>
      </c>
      <c r="C7276" s="1" t="n">
        <v>46086</v>
      </c>
      <c r="D7276" t="inlineStr">
        <is>
          <t>GÄVLEBORGS LÄN</t>
        </is>
      </c>
      <c r="E7276" t="inlineStr">
        <is>
          <t>SÖDERHAMN</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51306-2023</t>
        </is>
      </c>
      <c r="B7277" s="1" t="n">
        <v>45219</v>
      </c>
      <c r="C7277" s="1" t="n">
        <v>46086</v>
      </c>
      <c r="D7277" t="inlineStr">
        <is>
          <t>GÄVLEBORGS LÄN</t>
        </is>
      </c>
      <c r="E7277" t="inlineStr">
        <is>
          <t>BOLLNÄS</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13221-2025</t>
        </is>
      </c>
      <c r="B7278" s="1" t="n">
        <v>45735</v>
      </c>
      <c r="C7278" s="1" t="n">
        <v>46086</v>
      </c>
      <c r="D7278" t="inlineStr">
        <is>
          <t>GÄVLEBORGS LÄN</t>
        </is>
      </c>
      <c r="E7278" t="inlineStr">
        <is>
          <t>SÖDERHAMN</t>
        </is>
      </c>
      <c r="G7278" t="n">
        <v>4.8</v>
      </c>
      <c r="H7278" t="n">
        <v>0</v>
      </c>
      <c r="I7278" t="n">
        <v>0</v>
      </c>
      <c r="J7278" t="n">
        <v>0</v>
      </c>
      <c r="K7278" t="n">
        <v>0</v>
      </c>
      <c r="L7278" t="n">
        <v>0</v>
      </c>
      <c r="M7278" t="n">
        <v>0</v>
      </c>
      <c r="N7278" t="n">
        <v>0</v>
      </c>
      <c r="O7278" t="n">
        <v>0</v>
      </c>
      <c r="P7278" t="n">
        <v>0</v>
      </c>
      <c r="Q7278" t="n">
        <v>0</v>
      </c>
      <c r="R7278" s="2" t="inlineStr"/>
    </row>
    <row r="7279" ht="15" customHeight="1">
      <c r="A7279" t="inlineStr">
        <is>
          <t>A 61298-2025</t>
        </is>
      </c>
      <c r="B7279" s="1" t="n">
        <v>46000.79238425926</v>
      </c>
      <c r="C7279" s="1" t="n">
        <v>46086</v>
      </c>
      <c r="D7279" t="inlineStr">
        <is>
          <t>GÄVLEBORGS LÄN</t>
        </is>
      </c>
      <c r="E7279" t="inlineStr">
        <is>
          <t>SANDVIKEN</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57815-2023</t>
        </is>
      </c>
      <c r="B7280" s="1" t="n">
        <v>45247.34409722222</v>
      </c>
      <c r="C7280" s="1" t="n">
        <v>46086</v>
      </c>
      <c r="D7280" t="inlineStr">
        <is>
          <t>GÄVLEBORGS LÄN</t>
        </is>
      </c>
      <c r="E7280" t="inlineStr">
        <is>
          <t>HUDIKSVALL</t>
        </is>
      </c>
      <c r="F7280" t="inlineStr">
        <is>
          <t>Holmen skog AB</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3833-2024</t>
        </is>
      </c>
      <c r="B7281" s="1" t="n">
        <v>45321</v>
      </c>
      <c r="C7281" s="1" t="n">
        <v>46086</v>
      </c>
      <c r="D7281" t="inlineStr">
        <is>
          <t>GÄVLEBORGS LÄN</t>
        </is>
      </c>
      <c r="E7281" t="inlineStr">
        <is>
          <t>SANDVIKEN</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28236-2025</t>
        </is>
      </c>
      <c r="B7282" s="1" t="n">
        <v>45818.49982638889</v>
      </c>
      <c r="C7282" s="1" t="n">
        <v>46086</v>
      </c>
      <c r="D7282" t="inlineStr">
        <is>
          <t>GÄVLEBORGS LÄN</t>
        </is>
      </c>
      <c r="E7282" t="inlineStr">
        <is>
          <t>NORDANSTIG</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422-2026</t>
        </is>
      </c>
      <c r="B7283" s="1" t="n">
        <v>46028</v>
      </c>
      <c r="C7283" s="1" t="n">
        <v>46086</v>
      </c>
      <c r="D7283" t="inlineStr">
        <is>
          <t>GÄVLEBORGS LÄN</t>
        </is>
      </c>
      <c r="E7283" t="inlineStr">
        <is>
          <t>BOLLNÄS</t>
        </is>
      </c>
      <c r="G7283" t="n">
        <v>4.2</v>
      </c>
      <c r="H7283" t="n">
        <v>0</v>
      </c>
      <c r="I7283" t="n">
        <v>0</v>
      </c>
      <c r="J7283" t="n">
        <v>0</v>
      </c>
      <c r="K7283" t="n">
        <v>0</v>
      </c>
      <c r="L7283" t="n">
        <v>0</v>
      </c>
      <c r="M7283" t="n">
        <v>0</v>
      </c>
      <c r="N7283" t="n">
        <v>0</v>
      </c>
      <c r="O7283" t="n">
        <v>0</v>
      </c>
      <c r="P7283" t="n">
        <v>0</v>
      </c>
      <c r="Q7283" t="n">
        <v>0</v>
      </c>
      <c r="R7283" s="2" t="inlineStr"/>
    </row>
    <row r="7284" ht="15" customHeight="1">
      <c r="A7284" t="inlineStr">
        <is>
          <t>A 61546-2025</t>
        </is>
      </c>
      <c r="B7284" s="1" t="n">
        <v>46001</v>
      </c>
      <c r="C7284" s="1" t="n">
        <v>46086</v>
      </c>
      <c r="D7284" t="inlineStr">
        <is>
          <t>GÄVLEBORGS LÄN</t>
        </is>
      </c>
      <c r="E7284" t="inlineStr">
        <is>
          <t>HUDIKSVALL</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1351-2024</t>
        </is>
      </c>
      <c r="B7285" s="1" t="n">
        <v>45303</v>
      </c>
      <c r="C7285" s="1" t="n">
        <v>46086</v>
      </c>
      <c r="D7285" t="inlineStr">
        <is>
          <t>GÄVLEBORGS LÄN</t>
        </is>
      </c>
      <c r="E7285" t="inlineStr">
        <is>
          <t>NORDANSTIG</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3640-2026</t>
        </is>
      </c>
      <c r="B7286" s="1" t="n">
        <v>46043.35413194444</v>
      </c>
      <c r="C7286" s="1" t="n">
        <v>46086</v>
      </c>
      <c r="D7286" t="inlineStr">
        <is>
          <t>GÄVLEBORGS LÄN</t>
        </is>
      </c>
      <c r="E7286" t="inlineStr">
        <is>
          <t>NORDANSTIG</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1405-2024</t>
        </is>
      </c>
      <c r="B7287" s="1" t="n">
        <v>45303</v>
      </c>
      <c r="C7287" s="1" t="n">
        <v>46086</v>
      </c>
      <c r="D7287" t="inlineStr">
        <is>
          <t>GÄVLEBORGS LÄN</t>
        </is>
      </c>
      <c r="E7287" t="inlineStr">
        <is>
          <t>OVANÅKER</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61043-2025</t>
        </is>
      </c>
      <c r="B7288" s="1" t="n">
        <v>46000.28028935185</v>
      </c>
      <c r="C7288" s="1" t="n">
        <v>46086</v>
      </c>
      <c r="D7288" t="inlineStr">
        <is>
          <t>GÄVLEBORGS LÄN</t>
        </is>
      </c>
      <c r="E7288" t="inlineStr">
        <is>
          <t>BOLLNÄS</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32622-2022</t>
        </is>
      </c>
      <c r="B7289" s="1" t="n">
        <v>44783.45782407407</v>
      </c>
      <c r="C7289" s="1" t="n">
        <v>46086</v>
      </c>
      <c r="D7289" t="inlineStr">
        <is>
          <t>GÄVLEBORGS LÄN</t>
        </is>
      </c>
      <c r="E7289" t="inlineStr">
        <is>
          <t>NORDANSTIG</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61299-2025</t>
        </is>
      </c>
      <c r="B7290" s="1" t="n">
        <v>46000.7947337963</v>
      </c>
      <c r="C7290" s="1" t="n">
        <v>46086</v>
      </c>
      <c r="D7290" t="inlineStr">
        <is>
          <t>GÄVLEBORGS LÄN</t>
        </is>
      </c>
      <c r="E7290" t="inlineStr">
        <is>
          <t>SANDVIKEN</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61303-2025</t>
        </is>
      </c>
      <c r="B7291" s="1" t="n">
        <v>46000.7984375</v>
      </c>
      <c r="C7291" s="1" t="n">
        <v>46086</v>
      </c>
      <c r="D7291" t="inlineStr">
        <is>
          <t>GÄVLEBORGS LÄN</t>
        </is>
      </c>
      <c r="E7291" t="inlineStr">
        <is>
          <t>SANDVIKEN</t>
        </is>
      </c>
      <c r="G7291" t="n">
        <v>0.4</v>
      </c>
      <c r="H7291" t="n">
        <v>0</v>
      </c>
      <c r="I7291" t="n">
        <v>0</v>
      </c>
      <c r="J7291" t="n">
        <v>0</v>
      </c>
      <c r="K7291" t="n">
        <v>0</v>
      </c>
      <c r="L7291" t="n">
        <v>0</v>
      </c>
      <c r="M7291" t="n">
        <v>0</v>
      </c>
      <c r="N7291" t="n">
        <v>0</v>
      </c>
      <c r="O7291" t="n">
        <v>0</v>
      </c>
      <c r="P7291" t="n">
        <v>0</v>
      </c>
      <c r="Q7291" t="n">
        <v>0</v>
      </c>
      <c r="R7291" s="2" t="inlineStr"/>
    </row>
    <row r="7292" ht="15" customHeight="1">
      <c r="A7292" t="inlineStr">
        <is>
          <t>A 16019-2024</t>
        </is>
      </c>
      <c r="B7292" s="1" t="n">
        <v>45405.67047453704</v>
      </c>
      <c r="C7292" s="1" t="n">
        <v>46086</v>
      </c>
      <c r="D7292" t="inlineStr">
        <is>
          <t>GÄVLEBORGS LÄN</t>
        </is>
      </c>
      <c r="E7292" t="inlineStr">
        <is>
          <t>OVANÅKER</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61046-2025</t>
        </is>
      </c>
      <c r="B7293" s="1" t="n">
        <v>46000.30241898148</v>
      </c>
      <c r="C7293" s="1" t="n">
        <v>46086</v>
      </c>
      <c r="D7293" t="inlineStr">
        <is>
          <t>GÄVLEBORGS LÄN</t>
        </is>
      </c>
      <c r="E7293" t="inlineStr">
        <is>
          <t>NORDANSTIG</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58198-2025</t>
        </is>
      </c>
      <c r="B7294" s="1" t="n">
        <v>45984.44184027778</v>
      </c>
      <c r="C7294" s="1" t="n">
        <v>46086</v>
      </c>
      <c r="D7294" t="inlineStr">
        <is>
          <t>GÄVLEBORGS LÄN</t>
        </is>
      </c>
      <c r="E7294" t="inlineStr">
        <is>
          <t>SANDVIKEN</t>
        </is>
      </c>
      <c r="F7294" t="inlineStr">
        <is>
          <t>Bergvik skog öst AB</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61293-2025</t>
        </is>
      </c>
      <c r="B7295" s="1" t="n">
        <v>46000.7875462963</v>
      </c>
      <c r="C7295" s="1" t="n">
        <v>46086</v>
      </c>
      <c r="D7295" t="inlineStr">
        <is>
          <t>GÄVLEBORGS LÄN</t>
        </is>
      </c>
      <c r="E7295" t="inlineStr">
        <is>
          <t>SANDVIKEN</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61184-2025</t>
        </is>
      </c>
      <c r="B7296" s="1" t="n">
        <v>46000.58526620371</v>
      </c>
      <c r="C7296" s="1" t="n">
        <v>46086</v>
      </c>
      <c r="D7296" t="inlineStr">
        <is>
          <t>GÄVLEBORGS LÄN</t>
        </is>
      </c>
      <c r="E7296" t="inlineStr">
        <is>
          <t>LJUSDAL</t>
        </is>
      </c>
      <c r="F7296" t="inlineStr">
        <is>
          <t>Allmännings- och besparingsskogar</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60442-2022</t>
        </is>
      </c>
      <c r="B7297" s="1" t="n">
        <v>44911.36083333333</v>
      </c>
      <c r="C7297" s="1" t="n">
        <v>46086</v>
      </c>
      <c r="D7297" t="inlineStr">
        <is>
          <t>GÄVLEBORGS LÄN</t>
        </is>
      </c>
      <c r="E7297" t="inlineStr">
        <is>
          <t>GÄVLE</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3773-2026</t>
        </is>
      </c>
      <c r="B7298" s="1" t="n">
        <v>46043.56358796296</v>
      </c>
      <c r="C7298" s="1" t="n">
        <v>46086</v>
      </c>
      <c r="D7298" t="inlineStr">
        <is>
          <t>GÄVLEBORGS LÄN</t>
        </is>
      </c>
      <c r="E7298" t="inlineStr">
        <is>
          <t>NORDANSTIG</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62459-2023</t>
        </is>
      </c>
      <c r="B7299" s="1" t="n">
        <v>45268.51590277778</v>
      </c>
      <c r="C7299" s="1" t="n">
        <v>46086</v>
      </c>
      <c r="D7299" t="inlineStr">
        <is>
          <t>GÄVLEBORGS LÄN</t>
        </is>
      </c>
      <c r="E7299" t="inlineStr">
        <is>
          <t>SANDVIKEN</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50281-2024</t>
        </is>
      </c>
      <c r="B7300" s="1" t="n">
        <v>45600.61165509259</v>
      </c>
      <c r="C7300" s="1" t="n">
        <v>46086</v>
      </c>
      <c r="D7300" t="inlineStr">
        <is>
          <t>GÄVLEBORGS LÄN</t>
        </is>
      </c>
      <c r="E7300" t="inlineStr">
        <is>
          <t>SÖDERHAMN</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50314-2024</t>
        </is>
      </c>
      <c r="B7301" s="1" t="n">
        <v>45600.65686342592</v>
      </c>
      <c r="C7301" s="1" t="n">
        <v>46086</v>
      </c>
      <c r="D7301" t="inlineStr">
        <is>
          <t>GÄVLEBORGS LÄN</t>
        </is>
      </c>
      <c r="E7301" t="inlineStr">
        <is>
          <t>GÄVLE</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61369-2025</t>
        </is>
      </c>
      <c r="B7302" s="1" t="n">
        <v>46001.4345949074</v>
      </c>
      <c r="C7302" s="1" t="n">
        <v>46086</v>
      </c>
      <c r="D7302" t="inlineStr">
        <is>
          <t>GÄVLEBORGS LÄN</t>
        </is>
      </c>
      <c r="E7302" t="inlineStr">
        <is>
          <t>LJUSDAL</t>
        </is>
      </c>
      <c r="F7302" t="inlineStr">
        <is>
          <t>Sveaskog</t>
        </is>
      </c>
      <c r="G7302" t="n">
        <v>5.6</v>
      </c>
      <c r="H7302" t="n">
        <v>0</v>
      </c>
      <c r="I7302" t="n">
        <v>0</v>
      </c>
      <c r="J7302" t="n">
        <v>0</v>
      </c>
      <c r="K7302" t="n">
        <v>0</v>
      </c>
      <c r="L7302" t="n">
        <v>0</v>
      </c>
      <c r="M7302" t="n">
        <v>0</v>
      </c>
      <c r="N7302" t="n">
        <v>0</v>
      </c>
      <c r="O7302" t="n">
        <v>0</v>
      </c>
      <c r="P7302" t="n">
        <v>0</v>
      </c>
      <c r="Q7302" t="n">
        <v>0</v>
      </c>
      <c r="R7302" s="2" t="inlineStr"/>
    </row>
    <row r="7303" ht="15" customHeight="1">
      <c r="A7303" t="inlineStr">
        <is>
          <t>A 61416-2025</t>
        </is>
      </c>
      <c r="B7303" s="1" t="n">
        <v>46001.53202546296</v>
      </c>
      <c r="C7303" s="1" t="n">
        <v>46086</v>
      </c>
      <c r="D7303" t="inlineStr">
        <is>
          <t>GÄVLEBORGS LÄN</t>
        </is>
      </c>
      <c r="E7303" t="inlineStr">
        <is>
          <t>SÖDERHAMN</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10101-2025</t>
        </is>
      </c>
      <c r="B7304" s="1" t="n">
        <v>45719.57923611111</v>
      </c>
      <c r="C7304" s="1" t="n">
        <v>46086</v>
      </c>
      <c r="D7304" t="inlineStr">
        <is>
          <t>GÄVLEBORGS LÄN</t>
        </is>
      </c>
      <c r="E7304" t="inlineStr">
        <is>
          <t>OVANÅKER</t>
        </is>
      </c>
      <c r="G7304" t="n">
        <v>5.3</v>
      </c>
      <c r="H7304" t="n">
        <v>0</v>
      </c>
      <c r="I7304" t="n">
        <v>0</v>
      </c>
      <c r="J7304" t="n">
        <v>0</v>
      </c>
      <c r="K7304" t="n">
        <v>0</v>
      </c>
      <c r="L7304" t="n">
        <v>0</v>
      </c>
      <c r="M7304" t="n">
        <v>0</v>
      </c>
      <c r="N7304" t="n">
        <v>0</v>
      </c>
      <c r="O7304" t="n">
        <v>0</v>
      </c>
      <c r="P7304" t="n">
        <v>0</v>
      </c>
      <c r="Q7304" t="n">
        <v>0</v>
      </c>
      <c r="R7304" s="2" t="inlineStr"/>
    </row>
    <row r="7305" ht="15" customHeight="1">
      <c r="A7305" t="inlineStr">
        <is>
          <t>A 61611-2023</t>
        </is>
      </c>
      <c r="B7305" s="1" t="n">
        <v>45265.5184375</v>
      </c>
      <c r="C7305" s="1" t="n">
        <v>46086</v>
      </c>
      <c r="D7305" t="inlineStr">
        <is>
          <t>GÄVLEBORGS LÄN</t>
        </is>
      </c>
      <c r="E7305" t="inlineStr">
        <is>
          <t>HUDIKSVALL</t>
        </is>
      </c>
      <c r="G7305" t="n">
        <v>4.7</v>
      </c>
      <c r="H7305" t="n">
        <v>0</v>
      </c>
      <c r="I7305" t="n">
        <v>0</v>
      </c>
      <c r="J7305" t="n">
        <v>0</v>
      </c>
      <c r="K7305" t="n">
        <v>0</v>
      </c>
      <c r="L7305" t="n">
        <v>0</v>
      </c>
      <c r="M7305" t="n">
        <v>0</v>
      </c>
      <c r="N7305" t="n">
        <v>0</v>
      </c>
      <c r="O7305" t="n">
        <v>0</v>
      </c>
      <c r="P7305" t="n">
        <v>0</v>
      </c>
      <c r="Q7305" t="n">
        <v>0</v>
      </c>
      <c r="R7305" s="2" t="inlineStr"/>
    </row>
    <row r="7306" ht="15" customHeight="1">
      <c r="A7306" t="inlineStr">
        <is>
          <t>A 28237-2025</t>
        </is>
      </c>
      <c r="B7306" s="1" t="n">
        <v>45818.50258101852</v>
      </c>
      <c r="C7306" s="1" t="n">
        <v>46086</v>
      </c>
      <c r="D7306" t="inlineStr">
        <is>
          <t>GÄVLEBORGS LÄN</t>
        </is>
      </c>
      <c r="E7306" t="inlineStr">
        <is>
          <t>NORDANSTIG</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12767-2025</t>
        </is>
      </c>
      <c r="B7307" s="1" t="n">
        <v>45733.57708333333</v>
      </c>
      <c r="C7307" s="1" t="n">
        <v>46086</v>
      </c>
      <c r="D7307" t="inlineStr">
        <is>
          <t>GÄVLEBORGS LÄN</t>
        </is>
      </c>
      <c r="E7307" t="inlineStr">
        <is>
          <t>OCKELBO</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61183-2025</t>
        </is>
      </c>
      <c r="B7308" s="1" t="n">
        <v>46000.58488425926</v>
      </c>
      <c r="C7308" s="1" t="n">
        <v>46086</v>
      </c>
      <c r="D7308" t="inlineStr">
        <is>
          <t>GÄVLEBORGS LÄN</t>
        </is>
      </c>
      <c r="E7308" t="inlineStr">
        <is>
          <t>LJUSDAL</t>
        </is>
      </c>
      <c r="F7308" t="inlineStr">
        <is>
          <t>Allmännings- och besparingsskogar</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61148-2025</t>
        </is>
      </c>
      <c r="B7309" s="1" t="n">
        <v>46000.53678240741</v>
      </c>
      <c r="C7309" s="1" t="n">
        <v>46086</v>
      </c>
      <c r="D7309" t="inlineStr">
        <is>
          <t>GÄVLEBORGS LÄN</t>
        </is>
      </c>
      <c r="E7309" t="inlineStr">
        <is>
          <t>OCKELBO</t>
        </is>
      </c>
      <c r="F7309" t="inlineStr">
        <is>
          <t>Bergvik skog väst AB</t>
        </is>
      </c>
      <c r="G7309" t="n">
        <v>6.2</v>
      </c>
      <c r="H7309" t="n">
        <v>0</v>
      </c>
      <c r="I7309" t="n">
        <v>0</v>
      </c>
      <c r="J7309" t="n">
        <v>0</v>
      </c>
      <c r="K7309" t="n">
        <v>0</v>
      </c>
      <c r="L7309" t="n">
        <v>0</v>
      </c>
      <c r="M7309" t="n">
        <v>0</v>
      </c>
      <c r="N7309" t="n">
        <v>0</v>
      </c>
      <c r="O7309" t="n">
        <v>0</v>
      </c>
      <c r="P7309" t="n">
        <v>0</v>
      </c>
      <c r="Q7309" t="n">
        <v>0</v>
      </c>
      <c r="R7309" s="2" t="inlineStr"/>
    </row>
    <row r="7310" ht="15" customHeight="1">
      <c r="A7310" t="inlineStr">
        <is>
          <t>A 61186-2025</t>
        </is>
      </c>
      <c r="B7310" s="1" t="n">
        <v>46000.58625</v>
      </c>
      <c r="C7310" s="1" t="n">
        <v>46086</v>
      </c>
      <c r="D7310" t="inlineStr">
        <is>
          <t>GÄVLEBORGS LÄN</t>
        </is>
      </c>
      <c r="E7310" t="inlineStr">
        <is>
          <t>HOFORS</t>
        </is>
      </c>
      <c r="G7310" t="n">
        <v>4.2</v>
      </c>
      <c r="H7310" t="n">
        <v>0</v>
      </c>
      <c r="I7310" t="n">
        <v>0</v>
      </c>
      <c r="J7310" t="n">
        <v>0</v>
      </c>
      <c r="K7310" t="n">
        <v>0</v>
      </c>
      <c r="L7310" t="n">
        <v>0</v>
      </c>
      <c r="M7310" t="n">
        <v>0</v>
      </c>
      <c r="N7310" t="n">
        <v>0</v>
      </c>
      <c r="O7310" t="n">
        <v>0</v>
      </c>
      <c r="P7310" t="n">
        <v>0</v>
      </c>
      <c r="Q7310" t="n">
        <v>0</v>
      </c>
      <c r="R7310" s="2" t="inlineStr"/>
    </row>
    <row r="7311" ht="15" customHeight="1">
      <c r="A7311" t="inlineStr">
        <is>
          <t>A 61211-2025</t>
        </is>
      </c>
      <c r="B7311" s="1" t="n">
        <v>46000.61608796296</v>
      </c>
      <c r="C7311" s="1" t="n">
        <v>46086</v>
      </c>
      <c r="D7311" t="inlineStr">
        <is>
          <t>GÄVLEBORGS LÄN</t>
        </is>
      </c>
      <c r="E7311" t="inlineStr">
        <is>
          <t>LJUSDAL</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24238-2025</t>
        </is>
      </c>
      <c r="B7312" s="1" t="n">
        <v>45797</v>
      </c>
      <c r="C7312" s="1" t="n">
        <v>46086</v>
      </c>
      <c r="D7312" t="inlineStr">
        <is>
          <t>GÄVLEBORGS LÄN</t>
        </is>
      </c>
      <c r="E7312" t="inlineStr">
        <is>
          <t>HUDIKSVALL</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24239-2025</t>
        </is>
      </c>
      <c r="B7313" s="1" t="n">
        <v>45797</v>
      </c>
      <c r="C7313" s="1" t="n">
        <v>46086</v>
      </c>
      <c r="D7313" t="inlineStr">
        <is>
          <t>GÄVLEBORGS LÄN</t>
        </is>
      </c>
      <c r="E7313" t="inlineStr">
        <is>
          <t>HUDIKSVALL</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28238-2025</t>
        </is>
      </c>
      <c r="B7314" s="1" t="n">
        <v>45818.50530092593</v>
      </c>
      <c r="C7314" s="1" t="n">
        <v>46086</v>
      </c>
      <c r="D7314" t="inlineStr">
        <is>
          <t>GÄVLEBORGS LÄN</t>
        </is>
      </c>
      <c r="E7314" t="inlineStr">
        <is>
          <t>NORDANSTIG</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24240-2025</t>
        </is>
      </c>
      <c r="B7315" s="1" t="n">
        <v>45797</v>
      </c>
      <c r="C7315" s="1" t="n">
        <v>46086</v>
      </c>
      <c r="D7315" t="inlineStr">
        <is>
          <t>GÄVLEBORGS LÄN</t>
        </is>
      </c>
      <c r="E7315" t="inlineStr">
        <is>
          <t>HUDIKSVALL</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58804-2025</t>
        </is>
      </c>
      <c r="B7316" s="1" t="n">
        <v>45986.96275462963</v>
      </c>
      <c r="C7316" s="1" t="n">
        <v>46086</v>
      </c>
      <c r="D7316" t="inlineStr">
        <is>
          <t>GÄVLEBORGS LÄN</t>
        </is>
      </c>
      <c r="E7316" t="inlineStr">
        <is>
          <t>SANDVIKEN</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59244-2025</t>
        </is>
      </c>
      <c r="B7317" s="1" t="n">
        <v>45988.64549768518</v>
      </c>
      <c r="C7317" s="1" t="n">
        <v>46086</v>
      </c>
      <c r="D7317" t="inlineStr">
        <is>
          <t>GÄVLEBORGS LÄN</t>
        </is>
      </c>
      <c r="E7317" t="inlineStr">
        <is>
          <t>HUDIKSVALL</t>
        </is>
      </c>
      <c r="F7317" t="inlineStr">
        <is>
          <t>Kommuner</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61769-2024</t>
        </is>
      </c>
      <c r="B7318" s="1" t="n">
        <v>45649.45278935185</v>
      </c>
      <c r="C7318" s="1" t="n">
        <v>46086</v>
      </c>
      <c r="D7318" t="inlineStr">
        <is>
          <t>GÄVLEBORGS LÄN</t>
        </is>
      </c>
      <c r="E7318" t="inlineStr">
        <is>
          <t>BOLLNÄS</t>
        </is>
      </c>
      <c r="G7318" t="n">
        <v>6.2</v>
      </c>
      <c r="H7318" t="n">
        <v>0</v>
      </c>
      <c r="I7318" t="n">
        <v>0</v>
      </c>
      <c r="J7318" t="n">
        <v>0</v>
      </c>
      <c r="K7318" t="n">
        <v>0</v>
      </c>
      <c r="L7318" t="n">
        <v>0</v>
      </c>
      <c r="M7318" t="n">
        <v>0</v>
      </c>
      <c r="N7318" t="n">
        <v>0</v>
      </c>
      <c r="O7318" t="n">
        <v>0</v>
      </c>
      <c r="P7318" t="n">
        <v>0</v>
      </c>
      <c r="Q7318" t="n">
        <v>0</v>
      </c>
      <c r="R7318" s="2" t="inlineStr"/>
    </row>
    <row r="7319" ht="15" customHeight="1">
      <c r="A7319" t="inlineStr">
        <is>
          <t>A 61786-2024</t>
        </is>
      </c>
      <c r="B7319" s="1" t="n">
        <v>45649</v>
      </c>
      <c r="C7319" s="1" t="n">
        <v>46086</v>
      </c>
      <c r="D7319" t="inlineStr">
        <is>
          <t>GÄVLEBORGS LÄN</t>
        </is>
      </c>
      <c r="E7319" t="inlineStr">
        <is>
          <t>GÄVLE</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61072-2025</t>
        </is>
      </c>
      <c r="B7320" s="1" t="n">
        <v>46000.39049768518</v>
      </c>
      <c r="C7320" s="1" t="n">
        <v>46086</v>
      </c>
      <c r="D7320" t="inlineStr">
        <is>
          <t>GÄVLEBORGS LÄN</t>
        </is>
      </c>
      <c r="E7320" t="inlineStr">
        <is>
          <t>NORDANSTIG</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61396-2025</t>
        </is>
      </c>
      <c r="B7321" s="1" t="n">
        <v>46001.47506944444</v>
      </c>
      <c r="C7321" s="1" t="n">
        <v>46086</v>
      </c>
      <c r="D7321" t="inlineStr">
        <is>
          <t>GÄVLEBORGS LÄN</t>
        </is>
      </c>
      <c r="E7321" t="inlineStr">
        <is>
          <t>SÖDERHAMN</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3890-2026</t>
        </is>
      </c>
      <c r="B7322" s="1" t="n">
        <v>46043.67476851852</v>
      </c>
      <c r="C7322" s="1" t="n">
        <v>46086</v>
      </c>
      <c r="D7322" t="inlineStr">
        <is>
          <t>GÄVLEBORGS LÄN</t>
        </is>
      </c>
      <c r="E7322" t="inlineStr">
        <is>
          <t>SANDVIKEN</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20264-2024</t>
        </is>
      </c>
      <c r="B7323" s="1" t="n">
        <v>45434.94854166666</v>
      </c>
      <c r="C7323" s="1" t="n">
        <v>46086</v>
      </c>
      <c r="D7323" t="inlineStr">
        <is>
          <t>GÄVLEBORGS LÄN</t>
        </is>
      </c>
      <c r="E7323" t="inlineStr">
        <is>
          <t>OVANÅKER</t>
        </is>
      </c>
      <c r="G7323" t="n">
        <v>5.3</v>
      </c>
      <c r="H7323" t="n">
        <v>0</v>
      </c>
      <c r="I7323" t="n">
        <v>0</v>
      </c>
      <c r="J7323" t="n">
        <v>0</v>
      </c>
      <c r="K7323" t="n">
        <v>0</v>
      </c>
      <c r="L7323" t="n">
        <v>0</v>
      </c>
      <c r="M7323" t="n">
        <v>0</v>
      </c>
      <c r="N7323" t="n">
        <v>0</v>
      </c>
      <c r="O7323" t="n">
        <v>0</v>
      </c>
      <c r="P7323" t="n">
        <v>0</v>
      </c>
      <c r="Q7323" t="n">
        <v>0</v>
      </c>
      <c r="R7323" s="2" t="inlineStr"/>
    </row>
    <row r="7324" ht="15" customHeight="1">
      <c r="A7324" t="inlineStr">
        <is>
          <t>A 3638-2026</t>
        </is>
      </c>
      <c r="B7324" s="1" t="n">
        <v>46043.35054398148</v>
      </c>
      <c r="C7324" s="1" t="n">
        <v>46086</v>
      </c>
      <c r="D7324" t="inlineStr">
        <is>
          <t>GÄVLEBORGS LÄN</t>
        </is>
      </c>
      <c r="E7324" t="inlineStr">
        <is>
          <t>NORDANSTIG</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19034-2023</t>
        </is>
      </c>
      <c r="B7325" s="1" t="n">
        <v>45047.53082175926</v>
      </c>
      <c r="C7325" s="1" t="n">
        <v>46086</v>
      </c>
      <c r="D7325" t="inlineStr">
        <is>
          <t>GÄVLEBORGS LÄN</t>
        </is>
      </c>
      <c r="E7325" t="inlineStr">
        <is>
          <t>LJUSDAL</t>
        </is>
      </c>
      <c r="G7325" t="n">
        <v>0.3</v>
      </c>
      <c r="H7325" t="n">
        <v>0</v>
      </c>
      <c r="I7325" t="n">
        <v>0</v>
      </c>
      <c r="J7325" t="n">
        <v>0</v>
      </c>
      <c r="K7325" t="n">
        <v>0</v>
      </c>
      <c r="L7325" t="n">
        <v>0</v>
      </c>
      <c r="M7325" t="n">
        <v>0</v>
      </c>
      <c r="N7325" t="n">
        <v>0</v>
      </c>
      <c r="O7325" t="n">
        <v>0</v>
      </c>
      <c r="P7325" t="n">
        <v>0</v>
      </c>
      <c r="Q7325" t="n">
        <v>0</v>
      </c>
      <c r="R7325" s="2" t="inlineStr"/>
    </row>
    <row r="7326" ht="15" customHeight="1">
      <c r="A7326" t="inlineStr">
        <is>
          <t>A 58248-2025</t>
        </is>
      </c>
      <c r="B7326" s="1" t="n">
        <v>45985.39344907407</v>
      </c>
      <c r="C7326" s="1" t="n">
        <v>46086</v>
      </c>
      <c r="D7326" t="inlineStr">
        <is>
          <t>GÄVLEBORGS LÄN</t>
        </is>
      </c>
      <c r="E7326" t="inlineStr">
        <is>
          <t>HUDIKSVALL</t>
        </is>
      </c>
      <c r="F7326" t="inlineStr">
        <is>
          <t>Holmen skog AB</t>
        </is>
      </c>
      <c r="G7326" t="n">
        <v>13.3</v>
      </c>
      <c r="H7326" t="n">
        <v>0</v>
      </c>
      <c r="I7326" t="n">
        <v>0</v>
      </c>
      <c r="J7326" t="n">
        <v>0</v>
      </c>
      <c r="K7326" t="n">
        <v>0</v>
      </c>
      <c r="L7326" t="n">
        <v>0</v>
      </c>
      <c r="M7326" t="n">
        <v>0</v>
      </c>
      <c r="N7326" t="n">
        <v>0</v>
      </c>
      <c r="O7326" t="n">
        <v>0</v>
      </c>
      <c r="P7326" t="n">
        <v>0</v>
      </c>
      <c r="Q7326" t="n">
        <v>0</v>
      </c>
      <c r="R7326" s="2" t="inlineStr"/>
    </row>
    <row r="7327" ht="15" customHeight="1">
      <c r="A7327" t="inlineStr">
        <is>
          <t>A 61359-2025</t>
        </is>
      </c>
      <c r="B7327" s="1" t="n">
        <v>46001.41976851852</v>
      </c>
      <c r="C7327" s="1" t="n">
        <v>46086</v>
      </c>
      <c r="D7327" t="inlineStr">
        <is>
          <t>GÄVLEBORGS LÄN</t>
        </is>
      </c>
      <c r="E7327" t="inlineStr">
        <is>
          <t>LJUSDAL</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61364-2025</t>
        </is>
      </c>
      <c r="B7328" s="1" t="n">
        <v>46001.42761574074</v>
      </c>
      <c r="C7328" s="1" t="n">
        <v>46086</v>
      </c>
      <c r="D7328" t="inlineStr">
        <is>
          <t>GÄVLEBORGS LÄN</t>
        </is>
      </c>
      <c r="E7328" t="inlineStr">
        <is>
          <t>LJUSDAL</t>
        </is>
      </c>
      <c r="F7328" t="inlineStr">
        <is>
          <t>SCA</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39208-2024</t>
        </is>
      </c>
      <c r="B7329" s="1" t="n">
        <v>45548.8325462963</v>
      </c>
      <c r="C7329" s="1" t="n">
        <v>46086</v>
      </c>
      <c r="D7329" t="inlineStr">
        <is>
          <t>GÄVLEBORGS LÄN</t>
        </is>
      </c>
      <c r="E7329" t="inlineStr">
        <is>
          <t>SÖDERHAMN</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61343-2025</t>
        </is>
      </c>
      <c r="B7330" s="1" t="n">
        <v>46001.36078703704</v>
      </c>
      <c r="C7330" s="1" t="n">
        <v>46086</v>
      </c>
      <c r="D7330" t="inlineStr">
        <is>
          <t>GÄVLEBORGS LÄN</t>
        </is>
      </c>
      <c r="E7330" t="inlineStr">
        <is>
          <t>HUDIKSVALL</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31175-2024</t>
        </is>
      </c>
      <c r="B7331" s="1" t="n">
        <v>45503</v>
      </c>
      <c r="C7331" s="1" t="n">
        <v>46086</v>
      </c>
      <c r="D7331" t="inlineStr">
        <is>
          <t>GÄVLEBORGS LÄN</t>
        </is>
      </c>
      <c r="E7331" t="inlineStr">
        <is>
          <t>OVANÅKER</t>
        </is>
      </c>
      <c r="F7331" t="inlineStr">
        <is>
          <t>Bergvik skog väst AB</t>
        </is>
      </c>
      <c r="G7331" t="n">
        <v>5</v>
      </c>
      <c r="H7331" t="n">
        <v>0</v>
      </c>
      <c r="I7331" t="n">
        <v>0</v>
      </c>
      <c r="J7331" t="n">
        <v>0</v>
      </c>
      <c r="K7331" t="n">
        <v>0</v>
      </c>
      <c r="L7331" t="n">
        <v>0</v>
      </c>
      <c r="M7331" t="n">
        <v>0</v>
      </c>
      <c r="N7331" t="n">
        <v>0</v>
      </c>
      <c r="O7331" t="n">
        <v>0</v>
      </c>
      <c r="P7331" t="n">
        <v>0</v>
      </c>
      <c r="Q7331" t="n">
        <v>0</v>
      </c>
      <c r="R7331" s="2" t="inlineStr"/>
    </row>
    <row r="7332" ht="15" customHeight="1">
      <c r="A7332" t="inlineStr">
        <is>
          <t>A 61449-2025</t>
        </is>
      </c>
      <c r="B7332" s="1" t="n">
        <v>46001.57627314814</v>
      </c>
      <c r="C7332" s="1" t="n">
        <v>46086</v>
      </c>
      <c r="D7332" t="inlineStr">
        <is>
          <t>GÄVLEBORGS LÄN</t>
        </is>
      </c>
      <c r="E7332" t="inlineStr">
        <is>
          <t>GÄVLE</t>
        </is>
      </c>
      <c r="F7332" t="inlineStr">
        <is>
          <t>Bergvik skog väst AB</t>
        </is>
      </c>
      <c r="G7332" t="n">
        <v>9.300000000000001</v>
      </c>
      <c r="H7332" t="n">
        <v>0</v>
      </c>
      <c r="I7332" t="n">
        <v>0</v>
      </c>
      <c r="J7332" t="n">
        <v>0</v>
      </c>
      <c r="K7332" t="n">
        <v>0</v>
      </c>
      <c r="L7332" t="n">
        <v>0</v>
      </c>
      <c r="M7332" t="n">
        <v>0</v>
      </c>
      <c r="N7332" t="n">
        <v>0</v>
      </c>
      <c r="O7332" t="n">
        <v>0</v>
      </c>
      <c r="P7332" t="n">
        <v>0</v>
      </c>
      <c r="Q7332" t="n">
        <v>0</v>
      </c>
      <c r="R7332" s="2" t="inlineStr"/>
    </row>
    <row r="7333" ht="15" customHeight="1">
      <c r="A7333" t="inlineStr">
        <is>
          <t>A 25415-2022</t>
        </is>
      </c>
      <c r="B7333" s="1" t="n">
        <v>44732.45652777778</v>
      </c>
      <c r="C7333" s="1" t="n">
        <v>46086</v>
      </c>
      <c r="D7333" t="inlineStr">
        <is>
          <t>GÄVLEBORGS LÄN</t>
        </is>
      </c>
      <c r="E7333" t="inlineStr">
        <is>
          <t>LJUSDAL</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21272-2023</t>
        </is>
      </c>
      <c r="B7334" s="1" t="n">
        <v>45062.62559027778</v>
      </c>
      <c r="C7334" s="1" t="n">
        <v>46086</v>
      </c>
      <c r="D7334" t="inlineStr">
        <is>
          <t>GÄVLEBORGS LÄN</t>
        </is>
      </c>
      <c r="E7334" t="inlineStr">
        <is>
          <t>SÖDERHAMN</t>
        </is>
      </c>
      <c r="G7334" t="n">
        <v>3.8</v>
      </c>
      <c r="H7334" t="n">
        <v>0</v>
      </c>
      <c r="I7334" t="n">
        <v>0</v>
      </c>
      <c r="J7334" t="n">
        <v>0</v>
      </c>
      <c r="K7334" t="n">
        <v>0</v>
      </c>
      <c r="L7334" t="n">
        <v>0</v>
      </c>
      <c r="M7334" t="n">
        <v>0</v>
      </c>
      <c r="N7334" t="n">
        <v>0</v>
      </c>
      <c r="O7334" t="n">
        <v>0</v>
      </c>
      <c r="P7334" t="n">
        <v>0</v>
      </c>
      <c r="Q7334" t="n">
        <v>0</v>
      </c>
      <c r="R7334" s="2" t="inlineStr"/>
    </row>
    <row r="7335" ht="15" customHeight="1">
      <c r="A7335" t="inlineStr">
        <is>
          <t>A 43465-2024</t>
        </is>
      </c>
      <c r="B7335" s="1" t="n">
        <v>45568.71283564815</v>
      </c>
      <c r="C7335" s="1" t="n">
        <v>46086</v>
      </c>
      <c r="D7335" t="inlineStr">
        <is>
          <t>GÄVLEBORGS LÄN</t>
        </is>
      </c>
      <c r="E7335" t="inlineStr">
        <is>
          <t>NORDANSTIG</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61020-2025</t>
        </is>
      </c>
      <c r="B7336" s="1" t="n">
        <v>45999.86381944444</v>
      </c>
      <c r="C7336" s="1" t="n">
        <v>46086</v>
      </c>
      <c r="D7336" t="inlineStr">
        <is>
          <t>GÄVLEBORGS LÄN</t>
        </is>
      </c>
      <c r="E7336" t="inlineStr">
        <is>
          <t>SANDVIKEN</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61022-2025</t>
        </is>
      </c>
      <c r="B7337" s="1" t="n">
        <v>45999.86414351852</v>
      </c>
      <c r="C7337" s="1" t="n">
        <v>46086</v>
      </c>
      <c r="D7337" t="inlineStr">
        <is>
          <t>GÄVLEBORGS LÄN</t>
        </is>
      </c>
      <c r="E7337" t="inlineStr">
        <is>
          <t>SANDVIKEN</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61067-2025</t>
        </is>
      </c>
      <c r="B7338" s="1" t="n">
        <v>46000.37758101852</v>
      </c>
      <c r="C7338" s="1" t="n">
        <v>46086</v>
      </c>
      <c r="D7338" t="inlineStr">
        <is>
          <t>GÄVLEBORGS LÄN</t>
        </is>
      </c>
      <c r="E7338" t="inlineStr">
        <is>
          <t>NORDANSTIG</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61077-2025</t>
        </is>
      </c>
      <c r="B7339" s="1" t="n">
        <v>46000.39758101852</v>
      </c>
      <c r="C7339" s="1" t="n">
        <v>46086</v>
      </c>
      <c r="D7339" t="inlineStr">
        <is>
          <t>GÄVLEBORGS LÄN</t>
        </is>
      </c>
      <c r="E7339" t="inlineStr">
        <is>
          <t>LJUSDAL</t>
        </is>
      </c>
      <c r="G7339" t="n">
        <v>7.5</v>
      </c>
      <c r="H7339" t="n">
        <v>0</v>
      </c>
      <c r="I7339" t="n">
        <v>0</v>
      </c>
      <c r="J7339" t="n">
        <v>0</v>
      </c>
      <c r="K7339" t="n">
        <v>0</v>
      </c>
      <c r="L7339" t="n">
        <v>0</v>
      </c>
      <c r="M7339" t="n">
        <v>0</v>
      </c>
      <c r="N7339" t="n">
        <v>0</v>
      </c>
      <c r="O7339" t="n">
        <v>0</v>
      </c>
      <c r="P7339" t="n">
        <v>0</v>
      </c>
      <c r="Q7339" t="n">
        <v>0</v>
      </c>
      <c r="R7339" s="2" t="inlineStr"/>
    </row>
    <row r="7340" ht="15" customHeight="1">
      <c r="A7340" t="inlineStr">
        <is>
          <t>A 45509-2024</t>
        </is>
      </c>
      <c r="B7340" s="1" t="n">
        <v>45578</v>
      </c>
      <c r="C7340" s="1" t="n">
        <v>46086</v>
      </c>
      <c r="D7340" t="inlineStr">
        <is>
          <t>GÄVLEBORGS LÄN</t>
        </is>
      </c>
      <c r="E7340" t="inlineStr">
        <is>
          <t>LJUSDAL</t>
        </is>
      </c>
      <c r="F7340" t="inlineStr">
        <is>
          <t>Naturvårdsverket</t>
        </is>
      </c>
      <c r="G7340" t="n">
        <v>11.9</v>
      </c>
      <c r="H7340" t="n">
        <v>0</v>
      </c>
      <c r="I7340" t="n">
        <v>0</v>
      </c>
      <c r="J7340" t="n">
        <v>0</v>
      </c>
      <c r="K7340" t="n">
        <v>0</v>
      </c>
      <c r="L7340" t="n">
        <v>0</v>
      </c>
      <c r="M7340" t="n">
        <v>0</v>
      </c>
      <c r="N7340" t="n">
        <v>0</v>
      </c>
      <c r="O7340" t="n">
        <v>0</v>
      </c>
      <c r="P7340" t="n">
        <v>0</v>
      </c>
      <c r="Q7340" t="n">
        <v>0</v>
      </c>
      <c r="R7340" s="2" t="inlineStr"/>
    </row>
    <row r="7341" ht="15" customHeight="1">
      <c r="A7341" t="inlineStr">
        <is>
          <t>A 3748-2026</t>
        </is>
      </c>
      <c r="B7341" s="1" t="n">
        <v>46043.54412037037</v>
      </c>
      <c r="C7341" s="1" t="n">
        <v>46086</v>
      </c>
      <c r="D7341" t="inlineStr">
        <is>
          <t>GÄVLEBORGS LÄN</t>
        </is>
      </c>
      <c r="E7341" t="inlineStr">
        <is>
          <t>NORDANSTIG</t>
        </is>
      </c>
      <c r="G7341" t="n">
        <v>7.9</v>
      </c>
      <c r="H7341" t="n">
        <v>0</v>
      </c>
      <c r="I7341" t="n">
        <v>0</v>
      </c>
      <c r="J7341" t="n">
        <v>0</v>
      </c>
      <c r="K7341" t="n">
        <v>0</v>
      </c>
      <c r="L7341" t="n">
        <v>0</v>
      </c>
      <c r="M7341" t="n">
        <v>0</v>
      </c>
      <c r="N7341" t="n">
        <v>0</v>
      </c>
      <c r="O7341" t="n">
        <v>0</v>
      </c>
      <c r="P7341" t="n">
        <v>0</v>
      </c>
      <c r="Q7341" t="n">
        <v>0</v>
      </c>
      <c r="R7341" s="2" t="inlineStr"/>
    </row>
    <row r="7342" ht="15" customHeight="1">
      <c r="A7342" t="inlineStr">
        <is>
          <t>A 35910-2024</t>
        </is>
      </c>
      <c r="B7342" s="1" t="n">
        <v>45533.41340277778</v>
      </c>
      <c r="C7342" s="1" t="n">
        <v>46086</v>
      </c>
      <c r="D7342" t="inlineStr">
        <is>
          <t>GÄVLEBORGS LÄN</t>
        </is>
      </c>
      <c r="E7342" t="inlineStr">
        <is>
          <t>GÄVLE</t>
        </is>
      </c>
      <c r="G7342" t="n">
        <v>4</v>
      </c>
      <c r="H7342" t="n">
        <v>0</v>
      </c>
      <c r="I7342" t="n">
        <v>0</v>
      </c>
      <c r="J7342" t="n">
        <v>0</v>
      </c>
      <c r="K7342" t="n">
        <v>0</v>
      </c>
      <c r="L7342" t="n">
        <v>0</v>
      </c>
      <c r="M7342" t="n">
        <v>0</v>
      </c>
      <c r="N7342" t="n">
        <v>0</v>
      </c>
      <c r="O7342" t="n">
        <v>0</v>
      </c>
      <c r="P7342" t="n">
        <v>0</v>
      </c>
      <c r="Q7342" t="n">
        <v>0</v>
      </c>
      <c r="R7342" s="2" t="inlineStr"/>
    </row>
    <row r="7343" ht="15" customHeight="1">
      <c r="A7343" t="inlineStr">
        <is>
          <t>A 40745-2023</t>
        </is>
      </c>
      <c r="B7343" s="1" t="n">
        <v>45170</v>
      </c>
      <c r="C7343" s="1" t="n">
        <v>46086</v>
      </c>
      <c r="D7343" t="inlineStr">
        <is>
          <t>GÄVLEBORGS LÄN</t>
        </is>
      </c>
      <c r="E7343" t="inlineStr">
        <is>
          <t>SÖDERHAMN</t>
        </is>
      </c>
      <c r="G7343" t="n">
        <v>0.3</v>
      </c>
      <c r="H7343" t="n">
        <v>0</v>
      </c>
      <c r="I7343" t="n">
        <v>0</v>
      </c>
      <c r="J7343" t="n">
        <v>0</v>
      </c>
      <c r="K7343" t="n">
        <v>0</v>
      </c>
      <c r="L7343" t="n">
        <v>0</v>
      </c>
      <c r="M7343" t="n">
        <v>0</v>
      </c>
      <c r="N7343" t="n">
        <v>0</v>
      </c>
      <c r="O7343" t="n">
        <v>0</v>
      </c>
      <c r="P7343" t="n">
        <v>0</v>
      </c>
      <c r="Q7343" t="n">
        <v>0</v>
      </c>
      <c r="R7343" s="2" t="inlineStr"/>
    </row>
    <row r="7344" ht="15" customHeight="1">
      <c r="A7344" t="inlineStr">
        <is>
          <t>A 48267-2023</t>
        </is>
      </c>
      <c r="B7344" s="1" t="n">
        <v>45205.54505787037</v>
      </c>
      <c r="C7344" s="1" t="n">
        <v>46086</v>
      </c>
      <c r="D7344" t="inlineStr">
        <is>
          <t>GÄVLEBORGS LÄN</t>
        </is>
      </c>
      <c r="E7344" t="inlineStr">
        <is>
          <t>OVANÅKER</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19177-2024</t>
        </is>
      </c>
      <c r="B7345" s="1" t="n">
        <v>45428.47560185185</v>
      </c>
      <c r="C7345" s="1" t="n">
        <v>46086</v>
      </c>
      <c r="D7345" t="inlineStr">
        <is>
          <t>GÄVLEBORGS LÄN</t>
        </is>
      </c>
      <c r="E7345" t="inlineStr">
        <is>
          <t>OVANÅKER</t>
        </is>
      </c>
      <c r="G7345" t="n">
        <v>0.1</v>
      </c>
      <c r="H7345" t="n">
        <v>0</v>
      </c>
      <c r="I7345" t="n">
        <v>0</v>
      </c>
      <c r="J7345" t="n">
        <v>0</v>
      </c>
      <c r="K7345" t="n">
        <v>0</v>
      </c>
      <c r="L7345" t="n">
        <v>0</v>
      </c>
      <c r="M7345" t="n">
        <v>0</v>
      </c>
      <c r="N7345" t="n">
        <v>0</v>
      </c>
      <c r="O7345" t="n">
        <v>0</v>
      </c>
      <c r="P7345" t="n">
        <v>0</v>
      </c>
      <c r="Q7345" t="n">
        <v>0</v>
      </c>
      <c r="R7345" s="2" t="inlineStr"/>
    </row>
    <row r="7346" ht="15" customHeight="1">
      <c r="A7346" t="inlineStr">
        <is>
          <t>A 40097-2024</t>
        </is>
      </c>
      <c r="B7346" s="1" t="n">
        <v>45554.41347222222</v>
      </c>
      <c r="C7346" s="1" t="n">
        <v>46086</v>
      </c>
      <c r="D7346" t="inlineStr">
        <is>
          <t>GÄVLEBORGS LÄN</t>
        </is>
      </c>
      <c r="E7346" t="inlineStr">
        <is>
          <t>SÖDERHAMN</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4474-2026</t>
        </is>
      </c>
      <c r="B7347" s="1" t="n">
        <v>46045.66162037037</v>
      </c>
      <c r="C7347" s="1" t="n">
        <v>46086</v>
      </c>
      <c r="D7347" t="inlineStr">
        <is>
          <t>GÄVLEBORGS LÄN</t>
        </is>
      </c>
      <c r="E7347" t="inlineStr">
        <is>
          <t>HUDIKSVALL</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61871-2025</t>
        </is>
      </c>
      <c r="B7348" s="1" t="n">
        <v>46003.39693287037</v>
      </c>
      <c r="C7348" s="1" t="n">
        <v>46086</v>
      </c>
      <c r="D7348" t="inlineStr">
        <is>
          <t>GÄVLEBORGS LÄN</t>
        </is>
      </c>
      <c r="E7348" t="inlineStr">
        <is>
          <t>NORDANSTIG</t>
        </is>
      </c>
      <c r="G7348" t="n">
        <v>5.4</v>
      </c>
      <c r="H7348" t="n">
        <v>0</v>
      </c>
      <c r="I7348" t="n">
        <v>0</v>
      </c>
      <c r="J7348" t="n">
        <v>0</v>
      </c>
      <c r="K7348" t="n">
        <v>0</v>
      </c>
      <c r="L7348" t="n">
        <v>0</v>
      </c>
      <c r="M7348" t="n">
        <v>0</v>
      </c>
      <c r="N7348" t="n">
        <v>0</v>
      </c>
      <c r="O7348" t="n">
        <v>0</v>
      </c>
      <c r="P7348" t="n">
        <v>0</v>
      </c>
      <c r="Q7348" t="n">
        <v>0</v>
      </c>
      <c r="R7348" s="2" t="inlineStr"/>
    </row>
    <row r="7349" ht="15" customHeight="1">
      <c r="A7349" t="inlineStr">
        <is>
          <t>A 52125-2024</t>
        </is>
      </c>
      <c r="B7349" s="1" t="n">
        <v>45608.46461805556</v>
      </c>
      <c r="C7349" s="1" t="n">
        <v>46086</v>
      </c>
      <c r="D7349" t="inlineStr">
        <is>
          <t>GÄVLEBORGS LÄN</t>
        </is>
      </c>
      <c r="E7349" t="inlineStr">
        <is>
          <t>OCKELBO</t>
        </is>
      </c>
      <c r="G7349" t="n">
        <v>8.5</v>
      </c>
      <c r="H7349" t="n">
        <v>0</v>
      </c>
      <c r="I7349" t="n">
        <v>0</v>
      </c>
      <c r="J7349" t="n">
        <v>0</v>
      </c>
      <c r="K7349" t="n">
        <v>0</v>
      </c>
      <c r="L7349" t="n">
        <v>0</v>
      </c>
      <c r="M7349" t="n">
        <v>0</v>
      </c>
      <c r="N7349" t="n">
        <v>0</v>
      </c>
      <c r="O7349" t="n">
        <v>0</v>
      </c>
      <c r="P7349" t="n">
        <v>0</v>
      </c>
      <c r="Q7349" t="n">
        <v>0</v>
      </c>
      <c r="R7349" s="2" t="inlineStr"/>
    </row>
    <row r="7350" ht="15" customHeight="1">
      <c r="A7350" t="inlineStr">
        <is>
          <t>A 4118-2026</t>
        </is>
      </c>
      <c r="B7350" s="1" t="n">
        <v>46044.60738425926</v>
      </c>
      <c r="C7350" s="1" t="n">
        <v>46086</v>
      </c>
      <c r="D7350" t="inlineStr">
        <is>
          <t>GÄVLEBORGS LÄN</t>
        </is>
      </c>
      <c r="E7350" t="inlineStr">
        <is>
          <t>OVANÅKER</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54237-2021</t>
        </is>
      </c>
      <c r="B7351" s="1" t="n">
        <v>44470.63472222222</v>
      </c>
      <c r="C7351" s="1" t="n">
        <v>46086</v>
      </c>
      <c r="D7351" t="inlineStr">
        <is>
          <t>GÄVLEBORGS LÄN</t>
        </is>
      </c>
      <c r="E7351" t="inlineStr">
        <is>
          <t>LJUSDAL</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4405-2026</t>
        </is>
      </c>
      <c r="B7352" s="1" t="n">
        <v>46045.59339120371</v>
      </c>
      <c r="C7352" s="1" t="n">
        <v>46086</v>
      </c>
      <c r="D7352" t="inlineStr">
        <is>
          <t>GÄVLEBORGS LÄN</t>
        </is>
      </c>
      <c r="E7352" t="inlineStr">
        <is>
          <t>HUDIKSVALL</t>
        </is>
      </c>
      <c r="G7352" t="n">
        <v>3.4</v>
      </c>
      <c r="H7352" t="n">
        <v>0</v>
      </c>
      <c r="I7352" t="n">
        <v>0</v>
      </c>
      <c r="J7352" t="n">
        <v>0</v>
      </c>
      <c r="K7352" t="n">
        <v>0</v>
      </c>
      <c r="L7352" t="n">
        <v>0</v>
      </c>
      <c r="M7352" t="n">
        <v>0</v>
      </c>
      <c r="N7352" t="n">
        <v>0</v>
      </c>
      <c r="O7352" t="n">
        <v>0</v>
      </c>
      <c r="P7352" t="n">
        <v>0</v>
      </c>
      <c r="Q7352" t="n">
        <v>0</v>
      </c>
      <c r="R7352" s="2" t="inlineStr"/>
    </row>
    <row r="7353" ht="15" customHeight="1">
      <c r="A7353" t="inlineStr">
        <is>
          <t>A 4429-2026</t>
        </is>
      </c>
      <c r="B7353" s="1" t="n">
        <v>46045.61944444444</v>
      </c>
      <c r="C7353" s="1" t="n">
        <v>46086</v>
      </c>
      <c r="D7353" t="inlineStr">
        <is>
          <t>GÄVLEBORGS LÄN</t>
        </is>
      </c>
      <c r="E7353" t="inlineStr">
        <is>
          <t>BOLLNÄS</t>
        </is>
      </c>
      <c r="G7353" t="n">
        <v>6.8</v>
      </c>
      <c r="H7353" t="n">
        <v>0</v>
      </c>
      <c r="I7353" t="n">
        <v>0</v>
      </c>
      <c r="J7353" t="n">
        <v>0</v>
      </c>
      <c r="K7353" t="n">
        <v>0</v>
      </c>
      <c r="L7353" t="n">
        <v>0</v>
      </c>
      <c r="M7353" t="n">
        <v>0</v>
      </c>
      <c r="N7353" t="n">
        <v>0</v>
      </c>
      <c r="O7353" t="n">
        <v>0</v>
      </c>
      <c r="P7353" t="n">
        <v>0</v>
      </c>
      <c r="Q7353" t="n">
        <v>0</v>
      </c>
      <c r="R7353" s="2" t="inlineStr"/>
    </row>
    <row r="7354" ht="15" customHeight="1">
      <c r="A7354" t="inlineStr">
        <is>
          <t>A 38298-2024</t>
        </is>
      </c>
      <c r="B7354" s="1" t="n">
        <v>45545</v>
      </c>
      <c r="C7354" s="1" t="n">
        <v>46086</v>
      </c>
      <c r="D7354" t="inlineStr">
        <is>
          <t>GÄVLEBORGS LÄN</t>
        </is>
      </c>
      <c r="E7354" t="inlineStr">
        <is>
          <t>NORDANSTIG</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4447-2026</t>
        </is>
      </c>
      <c r="B7355" s="1" t="n">
        <v>46045.63887731481</v>
      </c>
      <c r="C7355" s="1" t="n">
        <v>46086</v>
      </c>
      <c r="D7355" t="inlineStr">
        <is>
          <t>GÄVLEBORGS LÄN</t>
        </is>
      </c>
      <c r="E7355" t="inlineStr">
        <is>
          <t>BOLLNÄS</t>
        </is>
      </c>
      <c r="G7355" t="n">
        <v>3.9</v>
      </c>
      <c r="H7355" t="n">
        <v>0</v>
      </c>
      <c r="I7355" t="n">
        <v>0</v>
      </c>
      <c r="J7355" t="n">
        <v>0</v>
      </c>
      <c r="K7355" t="n">
        <v>0</v>
      </c>
      <c r="L7355" t="n">
        <v>0</v>
      </c>
      <c r="M7355" t="n">
        <v>0</v>
      </c>
      <c r="N7355" t="n">
        <v>0</v>
      </c>
      <c r="O7355" t="n">
        <v>0</v>
      </c>
      <c r="P7355" t="n">
        <v>0</v>
      </c>
      <c r="Q7355" t="n">
        <v>0</v>
      </c>
      <c r="R7355" s="2" t="inlineStr"/>
    </row>
    <row r="7356" ht="15" customHeight="1">
      <c r="A7356" t="inlineStr">
        <is>
          <t>A 36464-2024</t>
        </is>
      </c>
      <c r="B7356" s="1" t="n">
        <v>45537.35846064815</v>
      </c>
      <c r="C7356" s="1" t="n">
        <v>46086</v>
      </c>
      <c r="D7356" t="inlineStr">
        <is>
          <t>GÄVLEBORGS LÄN</t>
        </is>
      </c>
      <c r="E7356" t="inlineStr">
        <is>
          <t>NORDANSTIG</t>
        </is>
      </c>
      <c r="F7356" t="inlineStr">
        <is>
          <t>SCA</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61880-2025</t>
        </is>
      </c>
      <c r="B7357" s="1" t="n">
        <v>46003.41349537037</v>
      </c>
      <c r="C7357" s="1" t="n">
        <v>46086</v>
      </c>
      <c r="D7357" t="inlineStr">
        <is>
          <t>GÄVLEBORGS LÄN</t>
        </is>
      </c>
      <c r="E7357" t="inlineStr">
        <is>
          <t>GÄVLE</t>
        </is>
      </c>
      <c r="F7357" t="inlineStr">
        <is>
          <t>Bergvik skog öst AB</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14472-2024</t>
        </is>
      </c>
      <c r="B7358" s="1" t="n">
        <v>45394.55886574074</v>
      </c>
      <c r="C7358" s="1" t="n">
        <v>46086</v>
      </c>
      <c r="D7358" t="inlineStr">
        <is>
          <t>GÄVLEBORGS LÄN</t>
        </is>
      </c>
      <c r="E7358" t="inlineStr">
        <is>
          <t>SÖDERHAMN</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4008-2026</t>
        </is>
      </c>
      <c r="B7359" s="1" t="n">
        <v>46044.40581018518</v>
      </c>
      <c r="C7359" s="1" t="n">
        <v>46086</v>
      </c>
      <c r="D7359" t="inlineStr">
        <is>
          <t>GÄVLEBORGS LÄN</t>
        </is>
      </c>
      <c r="E7359" t="inlineStr">
        <is>
          <t>OCKELBO</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4266-2026</t>
        </is>
      </c>
      <c r="B7360" s="1" t="n">
        <v>46045.34702546296</v>
      </c>
      <c r="C7360" s="1" t="n">
        <v>46086</v>
      </c>
      <c r="D7360" t="inlineStr">
        <is>
          <t>GÄVLEBORGS LÄN</t>
        </is>
      </c>
      <c r="E7360" t="inlineStr">
        <is>
          <t>BOLLNÄS</t>
        </is>
      </c>
      <c r="G7360" t="n">
        <v>3</v>
      </c>
      <c r="H7360" t="n">
        <v>0</v>
      </c>
      <c r="I7360" t="n">
        <v>0</v>
      </c>
      <c r="J7360" t="n">
        <v>0</v>
      </c>
      <c r="K7360" t="n">
        <v>0</v>
      </c>
      <c r="L7360" t="n">
        <v>0</v>
      </c>
      <c r="M7360" t="n">
        <v>0</v>
      </c>
      <c r="N7360" t="n">
        <v>0</v>
      </c>
      <c r="O7360" t="n">
        <v>0</v>
      </c>
      <c r="P7360" t="n">
        <v>0</v>
      </c>
      <c r="Q7360" t="n">
        <v>0</v>
      </c>
      <c r="R7360" s="2" t="inlineStr"/>
    </row>
    <row r="7361" ht="15" customHeight="1">
      <c r="A7361" t="inlineStr">
        <is>
          <t>A 63145-2023</t>
        </is>
      </c>
      <c r="B7361" s="1" t="n">
        <v>45273</v>
      </c>
      <c r="C7361" s="1" t="n">
        <v>46086</v>
      </c>
      <c r="D7361" t="inlineStr">
        <is>
          <t>GÄVLEBORGS LÄN</t>
        </is>
      </c>
      <c r="E7361" t="inlineStr">
        <is>
          <t>NORDANSTIG</t>
        </is>
      </c>
      <c r="F7361" t="inlineStr">
        <is>
          <t>Holmen skog AB</t>
        </is>
      </c>
      <c r="G7361" t="n">
        <v>0.3</v>
      </c>
      <c r="H7361" t="n">
        <v>0</v>
      </c>
      <c r="I7361" t="n">
        <v>0</v>
      </c>
      <c r="J7361" t="n">
        <v>0</v>
      </c>
      <c r="K7361" t="n">
        <v>0</v>
      </c>
      <c r="L7361" t="n">
        <v>0</v>
      </c>
      <c r="M7361" t="n">
        <v>0</v>
      </c>
      <c r="N7361" t="n">
        <v>0</v>
      </c>
      <c r="O7361" t="n">
        <v>0</v>
      </c>
      <c r="P7361" t="n">
        <v>0</v>
      </c>
      <c r="Q7361" t="n">
        <v>0</v>
      </c>
      <c r="R7361" s="2" t="inlineStr"/>
    </row>
    <row r="7362" ht="15" customHeight="1">
      <c r="A7362" t="inlineStr">
        <is>
          <t>A 4239-2026</t>
        </is>
      </c>
      <c r="B7362" s="1" t="n">
        <v>46045.25251157407</v>
      </c>
      <c r="C7362" s="1" t="n">
        <v>46086</v>
      </c>
      <c r="D7362" t="inlineStr">
        <is>
          <t>GÄVLEBORGS LÄN</t>
        </is>
      </c>
      <c r="E7362" t="inlineStr">
        <is>
          <t>BOLLNÄS</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4300-2026</t>
        </is>
      </c>
      <c r="B7363" s="1" t="n">
        <v>46045.425625</v>
      </c>
      <c r="C7363" s="1" t="n">
        <v>46086</v>
      </c>
      <c r="D7363" t="inlineStr">
        <is>
          <t>GÄVLEBORGS LÄN</t>
        </is>
      </c>
      <c r="E7363" t="inlineStr">
        <is>
          <t>BOLLNÄS</t>
        </is>
      </c>
      <c r="G7363" t="n">
        <v>8.699999999999999</v>
      </c>
      <c r="H7363" t="n">
        <v>0</v>
      </c>
      <c r="I7363" t="n">
        <v>0</v>
      </c>
      <c r="J7363" t="n">
        <v>0</v>
      </c>
      <c r="K7363" t="n">
        <v>0</v>
      </c>
      <c r="L7363" t="n">
        <v>0</v>
      </c>
      <c r="M7363" t="n">
        <v>0</v>
      </c>
      <c r="N7363" t="n">
        <v>0</v>
      </c>
      <c r="O7363" t="n">
        <v>0</v>
      </c>
      <c r="P7363" t="n">
        <v>0</v>
      </c>
      <c r="Q7363" t="n">
        <v>0</v>
      </c>
      <c r="R7363" s="2" t="inlineStr"/>
    </row>
    <row r="7364" ht="15" customHeight="1">
      <c r="A7364" t="inlineStr">
        <is>
          <t>A 61835-2025</t>
        </is>
      </c>
      <c r="B7364" s="1" t="n">
        <v>46003.34667824074</v>
      </c>
      <c r="C7364" s="1" t="n">
        <v>46086</v>
      </c>
      <c r="D7364" t="inlineStr">
        <is>
          <t>GÄVLEBORGS LÄN</t>
        </is>
      </c>
      <c r="E7364" t="inlineStr">
        <is>
          <t>BOLLNÄS</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61842-2025</t>
        </is>
      </c>
      <c r="B7365" s="1" t="n">
        <v>46003.36434027777</v>
      </c>
      <c r="C7365" s="1" t="n">
        <v>46086</v>
      </c>
      <c r="D7365" t="inlineStr">
        <is>
          <t>GÄVLEBORGS LÄN</t>
        </is>
      </c>
      <c r="E7365" t="inlineStr">
        <is>
          <t>OCKELBO</t>
        </is>
      </c>
      <c r="F7365" t="inlineStr">
        <is>
          <t>Bergvik skog väst AB</t>
        </is>
      </c>
      <c r="G7365" t="n">
        <v>5.7</v>
      </c>
      <c r="H7365" t="n">
        <v>0</v>
      </c>
      <c r="I7365" t="n">
        <v>0</v>
      </c>
      <c r="J7365" t="n">
        <v>0</v>
      </c>
      <c r="K7365" t="n">
        <v>0</v>
      </c>
      <c r="L7365" t="n">
        <v>0</v>
      </c>
      <c r="M7365" t="n">
        <v>0</v>
      </c>
      <c r="N7365" t="n">
        <v>0</v>
      </c>
      <c r="O7365" t="n">
        <v>0</v>
      </c>
      <c r="P7365" t="n">
        <v>0</v>
      </c>
      <c r="Q7365" t="n">
        <v>0</v>
      </c>
      <c r="R7365" s="2" t="inlineStr"/>
    </row>
    <row r="7366" ht="15" customHeight="1">
      <c r="A7366" t="inlineStr">
        <is>
          <t>A 599-2023</t>
        </is>
      </c>
      <c r="B7366" s="1" t="n">
        <v>44930.56699074074</v>
      </c>
      <c r="C7366" s="1" t="n">
        <v>46086</v>
      </c>
      <c r="D7366" t="inlineStr">
        <is>
          <t>GÄVLEBORGS LÄN</t>
        </is>
      </c>
      <c r="E7366" t="inlineStr">
        <is>
          <t>LJUSDAL</t>
        </is>
      </c>
      <c r="F7366" t="inlineStr">
        <is>
          <t>Holmen skog AB</t>
        </is>
      </c>
      <c r="G7366" t="n">
        <v>7.9</v>
      </c>
      <c r="H7366" t="n">
        <v>0</v>
      </c>
      <c r="I7366" t="n">
        <v>0</v>
      </c>
      <c r="J7366" t="n">
        <v>0</v>
      </c>
      <c r="K7366" t="n">
        <v>0</v>
      </c>
      <c r="L7366" t="n">
        <v>0</v>
      </c>
      <c r="M7366" t="n">
        <v>0</v>
      </c>
      <c r="N7366" t="n">
        <v>0</v>
      </c>
      <c r="O7366" t="n">
        <v>0</v>
      </c>
      <c r="P7366" t="n">
        <v>0</v>
      </c>
      <c r="Q7366" t="n">
        <v>0</v>
      </c>
      <c r="R7366" s="2" t="inlineStr"/>
    </row>
    <row r="7367" ht="15" customHeight="1">
      <c r="A7367" t="inlineStr">
        <is>
          <t>A 3999-2026</t>
        </is>
      </c>
      <c r="B7367" s="1" t="n">
        <v>46044.3909375</v>
      </c>
      <c r="C7367" s="1" t="n">
        <v>46086</v>
      </c>
      <c r="D7367" t="inlineStr">
        <is>
          <t>GÄVLEBORGS LÄN</t>
        </is>
      </c>
      <c r="E7367" t="inlineStr">
        <is>
          <t>OCKELBO</t>
        </is>
      </c>
      <c r="G7367" t="n">
        <v>5.7</v>
      </c>
      <c r="H7367" t="n">
        <v>0</v>
      </c>
      <c r="I7367" t="n">
        <v>0</v>
      </c>
      <c r="J7367" t="n">
        <v>0</v>
      </c>
      <c r="K7367" t="n">
        <v>0</v>
      </c>
      <c r="L7367" t="n">
        <v>0</v>
      </c>
      <c r="M7367" t="n">
        <v>0</v>
      </c>
      <c r="N7367" t="n">
        <v>0</v>
      </c>
      <c r="O7367" t="n">
        <v>0</v>
      </c>
      <c r="P7367" t="n">
        <v>0</v>
      </c>
      <c r="Q7367" t="n">
        <v>0</v>
      </c>
      <c r="R7367" s="2" t="inlineStr"/>
    </row>
    <row r="7368" ht="15" customHeight="1">
      <c r="A7368" t="inlineStr">
        <is>
          <t>A 44905-2024</t>
        </is>
      </c>
      <c r="B7368" s="1" t="n">
        <v>45575.38402777778</v>
      </c>
      <c r="C7368" s="1" t="n">
        <v>46086</v>
      </c>
      <c r="D7368" t="inlineStr">
        <is>
          <t>GÄVLEBORGS LÄN</t>
        </is>
      </c>
      <c r="E7368" t="inlineStr">
        <is>
          <t>OVANÅKER</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4512-2026</t>
        </is>
      </c>
      <c r="B7369" s="1" t="n">
        <v>46045.8167824074</v>
      </c>
      <c r="C7369" s="1" t="n">
        <v>46086</v>
      </c>
      <c r="D7369" t="inlineStr">
        <is>
          <t>GÄVLEBORGS LÄN</t>
        </is>
      </c>
      <c r="E7369" t="inlineStr">
        <is>
          <t>SANDVIKEN</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17394-2022</t>
        </is>
      </c>
      <c r="B7370" s="1" t="n">
        <v>44678.68134259259</v>
      </c>
      <c r="C7370" s="1" t="n">
        <v>46086</v>
      </c>
      <c r="D7370" t="inlineStr">
        <is>
          <t>GÄVLEBORGS LÄN</t>
        </is>
      </c>
      <c r="E7370" t="inlineStr">
        <is>
          <t>BOLLNÄS</t>
        </is>
      </c>
      <c r="G7370" t="n">
        <v>4.8</v>
      </c>
      <c r="H7370" t="n">
        <v>0</v>
      </c>
      <c r="I7370" t="n">
        <v>0</v>
      </c>
      <c r="J7370" t="n">
        <v>0</v>
      </c>
      <c r="K7370" t="n">
        <v>0</v>
      </c>
      <c r="L7370" t="n">
        <v>0</v>
      </c>
      <c r="M7370" t="n">
        <v>0</v>
      </c>
      <c r="N7370" t="n">
        <v>0</v>
      </c>
      <c r="O7370" t="n">
        <v>0</v>
      </c>
      <c r="P7370" t="n">
        <v>0</v>
      </c>
      <c r="Q7370" t="n">
        <v>0</v>
      </c>
      <c r="R7370" s="2" t="inlineStr"/>
    </row>
    <row r="7371" ht="15" customHeight="1">
      <c r="A7371" t="inlineStr">
        <is>
          <t>A 36553-2021</t>
        </is>
      </c>
      <c r="B7371" s="1" t="n">
        <v>44391</v>
      </c>
      <c r="C7371" s="1" t="n">
        <v>46086</v>
      </c>
      <c r="D7371" t="inlineStr">
        <is>
          <t>GÄVLEBORGS LÄN</t>
        </is>
      </c>
      <c r="E7371" t="inlineStr">
        <is>
          <t>OCKELBO</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36568-2021</t>
        </is>
      </c>
      <c r="B7372" s="1" t="n">
        <v>44391</v>
      </c>
      <c r="C7372" s="1" t="n">
        <v>46086</v>
      </c>
      <c r="D7372" t="inlineStr">
        <is>
          <t>GÄVLEBORGS LÄN</t>
        </is>
      </c>
      <c r="E7372" t="inlineStr">
        <is>
          <t>LJUSDAL</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4379-2026</t>
        </is>
      </c>
      <c r="B7373" s="1" t="n">
        <v>46045.55734953703</v>
      </c>
      <c r="C7373" s="1" t="n">
        <v>46086</v>
      </c>
      <c r="D7373" t="inlineStr">
        <is>
          <t>GÄVLEBORGS LÄN</t>
        </is>
      </c>
      <c r="E7373" t="inlineStr">
        <is>
          <t>BOLLNÄS</t>
        </is>
      </c>
      <c r="G7373" t="n">
        <v>7.9</v>
      </c>
      <c r="H7373" t="n">
        <v>0</v>
      </c>
      <c r="I7373" t="n">
        <v>0</v>
      </c>
      <c r="J7373" t="n">
        <v>0</v>
      </c>
      <c r="K7373" t="n">
        <v>0</v>
      </c>
      <c r="L7373" t="n">
        <v>0</v>
      </c>
      <c r="M7373" t="n">
        <v>0</v>
      </c>
      <c r="N7373" t="n">
        <v>0</v>
      </c>
      <c r="O7373" t="n">
        <v>0</v>
      </c>
      <c r="P7373" t="n">
        <v>0</v>
      </c>
      <c r="Q7373" t="n">
        <v>0</v>
      </c>
      <c r="R7373" s="2" t="inlineStr"/>
    </row>
    <row r="7374" ht="15" customHeight="1">
      <c r="A7374" t="inlineStr">
        <is>
          <t>A 4387-2026</t>
        </is>
      </c>
      <c r="B7374" s="1" t="n">
        <v>46045.56642361111</v>
      </c>
      <c r="C7374" s="1" t="n">
        <v>46086</v>
      </c>
      <c r="D7374" t="inlineStr">
        <is>
          <t>GÄVLEBORGS LÄN</t>
        </is>
      </c>
      <c r="E7374" t="inlineStr">
        <is>
          <t>HUDIKSVALL</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43644-2024</t>
        </is>
      </c>
      <c r="B7375" s="1" t="n">
        <v>45569.51555555555</v>
      </c>
      <c r="C7375" s="1" t="n">
        <v>46086</v>
      </c>
      <c r="D7375" t="inlineStr">
        <is>
          <t>GÄVLEBORGS LÄN</t>
        </is>
      </c>
      <c r="E7375" t="inlineStr">
        <is>
          <t>HUDIKSVALL</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39540-2024</t>
        </is>
      </c>
      <c r="B7376" s="1" t="n">
        <v>45551.92954861111</v>
      </c>
      <c r="C7376" s="1" t="n">
        <v>46086</v>
      </c>
      <c r="D7376" t="inlineStr">
        <is>
          <t>GÄVLEBORGS LÄN</t>
        </is>
      </c>
      <c r="E7376" t="inlineStr">
        <is>
          <t>OVANÅKER</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18887-2023</t>
        </is>
      </c>
      <c r="B7377" s="1" t="n">
        <v>45044.53711805555</v>
      </c>
      <c r="C7377" s="1" t="n">
        <v>46086</v>
      </c>
      <c r="D7377" t="inlineStr">
        <is>
          <t>GÄVLEBORGS LÄN</t>
        </is>
      </c>
      <c r="E7377" t="inlineStr">
        <is>
          <t>HUDIKSVALL</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2010-2023</t>
        </is>
      </c>
      <c r="B7378" s="1" t="n">
        <v>44939</v>
      </c>
      <c r="C7378" s="1" t="n">
        <v>46086</v>
      </c>
      <c r="D7378" t="inlineStr">
        <is>
          <t>GÄVLEBORGS LÄN</t>
        </is>
      </c>
      <c r="E7378" t="inlineStr">
        <is>
          <t>HUDIKSVALL</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4356-2026</t>
        </is>
      </c>
      <c r="B7379" s="1" t="n">
        <v>46045.53640046297</v>
      </c>
      <c r="C7379" s="1" t="n">
        <v>46086</v>
      </c>
      <c r="D7379" t="inlineStr">
        <is>
          <t>GÄVLEBORGS LÄN</t>
        </is>
      </c>
      <c r="E7379" t="inlineStr">
        <is>
          <t>SÖDERHAMN</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3985-2026</t>
        </is>
      </c>
      <c r="B7380" s="1" t="n">
        <v>46044.37353009259</v>
      </c>
      <c r="C7380" s="1" t="n">
        <v>46086</v>
      </c>
      <c r="D7380" t="inlineStr">
        <is>
          <t>GÄVLEBORGS LÄN</t>
        </is>
      </c>
      <c r="E7380" t="inlineStr">
        <is>
          <t>SÖDERHAMN</t>
        </is>
      </c>
      <c r="G7380" t="n">
        <v>3.9</v>
      </c>
      <c r="H7380" t="n">
        <v>0</v>
      </c>
      <c r="I7380" t="n">
        <v>0</v>
      </c>
      <c r="J7380" t="n">
        <v>0</v>
      </c>
      <c r="K7380" t="n">
        <v>0</v>
      </c>
      <c r="L7380" t="n">
        <v>0</v>
      </c>
      <c r="M7380" t="n">
        <v>0</v>
      </c>
      <c r="N7380" t="n">
        <v>0</v>
      </c>
      <c r="O7380" t="n">
        <v>0</v>
      </c>
      <c r="P7380" t="n">
        <v>0</v>
      </c>
      <c r="Q7380" t="n">
        <v>0</v>
      </c>
      <c r="R7380" s="2" t="inlineStr"/>
    </row>
    <row r="7381" ht="15" customHeight="1">
      <c r="A7381" t="inlineStr">
        <is>
          <t>A 4557-2024</t>
        </is>
      </c>
      <c r="B7381" s="1" t="n">
        <v>45327</v>
      </c>
      <c r="C7381" s="1" t="n">
        <v>46086</v>
      </c>
      <c r="D7381" t="inlineStr">
        <is>
          <t>GÄVLEBORGS LÄN</t>
        </is>
      </c>
      <c r="E7381" t="inlineStr">
        <is>
          <t>SÖDERHAMN</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4580-2024</t>
        </is>
      </c>
      <c r="B7382" s="1" t="n">
        <v>45327</v>
      </c>
      <c r="C7382" s="1" t="n">
        <v>46086</v>
      </c>
      <c r="D7382" t="inlineStr">
        <is>
          <t>GÄVLEBORGS LÄN</t>
        </is>
      </c>
      <c r="E7382" t="inlineStr">
        <is>
          <t>LJUSDAL</t>
        </is>
      </c>
      <c r="G7382" t="n">
        <v>4.4</v>
      </c>
      <c r="H7382" t="n">
        <v>0</v>
      </c>
      <c r="I7382" t="n">
        <v>0</v>
      </c>
      <c r="J7382" t="n">
        <v>0</v>
      </c>
      <c r="K7382" t="n">
        <v>0</v>
      </c>
      <c r="L7382" t="n">
        <v>0</v>
      </c>
      <c r="M7382" t="n">
        <v>0</v>
      </c>
      <c r="N7382" t="n">
        <v>0</v>
      </c>
      <c r="O7382" t="n">
        <v>0</v>
      </c>
      <c r="P7382" t="n">
        <v>0</v>
      </c>
      <c r="Q7382" t="n">
        <v>0</v>
      </c>
      <c r="R7382" s="2" t="inlineStr"/>
    </row>
    <row r="7383" ht="15" customHeight="1">
      <c r="A7383" t="inlineStr">
        <is>
          <t>A 61722-2025</t>
        </is>
      </c>
      <c r="B7383" s="1" t="n">
        <v>46002.57934027778</v>
      </c>
      <c r="C7383" s="1" t="n">
        <v>46086</v>
      </c>
      <c r="D7383" t="inlineStr">
        <is>
          <t>GÄVLEBORGS LÄN</t>
        </is>
      </c>
      <c r="E7383" t="inlineStr">
        <is>
          <t>OVANÅKER</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4375-2026</t>
        </is>
      </c>
      <c r="B7384" s="1" t="n">
        <v>46045.553125</v>
      </c>
      <c r="C7384" s="1" t="n">
        <v>46086</v>
      </c>
      <c r="D7384" t="inlineStr">
        <is>
          <t>GÄVLEBORGS LÄN</t>
        </is>
      </c>
      <c r="E7384" t="inlineStr">
        <is>
          <t>SANDVIKEN</t>
        </is>
      </c>
      <c r="F7384" t="inlineStr">
        <is>
          <t>Kommuner</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4377-2026</t>
        </is>
      </c>
      <c r="B7385" s="1" t="n">
        <v>46045.55574074074</v>
      </c>
      <c r="C7385" s="1" t="n">
        <v>46086</v>
      </c>
      <c r="D7385" t="inlineStr">
        <is>
          <t>GÄVLEBORGS LÄN</t>
        </is>
      </c>
      <c r="E7385" t="inlineStr">
        <is>
          <t>SÖDERHAMN</t>
        </is>
      </c>
      <c r="G7385" t="n">
        <v>4.7</v>
      </c>
      <c r="H7385" t="n">
        <v>0</v>
      </c>
      <c r="I7385" t="n">
        <v>0</v>
      </c>
      <c r="J7385" t="n">
        <v>0</v>
      </c>
      <c r="K7385" t="n">
        <v>0</v>
      </c>
      <c r="L7385" t="n">
        <v>0</v>
      </c>
      <c r="M7385" t="n">
        <v>0</v>
      </c>
      <c r="N7385" t="n">
        <v>0</v>
      </c>
      <c r="O7385" t="n">
        <v>0</v>
      </c>
      <c r="P7385" t="n">
        <v>0</v>
      </c>
      <c r="Q7385" t="n">
        <v>0</v>
      </c>
      <c r="R7385" s="2" t="inlineStr"/>
    </row>
    <row r="7386" ht="15" customHeight="1">
      <c r="A7386" t="inlineStr">
        <is>
          <t>A 61650-2025</t>
        </is>
      </c>
      <c r="B7386" s="1" t="n">
        <v>46002.44396990741</v>
      </c>
      <c r="C7386" s="1" t="n">
        <v>46086</v>
      </c>
      <c r="D7386" t="inlineStr">
        <is>
          <t>GÄVLEBORGS LÄN</t>
        </is>
      </c>
      <c r="E7386" t="inlineStr">
        <is>
          <t>GÄVLE</t>
        </is>
      </c>
      <c r="G7386" t="n">
        <v>4.9</v>
      </c>
      <c r="H7386" t="n">
        <v>0</v>
      </c>
      <c r="I7386" t="n">
        <v>0</v>
      </c>
      <c r="J7386" t="n">
        <v>0</v>
      </c>
      <c r="K7386" t="n">
        <v>0</v>
      </c>
      <c r="L7386" t="n">
        <v>0</v>
      </c>
      <c r="M7386" t="n">
        <v>0</v>
      </c>
      <c r="N7386" t="n">
        <v>0</v>
      </c>
      <c r="O7386" t="n">
        <v>0</v>
      </c>
      <c r="P7386" t="n">
        <v>0</v>
      </c>
      <c r="Q7386" t="n">
        <v>0</v>
      </c>
      <c r="R7386" s="2" t="inlineStr"/>
    </row>
    <row r="7387" ht="15" customHeight="1">
      <c r="A7387" t="inlineStr">
        <is>
          <t>A 4016-2026</t>
        </is>
      </c>
      <c r="B7387" s="1" t="n">
        <v>46044.42278935185</v>
      </c>
      <c r="C7387" s="1" t="n">
        <v>46086</v>
      </c>
      <c r="D7387" t="inlineStr">
        <is>
          <t>GÄVLEBORGS LÄN</t>
        </is>
      </c>
      <c r="E7387" t="inlineStr">
        <is>
          <t>NORDANSTIG</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4103-2026</t>
        </is>
      </c>
      <c r="B7388" s="1" t="n">
        <v>46044.58394675926</v>
      </c>
      <c r="C7388" s="1" t="n">
        <v>46086</v>
      </c>
      <c r="D7388" t="inlineStr">
        <is>
          <t>GÄVLEBORGS LÄN</t>
        </is>
      </c>
      <c r="E7388" t="inlineStr">
        <is>
          <t>BOLLNÄS</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4107-2026</t>
        </is>
      </c>
      <c r="B7389" s="1" t="n">
        <v>46044.5934837963</v>
      </c>
      <c r="C7389" s="1" t="n">
        <v>46086</v>
      </c>
      <c r="D7389" t="inlineStr">
        <is>
          <t>GÄVLEBORGS LÄN</t>
        </is>
      </c>
      <c r="E7389" t="inlineStr">
        <is>
          <t>HUDIKSVALL</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4253-2026</t>
        </is>
      </c>
      <c r="B7390" s="1" t="n">
        <v>46045.32743055555</v>
      </c>
      <c r="C7390" s="1" t="n">
        <v>46086</v>
      </c>
      <c r="D7390" t="inlineStr">
        <is>
          <t>GÄVLEBORGS LÄN</t>
        </is>
      </c>
      <c r="E7390" t="inlineStr">
        <is>
          <t>OCKELBO</t>
        </is>
      </c>
      <c r="F7390" t="inlineStr">
        <is>
          <t>Bergvik skog väst AB</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4257-2026</t>
        </is>
      </c>
      <c r="B7391" s="1" t="n">
        <v>46045.33702546296</v>
      </c>
      <c r="C7391" s="1" t="n">
        <v>46086</v>
      </c>
      <c r="D7391" t="inlineStr">
        <is>
          <t>GÄVLEBORGS LÄN</t>
        </is>
      </c>
      <c r="E7391" t="inlineStr">
        <is>
          <t>OCKELBO</t>
        </is>
      </c>
      <c r="G7391" t="n">
        <v>6.8</v>
      </c>
      <c r="H7391" t="n">
        <v>0</v>
      </c>
      <c r="I7391" t="n">
        <v>0</v>
      </c>
      <c r="J7391" t="n">
        <v>0</v>
      </c>
      <c r="K7391" t="n">
        <v>0</v>
      </c>
      <c r="L7391" t="n">
        <v>0</v>
      </c>
      <c r="M7391" t="n">
        <v>0</v>
      </c>
      <c r="N7391" t="n">
        <v>0</v>
      </c>
      <c r="O7391" t="n">
        <v>0</v>
      </c>
      <c r="P7391" t="n">
        <v>0</v>
      </c>
      <c r="Q7391" t="n">
        <v>0</v>
      </c>
      <c r="R7391" s="2" t="inlineStr"/>
    </row>
    <row r="7392" ht="15" customHeight="1">
      <c r="A7392" t="inlineStr">
        <is>
          <t>A 4269-2026</t>
        </is>
      </c>
      <c r="B7392" s="1" t="n">
        <v>46045.35165509259</v>
      </c>
      <c r="C7392" s="1" t="n">
        <v>46086</v>
      </c>
      <c r="D7392" t="inlineStr">
        <is>
          <t>GÄVLEBORGS LÄN</t>
        </is>
      </c>
      <c r="E7392" t="inlineStr">
        <is>
          <t>OVANÅKER</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61301-2025</t>
        </is>
      </c>
      <c r="B7393" s="1" t="n">
        <v>46000.79706018518</v>
      </c>
      <c r="C7393" s="1" t="n">
        <v>46086</v>
      </c>
      <c r="D7393" t="inlineStr">
        <is>
          <t>GÄVLEBORGS LÄN</t>
        </is>
      </c>
      <c r="E7393" t="inlineStr">
        <is>
          <t>SANDVIKEN</t>
        </is>
      </c>
      <c r="G7393" t="n">
        <v>5.9</v>
      </c>
      <c r="H7393" t="n">
        <v>0</v>
      </c>
      <c r="I7393" t="n">
        <v>0</v>
      </c>
      <c r="J7393" t="n">
        <v>0</v>
      </c>
      <c r="K7393" t="n">
        <v>0</v>
      </c>
      <c r="L7393" t="n">
        <v>0</v>
      </c>
      <c r="M7393" t="n">
        <v>0</v>
      </c>
      <c r="N7393" t="n">
        <v>0</v>
      </c>
      <c r="O7393" t="n">
        <v>0</v>
      </c>
      <c r="P7393" t="n">
        <v>0</v>
      </c>
      <c r="Q7393" t="n">
        <v>0</v>
      </c>
      <c r="R7393" s="2" t="inlineStr"/>
    </row>
    <row r="7394" ht="15" customHeight="1">
      <c r="A7394" t="inlineStr">
        <is>
          <t>A 15622-2025</t>
        </is>
      </c>
      <c r="B7394" s="1" t="n">
        <v>45748.35768518518</v>
      </c>
      <c r="C7394" s="1" t="n">
        <v>46086</v>
      </c>
      <c r="D7394" t="inlineStr">
        <is>
          <t>GÄVLEBORGS LÄN</t>
        </is>
      </c>
      <c r="E7394" t="inlineStr">
        <is>
          <t>NORDANSTIG</t>
        </is>
      </c>
      <c r="F7394" t="inlineStr">
        <is>
          <t>Holmen skog AB</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28523-2023</t>
        </is>
      </c>
      <c r="B7395" s="1" t="n">
        <v>45103.4828587963</v>
      </c>
      <c r="C7395" s="1" t="n">
        <v>46086</v>
      </c>
      <c r="D7395" t="inlineStr">
        <is>
          <t>GÄVLEBORGS LÄN</t>
        </is>
      </c>
      <c r="E7395" t="inlineStr">
        <is>
          <t>BOLLNÄS</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4449-2026</t>
        </is>
      </c>
      <c r="B7396" s="1" t="n">
        <v>46045.63962962963</v>
      </c>
      <c r="C7396" s="1" t="n">
        <v>46086</v>
      </c>
      <c r="D7396" t="inlineStr">
        <is>
          <t>GÄVLEBORGS LÄN</t>
        </is>
      </c>
      <c r="E7396" t="inlineStr">
        <is>
          <t>BOLLNÄS</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28604-2023</t>
        </is>
      </c>
      <c r="B7397" s="1" t="n">
        <v>45103</v>
      </c>
      <c r="C7397" s="1" t="n">
        <v>46086</v>
      </c>
      <c r="D7397" t="inlineStr">
        <is>
          <t>GÄVLEBORGS LÄN</t>
        </is>
      </c>
      <c r="E7397" t="inlineStr">
        <is>
          <t>OVANÅKER</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4452-2026</t>
        </is>
      </c>
      <c r="B7398" s="1" t="n">
        <v>46045.64053240741</v>
      </c>
      <c r="C7398" s="1" t="n">
        <v>46086</v>
      </c>
      <c r="D7398" t="inlineStr">
        <is>
          <t>GÄVLEBORGS LÄN</t>
        </is>
      </c>
      <c r="E7398" t="inlineStr">
        <is>
          <t>BOLLNÄS</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4459-2026</t>
        </is>
      </c>
      <c r="B7399" s="1" t="n">
        <v>46045.64833333333</v>
      </c>
      <c r="C7399" s="1" t="n">
        <v>46086</v>
      </c>
      <c r="D7399" t="inlineStr">
        <is>
          <t>GÄVLEBORGS LÄN</t>
        </is>
      </c>
      <c r="E7399" t="inlineStr">
        <is>
          <t>GÄVLE</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4007-2026</t>
        </is>
      </c>
      <c r="B7400" s="1" t="n">
        <v>46044.40465277778</v>
      </c>
      <c r="C7400" s="1" t="n">
        <v>46086</v>
      </c>
      <c r="D7400" t="inlineStr">
        <is>
          <t>GÄVLEBORGS LÄN</t>
        </is>
      </c>
      <c r="E7400" t="inlineStr">
        <is>
          <t>OCKELBO</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61752-2025</t>
        </is>
      </c>
      <c r="B7401" s="1" t="n">
        <v>46002.61459490741</v>
      </c>
      <c r="C7401" s="1" t="n">
        <v>46086</v>
      </c>
      <c r="D7401" t="inlineStr">
        <is>
          <t>GÄVLEBORGS LÄN</t>
        </is>
      </c>
      <c r="E7401" t="inlineStr">
        <is>
          <t>SÖDERHAMN</t>
        </is>
      </c>
      <c r="G7401" t="n">
        <v>3.3</v>
      </c>
      <c r="H7401" t="n">
        <v>0</v>
      </c>
      <c r="I7401" t="n">
        <v>0</v>
      </c>
      <c r="J7401" t="n">
        <v>0</v>
      </c>
      <c r="K7401" t="n">
        <v>0</v>
      </c>
      <c r="L7401" t="n">
        <v>0</v>
      </c>
      <c r="M7401" t="n">
        <v>0</v>
      </c>
      <c r="N7401" t="n">
        <v>0</v>
      </c>
      <c r="O7401" t="n">
        <v>0</v>
      </c>
      <c r="P7401" t="n">
        <v>0</v>
      </c>
      <c r="Q7401" t="n">
        <v>0</v>
      </c>
      <c r="R7401" s="2" t="inlineStr"/>
    </row>
    <row r="7402" ht="15" customHeight="1">
      <c r="A7402" t="inlineStr">
        <is>
          <t>A 61756-2025</t>
        </is>
      </c>
      <c r="B7402" s="1" t="n">
        <v>46002.61667824074</v>
      </c>
      <c r="C7402" s="1" t="n">
        <v>46086</v>
      </c>
      <c r="D7402" t="inlineStr">
        <is>
          <t>GÄVLEBORGS LÄN</t>
        </is>
      </c>
      <c r="E7402" t="inlineStr">
        <is>
          <t>LJUSDAL</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4031-2026</t>
        </is>
      </c>
      <c r="B7403" s="1" t="n">
        <v>46044.44237268518</v>
      </c>
      <c r="C7403" s="1" t="n">
        <v>46086</v>
      </c>
      <c r="D7403" t="inlineStr">
        <is>
          <t>GÄVLEBORGS LÄN</t>
        </is>
      </c>
      <c r="E7403" t="inlineStr">
        <is>
          <t>SÖDERHAMN</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4279-2026</t>
        </is>
      </c>
      <c r="B7404" s="1" t="n">
        <v>46045.38333333333</v>
      </c>
      <c r="C7404" s="1" t="n">
        <v>46086</v>
      </c>
      <c r="D7404" t="inlineStr">
        <is>
          <t>GÄVLEBORGS LÄN</t>
        </is>
      </c>
      <c r="E7404" t="inlineStr">
        <is>
          <t>HUDIKSVALL</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4302-2026</t>
        </is>
      </c>
      <c r="B7405" s="1" t="n">
        <v>46045.42726851852</v>
      </c>
      <c r="C7405" s="1" t="n">
        <v>46086</v>
      </c>
      <c r="D7405" t="inlineStr">
        <is>
          <t>GÄVLEBORGS LÄN</t>
        </is>
      </c>
      <c r="E7405" t="inlineStr">
        <is>
          <t>NORDANSTIG</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4307-2026</t>
        </is>
      </c>
      <c r="B7406" s="1" t="n">
        <v>46045.4365625</v>
      </c>
      <c r="C7406" s="1" t="n">
        <v>46086</v>
      </c>
      <c r="D7406" t="inlineStr">
        <is>
          <t>GÄVLEBORGS LÄN</t>
        </is>
      </c>
      <c r="E7406" t="inlineStr">
        <is>
          <t>GÄVLE</t>
        </is>
      </c>
      <c r="F7406" t="inlineStr">
        <is>
          <t>Bergvik skog väst AB</t>
        </is>
      </c>
      <c r="G7406" t="n">
        <v>4.3</v>
      </c>
      <c r="H7406" t="n">
        <v>0</v>
      </c>
      <c r="I7406" t="n">
        <v>0</v>
      </c>
      <c r="J7406" t="n">
        <v>0</v>
      </c>
      <c r="K7406" t="n">
        <v>0</v>
      </c>
      <c r="L7406" t="n">
        <v>0</v>
      </c>
      <c r="M7406" t="n">
        <v>0</v>
      </c>
      <c r="N7406" t="n">
        <v>0</v>
      </c>
      <c r="O7406" t="n">
        <v>0</v>
      </c>
      <c r="P7406" t="n">
        <v>0</v>
      </c>
      <c r="Q7406" t="n">
        <v>0</v>
      </c>
      <c r="R7406" s="2" t="inlineStr"/>
    </row>
    <row r="7407" ht="15" customHeight="1">
      <c r="A7407" t="inlineStr">
        <is>
          <t>A 50351-2022</t>
        </is>
      </c>
      <c r="B7407" s="1" t="n">
        <v>44866.31077546296</v>
      </c>
      <c r="C7407" s="1" t="n">
        <v>46086</v>
      </c>
      <c r="D7407" t="inlineStr">
        <is>
          <t>GÄVLEBORGS LÄN</t>
        </is>
      </c>
      <c r="E7407" t="inlineStr">
        <is>
          <t>LJUSDAL</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3615-2024</t>
        </is>
      </c>
      <c r="B7408" s="1" t="n">
        <v>45320</v>
      </c>
      <c r="C7408" s="1" t="n">
        <v>46086</v>
      </c>
      <c r="D7408" t="inlineStr">
        <is>
          <t>GÄVLEBORGS LÄN</t>
        </is>
      </c>
      <c r="E7408" t="inlineStr">
        <is>
          <t>GÄVLE</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4324-2026</t>
        </is>
      </c>
      <c r="B7409" s="1" t="n">
        <v>46045.45677083333</v>
      </c>
      <c r="C7409" s="1" t="n">
        <v>46086</v>
      </c>
      <c r="D7409" t="inlineStr">
        <is>
          <t>GÄVLEBORGS LÄN</t>
        </is>
      </c>
      <c r="E7409" t="inlineStr">
        <is>
          <t>SANDVIKEN</t>
        </is>
      </c>
      <c r="F7409" t="inlineStr">
        <is>
          <t>Kommuner</t>
        </is>
      </c>
      <c r="G7409" t="n">
        <v>11.2</v>
      </c>
      <c r="H7409" t="n">
        <v>0</v>
      </c>
      <c r="I7409" t="n">
        <v>0</v>
      </c>
      <c r="J7409" t="n">
        <v>0</v>
      </c>
      <c r="K7409" t="n">
        <v>0</v>
      </c>
      <c r="L7409" t="n">
        <v>0</v>
      </c>
      <c r="M7409" t="n">
        <v>0</v>
      </c>
      <c r="N7409" t="n">
        <v>0</v>
      </c>
      <c r="O7409" t="n">
        <v>0</v>
      </c>
      <c r="P7409" t="n">
        <v>0</v>
      </c>
      <c r="Q7409" t="n">
        <v>0</v>
      </c>
      <c r="R7409" s="2" t="inlineStr"/>
    </row>
    <row r="7410" ht="15" customHeight="1">
      <c r="A7410" t="inlineStr">
        <is>
          <t>A 4326-2026</t>
        </is>
      </c>
      <c r="B7410" s="1" t="n">
        <v>46045.46563657407</v>
      </c>
      <c r="C7410" s="1" t="n">
        <v>46086</v>
      </c>
      <c r="D7410" t="inlineStr">
        <is>
          <t>GÄVLEBORGS LÄN</t>
        </is>
      </c>
      <c r="E7410" t="inlineStr">
        <is>
          <t>BOLLNÄS</t>
        </is>
      </c>
      <c r="F7410" t="inlineStr">
        <is>
          <t>Kyrkan</t>
        </is>
      </c>
      <c r="G7410" t="n">
        <v>15.4</v>
      </c>
      <c r="H7410" t="n">
        <v>0</v>
      </c>
      <c r="I7410" t="n">
        <v>0</v>
      </c>
      <c r="J7410" t="n">
        <v>0</v>
      </c>
      <c r="K7410" t="n">
        <v>0</v>
      </c>
      <c r="L7410" t="n">
        <v>0</v>
      </c>
      <c r="M7410" t="n">
        <v>0</v>
      </c>
      <c r="N7410" t="n">
        <v>0</v>
      </c>
      <c r="O7410" t="n">
        <v>0</v>
      </c>
      <c r="P7410" t="n">
        <v>0</v>
      </c>
      <c r="Q7410" t="n">
        <v>0</v>
      </c>
      <c r="R7410" s="2" t="inlineStr"/>
    </row>
    <row r="7411" ht="15" customHeight="1">
      <c r="A7411" t="inlineStr">
        <is>
          <t>A 36660-2023</t>
        </is>
      </c>
      <c r="B7411" s="1" t="n">
        <v>45153.57439814815</v>
      </c>
      <c r="C7411" s="1" t="n">
        <v>46086</v>
      </c>
      <c r="D7411" t="inlineStr">
        <is>
          <t>GÄVLEBORGS LÄN</t>
        </is>
      </c>
      <c r="E7411" t="inlineStr">
        <is>
          <t>SANDVIKEN</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4336-2026</t>
        </is>
      </c>
      <c r="B7412" s="1" t="n">
        <v>46045.4940625</v>
      </c>
      <c r="C7412" s="1" t="n">
        <v>46086</v>
      </c>
      <c r="D7412" t="inlineStr">
        <is>
          <t>GÄVLEBORGS LÄN</t>
        </is>
      </c>
      <c r="E7412" t="inlineStr">
        <is>
          <t>BOLLNÄS</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4320-2026</t>
        </is>
      </c>
      <c r="B7413" s="1" t="n">
        <v>46045.45112268518</v>
      </c>
      <c r="C7413" s="1" t="n">
        <v>46086</v>
      </c>
      <c r="D7413" t="inlineStr">
        <is>
          <t>GÄVLEBORGS LÄN</t>
        </is>
      </c>
      <c r="E7413" t="inlineStr">
        <is>
          <t>OCKELBO</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4241-2026</t>
        </is>
      </c>
      <c r="B7414" s="1" t="n">
        <v>46045.27372685185</v>
      </c>
      <c r="C7414" s="1" t="n">
        <v>46086</v>
      </c>
      <c r="D7414" t="inlineStr">
        <is>
          <t>GÄVLEBORGS LÄN</t>
        </is>
      </c>
      <c r="E7414" t="inlineStr">
        <is>
          <t>BOLLNÄS</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4242-2026</t>
        </is>
      </c>
      <c r="B7415" s="1" t="n">
        <v>46045.28788194444</v>
      </c>
      <c r="C7415" s="1" t="n">
        <v>46086</v>
      </c>
      <c r="D7415" t="inlineStr">
        <is>
          <t>GÄVLEBORGS LÄN</t>
        </is>
      </c>
      <c r="E7415" t="inlineStr">
        <is>
          <t>BOLLNÄS</t>
        </is>
      </c>
      <c r="G7415" t="n">
        <v>4.1</v>
      </c>
      <c r="H7415" t="n">
        <v>0</v>
      </c>
      <c r="I7415" t="n">
        <v>0</v>
      </c>
      <c r="J7415" t="n">
        <v>0</v>
      </c>
      <c r="K7415" t="n">
        <v>0</v>
      </c>
      <c r="L7415" t="n">
        <v>0</v>
      </c>
      <c r="M7415" t="n">
        <v>0</v>
      </c>
      <c r="N7415" t="n">
        <v>0</v>
      </c>
      <c r="O7415" t="n">
        <v>0</v>
      </c>
      <c r="P7415" t="n">
        <v>0</v>
      </c>
      <c r="Q7415" t="n">
        <v>0</v>
      </c>
      <c r="R7415" s="2" t="inlineStr"/>
    </row>
    <row r="7416" ht="15" customHeight="1">
      <c r="A7416" t="inlineStr">
        <is>
          <t>A 57649-2023</t>
        </is>
      </c>
      <c r="B7416" s="1" t="n">
        <v>45246.59743055556</v>
      </c>
      <c r="C7416" s="1" t="n">
        <v>46086</v>
      </c>
      <c r="D7416" t="inlineStr">
        <is>
          <t>GÄVLEBORGS LÄN</t>
        </is>
      </c>
      <c r="E7416" t="inlineStr">
        <is>
          <t>LJUSDAL</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4245-2026</t>
        </is>
      </c>
      <c r="B7417" s="1" t="n">
        <v>46045.30234953704</v>
      </c>
      <c r="C7417" s="1" t="n">
        <v>46086</v>
      </c>
      <c r="D7417" t="inlineStr">
        <is>
          <t>GÄVLEBORGS LÄN</t>
        </is>
      </c>
      <c r="E7417" t="inlineStr">
        <is>
          <t>BOLLNÄS</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61993-2025</t>
        </is>
      </c>
      <c r="B7418" s="1" t="n">
        <v>46003.6328587963</v>
      </c>
      <c r="C7418" s="1" t="n">
        <v>46086</v>
      </c>
      <c r="D7418" t="inlineStr">
        <is>
          <t>GÄVLEBORGS LÄN</t>
        </is>
      </c>
      <c r="E7418" t="inlineStr">
        <is>
          <t>LJUSDAL</t>
        </is>
      </c>
      <c r="G7418" t="n">
        <v>14.8</v>
      </c>
      <c r="H7418" t="n">
        <v>0</v>
      </c>
      <c r="I7418" t="n">
        <v>0</v>
      </c>
      <c r="J7418" t="n">
        <v>0</v>
      </c>
      <c r="K7418" t="n">
        <v>0</v>
      </c>
      <c r="L7418" t="n">
        <v>0</v>
      </c>
      <c r="M7418" t="n">
        <v>0</v>
      </c>
      <c r="N7418" t="n">
        <v>0</v>
      </c>
      <c r="O7418" t="n">
        <v>0</v>
      </c>
      <c r="P7418" t="n">
        <v>0</v>
      </c>
      <c r="Q7418" t="n">
        <v>0</v>
      </c>
      <c r="R7418" s="2" t="inlineStr"/>
    </row>
    <row r="7419" ht="15" customHeight="1">
      <c r="A7419" t="inlineStr">
        <is>
          <t>A 25630-2022</t>
        </is>
      </c>
      <c r="B7419" s="1" t="n">
        <v>44732.92739583334</v>
      </c>
      <c r="C7419" s="1" t="n">
        <v>46086</v>
      </c>
      <c r="D7419" t="inlineStr">
        <is>
          <t>GÄVLEBORGS LÄN</t>
        </is>
      </c>
      <c r="E7419" t="inlineStr">
        <is>
          <t>LJUSDAL</t>
        </is>
      </c>
      <c r="G7419" t="n">
        <v>4.2</v>
      </c>
      <c r="H7419" t="n">
        <v>0</v>
      </c>
      <c r="I7419" t="n">
        <v>0</v>
      </c>
      <c r="J7419" t="n">
        <v>0</v>
      </c>
      <c r="K7419" t="n">
        <v>0</v>
      </c>
      <c r="L7419" t="n">
        <v>0</v>
      </c>
      <c r="M7419" t="n">
        <v>0</v>
      </c>
      <c r="N7419" t="n">
        <v>0</v>
      </c>
      <c r="O7419" t="n">
        <v>0</v>
      </c>
      <c r="P7419" t="n">
        <v>0</v>
      </c>
      <c r="Q7419" t="n">
        <v>0</v>
      </c>
      <c r="R7419" s="2" t="inlineStr"/>
    </row>
    <row r="7420" ht="15" customHeight="1">
      <c r="A7420" t="inlineStr">
        <is>
          <t>A 1888-2026</t>
        </is>
      </c>
      <c r="B7420" s="1" t="n">
        <v>46035</v>
      </c>
      <c r="C7420" s="1" t="n">
        <v>46086</v>
      </c>
      <c r="D7420" t="inlineStr">
        <is>
          <t>GÄVLEBORGS LÄN</t>
        </is>
      </c>
      <c r="E7420" t="inlineStr">
        <is>
          <t>SÖDERHAMN</t>
        </is>
      </c>
      <c r="G7420" t="n">
        <v>6.7</v>
      </c>
      <c r="H7420" t="n">
        <v>0</v>
      </c>
      <c r="I7420" t="n">
        <v>0</v>
      </c>
      <c r="J7420" t="n">
        <v>0</v>
      </c>
      <c r="K7420" t="n">
        <v>0</v>
      </c>
      <c r="L7420" t="n">
        <v>0</v>
      </c>
      <c r="M7420" t="n">
        <v>0</v>
      </c>
      <c r="N7420" t="n">
        <v>0</v>
      </c>
      <c r="O7420" t="n">
        <v>0</v>
      </c>
      <c r="P7420" t="n">
        <v>0</v>
      </c>
      <c r="Q7420" t="n">
        <v>0</v>
      </c>
      <c r="R7420" s="2" t="inlineStr"/>
    </row>
    <row r="7421" ht="15" customHeight="1">
      <c r="A7421" t="inlineStr">
        <is>
          <t>A 4153-2026</t>
        </is>
      </c>
      <c r="B7421" s="1" t="n">
        <v>46044.65068287037</v>
      </c>
      <c r="C7421" s="1" t="n">
        <v>46086</v>
      </c>
      <c r="D7421" t="inlineStr">
        <is>
          <t>GÄVLEBORGS LÄN</t>
        </is>
      </c>
      <c r="E7421" t="inlineStr">
        <is>
          <t>OVANÅKER</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61689-2025</t>
        </is>
      </c>
      <c r="B7422" s="1" t="n">
        <v>46002</v>
      </c>
      <c r="C7422" s="1" t="n">
        <v>46086</v>
      </c>
      <c r="D7422" t="inlineStr">
        <is>
          <t>GÄVLEBORGS LÄN</t>
        </is>
      </c>
      <c r="E7422" t="inlineStr">
        <is>
          <t>BOLLNÄS</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4182-2026</t>
        </is>
      </c>
      <c r="B7423" s="1" t="n">
        <v>46044.68452546297</v>
      </c>
      <c r="C7423" s="1" t="n">
        <v>46086</v>
      </c>
      <c r="D7423" t="inlineStr">
        <is>
          <t>GÄVLEBORGS LÄN</t>
        </is>
      </c>
      <c r="E7423" t="inlineStr">
        <is>
          <t>OCKELBO</t>
        </is>
      </c>
      <c r="G7423" t="n">
        <v>3.4</v>
      </c>
      <c r="H7423" t="n">
        <v>0</v>
      </c>
      <c r="I7423" t="n">
        <v>0</v>
      </c>
      <c r="J7423" t="n">
        <v>0</v>
      </c>
      <c r="K7423" t="n">
        <v>0</v>
      </c>
      <c r="L7423" t="n">
        <v>0</v>
      </c>
      <c r="M7423" t="n">
        <v>0</v>
      </c>
      <c r="N7423" t="n">
        <v>0</v>
      </c>
      <c r="O7423" t="n">
        <v>0</v>
      </c>
      <c r="P7423" t="n">
        <v>0</v>
      </c>
      <c r="Q7423" t="n">
        <v>0</v>
      </c>
      <c r="R7423" s="2" t="inlineStr"/>
    </row>
    <row r="7424" ht="15" customHeight="1">
      <c r="A7424" t="inlineStr">
        <is>
          <t>A 61748-2025</t>
        </is>
      </c>
      <c r="B7424" s="1" t="n">
        <v>46002.61027777778</v>
      </c>
      <c r="C7424" s="1" t="n">
        <v>46086</v>
      </c>
      <c r="D7424" t="inlineStr">
        <is>
          <t>GÄVLEBORGS LÄN</t>
        </is>
      </c>
      <c r="E7424" t="inlineStr">
        <is>
          <t>LJUSDAL</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4308-2026</t>
        </is>
      </c>
      <c r="B7425" s="1" t="n">
        <v>46045.43865740741</v>
      </c>
      <c r="C7425" s="1" t="n">
        <v>46086</v>
      </c>
      <c r="D7425" t="inlineStr">
        <is>
          <t>GÄVLEBORGS LÄN</t>
        </is>
      </c>
      <c r="E7425" t="inlineStr">
        <is>
          <t>GÄVLE</t>
        </is>
      </c>
      <c r="F7425" t="inlineStr">
        <is>
          <t>Bergvik skog väst AB</t>
        </is>
      </c>
      <c r="G7425" t="n">
        <v>4.7</v>
      </c>
      <c r="H7425" t="n">
        <v>0</v>
      </c>
      <c r="I7425" t="n">
        <v>0</v>
      </c>
      <c r="J7425" t="n">
        <v>0</v>
      </c>
      <c r="K7425" t="n">
        <v>0</v>
      </c>
      <c r="L7425" t="n">
        <v>0</v>
      </c>
      <c r="M7425" t="n">
        <v>0</v>
      </c>
      <c r="N7425" t="n">
        <v>0</v>
      </c>
      <c r="O7425" t="n">
        <v>0</v>
      </c>
      <c r="P7425" t="n">
        <v>0</v>
      </c>
      <c r="Q7425" t="n">
        <v>0</v>
      </c>
      <c r="R7425" s="2" t="inlineStr"/>
    </row>
    <row r="7426" ht="15" customHeight="1">
      <c r="A7426" t="inlineStr">
        <is>
          <t>A 4358-2026</t>
        </is>
      </c>
      <c r="B7426" s="1" t="n">
        <v>46045.53990740741</v>
      </c>
      <c r="C7426" s="1" t="n">
        <v>46086</v>
      </c>
      <c r="D7426" t="inlineStr">
        <is>
          <t>GÄVLEBORGS LÄN</t>
        </is>
      </c>
      <c r="E7426" t="inlineStr">
        <is>
          <t>SANDVIKEN</t>
        </is>
      </c>
      <c r="F7426" t="inlineStr">
        <is>
          <t>Kommuner</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49571-2022</t>
        </is>
      </c>
      <c r="B7427" s="1" t="n">
        <v>44862.33306712963</v>
      </c>
      <c r="C7427" s="1" t="n">
        <v>46086</v>
      </c>
      <c r="D7427" t="inlineStr">
        <is>
          <t>GÄVLEBORGS LÄN</t>
        </is>
      </c>
      <c r="E7427" t="inlineStr">
        <is>
          <t>OCKELBO</t>
        </is>
      </c>
      <c r="G7427" t="n">
        <v>3.7</v>
      </c>
      <c r="H7427" t="n">
        <v>0</v>
      </c>
      <c r="I7427" t="n">
        <v>0</v>
      </c>
      <c r="J7427" t="n">
        <v>0</v>
      </c>
      <c r="K7427" t="n">
        <v>0</v>
      </c>
      <c r="L7427" t="n">
        <v>0</v>
      </c>
      <c r="M7427" t="n">
        <v>0</v>
      </c>
      <c r="N7427" t="n">
        <v>0</v>
      </c>
      <c r="O7427" t="n">
        <v>0</v>
      </c>
      <c r="P7427" t="n">
        <v>0</v>
      </c>
      <c r="Q7427" t="n">
        <v>0</v>
      </c>
      <c r="R7427" s="2" t="inlineStr"/>
    </row>
    <row r="7428" ht="15" customHeight="1">
      <c r="A7428" t="inlineStr">
        <is>
          <t>A 58053-2024</t>
        </is>
      </c>
      <c r="B7428" s="1" t="n">
        <v>45631.84011574074</v>
      </c>
      <c r="C7428" s="1" t="n">
        <v>46086</v>
      </c>
      <c r="D7428" t="inlineStr">
        <is>
          <t>GÄVLEBORGS LÄN</t>
        </is>
      </c>
      <c r="E7428" t="inlineStr">
        <is>
          <t>LJUSDAL</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20670-2022</t>
        </is>
      </c>
      <c r="B7429" s="1" t="n">
        <v>44700.65533564815</v>
      </c>
      <c r="C7429" s="1" t="n">
        <v>46086</v>
      </c>
      <c r="D7429" t="inlineStr">
        <is>
          <t>GÄVLEBORGS LÄN</t>
        </is>
      </c>
      <c r="E7429" t="inlineStr">
        <is>
          <t>HUDIKSVALL</t>
        </is>
      </c>
      <c r="F7429" t="inlineStr">
        <is>
          <t>Holmen skog AB</t>
        </is>
      </c>
      <c r="G7429" t="n">
        <v>11.9</v>
      </c>
      <c r="H7429" t="n">
        <v>0</v>
      </c>
      <c r="I7429" t="n">
        <v>0</v>
      </c>
      <c r="J7429" t="n">
        <v>0</v>
      </c>
      <c r="K7429" t="n">
        <v>0</v>
      </c>
      <c r="L7429" t="n">
        <v>0</v>
      </c>
      <c r="M7429" t="n">
        <v>0</v>
      </c>
      <c r="N7429" t="n">
        <v>0</v>
      </c>
      <c r="O7429" t="n">
        <v>0</v>
      </c>
      <c r="P7429" t="n">
        <v>0</v>
      </c>
      <c r="Q7429" t="n">
        <v>0</v>
      </c>
      <c r="R7429" s="2" t="inlineStr"/>
    </row>
    <row r="7430" ht="15" customHeight="1">
      <c r="A7430" t="inlineStr">
        <is>
          <t>A 10131-2024</t>
        </is>
      </c>
      <c r="B7430" s="1" t="n">
        <v>45364</v>
      </c>
      <c r="C7430" s="1" t="n">
        <v>46086</v>
      </c>
      <c r="D7430" t="inlineStr">
        <is>
          <t>GÄVLEBORGS LÄN</t>
        </is>
      </c>
      <c r="E7430" t="inlineStr">
        <is>
          <t>HUDIKSVALL</t>
        </is>
      </c>
      <c r="G7430" t="n">
        <v>11.6</v>
      </c>
      <c r="H7430" t="n">
        <v>0</v>
      </c>
      <c r="I7430" t="n">
        <v>0</v>
      </c>
      <c r="J7430" t="n">
        <v>0</v>
      </c>
      <c r="K7430" t="n">
        <v>0</v>
      </c>
      <c r="L7430" t="n">
        <v>0</v>
      </c>
      <c r="M7430" t="n">
        <v>0</v>
      </c>
      <c r="N7430" t="n">
        <v>0</v>
      </c>
      <c r="O7430" t="n">
        <v>0</v>
      </c>
      <c r="P7430" t="n">
        <v>0</v>
      </c>
      <c r="Q7430" t="n">
        <v>0</v>
      </c>
      <c r="R7430" s="2" t="inlineStr"/>
    </row>
    <row r="7431" ht="15" customHeight="1">
      <c r="A7431" t="inlineStr">
        <is>
          <t>A 23289-2024</t>
        </is>
      </c>
      <c r="B7431" s="1" t="n">
        <v>45453.42105324074</v>
      </c>
      <c r="C7431" s="1" t="n">
        <v>46086</v>
      </c>
      <c r="D7431" t="inlineStr">
        <is>
          <t>GÄVLEBORGS LÄN</t>
        </is>
      </c>
      <c r="E7431" t="inlineStr">
        <is>
          <t>SANDVIKEN</t>
        </is>
      </c>
      <c r="F7431" t="inlineStr">
        <is>
          <t>Kyrkan</t>
        </is>
      </c>
      <c r="G7431" t="n">
        <v>3.8</v>
      </c>
      <c r="H7431" t="n">
        <v>0</v>
      </c>
      <c r="I7431" t="n">
        <v>0</v>
      </c>
      <c r="J7431" t="n">
        <v>0</v>
      </c>
      <c r="K7431" t="n">
        <v>0</v>
      </c>
      <c r="L7431" t="n">
        <v>0</v>
      </c>
      <c r="M7431" t="n">
        <v>0</v>
      </c>
      <c r="N7431" t="n">
        <v>0</v>
      </c>
      <c r="O7431" t="n">
        <v>0</v>
      </c>
      <c r="P7431" t="n">
        <v>0</v>
      </c>
      <c r="Q7431" t="n">
        <v>0</v>
      </c>
      <c r="R7431" s="2" t="inlineStr"/>
    </row>
    <row r="7432" ht="15" customHeight="1">
      <c r="A7432" t="inlineStr">
        <is>
          <t>A 18939-2025</t>
        </is>
      </c>
      <c r="B7432" s="1" t="n">
        <v>45764.49194444445</v>
      </c>
      <c r="C7432" s="1" t="n">
        <v>46086</v>
      </c>
      <c r="D7432" t="inlineStr">
        <is>
          <t>GÄVLEBORGS LÄN</t>
        </is>
      </c>
      <c r="E7432" t="inlineStr">
        <is>
          <t>HUDIKSVALL</t>
        </is>
      </c>
      <c r="G7432" t="n">
        <v>10.4</v>
      </c>
      <c r="H7432" t="n">
        <v>0</v>
      </c>
      <c r="I7432" t="n">
        <v>0</v>
      </c>
      <c r="J7432" t="n">
        <v>0</v>
      </c>
      <c r="K7432" t="n">
        <v>0</v>
      </c>
      <c r="L7432" t="n">
        <v>0</v>
      </c>
      <c r="M7432" t="n">
        <v>0</v>
      </c>
      <c r="N7432" t="n">
        <v>0</v>
      </c>
      <c r="O7432" t="n">
        <v>0</v>
      </c>
      <c r="P7432" t="n">
        <v>0</v>
      </c>
      <c r="Q7432" t="n">
        <v>0</v>
      </c>
      <c r="R7432" s="2" t="inlineStr"/>
    </row>
    <row r="7433" ht="15" customHeight="1">
      <c r="A7433" t="inlineStr">
        <is>
          <t>A 18985-2025</t>
        </is>
      </c>
      <c r="B7433" s="1" t="n">
        <v>45764.56071759259</v>
      </c>
      <c r="C7433" s="1" t="n">
        <v>46086</v>
      </c>
      <c r="D7433" t="inlineStr">
        <is>
          <t>GÄVLEBORGS LÄN</t>
        </is>
      </c>
      <c r="E7433" t="inlineStr">
        <is>
          <t>HUDIKSVALL</t>
        </is>
      </c>
      <c r="F7433" t="inlineStr">
        <is>
          <t>Holmen skog AB</t>
        </is>
      </c>
      <c r="G7433" t="n">
        <v>8.1</v>
      </c>
      <c r="H7433" t="n">
        <v>0</v>
      </c>
      <c r="I7433" t="n">
        <v>0</v>
      </c>
      <c r="J7433" t="n">
        <v>0</v>
      </c>
      <c r="K7433" t="n">
        <v>0</v>
      </c>
      <c r="L7433" t="n">
        <v>0</v>
      </c>
      <c r="M7433" t="n">
        <v>0</v>
      </c>
      <c r="N7433" t="n">
        <v>0</v>
      </c>
      <c r="O7433" t="n">
        <v>0</v>
      </c>
      <c r="P7433" t="n">
        <v>0</v>
      </c>
      <c r="Q7433" t="n">
        <v>0</v>
      </c>
      <c r="R7433" s="2" t="inlineStr"/>
    </row>
    <row r="7434" ht="15" customHeight="1">
      <c r="A7434" t="inlineStr">
        <is>
          <t>A 19008-2025</t>
        </is>
      </c>
      <c r="B7434" s="1" t="n">
        <v>45764.59033564815</v>
      </c>
      <c r="C7434" s="1" t="n">
        <v>46086</v>
      </c>
      <c r="D7434" t="inlineStr">
        <is>
          <t>GÄVLEBORGS LÄN</t>
        </is>
      </c>
      <c r="E7434" t="inlineStr">
        <is>
          <t>OVANÅKER</t>
        </is>
      </c>
      <c r="F7434" t="inlineStr">
        <is>
          <t>Bergvik skog öst AB</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14575-2024</t>
        </is>
      </c>
      <c r="B7435" s="1" t="n">
        <v>45394</v>
      </c>
      <c r="C7435" s="1" t="n">
        <v>46086</v>
      </c>
      <c r="D7435" t="inlineStr">
        <is>
          <t>GÄVLEBORGS LÄN</t>
        </is>
      </c>
      <c r="E7435" t="inlineStr">
        <is>
          <t>OVANÅKER</t>
        </is>
      </c>
      <c r="G7435" t="n">
        <v>4.4</v>
      </c>
      <c r="H7435" t="n">
        <v>0</v>
      </c>
      <c r="I7435" t="n">
        <v>0</v>
      </c>
      <c r="J7435" t="n">
        <v>0</v>
      </c>
      <c r="K7435" t="n">
        <v>0</v>
      </c>
      <c r="L7435" t="n">
        <v>0</v>
      </c>
      <c r="M7435" t="n">
        <v>0</v>
      </c>
      <c r="N7435" t="n">
        <v>0</v>
      </c>
      <c r="O7435" t="n">
        <v>0</v>
      </c>
      <c r="P7435" t="n">
        <v>0</v>
      </c>
      <c r="Q7435" t="n">
        <v>0</v>
      </c>
      <c r="R7435" s="2" t="inlineStr"/>
    </row>
    <row r="7436" ht="15" customHeight="1">
      <c r="A7436" t="inlineStr">
        <is>
          <t>A 9382-2022</t>
        </is>
      </c>
      <c r="B7436" s="1" t="n">
        <v>44616.63564814815</v>
      </c>
      <c r="C7436" s="1" t="n">
        <v>46086</v>
      </c>
      <c r="D7436" t="inlineStr">
        <is>
          <t>GÄVLEBORGS LÄN</t>
        </is>
      </c>
      <c r="E7436" t="inlineStr">
        <is>
          <t>NORDANSTIG</t>
        </is>
      </c>
      <c r="G7436" t="n">
        <v>4.2</v>
      </c>
      <c r="H7436" t="n">
        <v>0</v>
      </c>
      <c r="I7436" t="n">
        <v>0</v>
      </c>
      <c r="J7436" t="n">
        <v>0</v>
      </c>
      <c r="K7436" t="n">
        <v>0</v>
      </c>
      <c r="L7436" t="n">
        <v>0</v>
      </c>
      <c r="M7436" t="n">
        <v>0</v>
      </c>
      <c r="N7436" t="n">
        <v>0</v>
      </c>
      <c r="O7436" t="n">
        <v>0</v>
      </c>
      <c r="P7436" t="n">
        <v>0</v>
      </c>
      <c r="Q7436" t="n">
        <v>0</v>
      </c>
      <c r="R7436" s="2" t="inlineStr"/>
    </row>
    <row r="7437" ht="15" customHeight="1">
      <c r="A7437" t="inlineStr">
        <is>
          <t>A 17180-2025</t>
        </is>
      </c>
      <c r="B7437" s="1" t="n">
        <v>45756.38221064815</v>
      </c>
      <c r="C7437" s="1" t="n">
        <v>46086</v>
      </c>
      <c r="D7437" t="inlineStr">
        <is>
          <t>GÄVLEBORGS LÄN</t>
        </is>
      </c>
      <c r="E7437" t="inlineStr">
        <is>
          <t>GÄVLE</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53234-2024</t>
        </is>
      </c>
      <c r="B7438" s="1" t="n">
        <v>45613.775625</v>
      </c>
      <c r="C7438" s="1" t="n">
        <v>46086</v>
      </c>
      <c r="D7438" t="inlineStr">
        <is>
          <t>GÄVLEBORGS LÄN</t>
        </is>
      </c>
      <c r="E7438" t="inlineStr">
        <is>
          <t>BOLLNÄS</t>
        </is>
      </c>
      <c r="G7438" t="n">
        <v>5</v>
      </c>
      <c r="H7438" t="n">
        <v>0</v>
      </c>
      <c r="I7438" t="n">
        <v>0</v>
      </c>
      <c r="J7438" t="n">
        <v>0</v>
      </c>
      <c r="K7438" t="n">
        <v>0</v>
      </c>
      <c r="L7438" t="n">
        <v>0</v>
      </c>
      <c r="M7438" t="n">
        <v>0</v>
      </c>
      <c r="N7438" t="n">
        <v>0</v>
      </c>
      <c r="O7438" t="n">
        <v>0</v>
      </c>
      <c r="P7438" t="n">
        <v>0</v>
      </c>
      <c r="Q7438" t="n">
        <v>0</v>
      </c>
      <c r="R7438" s="2" t="inlineStr"/>
    </row>
    <row r="7439" ht="15" customHeight="1">
      <c r="A7439" t="inlineStr">
        <is>
          <t>A 46151-2024</t>
        </is>
      </c>
      <c r="B7439" s="1" t="n">
        <v>45581.45340277778</v>
      </c>
      <c r="C7439" s="1" t="n">
        <v>46086</v>
      </c>
      <c r="D7439" t="inlineStr">
        <is>
          <t>GÄVLEBORGS LÄN</t>
        </is>
      </c>
      <c r="E7439" t="inlineStr">
        <is>
          <t>BOLLNÄS</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18431-2021</t>
        </is>
      </c>
      <c r="B7440" s="1" t="n">
        <v>44305</v>
      </c>
      <c r="C7440" s="1" t="n">
        <v>46086</v>
      </c>
      <c r="D7440" t="inlineStr">
        <is>
          <t>GÄVLEBORGS LÄN</t>
        </is>
      </c>
      <c r="E7440" t="inlineStr">
        <is>
          <t>GÄVLE</t>
        </is>
      </c>
      <c r="F7440" t="inlineStr">
        <is>
          <t>Bergvik skog öst AB</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29219-2024</t>
        </is>
      </c>
      <c r="B7441" s="1" t="n">
        <v>45482.70034722222</v>
      </c>
      <c r="C7441" s="1" t="n">
        <v>46086</v>
      </c>
      <c r="D7441" t="inlineStr">
        <is>
          <t>GÄVLEBORGS LÄN</t>
        </is>
      </c>
      <c r="E7441" t="inlineStr">
        <is>
          <t>BOLLNÄS</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58506-2023</t>
        </is>
      </c>
      <c r="B7442" s="1" t="n">
        <v>45251</v>
      </c>
      <c r="C7442" s="1" t="n">
        <v>46086</v>
      </c>
      <c r="D7442" t="inlineStr">
        <is>
          <t>GÄVLEBORGS LÄN</t>
        </is>
      </c>
      <c r="E7442" t="inlineStr">
        <is>
          <t>BOLLNÄS</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11799-2025</t>
        </is>
      </c>
      <c r="B7443" s="1" t="n">
        <v>45727.8137037037</v>
      </c>
      <c r="C7443" s="1" t="n">
        <v>46086</v>
      </c>
      <c r="D7443" t="inlineStr">
        <is>
          <t>GÄVLEBORGS LÄN</t>
        </is>
      </c>
      <c r="E7443" t="inlineStr">
        <is>
          <t>BOLLNÄS</t>
        </is>
      </c>
      <c r="G7443" t="n">
        <v>9.5</v>
      </c>
      <c r="H7443" t="n">
        <v>0</v>
      </c>
      <c r="I7443" t="n">
        <v>0</v>
      </c>
      <c r="J7443" t="n">
        <v>0</v>
      </c>
      <c r="K7443" t="n">
        <v>0</v>
      </c>
      <c r="L7443" t="n">
        <v>0</v>
      </c>
      <c r="M7443" t="n">
        <v>0</v>
      </c>
      <c r="N7443" t="n">
        <v>0</v>
      </c>
      <c r="O7443" t="n">
        <v>0</v>
      </c>
      <c r="P7443" t="n">
        <v>0</v>
      </c>
      <c r="Q7443" t="n">
        <v>0</v>
      </c>
      <c r="R7443" s="2" t="inlineStr"/>
    </row>
    <row r="7444" ht="15" customHeight="1">
      <c r="A7444" t="inlineStr">
        <is>
          <t>A 34232-2023</t>
        </is>
      </c>
      <c r="B7444" s="1" t="n">
        <v>45127</v>
      </c>
      <c r="C7444" s="1" t="n">
        <v>46086</v>
      </c>
      <c r="D7444" t="inlineStr">
        <is>
          <t>GÄVLEBORGS LÄN</t>
        </is>
      </c>
      <c r="E7444" t="inlineStr">
        <is>
          <t>HOFORS</t>
        </is>
      </c>
      <c r="F7444" t="inlineStr">
        <is>
          <t>Bergvik skog väst AB</t>
        </is>
      </c>
      <c r="G7444" t="n">
        <v>5.8</v>
      </c>
      <c r="H7444" t="n">
        <v>0</v>
      </c>
      <c r="I7444" t="n">
        <v>0</v>
      </c>
      <c r="J7444" t="n">
        <v>0</v>
      </c>
      <c r="K7444" t="n">
        <v>0</v>
      </c>
      <c r="L7444" t="n">
        <v>0</v>
      </c>
      <c r="M7444" t="n">
        <v>0</v>
      </c>
      <c r="N7444" t="n">
        <v>0</v>
      </c>
      <c r="O7444" t="n">
        <v>0</v>
      </c>
      <c r="P7444" t="n">
        <v>0</v>
      </c>
      <c r="Q7444" t="n">
        <v>0</v>
      </c>
      <c r="R7444" s="2" t="inlineStr"/>
    </row>
    <row r="7445" ht="15" customHeight="1">
      <c r="A7445" t="inlineStr">
        <is>
          <t>A 15494-2023</t>
        </is>
      </c>
      <c r="B7445" s="1" t="n">
        <v>45020.47074074074</v>
      </c>
      <c r="C7445" s="1" t="n">
        <v>46086</v>
      </c>
      <c r="D7445" t="inlineStr">
        <is>
          <t>GÄVLEBORGS LÄN</t>
        </is>
      </c>
      <c r="E7445" t="inlineStr">
        <is>
          <t>NORDANSTIG</t>
        </is>
      </c>
      <c r="F7445" t="inlineStr">
        <is>
          <t>Holmen skog AB</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15496-2023</t>
        </is>
      </c>
      <c r="B7446" s="1" t="n">
        <v>45020.47482638889</v>
      </c>
      <c r="C7446" s="1" t="n">
        <v>46086</v>
      </c>
      <c r="D7446" t="inlineStr">
        <is>
          <t>GÄVLEBORGS LÄN</t>
        </is>
      </c>
      <c r="E7446" t="inlineStr">
        <is>
          <t>NORDANSTIG</t>
        </is>
      </c>
      <c r="F7446" t="inlineStr">
        <is>
          <t>Holmen skog AB</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19190-2025</t>
        </is>
      </c>
      <c r="B7447" s="1" t="n">
        <v>45767</v>
      </c>
      <c r="C7447" s="1" t="n">
        <v>46086</v>
      </c>
      <c r="D7447" t="inlineStr">
        <is>
          <t>GÄVLEBORGS LÄN</t>
        </is>
      </c>
      <c r="E7447" t="inlineStr">
        <is>
          <t>HUDIKSVALL</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46299-2023</t>
        </is>
      </c>
      <c r="B7448" s="1" t="n">
        <v>45197.33954861111</v>
      </c>
      <c r="C7448" s="1" t="n">
        <v>46086</v>
      </c>
      <c r="D7448" t="inlineStr">
        <is>
          <t>GÄVLEBORGS LÄN</t>
        </is>
      </c>
      <c r="E7448" t="inlineStr">
        <is>
          <t>NORDANSTIG</t>
        </is>
      </c>
      <c r="F7448" t="inlineStr">
        <is>
          <t>Holmen skog AB</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27497-2023</t>
        </is>
      </c>
      <c r="B7449" s="1" t="n">
        <v>45097</v>
      </c>
      <c r="C7449" s="1" t="n">
        <v>46086</v>
      </c>
      <c r="D7449" t="inlineStr">
        <is>
          <t>GÄVLEBORGS LÄN</t>
        </is>
      </c>
      <c r="E7449" t="inlineStr">
        <is>
          <t>LJUSDAL</t>
        </is>
      </c>
      <c r="F7449" t="inlineStr">
        <is>
          <t>Bergvik skog väst AB</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49209-2024</t>
        </is>
      </c>
      <c r="B7450" s="1" t="n">
        <v>45595.37880787037</v>
      </c>
      <c r="C7450" s="1" t="n">
        <v>46086</v>
      </c>
      <c r="D7450" t="inlineStr">
        <is>
          <t>GÄVLEBORGS LÄN</t>
        </is>
      </c>
      <c r="E7450" t="inlineStr">
        <is>
          <t>SANDVIKEN</t>
        </is>
      </c>
      <c r="G7450" t="n">
        <v>5.2</v>
      </c>
      <c r="H7450" t="n">
        <v>0</v>
      </c>
      <c r="I7450" t="n">
        <v>0</v>
      </c>
      <c r="J7450" t="n">
        <v>0</v>
      </c>
      <c r="K7450" t="n">
        <v>0</v>
      </c>
      <c r="L7450" t="n">
        <v>0</v>
      </c>
      <c r="M7450" t="n">
        <v>0</v>
      </c>
      <c r="N7450" t="n">
        <v>0</v>
      </c>
      <c r="O7450" t="n">
        <v>0</v>
      </c>
      <c r="P7450" t="n">
        <v>0</v>
      </c>
      <c r="Q7450" t="n">
        <v>0</v>
      </c>
      <c r="R7450" s="2" t="inlineStr"/>
    </row>
    <row r="7451" ht="15" customHeight="1">
      <c r="A7451" t="inlineStr">
        <is>
          <t>A 10484-2023</t>
        </is>
      </c>
      <c r="B7451" s="1" t="n">
        <v>44987</v>
      </c>
      <c r="C7451" s="1" t="n">
        <v>46086</v>
      </c>
      <c r="D7451" t="inlineStr">
        <is>
          <t>GÄVLEBORGS LÄN</t>
        </is>
      </c>
      <c r="E7451" t="inlineStr">
        <is>
          <t>NORDANSTIG</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14771-2025</t>
        </is>
      </c>
      <c r="B7452" s="1" t="n">
        <v>45742.68819444445</v>
      </c>
      <c r="C7452" s="1" t="n">
        <v>46086</v>
      </c>
      <c r="D7452" t="inlineStr">
        <is>
          <t>GÄVLEBORGS LÄN</t>
        </is>
      </c>
      <c r="E7452" t="inlineStr">
        <is>
          <t>HUDIKSVALL</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16188-2025</t>
        </is>
      </c>
      <c r="B7453" s="1" t="n">
        <v>45750.5878125</v>
      </c>
      <c r="C7453" s="1" t="n">
        <v>46086</v>
      </c>
      <c r="D7453" t="inlineStr">
        <is>
          <t>GÄVLEBORGS LÄN</t>
        </is>
      </c>
      <c r="E7453" t="inlineStr">
        <is>
          <t>SÖDERHAMN</t>
        </is>
      </c>
      <c r="F7453" t="inlineStr">
        <is>
          <t>Kommuner</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34869-2024</t>
        </is>
      </c>
      <c r="B7454" s="1" t="n">
        <v>45527.34570601852</v>
      </c>
      <c r="C7454" s="1" t="n">
        <v>46086</v>
      </c>
      <c r="D7454" t="inlineStr">
        <is>
          <t>GÄVLEBORGS LÄN</t>
        </is>
      </c>
      <c r="E7454" t="inlineStr">
        <is>
          <t>NORDANSTIG</t>
        </is>
      </c>
      <c r="F7454" t="inlineStr">
        <is>
          <t>Holmen skog AB</t>
        </is>
      </c>
      <c r="G7454" t="n">
        <v>4.6</v>
      </c>
      <c r="H7454" t="n">
        <v>0</v>
      </c>
      <c r="I7454" t="n">
        <v>0</v>
      </c>
      <c r="J7454" t="n">
        <v>0</v>
      </c>
      <c r="K7454" t="n">
        <v>0</v>
      </c>
      <c r="L7454" t="n">
        <v>0</v>
      </c>
      <c r="M7454" t="n">
        <v>0</v>
      </c>
      <c r="N7454" t="n">
        <v>0</v>
      </c>
      <c r="O7454" t="n">
        <v>0</v>
      </c>
      <c r="P7454" t="n">
        <v>0</v>
      </c>
      <c r="Q7454" t="n">
        <v>0</v>
      </c>
      <c r="R7454" s="2" t="inlineStr"/>
    </row>
    <row r="7455" ht="15" customHeight="1">
      <c r="A7455" t="inlineStr">
        <is>
          <t>A 61732-2024</t>
        </is>
      </c>
      <c r="B7455" s="1" t="n">
        <v>45649.34438657408</v>
      </c>
      <c r="C7455" s="1" t="n">
        <v>46086</v>
      </c>
      <c r="D7455" t="inlineStr">
        <is>
          <t>GÄVLEBORGS LÄN</t>
        </is>
      </c>
      <c r="E7455" t="inlineStr">
        <is>
          <t>OCKELBO</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74009-2021</t>
        </is>
      </c>
      <c r="B7456" s="1" t="n">
        <v>44557</v>
      </c>
      <c r="C7456" s="1" t="n">
        <v>46086</v>
      </c>
      <c r="D7456" t="inlineStr">
        <is>
          <t>GÄVLEBORGS LÄN</t>
        </is>
      </c>
      <c r="E7456" t="inlineStr">
        <is>
          <t>HUDIKSVALL</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35352-2024</t>
        </is>
      </c>
      <c r="B7457" s="1" t="n">
        <v>45531</v>
      </c>
      <c r="C7457" s="1" t="n">
        <v>46086</v>
      </c>
      <c r="D7457" t="inlineStr">
        <is>
          <t>GÄVLEBORGS LÄN</t>
        </is>
      </c>
      <c r="E7457" t="inlineStr">
        <is>
          <t>OVANÅKER</t>
        </is>
      </c>
      <c r="F7457" t="inlineStr">
        <is>
          <t>Sveaskog</t>
        </is>
      </c>
      <c r="G7457" t="n">
        <v>9.199999999999999</v>
      </c>
      <c r="H7457" t="n">
        <v>0</v>
      </c>
      <c r="I7457" t="n">
        <v>0</v>
      </c>
      <c r="J7457" t="n">
        <v>0</v>
      </c>
      <c r="K7457" t="n">
        <v>0</v>
      </c>
      <c r="L7457" t="n">
        <v>0</v>
      </c>
      <c r="M7457" t="n">
        <v>0</v>
      </c>
      <c r="N7457" t="n">
        <v>0</v>
      </c>
      <c r="O7457" t="n">
        <v>0</v>
      </c>
      <c r="P7457" t="n">
        <v>0</v>
      </c>
      <c r="Q7457" t="n">
        <v>0</v>
      </c>
      <c r="R7457" s="2" t="inlineStr"/>
    </row>
    <row r="7458" ht="15" customHeight="1">
      <c r="A7458" t="inlineStr">
        <is>
          <t>A 41555-2024</t>
        </is>
      </c>
      <c r="B7458" s="1" t="n">
        <v>45560.5277199074</v>
      </c>
      <c r="C7458" s="1" t="n">
        <v>46086</v>
      </c>
      <c r="D7458" t="inlineStr">
        <is>
          <t>GÄVLEBORGS LÄN</t>
        </is>
      </c>
      <c r="E7458" t="inlineStr">
        <is>
          <t>HUDIKSVALL</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2645-2024</t>
        </is>
      </c>
      <c r="B7459" s="1" t="n">
        <v>45314.36574074074</v>
      </c>
      <c r="C7459" s="1" t="n">
        <v>46086</v>
      </c>
      <c r="D7459" t="inlineStr">
        <is>
          <t>GÄVLEBORGS LÄN</t>
        </is>
      </c>
      <c r="E7459" t="inlineStr">
        <is>
          <t>HUDIKSVALL</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2654-2024</t>
        </is>
      </c>
      <c r="B7460" s="1" t="n">
        <v>45314.37202546297</v>
      </c>
      <c r="C7460" s="1" t="n">
        <v>46086</v>
      </c>
      <c r="D7460" t="inlineStr">
        <is>
          <t>GÄVLEBORGS LÄN</t>
        </is>
      </c>
      <c r="E7460" t="inlineStr">
        <is>
          <t>HUDIKSVALL</t>
        </is>
      </c>
      <c r="F7460" t="inlineStr">
        <is>
          <t>Holmen skog AB</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2707-2024</t>
        </is>
      </c>
      <c r="B7461" s="1" t="n">
        <v>45314</v>
      </c>
      <c r="C7461" s="1" t="n">
        <v>46086</v>
      </c>
      <c r="D7461" t="inlineStr">
        <is>
          <t>GÄVLEBORGS LÄN</t>
        </is>
      </c>
      <c r="E7461" t="inlineStr">
        <is>
          <t>HUDIKSVALL</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47502-2022</t>
        </is>
      </c>
      <c r="B7462" s="1" t="n">
        <v>44853</v>
      </c>
      <c r="C7462" s="1" t="n">
        <v>46086</v>
      </c>
      <c r="D7462" t="inlineStr">
        <is>
          <t>GÄVLEBORGS LÄN</t>
        </is>
      </c>
      <c r="E7462" t="inlineStr">
        <is>
          <t>LJUSDAL</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45557-2023</t>
        </is>
      </c>
      <c r="B7463" s="1" t="n">
        <v>45194.58666666667</v>
      </c>
      <c r="C7463" s="1" t="n">
        <v>46086</v>
      </c>
      <c r="D7463" t="inlineStr">
        <is>
          <t>GÄVLEBORGS LÄN</t>
        </is>
      </c>
      <c r="E7463" t="inlineStr">
        <is>
          <t>BOLLNÄS</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45989-2023</t>
        </is>
      </c>
      <c r="B7464" s="1" t="n">
        <v>45196.31804398148</v>
      </c>
      <c r="C7464" s="1" t="n">
        <v>46086</v>
      </c>
      <c r="D7464" t="inlineStr">
        <is>
          <t>GÄVLEBORGS LÄN</t>
        </is>
      </c>
      <c r="E7464" t="inlineStr">
        <is>
          <t>SANDVIKEN</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19231-2024</t>
        </is>
      </c>
      <c r="B7465" s="1" t="n">
        <v>45428</v>
      </c>
      <c r="C7465" s="1" t="n">
        <v>46086</v>
      </c>
      <c r="D7465" t="inlineStr">
        <is>
          <t>GÄVLEBORGS LÄN</t>
        </is>
      </c>
      <c r="E7465" t="inlineStr">
        <is>
          <t>NORDANSTIG</t>
        </is>
      </c>
      <c r="F7465" t="inlineStr">
        <is>
          <t>Holmen skog AB</t>
        </is>
      </c>
      <c r="G7465" t="n">
        <v>21.5</v>
      </c>
      <c r="H7465" t="n">
        <v>0</v>
      </c>
      <c r="I7465" t="n">
        <v>0</v>
      </c>
      <c r="J7465" t="n">
        <v>0</v>
      </c>
      <c r="K7465" t="n">
        <v>0</v>
      </c>
      <c r="L7465" t="n">
        <v>0</v>
      </c>
      <c r="M7465" t="n">
        <v>0</v>
      </c>
      <c r="N7465" t="n">
        <v>0</v>
      </c>
      <c r="O7465" t="n">
        <v>0</v>
      </c>
      <c r="P7465" t="n">
        <v>0</v>
      </c>
      <c r="Q7465" t="n">
        <v>0</v>
      </c>
      <c r="R7465" s="2" t="inlineStr"/>
    </row>
    <row r="7466" ht="15" customHeight="1">
      <c r="A7466" t="inlineStr">
        <is>
          <t>A 61568-2025</t>
        </is>
      </c>
      <c r="B7466" s="1" t="n">
        <v>46002.25414351852</v>
      </c>
      <c r="C7466" s="1" t="n">
        <v>46086</v>
      </c>
      <c r="D7466" t="inlineStr">
        <is>
          <t>GÄVLEBORGS LÄN</t>
        </is>
      </c>
      <c r="E7466" t="inlineStr">
        <is>
          <t>BOLLNÄS</t>
        </is>
      </c>
      <c r="G7466" t="n">
        <v>4.2</v>
      </c>
      <c r="H7466" t="n">
        <v>0</v>
      </c>
      <c r="I7466" t="n">
        <v>0</v>
      </c>
      <c r="J7466" t="n">
        <v>0</v>
      </c>
      <c r="K7466" t="n">
        <v>0</v>
      </c>
      <c r="L7466" t="n">
        <v>0</v>
      </c>
      <c r="M7466" t="n">
        <v>0</v>
      </c>
      <c r="N7466" t="n">
        <v>0</v>
      </c>
      <c r="O7466" t="n">
        <v>0</v>
      </c>
      <c r="P7466" t="n">
        <v>0</v>
      </c>
      <c r="Q7466" t="n">
        <v>0</v>
      </c>
      <c r="R7466" s="2" t="inlineStr"/>
    </row>
    <row r="7467" ht="15" customHeight="1">
      <c r="A7467" t="inlineStr">
        <is>
          <t>A 19163-2024</t>
        </is>
      </c>
      <c r="B7467" s="1" t="n">
        <v>45428</v>
      </c>
      <c r="C7467" s="1" t="n">
        <v>46086</v>
      </c>
      <c r="D7467" t="inlineStr">
        <is>
          <t>GÄVLEBORGS LÄN</t>
        </is>
      </c>
      <c r="E7467" t="inlineStr">
        <is>
          <t>OVANÅKER</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61648-2025</t>
        </is>
      </c>
      <c r="B7468" s="1" t="n">
        <v>46002.44233796297</v>
      </c>
      <c r="C7468" s="1" t="n">
        <v>46086</v>
      </c>
      <c r="D7468" t="inlineStr">
        <is>
          <t>GÄVLEBORGS LÄN</t>
        </is>
      </c>
      <c r="E7468" t="inlineStr">
        <is>
          <t>GÄVLE</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61651-2025</t>
        </is>
      </c>
      <c r="B7469" s="1" t="n">
        <v>46002.44537037037</v>
      </c>
      <c r="C7469" s="1" t="n">
        <v>46086</v>
      </c>
      <c r="D7469" t="inlineStr">
        <is>
          <t>GÄVLEBORGS LÄN</t>
        </is>
      </c>
      <c r="E7469" t="inlineStr">
        <is>
          <t>GÄVLE</t>
        </is>
      </c>
      <c r="G7469" t="n">
        <v>4.3</v>
      </c>
      <c r="H7469" t="n">
        <v>0</v>
      </c>
      <c r="I7469" t="n">
        <v>0</v>
      </c>
      <c r="J7469" t="n">
        <v>0</v>
      </c>
      <c r="K7469" t="n">
        <v>0</v>
      </c>
      <c r="L7469" t="n">
        <v>0</v>
      </c>
      <c r="M7469" t="n">
        <v>0</v>
      </c>
      <c r="N7469" t="n">
        <v>0</v>
      </c>
      <c r="O7469" t="n">
        <v>0</v>
      </c>
      <c r="P7469" t="n">
        <v>0</v>
      </c>
      <c r="Q7469" t="n">
        <v>0</v>
      </c>
      <c r="R7469" s="2" t="inlineStr"/>
    </row>
    <row r="7470" ht="15" customHeight="1">
      <c r="A7470" t="inlineStr">
        <is>
          <t>A 61652-2025</t>
        </is>
      </c>
      <c r="B7470" s="1" t="n">
        <v>46002.445625</v>
      </c>
      <c r="C7470" s="1" t="n">
        <v>46086</v>
      </c>
      <c r="D7470" t="inlineStr">
        <is>
          <t>GÄVLEBORGS LÄN</t>
        </is>
      </c>
      <c r="E7470" t="inlineStr">
        <is>
          <t>HUDIKSVALL</t>
        </is>
      </c>
      <c r="G7470" t="n">
        <v>6.2</v>
      </c>
      <c r="H7470" t="n">
        <v>0</v>
      </c>
      <c r="I7470" t="n">
        <v>0</v>
      </c>
      <c r="J7470" t="n">
        <v>0</v>
      </c>
      <c r="K7470" t="n">
        <v>0</v>
      </c>
      <c r="L7470" t="n">
        <v>0</v>
      </c>
      <c r="M7470" t="n">
        <v>0</v>
      </c>
      <c r="N7470" t="n">
        <v>0</v>
      </c>
      <c r="O7470" t="n">
        <v>0</v>
      </c>
      <c r="P7470" t="n">
        <v>0</v>
      </c>
      <c r="Q7470" t="n">
        <v>0</v>
      </c>
      <c r="R7470" s="2" t="inlineStr"/>
    </row>
    <row r="7471" ht="15" customHeight="1">
      <c r="A7471" t="inlineStr">
        <is>
          <t>A 61686-2025</t>
        </is>
      </c>
      <c r="B7471" s="1" t="n">
        <v>46002</v>
      </c>
      <c r="C7471" s="1" t="n">
        <v>46086</v>
      </c>
      <c r="D7471" t="inlineStr">
        <is>
          <t>GÄVLEBORGS LÄN</t>
        </is>
      </c>
      <c r="E7471" t="inlineStr">
        <is>
          <t>BOLLNÄS</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4178-2026</t>
        </is>
      </c>
      <c r="B7472" s="1" t="n">
        <v>46044.68048611111</v>
      </c>
      <c r="C7472" s="1" t="n">
        <v>46086</v>
      </c>
      <c r="D7472" t="inlineStr">
        <is>
          <t>GÄVLEBORGS LÄN</t>
        </is>
      </c>
      <c r="E7472" t="inlineStr">
        <is>
          <t>OCKELBO</t>
        </is>
      </c>
      <c r="G7472" t="n">
        <v>3.8</v>
      </c>
      <c r="H7472" t="n">
        <v>0</v>
      </c>
      <c r="I7472" t="n">
        <v>0</v>
      </c>
      <c r="J7472" t="n">
        <v>0</v>
      </c>
      <c r="K7472" t="n">
        <v>0</v>
      </c>
      <c r="L7472" t="n">
        <v>0</v>
      </c>
      <c r="M7472" t="n">
        <v>0</v>
      </c>
      <c r="N7472" t="n">
        <v>0</v>
      </c>
      <c r="O7472" t="n">
        <v>0</v>
      </c>
      <c r="P7472" t="n">
        <v>0</v>
      </c>
      <c r="Q7472" t="n">
        <v>0</v>
      </c>
      <c r="R7472" s="2" t="inlineStr"/>
    </row>
    <row r="7473" ht="15" customHeight="1">
      <c r="A7473" t="inlineStr">
        <is>
          <t>A 4258-2026</t>
        </is>
      </c>
      <c r="B7473" s="1" t="n">
        <v>46045.33723379629</v>
      </c>
      <c r="C7473" s="1" t="n">
        <v>46086</v>
      </c>
      <c r="D7473" t="inlineStr">
        <is>
          <t>GÄVLEBORGS LÄN</t>
        </is>
      </c>
      <c r="E7473" t="inlineStr">
        <is>
          <t>BOLLNÄS</t>
        </is>
      </c>
      <c r="G7473" t="n">
        <v>3.5</v>
      </c>
      <c r="H7473" t="n">
        <v>0</v>
      </c>
      <c r="I7473" t="n">
        <v>0</v>
      </c>
      <c r="J7473" t="n">
        <v>0</v>
      </c>
      <c r="K7473" t="n">
        <v>0</v>
      </c>
      <c r="L7473" t="n">
        <v>0</v>
      </c>
      <c r="M7473" t="n">
        <v>0</v>
      </c>
      <c r="N7473" t="n">
        <v>0</v>
      </c>
      <c r="O7473" t="n">
        <v>0</v>
      </c>
      <c r="P7473" t="n">
        <v>0</v>
      </c>
      <c r="Q7473" t="n">
        <v>0</v>
      </c>
      <c r="R7473" s="2" t="inlineStr"/>
    </row>
    <row r="7474" ht="15" customHeight="1">
      <c r="A7474" t="inlineStr">
        <is>
          <t>A 4261-2026</t>
        </is>
      </c>
      <c r="B7474" s="1" t="n">
        <v>46045.34334490741</v>
      </c>
      <c r="C7474" s="1" t="n">
        <v>46086</v>
      </c>
      <c r="D7474" t="inlineStr">
        <is>
          <t>GÄVLEBORGS LÄN</t>
        </is>
      </c>
      <c r="E7474" t="inlineStr">
        <is>
          <t>BOLLNÄS</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4281-2026</t>
        </is>
      </c>
      <c r="B7475" s="1" t="n">
        <v>46045.38572916666</v>
      </c>
      <c r="C7475" s="1" t="n">
        <v>46086</v>
      </c>
      <c r="D7475" t="inlineStr">
        <is>
          <t>GÄVLEBORGS LÄN</t>
        </is>
      </c>
      <c r="E7475" t="inlineStr">
        <is>
          <t>BOLLNÄS</t>
        </is>
      </c>
      <c r="G7475" t="n">
        <v>10.5</v>
      </c>
      <c r="H7475" t="n">
        <v>0</v>
      </c>
      <c r="I7475" t="n">
        <v>0</v>
      </c>
      <c r="J7475" t="n">
        <v>0</v>
      </c>
      <c r="K7475" t="n">
        <v>0</v>
      </c>
      <c r="L7475" t="n">
        <v>0</v>
      </c>
      <c r="M7475" t="n">
        <v>0</v>
      </c>
      <c r="N7475" t="n">
        <v>0</v>
      </c>
      <c r="O7475" t="n">
        <v>0</v>
      </c>
      <c r="P7475" t="n">
        <v>0</v>
      </c>
      <c r="Q7475" t="n">
        <v>0</v>
      </c>
      <c r="R7475" s="2" t="inlineStr"/>
    </row>
    <row r="7476" ht="15" customHeight="1">
      <c r="A7476" t="inlineStr">
        <is>
          <t>A 51842-2024</t>
        </is>
      </c>
      <c r="B7476" s="1" t="n">
        <v>45607.52349537037</v>
      </c>
      <c r="C7476" s="1" t="n">
        <v>46086</v>
      </c>
      <c r="D7476" t="inlineStr">
        <is>
          <t>GÄVLEBORGS LÄN</t>
        </is>
      </c>
      <c r="E7476" t="inlineStr">
        <is>
          <t>NORDANSTIG</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4370-2026</t>
        </is>
      </c>
      <c r="B7477" s="1" t="n">
        <v>46045.54849537037</v>
      </c>
      <c r="C7477" s="1" t="n">
        <v>46086</v>
      </c>
      <c r="D7477" t="inlineStr">
        <is>
          <t>GÄVLEBORGS LÄN</t>
        </is>
      </c>
      <c r="E7477" t="inlineStr">
        <is>
          <t>NORDANSTIG</t>
        </is>
      </c>
      <c r="G7477" t="n">
        <v>4.1</v>
      </c>
      <c r="H7477" t="n">
        <v>0</v>
      </c>
      <c r="I7477" t="n">
        <v>0</v>
      </c>
      <c r="J7477" t="n">
        <v>0</v>
      </c>
      <c r="K7477" t="n">
        <v>0</v>
      </c>
      <c r="L7477" t="n">
        <v>0</v>
      </c>
      <c r="M7477" t="n">
        <v>0</v>
      </c>
      <c r="N7477" t="n">
        <v>0</v>
      </c>
      <c r="O7477" t="n">
        <v>0</v>
      </c>
      <c r="P7477" t="n">
        <v>0</v>
      </c>
      <c r="Q7477" t="n">
        <v>0</v>
      </c>
      <c r="R7477" s="2" t="inlineStr"/>
    </row>
    <row r="7478" ht="15" customHeight="1">
      <c r="A7478" t="inlineStr">
        <is>
          <t>A 4390-2026</t>
        </is>
      </c>
      <c r="B7478" s="1" t="n">
        <v>46045.57364583333</v>
      </c>
      <c r="C7478" s="1" t="n">
        <v>46086</v>
      </c>
      <c r="D7478" t="inlineStr">
        <is>
          <t>GÄVLEBORGS LÄN</t>
        </is>
      </c>
      <c r="E7478" t="inlineStr">
        <is>
          <t>BOLLNÄS</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52206-2024</t>
        </is>
      </c>
      <c r="B7479" s="1" t="n">
        <v>45608.58549768518</v>
      </c>
      <c r="C7479" s="1" t="n">
        <v>46086</v>
      </c>
      <c r="D7479" t="inlineStr">
        <is>
          <t>GÄVLEBORGS LÄN</t>
        </is>
      </c>
      <c r="E7479" t="inlineStr">
        <is>
          <t>OCKELBO</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16641-2024</t>
        </is>
      </c>
      <c r="B7480" s="1" t="n">
        <v>45408.60974537037</v>
      </c>
      <c r="C7480" s="1" t="n">
        <v>46086</v>
      </c>
      <c r="D7480" t="inlineStr">
        <is>
          <t>GÄVLEBORGS LÄN</t>
        </is>
      </c>
      <c r="E7480" t="inlineStr">
        <is>
          <t>BOLLNÄS</t>
        </is>
      </c>
      <c r="F7480" t="inlineStr">
        <is>
          <t>Bergvik skog öst AB</t>
        </is>
      </c>
      <c r="G7480" t="n">
        <v>4.5</v>
      </c>
      <c r="H7480" t="n">
        <v>0</v>
      </c>
      <c r="I7480" t="n">
        <v>0</v>
      </c>
      <c r="J7480" t="n">
        <v>0</v>
      </c>
      <c r="K7480" t="n">
        <v>0</v>
      </c>
      <c r="L7480" t="n">
        <v>0</v>
      </c>
      <c r="M7480" t="n">
        <v>0</v>
      </c>
      <c r="N7480" t="n">
        <v>0</v>
      </c>
      <c r="O7480" t="n">
        <v>0</v>
      </c>
      <c r="P7480" t="n">
        <v>0</v>
      </c>
      <c r="Q7480" t="n">
        <v>0</v>
      </c>
      <c r="R7480" s="2" t="inlineStr"/>
    </row>
    <row r="7481" ht="15" customHeight="1">
      <c r="A7481" t="inlineStr">
        <is>
          <t>A 4402-2026</t>
        </is>
      </c>
      <c r="B7481" s="1" t="n">
        <v>46045.58982638889</v>
      </c>
      <c r="C7481" s="1" t="n">
        <v>46086</v>
      </c>
      <c r="D7481" t="inlineStr">
        <is>
          <t>GÄVLEBORGS LÄN</t>
        </is>
      </c>
      <c r="E7481" t="inlineStr">
        <is>
          <t>BOLLNÄS</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4273-2026</t>
        </is>
      </c>
      <c r="B7482" s="1" t="n">
        <v>46045.36121527778</v>
      </c>
      <c r="C7482" s="1" t="n">
        <v>46086</v>
      </c>
      <c r="D7482" t="inlineStr">
        <is>
          <t>GÄVLEBORGS LÄN</t>
        </is>
      </c>
      <c r="E7482" t="inlineStr">
        <is>
          <t>BOLLNÄS</t>
        </is>
      </c>
      <c r="G7482" t="n">
        <v>6.1</v>
      </c>
      <c r="H7482" t="n">
        <v>0</v>
      </c>
      <c r="I7482" t="n">
        <v>0</v>
      </c>
      <c r="J7482" t="n">
        <v>0</v>
      </c>
      <c r="K7482" t="n">
        <v>0</v>
      </c>
      <c r="L7482" t="n">
        <v>0</v>
      </c>
      <c r="M7482" t="n">
        <v>0</v>
      </c>
      <c r="N7482" t="n">
        <v>0</v>
      </c>
      <c r="O7482" t="n">
        <v>0</v>
      </c>
      <c r="P7482" t="n">
        <v>0</v>
      </c>
      <c r="Q7482" t="n">
        <v>0</v>
      </c>
      <c r="R7482" s="2" t="inlineStr"/>
    </row>
    <row r="7483" ht="15" customHeight="1">
      <c r="A7483" t="inlineStr">
        <is>
          <t>A 4299-2026</t>
        </is>
      </c>
      <c r="B7483" s="1" t="n">
        <v>46045.42451388889</v>
      </c>
      <c r="C7483" s="1" t="n">
        <v>46086</v>
      </c>
      <c r="D7483" t="inlineStr">
        <is>
          <t>GÄVLEBORGS LÄN</t>
        </is>
      </c>
      <c r="E7483" t="inlineStr">
        <is>
          <t>BOLLNÄS</t>
        </is>
      </c>
      <c r="G7483" t="n">
        <v>7.9</v>
      </c>
      <c r="H7483" t="n">
        <v>0</v>
      </c>
      <c r="I7483" t="n">
        <v>0</v>
      </c>
      <c r="J7483" t="n">
        <v>0</v>
      </c>
      <c r="K7483" t="n">
        <v>0</v>
      </c>
      <c r="L7483" t="n">
        <v>0</v>
      </c>
      <c r="M7483" t="n">
        <v>0</v>
      </c>
      <c r="N7483" t="n">
        <v>0</v>
      </c>
      <c r="O7483" t="n">
        <v>0</v>
      </c>
      <c r="P7483" t="n">
        <v>0</v>
      </c>
      <c r="Q7483" t="n">
        <v>0</v>
      </c>
      <c r="R7483" s="2" t="inlineStr"/>
    </row>
    <row r="7484" ht="15" customHeight="1">
      <c r="A7484" t="inlineStr">
        <is>
          <t>A 4301-2026</t>
        </is>
      </c>
      <c r="B7484" s="1" t="n">
        <v>46045.4258449074</v>
      </c>
      <c r="C7484" s="1" t="n">
        <v>46086</v>
      </c>
      <c r="D7484" t="inlineStr">
        <is>
          <t>GÄVLEBORGS LÄN</t>
        </is>
      </c>
      <c r="E7484" t="inlineStr">
        <is>
          <t>SANDVIKEN</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4472-2026</t>
        </is>
      </c>
      <c r="B7485" s="1" t="n">
        <v>46045.6591087963</v>
      </c>
      <c r="C7485" s="1" t="n">
        <v>46086</v>
      </c>
      <c r="D7485" t="inlineStr">
        <is>
          <t>GÄVLEBORGS LÄN</t>
        </is>
      </c>
      <c r="E7485" t="inlineStr">
        <is>
          <t>OVANÅKER</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4319-2026</t>
        </is>
      </c>
      <c r="B7486" s="1" t="n">
        <v>46045.45097222222</v>
      </c>
      <c r="C7486" s="1" t="n">
        <v>46086</v>
      </c>
      <c r="D7486" t="inlineStr">
        <is>
          <t>GÄVLEBORGS LÄN</t>
        </is>
      </c>
      <c r="E7486" t="inlineStr">
        <is>
          <t>LJUSDAL</t>
        </is>
      </c>
      <c r="F7486" t="inlineStr">
        <is>
          <t>Holmen skog AB</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4350-2026</t>
        </is>
      </c>
      <c r="B7487" s="1" t="n">
        <v>46045.52701388889</v>
      </c>
      <c r="C7487" s="1" t="n">
        <v>46086</v>
      </c>
      <c r="D7487" t="inlineStr">
        <is>
          <t>GÄVLEBORGS LÄN</t>
        </is>
      </c>
      <c r="E7487" t="inlineStr">
        <is>
          <t>SANDVIKEN</t>
        </is>
      </c>
      <c r="F7487" t="inlineStr">
        <is>
          <t>Kommuner</t>
        </is>
      </c>
      <c r="G7487" t="n">
        <v>5.3</v>
      </c>
      <c r="H7487" t="n">
        <v>0</v>
      </c>
      <c r="I7487" t="n">
        <v>0</v>
      </c>
      <c r="J7487" t="n">
        <v>0</v>
      </c>
      <c r="K7487" t="n">
        <v>0</v>
      </c>
      <c r="L7487" t="n">
        <v>0</v>
      </c>
      <c r="M7487" t="n">
        <v>0</v>
      </c>
      <c r="N7487" t="n">
        <v>0</v>
      </c>
      <c r="O7487" t="n">
        <v>0</v>
      </c>
      <c r="P7487" t="n">
        <v>0</v>
      </c>
      <c r="Q7487" t="n">
        <v>0</v>
      </c>
      <c r="R7487" s="2" t="inlineStr"/>
    </row>
    <row r="7488" ht="15" customHeight="1">
      <c r="A7488" t="inlineStr">
        <is>
          <t>A 57464-2024</t>
        </is>
      </c>
      <c r="B7488" s="1" t="n">
        <v>45630.32444444444</v>
      </c>
      <c r="C7488" s="1" t="n">
        <v>46086</v>
      </c>
      <c r="D7488" t="inlineStr">
        <is>
          <t>GÄVLEBORGS LÄN</t>
        </is>
      </c>
      <c r="E7488" t="inlineStr">
        <is>
          <t>GÄVLE</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4353-2026</t>
        </is>
      </c>
      <c r="B7489" s="1" t="n">
        <v>46045.53200231482</v>
      </c>
      <c r="C7489" s="1" t="n">
        <v>46086</v>
      </c>
      <c r="D7489" t="inlineStr">
        <is>
          <t>GÄVLEBORGS LÄN</t>
        </is>
      </c>
      <c r="E7489" t="inlineStr">
        <is>
          <t>SÖDERHAMN</t>
        </is>
      </c>
      <c r="G7489" t="n">
        <v>3.4</v>
      </c>
      <c r="H7489" t="n">
        <v>0</v>
      </c>
      <c r="I7489" t="n">
        <v>0</v>
      </c>
      <c r="J7489" t="n">
        <v>0</v>
      </c>
      <c r="K7489" t="n">
        <v>0</v>
      </c>
      <c r="L7489" t="n">
        <v>0</v>
      </c>
      <c r="M7489" t="n">
        <v>0</v>
      </c>
      <c r="N7489" t="n">
        <v>0</v>
      </c>
      <c r="O7489" t="n">
        <v>0</v>
      </c>
      <c r="P7489" t="n">
        <v>0</v>
      </c>
      <c r="Q7489" t="n">
        <v>0</v>
      </c>
      <c r="R7489" s="2" t="inlineStr"/>
    </row>
    <row r="7490" ht="15" customHeight="1">
      <c r="A7490" t="inlineStr">
        <is>
          <t>A 3939-2026</t>
        </is>
      </c>
      <c r="B7490" s="1" t="n">
        <v>46043.88806712963</v>
      </c>
      <c r="C7490" s="1" t="n">
        <v>46086</v>
      </c>
      <c r="D7490" t="inlineStr">
        <is>
          <t>GÄVLEBORGS LÄN</t>
        </is>
      </c>
      <c r="E7490" t="inlineStr">
        <is>
          <t>BOLLNÄS</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3948-2026</t>
        </is>
      </c>
      <c r="B7491" s="1" t="n">
        <v>46044.29119212963</v>
      </c>
      <c r="C7491" s="1" t="n">
        <v>46086</v>
      </c>
      <c r="D7491" t="inlineStr">
        <is>
          <t>GÄVLEBORGS LÄN</t>
        </is>
      </c>
      <c r="E7491" t="inlineStr">
        <is>
          <t>BOLLNÄS</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3952-2026</t>
        </is>
      </c>
      <c r="B7492" s="1" t="n">
        <v>46044.31905092593</v>
      </c>
      <c r="C7492" s="1" t="n">
        <v>46086</v>
      </c>
      <c r="D7492" t="inlineStr">
        <is>
          <t>GÄVLEBORGS LÄN</t>
        </is>
      </c>
      <c r="E7492" t="inlineStr">
        <is>
          <t>OVANÅKER</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20557-2023</t>
        </is>
      </c>
      <c r="B7493" s="1" t="n">
        <v>45057.62391203704</v>
      </c>
      <c r="C7493" s="1" t="n">
        <v>46086</v>
      </c>
      <c r="D7493" t="inlineStr">
        <is>
          <t>GÄVLEBORGS LÄN</t>
        </is>
      </c>
      <c r="E7493" t="inlineStr">
        <is>
          <t>BOLLNÄS</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4296-2026</t>
        </is>
      </c>
      <c r="B7494" s="1" t="n">
        <v>46045.41877314815</v>
      </c>
      <c r="C7494" s="1" t="n">
        <v>46086</v>
      </c>
      <c r="D7494" t="inlineStr">
        <is>
          <t>GÄVLEBORGS LÄN</t>
        </is>
      </c>
      <c r="E7494" t="inlineStr">
        <is>
          <t>BOLLNÄS</t>
        </is>
      </c>
      <c r="G7494" t="n">
        <v>5.7</v>
      </c>
      <c r="H7494" t="n">
        <v>0</v>
      </c>
      <c r="I7494" t="n">
        <v>0</v>
      </c>
      <c r="J7494" t="n">
        <v>0</v>
      </c>
      <c r="K7494" t="n">
        <v>0</v>
      </c>
      <c r="L7494" t="n">
        <v>0</v>
      </c>
      <c r="M7494" t="n">
        <v>0</v>
      </c>
      <c r="N7494" t="n">
        <v>0</v>
      </c>
      <c r="O7494" t="n">
        <v>0</v>
      </c>
      <c r="P7494" t="n">
        <v>0</v>
      </c>
      <c r="Q7494" t="n">
        <v>0</v>
      </c>
      <c r="R7494" s="2" t="inlineStr"/>
    </row>
    <row r="7495" ht="15" customHeight="1">
      <c r="A7495" t="inlineStr">
        <is>
          <t>A 4111-2026</t>
        </is>
      </c>
      <c r="B7495" s="1" t="n">
        <v>46044.59664351852</v>
      </c>
      <c r="C7495" s="1" t="n">
        <v>46086</v>
      </c>
      <c r="D7495" t="inlineStr">
        <is>
          <t>GÄVLEBORGS LÄN</t>
        </is>
      </c>
      <c r="E7495" t="inlineStr">
        <is>
          <t>NORDANSTIG</t>
        </is>
      </c>
      <c r="G7495" t="n">
        <v>15.3</v>
      </c>
      <c r="H7495" t="n">
        <v>0</v>
      </c>
      <c r="I7495" t="n">
        <v>0</v>
      </c>
      <c r="J7495" t="n">
        <v>0</v>
      </c>
      <c r="K7495" t="n">
        <v>0</v>
      </c>
      <c r="L7495" t="n">
        <v>0</v>
      </c>
      <c r="M7495" t="n">
        <v>0</v>
      </c>
      <c r="N7495" t="n">
        <v>0</v>
      </c>
      <c r="O7495" t="n">
        <v>0</v>
      </c>
      <c r="P7495" t="n">
        <v>0</v>
      </c>
      <c r="Q7495" t="n">
        <v>0</v>
      </c>
      <c r="R7495" s="2" t="inlineStr"/>
    </row>
    <row r="7496" ht="15" customHeight="1">
      <c r="A7496" t="inlineStr">
        <is>
          <t>A 4128-2026</t>
        </is>
      </c>
      <c r="B7496" s="1" t="n">
        <v>46044.61716435185</v>
      </c>
      <c r="C7496" s="1" t="n">
        <v>46086</v>
      </c>
      <c r="D7496" t="inlineStr">
        <is>
          <t>GÄVLEBORGS LÄN</t>
        </is>
      </c>
      <c r="E7496" t="inlineStr">
        <is>
          <t>NORDANSTIG</t>
        </is>
      </c>
      <c r="G7496" t="n">
        <v>8</v>
      </c>
      <c r="H7496" t="n">
        <v>0</v>
      </c>
      <c r="I7496" t="n">
        <v>0</v>
      </c>
      <c r="J7496" t="n">
        <v>0</v>
      </c>
      <c r="K7496" t="n">
        <v>0</v>
      </c>
      <c r="L7496" t="n">
        <v>0</v>
      </c>
      <c r="M7496" t="n">
        <v>0</v>
      </c>
      <c r="N7496" t="n">
        <v>0</v>
      </c>
      <c r="O7496" t="n">
        <v>0</v>
      </c>
      <c r="P7496" t="n">
        <v>0</v>
      </c>
      <c r="Q7496" t="n">
        <v>0</v>
      </c>
      <c r="R7496" s="2" t="inlineStr"/>
    </row>
    <row r="7497" ht="15" customHeight="1">
      <c r="A7497" t="inlineStr">
        <is>
          <t>A 4163-2026</t>
        </is>
      </c>
      <c r="B7497" s="1" t="n">
        <v>46044.65936342593</v>
      </c>
      <c r="C7497" s="1" t="n">
        <v>46086</v>
      </c>
      <c r="D7497" t="inlineStr">
        <is>
          <t>GÄVLEBORGS LÄN</t>
        </is>
      </c>
      <c r="E7497" t="inlineStr">
        <is>
          <t>OVANÅKER</t>
        </is>
      </c>
      <c r="G7497" t="n">
        <v>5.5</v>
      </c>
      <c r="H7497" t="n">
        <v>0</v>
      </c>
      <c r="I7497" t="n">
        <v>0</v>
      </c>
      <c r="J7497" t="n">
        <v>0</v>
      </c>
      <c r="K7497" t="n">
        <v>0</v>
      </c>
      <c r="L7497" t="n">
        <v>0</v>
      </c>
      <c r="M7497" t="n">
        <v>0</v>
      </c>
      <c r="N7497" t="n">
        <v>0</v>
      </c>
      <c r="O7497" t="n">
        <v>0</v>
      </c>
      <c r="P7497" t="n">
        <v>0</v>
      </c>
      <c r="Q7497" t="n">
        <v>0</v>
      </c>
      <c r="R7497" s="2" t="inlineStr"/>
    </row>
    <row r="7498" ht="15" customHeight="1">
      <c r="A7498" t="inlineStr">
        <is>
          <t>A 12846-2024</t>
        </is>
      </c>
      <c r="B7498" s="1" t="n">
        <v>45384.80761574074</v>
      </c>
      <c r="C7498" s="1" t="n">
        <v>46086</v>
      </c>
      <c r="D7498" t="inlineStr">
        <is>
          <t>GÄVLEBORGS LÄN</t>
        </is>
      </c>
      <c r="E7498" t="inlineStr">
        <is>
          <t>HUDIKSVALL</t>
        </is>
      </c>
      <c r="F7498" t="inlineStr">
        <is>
          <t>Holmen skog AB</t>
        </is>
      </c>
      <c r="G7498" t="n">
        <v>4</v>
      </c>
      <c r="H7498" t="n">
        <v>0</v>
      </c>
      <c r="I7498" t="n">
        <v>0</v>
      </c>
      <c r="J7498" t="n">
        <v>0</v>
      </c>
      <c r="K7498" t="n">
        <v>0</v>
      </c>
      <c r="L7498" t="n">
        <v>0</v>
      </c>
      <c r="M7498" t="n">
        <v>0</v>
      </c>
      <c r="N7498" t="n">
        <v>0</v>
      </c>
      <c r="O7498" t="n">
        <v>0</v>
      </c>
      <c r="P7498" t="n">
        <v>0</v>
      </c>
      <c r="Q7498" t="n">
        <v>0</v>
      </c>
      <c r="R7498" s="2" t="inlineStr"/>
    </row>
    <row r="7499" ht="15" customHeight="1">
      <c r="A7499" t="inlineStr">
        <is>
          <t>A 4060-2026</t>
        </is>
      </c>
      <c r="B7499" s="1" t="n">
        <v>46044.50009259259</v>
      </c>
      <c r="C7499" s="1" t="n">
        <v>46086</v>
      </c>
      <c r="D7499" t="inlineStr">
        <is>
          <t>GÄVLEBORGS LÄN</t>
        </is>
      </c>
      <c r="E7499" t="inlineStr">
        <is>
          <t>SÖDERHAMN</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4339-2026</t>
        </is>
      </c>
      <c r="B7500" s="1" t="n">
        <v>46045.50789351852</v>
      </c>
      <c r="C7500" s="1" t="n">
        <v>46086</v>
      </c>
      <c r="D7500" t="inlineStr">
        <is>
          <t>GÄVLEBORGS LÄN</t>
        </is>
      </c>
      <c r="E7500" t="inlineStr">
        <is>
          <t>BOLLNÄS</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17964-2025</t>
        </is>
      </c>
      <c r="B7501" s="1" t="n">
        <v>45761</v>
      </c>
      <c r="C7501" s="1" t="n">
        <v>46086</v>
      </c>
      <c r="D7501" t="inlineStr">
        <is>
          <t>GÄVLEBORGS LÄN</t>
        </is>
      </c>
      <c r="E7501" t="inlineStr">
        <is>
          <t>BOLLNÄS</t>
        </is>
      </c>
      <c r="F7501" t="inlineStr">
        <is>
          <t>Kyrkan</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61696-2025</t>
        </is>
      </c>
      <c r="B7502" s="1" t="n">
        <v>46002.52833333334</v>
      </c>
      <c r="C7502" s="1" t="n">
        <v>46086</v>
      </c>
      <c r="D7502" t="inlineStr">
        <is>
          <t>GÄVLEBORGS LÄN</t>
        </is>
      </c>
      <c r="E7502" t="inlineStr">
        <is>
          <t>HUDIKSVALL</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18906-2023</t>
        </is>
      </c>
      <c r="B7503" s="1" t="n">
        <v>45044.57915509259</v>
      </c>
      <c r="C7503" s="1" t="n">
        <v>46086</v>
      </c>
      <c r="D7503" t="inlineStr">
        <is>
          <t>GÄVLEBORGS LÄN</t>
        </is>
      </c>
      <c r="E7503" t="inlineStr">
        <is>
          <t>OVANÅKER</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4037-2026</t>
        </is>
      </c>
      <c r="B7504" s="1" t="n">
        <v>46044.45016203704</v>
      </c>
      <c r="C7504" s="1" t="n">
        <v>46086</v>
      </c>
      <c r="D7504" t="inlineStr">
        <is>
          <t>GÄVLEBORGS LÄN</t>
        </is>
      </c>
      <c r="E7504" t="inlineStr">
        <is>
          <t>OCKELBO</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19629-2024</t>
        </is>
      </c>
      <c r="B7505" s="1" t="n">
        <v>45432.36076388889</v>
      </c>
      <c r="C7505" s="1" t="n">
        <v>46086</v>
      </c>
      <c r="D7505" t="inlineStr">
        <is>
          <t>GÄVLEBORGS LÄN</t>
        </is>
      </c>
      <c r="E7505" t="inlineStr">
        <is>
          <t>OVANÅKER</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61601-2025</t>
        </is>
      </c>
      <c r="B7506" s="1" t="n">
        <v>46002.3639699074</v>
      </c>
      <c r="C7506" s="1" t="n">
        <v>46086</v>
      </c>
      <c r="D7506" t="inlineStr">
        <is>
          <t>GÄVLEBORGS LÄN</t>
        </is>
      </c>
      <c r="E7506" t="inlineStr">
        <is>
          <t>SANDVIKEN</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61649-2025</t>
        </is>
      </c>
      <c r="B7507" s="1" t="n">
        <v>46002.44395833334</v>
      </c>
      <c r="C7507" s="1" t="n">
        <v>46086</v>
      </c>
      <c r="D7507" t="inlineStr">
        <is>
          <t>GÄVLEBORGS LÄN</t>
        </is>
      </c>
      <c r="E7507" t="inlineStr">
        <is>
          <t>HUDIKSVALL</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30561-2024</t>
        </is>
      </c>
      <c r="B7508" s="1" t="n">
        <v>45492.92834490741</v>
      </c>
      <c r="C7508" s="1" t="n">
        <v>46086</v>
      </c>
      <c r="D7508" t="inlineStr">
        <is>
          <t>GÄVLEBORGS LÄN</t>
        </is>
      </c>
      <c r="E7508" t="inlineStr">
        <is>
          <t>BOLLNÄS</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32255-2023</t>
        </is>
      </c>
      <c r="B7509" s="1" t="n">
        <v>45120.29087962963</v>
      </c>
      <c r="C7509" s="1" t="n">
        <v>46086</v>
      </c>
      <c r="D7509" t="inlineStr">
        <is>
          <t>GÄVLEBORGS LÄN</t>
        </is>
      </c>
      <c r="E7509" t="inlineStr">
        <is>
          <t>GÄVLE</t>
        </is>
      </c>
      <c r="G7509" t="n">
        <v>3.5</v>
      </c>
      <c r="H7509" t="n">
        <v>0</v>
      </c>
      <c r="I7509" t="n">
        <v>0</v>
      </c>
      <c r="J7509" t="n">
        <v>0</v>
      </c>
      <c r="K7509" t="n">
        <v>0</v>
      </c>
      <c r="L7509" t="n">
        <v>0</v>
      </c>
      <c r="M7509" t="n">
        <v>0</v>
      </c>
      <c r="N7509" t="n">
        <v>0</v>
      </c>
      <c r="O7509" t="n">
        <v>0</v>
      </c>
      <c r="P7509" t="n">
        <v>0</v>
      </c>
      <c r="Q7509" t="n">
        <v>0</v>
      </c>
      <c r="R7509" s="2" t="inlineStr"/>
    </row>
    <row r="7510" ht="15" customHeight="1">
      <c r="A7510" t="inlineStr">
        <is>
          <t>A 61879-2025</t>
        </is>
      </c>
      <c r="B7510" s="1" t="n">
        <v>46003.41318287037</v>
      </c>
      <c r="C7510" s="1" t="n">
        <v>46086</v>
      </c>
      <c r="D7510" t="inlineStr">
        <is>
          <t>GÄVLEBORGS LÄN</t>
        </is>
      </c>
      <c r="E7510" t="inlineStr">
        <is>
          <t>GÄVLE</t>
        </is>
      </c>
      <c r="F7510" t="inlineStr">
        <is>
          <t>Bergvik skog öst AB</t>
        </is>
      </c>
      <c r="G7510" t="n">
        <v>4.3</v>
      </c>
      <c r="H7510" t="n">
        <v>0</v>
      </c>
      <c r="I7510" t="n">
        <v>0</v>
      </c>
      <c r="J7510" t="n">
        <v>0</v>
      </c>
      <c r="K7510" t="n">
        <v>0</v>
      </c>
      <c r="L7510" t="n">
        <v>0</v>
      </c>
      <c r="M7510" t="n">
        <v>0</v>
      </c>
      <c r="N7510" t="n">
        <v>0</v>
      </c>
      <c r="O7510" t="n">
        <v>0</v>
      </c>
      <c r="P7510" t="n">
        <v>0</v>
      </c>
      <c r="Q7510" t="n">
        <v>0</v>
      </c>
      <c r="R7510" s="2" t="inlineStr"/>
    </row>
    <row r="7511" ht="15" customHeight="1">
      <c r="A7511" t="inlineStr">
        <is>
          <t>A 61833-2025</t>
        </is>
      </c>
      <c r="B7511" s="1" t="n">
        <v>46003.3446412037</v>
      </c>
      <c r="C7511" s="1" t="n">
        <v>46086</v>
      </c>
      <c r="D7511" t="inlineStr">
        <is>
          <t>GÄVLEBORGS LÄN</t>
        </is>
      </c>
      <c r="E7511" t="inlineStr">
        <is>
          <t>LJUSDAL</t>
        </is>
      </c>
      <c r="G7511" t="n">
        <v>14.7</v>
      </c>
      <c r="H7511" t="n">
        <v>0</v>
      </c>
      <c r="I7511" t="n">
        <v>0</v>
      </c>
      <c r="J7511" t="n">
        <v>0</v>
      </c>
      <c r="K7511" t="n">
        <v>0</v>
      </c>
      <c r="L7511" t="n">
        <v>0</v>
      </c>
      <c r="M7511" t="n">
        <v>0</v>
      </c>
      <c r="N7511" t="n">
        <v>0</v>
      </c>
      <c r="O7511" t="n">
        <v>0</v>
      </c>
      <c r="P7511" t="n">
        <v>0</v>
      </c>
      <c r="Q7511" t="n">
        <v>0</v>
      </c>
      <c r="R7511" s="2" t="inlineStr"/>
    </row>
    <row r="7512" ht="15" customHeight="1">
      <c r="A7512" t="inlineStr">
        <is>
          <t>A 4513-2026</t>
        </is>
      </c>
      <c r="B7512" s="1" t="n">
        <v>46045.81793981481</v>
      </c>
      <c r="C7512" s="1" t="n">
        <v>46086</v>
      </c>
      <c r="D7512" t="inlineStr">
        <is>
          <t>GÄVLEBORGS LÄN</t>
        </is>
      </c>
      <c r="E7512" t="inlineStr">
        <is>
          <t>SANDVIKEN</t>
        </is>
      </c>
      <c r="G7512" t="n">
        <v>4</v>
      </c>
      <c r="H7512" t="n">
        <v>0</v>
      </c>
      <c r="I7512" t="n">
        <v>0</v>
      </c>
      <c r="J7512" t="n">
        <v>0</v>
      </c>
      <c r="K7512" t="n">
        <v>0</v>
      </c>
      <c r="L7512" t="n">
        <v>0</v>
      </c>
      <c r="M7512" t="n">
        <v>0</v>
      </c>
      <c r="N7512" t="n">
        <v>0</v>
      </c>
      <c r="O7512" t="n">
        <v>0</v>
      </c>
      <c r="P7512" t="n">
        <v>0</v>
      </c>
      <c r="Q7512" t="n">
        <v>0</v>
      </c>
      <c r="R7512" s="2" t="inlineStr"/>
    </row>
    <row r="7513" ht="15" customHeight="1">
      <c r="A7513" t="inlineStr">
        <is>
          <t>A 3947-2026</t>
        </is>
      </c>
      <c r="B7513" s="1" t="n">
        <v>46044.28576388889</v>
      </c>
      <c r="C7513" s="1" t="n">
        <v>46086</v>
      </c>
      <c r="D7513" t="inlineStr">
        <is>
          <t>GÄVLEBORGS LÄN</t>
        </is>
      </c>
      <c r="E7513" t="inlineStr">
        <is>
          <t>BOLLNÄS</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3954-2026</t>
        </is>
      </c>
      <c r="B7514" s="1" t="n">
        <v>46044.32200231482</v>
      </c>
      <c r="C7514" s="1" t="n">
        <v>46086</v>
      </c>
      <c r="D7514" t="inlineStr">
        <is>
          <t>GÄVLEBORGS LÄN</t>
        </is>
      </c>
      <c r="E7514" t="inlineStr">
        <is>
          <t>LJUSDAL</t>
        </is>
      </c>
      <c r="G7514" t="n">
        <v>7</v>
      </c>
      <c r="H7514" t="n">
        <v>0</v>
      </c>
      <c r="I7514" t="n">
        <v>0</v>
      </c>
      <c r="J7514" t="n">
        <v>0</v>
      </c>
      <c r="K7514" t="n">
        <v>0</v>
      </c>
      <c r="L7514" t="n">
        <v>0</v>
      </c>
      <c r="M7514" t="n">
        <v>0</v>
      </c>
      <c r="N7514" t="n">
        <v>0</v>
      </c>
      <c r="O7514" t="n">
        <v>0</v>
      </c>
      <c r="P7514" t="n">
        <v>0</v>
      </c>
      <c r="Q7514" t="n">
        <v>0</v>
      </c>
      <c r="R7514" s="2" t="inlineStr"/>
    </row>
    <row r="7515" ht="15" customHeight="1">
      <c r="A7515" t="inlineStr">
        <is>
          <t>A 4001-2026</t>
        </is>
      </c>
      <c r="B7515" s="1" t="n">
        <v>46044.39172453704</v>
      </c>
      <c r="C7515" s="1" t="n">
        <v>46086</v>
      </c>
      <c r="D7515" t="inlineStr">
        <is>
          <t>GÄVLEBORGS LÄN</t>
        </is>
      </c>
      <c r="E7515" t="inlineStr">
        <is>
          <t>OCKELBO</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4033-2026</t>
        </is>
      </c>
      <c r="B7516" s="1" t="n">
        <v>46044.44666666666</v>
      </c>
      <c r="C7516" s="1" t="n">
        <v>46086</v>
      </c>
      <c r="D7516" t="inlineStr">
        <is>
          <t>GÄVLEBORGS LÄN</t>
        </is>
      </c>
      <c r="E7516" t="inlineStr">
        <is>
          <t>NORDANSTIG</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61554-2025</t>
        </is>
      </c>
      <c r="B7517" s="1" t="n">
        <v>46001.78523148148</v>
      </c>
      <c r="C7517" s="1" t="n">
        <v>46086</v>
      </c>
      <c r="D7517" t="inlineStr">
        <is>
          <t>GÄVLEBORGS LÄN</t>
        </is>
      </c>
      <c r="E7517" t="inlineStr">
        <is>
          <t>GÄVLE</t>
        </is>
      </c>
      <c r="F7517" t="inlineStr">
        <is>
          <t>Bergvik skog öst AB</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61642-2025</t>
        </is>
      </c>
      <c r="B7518" s="1" t="n">
        <v>46002.43494212963</v>
      </c>
      <c r="C7518" s="1" t="n">
        <v>46086</v>
      </c>
      <c r="D7518" t="inlineStr">
        <is>
          <t>GÄVLEBORGS LÄN</t>
        </is>
      </c>
      <c r="E7518" t="inlineStr">
        <is>
          <t>HOFORS</t>
        </is>
      </c>
      <c r="G7518" t="n">
        <v>3.4</v>
      </c>
      <c r="H7518" t="n">
        <v>0</v>
      </c>
      <c r="I7518" t="n">
        <v>0</v>
      </c>
      <c r="J7518" t="n">
        <v>0</v>
      </c>
      <c r="K7518" t="n">
        <v>0</v>
      </c>
      <c r="L7518" t="n">
        <v>0</v>
      </c>
      <c r="M7518" t="n">
        <v>0</v>
      </c>
      <c r="N7518" t="n">
        <v>0</v>
      </c>
      <c r="O7518" t="n">
        <v>0</v>
      </c>
      <c r="P7518" t="n">
        <v>0</v>
      </c>
      <c r="Q7518" t="n">
        <v>0</v>
      </c>
      <c r="R7518" s="2" t="inlineStr"/>
    </row>
    <row r="7519" ht="15" customHeight="1">
      <c r="A7519" t="inlineStr">
        <is>
          <t>A 4487-2026</t>
        </is>
      </c>
      <c r="B7519" s="1" t="n">
        <v>46045.70766203704</v>
      </c>
      <c r="C7519" s="1" t="n">
        <v>46086</v>
      </c>
      <c r="D7519" t="inlineStr">
        <is>
          <t>GÄVLEBORGS LÄN</t>
        </is>
      </c>
      <c r="E7519" t="inlineStr">
        <is>
          <t>BOLLNÄS</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4104-2026</t>
        </is>
      </c>
      <c r="B7520" s="1" t="n">
        <v>46044.58568287037</v>
      </c>
      <c r="C7520" s="1" t="n">
        <v>46086</v>
      </c>
      <c r="D7520" t="inlineStr">
        <is>
          <t>GÄVLEBORGS LÄN</t>
        </is>
      </c>
      <c r="E7520" t="inlineStr">
        <is>
          <t>HOFORS</t>
        </is>
      </c>
      <c r="G7520" t="n">
        <v>4.8</v>
      </c>
      <c r="H7520" t="n">
        <v>0</v>
      </c>
      <c r="I7520" t="n">
        <v>0</v>
      </c>
      <c r="J7520" t="n">
        <v>0</v>
      </c>
      <c r="K7520" t="n">
        <v>0</v>
      </c>
      <c r="L7520" t="n">
        <v>0</v>
      </c>
      <c r="M7520" t="n">
        <v>0</v>
      </c>
      <c r="N7520" t="n">
        <v>0</v>
      </c>
      <c r="O7520" t="n">
        <v>0</v>
      </c>
      <c r="P7520" t="n">
        <v>0</v>
      </c>
      <c r="Q7520" t="n">
        <v>0</v>
      </c>
      <c r="R7520" s="2" t="inlineStr"/>
    </row>
    <row r="7521" ht="15" customHeight="1">
      <c r="A7521" t="inlineStr">
        <is>
          <t>A 4106-2026</t>
        </is>
      </c>
      <c r="B7521" s="1" t="n">
        <v>46044.59297453704</v>
      </c>
      <c r="C7521" s="1" t="n">
        <v>46086</v>
      </c>
      <c r="D7521" t="inlineStr">
        <is>
          <t>GÄVLEBORGS LÄN</t>
        </is>
      </c>
      <c r="E7521" t="inlineStr">
        <is>
          <t>NORDANSTIG</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4154-2026</t>
        </is>
      </c>
      <c r="B7522" s="1" t="n">
        <v>46044.65239583333</v>
      </c>
      <c r="C7522" s="1" t="n">
        <v>46086</v>
      </c>
      <c r="D7522" t="inlineStr">
        <is>
          <t>GÄVLEBORGS LÄN</t>
        </is>
      </c>
      <c r="E7522" t="inlineStr">
        <is>
          <t>HUDIKSVALL</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4179-2026</t>
        </is>
      </c>
      <c r="B7523" s="1" t="n">
        <v>46044.68167824074</v>
      </c>
      <c r="C7523" s="1" t="n">
        <v>46086</v>
      </c>
      <c r="D7523" t="inlineStr">
        <is>
          <t>GÄVLEBORGS LÄN</t>
        </is>
      </c>
      <c r="E7523" t="inlineStr">
        <is>
          <t>OCKELBO</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4222-2026</t>
        </is>
      </c>
      <c r="B7524" s="1" t="n">
        <v>46044.84438657408</v>
      </c>
      <c r="C7524" s="1" t="n">
        <v>46086</v>
      </c>
      <c r="D7524" t="inlineStr">
        <is>
          <t>GÄVLEBORGS LÄN</t>
        </is>
      </c>
      <c r="E7524" t="inlineStr">
        <is>
          <t>BOLLNÄS</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4234-2026</t>
        </is>
      </c>
      <c r="B7525" s="1" t="n">
        <v>46044.89736111111</v>
      </c>
      <c r="C7525" s="1" t="n">
        <v>46086</v>
      </c>
      <c r="D7525" t="inlineStr">
        <is>
          <t>GÄVLEBORGS LÄN</t>
        </is>
      </c>
      <c r="E7525" t="inlineStr">
        <is>
          <t>OCKELBO</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4225-2026</t>
        </is>
      </c>
      <c r="B7526" s="1" t="n">
        <v>46044.8521412037</v>
      </c>
      <c r="C7526" s="1" t="n">
        <v>46086</v>
      </c>
      <c r="D7526" t="inlineStr">
        <is>
          <t>GÄVLEBORGS LÄN</t>
        </is>
      </c>
      <c r="E7526" t="inlineStr">
        <is>
          <t>BOLLNÄS</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4243-2026</t>
        </is>
      </c>
      <c r="B7527" s="1" t="n">
        <v>46045.29960648148</v>
      </c>
      <c r="C7527" s="1" t="n">
        <v>46086</v>
      </c>
      <c r="D7527" t="inlineStr">
        <is>
          <t>GÄVLEBORGS LÄN</t>
        </is>
      </c>
      <c r="E7527" t="inlineStr">
        <is>
          <t>BOLLNÄS</t>
        </is>
      </c>
      <c r="G7527" t="n">
        <v>5.2</v>
      </c>
      <c r="H7527" t="n">
        <v>0</v>
      </c>
      <c r="I7527" t="n">
        <v>0</v>
      </c>
      <c r="J7527" t="n">
        <v>0</v>
      </c>
      <c r="K7527" t="n">
        <v>0</v>
      </c>
      <c r="L7527" t="n">
        <v>0</v>
      </c>
      <c r="M7527" t="n">
        <v>0</v>
      </c>
      <c r="N7527" t="n">
        <v>0</v>
      </c>
      <c r="O7527" t="n">
        <v>0</v>
      </c>
      <c r="P7527" t="n">
        <v>0</v>
      </c>
      <c r="Q7527" t="n">
        <v>0</v>
      </c>
      <c r="R7527" s="2" t="inlineStr"/>
    </row>
    <row r="7528" ht="15" customHeight="1">
      <c r="A7528" t="inlineStr">
        <is>
          <t>A 4250-2026</t>
        </is>
      </c>
      <c r="B7528" s="1" t="n">
        <v>46045.32310185185</v>
      </c>
      <c r="C7528" s="1" t="n">
        <v>46086</v>
      </c>
      <c r="D7528" t="inlineStr">
        <is>
          <t>GÄVLEBORGS LÄN</t>
        </is>
      </c>
      <c r="E7528" t="inlineStr">
        <is>
          <t>OCKELBO</t>
        </is>
      </c>
      <c r="F7528" t="inlineStr">
        <is>
          <t>Bergvik skog väst AB</t>
        </is>
      </c>
      <c r="G7528" t="n">
        <v>6.6</v>
      </c>
      <c r="H7528" t="n">
        <v>0</v>
      </c>
      <c r="I7528" t="n">
        <v>0</v>
      </c>
      <c r="J7528" t="n">
        <v>0</v>
      </c>
      <c r="K7528" t="n">
        <v>0</v>
      </c>
      <c r="L7528" t="n">
        <v>0</v>
      </c>
      <c r="M7528" t="n">
        <v>0</v>
      </c>
      <c r="N7528" t="n">
        <v>0</v>
      </c>
      <c r="O7528" t="n">
        <v>0</v>
      </c>
      <c r="P7528" t="n">
        <v>0</v>
      </c>
      <c r="Q7528" t="n">
        <v>0</v>
      </c>
      <c r="R7528" s="2" t="inlineStr"/>
    </row>
    <row r="7529" ht="15" customHeight="1">
      <c r="A7529" t="inlineStr">
        <is>
          <t>A 4268-2026</t>
        </is>
      </c>
      <c r="B7529" s="1" t="n">
        <v>46045.34884259259</v>
      </c>
      <c r="C7529" s="1" t="n">
        <v>46086</v>
      </c>
      <c r="D7529" t="inlineStr">
        <is>
          <t>GÄVLEBORGS LÄN</t>
        </is>
      </c>
      <c r="E7529" t="inlineStr">
        <is>
          <t>OCKELBO</t>
        </is>
      </c>
      <c r="F7529" t="inlineStr">
        <is>
          <t>Bergvik skog väst AB</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4271-2026</t>
        </is>
      </c>
      <c r="B7530" s="1" t="n">
        <v>46045.35804398148</v>
      </c>
      <c r="C7530" s="1" t="n">
        <v>46086</v>
      </c>
      <c r="D7530" t="inlineStr">
        <is>
          <t>GÄVLEBORGS LÄN</t>
        </is>
      </c>
      <c r="E7530" t="inlineStr">
        <is>
          <t>BOLLNÄS</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61618-2025</t>
        </is>
      </c>
      <c r="B7531" s="1" t="n">
        <v>46002.39143518519</v>
      </c>
      <c r="C7531" s="1" t="n">
        <v>46086</v>
      </c>
      <c r="D7531" t="inlineStr">
        <is>
          <t>GÄVLEBORGS LÄN</t>
        </is>
      </c>
      <c r="E7531" t="inlineStr">
        <is>
          <t>LJUSDAL</t>
        </is>
      </c>
      <c r="G7531" t="n">
        <v>0.8</v>
      </c>
      <c r="H7531" t="n">
        <v>0</v>
      </c>
      <c r="I7531" t="n">
        <v>0</v>
      </c>
      <c r="J7531" t="n">
        <v>0</v>
      </c>
      <c r="K7531" t="n">
        <v>0</v>
      </c>
      <c r="L7531" t="n">
        <v>0</v>
      </c>
      <c r="M7531" t="n">
        <v>0</v>
      </c>
      <c r="N7531" t="n">
        <v>0</v>
      </c>
      <c r="O7531" t="n">
        <v>0</v>
      </c>
      <c r="P7531" t="n">
        <v>0</v>
      </c>
      <c r="Q7531" t="n">
        <v>0</v>
      </c>
      <c r="R7531" s="2" t="inlineStr"/>
      <c r="U7531">
        <f>HYPERLINK("https://klasma.github.io/Logging_2161/knärot/A 61618-2025 karta knärot.png", "A 61618-2025")</f>
        <v/>
      </c>
      <c r="V7531">
        <f>HYPERLINK("https://klasma.github.io/Logging_2161/klagomål/A 61618-2025 FSC-klagomål.docx", "A 61618-2025")</f>
        <v/>
      </c>
      <c r="W7531">
        <f>HYPERLINK("https://klasma.github.io/Logging_2161/klagomålsmail/A 61618-2025 FSC-klagomål mail.docx", "A 61618-2025")</f>
        <v/>
      </c>
      <c r="X7531">
        <f>HYPERLINK("https://klasma.github.io/Logging_2161/tillsyn/A 61618-2025 tillsynsbegäran.docx", "A 61618-2025")</f>
        <v/>
      </c>
      <c r="Y7531">
        <f>HYPERLINK("https://klasma.github.io/Logging_2161/tillsynsmail/A 61618-2025 tillsynsbegäran mail.docx", "A 61618-2025")</f>
        <v/>
      </c>
    </row>
    <row r="7532" ht="15" customHeight="1">
      <c r="A7532" t="inlineStr">
        <is>
          <t>A 3991-2026</t>
        </is>
      </c>
      <c r="B7532" s="1" t="n">
        <v>46044.38246527778</v>
      </c>
      <c r="C7532" s="1" t="n">
        <v>46086</v>
      </c>
      <c r="D7532" t="inlineStr">
        <is>
          <t>GÄVLEBORGS LÄN</t>
        </is>
      </c>
      <c r="E7532" t="inlineStr">
        <is>
          <t>SANDVIKEN</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4034-2026</t>
        </is>
      </c>
      <c r="B7533" s="1" t="n">
        <v>46044.44841435185</v>
      </c>
      <c r="C7533" s="1" t="n">
        <v>46086</v>
      </c>
      <c r="D7533" t="inlineStr">
        <is>
          <t>GÄVLEBORGS LÄN</t>
        </is>
      </c>
      <c r="E7533" t="inlineStr">
        <is>
          <t>NORDANSTIG</t>
        </is>
      </c>
      <c r="G7533" t="n">
        <v>9.4</v>
      </c>
      <c r="H7533" t="n">
        <v>0</v>
      </c>
      <c r="I7533" t="n">
        <v>0</v>
      </c>
      <c r="J7533" t="n">
        <v>0</v>
      </c>
      <c r="K7533" t="n">
        <v>0</v>
      </c>
      <c r="L7533" t="n">
        <v>0</v>
      </c>
      <c r="M7533" t="n">
        <v>0</v>
      </c>
      <c r="N7533" t="n">
        <v>0</v>
      </c>
      <c r="O7533" t="n">
        <v>0</v>
      </c>
      <c r="P7533" t="n">
        <v>0</v>
      </c>
      <c r="Q7533" t="n">
        <v>0</v>
      </c>
      <c r="R7533" s="2" t="inlineStr"/>
    </row>
    <row r="7534" ht="15" customHeight="1">
      <c r="A7534" t="inlineStr">
        <is>
          <t>A 4071-2026</t>
        </is>
      </c>
      <c r="B7534" s="1" t="n">
        <v>46044.52921296296</v>
      </c>
      <c r="C7534" s="1" t="n">
        <v>46086</v>
      </c>
      <c r="D7534" t="inlineStr">
        <is>
          <t>GÄVLEBORGS LÄN</t>
        </is>
      </c>
      <c r="E7534" t="inlineStr">
        <is>
          <t>BOLLNÄS</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61747-2025</t>
        </is>
      </c>
      <c r="B7535" s="1" t="n">
        <v>46002.60978009259</v>
      </c>
      <c r="C7535" s="1" t="n">
        <v>46086</v>
      </c>
      <c r="D7535" t="inlineStr">
        <is>
          <t>GÄVLEBORGS LÄN</t>
        </is>
      </c>
      <c r="E7535" t="inlineStr">
        <is>
          <t>SÖDERHAMN</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61750-2025</t>
        </is>
      </c>
      <c r="B7536" s="1" t="n">
        <v>46002.61373842593</v>
      </c>
      <c r="C7536" s="1" t="n">
        <v>46086</v>
      </c>
      <c r="D7536" t="inlineStr">
        <is>
          <t>GÄVLEBORGS LÄN</t>
        </is>
      </c>
      <c r="E7536" t="inlineStr">
        <is>
          <t>SÖDERHAMN</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4015-2026</t>
        </is>
      </c>
      <c r="B7537" s="1" t="n">
        <v>46044.42033564814</v>
      </c>
      <c r="C7537" s="1" t="n">
        <v>46086</v>
      </c>
      <c r="D7537" t="inlineStr">
        <is>
          <t>GÄVLEBORGS LÄN</t>
        </is>
      </c>
      <c r="E7537" t="inlineStr">
        <is>
          <t>OVANÅKER</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3945-2026</t>
        </is>
      </c>
      <c r="B7538" s="1" t="n">
        <v>46043.94076388889</v>
      </c>
      <c r="C7538" s="1" t="n">
        <v>46086</v>
      </c>
      <c r="D7538" t="inlineStr">
        <is>
          <t>GÄVLEBORGS LÄN</t>
        </is>
      </c>
      <c r="E7538" t="inlineStr">
        <is>
          <t>SÖDERHAMN</t>
        </is>
      </c>
      <c r="G7538" t="n">
        <v>4.3</v>
      </c>
      <c r="H7538" t="n">
        <v>0</v>
      </c>
      <c r="I7538" t="n">
        <v>0</v>
      </c>
      <c r="J7538" t="n">
        <v>0</v>
      </c>
      <c r="K7538" t="n">
        <v>0</v>
      </c>
      <c r="L7538" t="n">
        <v>0</v>
      </c>
      <c r="M7538" t="n">
        <v>0</v>
      </c>
      <c r="N7538" t="n">
        <v>0</v>
      </c>
      <c r="O7538" t="n">
        <v>0</v>
      </c>
      <c r="P7538" t="n">
        <v>0</v>
      </c>
      <c r="Q7538" t="n">
        <v>0</v>
      </c>
      <c r="R7538" s="2" t="inlineStr"/>
    </row>
    <row r="7539" ht="15" customHeight="1">
      <c r="A7539" t="inlineStr">
        <is>
          <t>A 3961-2026</t>
        </is>
      </c>
      <c r="B7539" s="1" t="n">
        <v>46044.34211805555</v>
      </c>
      <c r="C7539" s="1" t="n">
        <v>46086</v>
      </c>
      <c r="D7539" t="inlineStr">
        <is>
          <t>GÄVLEBORGS LÄN</t>
        </is>
      </c>
      <c r="E7539" t="inlineStr">
        <is>
          <t>LJUSDAL</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4137-2026</t>
        </is>
      </c>
      <c r="B7540" s="1" t="n">
        <v>46044.63023148148</v>
      </c>
      <c r="C7540" s="1" t="n">
        <v>46086</v>
      </c>
      <c r="D7540" t="inlineStr">
        <is>
          <t>GÄVLEBORGS LÄN</t>
        </is>
      </c>
      <c r="E7540" t="inlineStr">
        <is>
          <t>BOLLNÄS</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4101-2026</t>
        </is>
      </c>
      <c r="B7541" s="1" t="n">
        <v>46044.57539351852</v>
      </c>
      <c r="C7541" s="1" t="n">
        <v>46086</v>
      </c>
      <c r="D7541" t="inlineStr">
        <is>
          <t>GÄVLEBORGS LÄN</t>
        </is>
      </c>
      <c r="E7541" t="inlineStr">
        <is>
          <t>HOFORS</t>
        </is>
      </c>
      <c r="G7541" t="n">
        <v>4.6</v>
      </c>
      <c r="H7541" t="n">
        <v>0</v>
      </c>
      <c r="I7541" t="n">
        <v>0</v>
      </c>
      <c r="J7541" t="n">
        <v>0</v>
      </c>
      <c r="K7541" t="n">
        <v>0</v>
      </c>
      <c r="L7541" t="n">
        <v>0</v>
      </c>
      <c r="M7541" t="n">
        <v>0</v>
      </c>
      <c r="N7541" t="n">
        <v>0</v>
      </c>
      <c r="O7541" t="n">
        <v>0</v>
      </c>
      <c r="P7541" t="n">
        <v>0</v>
      </c>
      <c r="Q7541" t="n">
        <v>0</v>
      </c>
      <c r="R7541" s="2" t="inlineStr"/>
    </row>
    <row r="7542" ht="15" customHeight="1">
      <c r="A7542" t="inlineStr">
        <is>
          <t>A 4445-2026</t>
        </is>
      </c>
      <c r="B7542" s="1" t="n">
        <v>46045.63763888889</v>
      </c>
      <c r="C7542" s="1" t="n">
        <v>46086</v>
      </c>
      <c r="D7542" t="inlineStr">
        <is>
          <t>GÄVLEBORGS LÄN</t>
        </is>
      </c>
      <c r="E7542" t="inlineStr">
        <is>
          <t>BOLLNÄS</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4489-2026</t>
        </is>
      </c>
      <c r="B7543" s="1" t="n">
        <v>46045.71328703704</v>
      </c>
      <c r="C7543" s="1" t="n">
        <v>46086</v>
      </c>
      <c r="D7543" t="inlineStr">
        <is>
          <t>GÄVLEBORGS LÄN</t>
        </is>
      </c>
      <c r="E7543" t="inlineStr">
        <is>
          <t>SANDVIKEN</t>
        </is>
      </c>
      <c r="G7543" t="n">
        <v>4</v>
      </c>
      <c r="H7543" t="n">
        <v>0</v>
      </c>
      <c r="I7543" t="n">
        <v>0</v>
      </c>
      <c r="J7543" t="n">
        <v>0</v>
      </c>
      <c r="K7543" t="n">
        <v>0</v>
      </c>
      <c r="L7543" t="n">
        <v>0</v>
      </c>
      <c r="M7543" t="n">
        <v>0</v>
      </c>
      <c r="N7543" t="n">
        <v>0</v>
      </c>
      <c r="O7543" t="n">
        <v>0</v>
      </c>
      <c r="P7543" t="n">
        <v>0</v>
      </c>
      <c r="Q7543" t="n">
        <v>0</v>
      </c>
      <c r="R7543" s="2" t="inlineStr"/>
    </row>
    <row r="7544" ht="15" customHeight="1">
      <c r="A7544" t="inlineStr">
        <is>
          <t>A 4463-2026</t>
        </is>
      </c>
      <c r="B7544" s="1" t="n">
        <v>46045.65126157407</v>
      </c>
      <c r="C7544" s="1" t="n">
        <v>46086</v>
      </c>
      <c r="D7544" t="inlineStr">
        <is>
          <t>GÄVLEBORGS LÄN</t>
        </is>
      </c>
      <c r="E7544" t="inlineStr">
        <is>
          <t>GÄVLE</t>
        </is>
      </c>
      <c r="G7544" t="n">
        <v>3.8</v>
      </c>
      <c r="H7544" t="n">
        <v>0</v>
      </c>
      <c r="I7544" t="n">
        <v>0</v>
      </c>
      <c r="J7544" t="n">
        <v>0</v>
      </c>
      <c r="K7544" t="n">
        <v>0</v>
      </c>
      <c r="L7544" t="n">
        <v>0</v>
      </c>
      <c r="M7544" t="n">
        <v>0</v>
      </c>
      <c r="N7544" t="n">
        <v>0</v>
      </c>
      <c r="O7544" t="n">
        <v>0</v>
      </c>
      <c r="P7544" t="n">
        <v>0</v>
      </c>
      <c r="Q7544" t="n">
        <v>0</v>
      </c>
      <c r="R7544" s="2" t="inlineStr"/>
    </row>
    <row r="7545" ht="15" customHeight="1">
      <c r="A7545" t="inlineStr">
        <is>
          <t>A 4385-2026</t>
        </is>
      </c>
      <c r="B7545" s="1" t="n">
        <v>46045.56439814815</v>
      </c>
      <c r="C7545" s="1" t="n">
        <v>46086</v>
      </c>
      <c r="D7545" t="inlineStr">
        <is>
          <t>GÄVLEBORGS LÄN</t>
        </is>
      </c>
      <c r="E7545" t="inlineStr">
        <is>
          <t>OVANÅKER</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4412-2026</t>
        </is>
      </c>
      <c r="B7546" s="1" t="n">
        <v>46045.59850694444</v>
      </c>
      <c r="C7546" s="1" t="n">
        <v>46086</v>
      </c>
      <c r="D7546" t="inlineStr">
        <is>
          <t>GÄVLEBORGS LÄN</t>
        </is>
      </c>
      <c r="E7546" t="inlineStr">
        <is>
          <t>BOLLNÄS</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4285-2026</t>
        </is>
      </c>
      <c r="B7547" s="1" t="n">
        <v>46045</v>
      </c>
      <c r="C7547" s="1" t="n">
        <v>46086</v>
      </c>
      <c r="D7547" t="inlineStr">
        <is>
          <t>GÄVLEBORGS LÄN</t>
        </is>
      </c>
      <c r="E7547" t="inlineStr">
        <is>
          <t>BOLLNÄS</t>
        </is>
      </c>
      <c r="G7547" t="n">
        <v>14.2</v>
      </c>
      <c r="H7547" t="n">
        <v>0</v>
      </c>
      <c r="I7547" t="n">
        <v>0</v>
      </c>
      <c r="J7547" t="n">
        <v>0</v>
      </c>
      <c r="K7547" t="n">
        <v>0</v>
      </c>
      <c r="L7547" t="n">
        <v>0</v>
      </c>
      <c r="M7547" t="n">
        <v>0</v>
      </c>
      <c r="N7547" t="n">
        <v>0</v>
      </c>
      <c r="O7547" t="n">
        <v>0</v>
      </c>
      <c r="P7547" t="n">
        <v>0</v>
      </c>
      <c r="Q7547" t="n">
        <v>0</v>
      </c>
      <c r="R7547" s="2" t="inlineStr"/>
    </row>
    <row r="7548" ht="15" customHeight="1">
      <c r="A7548" t="inlineStr">
        <is>
          <t>A 4233-2026</t>
        </is>
      </c>
      <c r="B7548" s="1" t="n">
        <v>46044.89636574074</v>
      </c>
      <c r="C7548" s="1" t="n">
        <v>46086</v>
      </c>
      <c r="D7548" t="inlineStr">
        <is>
          <t>GÄVLEBORGS LÄN</t>
        </is>
      </c>
      <c r="E7548" t="inlineStr">
        <is>
          <t>BOLLNÄS</t>
        </is>
      </c>
      <c r="G7548" t="n">
        <v>6.1</v>
      </c>
      <c r="H7548" t="n">
        <v>0</v>
      </c>
      <c r="I7548" t="n">
        <v>0</v>
      </c>
      <c r="J7548" t="n">
        <v>0</v>
      </c>
      <c r="K7548" t="n">
        <v>0</v>
      </c>
      <c r="L7548" t="n">
        <v>0</v>
      </c>
      <c r="M7548" t="n">
        <v>0</v>
      </c>
      <c r="N7548" t="n">
        <v>0</v>
      </c>
      <c r="O7548" t="n">
        <v>0</v>
      </c>
      <c r="P7548" t="n">
        <v>0</v>
      </c>
      <c r="Q7548" t="n">
        <v>0</v>
      </c>
      <c r="R7548" s="2" t="inlineStr"/>
    </row>
    <row r="7549" ht="15" customHeight="1">
      <c r="A7549" t="inlineStr">
        <is>
          <t>A 4603-2026</t>
        </is>
      </c>
      <c r="B7549" s="1" t="n">
        <v>46048.3558912037</v>
      </c>
      <c r="C7549" s="1" t="n">
        <v>46086</v>
      </c>
      <c r="D7549" t="inlineStr">
        <is>
          <t>GÄVLEBORGS LÄN</t>
        </is>
      </c>
      <c r="E7549" t="inlineStr">
        <is>
          <t>OCKELBO</t>
        </is>
      </c>
      <c r="F7549" t="inlineStr">
        <is>
          <t>Bergvik skog väst AB</t>
        </is>
      </c>
      <c r="G7549" t="n">
        <v>4.9</v>
      </c>
      <c r="H7549" t="n">
        <v>0</v>
      </c>
      <c r="I7549" t="n">
        <v>0</v>
      </c>
      <c r="J7549" t="n">
        <v>0</v>
      </c>
      <c r="K7549" t="n">
        <v>0</v>
      </c>
      <c r="L7549" t="n">
        <v>0</v>
      </c>
      <c r="M7549" t="n">
        <v>0</v>
      </c>
      <c r="N7549" t="n">
        <v>0</v>
      </c>
      <c r="O7549" t="n">
        <v>0</v>
      </c>
      <c r="P7549" t="n">
        <v>0</v>
      </c>
      <c r="Q7549" t="n">
        <v>0</v>
      </c>
      <c r="R7549" s="2" t="inlineStr"/>
    </row>
    <row r="7550" ht="15" customHeight="1">
      <c r="A7550" t="inlineStr">
        <is>
          <t>A 62156-2025</t>
        </is>
      </c>
      <c r="B7550" s="1" t="n">
        <v>46006.4903587963</v>
      </c>
      <c r="C7550" s="1" t="n">
        <v>46086</v>
      </c>
      <c r="D7550" t="inlineStr">
        <is>
          <t>GÄVLEBORGS LÄN</t>
        </is>
      </c>
      <c r="E7550" t="inlineStr">
        <is>
          <t>LJUSDAL</t>
        </is>
      </c>
      <c r="F7550" t="inlineStr">
        <is>
          <t>SCA</t>
        </is>
      </c>
      <c r="G7550" t="n">
        <v>7.5</v>
      </c>
      <c r="H7550" t="n">
        <v>0</v>
      </c>
      <c r="I7550" t="n">
        <v>0</v>
      </c>
      <c r="J7550" t="n">
        <v>0</v>
      </c>
      <c r="K7550" t="n">
        <v>0</v>
      </c>
      <c r="L7550" t="n">
        <v>0</v>
      </c>
      <c r="M7550" t="n">
        <v>0</v>
      </c>
      <c r="N7550" t="n">
        <v>0</v>
      </c>
      <c r="O7550" t="n">
        <v>0</v>
      </c>
      <c r="P7550" t="n">
        <v>0</v>
      </c>
      <c r="Q7550" t="n">
        <v>0</v>
      </c>
      <c r="R7550" s="2" t="inlineStr"/>
    </row>
    <row r="7551" ht="15" customHeight="1">
      <c r="A7551" t="inlineStr">
        <is>
          <t>A 62172-2025</t>
        </is>
      </c>
      <c r="B7551" s="1" t="n">
        <v>46006.51133101852</v>
      </c>
      <c r="C7551" s="1" t="n">
        <v>46086</v>
      </c>
      <c r="D7551" t="inlineStr">
        <is>
          <t>GÄVLEBORGS LÄN</t>
        </is>
      </c>
      <c r="E7551" t="inlineStr">
        <is>
          <t>LJUSDAL</t>
        </is>
      </c>
      <c r="F7551" t="inlineStr">
        <is>
          <t>SCA</t>
        </is>
      </c>
      <c r="G7551" t="n">
        <v>2.9</v>
      </c>
      <c r="H7551" t="n">
        <v>0</v>
      </c>
      <c r="I7551" t="n">
        <v>0</v>
      </c>
      <c r="J7551" t="n">
        <v>0</v>
      </c>
      <c r="K7551" t="n">
        <v>0</v>
      </c>
      <c r="L7551" t="n">
        <v>0</v>
      </c>
      <c r="M7551" t="n">
        <v>0</v>
      </c>
      <c r="N7551" t="n">
        <v>0</v>
      </c>
      <c r="O7551" t="n">
        <v>0</v>
      </c>
      <c r="P7551" t="n">
        <v>0</v>
      </c>
      <c r="Q7551" t="n">
        <v>0</v>
      </c>
      <c r="R7551" s="2" t="inlineStr"/>
    </row>
    <row r="7552" ht="15" customHeight="1">
      <c r="A7552" t="inlineStr">
        <is>
          <t>A 4520-2026</t>
        </is>
      </c>
      <c r="B7552" s="1" t="n">
        <v>46046.37938657407</v>
      </c>
      <c r="C7552" s="1" t="n">
        <v>46086</v>
      </c>
      <c r="D7552" t="inlineStr">
        <is>
          <t>GÄVLEBORGS LÄN</t>
        </is>
      </c>
      <c r="E7552" t="inlineStr">
        <is>
          <t>OVANÅKER</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5237-2026</t>
        </is>
      </c>
      <c r="B7553" s="1" t="n">
        <v>46049.8446412037</v>
      </c>
      <c r="C7553" s="1" t="n">
        <v>46086</v>
      </c>
      <c r="D7553" t="inlineStr">
        <is>
          <t>GÄVLEBORGS LÄN</t>
        </is>
      </c>
      <c r="E7553" t="inlineStr">
        <is>
          <t>BOLLNÄS</t>
        </is>
      </c>
      <c r="F7553" t="inlineStr">
        <is>
          <t>Kyrkan</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4687-2026</t>
        </is>
      </c>
      <c r="B7554" s="1" t="n">
        <v>46048.43785879629</v>
      </c>
      <c r="C7554" s="1" t="n">
        <v>46086</v>
      </c>
      <c r="D7554" t="inlineStr">
        <is>
          <t>GÄVLEBORGS LÄN</t>
        </is>
      </c>
      <c r="E7554" t="inlineStr">
        <is>
          <t>LJUSDAL</t>
        </is>
      </c>
      <c r="F7554" t="inlineStr">
        <is>
          <t>Holmen skog AB</t>
        </is>
      </c>
      <c r="G7554" t="n">
        <v>3.3</v>
      </c>
      <c r="H7554" t="n">
        <v>0</v>
      </c>
      <c r="I7554" t="n">
        <v>0</v>
      </c>
      <c r="J7554" t="n">
        <v>0</v>
      </c>
      <c r="K7554" t="n">
        <v>0</v>
      </c>
      <c r="L7554" t="n">
        <v>0</v>
      </c>
      <c r="M7554" t="n">
        <v>0</v>
      </c>
      <c r="N7554" t="n">
        <v>0</v>
      </c>
      <c r="O7554" t="n">
        <v>0</v>
      </c>
      <c r="P7554" t="n">
        <v>0</v>
      </c>
      <c r="Q7554" t="n">
        <v>0</v>
      </c>
      <c r="R7554" s="2" t="inlineStr"/>
    </row>
    <row r="7555" ht="15" customHeight="1">
      <c r="A7555" t="inlineStr">
        <is>
          <t>A 4695-2026</t>
        </is>
      </c>
      <c r="B7555" s="1" t="n">
        <v>46048.44825231482</v>
      </c>
      <c r="C7555" s="1" t="n">
        <v>46086</v>
      </c>
      <c r="D7555" t="inlineStr">
        <is>
          <t>GÄVLEBORGS LÄN</t>
        </is>
      </c>
      <c r="E7555" t="inlineStr">
        <is>
          <t>NORDANSTIG</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4705-2026</t>
        </is>
      </c>
      <c r="B7556" s="1" t="n">
        <v>46048.45295138889</v>
      </c>
      <c r="C7556" s="1" t="n">
        <v>46086</v>
      </c>
      <c r="D7556" t="inlineStr">
        <is>
          <t>GÄVLEBORGS LÄN</t>
        </is>
      </c>
      <c r="E7556" t="inlineStr">
        <is>
          <t>BOLLNÄS</t>
        </is>
      </c>
      <c r="F7556" t="inlineStr">
        <is>
          <t>Bergvik skog väst AB</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4763-2026</t>
        </is>
      </c>
      <c r="B7557" s="1" t="n">
        <v>46048.53866898148</v>
      </c>
      <c r="C7557" s="1" t="n">
        <v>46086</v>
      </c>
      <c r="D7557" t="inlineStr">
        <is>
          <t>GÄVLEBORGS LÄN</t>
        </is>
      </c>
      <c r="E7557" t="inlineStr">
        <is>
          <t>BOLLNÄS</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4693-2026</t>
        </is>
      </c>
      <c r="B7558" s="1" t="n">
        <v>46048.44677083333</v>
      </c>
      <c r="C7558" s="1" t="n">
        <v>46086</v>
      </c>
      <c r="D7558" t="inlineStr">
        <is>
          <t>GÄVLEBORGS LÄN</t>
        </is>
      </c>
      <c r="E7558" t="inlineStr">
        <is>
          <t>BOLLNÄS</t>
        </is>
      </c>
      <c r="F7558" t="inlineStr">
        <is>
          <t>Bergvik skog väst AB</t>
        </is>
      </c>
      <c r="G7558" t="n">
        <v>0.4</v>
      </c>
      <c r="H7558" t="n">
        <v>0</v>
      </c>
      <c r="I7558" t="n">
        <v>0</v>
      </c>
      <c r="J7558" t="n">
        <v>0</v>
      </c>
      <c r="K7558" t="n">
        <v>0</v>
      </c>
      <c r="L7558" t="n">
        <v>0</v>
      </c>
      <c r="M7558" t="n">
        <v>0</v>
      </c>
      <c r="N7558" t="n">
        <v>0</v>
      </c>
      <c r="O7558" t="n">
        <v>0</v>
      </c>
      <c r="P7558" t="n">
        <v>0</v>
      </c>
      <c r="Q7558" t="n">
        <v>0</v>
      </c>
      <c r="R7558" s="2" t="inlineStr"/>
    </row>
    <row r="7559" ht="15" customHeight="1">
      <c r="A7559" t="inlineStr">
        <is>
          <t>A 4729-2026</t>
        </is>
      </c>
      <c r="B7559" s="1" t="n">
        <v>46048.4766087963</v>
      </c>
      <c r="C7559" s="1" t="n">
        <v>46086</v>
      </c>
      <c r="D7559" t="inlineStr">
        <is>
          <t>GÄVLEBORGS LÄN</t>
        </is>
      </c>
      <c r="E7559" t="inlineStr">
        <is>
          <t>OCKELBO</t>
        </is>
      </c>
      <c r="G7559" t="n">
        <v>36.1</v>
      </c>
      <c r="H7559" t="n">
        <v>0</v>
      </c>
      <c r="I7559" t="n">
        <v>0</v>
      </c>
      <c r="J7559" t="n">
        <v>0</v>
      </c>
      <c r="K7559" t="n">
        <v>0</v>
      </c>
      <c r="L7559" t="n">
        <v>0</v>
      </c>
      <c r="M7559" t="n">
        <v>0</v>
      </c>
      <c r="N7559" t="n">
        <v>0</v>
      </c>
      <c r="O7559" t="n">
        <v>0</v>
      </c>
      <c r="P7559" t="n">
        <v>0</v>
      </c>
      <c r="Q7559" t="n">
        <v>0</v>
      </c>
      <c r="R7559" s="2" t="inlineStr"/>
    </row>
    <row r="7560" ht="15" customHeight="1">
      <c r="A7560" t="inlineStr">
        <is>
          <t>A 4737-2026</t>
        </is>
      </c>
      <c r="B7560" s="1" t="n">
        <v>46048.48995370371</v>
      </c>
      <c r="C7560" s="1" t="n">
        <v>46086</v>
      </c>
      <c r="D7560" t="inlineStr">
        <is>
          <t>GÄVLEBORGS LÄN</t>
        </is>
      </c>
      <c r="E7560" t="inlineStr">
        <is>
          <t>BOLLNÄS</t>
        </is>
      </c>
      <c r="G7560" t="n">
        <v>18.3</v>
      </c>
      <c r="H7560" t="n">
        <v>0</v>
      </c>
      <c r="I7560" t="n">
        <v>0</v>
      </c>
      <c r="J7560" t="n">
        <v>0</v>
      </c>
      <c r="K7560" t="n">
        <v>0</v>
      </c>
      <c r="L7560" t="n">
        <v>0</v>
      </c>
      <c r="M7560" t="n">
        <v>0</v>
      </c>
      <c r="N7560" t="n">
        <v>0</v>
      </c>
      <c r="O7560" t="n">
        <v>0</v>
      </c>
      <c r="P7560" t="n">
        <v>0</v>
      </c>
      <c r="Q7560" t="n">
        <v>0</v>
      </c>
      <c r="R7560" s="2" t="inlineStr"/>
    </row>
    <row r="7561" ht="15" customHeight="1">
      <c r="A7561" t="inlineStr">
        <is>
          <t>A 62126-2025</t>
        </is>
      </c>
      <c r="B7561" s="1" t="n">
        <v>46006.44597222222</v>
      </c>
      <c r="C7561" s="1" t="n">
        <v>46086</v>
      </c>
      <c r="D7561" t="inlineStr">
        <is>
          <t>GÄVLEBORGS LÄN</t>
        </is>
      </c>
      <c r="E7561" t="inlineStr">
        <is>
          <t>OVANÅKER</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4888-2026</t>
        </is>
      </c>
      <c r="B7562" s="1" t="n">
        <v>46048.66631944444</v>
      </c>
      <c r="C7562" s="1" t="n">
        <v>46086</v>
      </c>
      <c r="D7562" t="inlineStr">
        <is>
          <t>GÄVLEBORGS LÄN</t>
        </is>
      </c>
      <c r="E7562" t="inlineStr">
        <is>
          <t>OVANÅKER</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5165-2026</t>
        </is>
      </c>
      <c r="B7563" s="1" t="n">
        <v>46049.62478009259</v>
      </c>
      <c r="C7563" s="1" t="n">
        <v>46086</v>
      </c>
      <c r="D7563" t="inlineStr">
        <is>
          <t>GÄVLEBORGS LÄN</t>
        </is>
      </c>
      <c r="E7563" t="inlineStr">
        <is>
          <t>BOLLNÄS</t>
        </is>
      </c>
      <c r="G7563" t="n">
        <v>5.9</v>
      </c>
      <c r="H7563" t="n">
        <v>0</v>
      </c>
      <c r="I7563" t="n">
        <v>0</v>
      </c>
      <c r="J7563" t="n">
        <v>0</v>
      </c>
      <c r="K7563" t="n">
        <v>0</v>
      </c>
      <c r="L7563" t="n">
        <v>0</v>
      </c>
      <c r="M7563" t="n">
        <v>0</v>
      </c>
      <c r="N7563" t="n">
        <v>0</v>
      </c>
      <c r="O7563" t="n">
        <v>0</v>
      </c>
      <c r="P7563" t="n">
        <v>0</v>
      </c>
      <c r="Q7563" t="n">
        <v>0</v>
      </c>
      <c r="R7563" s="2" t="inlineStr"/>
    </row>
    <row r="7564" ht="15" customHeight="1">
      <c r="A7564" t="inlineStr">
        <is>
          <t>A 5140-2026</t>
        </is>
      </c>
      <c r="B7564" s="1" t="n">
        <v>46049.59923611111</v>
      </c>
      <c r="C7564" s="1" t="n">
        <v>46086</v>
      </c>
      <c r="D7564" t="inlineStr">
        <is>
          <t>GÄVLEBORGS LÄN</t>
        </is>
      </c>
      <c r="E7564" t="inlineStr">
        <is>
          <t>OCKELBO</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4595-2026</t>
        </is>
      </c>
      <c r="B7565" s="1" t="n">
        <v>46048.34481481482</v>
      </c>
      <c r="C7565" s="1" t="n">
        <v>46086</v>
      </c>
      <c r="D7565" t="inlineStr">
        <is>
          <t>GÄVLEBORGS LÄN</t>
        </is>
      </c>
      <c r="E7565" t="inlineStr">
        <is>
          <t>LJUSDAL</t>
        </is>
      </c>
      <c r="F7565" t="inlineStr">
        <is>
          <t>SCA</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4698-2026</t>
        </is>
      </c>
      <c r="B7566" s="1" t="n">
        <v>46048.44850694444</v>
      </c>
      <c r="C7566" s="1" t="n">
        <v>46086</v>
      </c>
      <c r="D7566" t="inlineStr">
        <is>
          <t>GÄVLEBORGS LÄN</t>
        </is>
      </c>
      <c r="E7566" t="inlineStr">
        <is>
          <t>HUDIKSVALL</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4647-2026</t>
        </is>
      </c>
      <c r="B7567" s="1" t="n">
        <v>46048.40377314815</v>
      </c>
      <c r="C7567" s="1" t="n">
        <v>46086</v>
      </c>
      <c r="D7567" t="inlineStr">
        <is>
          <t>GÄVLEBORGS LÄN</t>
        </is>
      </c>
      <c r="E7567" t="inlineStr">
        <is>
          <t>OCKELBO</t>
        </is>
      </c>
      <c r="F7567" t="inlineStr">
        <is>
          <t>Bergvik skog väst AB</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4849-2026</t>
        </is>
      </c>
      <c r="B7568" s="1" t="n">
        <v>46048.62210648148</v>
      </c>
      <c r="C7568" s="1" t="n">
        <v>46086</v>
      </c>
      <c r="D7568" t="inlineStr">
        <is>
          <t>GÄVLEBORGS LÄN</t>
        </is>
      </c>
      <c r="E7568" t="inlineStr">
        <is>
          <t>BOLLNÄS</t>
        </is>
      </c>
      <c r="F7568" t="inlineStr">
        <is>
          <t>Bergvik skog väst AB</t>
        </is>
      </c>
      <c r="G7568" t="n">
        <v>10.7</v>
      </c>
      <c r="H7568" t="n">
        <v>0</v>
      </c>
      <c r="I7568" t="n">
        <v>0</v>
      </c>
      <c r="J7568" t="n">
        <v>0</v>
      </c>
      <c r="K7568" t="n">
        <v>0</v>
      </c>
      <c r="L7568" t="n">
        <v>0</v>
      </c>
      <c r="M7568" t="n">
        <v>0</v>
      </c>
      <c r="N7568" t="n">
        <v>0</v>
      </c>
      <c r="O7568" t="n">
        <v>0</v>
      </c>
      <c r="P7568" t="n">
        <v>0</v>
      </c>
      <c r="Q7568" t="n">
        <v>0</v>
      </c>
      <c r="R7568" s="2" t="inlineStr"/>
    </row>
    <row r="7569" ht="15" customHeight="1">
      <c r="A7569" t="inlineStr">
        <is>
          <t>A 4851-2026</t>
        </is>
      </c>
      <c r="B7569" s="1" t="n">
        <v>46048.63020833334</v>
      </c>
      <c r="C7569" s="1" t="n">
        <v>46086</v>
      </c>
      <c r="D7569" t="inlineStr">
        <is>
          <t>GÄVLEBORGS LÄN</t>
        </is>
      </c>
      <c r="E7569" t="inlineStr">
        <is>
          <t>BOLLNÄS</t>
        </is>
      </c>
      <c r="F7569" t="inlineStr">
        <is>
          <t>Kyrkan</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4857-2026</t>
        </is>
      </c>
      <c r="B7570" s="1" t="n">
        <v>46048.63556712963</v>
      </c>
      <c r="C7570" s="1" t="n">
        <v>46086</v>
      </c>
      <c r="D7570" t="inlineStr">
        <is>
          <t>GÄVLEBORGS LÄN</t>
        </is>
      </c>
      <c r="E7570" t="inlineStr">
        <is>
          <t>SANDVIKEN</t>
        </is>
      </c>
      <c r="F7570" t="inlineStr">
        <is>
          <t>Kommuner</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4875-2026</t>
        </is>
      </c>
      <c r="B7571" s="1" t="n">
        <v>46048.65326388889</v>
      </c>
      <c r="C7571" s="1" t="n">
        <v>46086</v>
      </c>
      <c r="D7571" t="inlineStr">
        <is>
          <t>GÄVLEBORGS LÄN</t>
        </is>
      </c>
      <c r="E7571" t="inlineStr">
        <is>
          <t>HUDIKSVALL</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4893-2026</t>
        </is>
      </c>
      <c r="B7572" s="1" t="n">
        <v>46048.6746412037</v>
      </c>
      <c r="C7572" s="1" t="n">
        <v>46086</v>
      </c>
      <c r="D7572" t="inlineStr">
        <is>
          <t>GÄVLEBORGS LÄN</t>
        </is>
      </c>
      <c r="E7572" t="inlineStr">
        <is>
          <t>SANDVIKEN</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4486-2026</t>
        </is>
      </c>
      <c r="B7573" s="1" t="n">
        <v>46045</v>
      </c>
      <c r="C7573" s="1" t="n">
        <v>46086</v>
      </c>
      <c r="D7573" t="inlineStr">
        <is>
          <t>GÄVLEBORGS LÄN</t>
        </is>
      </c>
      <c r="E7573" t="inlineStr">
        <is>
          <t>SANDVIKEN</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4498-2026</t>
        </is>
      </c>
      <c r="B7574" s="1" t="n">
        <v>46045</v>
      </c>
      <c r="C7574" s="1" t="n">
        <v>46086</v>
      </c>
      <c r="D7574" t="inlineStr">
        <is>
          <t>GÄVLEBORGS LÄN</t>
        </is>
      </c>
      <c r="E7574" t="inlineStr">
        <is>
          <t>SANDVIKEN</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4503-2026</t>
        </is>
      </c>
      <c r="B7575" s="1" t="n">
        <v>46045</v>
      </c>
      <c r="C7575" s="1" t="n">
        <v>46086</v>
      </c>
      <c r="D7575" t="inlineStr">
        <is>
          <t>GÄVLEBORGS LÄN</t>
        </is>
      </c>
      <c r="E7575" t="inlineStr">
        <is>
          <t>SANDVIKEN</t>
        </is>
      </c>
      <c r="G7575" t="n">
        <v>4.1</v>
      </c>
      <c r="H7575" t="n">
        <v>0</v>
      </c>
      <c r="I7575" t="n">
        <v>0</v>
      </c>
      <c r="J7575" t="n">
        <v>0</v>
      </c>
      <c r="K7575" t="n">
        <v>0</v>
      </c>
      <c r="L7575" t="n">
        <v>0</v>
      </c>
      <c r="M7575" t="n">
        <v>0</v>
      </c>
      <c r="N7575" t="n">
        <v>0</v>
      </c>
      <c r="O7575" t="n">
        <v>0</v>
      </c>
      <c r="P7575" t="n">
        <v>0</v>
      </c>
      <c r="Q7575" t="n">
        <v>0</v>
      </c>
      <c r="R7575" s="2" t="inlineStr"/>
    </row>
    <row r="7576" ht="15" customHeight="1">
      <c r="A7576" t="inlineStr">
        <is>
          <t>A 62304-2025</t>
        </is>
      </c>
      <c r="B7576" s="1" t="n">
        <v>46006.66641203704</v>
      </c>
      <c r="C7576" s="1" t="n">
        <v>46086</v>
      </c>
      <c r="D7576" t="inlineStr">
        <is>
          <t>GÄVLEBORGS LÄN</t>
        </is>
      </c>
      <c r="E7576" t="inlineStr">
        <is>
          <t>OVANÅKER</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62351-2025</t>
        </is>
      </c>
      <c r="B7577" s="1" t="n">
        <v>46007.26988425926</v>
      </c>
      <c r="C7577" s="1" t="n">
        <v>46086</v>
      </c>
      <c r="D7577" t="inlineStr">
        <is>
          <t>GÄVLEBORGS LÄN</t>
        </is>
      </c>
      <c r="E7577" t="inlineStr">
        <is>
          <t>OVANÅKER</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62289-2025</t>
        </is>
      </c>
      <c r="B7578" s="1" t="n">
        <v>46006.63715277778</v>
      </c>
      <c r="C7578" s="1" t="n">
        <v>46086</v>
      </c>
      <c r="D7578" t="inlineStr">
        <is>
          <t>GÄVLEBORGS LÄN</t>
        </is>
      </c>
      <c r="E7578" t="inlineStr">
        <is>
          <t>OVANÅKER</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18757-2025</t>
        </is>
      </c>
      <c r="B7579" s="1" t="n">
        <v>45763.83667824074</v>
      </c>
      <c r="C7579" s="1" t="n">
        <v>46086</v>
      </c>
      <c r="D7579" t="inlineStr">
        <is>
          <t>GÄVLEBORGS LÄN</t>
        </is>
      </c>
      <c r="E7579" t="inlineStr">
        <is>
          <t>LJUSDAL</t>
        </is>
      </c>
      <c r="F7579" t="inlineStr">
        <is>
          <t>Holmen skog AB</t>
        </is>
      </c>
      <c r="G7579" t="n">
        <v>4.3</v>
      </c>
      <c r="H7579" t="n">
        <v>0</v>
      </c>
      <c r="I7579" t="n">
        <v>0</v>
      </c>
      <c r="J7579" t="n">
        <v>0</v>
      </c>
      <c r="K7579" t="n">
        <v>0</v>
      </c>
      <c r="L7579" t="n">
        <v>0</v>
      </c>
      <c r="M7579" t="n">
        <v>0</v>
      </c>
      <c r="N7579" t="n">
        <v>0</v>
      </c>
      <c r="O7579" t="n">
        <v>0</v>
      </c>
      <c r="P7579" t="n">
        <v>0</v>
      </c>
      <c r="Q7579" t="n">
        <v>0</v>
      </c>
      <c r="R7579" s="2" t="inlineStr"/>
    </row>
    <row r="7580" ht="15" customHeight="1">
      <c r="A7580" t="inlineStr">
        <is>
          <t>A 4867-2026</t>
        </is>
      </c>
      <c r="B7580" s="1" t="n">
        <v>46048.6440162037</v>
      </c>
      <c r="C7580" s="1" t="n">
        <v>46086</v>
      </c>
      <c r="D7580" t="inlineStr">
        <is>
          <t>GÄVLEBORGS LÄN</t>
        </is>
      </c>
      <c r="E7580" t="inlineStr">
        <is>
          <t>OCKELBO</t>
        </is>
      </c>
      <c r="G7580" t="n">
        <v>0.3</v>
      </c>
      <c r="H7580" t="n">
        <v>0</v>
      </c>
      <c r="I7580" t="n">
        <v>0</v>
      </c>
      <c r="J7580" t="n">
        <v>0</v>
      </c>
      <c r="K7580" t="n">
        <v>0</v>
      </c>
      <c r="L7580" t="n">
        <v>0</v>
      </c>
      <c r="M7580" t="n">
        <v>0</v>
      </c>
      <c r="N7580" t="n">
        <v>0</v>
      </c>
      <c r="O7580" t="n">
        <v>0</v>
      </c>
      <c r="P7580" t="n">
        <v>0</v>
      </c>
      <c r="Q7580" t="n">
        <v>0</v>
      </c>
      <c r="R7580" s="2" t="inlineStr"/>
    </row>
    <row r="7581" ht="15" customHeight="1">
      <c r="A7581" t="inlineStr">
        <is>
          <t>A 4908-2026</t>
        </is>
      </c>
      <c r="B7581" s="1" t="n">
        <v>46048.70473379629</v>
      </c>
      <c r="C7581" s="1" t="n">
        <v>46086</v>
      </c>
      <c r="D7581" t="inlineStr">
        <is>
          <t>GÄVLEBORGS LÄN</t>
        </is>
      </c>
      <c r="E7581" t="inlineStr">
        <is>
          <t>BOLLNÄS</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43496-2025</t>
        </is>
      </c>
      <c r="B7582" s="1" t="n">
        <v>45911.52313657408</v>
      </c>
      <c r="C7582" s="1" t="n">
        <v>46086</v>
      </c>
      <c r="D7582" t="inlineStr">
        <is>
          <t>GÄVLEBORGS LÄN</t>
        </is>
      </c>
      <c r="E7582" t="inlineStr">
        <is>
          <t>HUDIKSVALL</t>
        </is>
      </c>
      <c r="F7582" t="inlineStr">
        <is>
          <t>Naturvårdsverket</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4903-2026</t>
        </is>
      </c>
      <c r="B7583" s="1" t="n">
        <v>46048.69645833333</v>
      </c>
      <c r="C7583" s="1" t="n">
        <v>46086</v>
      </c>
      <c r="D7583" t="inlineStr">
        <is>
          <t>GÄVLEBORGS LÄN</t>
        </is>
      </c>
      <c r="E7583" t="inlineStr">
        <is>
          <t>SÖDERHAMN</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4541-2026</t>
        </is>
      </c>
      <c r="B7584" s="1" t="n">
        <v>46046.94703703704</v>
      </c>
      <c r="C7584" s="1" t="n">
        <v>46086</v>
      </c>
      <c r="D7584" t="inlineStr">
        <is>
          <t>GÄVLEBORGS LÄN</t>
        </is>
      </c>
      <c r="E7584" t="inlineStr">
        <is>
          <t>HOFORS</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4546-2026</t>
        </is>
      </c>
      <c r="B7585" s="1" t="n">
        <v>46047.45364583333</v>
      </c>
      <c r="C7585" s="1" t="n">
        <v>46086</v>
      </c>
      <c r="D7585" t="inlineStr">
        <is>
          <t>GÄVLEBORGS LÄN</t>
        </is>
      </c>
      <c r="E7585" t="inlineStr">
        <is>
          <t>OVANÅKER</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4933-2026</t>
        </is>
      </c>
      <c r="B7586" s="1" t="n">
        <v>46048.87952546297</v>
      </c>
      <c r="C7586" s="1" t="n">
        <v>46086</v>
      </c>
      <c r="D7586" t="inlineStr">
        <is>
          <t>GÄVLEBORGS LÄN</t>
        </is>
      </c>
      <c r="E7586" t="inlineStr">
        <is>
          <t>SANDVIKEN</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4025-2026</t>
        </is>
      </c>
      <c r="B7587" s="1" t="n">
        <v>46044.44003472223</v>
      </c>
      <c r="C7587" s="1" t="n">
        <v>46086</v>
      </c>
      <c r="D7587" t="inlineStr">
        <is>
          <t>GÄVLEBORGS LÄN</t>
        </is>
      </c>
      <c r="E7587" t="inlineStr">
        <is>
          <t>HUDIKSVALL</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62352-2025</t>
        </is>
      </c>
      <c r="B7588" s="1" t="n">
        <v>46007.27331018518</v>
      </c>
      <c r="C7588" s="1" t="n">
        <v>46086</v>
      </c>
      <c r="D7588" t="inlineStr">
        <is>
          <t>GÄVLEBORGS LÄN</t>
        </is>
      </c>
      <c r="E7588" t="inlineStr">
        <is>
          <t>OVANÅKER</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5208-2026</t>
        </is>
      </c>
      <c r="B7589" s="1" t="n">
        <v>46049.68070601852</v>
      </c>
      <c r="C7589" s="1" t="n">
        <v>46086</v>
      </c>
      <c r="D7589" t="inlineStr">
        <is>
          <t>GÄVLEBORGS LÄN</t>
        </is>
      </c>
      <c r="E7589" t="inlineStr">
        <is>
          <t>BOLLNÄS</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4674-2026</t>
        </is>
      </c>
      <c r="B7590" s="1" t="n">
        <v>46048.42675925926</v>
      </c>
      <c r="C7590" s="1" t="n">
        <v>46086</v>
      </c>
      <c r="D7590" t="inlineStr">
        <is>
          <t>GÄVLEBORGS LÄN</t>
        </is>
      </c>
      <c r="E7590" t="inlineStr">
        <is>
          <t>BOLLNÄS</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4895-2026</t>
        </is>
      </c>
      <c r="B7591" s="1" t="n">
        <v>46048.67680555556</v>
      </c>
      <c r="C7591" s="1" t="n">
        <v>46086</v>
      </c>
      <c r="D7591" t="inlineStr">
        <is>
          <t>GÄVLEBORGS LÄN</t>
        </is>
      </c>
      <c r="E7591" t="inlineStr">
        <is>
          <t>LJUSDAL</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4900-2026</t>
        </is>
      </c>
      <c r="B7592" s="1" t="n">
        <v>46048.68467592593</v>
      </c>
      <c r="C7592" s="1" t="n">
        <v>46086</v>
      </c>
      <c r="D7592" t="inlineStr">
        <is>
          <t>GÄVLEBORGS LÄN</t>
        </is>
      </c>
      <c r="E7592" t="inlineStr">
        <is>
          <t>OCKELBO</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4907-2026</t>
        </is>
      </c>
      <c r="B7593" s="1" t="n">
        <v>46048.70342592592</v>
      </c>
      <c r="C7593" s="1" t="n">
        <v>46086</v>
      </c>
      <c r="D7593" t="inlineStr">
        <is>
          <t>GÄVLEBORGS LÄN</t>
        </is>
      </c>
      <c r="E7593" t="inlineStr">
        <is>
          <t>BOLLNÄS</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5173-2026</t>
        </is>
      </c>
      <c r="B7594" s="1" t="n">
        <v>46049.64612268518</v>
      </c>
      <c r="C7594" s="1" t="n">
        <v>46086</v>
      </c>
      <c r="D7594" t="inlineStr">
        <is>
          <t>GÄVLEBORGS LÄN</t>
        </is>
      </c>
      <c r="E7594" t="inlineStr">
        <is>
          <t>BOLLNÄS</t>
        </is>
      </c>
      <c r="G7594" t="n">
        <v>7.8</v>
      </c>
      <c r="H7594" t="n">
        <v>0</v>
      </c>
      <c r="I7594" t="n">
        <v>0</v>
      </c>
      <c r="J7594" t="n">
        <v>0</v>
      </c>
      <c r="K7594" t="n">
        <v>0</v>
      </c>
      <c r="L7594" t="n">
        <v>0</v>
      </c>
      <c r="M7594" t="n">
        <v>0</v>
      </c>
      <c r="N7594" t="n">
        <v>0</v>
      </c>
      <c r="O7594" t="n">
        <v>0</v>
      </c>
      <c r="P7594" t="n">
        <v>0</v>
      </c>
      <c r="Q7594" t="n">
        <v>0</v>
      </c>
      <c r="R7594" s="2" t="inlineStr"/>
    </row>
    <row r="7595" ht="15" customHeight="1">
      <c r="A7595" t="inlineStr">
        <is>
          <t>A 5181-2026</t>
        </is>
      </c>
      <c r="B7595" s="1" t="n">
        <v>46049.65337962963</v>
      </c>
      <c r="C7595" s="1" t="n">
        <v>46086</v>
      </c>
      <c r="D7595" t="inlineStr">
        <is>
          <t>GÄVLEBORGS LÄN</t>
        </is>
      </c>
      <c r="E7595" t="inlineStr">
        <is>
          <t>SANDVIKEN</t>
        </is>
      </c>
      <c r="F7595" t="inlineStr">
        <is>
          <t>Sveaskog</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4559-2026</t>
        </is>
      </c>
      <c r="B7596" s="1" t="n">
        <v>46047.62123842593</v>
      </c>
      <c r="C7596" s="1" t="n">
        <v>46086</v>
      </c>
      <c r="D7596" t="inlineStr">
        <is>
          <t>GÄVLEBORGS LÄN</t>
        </is>
      </c>
      <c r="E7596" t="inlineStr">
        <is>
          <t>OCKELBO</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4562-2026</t>
        </is>
      </c>
      <c r="B7597" s="1" t="n">
        <v>46047.74475694444</v>
      </c>
      <c r="C7597" s="1" t="n">
        <v>46086</v>
      </c>
      <c r="D7597" t="inlineStr">
        <is>
          <t>GÄVLEBORGS LÄN</t>
        </is>
      </c>
      <c r="E7597" t="inlineStr">
        <is>
          <t>OCKELBO</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4573-2026</t>
        </is>
      </c>
      <c r="B7598" s="1" t="n">
        <v>46048.30972222222</v>
      </c>
      <c r="C7598" s="1" t="n">
        <v>46086</v>
      </c>
      <c r="D7598" t="inlineStr">
        <is>
          <t>GÄVLEBORGS LÄN</t>
        </is>
      </c>
      <c r="E7598" t="inlineStr">
        <is>
          <t>BOLLNÄS</t>
        </is>
      </c>
      <c r="G7598" t="n">
        <v>28.6</v>
      </c>
      <c r="H7598" t="n">
        <v>0</v>
      </c>
      <c r="I7598" t="n">
        <v>0</v>
      </c>
      <c r="J7598" t="n">
        <v>0</v>
      </c>
      <c r="K7598" t="n">
        <v>0</v>
      </c>
      <c r="L7598" t="n">
        <v>0</v>
      </c>
      <c r="M7598" t="n">
        <v>0</v>
      </c>
      <c r="N7598" t="n">
        <v>0</v>
      </c>
      <c r="O7598" t="n">
        <v>0</v>
      </c>
      <c r="P7598" t="n">
        <v>0</v>
      </c>
      <c r="Q7598" t="n">
        <v>0</v>
      </c>
      <c r="R7598" s="2" t="inlineStr"/>
    </row>
    <row r="7599" ht="15" customHeight="1">
      <c r="A7599" t="inlineStr">
        <is>
          <t>A 4599-2026</t>
        </is>
      </c>
      <c r="B7599" s="1" t="n">
        <v>46048.35344907407</v>
      </c>
      <c r="C7599" s="1" t="n">
        <v>46086</v>
      </c>
      <c r="D7599" t="inlineStr">
        <is>
          <t>GÄVLEBORGS LÄN</t>
        </is>
      </c>
      <c r="E7599" t="inlineStr">
        <is>
          <t>OCKELBO</t>
        </is>
      </c>
      <c r="F7599" t="inlineStr">
        <is>
          <t>Bergvik skog väst AB</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4758-2026</t>
        </is>
      </c>
      <c r="B7600" s="1" t="n">
        <v>46048.53429398148</v>
      </c>
      <c r="C7600" s="1" t="n">
        <v>46086</v>
      </c>
      <c r="D7600" t="inlineStr">
        <is>
          <t>GÄVLEBORGS LÄN</t>
        </is>
      </c>
      <c r="E7600" t="inlineStr">
        <is>
          <t>HUDIKSVALL</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4797-2026</t>
        </is>
      </c>
      <c r="B7601" s="1" t="n">
        <v>46048.57344907407</v>
      </c>
      <c r="C7601" s="1" t="n">
        <v>46086</v>
      </c>
      <c r="D7601" t="inlineStr">
        <is>
          <t>GÄVLEBORGS LÄN</t>
        </is>
      </c>
      <c r="E7601" t="inlineStr">
        <is>
          <t>OCKELBO</t>
        </is>
      </c>
      <c r="F7601" t="inlineStr">
        <is>
          <t>Bergvik skog väst AB</t>
        </is>
      </c>
      <c r="G7601" t="n">
        <v>6.4</v>
      </c>
      <c r="H7601" t="n">
        <v>0</v>
      </c>
      <c r="I7601" t="n">
        <v>0</v>
      </c>
      <c r="J7601" t="n">
        <v>0</v>
      </c>
      <c r="K7601" t="n">
        <v>0</v>
      </c>
      <c r="L7601" t="n">
        <v>0</v>
      </c>
      <c r="M7601" t="n">
        <v>0</v>
      </c>
      <c r="N7601" t="n">
        <v>0</v>
      </c>
      <c r="O7601" t="n">
        <v>0</v>
      </c>
      <c r="P7601" t="n">
        <v>0</v>
      </c>
      <c r="Q7601" t="n">
        <v>0</v>
      </c>
      <c r="R7601" s="2" t="inlineStr"/>
    </row>
    <row r="7602" ht="15" customHeight="1">
      <c r="A7602" t="inlineStr">
        <is>
          <t>A 5054-2026</t>
        </is>
      </c>
      <c r="B7602" s="1" t="n">
        <v>46049.47399305556</v>
      </c>
      <c r="C7602" s="1" t="n">
        <v>46086</v>
      </c>
      <c r="D7602" t="inlineStr">
        <is>
          <t>GÄVLEBORGS LÄN</t>
        </is>
      </c>
      <c r="E7602" t="inlineStr">
        <is>
          <t>BOLLNÄS</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5060-2026</t>
        </is>
      </c>
      <c r="B7603" s="1" t="n">
        <v>46049.48465277778</v>
      </c>
      <c r="C7603" s="1" t="n">
        <v>46086</v>
      </c>
      <c r="D7603" t="inlineStr">
        <is>
          <t>GÄVLEBORGS LÄN</t>
        </is>
      </c>
      <c r="E7603" t="inlineStr">
        <is>
          <t>BOLLNÄS</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62185-2025</t>
        </is>
      </c>
      <c r="B7604" s="1" t="n">
        <v>46006.53935185185</v>
      </c>
      <c r="C7604" s="1" t="n">
        <v>46086</v>
      </c>
      <c r="D7604" t="inlineStr">
        <is>
          <t>GÄVLEBORGS LÄN</t>
        </is>
      </c>
      <c r="E7604" t="inlineStr">
        <is>
          <t>NORDANSTIG</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62192-2025</t>
        </is>
      </c>
      <c r="B7605" s="1" t="n">
        <v>46006.55141203704</v>
      </c>
      <c r="C7605" s="1" t="n">
        <v>46086</v>
      </c>
      <c r="D7605" t="inlineStr">
        <is>
          <t>GÄVLEBORGS LÄN</t>
        </is>
      </c>
      <c r="E7605" t="inlineStr">
        <is>
          <t>LJUSDAL</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4800-2026</t>
        </is>
      </c>
      <c r="B7606" s="1" t="n">
        <v>46048.57528935185</v>
      </c>
      <c r="C7606" s="1" t="n">
        <v>46086</v>
      </c>
      <c r="D7606" t="inlineStr">
        <is>
          <t>GÄVLEBORGS LÄN</t>
        </is>
      </c>
      <c r="E7606" t="inlineStr">
        <is>
          <t>SANDVIKEN</t>
        </is>
      </c>
      <c r="F7606" t="inlineStr">
        <is>
          <t>Kommuner</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4877-2026</t>
        </is>
      </c>
      <c r="B7607" s="1" t="n">
        <v>46048.65511574074</v>
      </c>
      <c r="C7607" s="1" t="n">
        <v>46086</v>
      </c>
      <c r="D7607" t="inlineStr">
        <is>
          <t>GÄVLEBORGS LÄN</t>
        </is>
      </c>
      <c r="E7607" t="inlineStr">
        <is>
          <t>OVANÅKER</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4880-2026</t>
        </is>
      </c>
      <c r="B7608" s="1" t="n">
        <v>46045</v>
      </c>
      <c r="C7608" s="1" t="n">
        <v>46086</v>
      </c>
      <c r="D7608" t="inlineStr">
        <is>
          <t>GÄVLEBORGS LÄN</t>
        </is>
      </c>
      <c r="E7608" t="inlineStr">
        <is>
          <t>BOLLNÄS</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4948-2026</t>
        </is>
      </c>
      <c r="B7609" s="1" t="n">
        <v>46049.26310185185</v>
      </c>
      <c r="C7609" s="1" t="n">
        <v>46086</v>
      </c>
      <c r="D7609" t="inlineStr">
        <is>
          <t>GÄVLEBORGS LÄN</t>
        </is>
      </c>
      <c r="E7609" t="inlineStr">
        <is>
          <t>BOLLNÄS</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4950-2026</t>
        </is>
      </c>
      <c r="B7610" s="1" t="n">
        <v>46049.27291666667</v>
      </c>
      <c r="C7610" s="1" t="n">
        <v>46086</v>
      </c>
      <c r="D7610" t="inlineStr">
        <is>
          <t>GÄVLEBORGS LÄN</t>
        </is>
      </c>
      <c r="E7610" t="inlineStr">
        <is>
          <t>BOLLNÄS</t>
        </is>
      </c>
      <c r="G7610" t="n">
        <v>7.9</v>
      </c>
      <c r="H7610" t="n">
        <v>0</v>
      </c>
      <c r="I7610" t="n">
        <v>0</v>
      </c>
      <c r="J7610" t="n">
        <v>0</v>
      </c>
      <c r="K7610" t="n">
        <v>0</v>
      </c>
      <c r="L7610" t="n">
        <v>0</v>
      </c>
      <c r="M7610" t="n">
        <v>0</v>
      </c>
      <c r="N7610" t="n">
        <v>0</v>
      </c>
      <c r="O7610" t="n">
        <v>0</v>
      </c>
      <c r="P7610" t="n">
        <v>0</v>
      </c>
      <c r="Q7610" t="n">
        <v>0</v>
      </c>
      <c r="R7610" s="2" t="inlineStr"/>
    </row>
    <row r="7611" ht="15" customHeight="1">
      <c r="A7611" t="inlineStr">
        <is>
          <t>A 4953-2026</t>
        </is>
      </c>
      <c r="B7611" s="1" t="n">
        <v>46049.28527777778</v>
      </c>
      <c r="C7611" s="1" t="n">
        <v>46086</v>
      </c>
      <c r="D7611" t="inlineStr">
        <is>
          <t>GÄVLEBORGS LÄN</t>
        </is>
      </c>
      <c r="E7611" t="inlineStr">
        <is>
          <t>BOLLNÄS</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4882-2026</t>
        </is>
      </c>
      <c r="B7612" s="1" t="n">
        <v>46048.65760416666</v>
      </c>
      <c r="C7612" s="1" t="n">
        <v>46086</v>
      </c>
      <c r="D7612" t="inlineStr">
        <is>
          <t>GÄVLEBORGS LÄN</t>
        </is>
      </c>
      <c r="E7612" t="inlineStr">
        <is>
          <t>SANDVIKEN</t>
        </is>
      </c>
      <c r="F7612" t="inlineStr">
        <is>
          <t>Kommuner</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4890-2026</t>
        </is>
      </c>
      <c r="B7613" s="1" t="n">
        <v>46048.67050925926</v>
      </c>
      <c r="C7613" s="1" t="n">
        <v>46086</v>
      </c>
      <c r="D7613" t="inlineStr">
        <is>
          <t>GÄVLEBORGS LÄN</t>
        </is>
      </c>
      <c r="E7613" t="inlineStr">
        <is>
          <t>HUDIKSVALL</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4960-2026</t>
        </is>
      </c>
      <c r="B7614" s="1" t="n">
        <v>46049.30726851852</v>
      </c>
      <c r="C7614" s="1" t="n">
        <v>46086</v>
      </c>
      <c r="D7614" t="inlineStr">
        <is>
          <t>GÄVLEBORGS LÄN</t>
        </is>
      </c>
      <c r="E7614" t="inlineStr">
        <is>
          <t>BOLLNÄS</t>
        </is>
      </c>
      <c r="G7614" t="n">
        <v>4.6</v>
      </c>
      <c r="H7614" t="n">
        <v>0</v>
      </c>
      <c r="I7614" t="n">
        <v>0</v>
      </c>
      <c r="J7614" t="n">
        <v>0</v>
      </c>
      <c r="K7614" t="n">
        <v>0</v>
      </c>
      <c r="L7614" t="n">
        <v>0</v>
      </c>
      <c r="M7614" t="n">
        <v>0</v>
      </c>
      <c r="N7614" t="n">
        <v>0</v>
      </c>
      <c r="O7614" t="n">
        <v>0</v>
      </c>
      <c r="P7614" t="n">
        <v>0</v>
      </c>
      <c r="Q7614" t="n">
        <v>0</v>
      </c>
      <c r="R7614" s="2" t="inlineStr"/>
    </row>
    <row r="7615" ht="15" customHeight="1">
      <c r="A7615" t="inlineStr">
        <is>
          <t>A 4916-2026</t>
        </is>
      </c>
      <c r="B7615" s="1" t="n">
        <v>46048.78913194445</v>
      </c>
      <c r="C7615" s="1" t="n">
        <v>46086</v>
      </c>
      <c r="D7615" t="inlineStr">
        <is>
          <t>GÄVLEBORGS LÄN</t>
        </is>
      </c>
      <c r="E7615" t="inlineStr">
        <is>
          <t>BOLLNÄS</t>
        </is>
      </c>
      <c r="F7615" t="inlineStr">
        <is>
          <t>Kyrkan</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4943-2026</t>
        </is>
      </c>
      <c r="B7616" s="1" t="n">
        <v>46049.23905092593</v>
      </c>
      <c r="C7616" s="1" t="n">
        <v>46086</v>
      </c>
      <c r="D7616" t="inlineStr">
        <is>
          <t>GÄVLEBORGS LÄN</t>
        </is>
      </c>
      <c r="E7616" t="inlineStr">
        <is>
          <t>BOLLNÄS</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4949-2026</t>
        </is>
      </c>
      <c r="B7617" s="1" t="n">
        <v>46049.27152777778</v>
      </c>
      <c r="C7617" s="1" t="n">
        <v>46086</v>
      </c>
      <c r="D7617" t="inlineStr">
        <is>
          <t>GÄVLEBORGS LÄN</t>
        </is>
      </c>
      <c r="E7617" t="inlineStr">
        <is>
          <t>BOLLNÄS</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4964-2026</t>
        </is>
      </c>
      <c r="B7618" s="1" t="n">
        <v>46049.32744212963</v>
      </c>
      <c r="C7618" s="1" t="n">
        <v>46086</v>
      </c>
      <c r="D7618" t="inlineStr">
        <is>
          <t>GÄVLEBORGS LÄN</t>
        </is>
      </c>
      <c r="E7618" t="inlineStr">
        <is>
          <t>BOLLNÄS</t>
        </is>
      </c>
      <c r="G7618" t="n">
        <v>3.9</v>
      </c>
      <c r="H7618" t="n">
        <v>0</v>
      </c>
      <c r="I7618" t="n">
        <v>0</v>
      </c>
      <c r="J7618" t="n">
        <v>0</v>
      </c>
      <c r="K7618" t="n">
        <v>0</v>
      </c>
      <c r="L7618" t="n">
        <v>0</v>
      </c>
      <c r="M7618" t="n">
        <v>0</v>
      </c>
      <c r="N7618" t="n">
        <v>0</v>
      </c>
      <c r="O7618" t="n">
        <v>0</v>
      </c>
      <c r="P7618" t="n">
        <v>0</v>
      </c>
      <c r="Q7618" t="n">
        <v>0</v>
      </c>
      <c r="R7618" s="2" t="inlineStr"/>
    </row>
    <row r="7619" ht="15" customHeight="1">
      <c r="A7619" t="inlineStr">
        <is>
          <t>A 62260-2025</t>
        </is>
      </c>
      <c r="B7619" s="1" t="n">
        <v>46006.61620370371</v>
      </c>
      <c r="C7619" s="1" t="n">
        <v>46086</v>
      </c>
      <c r="D7619" t="inlineStr">
        <is>
          <t>GÄVLEBORGS LÄN</t>
        </is>
      </c>
      <c r="E7619" t="inlineStr">
        <is>
          <t>OVANÅKER</t>
        </is>
      </c>
      <c r="G7619" t="n">
        <v>4</v>
      </c>
      <c r="H7619" t="n">
        <v>0</v>
      </c>
      <c r="I7619" t="n">
        <v>0</v>
      </c>
      <c r="J7619" t="n">
        <v>0</v>
      </c>
      <c r="K7619" t="n">
        <v>0</v>
      </c>
      <c r="L7619" t="n">
        <v>0</v>
      </c>
      <c r="M7619" t="n">
        <v>0</v>
      </c>
      <c r="N7619" t="n">
        <v>0</v>
      </c>
      <c r="O7619" t="n">
        <v>0</v>
      </c>
      <c r="P7619" t="n">
        <v>0</v>
      </c>
      <c r="Q7619" t="n">
        <v>0</v>
      </c>
      <c r="R7619" s="2" t="inlineStr"/>
    </row>
    <row r="7620" ht="15" customHeight="1">
      <c r="A7620" t="inlineStr">
        <is>
          <t>A 62313-2025</t>
        </is>
      </c>
      <c r="B7620" s="1" t="n">
        <v>46006.67771990741</v>
      </c>
      <c r="C7620" s="1" t="n">
        <v>46086</v>
      </c>
      <c r="D7620" t="inlineStr">
        <is>
          <t>GÄVLEBORGS LÄN</t>
        </is>
      </c>
      <c r="E7620" t="inlineStr">
        <is>
          <t>HUDIKSVALL</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62045-2025</t>
        </is>
      </c>
      <c r="B7621" s="1" t="n">
        <v>46005.77755787037</v>
      </c>
      <c r="C7621" s="1" t="n">
        <v>46086</v>
      </c>
      <c r="D7621" t="inlineStr">
        <is>
          <t>GÄVLEBORGS LÄN</t>
        </is>
      </c>
      <c r="E7621" t="inlineStr">
        <is>
          <t>LJUSDAL</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4777-2026</t>
        </is>
      </c>
      <c r="B7622" s="1" t="n">
        <v>46048.55152777778</v>
      </c>
      <c r="C7622" s="1" t="n">
        <v>46086</v>
      </c>
      <c r="D7622" t="inlineStr">
        <is>
          <t>GÄVLEBORGS LÄN</t>
        </is>
      </c>
      <c r="E7622" t="inlineStr">
        <is>
          <t>NORDANSTIG</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4786-2026</t>
        </is>
      </c>
      <c r="B7623" s="1" t="n">
        <v>46048.55969907407</v>
      </c>
      <c r="C7623" s="1" t="n">
        <v>46086</v>
      </c>
      <c r="D7623" t="inlineStr">
        <is>
          <t>GÄVLEBORGS LÄN</t>
        </is>
      </c>
      <c r="E7623" t="inlineStr">
        <is>
          <t>NORDANSTIG</t>
        </is>
      </c>
      <c r="G7623" t="n">
        <v>6.6</v>
      </c>
      <c r="H7623" t="n">
        <v>0</v>
      </c>
      <c r="I7623" t="n">
        <v>0</v>
      </c>
      <c r="J7623" t="n">
        <v>0</v>
      </c>
      <c r="K7623" t="n">
        <v>0</v>
      </c>
      <c r="L7623" t="n">
        <v>0</v>
      </c>
      <c r="M7623" t="n">
        <v>0</v>
      </c>
      <c r="N7623" t="n">
        <v>0</v>
      </c>
      <c r="O7623" t="n">
        <v>0</v>
      </c>
      <c r="P7623" t="n">
        <v>0</v>
      </c>
      <c r="Q7623" t="n">
        <v>0</v>
      </c>
      <c r="R7623" s="2" t="inlineStr"/>
    </row>
    <row r="7624" ht="15" customHeight="1">
      <c r="A7624" t="inlineStr">
        <is>
          <t>A 62182-2025</t>
        </is>
      </c>
      <c r="B7624" s="1" t="n">
        <v>46006.53503472222</v>
      </c>
      <c r="C7624" s="1" t="n">
        <v>46086</v>
      </c>
      <c r="D7624" t="inlineStr">
        <is>
          <t>GÄVLEBORGS LÄN</t>
        </is>
      </c>
      <c r="E7624" t="inlineStr">
        <is>
          <t>NORDANSTIG</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5151-2026</t>
        </is>
      </c>
      <c r="B7625" s="1" t="n">
        <v>46049.61417824074</v>
      </c>
      <c r="C7625" s="1" t="n">
        <v>46086</v>
      </c>
      <c r="D7625" t="inlineStr">
        <is>
          <t>GÄVLEBORGS LÄN</t>
        </is>
      </c>
      <c r="E7625" t="inlineStr">
        <is>
          <t>BOLLNÄS</t>
        </is>
      </c>
      <c r="F7625" t="inlineStr">
        <is>
          <t>Bergvik skog väst AB</t>
        </is>
      </c>
      <c r="G7625" t="n">
        <v>17.8</v>
      </c>
      <c r="H7625" t="n">
        <v>0</v>
      </c>
      <c r="I7625" t="n">
        <v>0</v>
      </c>
      <c r="J7625" t="n">
        <v>0</v>
      </c>
      <c r="K7625" t="n">
        <v>0</v>
      </c>
      <c r="L7625" t="n">
        <v>0</v>
      </c>
      <c r="M7625" t="n">
        <v>0</v>
      </c>
      <c r="N7625" t="n">
        <v>0</v>
      </c>
      <c r="O7625" t="n">
        <v>0</v>
      </c>
      <c r="P7625" t="n">
        <v>0</v>
      </c>
      <c r="Q7625" t="n">
        <v>0</v>
      </c>
      <c r="R7625" s="2" t="inlineStr"/>
    </row>
    <row r="7626" ht="15" customHeight="1">
      <c r="A7626" t="inlineStr">
        <is>
          <t>A 5123-2026</t>
        </is>
      </c>
      <c r="B7626" s="1" t="n">
        <v>46049.5827662037</v>
      </c>
      <c r="C7626" s="1" t="n">
        <v>46086</v>
      </c>
      <c r="D7626" t="inlineStr">
        <is>
          <t>GÄVLEBORGS LÄN</t>
        </is>
      </c>
      <c r="E7626" t="inlineStr">
        <is>
          <t>SÖDERHAMN</t>
        </is>
      </c>
      <c r="G7626" t="n">
        <v>5.2</v>
      </c>
      <c r="H7626" t="n">
        <v>0</v>
      </c>
      <c r="I7626" t="n">
        <v>0</v>
      </c>
      <c r="J7626" t="n">
        <v>0</v>
      </c>
      <c r="K7626" t="n">
        <v>0</v>
      </c>
      <c r="L7626" t="n">
        <v>0</v>
      </c>
      <c r="M7626" t="n">
        <v>0</v>
      </c>
      <c r="N7626" t="n">
        <v>0</v>
      </c>
      <c r="O7626" t="n">
        <v>0</v>
      </c>
      <c r="P7626" t="n">
        <v>0</v>
      </c>
      <c r="Q7626" t="n">
        <v>0</v>
      </c>
      <c r="R7626" s="2" t="inlineStr"/>
    </row>
    <row r="7627" ht="15" customHeight="1">
      <c r="A7627" t="inlineStr">
        <is>
          <t>A 5147-2026</t>
        </is>
      </c>
      <c r="B7627" s="1" t="n">
        <v>46049.61094907407</v>
      </c>
      <c r="C7627" s="1" t="n">
        <v>46086</v>
      </c>
      <c r="D7627" t="inlineStr">
        <is>
          <t>GÄVLEBORGS LÄN</t>
        </is>
      </c>
      <c r="E7627" t="inlineStr">
        <is>
          <t>BOLLNÄS</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5149-2026</t>
        </is>
      </c>
      <c r="B7628" s="1" t="n">
        <v>46049.61362268519</v>
      </c>
      <c r="C7628" s="1" t="n">
        <v>46086</v>
      </c>
      <c r="D7628" t="inlineStr">
        <is>
          <t>GÄVLEBORGS LÄN</t>
        </is>
      </c>
      <c r="E7628" t="inlineStr">
        <is>
          <t>BOLLNÄS</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4768-2026</t>
        </is>
      </c>
      <c r="B7629" s="1" t="n">
        <v>46048.5430787037</v>
      </c>
      <c r="C7629" s="1" t="n">
        <v>46086</v>
      </c>
      <c r="D7629" t="inlineStr">
        <is>
          <t>GÄVLEBORGS LÄN</t>
        </is>
      </c>
      <c r="E7629" t="inlineStr">
        <is>
          <t>SANDVIKEN</t>
        </is>
      </c>
      <c r="F7629" t="inlineStr">
        <is>
          <t>Kommuner</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62377-2025</t>
        </is>
      </c>
      <c r="B7630" s="1" t="n">
        <v>46007.35341435186</v>
      </c>
      <c r="C7630" s="1" t="n">
        <v>46086</v>
      </c>
      <c r="D7630" t="inlineStr">
        <is>
          <t>GÄVLEBORGS LÄN</t>
        </is>
      </c>
      <c r="E7630" t="inlineStr">
        <is>
          <t>LJUSDAL</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62378-2025</t>
        </is>
      </c>
      <c r="B7631" s="1" t="n">
        <v>46007.3615162037</v>
      </c>
      <c r="C7631" s="1" t="n">
        <v>46086</v>
      </c>
      <c r="D7631" t="inlineStr">
        <is>
          <t>GÄVLEBORGS LÄN</t>
        </is>
      </c>
      <c r="E7631" t="inlineStr">
        <is>
          <t>HUDIKSVALL</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62394-2025</t>
        </is>
      </c>
      <c r="B7632" s="1" t="n">
        <v>46007.39395833333</v>
      </c>
      <c r="C7632" s="1" t="n">
        <v>46086</v>
      </c>
      <c r="D7632" t="inlineStr">
        <is>
          <t>GÄVLEBORGS LÄN</t>
        </is>
      </c>
      <c r="E7632" t="inlineStr">
        <is>
          <t>OVANÅKER</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4617-2026</t>
        </is>
      </c>
      <c r="B7633" s="1" t="n">
        <v>46048.37231481481</v>
      </c>
      <c r="C7633" s="1" t="n">
        <v>46086</v>
      </c>
      <c r="D7633" t="inlineStr">
        <is>
          <t>GÄVLEBORGS LÄN</t>
        </is>
      </c>
      <c r="E7633" t="inlineStr">
        <is>
          <t>BOLLNÄS</t>
        </is>
      </c>
      <c r="G7633" t="n">
        <v>8</v>
      </c>
      <c r="H7633" t="n">
        <v>0</v>
      </c>
      <c r="I7633" t="n">
        <v>0</v>
      </c>
      <c r="J7633" t="n">
        <v>0</v>
      </c>
      <c r="K7633" t="n">
        <v>0</v>
      </c>
      <c r="L7633" t="n">
        <v>0</v>
      </c>
      <c r="M7633" t="n">
        <v>0</v>
      </c>
      <c r="N7633" t="n">
        <v>0</v>
      </c>
      <c r="O7633" t="n">
        <v>0</v>
      </c>
      <c r="P7633" t="n">
        <v>0</v>
      </c>
      <c r="Q7633" t="n">
        <v>0</v>
      </c>
      <c r="R7633" s="2" t="inlineStr"/>
    </row>
    <row r="7634" ht="15" customHeight="1">
      <c r="A7634" t="inlineStr">
        <is>
          <t>A 4621-2026</t>
        </is>
      </c>
      <c r="B7634" s="1" t="n">
        <v>46048.37596064815</v>
      </c>
      <c r="C7634" s="1" t="n">
        <v>46086</v>
      </c>
      <c r="D7634" t="inlineStr">
        <is>
          <t>GÄVLEBORGS LÄN</t>
        </is>
      </c>
      <c r="E7634" t="inlineStr">
        <is>
          <t>BOLLNÄS</t>
        </is>
      </c>
      <c r="G7634" t="n">
        <v>6.2</v>
      </c>
      <c r="H7634" t="n">
        <v>0</v>
      </c>
      <c r="I7634" t="n">
        <v>0</v>
      </c>
      <c r="J7634" t="n">
        <v>0</v>
      </c>
      <c r="K7634" t="n">
        <v>0</v>
      </c>
      <c r="L7634" t="n">
        <v>0</v>
      </c>
      <c r="M7634" t="n">
        <v>0</v>
      </c>
      <c r="N7634" t="n">
        <v>0</v>
      </c>
      <c r="O7634" t="n">
        <v>0</v>
      </c>
      <c r="P7634" t="n">
        <v>0</v>
      </c>
      <c r="Q7634" t="n">
        <v>0</v>
      </c>
      <c r="R7634" s="2" t="inlineStr"/>
    </row>
    <row r="7635" ht="15" customHeight="1">
      <c r="A7635" t="inlineStr">
        <is>
          <t>A 4858-2026</t>
        </is>
      </c>
      <c r="B7635" s="1" t="n">
        <v>46048.63605324074</v>
      </c>
      <c r="C7635" s="1" t="n">
        <v>46086</v>
      </c>
      <c r="D7635" t="inlineStr">
        <is>
          <t>GÄVLEBORGS LÄN</t>
        </is>
      </c>
      <c r="E7635" t="inlineStr">
        <is>
          <t>OVANÅKER</t>
        </is>
      </c>
      <c r="G7635" t="n">
        <v>4.2</v>
      </c>
      <c r="H7635" t="n">
        <v>0</v>
      </c>
      <c r="I7635" t="n">
        <v>0</v>
      </c>
      <c r="J7635" t="n">
        <v>0</v>
      </c>
      <c r="K7635" t="n">
        <v>0</v>
      </c>
      <c r="L7635" t="n">
        <v>0</v>
      </c>
      <c r="M7635" t="n">
        <v>0</v>
      </c>
      <c r="N7635" t="n">
        <v>0</v>
      </c>
      <c r="O7635" t="n">
        <v>0</v>
      </c>
      <c r="P7635" t="n">
        <v>0</v>
      </c>
      <c r="Q7635" t="n">
        <v>0</v>
      </c>
      <c r="R7635" s="2" t="inlineStr"/>
    </row>
    <row r="7636" ht="15" customHeight="1">
      <c r="A7636" t="inlineStr">
        <is>
          <t>A 4862-2026</t>
        </is>
      </c>
      <c r="B7636" s="1" t="n">
        <v>46048.64078703704</v>
      </c>
      <c r="C7636" s="1" t="n">
        <v>46086</v>
      </c>
      <c r="D7636" t="inlineStr">
        <is>
          <t>GÄVLEBORGS LÄN</t>
        </is>
      </c>
      <c r="E7636" t="inlineStr">
        <is>
          <t>OCKELBO</t>
        </is>
      </c>
      <c r="G7636" t="n">
        <v>5.7</v>
      </c>
      <c r="H7636" t="n">
        <v>0</v>
      </c>
      <c r="I7636" t="n">
        <v>0</v>
      </c>
      <c r="J7636" t="n">
        <v>0</v>
      </c>
      <c r="K7636" t="n">
        <v>0</v>
      </c>
      <c r="L7636" t="n">
        <v>0</v>
      </c>
      <c r="M7636" t="n">
        <v>0</v>
      </c>
      <c r="N7636" t="n">
        <v>0</v>
      </c>
      <c r="O7636" t="n">
        <v>0</v>
      </c>
      <c r="P7636" t="n">
        <v>0</v>
      </c>
      <c r="Q7636" t="n">
        <v>0</v>
      </c>
      <c r="R7636" s="2" t="inlineStr"/>
    </row>
    <row r="7637" ht="15" customHeight="1">
      <c r="A7637" t="inlineStr">
        <is>
          <t>A 4954-2026</t>
        </is>
      </c>
      <c r="B7637" s="1" t="n">
        <v>46049.28568287037</v>
      </c>
      <c r="C7637" s="1" t="n">
        <v>46086</v>
      </c>
      <c r="D7637" t="inlineStr">
        <is>
          <t>GÄVLEBORGS LÄN</t>
        </is>
      </c>
      <c r="E7637" t="inlineStr">
        <is>
          <t>BOLLNÄS</t>
        </is>
      </c>
      <c r="G7637" t="n">
        <v>5.8</v>
      </c>
      <c r="H7637" t="n">
        <v>0</v>
      </c>
      <c r="I7637" t="n">
        <v>0</v>
      </c>
      <c r="J7637" t="n">
        <v>0</v>
      </c>
      <c r="K7637" t="n">
        <v>0</v>
      </c>
      <c r="L7637" t="n">
        <v>0</v>
      </c>
      <c r="M7637" t="n">
        <v>0</v>
      </c>
      <c r="N7637" t="n">
        <v>0</v>
      </c>
      <c r="O7637" t="n">
        <v>0</v>
      </c>
      <c r="P7637" t="n">
        <v>0</v>
      </c>
      <c r="Q7637" t="n">
        <v>0</v>
      </c>
      <c r="R7637" s="2" t="inlineStr"/>
    </row>
    <row r="7638" ht="15" customHeight="1">
      <c r="A7638" t="inlineStr">
        <is>
          <t>A 4957-2026</t>
        </is>
      </c>
      <c r="B7638" s="1" t="n">
        <v>46049.29265046296</v>
      </c>
      <c r="C7638" s="1" t="n">
        <v>46086</v>
      </c>
      <c r="D7638" t="inlineStr">
        <is>
          <t>GÄVLEBORGS LÄN</t>
        </is>
      </c>
      <c r="E7638" t="inlineStr">
        <is>
          <t>BOLLNÄS</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4966-2026</t>
        </is>
      </c>
      <c r="B7639" s="1" t="n">
        <v>46049.33083333333</v>
      </c>
      <c r="C7639" s="1" t="n">
        <v>46086</v>
      </c>
      <c r="D7639" t="inlineStr">
        <is>
          <t>GÄVLEBORGS LÄN</t>
        </is>
      </c>
      <c r="E7639" t="inlineStr">
        <is>
          <t>BOLLNÄS</t>
        </is>
      </c>
      <c r="G7639" t="n">
        <v>22.3</v>
      </c>
      <c r="H7639" t="n">
        <v>0</v>
      </c>
      <c r="I7639" t="n">
        <v>0</v>
      </c>
      <c r="J7639" t="n">
        <v>0</v>
      </c>
      <c r="K7639" t="n">
        <v>0</v>
      </c>
      <c r="L7639" t="n">
        <v>0</v>
      </c>
      <c r="M7639" t="n">
        <v>0</v>
      </c>
      <c r="N7639" t="n">
        <v>0</v>
      </c>
      <c r="O7639" t="n">
        <v>0</v>
      </c>
      <c r="P7639" t="n">
        <v>0</v>
      </c>
      <c r="Q7639" t="n">
        <v>0</v>
      </c>
      <c r="R7639" s="2" t="inlineStr"/>
    </row>
    <row r="7640" ht="15" customHeight="1">
      <c r="A7640" t="inlineStr">
        <is>
          <t>A 5081-2026</t>
        </is>
      </c>
      <c r="B7640" s="1" t="n">
        <v>46049.54252314815</v>
      </c>
      <c r="C7640" s="1" t="n">
        <v>46086</v>
      </c>
      <c r="D7640" t="inlineStr">
        <is>
          <t>GÄVLEBORGS LÄN</t>
        </is>
      </c>
      <c r="E7640" t="inlineStr">
        <is>
          <t>OVANÅKER</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5096-2026</t>
        </is>
      </c>
      <c r="B7641" s="1" t="n">
        <v>46049.55469907408</v>
      </c>
      <c r="C7641" s="1" t="n">
        <v>46086</v>
      </c>
      <c r="D7641" t="inlineStr">
        <is>
          <t>GÄVLEBORGS LÄN</t>
        </is>
      </c>
      <c r="E7641" t="inlineStr">
        <is>
          <t>OVANÅKER</t>
        </is>
      </c>
      <c r="G7641" t="n">
        <v>5.2</v>
      </c>
      <c r="H7641" t="n">
        <v>0</v>
      </c>
      <c r="I7641" t="n">
        <v>0</v>
      </c>
      <c r="J7641" t="n">
        <v>0</v>
      </c>
      <c r="K7641" t="n">
        <v>0</v>
      </c>
      <c r="L7641" t="n">
        <v>0</v>
      </c>
      <c r="M7641" t="n">
        <v>0</v>
      </c>
      <c r="N7641" t="n">
        <v>0</v>
      </c>
      <c r="O7641" t="n">
        <v>0</v>
      </c>
      <c r="P7641" t="n">
        <v>0</v>
      </c>
      <c r="Q7641" t="n">
        <v>0</v>
      </c>
      <c r="R7641" s="2" t="inlineStr"/>
    </row>
    <row r="7642" ht="15" customHeight="1">
      <c r="A7642" t="inlineStr">
        <is>
          <t>A 62272-2025</t>
        </is>
      </c>
      <c r="B7642" s="1" t="n">
        <v>46006.6241087963</v>
      </c>
      <c r="C7642" s="1" t="n">
        <v>46086</v>
      </c>
      <c r="D7642" t="inlineStr">
        <is>
          <t>GÄVLEBORGS LÄN</t>
        </is>
      </c>
      <c r="E7642" t="inlineStr">
        <is>
          <t>BOLLNÄS</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62298-2025</t>
        </is>
      </c>
      <c r="B7643" s="1" t="n">
        <v>46006.64868055555</v>
      </c>
      <c r="C7643" s="1" t="n">
        <v>46086</v>
      </c>
      <c r="D7643" t="inlineStr">
        <is>
          <t>GÄVLEBORGS LÄN</t>
        </is>
      </c>
      <c r="E7643" t="inlineStr">
        <is>
          <t>OVANÅKER</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4539-2026</t>
        </is>
      </c>
      <c r="B7644" s="1" t="n">
        <v>46046.94458333333</v>
      </c>
      <c r="C7644" s="1" t="n">
        <v>46086</v>
      </c>
      <c r="D7644" t="inlineStr">
        <is>
          <t>GÄVLEBORGS LÄN</t>
        </is>
      </c>
      <c r="E7644" t="inlineStr">
        <is>
          <t>SANDVIKEN</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4504-2026</t>
        </is>
      </c>
      <c r="B7645" s="1" t="n">
        <v>46045</v>
      </c>
      <c r="C7645" s="1" t="n">
        <v>46086</v>
      </c>
      <c r="D7645" t="inlineStr">
        <is>
          <t>GÄVLEBORGS LÄN</t>
        </is>
      </c>
      <c r="E7645" t="inlineStr">
        <is>
          <t>SANDVIKEN</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5218-2026</t>
        </is>
      </c>
      <c r="B7646" s="1" t="n">
        <v>46049.76145833333</v>
      </c>
      <c r="C7646" s="1" t="n">
        <v>46086</v>
      </c>
      <c r="D7646" t="inlineStr">
        <is>
          <t>GÄVLEBORGS LÄN</t>
        </is>
      </c>
      <c r="E7646" t="inlineStr">
        <is>
          <t>OCKELBO</t>
        </is>
      </c>
      <c r="F7646" t="inlineStr">
        <is>
          <t>Bergvik skog väst AB</t>
        </is>
      </c>
      <c r="G7646" t="n">
        <v>8.6</v>
      </c>
      <c r="H7646" t="n">
        <v>0</v>
      </c>
      <c r="I7646" t="n">
        <v>0</v>
      </c>
      <c r="J7646" t="n">
        <v>0</v>
      </c>
      <c r="K7646" t="n">
        <v>0</v>
      </c>
      <c r="L7646" t="n">
        <v>0</v>
      </c>
      <c r="M7646" t="n">
        <v>0</v>
      </c>
      <c r="N7646" t="n">
        <v>0</v>
      </c>
      <c r="O7646" t="n">
        <v>0</v>
      </c>
      <c r="P7646" t="n">
        <v>0</v>
      </c>
      <c r="Q7646" t="n">
        <v>0</v>
      </c>
      <c r="R7646" s="2" t="inlineStr"/>
    </row>
    <row r="7647" ht="15" customHeight="1">
      <c r="A7647" t="inlineStr">
        <is>
          <t>A 4610-2026</t>
        </is>
      </c>
      <c r="B7647" s="1" t="n">
        <v>46048.3632175926</v>
      </c>
      <c r="C7647" s="1" t="n">
        <v>46086</v>
      </c>
      <c r="D7647" t="inlineStr">
        <is>
          <t>GÄVLEBORGS LÄN</t>
        </is>
      </c>
      <c r="E7647" t="inlineStr">
        <is>
          <t>LJUSDAL</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4642-2026</t>
        </is>
      </c>
      <c r="B7648" s="1" t="n">
        <v>46048.39998842592</v>
      </c>
      <c r="C7648" s="1" t="n">
        <v>46086</v>
      </c>
      <c r="D7648" t="inlineStr">
        <is>
          <t>GÄVLEBORGS LÄN</t>
        </is>
      </c>
      <c r="E7648" t="inlineStr">
        <is>
          <t>OCKELBO</t>
        </is>
      </c>
      <c r="F7648" t="inlineStr">
        <is>
          <t>Bergvik skog väst AB</t>
        </is>
      </c>
      <c r="G7648" t="n">
        <v>3.7</v>
      </c>
      <c r="H7648" t="n">
        <v>0</v>
      </c>
      <c r="I7648" t="n">
        <v>0</v>
      </c>
      <c r="J7648" t="n">
        <v>0</v>
      </c>
      <c r="K7648" t="n">
        <v>0</v>
      </c>
      <c r="L7648" t="n">
        <v>0</v>
      </c>
      <c r="M7648" t="n">
        <v>0</v>
      </c>
      <c r="N7648" t="n">
        <v>0</v>
      </c>
      <c r="O7648" t="n">
        <v>0</v>
      </c>
      <c r="P7648" t="n">
        <v>0</v>
      </c>
      <c r="Q7648" t="n">
        <v>0</v>
      </c>
      <c r="R7648" s="2" t="inlineStr"/>
    </row>
    <row r="7649" ht="15" customHeight="1">
      <c r="A7649" t="inlineStr">
        <is>
          <t>A 4983-2026</t>
        </is>
      </c>
      <c r="B7649" s="1" t="n">
        <v>46049.37723379629</v>
      </c>
      <c r="C7649" s="1" t="n">
        <v>46086</v>
      </c>
      <c r="D7649" t="inlineStr">
        <is>
          <t>GÄVLEBORGS LÄN</t>
        </is>
      </c>
      <c r="E7649" t="inlineStr">
        <is>
          <t>LJUSDAL</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62226-2025</t>
        </is>
      </c>
      <c r="B7650" s="1" t="n">
        <v>46006.58587962963</v>
      </c>
      <c r="C7650" s="1" t="n">
        <v>46086</v>
      </c>
      <c r="D7650" t="inlineStr">
        <is>
          <t>GÄVLEBORGS LÄN</t>
        </is>
      </c>
      <c r="E7650" t="inlineStr">
        <is>
          <t>GÄVLE</t>
        </is>
      </c>
      <c r="F7650" t="inlineStr">
        <is>
          <t>Bergvik skog väst AB</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62196-2025</t>
        </is>
      </c>
      <c r="B7651" s="1" t="n">
        <v>46006.55280092593</v>
      </c>
      <c r="C7651" s="1" t="n">
        <v>46086</v>
      </c>
      <c r="D7651" t="inlineStr">
        <is>
          <t>GÄVLEBORGS LÄN</t>
        </is>
      </c>
      <c r="E7651" t="inlineStr">
        <is>
          <t>OCKELBO</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62203-2025</t>
        </is>
      </c>
      <c r="B7652" s="1" t="n">
        <v>46006.55605324074</v>
      </c>
      <c r="C7652" s="1" t="n">
        <v>46086</v>
      </c>
      <c r="D7652" t="inlineStr">
        <is>
          <t>GÄVLEBORGS LÄN</t>
        </is>
      </c>
      <c r="E7652" t="inlineStr">
        <is>
          <t>LJUSDAL</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4828-2026</t>
        </is>
      </c>
      <c r="B7653" s="1" t="n">
        <v>46048.59762731481</v>
      </c>
      <c r="C7653" s="1" t="n">
        <v>46086</v>
      </c>
      <c r="D7653" t="inlineStr">
        <is>
          <t>GÄVLEBORGS LÄN</t>
        </is>
      </c>
      <c r="E7653" t="inlineStr">
        <is>
          <t>BOLLNÄS</t>
        </is>
      </c>
      <c r="G7653" t="n">
        <v>5.3</v>
      </c>
      <c r="H7653" t="n">
        <v>0</v>
      </c>
      <c r="I7653" t="n">
        <v>0</v>
      </c>
      <c r="J7653" t="n">
        <v>0</v>
      </c>
      <c r="K7653" t="n">
        <v>0</v>
      </c>
      <c r="L7653" t="n">
        <v>0</v>
      </c>
      <c r="M7653" t="n">
        <v>0</v>
      </c>
      <c r="N7653" t="n">
        <v>0</v>
      </c>
      <c r="O7653" t="n">
        <v>0</v>
      </c>
      <c r="P7653" t="n">
        <v>0</v>
      </c>
      <c r="Q7653" t="n">
        <v>0</v>
      </c>
      <c r="R7653" s="2" t="inlineStr"/>
    </row>
    <row r="7654" ht="15" customHeight="1">
      <c r="A7654" t="inlineStr">
        <is>
          <t>A 4565-2026</t>
        </is>
      </c>
      <c r="B7654" s="1" t="n">
        <v>46047.85877314815</v>
      </c>
      <c r="C7654" s="1" t="n">
        <v>46086</v>
      </c>
      <c r="D7654" t="inlineStr">
        <is>
          <t>GÄVLEBORGS LÄN</t>
        </is>
      </c>
      <c r="E7654" t="inlineStr">
        <is>
          <t>BOLLNÄS</t>
        </is>
      </c>
      <c r="G7654" t="n">
        <v>5.7</v>
      </c>
      <c r="H7654" t="n">
        <v>0</v>
      </c>
      <c r="I7654" t="n">
        <v>0</v>
      </c>
      <c r="J7654" t="n">
        <v>0</v>
      </c>
      <c r="K7654" t="n">
        <v>0</v>
      </c>
      <c r="L7654" t="n">
        <v>0</v>
      </c>
      <c r="M7654" t="n">
        <v>0</v>
      </c>
      <c r="N7654" t="n">
        <v>0</v>
      </c>
      <c r="O7654" t="n">
        <v>0</v>
      </c>
      <c r="P7654" t="n">
        <v>0</v>
      </c>
      <c r="Q7654" t="n">
        <v>0</v>
      </c>
      <c r="R7654" s="2" t="inlineStr"/>
    </row>
    <row r="7655" ht="15" customHeight="1">
      <c r="A7655" t="inlineStr">
        <is>
          <t>A 58200-2025</t>
        </is>
      </c>
      <c r="B7655" s="1" t="n">
        <v>45984.44259259259</v>
      </c>
      <c r="C7655" s="1" t="n">
        <v>46086</v>
      </c>
      <c r="D7655" t="inlineStr">
        <is>
          <t>GÄVLEBORGS LÄN</t>
        </is>
      </c>
      <c r="E7655" t="inlineStr">
        <is>
          <t>SANDVIKEN</t>
        </is>
      </c>
      <c r="F7655" t="inlineStr">
        <is>
          <t>Bergvik skog öst AB</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5056-2026</t>
        </is>
      </c>
      <c r="B7656" s="1" t="n">
        <v>46049.47729166667</v>
      </c>
      <c r="C7656" s="1" t="n">
        <v>46086</v>
      </c>
      <c r="D7656" t="inlineStr">
        <is>
          <t>GÄVLEBORGS LÄN</t>
        </is>
      </c>
      <c r="E7656" t="inlineStr">
        <is>
          <t>BOLLNÄS</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24721-2025</t>
        </is>
      </c>
      <c r="B7657" s="1" t="n">
        <v>45799</v>
      </c>
      <c r="C7657" s="1" t="n">
        <v>46086</v>
      </c>
      <c r="D7657" t="inlineStr">
        <is>
          <t>GÄVLEBORGS LÄN</t>
        </is>
      </c>
      <c r="E7657" t="inlineStr">
        <is>
          <t>BOLLNÄS</t>
        </is>
      </c>
      <c r="G7657" t="n">
        <v>9</v>
      </c>
      <c r="H7657" t="n">
        <v>0</v>
      </c>
      <c r="I7657" t="n">
        <v>0</v>
      </c>
      <c r="J7657" t="n">
        <v>0</v>
      </c>
      <c r="K7657" t="n">
        <v>0</v>
      </c>
      <c r="L7657" t="n">
        <v>0</v>
      </c>
      <c r="M7657" t="n">
        <v>0</v>
      </c>
      <c r="N7657" t="n">
        <v>0</v>
      </c>
      <c r="O7657" t="n">
        <v>0</v>
      </c>
      <c r="P7657" t="n">
        <v>0</v>
      </c>
      <c r="Q7657" t="n">
        <v>0</v>
      </c>
      <c r="R7657" s="2" t="inlineStr"/>
    </row>
    <row r="7658" ht="15" customHeight="1">
      <c r="A7658" t="inlineStr">
        <is>
          <t>A 62414-2025</t>
        </is>
      </c>
      <c r="B7658" s="1" t="n">
        <v>46007.44385416667</v>
      </c>
      <c r="C7658" s="1" t="n">
        <v>46086</v>
      </c>
      <c r="D7658" t="inlineStr">
        <is>
          <t>GÄVLEBORGS LÄN</t>
        </is>
      </c>
      <c r="E7658" t="inlineStr">
        <is>
          <t>SÖDERHAMN</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5234-2026</t>
        </is>
      </c>
      <c r="B7659" s="1" t="n">
        <v>46049.83738425926</v>
      </c>
      <c r="C7659" s="1" t="n">
        <v>46086</v>
      </c>
      <c r="D7659" t="inlineStr">
        <is>
          <t>GÄVLEBORGS LÄN</t>
        </is>
      </c>
      <c r="E7659" t="inlineStr">
        <is>
          <t>OCKELBO</t>
        </is>
      </c>
      <c r="F7659" t="inlineStr">
        <is>
          <t>Bergvik skog väst AB</t>
        </is>
      </c>
      <c r="G7659" t="n">
        <v>17.1</v>
      </c>
      <c r="H7659" t="n">
        <v>0</v>
      </c>
      <c r="I7659" t="n">
        <v>0</v>
      </c>
      <c r="J7659" t="n">
        <v>0</v>
      </c>
      <c r="K7659" t="n">
        <v>0</v>
      </c>
      <c r="L7659" t="n">
        <v>0</v>
      </c>
      <c r="M7659" t="n">
        <v>0</v>
      </c>
      <c r="N7659" t="n">
        <v>0</v>
      </c>
      <c r="O7659" t="n">
        <v>0</v>
      </c>
      <c r="P7659" t="n">
        <v>0</v>
      </c>
      <c r="Q7659" t="n">
        <v>0</v>
      </c>
      <c r="R7659" s="2" t="inlineStr"/>
    </row>
    <row r="7660" ht="15" customHeight="1">
      <c r="A7660" t="inlineStr">
        <is>
          <t>A 62355-2025</t>
        </is>
      </c>
      <c r="B7660" s="1" t="n">
        <v>46007.29127314815</v>
      </c>
      <c r="C7660" s="1" t="n">
        <v>46086</v>
      </c>
      <c r="D7660" t="inlineStr">
        <is>
          <t>GÄVLEBORGS LÄN</t>
        </is>
      </c>
      <c r="E7660" t="inlineStr">
        <is>
          <t>BOLLNÄS</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4578-2026</t>
        </is>
      </c>
      <c r="B7661" s="1" t="n">
        <v>46048.3146875</v>
      </c>
      <c r="C7661" s="1" t="n">
        <v>46086</v>
      </c>
      <c r="D7661" t="inlineStr">
        <is>
          <t>GÄVLEBORGS LÄN</t>
        </is>
      </c>
      <c r="E7661" t="inlineStr">
        <is>
          <t>OCKELBO</t>
        </is>
      </c>
      <c r="F7661" t="inlineStr">
        <is>
          <t>Bergvik skog väst AB</t>
        </is>
      </c>
      <c r="G7661" t="n">
        <v>27.9</v>
      </c>
      <c r="H7661" t="n">
        <v>0</v>
      </c>
      <c r="I7661" t="n">
        <v>0</v>
      </c>
      <c r="J7661" t="n">
        <v>0</v>
      </c>
      <c r="K7661" t="n">
        <v>0</v>
      </c>
      <c r="L7661" t="n">
        <v>0</v>
      </c>
      <c r="M7661" t="n">
        <v>0</v>
      </c>
      <c r="N7661" t="n">
        <v>0</v>
      </c>
      <c r="O7661" t="n">
        <v>0</v>
      </c>
      <c r="P7661" t="n">
        <v>0</v>
      </c>
      <c r="Q7661" t="n">
        <v>0</v>
      </c>
      <c r="R7661" s="2" t="inlineStr"/>
    </row>
    <row r="7662" ht="15" customHeight="1">
      <c r="A7662" t="inlineStr">
        <is>
          <t>A 4540-2026</t>
        </is>
      </c>
      <c r="B7662" s="1" t="n">
        <v>46046.94585648148</v>
      </c>
      <c r="C7662" s="1" t="n">
        <v>46086</v>
      </c>
      <c r="D7662" t="inlineStr">
        <is>
          <t>GÄVLEBORGS LÄN</t>
        </is>
      </c>
      <c r="E7662" t="inlineStr">
        <is>
          <t>SANDVIKEN</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4542-2026</t>
        </is>
      </c>
      <c r="B7663" s="1" t="n">
        <v>46047.30560185185</v>
      </c>
      <c r="C7663" s="1" t="n">
        <v>46086</v>
      </c>
      <c r="D7663" t="inlineStr">
        <is>
          <t>GÄVLEBORGS LÄN</t>
        </is>
      </c>
      <c r="E7663" t="inlineStr">
        <is>
          <t>OCKELBO</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4547-2026</t>
        </is>
      </c>
      <c r="B7664" s="1" t="n">
        <v>46047.45753472222</v>
      </c>
      <c r="C7664" s="1" t="n">
        <v>46086</v>
      </c>
      <c r="D7664" t="inlineStr">
        <is>
          <t>GÄVLEBORGS LÄN</t>
        </is>
      </c>
      <c r="E7664" t="inlineStr">
        <is>
          <t>OVANÅKER</t>
        </is>
      </c>
      <c r="G7664" t="n">
        <v>5.5</v>
      </c>
      <c r="H7664" t="n">
        <v>0</v>
      </c>
      <c r="I7664" t="n">
        <v>0</v>
      </c>
      <c r="J7664" t="n">
        <v>0</v>
      </c>
      <c r="K7664" t="n">
        <v>0</v>
      </c>
      <c r="L7664" t="n">
        <v>0</v>
      </c>
      <c r="M7664" t="n">
        <v>0</v>
      </c>
      <c r="N7664" t="n">
        <v>0</v>
      </c>
      <c r="O7664" t="n">
        <v>0</v>
      </c>
      <c r="P7664" t="n">
        <v>0</v>
      </c>
      <c r="Q7664" t="n">
        <v>0</v>
      </c>
      <c r="R7664" s="2" t="inlineStr"/>
    </row>
    <row r="7665" ht="15" customHeight="1">
      <c r="A7665" t="inlineStr">
        <is>
          <t>A 62036-2025</t>
        </is>
      </c>
      <c r="B7665" s="1" t="n">
        <v>46004.63576388889</v>
      </c>
      <c r="C7665" s="1" t="n">
        <v>46086</v>
      </c>
      <c r="D7665" t="inlineStr">
        <is>
          <t>GÄVLEBORGS LÄN</t>
        </is>
      </c>
      <c r="E7665" t="inlineStr">
        <is>
          <t>HUDIKSVALL</t>
        </is>
      </c>
      <c r="G7665" t="n">
        <v>4.9</v>
      </c>
      <c r="H7665" t="n">
        <v>0</v>
      </c>
      <c r="I7665" t="n">
        <v>0</v>
      </c>
      <c r="J7665" t="n">
        <v>0</v>
      </c>
      <c r="K7665" t="n">
        <v>0</v>
      </c>
      <c r="L7665" t="n">
        <v>0</v>
      </c>
      <c r="M7665" t="n">
        <v>0</v>
      </c>
      <c r="N7665" t="n">
        <v>0</v>
      </c>
      <c r="O7665" t="n">
        <v>0</v>
      </c>
      <c r="P7665" t="n">
        <v>0</v>
      </c>
      <c r="Q7665" t="n">
        <v>0</v>
      </c>
      <c r="R7665" s="2" t="inlineStr"/>
    </row>
    <row r="7666" ht="15" customHeight="1">
      <c r="A7666" t="inlineStr">
        <is>
          <t>A 4891-2026</t>
        </is>
      </c>
      <c r="B7666" s="1" t="n">
        <v>46048.67299768519</v>
      </c>
      <c r="C7666" s="1" t="n">
        <v>46086</v>
      </c>
      <c r="D7666" t="inlineStr">
        <is>
          <t>GÄVLEBORGS LÄN</t>
        </is>
      </c>
      <c r="E7666" t="inlineStr">
        <is>
          <t>OCKELBO</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4944-2026</t>
        </is>
      </c>
      <c r="B7667" s="1" t="n">
        <v>46049.24228009259</v>
      </c>
      <c r="C7667" s="1" t="n">
        <v>46086</v>
      </c>
      <c r="D7667" t="inlineStr">
        <is>
          <t>GÄVLEBORGS LÄN</t>
        </is>
      </c>
      <c r="E7667" t="inlineStr">
        <is>
          <t>BOLLNÄS</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4947-2026</t>
        </is>
      </c>
      <c r="B7668" s="1" t="n">
        <v>46049.26045138889</v>
      </c>
      <c r="C7668" s="1" t="n">
        <v>46086</v>
      </c>
      <c r="D7668" t="inlineStr">
        <is>
          <t>GÄVLEBORGS LÄN</t>
        </is>
      </c>
      <c r="E7668" t="inlineStr">
        <is>
          <t>BOLLNÄS</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4675-2026</t>
        </is>
      </c>
      <c r="B7669" s="1" t="n">
        <v>46048.42685185185</v>
      </c>
      <c r="C7669" s="1" t="n">
        <v>46086</v>
      </c>
      <c r="D7669" t="inlineStr">
        <is>
          <t>GÄVLEBORGS LÄN</t>
        </is>
      </c>
      <c r="E7669" t="inlineStr">
        <is>
          <t>OCKELBO</t>
        </is>
      </c>
      <c r="F7669" t="inlineStr">
        <is>
          <t>Bergvik skog väst AB</t>
        </is>
      </c>
      <c r="G7669" t="n">
        <v>9.1</v>
      </c>
      <c r="H7669" t="n">
        <v>0</v>
      </c>
      <c r="I7669" t="n">
        <v>0</v>
      </c>
      <c r="J7669" t="n">
        <v>0</v>
      </c>
      <c r="K7669" t="n">
        <v>0</v>
      </c>
      <c r="L7669" t="n">
        <v>0</v>
      </c>
      <c r="M7669" t="n">
        <v>0</v>
      </c>
      <c r="N7669" t="n">
        <v>0</v>
      </c>
      <c r="O7669" t="n">
        <v>0</v>
      </c>
      <c r="P7669" t="n">
        <v>0</v>
      </c>
      <c r="Q7669" t="n">
        <v>0</v>
      </c>
      <c r="R7669" s="2" t="inlineStr"/>
    </row>
    <row r="7670" ht="15" customHeight="1">
      <c r="A7670" t="inlineStr">
        <is>
          <t>A 4704-2026</t>
        </is>
      </c>
      <c r="B7670" s="1" t="n">
        <v>46048.45103009259</v>
      </c>
      <c r="C7670" s="1" t="n">
        <v>46086</v>
      </c>
      <c r="D7670" t="inlineStr">
        <is>
          <t>GÄVLEBORGS LÄN</t>
        </is>
      </c>
      <c r="E7670" t="inlineStr">
        <is>
          <t>BOLLNÄS</t>
        </is>
      </c>
      <c r="F7670" t="inlineStr">
        <is>
          <t>Bergvik skog väst AB</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4976-2026</t>
        </is>
      </c>
      <c r="B7671" s="1" t="n">
        <v>46049.36459490741</v>
      </c>
      <c r="C7671" s="1" t="n">
        <v>46086</v>
      </c>
      <c r="D7671" t="inlineStr">
        <is>
          <t>GÄVLEBORGS LÄN</t>
        </is>
      </c>
      <c r="E7671" t="inlineStr">
        <is>
          <t>BOLLNÄS</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4986-2026</t>
        </is>
      </c>
      <c r="B7672" s="1" t="n">
        <v>46049.38732638889</v>
      </c>
      <c r="C7672" s="1" t="n">
        <v>46086</v>
      </c>
      <c r="D7672" t="inlineStr">
        <is>
          <t>GÄVLEBORGS LÄN</t>
        </is>
      </c>
      <c r="E7672" t="inlineStr">
        <is>
          <t>BOLLNÄS</t>
        </is>
      </c>
      <c r="G7672" t="n">
        <v>3.3</v>
      </c>
      <c r="H7672" t="n">
        <v>0</v>
      </c>
      <c r="I7672" t="n">
        <v>0</v>
      </c>
      <c r="J7672" t="n">
        <v>0</v>
      </c>
      <c r="K7672" t="n">
        <v>0</v>
      </c>
      <c r="L7672" t="n">
        <v>0</v>
      </c>
      <c r="M7672" t="n">
        <v>0</v>
      </c>
      <c r="N7672" t="n">
        <v>0</v>
      </c>
      <c r="O7672" t="n">
        <v>0</v>
      </c>
      <c r="P7672" t="n">
        <v>0</v>
      </c>
      <c r="Q7672" t="n">
        <v>0</v>
      </c>
      <c r="R7672" s="2" t="inlineStr"/>
    </row>
    <row r="7673" ht="15" customHeight="1">
      <c r="A7673" t="inlineStr">
        <is>
          <t>A 62411-2025</t>
        </is>
      </c>
      <c r="B7673" s="1" t="n">
        <v>46007.43958333333</v>
      </c>
      <c r="C7673" s="1" t="n">
        <v>46086</v>
      </c>
      <c r="D7673" t="inlineStr">
        <is>
          <t>GÄVLEBORGS LÄN</t>
        </is>
      </c>
      <c r="E7673" t="inlineStr">
        <is>
          <t>OCKELBO</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59383-2025</t>
        </is>
      </c>
      <c r="B7674" s="1" t="n">
        <v>45989.45607638889</v>
      </c>
      <c r="C7674" s="1" t="n">
        <v>46086</v>
      </c>
      <c r="D7674" t="inlineStr">
        <is>
          <t>GÄVLEBORGS LÄN</t>
        </is>
      </c>
      <c r="E7674" t="inlineStr">
        <is>
          <t>OCKELBO</t>
        </is>
      </c>
      <c r="F7674" t="inlineStr">
        <is>
          <t>Bergvik skog väst AB</t>
        </is>
      </c>
      <c r="G7674" t="n">
        <v>6.8</v>
      </c>
      <c r="H7674" t="n">
        <v>0</v>
      </c>
      <c r="I7674" t="n">
        <v>0</v>
      </c>
      <c r="J7674" t="n">
        <v>0</v>
      </c>
      <c r="K7674" t="n">
        <v>0</v>
      </c>
      <c r="L7674" t="n">
        <v>0</v>
      </c>
      <c r="M7674" t="n">
        <v>0</v>
      </c>
      <c r="N7674" t="n">
        <v>0</v>
      </c>
      <c r="O7674" t="n">
        <v>0</v>
      </c>
      <c r="P7674" t="n">
        <v>0</v>
      </c>
      <c r="Q7674" t="n">
        <v>0</v>
      </c>
      <c r="R7674" s="2" t="inlineStr"/>
    </row>
    <row r="7675" ht="15" customHeight="1">
      <c r="A7675" t="inlineStr">
        <is>
          <t>A 5105-2026</t>
        </is>
      </c>
      <c r="B7675" s="1" t="n">
        <v>46049.57107638889</v>
      </c>
      <c r="C7675" s="1" t="n">
        <v>46086</v>
      </c>
      <c r="D7675" t="inlineStr">
        <is>
          <t>GÄVLEBORGS LÄN</t>
        </is>
      </c>
      <c r="E7675" t="inlineStr">
        <is>
          <t>SÖDERHAMN</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4488-2026</t>
        </is>
      </c>
      <c r="B7676" s="1" t="n">
        <v>46045</v>
      </c>
      <c r="C7676" s="1" t="n">
        <v>46086</v>
      </c>
      <c r="D7676" t="inlineStr">
        <is>
          <t>GÄVLEBORGS LÄN</t>
        </is>
      </c>
      <c r="E7676" t="inlineStr">
        <is>
          <t>SANDVIKEN</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4538-2026</t>
        </is>
      </c>
      <c r="B7677" s="1" t="n">
        <v>46046.81304398148</v>
      </c>
      <c r="C7677" s="1" t="n">
        <v>46086</v>
      </c>
      <c r="D7677" t="inlineStr">
        <is>
          <t>GÄVLEBORGS LÄN</t>
        </is>
      </c>
      <c r="E7677" t="inlineStr">
        <is>
          <t>OCKELBO</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62558-2025</t>
        </is>
      </c>
      <c r="B7678" s="1" t="n">
        <v>46007.68518518518</v>
      </c>
      <c r="C7678" s="1" t="n">
        <v>46086</v>
      </c>
      <c r="D7678" t="inlineStr">
        <is>
          <t>GÄVLEBORGS LÄN</t>
        </is>
      </c>
      <c r="E7678" t="inlineStr">
        <is>
          <t>GÄVLE</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62350-2025</t>
        </is>
      </c>
      <c r="B7679" s="1" t="n">
        <v>46007.26527777778</v>
      </c>
      <c r="C7679" s="1" t="n">
        <v>46086</v>
      </c>
      <c r="D7679" t="inlineStr">
        <is>
          <t>GÄVLEBORGS LÄN</t>
        </is>
      </c>
      <c r="E7679" t="inlineStr">
        <is>
          <t>OVANÅKER</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5161-2026</t>
        </is>
      </c>
      <c r="B7680" s="1" t="n">
        <v>46049.62087962963</v>
      </c>
      <c r="C7680" s="1" t="n">
        <v>46086</v>
      </c>
      <c r="D7680" t="inlineStr">
        <is>
          <t>GÄVLEBORGS LÄN</t>
        </is>
      </c>
      <c r="E7680" t="inlineStr">
        <is>
          <t>BOLLNÄS</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4699-2026</t>
        </is>
      </c>
      <c r="B7681" s="1" t="n">
        <v>46048.44851851852</v>
      </c>
      <c r="C7681" s="1" t="n">
        <v>46086</v>
      </c>
      <c r="D7681" t="inlineStr">
        <is>
          <t>GÄVLEBORGS LÄN</t>
        </is>
      </c>
      <c r="E7681" t="inlineStr">
        <is>
          <t>HUDIKSVALL</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4956-2026</t>
        </is>
      </c>
      <c r="B7682" s="1" t="n">
        <v>46049.2919212963</v>
      </c>
      <c r="C7682" s="1" t="n">
        <v>46086</v>
      </c>
      <c r="D7682" t="inlineStr">
        <is>
          <t>GÄVLEBORGS LÄN</t>
        </is>
      </c>
      <c r="E7682" t="inlineStr">
        <is>
          <t>BOLLNÄS</t>
        </is>
      </c>
      <c r="F7682" t="inlineStr">
        <is>
          <t>Kyrkan</t>
        </is>
      </c>
      <c r="G7682" t="n">
        <v>9.1</v>
      </c>
      <c r="H7682" t="n">
        <v>0</v>
      </c>
      <c r="I7682" t="n">
        <v>0</v>
      </c>
      <c r="J7682" t="n">
        <v>0</v>
      </c>
      <c r="K7682" t="n">
        <v>0</v>
      </c>
      <c r="L7682" t="n">
        <v>0</v>
      </c>
      <c r="M7682" t="n">
        <v>0</v>
      </c>
      <c r="N7682" t="n">
        <v>0</v>
      </c>
      <c r="O7682" t="n">
        <v>0</v>
      </c>
      <c r="P7682" t="n">
        <v>0</v>
      </c>
      <c r="Q7682" t="n">
        <v>0</v>
      </c>
      <c r="R7682" s="2" t="inlineStr"/>
    </row>
    <row r="7683" ht="15" customHeight="1">
      <c r="A7683" t="inlineStr">
        <is>
          <t>A 5213-2026</t>
        </is>
      </c>
      <c r="B7683" s="1" t="n">
        <v>46049.70576388889</v>
      </c>
      <c r="C7683" s="1" t="n">
        <v>46086</v>
      </c>
      <c r="D7683" t="inlineStr">
        <is>
          <t>GÄVLEBORGS LÄN</t>
        </is>
      </c>
      <c r="E7683" t="inlineStr">
        <is>
          <t>BOLLNÄS</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5215-2026</t>
        </is>
      </c>
      <c r="B7684" s="1" t="n">
        <v>46049.73991898148</v>
      </c>
      <c r="C7684" s="1" t="n">
        <v>46086</v>
      </c>
      <c r="D7684" t="inlineStr">
        <is>
          <t>GÄVLEBORGS LÄN</t>
        </is>
      </c>
      <c r="E7684" t="inlineStr">
        <is>
          <t>OCKELBO</t>
        </is>
      </c>
      <c r="F7684" t="inlineStr">
        <is>
          <t>Bergvik skog väst AB</t>
        </is>
      </c>
      <c r="G7684" t="n">
        <v>12.9</v>
      </c>
      <c r="H7684" t="n">
        <v>0</v>
      </c>
      <c r="I7684" t="n">
        <v>0</v>
      </c>
      <c r="J7684" t="n">
        <v>0</v>
      </c>
      <c r="K7684" t="n">
        <v>0</v>
      </c>
      <c r="L7684" t="n">
        <v>0</v>
      </c>
      <c r="M7684" t="n">
        <v>0</v>
      </c>
      <c r="N7684" t="n">
        <v>0</v>
      </c>
      <c r="O7684" t="n">
        <v>0</v>
      </c>
      <c r="P7684" t="n">
        <v>0</v>
      </c>
      <c r="Q7684" t="n">
        <v>0</v>
      </c>
      <c r="R7684" s="2" t="inlineStr"/>
    </row>
    <row r="7685" ht="15" customHeight="1">
      <c r="A7685" t="inlineStr">
        <is>
          <t>A 5178-2026</t>
        </is>
      </c>
      <c r="B7685" s="1" t="n">
        <v>46049.6525925926</v>
      </c>
      <c r="C7685" s="1" t="n">
        <v>46086</v>
      </c>
      <c r="D7685" t="inlineStr">
        <is>
          <t>GÄVLEBORGS LÄN</t>
        </is>
      </c>
      <c r="E7685" t="inlineStr">
        <is>
          <t>BOLLNÄS</t>
        </is>
      </c>
      <c r="G7685" t="n">
        <v>6</v>
      </c>
      <c r="H7685" t="n">
        <v>0</v>
      </c>
      <c r="I7685" t="n">
        <v>0</v>
      </c>
      <c r="J7685" t="n">
        <v>0</v>
      </c>
      <c r="K7685" t="n">
        <v>0</v>
      </c>
      <c r="L7685" t="n">
        <v>0</v>
      </c>
      <c r="M7685" t="n">
        <v>0</v>
      </c>
      <c r="N7685" t="n">
        <v>0</v>
      </c>
      <c r="O7685" t="n">
        <v>0</v>
      </c>
      <c r="P7685" t="n">
        <v>0</v>
      </c>
      <c r="Q7685" t="n">
        <v>0</v>
      </c>
      <c r="R7685" s="2" t="inlineStr"/>
    </row>
    <row r="7686" ht="15" customHeight="1">
      <c r="A7686" t="inlineStr">
        <is>
          <t>A 5187-2026</t>
        </is>
      </c>
      <c r="B7686" s="1" t="n">
        <v>46049.658125</v>
      </c>
      <c r="C7686" s="1" t="n">
        <v>46086</v>
      </c>
      <c r="D7686" t="inlineStr">
        <is>
          <t>GÄVLEBORGS LÄN</t>
        </is>
      </c>
      <c r="E7686" t="inlineStr">
        <is>
          <t>OVANÅKER</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5047-2026</t>
        </is>
      </c>
      <c r="B7687" s="1" t="n">
        <v>46049.46917824074</v>
      </c>
      <c r="C7687" s="1" t="n">
        <v>46086</v>
      </c>
      <c r="D7687" t="inlineStr">
        <is>
          <t>GÄVLEBORGS LÄN</t>
        </is>
      </c>
      <c r="E7687" t="inlineStr">
        <is>
          <t>BOLLNÄS</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5049-2026</t>
        </is>
      </c>
      <c r="B7688" s="1" t="n">
        <v>46049.47012731482</v>
      </c>
      <c r="C7688" s="1" t="n">
        <v>46086</v>
      </c>
      <c r="D7688" t="inlineStr">
        <is>
          <t>GÄVLEBORGS LÄN</t>
        </is>
      </c>
      <c r="E7688" t="inlineStr">
        <is>
          <t>HUDIKSVALL</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5119-2026</t>
        </is>
      </c>
      <c r="B7689" s="1" t="n">
        <v>46049.57929398148</v>
      </c>
      <c r="C7689" s="1" t="n">
        <v>46086</v>
      </c>
      <c r="D7689" t="inlineStr">
        <is>
          <t>GÄVLEBORGS LÄN</t>
        </is>
      </c>
      <c r="E7689" t="inlineStr">
        <is>
          <t>SÖDERHAMN</t>
        </is>
      </c>
      <c r="G7689" t="n">
        <v>4.1</v>
      </c>
      <c r="H7689" t="n">
        <v>0</v>
      </c>
      <c r="I7689" t="n">
        <v>0</v>
      </c>
      <c r="J7689" t="n">
        <v>0</v>
      </c>
      <c r="K7689" t="n">
        <v>0</v>
      </c>
      <c r="L7689" t="n">
        <v>0</v>
      </c>
      <c r="M7689" t="n">
        <v>0</v>
      </c>
      <c r="N7689" t="n">
        <v>0</v>
      </c>
      <c r="O7689" t="n">
        <v>0</v>
      </c>
      <c r="P7689" t="n">
        <v>0</v>
      </c>
      <c r="Q7689" t="n">
        <v>0</v>
      </c>
      <c r="R7689" s="2" t="inlineStr"/>
    </row>
    <row r="7690" ht="15" customHeight="1">
      <c r="A7690" t="inlineStr">
        <is>
          <t>A 4930-2026</t>
        </is>
      </c>
      <c r="B7690" s="1" t="n">
        <v>46048.86174768519</v>
      </c>
      <c r="C7690" s="1" t="n">
        <v>46086</v>
      </c>
      <c r="D7690" t="inlineStr">
        <is>
          <t>GÄVLEBORGS LÄN</t>
        </is>
      </c>
      <c r="E7690" t="inlineStr">
        <is>
          <t>OCKELBO</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5160-2026</t>
        </is>
      </c>
      <c r="B7691" s="1" t="n">
        <v>46049.61762731482</v>
      </c>
      <c r="C7691" s="1" t="n">
        <v>46086</v>
      </c>
      <c r="D7691" t="inlineStr">
        <is>
          <t>GÄVLEBORGS LÄN</t>
        </is>
      </c>
      <c r="E7691" t="inlineStr">
        <is>
          <t>BOLLNÄS</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5162-2026</t>
        </is>
      </c>
      <c r="B7692" s="1" t="n">
        <v>46049.621875</v>
      </c>
      <c r="C7692" s="1" t="n">
        <v>46086</v>
      </c>
      <c r="D7692" t="inlineStr">
        <is>
          <t>GÄVLEBORGS LÄN</t>
        </is>
      </c>
      <c r="E7692" t="inlineStr">
        <is>
          <t>BOLLNÄS</t>
        </is>
      </c>
      <c r="G7692" t="n">
        <v>9.800000000000001</v>
      </c>
      <c r="H7692" t="n">
        <v>0</v>
      </c>
      <c r="I7692" t="n">
        <v>0</v>
      </c>
      <c r="J7692" t="n">
        <v>0</v>
      </c>
      <c r="K7692" t="n">
        <v>0</v>
      </c>
      <c r="L7692" t="n">
        <v>0</v>
      </c>
      <c r="M7692" t="n">
        <v>0</v>
      </c>
      <c r="N7692" t="n">
        <v>0</v>
      </c>
      <c r="O7692" t="n">
        <v>0</v>
      </c>
      <c r="P7692" t="n">
        <v>0</v>
      </c>
      <c r="Q7692" t="n">
        <v>0</v>
      </c>
      <c r="R7692" s="2" t="inlineStr"/>
    </row>
    <row r="7693" ht="15" customHeight="1">
      <c r="A7693" t="inlineStr">
        <is>
          <t>A 5164-2026</t>
        </is>
      </c>
      <c r="B7693" s="1" t="n">
        <v>46049.62439814815</v>
      </c>
      <c r="C7693" s="1" t="n">
        <v>46086</v>
      </c>
      <c r="D7693" t="inlineStr">
        <is>
          <t>GÄVLEBORGS LÄN</t>
        </is>
      </c>
      <c r="E7693" t="inlineStr">
        <is>
          <t>OCKELBO</t>
        </is>
      </c>
      <c r="G7693" t="n">
        <v>3.9</v>
      </c>
      <c r="H7693" t="n">
        <v>0</v>
      </c>
      <c r="I7693" t="n">
        <v>0</v>
      </c>
      <c r="J7693" t="n">
        <v>0</v>
      </c>
      <c r="K7693" t="n">
        <v>0</v>
      </c>
      <c r="L7693" t="n">
        <v>0</v>
      </c>
      <c r="M7693" t="n">
        <v>0</v>
      </c>
      <c r="N7693" t="n">
        <v>0</v>
      </c>
      <c r="O7693" t="n">
        <v>0</v>
      </c>
      <c r="P7693" t="n">
        <v>0</v>
      </c>
      <c r="Q7693" t="n">
        <v>0</v>
      </c>
      <c r="R7693" s="2" t="inlineStr"/>
    </row>
    <row r="7694" ht="15" customHeight="1">
      <c r="A7694" t="inlineStr">
        <is>
          <t>A 4672-2026</t>
        </is>
      </c>
      <c r="B7694" s="1" t="n">
        <v>46048.42388888889</v>
      </c>
      <c r="C7694" s="1" t="n">
        <v>46086</v>
      </c>
      <c r="D7694" t="inlineStr">
        <is>
          <t>GÄVLEBORGS LÄN</t>
        </is>
      </c>
      <c r="E7694" t="inlineStr">
        <is>
          <t>OCKELBO</t>
        </is>
      </c>
      <c r="F7694" t="inlineStr">
        <is>
          <t>Bergvik skog väst AB</t>
        </is>
      </c>
      <c r="G7694" t="n">
        <v>4.8</v>
      </c>
      <c r="H7694" t="n">
        <v>0</v>
      </c>
      <c r="I7694" t="n">
        <v>0</v>
      </c>
      <c r="J7694" t="n">
        <v>0</v>
      </c>
      <c r="K7694" t="n">
        <v>0</v>
      </c>
      <c r="L7694" t="n">
        <v>0</v>
      </c>
      <c r="M7694" t="n">
        <v>0</v>
      </c>
      <c r="N7694" t="n">
        <v>0</v>
      </c>
      <c r="O7694" t="n">
        <v>0</v>
      </c>
      <c r="P7694" t="n">
        <v>0</v>
      </c>
      <c r="Q7694" t="n">
        <v>0</v>
      </c>
      <c r="R7694" s="2" t="inlineStr"/>
    </row>
    <row r="7695" ht="15" customHeight="1">
      <c r="A7695" t="inlineStr">
        <is>
          <t>A 4945-2026</t>
        </is>
      </c>
      <c r="B7695" s="1" t="n">
        <v>46049.2528587963</v>
      </c>
      <c r="C7695" s="1" t="n">
        <v>46086</v>
      </c>
      <c r="D7695" t="inlineStr">
        <is>
          <t>GÄVLEBORGS LÄN</t>
        </is>
      </c>
      <c r="E7695" t="inlineStr">
        <is>
          <t>BOLLNÄS</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4952-2026</t>
        </is>
      </c>
      <c r="B7696" s="1" t="n">
        <v>46049.28234953704</v>
      </c>
      <c r="C7696" s="1" t="n">
        <v>46086</v>
      </c>
      <c r="D7696" t="inlineStr">
        <is>
          <t>GÄVLEBORGS LÄN</t>
        </is>
      </c>
      <c r="E7696" t="inlineStr">
        <is>
          <t>BOLLNÄS</t>
        </is>
      </c>
      <c r="G7696" t="n">
        <v>6.3</v>
      </c>
      <c r="H7696" t="n">
        <v>0</v>
      </c>
      <c r="I7696" t="n">
        <v>0</v>
      </c>
      <c r="J7696" t="n">
        <v>0</v>
      </c>
      <c r="K7696" t="n">
        <v>0</v>
      </c>
      <c r="L7696" t="n">
        <v>0</v>
      </c>
      <c r="M7696" t="n">
        <v>0</v>
      </c>
      <c r="N7696" t="n">
        <v>0</v>
      </c>
      <c r="O7696" t="n">
        <v>0</v>
      </c>
      <c r="P7696" t="n">
        <v>0</v>
      </c>
      <c r="Q7696" t="n">
        <v>0</v>
      </c>
      <c r="R7696" s="2" t="inlineStr"/>
    </row>
    <row r="7697" ht="15" customHeight="1">
      <c r="A7697" t="inlineStr">
        <is>
          <t>A 4955-2026</t>
        </is>
      </c>
      <c r="B7697" s="1" t="n">
        <v>46049.2902662037</v>
      </c>
      <c r="C7697" s="1" t="n">
        <v>46086</v>
      </c>
      <c r="D7697" t="inlineStr">
        <is>
          <t>GÄVLEBORGS LÄN</t>
        </is>
      </c>
      <c r="E7697" t="inlineStr">
        <is>
          <t>BOLLNÄS</t>
        </is>
      </c>
      <c r="G7697" t="n">
        <v>7.1</v>
      </c>
      <c r="H7697" t="n">
        <v>0</v>
      </c>
      <c r="I7697" t="n">
        <v>0</v>
      </c>
      <c r="J7697" t="n">
        <v>0</v>
      </c>
      <c r="K7697" t="n">
        <v>0</v>
      </c>
      <c r="L7697" t="n">
        <v>0</v>
      </c>
      <c r="M7697" t="n">
        <v>0</v>
      </c>
      <c r="N7697" t="n">
        <v>0</v>
      </c>
      <c r="O7697" t="n">
        <v>0</v>
      </c>
      <c r="P7697" t="n">
        <v>0</v>
      </c>
      <c r="Q7697" t="n">
        <v>0</v>
      </c>
      <c r="R7697" s="2" t="inlineStr"/>
    </row>
    <row r="7698" ht="15" customHeight="1">
      <c r="A7698" t="inlineStr">
        <is>
          <t>A 4958-2026</t>
        </is>
      </c>
      <c r="B7698" s="1" t="n">
        <v>46049.30309027778</v>
      </c>
      <c r="C7698" s="1" t="n">
        <v>46086</v>
      </c>
      <c r="D7698" t="inlineStr">
        <is>
          <t>GÄVLEBORGS LÄN</t>
        </is>
      </c>
      <c r="E7698" t="inlineStr">
        <is>
          <t>BOLLNÄS</t>
        </is>
      </c>
      <c r="F7698" t="inlineStr">
        <is>
          <t>Kyrkan</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4770-2026</t>
        </is>
      </c>
      <c r="B7699" s="1" t="n">
        <v>46048.54542824074</v>
      </c>
      <c r="C7699" s="1" t="n">
        <v>46086</v>
      </c>
      <c r="D7699" t="inlineStr">
        <is>
          <t>GÄVLEBORGS LÄN</t>
        </is>
      </c>
      <c r="E7699" t="inlineStr">
        <is>
          <t>BOLLNÄS</t>
        </is>
      </c>
      <c r="G7699" t="n">
        <v>3.5</v>
      </c>
      <c r="H7699" t="n">
        <v>0</v>
      </c>
      <c r="I7699" t="n">
        <v>0</v>
      </c>
      <c r="J7699" t="n">
        <v>0</v>
      </c>
      <c r="K7699" t="n">
        <v>0</v>
      </c>
      <c r="L7699" t="n">
        <v>0</v>
      </c>
      <c r="M7699" t="n">
        <v>0</v>
      </c>
      <c r="N7699" t="n">
        <v>0</v>
      </c>
      <c r="O7699" t="n">
        <v>0</v>
      </c>
      <c r="P7699" t="n">
        <v>0</v>
      </c>
      <c r="Q7699" t="n">
        <v>0</v>
      </c>
      <c r="R7699" s="2" t="inlineStr"/>
    </row>
    <row r="7700" ht="15" customHeight="1">
      <c r="A7700" t="inlineStr">
        <is>
          <t>A 4779-2026</t>
        </is>
      </c>
      <c r="B7700" s="1" t="n">
        <v>46048.55493055555</v>
      </c>
      <c r="C7700" s="1" t="n">
        <v>46086</v>
      </c>
      <c r="D7700" t="inlineStr">
        <is>
          <t>GÄVLEBORGS LÄN</t>
        </is>
      </c>
      <c r="E7700" t="inlineStr">
        <is>
          <t>NORDANSTIG</t>
        </is>
      </c>
      <c r="G7700" t="n">
        <v>8.199999999999999</v>
      </c>
      <c r="H7700" t="n">
        <v>0</v>
      </c>
      <c r="I7700" t="n">
        <v>0</v>
      </c>
      <c r="J7700" t="n">
        <v>0</v>
      </c>
      <c r="K7700" t="n">
        <v>0</v>
      </c>
      <c r="L7700" t="n">
        <v>0</v>
      </c>
      <c r="M7700" t="n">
        <v>0</v>
      </c>
      <c r="N7700" t="n">
        <v>0</v>
      </c>
      <c r="O7700" t="n">
        <v>0</v>
      </c>
      <c r="P7700" t="n">
        <v>0</v>
      </c>
      <c r="Q7700" t="n">
        <v>0</v>
      </c>
      <c r="R7700" s="2" t="inlineStr"/>
    </row>
    <row r="7701" ht="15" customHeight="1">
      <c r="A7701" t="inlineStr">
        <is>
          <t>A 4783-2026</t>
        </is>
      </c>
      <c r="B7701" s="1" t="n">
        <v>46048.55699074074</v>
      </c>
      <c r="C7701" s="1" t="n">
        <v>46086</v>
      </c>
      <c r="D7701" t="inlineStr">
        <is>
          <t>GÄVLEBORGS LÄN</t>
        </is>
      </c>
      <c r="E7701" t="inlineStr">
        <is>
          <t>HUDIKSVALL</t>
        </is>
      </c>
      <c r="G7701" t="n">
        <v>0.3</v>
      </c>
      <c r="H7701" t="n">
        <v>0</v>
      </c>
      <c r="I7701" t="n">
        <v>0</v>
      </c>
      <c r="J7701" t="n">
        <v>0</v>
      </c>
      <c r="K7701" t="n">
        <v>0</v>
      </c>
      <c r="L7701" t="n">
        <v>0</v>
      </c>
      <c r="M7701" t="n">
        <v>0</v>
      </c>
      <c r="N7701" t="n">
        <v>0</v>
      </c>
      <c r="O7701" t="n">
        <v>0</v>
      </c>
      <c r="P7701" t="n">
        <v>0</v>
      </c>
      <c r="Q7701" t="n">
        <v>0</v>
      </c>
      <c r="R7701" s="2" t="inlineStr"/>
    </row>
    <row r="7702" ht="15" customHeight="1">
      <c r="A7702" t="inlineStr">
        <is>
          <t>A 846-2023</t>
        </is>
      </c>
      <c r="B7702" s="1" t="n">
        <v>44931.56439814815</v>
      </c>
      <c r="C7702" s="1" t="n">
        <v>46086</v>
      </c>
      <c r="D7702" t="inlineStr">
        <is>
          <t>GÄVLEBORGS LÄN</t>
        </is>
      </c>
      <c r="E7702" t="inlineStr">
        <is>
          <t>LJUSDAL</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4745-2026</t>
        </is>
      </c>
      <c r="B7703" s="1" t="n">
        <v>46048.51072916666</v>
      </c>
      <c r="C7703" s="1" t="n">
        <v>46086</v>
      </c>
      <c r="D7703" t="inlineStr">
        <is>
          <t>GÄVLEBORGS LÄN</t>
        </is>
      </c>
      <c r="E7703" t="inlineStr">
        <is>
          <t>HUDIKSVALL</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4753-2026</t>
        </is>
      </c>
      <c r="B7704" s="1" t="n">
        <v>46048.51607638889</v>
      </c>
      <c r="C7704" s="1" t="n">
        <v>46086</v>
      </c>
      <c r="D7704" t="inlineStr">
        <is>
          <t>GÄVLEBORGS LÄN</t>
        </is>
      </c>
      <c r="E7704" t="inlineStr">
        <is>
          <t>OCKELBO</t>
        </is>
      </c>
      <c r="F7704" t="inlineStr">
        <is>
          <t>Bergvik skog väst AB</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4772-2026</t>
        </is>
      </c>
      <c r="B7705" s="1" t="n">
        <v>46048.54679398148</v>
      </c>
      <c r="C7705" s="1" t="n">
        <v>46086</v>
      </c>
      <c r="D7705" t="inlineStr">
        <is>
          <t>GÄVLEBORGS LÄN</t>
        </is>
      </c>
      <c r="E7705" t="inlineStr">
        <is>
          <t>NORDANSTIG</t>
        </is>
      </c>
      <c r="G7705" t="n">
        <v>7.1</v>
      </c>
      <c r="H7705" t="n">
        <v>0</v>
      </c>
      <c r="I7705" t="n">
        <v>0</v>
      </c>
      <c r="J7705" t="n">
        <v>0</v>
      </c>
      <c r="K7705" t="n">
        <v>0</v>
      </c>
      <c r="L7705" t="n">
        <v>0</v>
      </c>
      <c r="M7705" t="n">
        <v>0</v>
      </c>
      <c r="N7705" t="n">
        <v>0</v>
      </c>
      <c r="O7705" t="n">
        <v>0</v>
      </c>
      <c r="P7705" t="n">
        <v>0</v>
      </c>
      <c r="Q7705" t="n">
        <v>0</v>
      </c>
      <c r="R7705" s="2" t="inlineStr"/>
    </row>
    <row r="7706" ht="15" customHeight="1">
      <c r="A7706" t="inlineStr">
        <is>
          <t>A 4776-2026</t>
        </is>
      </c>
      <c r="B7706" s="1" t="n">
        <v>46048.55112268519</v>
      </c>
      <c r="C7706" s="1" t="n">
        <v>46086</v>
      </c>
      <c r="D7706" t="inlineStr">
        <is>
          <t>GÄVLEBORGS LÄN</t>
        </is>
      </c>
      <c r="E7706" t="inlineStr">
        <is>
          <t>BOLLNÄS</t>
        </is>
      </c>
      <c r="G7706" t="n">
        <v>4</v>
      </c>
      <c r="H7706" t="n">
        <v>0</v>
      </c>
      <c r="I7706" t="n">
        <v>0</v>
      </c>
      <c r="J7706" t="n">
        <v>0</v>
      </c>
      <c r="K7706" t="n">
        <v>0</v>
      </c>
      <c r="L7706" t="n">
        <v>0</v>
      </c>
      <c r="M7706" t="n">
        <v>0</v>
      </c>
      <c r="N7706" t="n">
        <v>0</v>
      </c>
      <c r="O7706" t="n">
        <v>0</v>
      </c>
      <c r="P7706" t="n">
        <v>0</v>
      </c>
      <c r="Q7706" t="n">
        <v>0</v>
      </c>
      <c r="R7706" s="2" t="inlineStr"/>
    </row>
    <row r="7707" ht="15" customHeight="1">
      <c r="A7707" t="inlineStr">
        <is>
          <t>A 61553-2025</t>
        </is>
      </c>
      <c r="B7707" s="1" t="n">
        <v>46001.78487268519</v>
      </c>
      <c r="C7707" s="1" t="n">
        <v>46086</v>
      </c>
      <c r="D7707" t="inlineStr">
        <is>
          <t>GÄVLEBORGS LÄN</t>
        </is>
      </c>
      <c r="E7707" t="inlineStr">
        <is>
          <t>GÄVLE</t>
        </is>
      </c>
      <c r="F7707" t="inlineStr">
        <is>
          <t>Bergvik skog öst AB</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5964-2025</t>
        </is>
      </c>
      <c r="B7708" s="1" t="n">
        <v>45695</v>
      </c>
      <c r="C7708" s="1" t="n">
        <v>46086</v>
      </c>
      <c r="D7708" t="inlineStr">
        <is>
          <t>GÄVLEBORGS LÄN</t>
        </is>
      </c>
      <c r="E7708" t="inlineStr">
        <is>
          <t>NORDANSTIG</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4566-2026</t>
        </is>
      </c>
      <c r="B7709" s="1" t="n">
        <v>46047.87172453704</v>
      </c>
      <c r="C7709" s="1" t="n">
        <v>46086</v>
      </c>
      <c r="D7709" t="inlineStr">
        <is>
          <t>GÄVLEBORGS LÄN</t>
        </is>
      </c>
      <c r="E7709" t="inlineStr">
        <is>
          <t>HOFORS</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62207-2025</t>
        </is>
      </c>
      <c r="B7710" s="1" t="n">
        <v>46006.56285879629</v>
      </c>
      <c r="C7710" s="1" t="n">
        <v>46086</v>
      </c>
      <c r="D7710" t="inlineStr">
        <is>
          <t>GÄVLEBORGS LÄN</t>
        </is>
      </c>
      <c r="E7710" t="inlineStr">
        <is>
          <t>LJUSDAL</t>
        </is>
      </c>
      <c r="G7710" t="n">
        <v>4</v>
      </c>
      <c r="H7710" t="n">
        <v>0</v>
      </c>
      <c r="I7710" t="n">
        <v>0</v>
      </c>
      <c r="J7710" t="n">
        <v>0</v>
      </c>
      <c r="K7710" t="n">
        <v>0</v>
      </c>
      <c r="L7710" t="n">
        <v>0</v>
      </c>
      <c r="M7710" t="n">
        <v>0</v>
      </c>
      <c r="N7710" t="n">
        <v>0</v>
      </c>
      <c r="O7710" t="n">
        <v>0</v>
      </c>
      <c r="P7710" t="n">
        <v>0</v>
      </c>
      <c r="Q7710" t="n">
        <v>0</v>
      </c>
      <c r="R7710" s="2" t="inlineStr"/>
    </row>
    <row r="7711" ht="15" customHeight="1">
      <c r="A7711" t="inlineStr">
        <is>
          <t>A 62114-2025</t>
        </is>
      </c>
      <c r="B7711" s="1" t="n">
        <v>46006.43657407408</v>
      </c>
      <c r="C7711" s="1" t="n">
        <v>46086</v>
      </c>
      <c r="D7711" t="inlineStr">
        <is>
          <t>GÄVLEBORGS LÄN</t>
        </is>
      </c>
      <c r="E7711" t="inlineStr">
        <is>
          <t>OVANÅKER</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21004-2021</t>
        </is>
      </c>
      <c r="B7712" s="1" t="n">
        <v>44319</v>
      </c>
      <c r="C7712" s="1" t="n">
        <v>46086</v>
      </c>
      <c r="D7712" t="inlineStr">
        <is>
          <t>GÄVLEBORGS LÄN</t>
        </is>
      </c>
      <c r="E7712" t="inlineStr">
        <is>
          <t>GÄVLE</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5154-2026</t>
        </is>
      </c>
      <c r="B7713" s="1" t="n">
        <v>46049.61527777778</v>
      </c>
      <c r="C7713" s="1" t="n">
        <v>46086</v>
      </c>
      <c r="D7713" t="inlineStr">
        <is>
          <t>GÄVLEBORGS LÄN</t>
        </is>
      </c>
      <c r="E7713" t="inlineStr">
        <is>
          <t>BOLLNÄS</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5072-2026</t>
        </is>
      </c>
      <c r="B7714" s="1" t="n">
        <v>46049.50644675926</v>
      </c>
      <c r="C7714" s="1" t="n">
        <v>46086</v>
      </c>
      <c r="D7714" t="inlineStr">
        <is>
          <t>GÄVLEBORGS LÄN</t>
        </is>
      </c>
      <c r="E7714" t="inlineStr">
        <is>
          <t>BOLLNÄS</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5106-2026</t>
        </is>
      </c>
      <c r="B7715" s="1" t="n">
        <v>46049.57185185186</v>
      </c>
      <c r="C7715" s="1" t="n">
        <v>46086</v>
      </c>
      <c r="D7715" t="inlineStr">
        <is>
          <t>GÄVLEBORGS LÄN</t>
        </is>
      </c>
      <c r="E7715" t="inlineStr">
        <is>
          <t>OVANÅKER</t>
        </is>
      </c>
      <c r="G7715" t="n">
        <v>4.1</v>
      </c>
      <c r="H7715" t="n">
        <v>0</v>
      </c>
      <c r="I7715" t="n">
        <v>0</v>
      </c>
      <c r="J7715" t="n">
        <v>0</v>
      </c>
      <c r="K7715" t="n">
        <v>0</v>
      </c>
      <c r="L7715" t="n">
        <v>0</v>
      </c>
      <c r="M7715" t="n">
        <v>0</v>
      </c>
      <c r="N7715" t="n">
        <v>0</v>
      </c>
      <c r="O7715" t="n">
        <v>0</v>
      </c>
      <c r="P7715" t="n">
        <v>0</v>
      </c>
      <c r="Q7715" t="n">
        <v>0</v>
      </c>
      <c r="R7715" s="2" t="inlineStr"/>
    </row>
    <row r="7716" ht="15" customHeight="1">
      <c r="A7716" t="inlineStr">
        <is>
          <t>A 21751-2021</t>
        </is>
      </c>
      <c r="B7716" s="1" t="n">
        <v>44322.56486111111</v>
      </c>
      <c r="C7716" s="1" t="n">
        <v>46086</v>
      </c>
      <c r="D7716" t="inlineStr">
        <is>
          <t>GÄVLEBORGS LÄN</t>
        </is>
      </c>
      <c r="E7716" t="inlineStr">
        <is>
          <t>LJUSDAL</t>
        </is>
      </c>
      <c r="F7716" t="inlineStr">
        <is>
          <t>Bergvik skog väst AB</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52174-2023</t>
        </is>
      </c>
      <c r="B7717" s="1" t="n">
        <v>45224.35961805555</v>
      </c>
      <c r="C7717" s="1" t="n">
        <v>46086</v>
      </c>
      <c r="D7717" t="inlineStr">
        <is>
          <t>GÄVLEBORGS LÄN</t>
        </is>
      </c>
      <c r="E7717" t="inlineStr">
        <is>
          <t>LJUSDAL</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4495-2026</t>
        </is>
      </c>
      <c r="B7718" s="1" t="n">
        <v>46045</v>
      </c>
      <c r="C7718" s="1" t="n">
        <v>46086</v>
      </c>
      <c r="D7718" t="inlineStr">
        <is>
          <t>GÄVLEBORGS LÄN</t>
        </is>
      </c>
      <c r="E7718" t="inlineStr">
        <is>
          <t>SANDVIKEN</t>
        </is>
      </c>
      <c r="G7718" t="n">
        <v>8.1</v>
      </c>
      <c r="H7718" t="n">
        <v>0</v>
      </c>
      <c r="I7718" t="n">
        <v>0</v>
      </c>
      <c r="J7718" t="n">
        <v>0</v>
      </c>
      <c r="K7718" t="n">
        <v>0</v>
      </c>
      <c r="L7718" t="n">
        <v>0</v>
      </c>
      <c r="M7718" t="n">
        <v>0</v>
      </c>
      <c r="N7718" t="n">
        <v>0</v>
      </c>
      <c r="O7718" t="n">
        <v>0</v>
      </c>
      <c r="P7718" t="n">
        <v>0</v>
      </c>
      <c r="Q7718" t="n">
        <v>0</v>
      </c>
      <c r="R7718" s="2" t="inlineStr"/>
    </row>
    <row r="7719" ht="15" customHeight="1">
      <c r="A7719" t="inlineStr">
        <is>
          <t>A 4638-2026</t>
        </is>
      </c>
      <c r="B7719" s="1" t="n">
        <v>46048.39863425926</v>
      </c>
      <c r="C7719" s="1" t="n">
        <v>46086</v>
      </c>
      <c r="D7719" t="inlineStr">
        <is>
          <t>GÄVLEBORGS LÄN</t>
        </is>
      </c>
      <c r="E7719" t="inlineStr">
        <is>
          <t>OCKELBO</t>
        </is>
      </c>
      <c r="F7719" t="inlineStr">
        <is>
          <t>Bergvik skog väst AB</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62211-2025</t>
        </is>
      </c>
      <c r="B7720" s="1" t="n">
        <v>46006.57237268519</v>
      </c>
      <c r="C7720" s="1" t="n">
        <v>46086</v>
      </c>
      <c r="D7720" t="inlineStr">
        <is>
          <t>GÄVLEBORGS LÄN</t>
        </is>
      </c>
      <c r="E7720" t="inlineStr">
        <is>
          <t>OVANÅKER</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62570-2025</t>
        </is>
      </c>
      <c r="B7721" s="1" t="n">
        <v>46007.71622685185</v>
      </c>
      <c r="C7721" s="1" t="n">
        <v>46086</v>
      </c>
      <c r="D7721" t="inlineStr">
        <is>
          <t>GÄVLEBORGS LÄN</t>
        </is>
      </c>
      <c r="E7721" t="inlineStr">
        <is>
          <t>GÄVLE</t>
        </is>
      </c>
      <c r="G7721" t="n">
        <v>4.2</v>
      </c>
      <c r="H7721" t="n">
        <v>0</v>
      </c>
      <c r="I7721" t="n">
        <v>0</v>
      </c>
      <c r="J7721" t="n">
        <v>0</v>
      </c>
      <c r="K7721" t="n">
        <v>0</v>
      </c>
      <c r="L7721" t="n">
        <v>0</v>
      </c>
      <c r="M7721" t="n">
        <v>0</v>
      </c>
      <c r="N7721" t="n">
        <v>0</v>
      </c>
      <c r="O7721" t="n">
        <v>0</v>
      </c>
      <c r="P7721" t="n">
        <v>0</v>
      </c>
      <c r="Q7721" t="n">
        <v>0</v>
      </c>
      <c r="R7721" s="2" t="inlineStr"/>
    </row>
    <row r="7722" ht="15" customHeight="1">
      <c r="A7722" t="inlineStr">
        <is>
          <t>A 5674-2026</t>
        </is>
      </c>
      <c r="B7722" s="1" t="n">
        <v>46051.47123842593</v>
      </c>
      <c r="C7722" s="1" t="n">
        <v>46086</v>
      </c>
      <c r="D7722" t="inlineStr">
        <is>
          <t>GÄVLEBORGS LÄN</t>
        </is>
      </c>
      <c r="E7722" t="inlineStr">
        <is>
          <t>BOLLNÄS</t>
        </is>
      </c>
      <c r="G7722" t="n">
        <v>0.4</v>
      </c>
      <c r="H7722" t="n">
        <v>0</v>
      </c>
      <c r="I7722" t="n">
        <v>0</v>
      </c>
      <c r="J7722" t="n">
        <v>0</v>
      </c>
      <c r="K7722" t="n">
        <v>0</v>
      </c>
      <c r="L7722" t="n">
        <v>0</v>
      </c>
      <c r="M7722" t="n">
        <v>0</v>
      </c>
      <c r="N7722" t="n">
        <v>0</v>
      </c>
      <c r="O7722" t="n">
        <v>0</v>
      </c>
      <c r="P7722" t="n">
        <v>0</v>
      </c>
      <c r="Q7722" t="n">
        <v>0</v>
      </c>
      <c r="R7722" s="2" t="inlineStr"/>
    </row>
    <row r="7723" ht="15" customHeight="1">
      <c r="A7723" t="inlineStr">
        <is>
          <t>A 5746-2026</t>
        </is>
      </c>
      <c r="B7723" s="1" t="n">
        <v>46051.59462962963</v>
      </c>
      <c r="C7723" s="1" t="n">
        <v>46086</v>
      </c>
      <c r="D7723" t="inlineStr">
        <is>
          <t>GÄVLEBORGS LÄN</t>
        </is>
      </c>
      <c r="E7723" t="inlineStr">
        <is>
          <t>NORDANSTIG</t>
        </is>
      </c>
      <c r="G7723" t="n">
        <v>3.3</v>
      </c>
      <c r="H7723" t="n">
        <v>0</v>
      </c>
      <c r="I7723" t="n">
        <v>0</v>
      </c>
      <c r="J7723" t="n">
        <v>0</v>
      </c>
      <c r="K7723" t="n">
        <v>0</v>
      </c>
      <c r="L7723" t="n">
        <v>0</v>
      </c>
      <c r="M7723" t="n">
        <v>0</v>
      </c>
      <c r="N7723" t="n">
        <v>0</v>
      </c>
      <c r="O7723" t="n">
        <v>0</v>
      </c>
      <c r="P7723" t="n">
        <v>0</v>
      </c>
      <c r="Q7723" t="n">
        <v>0</v>
      </c>
      <c r="R7723" s="2" t="inlineStr"/>
    </row>
    <row r="7724" ht="15" customHeight="1">
      <c r="A7724" t="inlineStr">
        <is>
          <t>A 5804-2026</t>
        </is>
      </c>
      <c r="B7724" s="1" t="n">
        <v>46051.78497685185</v>
      </c>
      <c r="C7724" s="1" t="n">
        <v>46086</v>
      </c>
      <c r="D7724" t="inlineStr">
        <is>
          <t>GÄVLEBORGS LÄN</t>
        </is>
      </c>
      <c r="E7724" t="inlineStr">
        <is>
          <t>OCKELBO</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5806-2026</t>
        </is>
      </c>
      <c r="B7725" s="1" t="n">
        <v>46051.81873842593</v>
      </c>
      <c r="C7725" s="1" t="n">
        <v>46086</v>
      </c>
      <c r="D7725" t="inlineStr">
        <is>
          <t>GÄVLEBORGS LÄN</t>
        </is>
      </c>
      <c r="E7725" t="inlineStr">
        <is>
          <t>BOLLNÄS</t>
        </is>
      </c>
      <c r="G7725" t="n">
        <v>5.9</v>
      </c>
      <c r="H7725" t="n">
        <v>0</v>
      </c>
      <c r="I7725" t="n">
        <v>0</v>
      </c>
      <c r="J7725" t="n">
        <v>0</v>
      </c>
      <c r="K7725" t="n">
        <v>0</v>
      </c>
      <c r="L7725" t="n">
        <v>0</v>
      </c>
      <c r="M7725" t="n">
        <v>0</v>
      </c>
      <c r="N7725" t="n">
        <v>0</v>
      </c>
      <c r="O7725" t="n">
        <v>0</v>
      </c>
      <c r="P7725" t="n">
        <v>0</v>
      </c>
      <c r="Q7725" t="n">
        <v>0</v>
      </c>
      <c r="R7725" s="2" t="inlineStr"/>
    </row>
    <row r="7726" ht="15" customHeight="1">
      <c r="A7726" t="inlineStr">
        <is>
          <t>A 5777-2026</t>
        </is>
      </c>
      <c r="B7726" s="1" t="n">
        <v>46051.65467592593</v>
      </c>
      <c r="C7726" s="1" t="n">
        <v>46086</v>
      </c>
      <c r="D7726" t="inlineStr">
        <is>
          <t>GÄVLEBORGS LÄN</t>
        </is>
      </c>
      <c r="E7726" t="inlineStr">
        <is>
          <t>BOLLNÄS</t>
        </is>
      </c>
      <c r="G7726" t="n">
        <v>12.3</v>
      </c>
      <c r="H7726" t="n">
        <v>0</v>
      </c>
      <c r="I7726" t="n">
        <v>0</v>
      </c>
      <c r="J7726" t="n">
        <v>0</v>
      </c>
      <c r="K7726" t="n">
        <v>0</v>
      </c>
      <c r="L7726" t="n">
        <v>0</v>
      </c>
      <c r="M7726" t="n">
        <v>0</v>
      </c>
      <c r="N7726" t="n">
        <v>0</v>
      </c>
      <c r="O7726" t="n">
        <v>0</v>
      </c>
      <c r="P7726" t="n">
        <v>0</v>
      </c>
      <c r="Q7726" t="n">
        <v>0</v>
      </c>
      <c r="R7726" s="2" t="inlineStr"/>
    </row>
    <row r="7727" ht="15" customHeight="1">
      <c r="A7727" t="inlineStr">
        <is>
          <t>A 46036-2024</t>
        </is>
      </c>
      <c r="B7727" s="1" t="n">
        <v>45580.72539351852</v>
      </c>
      <c r="C7727" s="1" t="n">
        <v>46086</v>
      </c>
      <c r="D7727" t="inlineStr">
        <is>
          <t>GÄVLEBORGS LÄN</t>
        </is>
      </c>
      <c r="E7727" t="inlineStr">
        <is>
          <t>OVANÅKER</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5781-2026</t>
        </is>
      </c>
      <c r="B7728" s="1" t="n">
        <v>46051.65741898148</v>
      </c>
      <c r="C7728" s="1" t="n">
        <v>46086</v>
      </c>
      <c r="D7728" t="inlineStr">
        <is>
          <t>GÄVLEBORGS LÄN</t>
        </is>
      </c>
      <c r="E7728" t="inlineStr">
        <is>
          <t>BOLLNÄS</t>
        </is>
      </c>
      <c r="F7728" t="inlineStr">
        <is>
          <t>Bergvik skog väst AB</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5601-2026</t>
        </is>
      </c>
      <c r="B7729" s="1" t="n">
        <v>46051.34335648148</v>
      </c>
      <c r="C7729" s="1" t="n">
        <v>46086</v>
      </c>
      <c r="D7729" t="inlineStr">
        <is>
          <t>GÄVLEBORGS LÄN</t>
        </is>
      </c>
      <c r="E7729" t="inlineStr">
        <is>
          <t>OVANÅKER</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5368-2026</t>
        </is>
      </c>
      <c r="B7730" s="1" t="n">
        <v>46050.4555787037</v>
      </c>
      <c r="C7730" s="1" t="n">
        <v>46086</v>
      </c>
      <c r="D7730" t="inlineStr">
        <is>
          <t>GÄVLEBORGS LÄN</t>
        </is>
      </c>
      <c r="E7730" t="inlineStr">
        <is>
          <t>OVANÅKER</t>
        </is>
      </c>
      <c r="G7730" t="n">
        <v>4.7</v>
      </c>
      <c r="H7730" t="n">
        <v>0</v>
      </c>
      <c r="I7730" t="n">
        <v>0</v>
      </c>
      <c r="J7730" t="n">
        <v>0</v>
      </c>
      <c r="K7730" t="n">
        <v>0</v>
      </c>
      <c r="L7730" t="n">
        <v>0</v>
      </c>
      <c r="M7730" t="n">
        <v>0</v>
      </c>
      <c r="N7730" t="n">
        <v>0</v>
      </c>
      <c r="O7730" t="n">
        <v>0</v>
      </c>
      <c r="P7730" t="n">
        <v>0</v>
      </c>
      <c r="Q7730" t="n">
        <v>0</v>
      </c>
      <c r="R7730" s="2" t="inlineStr"/>
    </row>
    <row r="7731" ht="15" customHeight="1">
      <c r="A7731" t="inlineStr">
        <is>
          <t>A 62935-2025</t>
        </is>
      </c>
      <c r="B7731" s="1" t="n">
        <v>46009.41648148148</v>
      </c>
      <c r="C7731" s="1" t="n">
        <v>46086</v>
      </c>
      <c r="D7731" t="inlineStr">
        <is>
          <t>GÄVLEBORGS LÄN</t>
        </is>
      </c>
      <c r="E7731" t="inlineStr">
        <is>
          <t>LJUSDAL</t>
        </is>
      </c>
      <c r="G7731" t="n">
        <v>4.8</v>
      </c>
      <c r="H7731" t="n">
        <v>0</v>
      </c>
      <c r="I7731" t="n">
        <v>0</v>
      </c>
      <c r="J7731" t="n">
        <v>0</v>
      </c>
      <c r="K7731" t="n">
        <v>0</v>
      </c>
      <c r="L7731" t="n">
        <v>0</v>
      </c>
      <c r="M7731" t="n">
        <v>0</v>
      </c>
      <c r="N7731" t="n">
        <v>0</v>
      </c>
      <c r="O7731" t="n">
        <v>0</v>
      </c>
      <c r="P7731" t="n">
        <v>0</v>
      </c>
      <c r="Q7731" t="n">
        <v>0</v>
      </c>
      <c r="R7731" s="2" t="inlineStr"/>
    </row>
    <row r="7732" ht="15" customHeight="1">
      <c r="A7732" t="inlineStr">
        <is>
          <t>A 63010-2025</t>
        </is>
      </c>
      <c r="B7732" s="1" t="n">
        <v>46009.5809375</v>
      </c>
      <c r="C7732" s="1" t="n">
        <v>46086</v>
      </c>
      <c r="D7732" t="inlineStr">
        <is>
          <t>GÄVLEBORGS LÄN</t>
        </is>
      </c>
      <c r="E7732" t="inlineStr">
        <is>
          <t>OVANÅKER</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62893-2025</t>
        </is>
      </c>
      <c r="B7733" s="1" t="n">
        <v>46009.33741898148</v>
      </c>
      <c r="C7733" s="1" t="n">
        <v>46086</v>
      </c>
      <c r="D7733" t="inlineStr">
        <is>
          <t>GÄVLEBORGS LÄN</t>
        </is>
      </c>
      <c r="E7733" t="inlineStr">
        <is>
          <t>OVANÅKER</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1187-2026</t>
        </is>
      </c>
      <c r="B7734" s="1" t="n">
        <v>46031</v>
      </c>
      <c r="C7734" s="1" t="n">
        <v>46086</v>
      </c>
      <c r="D7734" t="inlineStr">
        <is>
          <t>GÄVLEBORGS LÄN</t>
        </is>
      </c>
      <c r="E7734" t="inlineStr">
        <is>
          <t>BOLLNÄS</t>
        </is>
      </c>
      <c r="G7734" t="n">
        <v>3.8</v>
      </c>
      <c r="H7734" t="n">
        <v>0</v>
      </c>
      <c r="I7734" t="n">
        <v>0</v>
      </c>
      <c r="J7734" t="n">
        <v>0</v>
      </c>
      <c r="K7734" t="n">
        <v>0</v>
      </c>
      <c r="L7734" t="n">
        <v>0</v>
      </c>
      <c r="M7734" t="n">
        <v>0</v>
      </c>
      <c r="N7734" t="n">
        <v>0</v>
      </c>
      <c r="O7734" t="n">
        <v>0</v>
      </c>
      <c r="P7734" t="n">
        <v>0</v>
      </c>
      <c r="Q7734" t="n">
        <v>0</v>
      </c>
      <c r="R7734" s="2" t="inlineStr"/>
    </row>
    <row r="7735" ht="15" customHeight="1">
      <c r="A7735" t="inlineStr">
        <is>
          <t>A 903-2026</t>
        </is>
      </c>
      <c r="B7735" s="1" t="n">
        <v>46030</v>
      </c>
      <c r="C7735" s="1" t="n">
        <v>46086</v>
      </c>
      <c r="D7735" t="inlineStr">
        <is>
          <t>GÄVLEBORGS LÄN</t>
        </is>
      </c>
      <c r="E7735" t="inlineStr">
        <is>
          <t>OVANÅKER</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61604-2025</t>
        </is>
      </c>
      <c r="B7736" s="1" t="n">
        <v>46002.37079861111</v>
      </c>
      <c r="C7736" s="1" t="n">
        <v>46086</v>
      </c>
      <c r="D7736" t="inlineStr">
        <is>
          <t>GÄVLEBORGS LÄN</t>
        </is>
      </c>
      <c r="E7736" t="inlineStr">
        <is>
          <t>BOLLNÄS</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5551-2026</t>
        </is>
      </c>
      <c r="B7737" s="1" t="n">
        <v>46050.72208333333</v>
      </c>
      <c r="C7737" s="1" t="n">
        <v>46086</v>
      </c>
      <c r="D7737" t="inlineStr">
        <is>
          <t>GÄVLEBORGS LÄN</t>
        </is>
      </c>
      <c r="E7737" t="inlineStr">
        <is>
          <t>BOLLNÄS</t>
        </is>
      </c>
      <c r="F7737" t="inlineStr">
        <is>
          <t>Kyrkan</t>
        </is>
      </c>
      <c r="G7737" t="n">
        <v>6</v>
      </c>
      <c r="H7737" t="n">
        <v>0</v>
      </c>
      <c r="I7737" t="n">
        <v>0</v>
      </c>
      <c r="J7737" t="n">
        <v>0</v>
      </c>
      <c r="K7737" t="n">
        <v>0</v>
      </c>
      <c r="L7737" t="n">
        <v>0</v>
      </c>
      <c r="M7737" t="n">
        <v>0</v>
      </c>
      <c r="N7737" t="n">
        <v>0</v>
      </c>
      <c r="O7737" t="n">
        <v>0</v>
      </c>
      <c r="P7737" t="n">
        <v>0</v>
      </c>
      <c r="Q7737" t="n">
        <v>0</v>
      </c>
      <c r="R7737" s="2" t="inlineStr"/>
    </row>
    <row r="7738" ht="15" customHeight="1">
      <c r="A7738" t="inlineStr">
        <is>
          <t>A 5574-2026</t>
        </is>
      </c>
      <c r="B7738" s="1" t="n">
        <v>46051.26423611111</v>
      </c>
      <c r="C7738" s="1" t="n">
        <v>46086</v>
      </c>
      <c r="D7738" t="inlineStr">
        <is>
          <t>GÄVLEBORGS LÄN</t>
        </is>
      </c>
      <c r="E7738" t="inlineStr">
        <is>
          <t>SANDVIKEN</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5581-2026</t>
        </is>
      </c>
      <c r="B7739" s="1" t="n">
        <v>46051.3055787037</v>
      </c>
      <c r="C7739" s="1" t="n">
        <v>46086</v>
      </c>
      <c r="D7739" t="inlineStr">
        <is>
          <t>GÄVLEBORGS LÄN</t>
        </is>
      </c>
      <c r="E7739" t="inlineStr">
        <is>
          <t>BOLLNÄS</t>
        </is>
      </c>
      <c r="G7739" t="n">
        <v>3.8</v>
      </c>
      <c r="H7739" t="n">
        <v>0</v>
      </c>
      <c r="I7739" t="n">
        <v>0</v>
      </c>
      <c r="J7739" t="n">
        <v>0</v>
      </c>
      <c r="K7739" t="n">
        <v>0</v>
      </c>
      <c r="L7739" t="n">
        <v>0</v>
      </c>
      <c r="M7739" t="n">
        <v>0</v>
      </c>
      <c r="N7739" t="n">
        <v>0</v>
      </c>
      <c r="O7739" t="n">
        <v>0</v>
      </c>
      <c r="P7739" t="n">
        <v>0</v>
      </c>
      <c r="Q7739" t="n">
        <v>0</v>
      </c>
      <c r="R7739" s="2" t="inlineStr"/>
    </row>
    <row r="7740" ht="15" customHeight="1">
      <c r="A7740" t="inlineStr">
        <is>
          <t>A 5588-2026</t>
        </is>
      </c>
      <c r="B7740" s="1" t="n">
        <v>46051.32383101852</v>
      </c>
      <c r="C7740" s="1" t="n">
        <v>46086</v>
      </c>
      <c r="D7740" t="inlineStr">
        <is>
          <t>GÄVLEBORGS LÄN</t>
        </is>
      </c>
      <c r="E7740" t="inlineStr">
        <is>
          <t>OVANÅKER</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5254-2026</t>
        </is>
      </c>
      <c r="B7741" s="1" t="n">
        <v>46050.2537037037</v>
      </c>
      <c r="C7741" s="1" t="n">
        <v>46086</v>
      </c>
      <c r="D7741" t="inlineStr">
        <is>
          <t>GÄVLEBORGS LÄN</t>
        </is>
      </c>
      <c r="E7741" t="inlineStr">
        <is>
          <t>OVANÅKER</t>
        </is>
      </c>
      <c r="G7741" t="n">
        <v>6.8</v>
      </c>
      <c r="H7741" t="n">
        <v>0</v>
      </c>
      <c r="I7741" t="n">
        <v>0</v>
      </c>
      <c r="J7741" t="n">
        <v>0</v>
      </c>
      <c r="K7741" t="n">
        <v>0</v>
      </c>
      <c r="L7741" t="n">
        <v>0</v>
      </c>
      <c r="M7741" t="n">
        <v>0</v>
      </c>
      <c r="N7741" t="n">
        <v>0</v>
      </c>
      <c r="O7741" t="n">
        <v>0</v>
      </c>
      <c r="P7741" t="n">
        <v>0</v>
      </c>
      <c r="Q7741" t="n">
        <v>0</v>
      </c>
      <c r="R7741" s="2" t="inlineStr"/>
    </row>
    <row r="7742" ht="15" customHeight="1">
      <c r="A7742" t="inlineStr">
        <is>
          <t>A 5349-2026</t>
        </is>
      </c>
      <c r="B7742" s="1" t="n">
        <v>46050.435</v>
      </c>
      <c r="C7742" s="1" t="n">
        <v>46086</v>
      </c>
      <c r="D7742" t="inlineStr">
        <is>
          <t>GÄVLEBORGS LÄN</t>
        </is>
      </c>
      <c r="E7742" t="inlineStr">
        <is>
          <t>OVANÅKER</t>
        </is>
      </c>
      <c r="G7742" t="n">
        <v>6</v>
      </c>
      <c r="H7742" t="n">
        <v>0</v>
      </c>
      <c r="I7742" t="n">
        <v>0</v>
      </c>
      <c r="J7742" t="n">
        <v>0</v>
      </c>
      <c r="K7742" t="n">
        <v>0</v>
      </c>
      <c r="L7742" t="n">
        <v>0</v>
      </c>
      <c r="M7742" t="n">
        <v>0</v>
      </c>
      <c r="N7742" t="n">
        <v>0</v>
      </c>
      <c r="O7742" t="n">
        <v>0</v>
      </c>
      <c r="P7742" t="n">
        <v>0</v>
      </c>
      <c r="Q7742" t="n">
        <v>0</v>
      </c>
      <c r="R7742" s="2" t="inlineStr"/>
    </row>
    <row r="7743" ht="15" customHeight="1">
      <c r="A7743" t="inlineStr">
        <is>
          <t>A 65098-2023</t>
        </is>
      </c>
      <c r="B7743" s="1" t="n">
        <v>45288.41835648148</v>
      </c>
      <c r="C7743" s="1" t="n">
        <v>46086</v>
      </c>
      <c r="D7743" t="inlineStr">
        <is>
          <t>GÄVLEBORGS LÄN</t>
        </is>
      </c>
      <c r="E7743" t="inlineStr">
        <is>
          <t>SANDVIKEN</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35185-2022</t>
        </is>
      </c>
      <c r="B7744" s="1" t="n">
        <v>44797.63806712963</v>
      </c>
      <c r="C7744" s="1" t="n">
        <v>46086</v>
      </c>
      <c r="D7744" t="inlineStr">
        <is>
          <t>GÄVLEBORGS LÄN</t>
        </is>
      </c>
      <c r="E7744" t="inlineStr">
        <is>
          <t>SANDVIKEN</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5313-2026</t>
        </is>
      </c>
      <c r="B7745" s="1" t="n">
        <v>46050.37032407407</v>
      </c>
      <c r="C7745" s="1" t="n">
        <v>46086</v>
      </c>
      <c r="D7745" t="inlineStr">
        <is>
          <t>GÄVLEBORGS LÄN</t>
        </is>
      </c>
      <c r="E7745" t="inlineStr">
        <is>
          <t>OCKELBO</t>
        </is>
      </c>
      <c r="F7745" t="inlineStr">
        <is>
          <t>Bergvik skog väst AB</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5321-2026</t>
        </is>
      </c>
      <c r="B7746" s="1" t="n">
        <v>46050.38663194444</v>
      </c>
      <c r="C7746" s="1" t="n">
        <v>46086</v>
      </c>
      <c r="D7746" t="inlineStr">
        <is>
          <t>GÄVLEBORGS LÄN</t>
        </is>
      </c>
      <c r="E7746" t="inlineStr">
        <is>
          <t>SÖDERHAMN</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35593-2023</t>
        </is>
      </c>
      <c r="B7747" s="1" t="n">
        <v>45147</v>
      </c>
      <c r="C7747" s="1" t="n">
        <v>46086</v>
      </c>
      <c r="D7747" t="inlineStr">
        <is>
          <t>GÄVLEBORGS LÄN</t>
        </is>
      </c>
      <c r="E7747" t="inlineStr">
        <is>
          <t>HUDIKSVALL</t>
        </is>
      </c>
      <c r="F7747" t="inlineStr">
        <is>
          <t>Holmen skog AB</t>
        </is>
      </c>
      <c r="G7747" t="n">
        <v>4.8</v>
      </c>
      <c r="H7747" t="n">
        <v>0</v>
      </c>
      <c r="I7747" t="n">
        <v>0</v>
      </c>
      <c r="J7747" t="n">
        <v>0</v>
      </c>
      <c r="K7747" t="n">
        <v>0</v>
      </c>
      <c r="L7747" t="n">
        <v>0</v>
      </c>
      <c r="M7747" t="n">
        <v>0</v>
      </c>
      <c r="N7747" t="n">
        <v>0</v>
      </c>
      <c r="O7747" t="n">
        <v>0</v>
      </c>
      <c r="P7747" t="n">
        <v>0</v>
      </c>
      <c r="Q7747" t="n">
        <v>0</v>
      </c>
      <c r="R7747" s="2" t="inlineStr"/>
    </row>
    <row r="7748" ht="15" customHeight="1">
      <c r="A7748" t="inlineStr">
        <is>
          <t>A 5594-2026</t>
        </is>
      </c>
      <c r="B7748" s="1" t="n">
        <v>46051.3309375</v>
      </c>
      <c r="C7748" s="1" t="n">
        <v>46086</v>
      </c>
      <c r="D7748" t="inlineStr">
        <is>
          <t>GÄVLEBORGS LÄN</t>
        </is>
      </c>
      <c r="E7748" t="inlineStr">
        <is>
          <t>NORDANSTIG</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5598-2026</t>
        </is>
      </c>
      <c r="B7749" s="1" t="n">
        <v>46051.33688657408</v>
      </c>
      <c r="C7749" s="1" t="n">
        <v>46086</v>
      </c>
      <c r="D7749" t="inlineStr">
        <is>
          <t>GÄVLEBORGS LÄN</t>
        </is>
      </c>
      <c r="E7749" t="inlineStr">
        <is>
          <t>NORDANSTIG</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63619-2023</t>
        </is>
      </c>
      <c r="B7750" s="1" t="n">
        <v>45275.54577546296</v>
      </c>
      <c r="C7750" s="1" t="n">
        <v>46086</v>
      </c>
      <c r="D7750" t="inlineStr">
        <is>
          <t>GÄVLEBORGS LÄN</t>
        </is>
      </c>
      <c r="E7750" t="inlineStr">
        <is>
          <t>HUDIKSVALL</t>
        </is>
      </c>
      <c r="G7750" t="n">
        <v>6.4</v>
      </c>
      <c r="H7750" t="n">
        <v>0</v>
      </c>
      <c r="I7750" t="n">
        <v>0</v>
      </c>
      <c r="J7750" t="n">
        <v>0</v>
      </c>
      <c r="K7750" t="n">
        <v>0</v>
      </c>
      <c r="L7750" t="n">
        <v>0</v>
      </c>
      <c r="M7750" t="n">
        <v>0</v>
      </c>
      <c r="N7750" t="n">
        <v>0</v>
      </c>
      <c r="O7750" t="n">
        <v>0</v>
      </c>
      <c r="P7750" t="n">
        <v>0</v>
      </c>
      <c r="Q7750" t="n">
        <v>0</v>
      </c>
      <c r="R7750" s="2" t="inlineStr"/>
    </row>
    <row r="7751" ht="15" customHeight="1">
      <c r="A7751" t="inlineStr">
        <is>
          <t>A 33278-2021</t>
        </is>
      </c>
      <c r="B7751" s="1" t="n">
        <v>44377</v>
      </c>
      <c r="C7751" s="1" t="n">
        <v>46086</v>
      </c>
      <c r="D7751" t="inlineStr">
        <is>
          <t>GÄVLEBORGS LÄN</t>
        </is>
      </c>
      <c r="E7751" t="inlineStr">
        <is>
          <t>OCKELBO</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63061-2025</t>
        </is>
      </c>
      <c r="B7752" s="1" t="n">
        <v>46009.65140046296</v>
      </c>
      <c r="C7752" s="1" t="n">
        <v>46086</v>
      </c>
      <c r="D7752" t="inlineStr">
        <is>
          <t>GÄVLEBORGS LÄN</t>
        </is>
      </c>
      <c r="E7752" t="inlineStr">
        <is>
          <t>OCKELBO</t>
        </is>
      </c>
      <c r="F7752" t="inlineStr">
        <is>
          <t>Bergvik skog väst AB</t>
        </is>
      </c>
      <c r="G7752" t="n">
        <v>7</v>
      </c>
      <c r="H7752" t="n">
        <v>0</v>
      </c>
      <c r="I7752" t="n">
        <v>0</v>
      </c>
      <c r="J7752" t="n">
        <v>0</v>
      </c>
      <c r="K7752" t="n">
        <v>0</v>
      </c>
      <c r="L7752" t="n">
        <v>0</v>
      </c>
      <c r="M7752" t="n">
        <v>0</v>
      </c>
      <c r="N7752" t="n">
        <v>0</v>
      </c>
      <c r="O7752" t="n">
        <v>0</v>
      </c>
      <c r="P7752" t="n">
        <v>0</v>
      </c>
      <c r="Q7752" t="n">
        <v>0</v>
      </c>
      <c r="R7752" s="2" t="inlineStr"/>
    </row>
    <row r="7753" ht="15" customHeight="1">
      <c r="A7753" t="inlineStr">
        <is>
          <t>A 5482-2026</t>
        </is>
      </c>
      <c r="B7753" s="1" t="n">
        <v>46050.60585648148</v>
      </c>
      <c r="C7753" s="1" t="n">
        <v>46086</v>
      </c>
      <c r="D7753" t="inlineStr">
        <is>
          <t>GÄVLEBORGS LÄN</t>
        </is>
      </c>
      <c r="E7753" t="inlineStr">
        <is>
          <t>HOFORS</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5589-2026</t>
        </is>
      </c>
      <c r="B7754" s="1" t="n">
        <v>46051.32590277777</v>
      </c>
      <c r="C7754" s="1" t="n">
        <v>46086</v>
      </c>
      <c r="D7754" t="inlineStr">
        <is>
          <t>GÄVLEBORGS LÄN</t>
        </is>
      </c>
      <c r="E7754" t="inlineStr">
        <is>
          <t>OVANÅKER</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5603-2026</t>
        </is>
      </c>
      <c r="B7755" s="1" t="n">
        <v>46051.34704861111</v>
      </c>
      <c r="C7755" s="1" t="n">
        <v>46086</v>
      </c>
      <c r="D7755" t="inlineStr">
        <is>
          <t>GÄVLEBORGS LÄN</t>
        </is>
      </c>
      <c r="E7755" t="inlineStr">
        <is>
          <t>NORDANSTIG</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5328-2026</t>
        </is>
      </c>
      <c r="B7756" s="1" t="n">
        <v>46050.39603009259</v>
      </c>
      <c r="C7756" s="1" t="n">
        <v>46086</v>
      </c>
      <c r="D7756" t="inlineStr">
        <is>
          <t>GÄVLEBORGS LÄN</t>
        </is>
      </c>
      <c r="E7756" t="inlineStr">
        <is>
          <t>SÖDERHAMN</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5312-2026</t>
        </is>
      </c>
      <c r="B7757" s="1" t="n">
        <v>46050.36653935185</v>
      </c>
      <c r="C7757" s="1" t="n">
        <v>46086</v>
      </c>
      <c r="D7757" t="inlineStr">
        <is>
          <t>GÄVLEBORGS LÄN</t>
        </is>
      </c>
      <c r="E7757" t="inlineStr">
        <is>
          <t>OCKELBO</t>
        </is>
      </c>
      <c r="F7757" t="inlineStr">
        <is>
          <t>Bergvik skog väst AB</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61052-2024</t>
        </is>
      </c>
      <c r="B7758" s="1" t="n">
        <v>45645.48365740741</v>
      </c>
      <c r="C7758" s="1" t="n">
        <v>46086</v>
      </c>
      <c r="D7758" t="inlineStr">
        <is>
          <t>GÄVLEBORGS LÄN</t>
        </is>
      </c>
      <c r="E7758" t="inlineStr">
        <is>
          <t>SANDVIKEN</t>
        </is>
      </c>
      <c r="F7758" t="inlineStr">
        <is>
          <t>Naturvårdsverket</t>
        </is>
      </c>
      <c r="G7758" t="n">
        <v>7.2</v>
      </c>
      <c r="H7758" t="n">
        <v>0</v>
      </c>
      <c r="I7758" t="n">
        <v>0</v>
      </c>
      <c r="J7758" t="n">
        <v>0</v>
      </c>
      <c r="K7758" t="n">
        <v>0</v>
      </c>
      <c r="L7758" t="n">
        <v>0</v>
      </c>
      <c r="M7758" t="n">
        <v>0</v>
      </c>
      <c r="N7758" t="n">
        <v>0</v>
      </c>
      <c r="O7758" t="n">
        <v>0</v>
      </c>
      <c r="P7758" t="n">
        <v>0</v>
      </c>
      <c r="Q7758" t="n">
        <v>0</v>
      </c>
      <c r="R7758" s="2" t="inlineStr"/>
    </row>
    <row r="7759" ht="15" customHeight="1">
      <c r="A7759" t="inlineStr">
        <is>
          <t>A 5337-2026</t>
        </is>
      </c>
      <c r="B7759" s="1" t="n">
        <v>46050.42256944445</v>
      </c>
      <c r="C7759" s="1" t="n">
        <v>46086</v>
      </c>
      <c r="D7759" t="inlineStr">
        <is>
          <t>GÄVLEBORGS LÄN</t>
        </is>
      </c>
      <c r="E7759" t="inlineStr">
        <is>
          <t>OCKELBO</t>
        </is>
      </c>
      <c r="F7759" t="inlineStr">
        <is>
          <t>Bergvik skog väst AB</t>
        </is>
      </c>
      <c r="G7759" t="n">
        <v>6.9</v>
      </c>
      <c r="H7759" t="n">
        <v>0</v>
      </c>
      <c r="I7759" t="n">
        <v>0</v>
      </c>
      <c r="J7759" t="n">
        <v>0</v>
      </c>
      <c r="K7759" t="n">
        <v>0</v>
      </c>
      <c r="L7759" t="n">
        <v>0</v>
      </c>
      <c r="M7759" t="n">
        <v>0</v>
      </c>
      <c r="N7759" t="n">
        <v>0</v>
      </c>
      <c r="O7759" t="n">
        <v>0</v>
      </c>
      <c r="P7759" t="n">
        <v>0</v>
      </c>
      <c r="Q7759" t="n">
        <v>0</v>
      </c>
      <c r="R7759" s="2" t="inlineStr"/>
    </row>
    <row r="7760" ht="15" customHeight="1">
      <c r="A7760" t="inlineStr">
        <is>
          <t>A 43169-2023</t>
        </is>
      </c>
      <c r="B7760" s="1" t="n">
        <v>45183.3571875</v>
      </c>
      <c r="C7760" s="1" t="n">
        <v>46086</v>
      </c>
      <c r="D7760" t="inlineStr">
        <is>
          <t>GÄVLEBORGS LÄN</t>
        </is>
      </c>
      <c r="E7760" t="inlineStr">
        <is>
          <t>OVANÅKER</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957-2026</t>
        </is>
      </c>
      <c r="B7761" s="1" t="n">
        <v>46030</v>
      </c>
      <c r="C7761" s="1" t="n">
        <v>46086</v>
      </c>
      <c r="D7761" t="inlineStr">
        <is>
          <t>GÄVLEBORGS LÄN</t>
        </is>
      </c>
      <c r="E7761" t="inlineStr">
        <is>
          <t>OVANÅKER</t>
        </is>
      </c>
      <c r="G7761" t="n">
        <v>3.4</v>
      </c>
      <c r="H7761" t="n">
        <v>0</v>
      </c>
      <c r="I7761" t="n">
        <v>0</v>
      </c>
      <c r="J7761" t="n">
        <v>0</v>
      </c>
      <c r="K7761" t="n">
        <v>0</v>
      </c>
      <c r="L7761" t="n">
        <v>0</v>
      </c>
      <c r="M7761" t="n">
        <v>0</v>
      </c>
      <c r="N7761" t="n">
        <v>0</v>
      </c>
      <c r="O7761" t="n">
        <v>0</v>
      </c>
      <c r="P7761" t="n">
        <v>0</v>
      </c>
      <c r="Q7761" t="n">
        <v>0</v>
      </c>
      <c r="R7761" s="2" t="inlineStr"/>
    </row>
    <row r="7762" ht="15" customHeight="1">
      <c r="A7762" t="inlineStr">
        <is>
          <t>A 4471-2026</t>
        </is>
      </c>
      <c r="B7762" s="1" t="n">
        <v>46045</v>
      </c>
      <c r="C7762" s="1" t="n">
        <v>46086</v>
      </c>
      <c r="D7762" t="inlineStr">
        <is>
          <t>GÄVLEBORGS LÄN</t>
        </is>
      </c>
      <c r="E7762" t="inlineStr">
        <is>
          <t>HUDIKSVALL</t>
        </is>
      </c>
      <c r="G7762" t="n">
        <v>16.1</v>
      </c>
      <c r="H7762" t="n">
        <v>0</v>
      </c>
      <c r="I7762" t="n">
        <v>0</v>
      </c>
      <c r="J7762" t="n">
        <v>0</v>
      </c>
      <c r="K7762" t="n">
        <v>0</v>
      </c>
      <c r="L7762" t="n">
        <v>0</v>
      </c>
      <c r="M7762" t="n">
        <v>0</v>
      </c>
      <c r="N7762" t="n">
        <v>0</v>
      </c>
      <c r="O7762" t="n">
        <v>0</v>
      </c>
      <c r="P7762" t="n">
        <v>0</v>
      </c>
      <c r="Q7762" t="n">
        <v>0</v>
      </c>
      <c r="R7762" s="2" t="inlineStr"/>
    </row>
    <row r="7763" ht="15" customHeight="1">
      <c r="A7763" t="inlineStr">
        <is>
          <t>A 62675-2025</t>
        </is>
      </c>
      <c r="B7763" s="1" t="n">
        <v>46008.44947916667</v>
      </c>
      <c r="C7763" s="1" t="n">
        <v>46086</v>
      </c>
      <c r="D7763" t="inlineStr">
        <is>
          <t>GÄVLEBORGS LÄN</t>
        </is>
      </c>
      <c r="E7763" t="inlineStr">
        <is>
          <t>OVANÅKER</t>
        </is>
      </c>
      <c r="F7763" t="inlineStr">
        <is>
          <t>Bergvik skog väst AB</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5499-2026</t>
        </is>
      </c>
      <c r="B7764" s="1" t="n">
        <v>46050.61966435185</v>
      </c>
      <c r="C7764" s="1" t="n">
        <v>46086</v>
      </c>
      <c r="D7764" t="inlineStr">
        <is>
          <t>GÄVLEBORGS LÄN</t>
        </is>
      </c>
      <c r="E7764" t="inlineStr">
        <is>
          <t>OVANÅKER</t>
        </is>
      </c>
      <c r="G7764" t="n">
        <v>8.300000000000001</v>
      </c>
      <c r="H7764" t="n">
        <v>0</v>
      </c>
      <c r="I7764" t="n">
        <v>0</v>
      </c>
      <c r="J7764" t="n">
        <v>0</v>
      </c>
      <c r="K7764" t="n">
        <v>0</v>
      </c>
      <c r="L7764" t="n">
        <v>0</v>
      </c>
      <c r="M7764" t="n">
        <v>0</v>
      </c>
      <c r="N7764" t="n">
        <v>0</v>
      </c>
      <c r="O7764" t="n">
        <v>0</v>
      </c>
      <c r="P7764" t="n">
        <v>0</v>
      </c>
      <c r="Q7764" t="n">
        <v>0</v>
      </c>
      <c r="R7764" s="2" t="inlineStr"/>
    </row>
    <row r="7765" ht="15" customHeight="1">
      <c r="A7765" t="inlineStr">
        <is>
          <t>A 62613-2025</t>
        </is>
      </c>
      <c r="B7765" s="1" t="n">
        <v>46008.31300925926</v>
      </c>
      <c r="C7765" s="1" t="n">
        <v>46086</v>
      </c>
      <c r="D7765" t="inlineStr">
        <is>
          <t>GÄVLEBORGS LÄN</t>
        </is>
      </c>
      <c r="E7765" t="inlineStr">
        <is>
          <t>SÖDERHAMN</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57866-2024</t>
        </is>
      </c>
      <c r="B7766" s="1" t="n">
        <v>45631.43737268518</v>
      </c>
      <c r="C7766" s="1" t="n">
        <v>46086</v>
      </c>
      <c r="D7766" t="inlineStr">
        <is>
          <t>GÄVLEBORGS LÄN</t>
        </is>
      </c>
      <c r="E7766" t="inlineStr">
        <is>
          <t>NORDANSTIG</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17690-2025</t>
        </is>
      </c>
      <c r="B7767" s="1" t="n">
        <v>45758.40640046296</v>
      </c>
      <c r="C7767" s="1" t="n">
        <v>46086</v>
      </c>
      <c r="D7767" t="inlineStr">
        <is>
          <t>GÄVLEBORGS LÄN</t>
        </is>
      </c>
      <c r="E7767" t="inlineStr">
        <is>
          <t>OCKELBO</t>
        </is>
      </c>
      <c r="F7767" t="inlineStr">
        <is>
          <t>Bergvik skog väst AB</t>
        </is>
      </c>
      <c r="G7767" t="n">
        <v>8.699999999999999</v>
      </c>
      <c r="H7767" t="n">
        <v>0</v>
      </c>
      <c r="I7767" t="n">
        <v>0</v>
      </c>
      <c r="J7767" t="n">
        <v>0</v>
      </c>
      <c r="K7767" t="n">
        <v>0</v>
      </c>
      <c r="L7767" t="n">
        <v>0</v>
      </c>
      <c r="M7767" t="n">
        <v>0</v>
      </c>
      <c r="N7767" t="n">
        <v>0</v>
      </c>
      <c r="O7767" t="n">
        <v>0</v>
      </c>
      <c r="P7767" t="n">
        <v>0</v>
      </c>
      <c r="Q7767" t="n">
        <v>0</v>
      </c>
      <c r="R7767" s="2" t="inlineStr"/>
    </row>
    <row r="7768" ht="15" customHeight="1">
      <c r="A7768" t="inlineStr">
        <is>
          <t>A 62895-2025</t>
        </is>
      </c>
      <c r="B7768" s="1" t="n">
        <v>46009.34284722222</v>
      </c>
      <c r="C7768" s="1" t="n">
        <v>46086</v>
      </c>
      <c r="D7768" t="inlineStr">
        <is>
          <t>GÄVLEBORGS LÄN</t>
        </is>
      </c>
      <c r="E7768" t="inlineStr">
        <is>
          <t>LJUSDAL</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54713-2024</t>
        </is>
      </c>
      <c r="B7769" s="1" t="n">
        <v>45618.42712962963</v>
      </c>
      <c r="C7769" s="1" t="n">
        <v>46086</v>
      </c>
      <c r="D7769" t="inlineStr">
        <is>
          <t>GÄVLEBORGS LÄN</t>
        </is>
      </c>
      <c r="E7769" t="inlineStr">
        <is>
          <t>NORDANSTIG</t>
        </is>
      </c>
      <c r="F7769" t="inlineStr">
        <is>
          <t>Holmen skog AB</t>
        </is>
      </c>
      <c r="G7769" t="n">
        <v>5.7</v>
      </c>
      <c r="H7769" t="n">
        <v>0</v>
      </c>
      <c r="I7769" t="n">
        <v>0</v>
      </c>
      <c r="J7769" t="n">
        <v>0</v>
      </c>
      <c r="K7769" t="n">
        <v>0</v>
      </c>
      <c r="L7769" t="n">
        <v>0</v>
      </c>
      <c r="M7769" t="n">
        <v>0</v>
      </c>
      <c r="N7769" t="n">
        <v>0</v>
      </c>
      <c r="O7769" t="n">
        <v>0</v>
      </c>
      <c r="P7769" t="n">
        <v>0</v>
      </c>
      <c r="Q7769" t="n">
        <v>0</v>
      </c>
      <c r="R7769" s="2" t="inlineStr"/>
    </row>
    <row r="7770" ht="15" customHeight="1">
      <c r="A7770" t="inlineStr">
        <is>
          <t>A 62969-2025</t>
        </is>
      </c>
      <c r="B7770" s="1" t="n">
        <v>46009.4627662037</v>
      </c>
      <c r="C7770" s="1" t="n">
        <v>46086</v>
      </c>
      <c r="D7770" t="inlineStr">
        <is>
          <t>GÄVLEBORGS LÄN</t>
        </is>
      </c>
      <c r="E7770" t="inlineStr">
        <is>
          <t>HUDIKSVALL</t>
        </is>
      </c>
      <c r="F7770" t="inlineStr">
        <is>
          <t>Övriga Aktiebolag</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5262-2026</t>
        </is>
      </c>
      <c r="B7771" s="1" t="n">
        <v>46050.30271990741</v>
      </c>
      <c r="C7771" s="1" t="n">
        <v>46086</v>
      </c>
      <c r="D7771" t="inlineStr">
        <is>
          <t>GÄVLEBORGS LÄN</t>
        </is>
      </c>
      <c r="E7771" t="inlineStr">
        <is>
          <t>BOLLNÄS</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52785-2023</t>
        </is>
      </c>
      <c r="B7772" s="1" t="n">
        <v>45226.34331018518</v>
      </c>
      <c r="C7772" s="1" t="n">
        <v>46086</v>
      </c>
      <c r="D7772" t="inlineStr">
        <is>
          <t>GÄVLEBORGS LÄN</t>
        </is>
      </c>
      <c r="E7772" t="inlineStr">
        <is>
          <t>SANDVIKEN</t>
        </is>
      </c>
      <c r="F7772" t="inlineStr">
        <is>
          <t>Bergvik skog öst AB</t>
        </is>
      </c>
      <c r="G7772" t="n">
        <v>5.4</v>
      </c>
      <c r="H7772" t="n">
        <v>0</v>
      </c>
      <c r="I7772" t="n">
        <v>0</v>
      </c>
      <c r="J7772" t="n">
        <v>0</v>
      </c>
      <c r="K7772" t="n">
        <v>0</v>
      </c>
      <c r="L7772" t="n">
        <v>0</v>
      </c>
      <c r="M7772" t="n">
        <v>0</v>
      </c>
      <c r="N7772" t="n">
        <v>0</v>
      </c>
      <c r="O7772" t="n">
        <v>0</v>
      </c>
      <c r="P7772" t="n">
        <v>0</v>
      </c>
      <c r="Q7772" t="n">
        <v>0</v>
      </c>
      <c r="R7772" s="2" t="inlineStr"/>
    </row>
    <row r="7773" ht="15" customHeight="1">
      <c r="A7773" t="inlineStr">
        <is>
          <t>A 38451-2024</t>
        </is>
      </c>
      <c r="B7773" s="1" t="n">
        <v>45546</v>
      </c>
      <c r="C7773" s="1" t="n">
        <v>46086</v>
      </c>
      <c r="D7773" t="inlineStr">
        <is>
          <t>GÄVLEBORGS LÄN</t>
        </is>
      </c>
      <c r="E7773" t="inlineStr">
        <is>
          <t>NORDANSTIG</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15351-2025</t>
        </is>
      </c>
      <c r="B7774" s="1" t="n">
        <v>45747.38331018519</v>
      </c>
      <c r="C7774" s="1" t="n">
        <v>46086</v>
      </c>
      <c r="D7774" t="inlineStr">
        <is>
          <t>GÄVLEBORGS LÄN</t>
        </is>
      </c>
      <c r="E7774" t="inlineStr">
        <is>
          <t>SANDVIKEN</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44800-2024</t>
        </is>
      </c>
      <c r="B7775" s="1" t="n">
        <v>45574.64898148148</v>
      </c>
      <c r="C7775" s="1" t="n">
        <v>46086</v>
      </c>
      <c r="D7775" t="inlineStr">
        <is>
          <t>GÄVLEBORGS LÄN</t>
        </is>
      </c>
      <c r="E7775" t="inlineStr">
        <is>
          <t>GÄVLE</t>
        </is>
      </c>
      <c r="F7775" t="inlineStr">
        <is>
          <t>Bergvik skog öst AB</t>
        </is>
      </c>
      <c r="G7775" t="n">
        <v>0.4</v>
      </c>
      <c r="H7775" t="n">
        <v>0</v>
      </c>
      <c r="I7775" t="n">
        <v>0</v>
      </c>
      <c r="J7775" t="n">
        <v>0</v>
      </c>
      <c r="K7775" t="n">
        <v>0</v>
      </c>
      <c r="L7775" t="n">
        <v>0</v>
      </c>
      <c r="M7775" t="n">
        <v>0</v>
      </c>
      <c r="N7775" t="n">
        <v>0</v>
      </c>
      <c r="O7775" t="n">
        <v>0</v>
      </c>
      <c r="P7775" t="n">
        <v>0</v>
      </c>
      <c r="Q7775" t="n">
        <v>0</v>
      </c>
      <c r="R7775" s="2" t="inlineStr"/>
    </row>
    <row r="7776" ht="15" customHeight="1">
      <c r="A7776" t="inlineStr">
        <is>
          <t>A 4453-2026</t>
        </is>
      </c>
      <c r="B7776" s="1" t="n">
        <v>46045</v>
      </c>
      <c r="C7776" s="1" t="n">
        <v>46086</v>
      </c>
      <c r="D7776" t="inlineStr">
        <is>
          <t>GÄVLEBORGS LÄN</t>
        </is>
      </c>
      <c r="E7776" t="inlineStr">
        <is>
          <t>HUDIKSVALL</t>
        </is>
      </c>
      <c r="G7776" t="n">
        <v>3.7</v>
      </c>
      <c r="H7776" t="n">
        <v>0</v>
      </c>
      <c r="I7776" t="n">
        <v>0</v>
      </c>
      <c r="J7776" t="n">
        <v>0</v>
      </c>
      <c r="K7776" t="n">
        <v>0</v>
      </c>
      <c r="L7776" t="n">
        <v>0</v>
      </c>
      <c r="M7776" t="n">
        <v>0</v>
      </c>
      <c r="N7776" t="n">
        <v>0</v>
      </c>
      <c r="O7776" t="n">
        <v>0</v>
      </c>
      <c r="P7776" t="n">
        <v>0</v>
      </c>
      <c r="Q7776" t="n">
        <v>0</v>
      </c>
      <c r="R7776" s="2" t="inlineStr"/>
    </row>
    <row r="7777" ht="15" customHeight="1">
      <c r="A7777" t="inlineStr">
        <is>
          <t>A 5261-2026</t>
        </is>
      </c>
      <c r="B7777" s="1" t="n">
        <v>46050.30144675926</v>
      </c>
      <c r="C7777" s="1" t="n">
        <v>46086</v>
      </c>
      <c r="D7777" t="inlineStr">
        <is>
          <t>GÄVLEBORGS LÄN</t>
        </is>
      </c>
      <c r="E7777" t="inlineStr">
        <is>
          <t>BOLLNÄS</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62913-2025</t>
        </is>
      </c>
      <c r="B7778" s="1" t="n">
        <v>46009.36638888889</v>
      </c>
      <c r="C7778" s="1" t="n">
        <v>46086</v>
      </c>
      <c r="D7778" t="inlineStr">
        <is>
          <t>GÄVLEBORGS LÄN</t>
        </is>
      </c>
      <c r="E7778" t="inlineStr">
        <is>
          <t>LJUSDAL</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10891-2025</t>
        </is>
      </c>
      <c r="B7779" s="1" t="n">
        <v>45722.67386574074</v>
      </c>
      <c r="C7779" s="1" t="n">
        <v>46086</v>
      </c>
      <c r="D7779" t="inlineStr">
        <is>
          <t>GÄVLEBORGS LÄN</t>
        </is>
      </c>
      <c r="E7779" t="inlineStr">
        <is>
          <t>OVANÅKER</t>
        </is>
      </c>
      <c r="G7779" t="n">
        <v>10.3</v>
      </c>
      <c r="H7779" t="n">
        <v>0</v>
      </c>
      <c r="I7779" t="n">
        <v>0</v>
      </c>
      <c r="J7779" t="n">
        <v>0</v>
      </c>
      <c r="K7779" t="n">
        <v>0</v>
      </c>
      <c r="L7779" t="n">
        <v>0</v>
      </c>
      <c r="M7779" t="n">
        <v>0</v>
      </c>
      <c r="N7779" t="n">
        <v>0</v>
      </c>
      <c r="O7779" t="n">
        <v>0</v>
      </c>
      <c r="P7779" t="n">
        <v>0</v>
      </c>
      <c r="Q7779" t="n">
        <v>0</v>
      </c>
      <c r="R7779" s="2" t="inlineStr"/>
    </row>
    <row r="7780" ht="15" customHeight="1">
      <c r="A7780" t="inlineStr">
        <is>
          <t>A 63094-2025</t>
        </is>
      </c>
      <c r="B7780" s="1" t="n">
        <v>46009.68134259259</v>
      </c>
      <c r="C7780" s="1" t="n">
        <v>46086</v>
      </c>
      <c r="D7780" t="inlineStr">
        <is>
          <t>GÄVLEBORGS LÄN</t>
        </is>
      </c>
      <c r="E7780" t="inlineStr">
        <is>
          <t>OVANÅKER</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21525-2022</t>
        </is>
      </c>
      <c r="B7781" s="1" t="n">
        <v>44706.51047453703</v>
      </c>
      <c r="C7781" s="1" t="n">
        <v>46086</v>
      </c>
      <c r="D7781" t="inlineStr">
        <is>
          <t>GÄVLEBORGS LÄN</t>
        </is>
      </c>
      <c r="E7781" t="inlineStr">
        <is>
          <t>HUDIKSVALL</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10994-2025</t>
        </is>
      </c>
      <c r="B7782" s="1" t="n">
        <v>45723.43423611111</v>
      </c>
      <c r="C7782" s="1" t="n">
        <v>46086</v>
      </c>
      <c r="D7782" t="inlineStr">
        <is>
          <t>GÄVLEBORGS LÄN</t>
        </is>
      </c>
      <c r="E7782" t="inlineStr">
        <is>
          <t>HUDIKSVALL</t>
        </is>
      </c>
      <c r="F7782" t="inlineStr">
        <is>
          <t>Holmen skog AB</t>
        </is>
      </c>
      <c r="G7782" t="n">
        <v>5.7</v>
      </c>
      <c r="H7782" t="n">
        <v>0</v>
      </c>
      <c r="I7782" t="n">
        <v>0</v>
      </c>
      <c r="J7782" t="n">
        <v>0</v>
      </c>
      <c r="K7782" t="n">
        <v>0</v>
      </c>
      <c r="L7782" t="n">
        <v>0</v>
      </c>
      <c r="M7782" t="n">
        <v>0</v>
      </c>
      <c r="N7782" t="n">
        <v>0</v>
      </c>
      <c r="O7782" t="n">
        <v>0</v>
      </c>
      <c r="P7782" t="n">
        <v>0</v>
      </c>
      <c r="Q7782" t="n">
        <v>0</v>
      </c>
      <c r="R7782" s="2" t="inlineStr"/>
    </row>
    <row r="7783" ht="15" customHeight="1">
      <c r="A7783" t="inlineStr">
        <is>
          <t>A 5549-2026</t>
        </is>
      </c>
      <c r="B7783" s="1" t="n">
        <v>46050.71560185185</v>
      </c>
      <c r="C7783" s="1" t="n">
        <v>46086</v>
      </c>
      <c r="D7783" t="inlineStr">
        <is>
          <t>GÄVLEBORGS LÄN</t>
        </is>
      </c>
      <c r="E7783" t="inlineStr">
        <is>
          <t>HOFORS</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5557-2026</t>
        </is>
      </c>
      <c r="B7784" s="1" t="n">
        <v>46050.74790509259</v>
      </c>
      <c r="C7784" s="1" t="n">
        <v>46086</v>
      </c>
      <c r="D7784" t="inlineStr">
        <is>
          <t>GÄVLEBORGS LÄN</t>
        </is>
      </c>
      <c r="E7784" t="inlineStr">
        <is>
          <t>OVANÅKER</t>
        </is>
      </c>
      <c r="F7784" t="inlineStr">
        <is>
          <t>Kyrkan</t>
        </is>
      </c>
      <c r="G7784" t="n">
        <v>11.6</v>
      </c>
      <c r="H7784" t="n">
        <v>0</v>
      </c>
      <c r="I7784" t="n">
        <v>0</v>
      </c>
      <c r="J7784" t="n">
        <v>0</v>
      </c>
      <c r="K7784" t="n">
        <v>0</v>
      </c>
      <c r="L7784" t="n">
        <v>0</v>
      </c>
      <c r="M7784" t="n">
        <v>0</v>
      </c>
      <c r="N7784" t="n">
        <v>0</v>
      </c>
      <c r="O7784" t="n">
        <v>0</v>
      </c>
      <c r="P7784" t="n">
        <v>0</v>
      </c>
      <c r="Q7784" t="n">
        <v>0</v>
      </c>
      <c r="R7784" s="2" t="inlineStr"/>
    </row>
    <row r="7785" ht="15" customHeight="1">
      <c r="A7785" t="inlineStr">
        <is>
          <t>A 12437-2024</t>
        </is>
      </c>
      <c r="B7785" s="1" t="n">
        <v>45379.44809027778</v>
      </c>
      <c r="C7785" s="1" t="n">
        <v>46086</v>
      </c>
      <c r="D7785" t="inlineStr">
        <is>
          <t>GÄVLEBORGS LÄN</t>
        </is>
      </c>
      <c r="E7785" t="inlineStr">
        <is>
          <t>GÄVLE</t>
        </is>
      </c>
      <c r="F7785" t="inlineStr">
        <is>
          <t>Bergvik skog öst AB</t>
        </is>
      </c>
      <c r="G7785" t="n">
        <v>7.4</v>
      </c>
      <c r="H7785" t="n">
        <v>0</v>
      </c>
      <c r="I7785" t="n">
        <v>0</v>
      </c>
      <c r="J7785" t="n">
        <v>0</v>
      </c>
      <c r="K7785" t="n">
        <v>0</v>
      </c>
      <c r="L7785" t="n">
        <v>0</v>
      </c>
      <c r="M7785" t="n">
        <v>0</v>
      </c>
      <c r="N7785" t="n">
        <v>0</v>
      </c>
      <c r="O7785" t="n">
        <v>0</v>
      </c>
      <c r="P7785" t="n">
        <v>0</v>
      </c>
      <c r="Q7785" t="n">
        <v>0</v>
      </c>
      <c r="R7785" s="2" t="inlineStr"/>
    </row>
    <row r="7786" ht="15" customHeight="1">
      <c r="A7786" t="inlineStr">
        <is>
          <t>A 50197-2024</t>
        </is>
      </c>
      <c r="B7786" s="1" t="n">
        <v>45600.48857638889</v>
      </c>
      <c r="C7786" s="1" t="n">
        <v>46086</v>
      </c>
      <c r="D7786" t="inlineStr">
        <is>
          <t>GÄVLEBORGS LÄN</t>
        </is>
      </c>
      <c r="E7786" t="inlineStr">
        <is>
          <t>OCKELBO</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4685-2025</t>
        </is>
      </c>
      <c r="B7787" s="1" t="n">
        <v>45688.29756944445</v>
      </c>
      <c r="C7787" s="1" t="n">
        <v>46086</v>
      </c>
      <c r="D7787" t="inlineStr">
        <is>
          <t>GÄVLEBORGS LÄN</t>
        </is>
      </c>
      <c r="E7787" t="inlineStr">
        <is>
          <t>OVANÅKER</t>
        </is>
      </c>
      <c r="G7787" t="n">
        <v>3.2</v>
      </c>
      <c r="H7787" t="n">
        <v>0</v>
      </c>
      <c r="I7787" t="n">
        <v>0</v>
      </c>
      <c r="J7787" t="n">
        <v>0</v>
      </c>
      <c r="K7787" t="n">
        <v>0</v>
      </c>
      <c r="L7787" t="n">
        <v>0</v>
      </c>
      <c r="M7787" t="n">
        <v>0</v>
      </c>
      <c r="N7787" t="n">
        <v>0</v>
      </c>
      <c r="O7787" t="n">
        <v>0</v>
      </c>
      <c r="P7787" t="n">
        <v>0</v>
      </c>
      <c r="Q7787" t="n">
        <v>0</v>
      </c>
      <c r="R7787" s="2" t="inlineStr"/>
    </row>
    <row r="7788" ht="15" customHeight="1">
      <c r="A7788" t="inlineStr">
        <is>
          <t>A 4426-2026</t>
        </is>
      </c>
      <c r="B7788" s="1" t="n">
        <v>46045</v>
      </c>
      <c r="C7788" s="1" t="n">
        <v>46086</v>
      </c>
      <c r="D7788" t="inlineStr">
        <is>
          <t>GÄVLEBORGS LÄN</t>
        </is>
      </c>
      <c r="E7788" t="inlineStr">
        <is>
          <t>HUDIKSVALL</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4217-2026</t>
        </is>
      </c>
      <c r="B7789" s="1" t="n">
        <v>46044</v>
      </c>
      <c r="C7789" s="1" t="n">
        <v>46086</v>
      </c>
      <c r="D7789" t="inlineStr">
        <is>
          <t>GÄVLEBORGS LÄN</t>
        </is>
      </c>
      <c r="E7789" t="inlineStr">
        <is>
          <t>HUDIKSVALL</t>
        </is>
      </c>
      <c r="G7789" t="n">
        <v>4.6</v>
      </c>
      <c r="H7789" t="n">
        <v>0</v>
      </c>
      <c r="I7789" t="n">
        <v>0</v>
      </c>
      <c r="J7789" t="n">
        <v>0</v>
      </c>
      <c r="K7789" t="n">
        <v>0</v>
      </c>
      <c r="L7789" t="n">
        <v>0</v>
      </c>
      <c r="M7789" t="n">
        <v>0</v>
      </c>
      <c r="N7789" t="n">
        <v>0</v>
      </c>
      <c r="O7789" t="n">
        <v>0</v>
      </c>
      <c r="P7789" t="n">
        <v>0</v>
      </c>
      <c r="Q7789" t="n">
        <v>0</v>
      </c>
      <c r="R7789" s="2" t="inlineStr"/>
    </row>
    <row r="7790" ht="15" customHeight="1">
      <c r="A7790" t="inlineStr">
        <is>
          <t>A 24032-2024</t>
        </is>
      </c>
      <c r="B7790" s="1" t="n">
        <v>45456.46153935185</v>
      </c>
      <c r="C7790" s="1" t="n">
        <v>46086</v>
      </c>
      <c r="D7790" t="inlineStr">
        <is>
          <t>GÄVLEBORGS LÄN</t>
        </is>
      </c>
      <c r="E7790" t="inlineStr">
        <is>
          <t>OVANÅKER</t>
        </is>
      </c>
      <c r="F7790" t="inlineStr">
        <is>
          <t>Bergvik skog väst AB</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24033-2024</t>
        </is>
      </c>
      <c r="B7791" s="1" t="n">
        <v>45456.46658564815</v>
      </c>
      <c r="C7791" s="1" t="n">
        <v>46086</v>
      </c>
      <c r="D7791" t="inlineStr">
        <is>
          <t>GÄVLEBORGS LÄN</t>
        </is>
      </c>
      <c r="E7791" t="inlineStr">
        <is>
          <t>HUDIKSVALL</t>
        </is>
      </c>
      <c r="F7791" t="inlineStr">
        <is>
          <t>Holmen skog AB</t>
        </is>
      </c>
      <c r="G7791" t="n">
        <v>22.8</v>
      </c>
      <c r="H7791" t="n">
        <v>0</v>
      </c>
      <c r="I7791" t="n">
        <v>0</v>
      </c>
      <c r="J7791" t="n">
        <v>0</v>
      </c>
      <c r="K7791" t="n">
        <v>0</v>
      </c>
      <c r="L7791" t="n">
        <v>0</v>
      </c>
      <c r="M7791" t="n">
        <v>0</v>
      </c>
      <c r="N7791" t="n">
        <v>0</v>
      </c>
      <c r="O7791" t="n">
        <v>0</v>
      </c>
      <c r="P7791" t="n">
        <v>0</v>
      </c>
      <c r="Q7791" t="n">
        <v>0</v>
      </c>
      <c r="R7791" s="2" t="inlineStr"/>
    </row>
    <row r="7792" ht="15" customHeight="1">
      <c r="A7792" t="inlineStr">
        <is>
          <t>A 5678-2026</t>
        </is>
      </c>
      <c r="B7792" s="1" t="n">
        <v>46051.47546296296</v>
      </c>
      <c r="C7792" s="1" t="n">
        <v>46086</v>
      </c>
      <c r="D7792" t="inlineStr">
        <is>
          <t>GÄVLEBORGS LÄN</t>
        </is>
      </c>
      <c r="E7792" t="inlineStr">
        <is>
          <t>BOLLNÄS</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14144-2025</t>
        </is>
      </c>
      <c r="B7793" s="1" t="n">
        <v>45740.48634259259</v>
      </c>
      <c r="C7793" s="1" t="n">
        <v>46086</v>
      </c>
      <c r="D7793" t="inlineStr">
        <is>
          <t>GÄVLEBORGS LÄN</t>
        </is>
      </c>
      <c r="E7793" t="inlineStr">
        <is>
          <t>SANDVIKEN</t>
        </is>
      </c>
      <c r="F7793" t="inlineStr">
        <is>
          <t>Bergvik skog öst AB</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7038-2025</t>
        </is>
      </c>
      <c r="B7794" s="1" t="n">
        <v>45701.63686342593</v>
      </c>
      <c r="C7794" s="1" t="n">
        <v>46086</v>
      </c>
      <c r="D7794" t="inlineStr">
        <is>
          <t>GÄVLEBORGS LÄN</t>
        </is>
      </c>
      <c r="E7794" t="inlineStr">
        <is>
          <t>SANDVIKEN</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59301-2024</t>
        </is>
      </c>
      <c r="B7795" s="1" t="n">
        <v>45637</v>
      </c>
      <c r="C7795" s="1" t="n">
        <v>46086</v>
      </c>
      <c r="D7795" t="inlineStr">
        <is>
          <t>GÄVLEBORGS LÄN</t>
        </is>
      </c>
      <c r="E7795" t="inlineStr">
        <is>
          <t>SÖDERHAMN</t>
        </is>
      </c>
      <c r="G7795" t="n">
        <v>3.9</v>
      </c>
      <c r="H7795" t="n">
        <v>0</v>
      </c>
      <c r="I7795" t="n">
        <v>0</v>
      </c>
      <c r="J7795" t="n">
        <v>0</v>
      </c>
      <c r="K7795" t="n">
        <v>0</v>
      </c>
      <c r="L7795" t="n">
        <v>0</v>
      </c>
      <c r="M7795" t="n">
        <v>0</v>
      </c>
      <c r="N7795" t="n">
        <v>0</v>
      </c>
      <c r="O7795" t="n">
        <v>0</v>
      </c>
      <c r="P7795" t="n">
        <v>0</v>
      </c>
      <c r="Q7795" t="n">
        <v>0</v>
      </c>
      <c r="R7795" s="2" t="inlineStr"/>
    </row>
    <row r="7796" ht="15" customHeight="1">
      <c r="A7796" t="inlineStr">
        <is>
          <t>A 7252-2025</t>
        </is>
      </c>
      <c r="B7796" s="1" t="n">
        <v>45702.56151620371</v>
      </c>
      <c r="C7796" s="1" t="n">
        <v>46086</v>
      </c>
      <c r="D7796" t="inlineStr">
        <is>
          <t>GÄVLEBORGS LÄN</t>
        </is>
      </c>
      <c r="E7796" t="inlineStr">
        <is>
          <t>NORDANSTIG</t>
        </is>
      </c>
      <c r="G7796" t="n">
        <v>3.2</v>
      </c>
      <c r="H7796" t="n">
        <v>0</v>
      </c>
      <c r="I7796" t="n">
        <v>0</v>
      </c>
      <c r="J7796" t="n">
        <v>0</v>
      </c>
      <c r="K7796" t="n">
        <v>0</v>
      </c>
      <c r="L7796" t="n">
        <v>0</v>
      </c>
      <c r="M7796" t="n">
        <v>0</v>
      </c>
      <c r="N7796" t="n">
        <v>0</v>
      </c>
      <c r="O7796" t="n">
        <v>0</v>
      </c>
      <c r="P7796" t="n">
        <v>0</v>
      </c>
      <c r="Q7796" t="n">
        <v>0</v>
      </c>
      <c r="R7796" s="2" t="inlineStr"/>
    </row>
    <row r="7797" ht="15" customHeight="1">
      <c r="A7797" t="inlineStr">
        <is>
          <t>A 5745-2026</t>
        </is>
      </c>
      <c r="B7797" s="1" t="n">
        <v>46051.59461805555</v>
      </c>
      <c r="C7797" s="1" t="n">
        <v>46086</v>
      </c>
      <c r="D7797" t="inlineStr">
        <is>
          <t>GÄVLEBORGS LÄN</t>
        </is>
      </c>
      <c r="E7797" t="inlineStr">
        <is>
          <t>NORDANSTIG</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5755-2026</t>
        </is>
      </c>
      <c r="B7798" s="1" t="n">
        <v>46051.60847222222</v>
      </c>
      <c r="C7798" s="1" t="n">
        <v>46086</v>
      </c>
      <c r="D7798" t="inlineStr">
        <is>
          <t>GÄVLEBORGS LÄN</t>
        </is>
      </c>
      <c r="E7798" t="inlineStr">
        <is>
          <t>SANDVIKEN</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5689-2026</t>
        </is>
      </c>
      <c r="B7799" s="1" t="n">
        <v>46051.49262731482</v>
      </c>
      <c r="C7799" s="1" t="n">
        <v>46086</v>
      </c>
      <c r="D7799" t="inlineStr">
        <is>
          <t>GÄVLEBORGS LÄN</t>
        </is>
      </c>
      <c r="E7799" t="inlineStr">
        <is>
          <t>OVANÅKER</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5752-2026</t>
        </is>
      </c>
      <c r="B7800" s="1" t="n">
        <v>46051.6024537037</v>
      </c>
      <c r="C7800" s="1" t="n">
        <v>46086</v>
      </c>
      <c r="D7800" t="inlineStr">
        <is>
          <t>GÄVLEBORGS LÄN</t>
        </is>
      </c>
      <c r="E7800" t="inlineStr">
        <is>
          <t>NORDANSTIG</t>
        </is>
      </c>
      <c r="G7800" t="n">
        <v>6.3</v>
      </c>
      <c r="H7800" t="n">
        <v>0</v>
      </c>
      <c r="I7800" t="n">
        <v>0</v>
      </c>
      <c r="J7800" t="n">
        <v>0</v>
      </c>
      <c r="K7800" t="n">
        <v>0</v>
      </c>
      <c r="L7800" t="n">
        <v>0</v>
      </c>
      <c r="M7800" t="n">
        <v>0</v>
      </c>
      <c r="N7800" t="n">
        <v>0</v>
      </c>
      <c r="O7800" t="n">
        <v>0</v>
      </c>
      <c r="P7800" t="n">
        <v>0</v>
      </c>
      <c r="Q7800" t="n">
        <v>0</v>
      </c>
      <c r="R7800" s="2" t="inlineStr"/>
    </row>
    <row r="7801" ht="15" customHeight="1">
      <c r="A7801" t="inlineStr">
        <is>
          <t>A 5796-2026</t>
        </is>
      </c>
      <c r="B7801" s="1" t="n">
        <v>46051.71178240741</v>
      </c>
      <c r="C7801" s="1" t="n">
        <v>46086</v>
      </c>
      <c r="D7801" t="inlineStr">
        <is>
          <t>GÄVLEBORGS LÄN</t>
        </is>
      </c>
      <c r="E7801" t="inlineStr">
        <is>
          <t>BOLLNÄS</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15929-2021</t>
        </is>
      </c>
      <c r="B7802" s="1" t="n">
        <v>44287</v>
      </c>
      <c r="C7802" s="1" t="n">
        <v>46086</v>
      </c>
      <c r="D7802" t="inlineStr">
        <is>
          <t>GÄVLEBORGS LÄN</t>
        </is>
      </c>
      <c r="E7802" t="inlineStr">
        <is>
          <t>SÖDERHAMN</t>
        </is>
      </c>
      <c r="G7802" t="n">
        <v>0.3</v>
      </c>
      <c r="H7802" t="n">
        <v>0</v>
      </c>
      <c r="I7802" t="n">
        <v>0</v>
      </c>
      <c r="J7802" t="n">
        <v>0</v>
      </c>
      <c r="K7802" t="n">
        <v>0</v>
      </c>
      <c r="L7802" t="n">
        <v>0</v>
      </c>
      <c r="M7802" t="n">
        <v>0</v>
      </c>
      <c r="N7802" t="n">
        <v>0</v>
      </c>
      <c r="O7802" t="n">
        <v>0</v>
      </c>
      <c r="P7802" t="n">
        <v>0</v>
      </c>
      <c r="Q7802" t="n">
        <v>0</v>
      </c>
      <c r="R7802" s="2" t="inlineStr"/>
    </row>
    <row r="7803" ht="15" customHeight="1">
      <c r="A7803" t="inlineStr">
        <is>
          <t>A 5400-2026</t>
        </is>
      </c>
      <c r="B7803" s="1" t="n">
        <v>46050.49166666667</v>
      </c>
      <c r="C7803" s="1" t="n">
        <v>46086</v>
      </c>
      <c r="D7803" t="inlineStr">
        <is>
          <t>GÄVLEBORGS LÄN</t>
        </is>
      </c>
      <c r="E7803" t="inlineStr">
        <is>
          <t>LJUSDAL</t>
        </is>
      </c>
      <c r="G7803" t="n">
        <v>10.3</v>
      </c>
      <c r="H7803" t="n">
        <v>0</v>
      </c>
      <c r="I7803" t="n">
        <v>0</v>
      </c>
      <c r="J7803" t="n">
        <v>0</v>
      </c>
      <c r="K7803" t="n">
        <v>0</v>
      </c>
      <c r="L7803" t="n">
        <v>0</v>
      </c>
      <c r="M7803" t="n">
        <v>0</v>
      </c>
      <c r="N7803" t="n">
        <v>0</v>
      </c>
      <c r="O7803" t="n">
        <v>0</v>
      </c>
      <c r="P7803" t="n">
        <v>0</v>
      </c>
      <c r="Q7803" t="n">
        <v>0</v>
      </c>
      <c r="R7803" s="2" t="inlineStr"/>
    </row>
    <row r="7804" ht="15" customHeight="1">
      <c r="A7804" t="inlineStr">
        <is>
          <t>A 5405-2026</t>
        </is>
      </c>
      <c r="B7804" s="1" t="n">
        <v>46050.50726851852</v>
      </c>
      <c r="C7804" s="1" t="n">
        <v>46086</v>
      </c>
      <c r="D7804" t="inlineStr">
        <is>
          <t>GÄVLEBORGS LÄN</t>
        </is>
      </c>
      <c r="E7804" t="inlineStr">
        <is>
          <t>OVANÅKER</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5415-2026</t>
        </is>
      </c>
      <c r="B7805" s="1" t="n">
        <v>46050.53388888889</v>
      </c>
      <c r="C7805" s="1" t="n">
        <v>46086</v>
      </c>
      <c r="D7805" t="inlineStr">
        <is>
          <t>GÄVLEBORGS LÄN</t>
        </is>
      </c>
      <c r="E7805" t="inlineStr">
        <is>
          <t>NORDANSTIG</t>
        </is>
      </c>
      <c r="G7805" t="n">
        <v>7.2</v>
      </c>
      <c r="H7805" t="n">
        <v>0</v>
      </c>
      <c r="I7805" t="n">
        <v>0</v>
      </c>
      <c r="J7805" t="n">
        <v>0</v>
      </c>
      <c r="K7805" t="n">
        <v>0</v>
      </c>
      <c r="L7805" t="n">
        <v>0</v>
      </c>
      <c r="M7805" t="n">
        <v>0</v>
      </c>
      <c r="N7805" t="n">
        <v>0</v>
      </c>
      <c r="O7805" t="n">
        <v>0</v>
      </c>
      <c r="P7805" t="n">
        <v>0</v>
      </c>
      <c r="Q7805" t="n">
        <v>0</v>
      </c>
      <c r="R7805" s="2" t="inlineStr"/>
    </row>
    <row r="7806" ht="15" customHeight="1">
      <c r="A7806" t="inlineStr">
        <is>
          <t>A 62914-2025</t>
        </is>
      </c>
      <c r="B7806" s="1" t="n">
        <v>46009.36662037037</v>
      </c>
      <c r="C7806" s="1" t="n">
        <v>46086</v>
      </c>
      <c r="D7806" t="inlineStr">
        <is>
          <t>GÄVLEBORGS LÄN</t>
        </is>
      </c>
      <c r="E7806" t="inlineStr">
        <is>
          <t>OCKELBO</t>
        </is>
      </c>
      <c r="G7806" t="n">
        <v>2.4</v>
      </c>
      <c r="H7806" t="n">
        <v>0</v>
      </c>
      <c r="I7806" t="n">
        <v>0</v>
      </c>
      <c r="J7806" t="n">
        <v>0</v>
      </c>
      <c r="K7806" t="n">
        <v>0</v>
      </c>
      <c r="L7806" t="n">
        <v>0</v>
      </c>
      <c r="M7806" t="n">
        <v>0</v>
      </c>
      <c r="N7806" t="n">
        <v>0</v>
      </c>
      <c r="O7806" t="n">
        <v>0</v>
      </c>
      <c r="P7806" t="n">
        <v>0</v>
      </c>
      <c r="Q7806" t="n">
        <v>0</v>
      </c>
      <c r="R7806" s="2" t="inlineStr"/>
    </row>
    <row r="7807" ht="15" customHeight="1">
      <c r="A7807" t="inlineStr">
        <is>
          <t>A 22275-2024</t>
        </is>
      </c>
      <c r="B7807" s="1" t="n">
        <v>45446.54258101852</v>
      </c>
      <c r="C7807" s="1" t="n">
        <v>46086</v>
      </c>
      <c r="D7807" t="inlineStr">
        <is>
          <t>GÄVLEBORGS LÄN</t>
        </is>
      </c>
      <c r="E7807" t="inlineStr">
        <is>
          <t>SANDVIKEN</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28708-2021</t>
        </is>
      </c>
      <c r="B7808" s="1" t="n">
        <v>44357</v>
      </c>
      <c r="C7808" s="1" t="n">
        <v>46086</v>
      </c>
      <c r="D7808" t="inlineStr">
        <is>
          <t>GÄVLEBORGS LÄN</t>
        </is>
      </c>
      <c r="E7808" t="inlineStr">
        <is>
          <t>HUDIKSVALL</t>
        </is>
      </c>
      <c r="G7808" t="n">
        <v>5.5</v>
      </c>
      <c r="H7808" t="n">
        <v>0</v>
      </c>
      <c r="I7808" t="n">
        <v>0</v>
      </c>
      <c r="J7808" t="n">
        <v>0</v>
      </c>
      <c r="K7808" t="n">
        <v>0</v>
      </c>
      <c r="L7808" t="n">
        <v>0</v>
      </c>
      <c r="M7808" t="n">
        <v>0</v>
      </c>
      <c r="N7808" t="n">
        <v>0</v>
      </c>
      <c r="O7808" t="n">
        <v>0</v>
      </c>
      <c r="P7808" t="n">
        <v>0</v>
      </c>
      <c r="Q7808" t="n">
        <v>0</v>
      </c>
      <c r="R7808" s="2" t="inlineStr"/>
    </row>
    <row r="7809" ht="15" customHeight="1">
      <c r="A7809" t="inlineStr">
        <is>
          <t>A 5505-2026</t>
        </is>
      </c>
      <c r="B7809" s="1" t="n">
        <v>46050.62649305556</v>
      </c>
      <c r="C7809" s="1" t="n">
        <v>46086</v>
      </c>
      <c r="D7809" t="inlineStr">
        <is>
          <t>GÄVLEBORGS LÄN</t>
        </is>
      </c>
      <c r="E7809" t="inlineStr">
        <is>
          <t>BOLLNÄS</t>
        </is>
      </c>
      <c r="G7809" t="n">
        <v>5</v>
      </c>
      <c r="H7809" t="n">
        <v>0</v>
      </c>
      <c r="I7809" t="n">
        <v>0</v>
      </c>
      <c r="J7809" t="n">
        <v>0</v>
      </c>
      <c r="K7809" t="n">
        <v>0</v>
      </c>
      <c r="L7809" t="n">
        <v>0</v>
      </c>
      <c r="M7809" t="n">
        <v>0</v>
      </c>
      <c r="N7809" t="n">
        <v>0</v>
      </c>
      <c r="O7809" t="n">
        <v>0</v>
      </c>
      <c r="P7809" t="n">
        <v>0</v>
      </c>
      <c r="Q7809" t="n">
        <v>0</v>
      </c>
      <c r="R7809" s="2" t="inlineStr"/>
    </row>
    <row r="7810" ht="15" customHeight="1">
      <c r="A7810" t="inlineStr">
        <is>
          <t>A 5547-2026</t>
        </is>
      </c>
      <c r="B7810" s="1" t="n">
        <v>46050.70633101852</v>
      </c>
      <c r="C7810" s="1" t="n">
        <v>46086</v>
      </c>
      <c r="D7810" t="inlineStr">
        <is>
          <t>GÄVLEBORGS LÄN</t>
        </is>
      </c>
      <c r="E7810" t="inlineStr">
        <is>
          <t>SANDVIKEN</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5327-2026</t>
        </is>
      </c>
      <c r="B7811" s="1" t="n">
        <v>46050.39554398148</v>
      </c>
      <c r="C7811" s="1" t="n">
        <v>46086</v>
      </c>
      <c r="D7811" t="inlineStr">
        <is>
          <t>GÄVLEBORGS LÄN</t>
        </is>
      </c>
      <c r="E7811" t="inlineStr">
        <is>
          <t>OCKELBO</t>
        </is>
      </c>
      <c r="F7811" t="inlineStr">
        <is>
          <t>Bergvik skog väst AB</t>
        </is>
      </c>
      <c r="G7811" t="n">
        <v>4.5</v>
      </c>
      <c r="H7811" t="n">
        <v>0</v>
      </c>
      <c r="I7811" t="n">
        <v>0</v>
      </c>
      <c r="J7811" t="n">
        <v>0</v>
      </c>
      <c r="K7811" t="n">
        <v>0</v>
      </c>
      <c r="L7811" t="n">
        <v>0</v>
      </c>
      <c r="M7811" t="n">
        <v>0</v>
      </c>
      <c r="N7811" t="n">
        <v>0</v>
      </c>
      <c r="O7811" t="n">
        <v>0</v>
      </c>
      <c r="P7811" t="n">
        <v>0</v>
      </c>
      <c r="Q7811" t="n">
        <v>0</v>
      </c>
      <c r="R7811" s="2" t="inlineStr"/>
    </row>
    <row r="7812" ht="15" customHeight="1">
      <c r="A7812" t="inlineStr">
        <is>
          <t>A 5330-2026</t>
        </is>
      </c>
      <c r="B7812" s="1" t="n">
        <v>46050.40049768519</v>
      </c>
      <c r="C7812" s="1" t="n">
        <v>46086</v>
      </c>
      <c r="D7812" t="inlineStr">
        <is>
          <t>GÄVLEBORGS LÄN</t>
        </is>
      </c>
      <c r="E7812" t="inlineStr">
        <is>
          <t>OCKELBO</t>
        </is>
      </c>
      <c r="F7812" t="inlineStr">
        <is>
          <t>Bergvik skog väst AB</t>
        </is>
      </c>
      <c r="G7812" t="n">
        <v>7.8</v>
      </c>
      <c r="H7812" t="n">
        <v>0</v>
      </c>
      <c r="I7812" t="n">
        <v>0</v>
      </c>
      <c r="J7812" t="n">
        <v>0</v>
      </c>
      <c r="K7812" t="n">
        <v>0</v>
      </c>
      <c r="L7812" t="n">
        <v>0</v>
      </c>
      <c r="M7812" t="n">
        <v>0</v>
      </c>
      <c r="N7812" t="n">
        <v>0</v>
      </c>
      <c r="O7812" t="n">
        <v>0</v>
      </c>
      <c r="P7812" t="n">
        <v>0</v>
      </c>
      <c r="Q7812" t="n">
        <v>0</v>
      </c>
      <c r="R7812" s="2" t="inlineStr"/>
    </row>
    <row r="7813" ht="15" customHeight="1">
      <c r="A7813" t="inlineStr">
        <is>
          <t>A 64835-2021</t>
        </is>
      </c>
      <c r="B7813" s="1" t="n">
        <v>44512.56263888889</v>
      </c>
      <c r="C7813" s="1" t="n">
        <v>46086</v>
      </c>
      <c r="D7813" t="inlineStr">
        <is>
          <t>GÄVLEBORGS LÄN</t>
        </is>
      </c>
      <c r="E7813" t="inlineStr">
        <is>
          <t>NORDANSTIG</t>
        </is>
      </c>
      <c r="F7813" t="inlineStr">
        <is>
          <t>Holmen skog AB</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1199-2026</t>
        </is>
      </c>
      <c r="B7814" s="1" t="n">
        <v>46031</v>
      </c>
      <c r="C7814" s="1" t="n">
        <v>46086</v>
      </c>
      <c r="D7814" t="inlineStr">
        <is>
          <t>GÄVLEBORGS LÄN</t>
        </is>
      </c>
      <c r="E7814" t="inlineStr">
        <is>
          <t>BOLLNÄS</t>
        </is>
      </c>
      <c r="G7814" t="n">
        <v>5.4</v>
      </c>
      <c r="H7814" t="n">
        <v>0</v>
      </c>
      <c r="I7814" t="n">
        <v>0</v>
      </c>
      <c r="J7814" t="n">
        <v>0</v>
      </c>
      <c r="K7814" t="n">
        <v>0</v>
      </c>
      <c r="L7814" t="n">
        <v>0</v>
      </c>
      <c r="M7814" t="n">
        <v>0</v>
      </c>
      <c r="N7814" t="n">
        <v>0</v>
      </c>
      <c r="O7814" t="n">
        <v>0</v>
      </c>
      <c r="P7814" t="n">
        <v>0</v>
      </c>
      <c r="Q7814" t="n">
        <v>0</v>
      </c>
      <c r="R7814" s="2" t="inlineStr"/>
    </row>
    <row r="7815" ht="15" customHeight="1">
      <c r="A7815" t="inlineStr">
        <is>
          <t>A 5626-2026</t>
        </is>
      </c>
      <c r="B7815" s="1" t="n">
        <v>46051.39127314815</v>
      </c>
      <c r="C7815" s="1" t="n">
        <v>46086</v>
      </c>
      <c r="D7815" t="inlineStr">
        <is>
          <t>GÄVLEBORGS LÄN</t>
        </is>
      </c>
      <c r="E7815" t="inlineStr">
        <is>
          <t>BOLLNÄS</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5567-2026</t>
        </is>
      </c>
      <c r="B7816" s="1" t="n">
        <v>46050.86637731481</v>
      </c>
      <c r="C7816" s="1" t="n">
        <v>46086</v>
      </c>
      <c r="D7816" t="inlineStr">
        <is>
          <t>GÄVLEBORGS LÄN</t>
        </is>
      </c>
      <c r="E7816" t="inlineStr">
        <is>
          <t>SANDVIKEN</t>
        </is>
      </c>
      <c r="G7816" t="n">
        <v>4.8</v>
      </c>
      <c r="H7816" t="n">
        <v>0</v>
      </c>
      <c r="I7816" t="n">
        <v>0</v>
      </c>
      <c r="J7816" t="n">
        <v>0</v>
      </c>
      <c r="K7816" t="n">
        <v>0</v>
      </c>
      <c r="L7816" t="n">
        <v>0</v>
      </c>
      <c r="M7816" t="n">
        <v>0</v>
      </c>
      <c r="N7816" t="n">
        <v>0</v>
      </c>
      <c r="O7816" t="n">
        <v>0</v>
      </c>
      <c r="P7816" t="n">
        <v>0</v>
      </c>
      <c r="Q7816" t="n">
        <v>0</v>
      </c>
      <c r="R7816" s="2" t="inlineStr"/>
    </row>
    <row r="7817" ht="15" customHeight="1">
      <c r="A7817" t="inlineStr">
        <is>
          <t>A 4384-2026</t>
        </is>
      </c>
      <c r="B7817" s="1" t="n">
        <v>46045</v>
      </c>
      <c r="C7817" s="1" t="n">
        <v>46086</v>
      </c>
      <c r="D7817" t="inlineStr">
        <is>
          <t>GÄVLEBORGS LÄN</t>
        </is>
      </c>
      <c r="E7817" t="inlineStr">
        <is>
          <t>NORDANSTIG</t>
        </is>
      </c>
      <c r="G7817" t="n">
        <v>3.8</v>
      </c>
      <c r="H7817" t="n">
        <v>0</v>
      </c>
      <c r="I7817" t="n">
        <v>0</v>
      </c>
      <c r="J7817" t="n">
        <v>0</v>
      </c>
      <c r="K7817" t="n">
        <v>0</v>
      </c>
      <c r="L7817" t="n">
        <v>0</v>
      </c>
      <c r="M7817" t="n">
        <v>0</v>
      </c>
      <c r="N7817" t="n">
        <v>0</v>
      </c>
      <c r="O7817" t="n">
        <v>0</v>
      </c>
      <c r="P7817" t="n">
        <v>0</v>
      </c>
      <c r="Q7817" t="n">
        <v>0</v>
      </c>
      <c r="R7817" s="2" t="inlineStr"/>
    </row>
    <row r="7818" ht="15" customHeight="1">
      <c r="A7818" t="inlineStr">
        <is>
          <t>A 4477-2026</t>
        </is>
      </c>
      <c r="B7818" s="1" t="n">
        <v>46045.6671875</v>
      </c>
      <c r="C7818" s="1" t="n">
        <v>46086</v>
      </c>
      <c r="D7818" t="inlineStr">
        <is>
          <t>GÄVLEBORGS LÄN</t>
        </is>
      </c>
      <c r="E7818" t="inlineStr">
        <is>
          <t>LJUSDAL</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7662-2023</t>
        </is>
      </c>
      <c r="B7819" s="1" t="n">
        <v>44972.65109953703</v>
      </c>
      <c r="C7819" s="1" t="n">
        <v>46086</v>
      </c>
      <c r="D7819" t="inlineStr">
        <is>
          <t>GÄVLEBORGS LÄN</t>
        </is>
      </c>
      <c r="E7819" t="inlineStr">
        <is>
          <t>HUDIKSVALL</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5388-2024</t>
        </is>
      </c>
      <c r="B7820" s="1" t="n">
        <v>45331</v>
      </c>
      <c r="C7820" s="1" t="n">
        <v>46086</v>
      </c>
      <c r="D7820" t="inlineStr">
        <is>
          <t>GÄVLEBORGS LÄN</t>
        </is>
      </c>
      <c r="E7820" t="inlineStr">
        <is>
          <t>BOLLNÄS</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6188-2024</t>
        </is>
      </c>
      <c r="B7821" s="1" t="n">
        <v>45337</v>
      </c>
      <c r="C7821" s="1" t="n">
        <v>46086</v>
      </c>
      <c r="D7821" t="inlineStr">
        <is>
          <t>GÄVLEBORGS LÄN</t>
        </is>
      </c>
      <c r="E7821" t="inlineStr">
        <is>
          <t>OVANÅKER</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5247-2026</t>
        </is>
      </c>
      <c r="B7822" s="1" t="n">
        <v>46049.89538194444</v>
      </c>
      <c r="C7822" s="1" t="n">
        <v>46086</v>
      </c>
      <c r="D7822" t="inlineStr">
        <is>
          <t>GÄVLEBORGS LÄN</t>
        </is>
      </c>
      <c r="E7822" t="inlineStr">
        <is>
          <t>SANDVIKEN</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5249-2026</t>
        </is>
      </c>
      <c r="B7823" s="1" t="n">
        <v>46049.90417824074</v>
      </c>
      <c r="C7823" s="1" t="n">
        <v>46086</v>
      </c>
      <c r="D7823" t="inlineStr">
        <is>
          <t>GÄVLEBORGS LÄN</t>
        </is>
      </c>
      <c r="E7823" t="inlineStr">
        <is>
          <t>HOFORS</t>
        </is>
      </c>
      <c r="G7823" t="n">
        <v>5.6</v>
      </c>
      <c r="H7823" t="n">
        <v>0</v>
      </c>
      <c r="I7823" t="n">
        <v>0</v>
      </c>
      <c r="J7823" t="n">
        <v>0</v>
      </c>
      <c r="K7823" t="n">
        <v>0</v>
      </c>
      <c r="L7823" t="n">
        <v>0</v>
      </c>
      <c r="M7823" t="n">
        <v>0</v>
      </c>
      <c r="N7823" t="n">
        <v>0</v>
      </c>
      <c r="O7823" t="n">
        <v>0</v>
      </c>
      <c r="P7823" t="n">
        <v>0</v>
      </c>
      <c r="Q7823" t="n">
        <v>0</v>
      </c>
      <c r="R7823" s="2" t="inlineStr"/>
    </row>
    <row r="7824" ht="15" customHeight="1">
      <c r="A7824" t="inlineStr">
        <is>
          <t>A 5255-2026</t>
        </is>
      </c>
      <c r="B7824" s="1" t="n">
        <v>46050.2746875</v>
      </c>
      <c r="C7824" s="1" t="n">
        <v>46086</v>
      </c>
      <c r="D7824" t="inlineStr">
        <is>
          <t>GÄVLEBORGS LÄN</t>
        </is>
      </c>
      <c r="E7824" t="inlineStr">
        <is>
          <t>BOLLNÄS</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5257-2026</t>
        </is>
      </c>
      <c r="B7825" s="1" t="n">
        <v>46050.29393518518</v>
      </c>
      <c r="C7825" s="1" t="n">
        <v>46086</v>
      </c>
      <c r="D7825" t="inlineStr">
        <is>
          <t>GÄVLEBORGS LÄN</t>
        </is>
      </c>
      <c r="E7825" t="inlineStr">
        <is>
          <t>SANDVIKEN</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24910-2024</t>
        </is>
      </c>
      <c r="B7826" s="1" t="n">
        <v>45461.59956018518</v>
      </c>
      <c r="C7826" s="1" t="n">
        <v>46086</v>
      </c>
      <c r="D7826" t="inlineStr">
        <is>
          <t>GÄVLEBORGS LÄN</t>
        </is>
      </c>
      <c r="E7826" t="inlineStr">
        <is>
          <t>SÖDERHAMN</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24911-2024</t>
        </is>
      </c>
      <c r="B7827" s="1" t="n">
        <v>45461.60027777778</v>
      </c>
      <c r="C7827" s="1" t="n">
        <v>46086</v>
      </c>
      <c r="D7827" t="inlineStr">
        <is>
          <t>GÄVLEBORGS LÄN</t>
        </is>
      </c>
      <c r="E7827" t="inlineStr">
        <is>
          <t>LJUSDAL</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5625-2026</t>
        </is>
      </c>
      <c r="B7828" s="1" t="n">
        <v>46051.38846064815</v>
      </c>
      <c r="C7828" s="1" t="n">
        <v>46086</v>
      </c>
      <c r="D7828" t="inlineStr">
        <is>
          <t>GÄVLEBORGS LÄN</t>
        </is>
      </c>
      <c r="E7828" t="inlineStr">
        <is>
          <t>BOLLNÄS</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5805-2026</t>
        </is>
      </c>
      <c r="B7829" s="1" t="n">
        <v>46051.79657407408</v>
      </c>
      <c r="C7829" s="1" t="n">
        <v>46086</v>
      </c>
      <c r="D7829" t="inlineStr">
        <is>
          <t>GÄVLEBORGS LÄN</t>
        </is>
      </c>
      <c r="E7829" t="inlineStr">
        <is>
          <t>OCKELBO</t>
        </is>
      </c>
      <c r="G7829" t="n">
        <v>3.9</v>
      </c>
      <c r="H7829" t="n">
        <v>0</v>
      </c>
      <c r="I7829" t="n">
        <v>0</v>
      </c>
      <c r="J7829" t="n">
        <v>0</v>
      </c>
      <c r="K7829" t="n">
        <v>0</v>
      </c>
      <c r="L7829" t="n">
        <v>0</v>
      </c>
      <c r="M7829" t="n">
        <v>0</v>
      </c>
      <c r="N7829" t="n">
        <v>0</v>
      </c>
      <c r="O7829" t="n">
        <v>0</v>
      </c>
      <c r="P7829" t="n">
        <v>0</v>
      </c>
      <c r="Q7829" t="n">
        <v>0</v>
      </c>
      <c r="R7829" s="2" t="inlineStr"/>
    </row>
    <row r="7830" ht="15" customHeight="1">
      <c r="A7830" t="inlineStr">
        <is>
          <t>A 5807-2026</t>
        </is>
      </c>
      <c r="B7830" s="1" t="n">
        <v>46051.82032407408</v>
      </c>
      <c r="C7830" s="1" t="n">
        <v>46086</v>
      </c>
      <c r="D7830" t="inlineStr">
        <is>
          <t>GÄVLEBORGS LÄN</t>
        </is>
      </c>
      <c r="E7830" t="inlineStr">
        <is>
          <t>BOLLNÄS</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5375-2026</t>
        </is>
      </c>
      <c r="B7831" s="1" t="n">
        <v>46050.45982638889</v>
      </c>
      <c r="C7831" s="1" t="n">
        <v>46086</v>
      </c>
      <c r="D7831" t="inlineStr">
        <is>
          <t>GÄVLEBORGS LÄN</t>
        </is>
      </c>
      <c r="E7831" t="inlineStr">
        <is>
          <t>OCKELBO</t>
        </is>
      </c>
      <c r="F7831" t="inlineStr">
        <is>
          <t>Bergvik skog väst AB</t>
        </is>
      </c>
      <c r="G7831" t="n">
        <v>6.1</v>
      </c>
      <c r="H7831" t="n">
        <v>0</v>
      </c>
      <c r="I7831" t="n">
        <v>0</v>
      </c>
      <c r="J7831" t="n">
        <v>0</v>
      </c>
      <c r="K7831" t="n">
        <v>0</v>
      </c>
      <c r="L7831" t="n">
        <v>0</v>
      </c>
      <c r="M7831" t="n">
        <v>0</v>
      </c>
      <c r="N7831" t="n">
        <v>0</v>
      </c>
      <c r="O7831" t="n">
        <v>0</v>
      </c>
      <c r="P7831" t="n">
        <v>0</v>
      </c>
      <c r="Q7831" t="n">
        <v>0</v>
      </c>
      <c r="R7831" s="2" t="inlineStr"/>
    </row>
    <row r="7832" ht="15" customHeight="1">
      <c r="A7832" t="inlineStr">
        <is>
          <t>A 5250-2026</t>
        </is>
      </c>
      <c r="B7832" s="1" t="n">
        <v>46049.91325231481</v>
      </c>
      <c r="C7832" s="1" t="n">
        <v>46086</v>
      </c>
      <c r="D7832" t="inlineStr">
        <is>
          <t>GÄVLEBORGS LÄN</t>
        </is>
      </c>
      <c r="E7832" t="inlineStr">
        <is>
          <t>HUDIKSVALL</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5355-2026</t>
        </is>
      </c>
      <c r="B7833" s="1" t="n">
        <v>46050.44456018518</v>
      </c>
      <c r="C7833" s="1" t="n">
        <v>46086</v>
      </c>
      <c r="D7833" t="inlineStr">
        <is>
          <t>GÄVLEBORGS LÄN</t>
        </is>
      </c>
      <c r="E7833" t="inlineStr">
        <is>
          <t>BOLLNÄS</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5522-2026</t>
        </is>
      </c>
      <c r="B7834" s="1" t="n">
        <v>46050.64880787037</v>
      </c>
      <c r="C7834" s="1" t="n">
        <v>46086</v>
      </c>
      <c r="D7834" t="inlineStr">
        <is>
          <t>GÄVLEBORGS LÄN</t>
        </is>
      </c>
      <c r="E7834" t="inlineStr">
        <is>
          <t>BOLLNÄS</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5526-2026</t>
        </is>
      </c>
      <c r="B7835" s="1" t="n">
        <v>46050.6524537037</v>
      </c>
      <c r="C7835" s="1" t="n">
        <v>46086</v>
      </c>
      <c r="D7835" t="inlineStr">
        <is>
          <t>GÄVLEBORGS LÄN</t>
        </is>
      </c>
      <c r="E7835" t="inlineStr">
        <is>
          <t>BOLLNÄS</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5422-2026</t>
        </is>
      </c>
      <c r="B7836" s="1" t="n">
        <v>46050.54231481482</v>
      </c>
      <c r="C7836" s="1" t="n">
        <v>46086</v>
      </c>
      <c r="D7836" t="inlineStr">
        <is>
          <t>GÄVLEBORGS LÄN</t>
        </is>
      </c>
      <c r="E7836" t="inlineStr">
        <is>
          <t>NORDANSTIG</t>
        </is>
      </c>
      <c r="F7836" t="inlineStr">
        <is>
          <t>Holmen skog AB</t>
        </is>
      </c>
      <c r="G7836" t="n">
        <v>23.8</v>
      </c>
      <c r="H7836" t="n">
        <v>0</v>
      </c>
      <c r="I7836" t="n">
        <v>0</v>
      </c>
      <c r="J7836" t="n">
        <v>0</v>
      </c>
      <c r="K7836" t="n">
        <v>0</v>
      </c>
      <c r="L7836" t="n">
        <v>0</v>
      </c>
      <c r="M7836" t="n">
        <v>0</v>
      </c>
      <c r="N7836" t="n">
        <v>0</v>
      </c>
      <c r="O7836" t="n">
        <v>0</v>
      </c>
      <c r="P7836" t="n">
        <v>0</v>
      </c>
      <c r="Q7836" t="n">
        <v>0</v>
      </c>
      <c r="R7836" s="2" t="inlineStr"/>
    </row>
    <row r="7837" ht="15" customHeight="1">
      <c r="A7837" t="inlineStr">
        <is>
          <t>A 5429-2026</t>
        </is>
      </c>
      <c r="B7837" s="1" t="n">
        <v>46050.55069444444</v>
      </c>
      <c r="C7837" s="1" t="n">
        <v>46086</v>
      </c>
      <c r="D7837" t="inlineStr">
        <is>
          <t>GÄVLEBORGS LÄN</t>
        </is>
      </c>
      <c r="E7837" t="inlineStr">
        <is>
          <t>GÄVLE</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1194-2026</t>
        </is>
      </c>
      <c r="B7838" s="1" t="n">
        <v>46031</v>
      </c>
      <c r="C7838" s="1" t="n">
        <v>46086</v>
      </c>
      <c r="D7838" t="inlineStr">
        <is>
          <t>GÄVLEBORGS LÄN</t>
        </is>
      </c>
      <c r="E7838" t="inlineStr">
        <is>
          <t>BOLLNÄS</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5653-2026</t>
        </is>
      </c>
      <c r="B7839" s="1" t="n">
        <v>46051.43722222222</v>
      </c>
      <c r="C7839" s="1" t="n">
        <v>46086</v>
      </c>
      <c r="D7839" t="inlineStr">
        <is>
          <t>GÄVLEBORGS LÄN</t>
        </is>
      </c>
      <c r="E7839" t="inlineStr">
        <is>
          <t>BOLLNÄS</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5135-2022</t>
        </is>
      </c>
      <c r="B7840" s="1" t="n">
        <v>44594.32063657408</v>
      </c>
      <c r="C7840" s="1" t="n">
        <v>46086</v>
      </c>
      <c r="D7840" t="inlineStr">
        <is>
          <t>GÄVLEBORGS LÄN</t>
        </is>
      </c>
      <c r="E7840" t="inlineStr">
        <is>
          <t>BOLLNÄS</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5309-2026</t>
        </is>
      </c>
      <c r="B7841" s="1" t="n">
        <v>46050.36358796297</v>
      </c>
      <c r="C7841" s="1" t="n">
        <v>46086</v>
      </c>
      <c r="D7841" t="inlineStr">
        <is>
          <t>GÄVLEBORGS LÄN</t>
        </is>
      </c>
      <c r="E7841" t="inlineStr">
        <is>
          <t>OCKELBO</t>
        </is>
      </c>
      <c r="F7841" t="inlineStr">
        <is>
          <t>Bergvik skog väst AB</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5323-2026</t>
        </is>
      </c>
      <c r="B7842" s="1" t="n">
        <v>46050.38971064815</v>
      </c>
      <c r="C7842" s="1" t="n">
        <v>46086</v>
      </c>
      <c r="D7842" t="inlineStr">
        <is>
          <t>GÄVLEBORGS LÄN</t>
        </is>
      </c>
      <c r="E7842" t="inlineStr">
        <is>
          <t>OCKELBO</t>
        </is>
      </c>
      <c r="F7842" t="inlineStr">
        <is>
          <t>Bergvik skog väst AB</t>
        </is>
      </c>
      <c r="G7842" t="n">
        <v>6.7</v>
      </c>
      <c r="H7842" t="n">
        <v>0</v>
      </c>
      <c r="I7842" t="n">
        <v>0</v>
      </c>
      <c r="J7842" t="n">
        <v>0</v>
      </c>
      <c r="K7842" t="n">
        <v>0</v>
      </c>
      <c r="L7842" t="n">
        <v>0</v>
      </c>
      <c r="M7842" t="n">
        <v>0</v>
      </c>
      <c r="N7842" t="n">
        <v>0</v>
      </c>
      <c r="O7842" t="n">
        <v>0</v>
      </c>
      <c r="P7842" t="n">
        <v>0</v>
      </c>
      <c r="Q7842" t="n">
        <v>0</v>
      </c>
      <c r="R7842" s="2" t="inlineStr"/>
    </row>
    <row r="7843" ht="15" customHeight="1">
      <c r="A7843" t="inlineStr">
        <is>
          <t>A 18244-2024</t>
        </is>
      </c>
      <c r="B7843" s="1" t="n">
        <v>45421.353125</v>
      </c>
      <c r="C7843" s="1" t="n">
        <v>46086</v>
      </c>
      <c r="D7843" t="inlineStr">
        <is>
          <t>GÄVLEBORGS LÄN</t>
        </is>
      </c>
      <c r="E7843" t="inlineStr">
        <is>
          <t>OVANÅKER</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55460-2024</t>
        </is>
      </c>
      <c r="B7844" s="1" t="n">
        <v>45622</v>
      </c>
      <c r="C7844" s="1" t="n">
        <v>46086</v>
      </c>
      <c r="D7844" t="inlineStr">
        <is>
          <t>GÄVLEBORGS LÄN</t>
        </is>
      </c>
      <c r="E7844" t="inlineStr">
        <is>
          <t>HUDIKSVALL</t>
        </is>
      </c>
      <c r="F7844" t="inlineStr">
        <is>
          <t>Holmen skog AB</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63067-2025</t>
        </is>
      </c>
      <c r="B7845" s="1" t="n">
        <v>46009.65648148148</v>
      </c>
      <c r="C7845" s="1" t="n">
        <v>46086</v>
      </c>
      <c r="D7845" t="inlineStr">
        <is>
          <t>GÄVLEBORGS LÄN</t>
        </is>
      </c>
      <c r="E7845" t="inlineStr">
        <is>
          <t>HUDIKSVALL</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62742-2025</t>
        </is>
      </c>
      <c r="B7846" s="1" t="n">
        <v>46008.57488425926</v>
      </c>
      <c r="C7846" s="1" t="n">
        <v>46086</v>
      </c>
      <c r="D7846" t="inlineStr">
        <is>
          <t>GÄVLEBORGS LÄN</t>
        </is>
      </c>
      <c r="E7846" t="inlineStr">
        <is>
          <t>GÄVLE</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57463-2023</t>
        </is>
      </c>
      <c r="B7847" s="1" t="n">
        <v>45246.36513888889</v>
      </c>
      <c r="C7847" s="1" t="n">
        <v>46086</v>
      </c>
      <c r="D7847" t="inlineStr">
        <is>
          <t>GÄVLEBORGS LÄN</t>
        </is>
      </c>
      <c r="E7847" t="inlineStr">
        <is>
          <t>NORDANSTIG</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32353-2024</t>
        </is>
      </c>
      <c r="B7848" s="1" t="n">
        <v>45512.54998842593</v>
      </c>
      <c r="C7848" s="1" t="n">
        <v>46086</v>
      </c>
      <c r="D7848" t="inlineStr">
        <is>
          <t>GÄVLEBORGS LÄN</t>
        </is>
      </c>
      <c r="E7848" t="inlineStr">
        <is>
          <t>HUDIKSVALL</t>
        </is>
      </c>
      <c r="F7848" t="inlineStr">
        <is>
          <t>Holmen skog AB</t>
        </is>
      </c>
      <c r="G7848" t="n">
        <v>2.1</v>
      </c>
      <c r="H7848" t="n">
        <v>0</v>
      </c>
      <c r="I7848" t="n">
        <v>0</v>
      </c>
      <c r="J7848" t="n">
        <v>0</v>
      </c>
      <c r="K7848" t="n">
        <v>0</v>
      </c>
      <c r="L7848" t="n">
        <v>0</v>
      </c>
      <c r="M7848" t="n">
        <v>0</v>
      </c>
      <c r="N7848" t="n">
        <v>0</v>
      </c>
      <c r="O7848" t="n">
        <v>0</v>
      </c>
      <c r="P7848" t="n">
        <v>0</v>
      </c>
      <c r="Q7848" t="n">
        <v>0</v>
      </c>
      <c r="R7848" s="2" t="inlineStr"/>
    </row>
    <row r="7849" ht="15" customHeight="1">
      <c r="A7849" t="inlineStr">
        <is>
          <t>A 71995-2021</t>
        </is>
      </c>
      <c r="B7849" s="1" t="n">
        <v>44544.38899305555</v>
      </c>
      <c r="C7849" s="1" t="n">
        <v>46086</v>
      </c>
      <c r="D7849" t="inlineStr">
        <is>
          <t>GÄVLEBORGS LÄN</t>
        </is>
      </c>
      <c r="E7849" t="inlineStr">
        <is>
          <t>SANDVIKEN</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5382-2026</t>
        </is>
      </c>
      <c r="B7850" s="1" t="n">
        <v>46050.46310185185</v>
      </c>
      <c r="C7850" s="1" t="n">
        <v>46086</v>
      </c>
      <c r="D7850" t="inlineStr">
        <is>
          <t>GÄVLEBORGS LÄN</t>
        </is>
      </c>
      <c r="E7850" t="inlineStr">
        <is>
          <t>OCKELBO</t>
        </is>
      </c>
      <c r="F7850" t="inlineStr">
        <is>
          <t>Bergvik skog väst AB</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24083-2025</t>
        </is>
      </c>
      <c r="B7851" s="1" t="n">
        <v>45796</v>
      </c>
      <c r="C7851" s="1" t="n">
        <v>46086</v>
      </c>
      <c r="D7851" t="inlineStr">
        <is>
          <t>GÄVLEBORGS LÄN</t>
        </is>
      </c>
      <c r="E7851" t="inlineStr">
        <is>
          <t>SÖDERHAMN</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5456-2026</t>
        </is>
      </c>
      <c r="B7852" s="1" t="n">
        <v>46050.58849537037</v>
      </c>
      <c r="C7852" s="1" t="n">
        <v>46086</v>
      </c>
      <c r="D7852" t="inlineStr">
        <is>
          <t>GÄVLEBORGS LÄN</t>
        </is>
      </c>
      <c r="E7852" t="inlineStr">
        <is>
          <t>NORDANSTIG</t>
        </is>
      </c>
      <c r="F7852" t="inlineStr">
        <is>
          <t>Holmen skog AB</t>
        </is>
      </c>
      <c r="G7852" t="n">
        <v>7.5</v>
      </c>
      <c r="H7852" t="n">
        <v>0</v>
      </c>
      <c r="I7852" t="n">
        <v>0</v>
      </c>
      <c r="J7852" t="n">
        <v>0</v>
      </c>
      <c r="K7852" t="n">
        <v>0</v>
      </c>
      <c r="L7852" t="n">
        <v>0</v>
      </c>
      <c r="M7852" t="n">
        <v>0</v>
      </c>
      <c r="N7852" t="n">
        <v>0</v>
      </c>
      <c r="O7852" t="n">
        <v>0</v>
      </c>
      <c r="P7852" t="n">
        <v>0</v>
      </c>
      <c r="Q7852" t="n">
        <v>0</v>
      </c>
      <c r="R7852" s="2" t="inlineStr"/>
    </row>
    <row r="7853" ht="15" customHeight="1">
      <c r="A7853" t="inlineStr">
        <is>
          <t>A 5524-2026</t>
        </is>
      </c>
      <c r="B7853" s="1" t="n">
        <v>46050.64997685186</v>
      </c>
      <c r="C7853" s="1" t="n">
        <v>46086</v>
      </c>
      <c r="D7853" t="inlineStr">
        <is>
          <t>GÄVLEBORGS LÄN</t>
        </is>
      </c>
      <c r="E7853" t="inlineStr">
        <is>
          <t>BOLLNÄS</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5583-2026</t>
        </is>
      </c>
      <c r="B7854" s="1" t="n">
        <v>46051.31039351852</v>
      </c>
      <c r="C7854" s="1" t="n">
        <v>46086</v>
      </c>
      <c r="D7854" t="inlineStr">
        <is>
          <t>GÄVLEBORGS LÄN</t>
        </is>
      </c>
      <c r="E7854" t="inlineStr">
        <is>
          <t>OVANÅKER</t>
        </is>
      </c>
      <c r="G7854" t="n">
        <v>4.2</v>
      </c>
      <c r="H7854" t="n">
        <v>0</v>
      </c>
      <c r="I7854" t="n">
        <v>0</v>
      </c>
      <c r="J7854" t="n">
        <v>0</v>
      </c>
      <c r="K7854" t="n">
        <v>0</v>
      </c>
      <c r="L7854" t="n">
        <v>0</v>
      </c>
      <c r="M7854" t="n">
        <v>0</v>
      </c>
      <c r="N7854" t="n">
        <v>0</v>
      </c>
      <c r="O7854" t="n">
        <v>0</v>
      </c>
      <c r="P7854" t="n">
        <v>0</v>
      </c>
      <c r="Q7854" t="n">
        <v>0</v>
      </c>
      <c r="R7854" s="2" t="inlineStr"/>
    </row>
    <row r="7855" ht="15" customHeight="1">
      <c r="A7855" t="inlineStr">
        <is>
          <t>A 5595-2026</t>
        </is>
      </c>
      <c r="B7855" s="1" t="n">
        <v>46051.33133101852</v>
      </c>
      <c r="C7855" s="1" t="n">
        <v>46086</v>
      </c>
      <c r="D7855" t="inlineStr">
        <is>
          <t>GÄVLEBORGS LÄN</t>
        </is>
      </c>
      <c r="E7855" t="inlineStr">
        <is>
          <t>OVANÅKER</t>
        </is>
      </c>
      <c r="G7855" t="n">
        <v>3.3</v>
      </c>
      <c r="H7855" t="n">
        <v>0</v>
      </c>
      <c r="I7855" t="n">
        <v>0</v>
      </c>
      <c r="J7855" t="n">
        <v>0</v>
      </c>
      <c r="K7855" t="n">
        <v>0</v>
      </c>
      <c r="L7855" t="n">
        <v>0</v>
      </c>
      <c r="M7855" t="n">
        <v>0</v>
      </c>
      <c r="N7855" t="n">
        <v>0</v>
      </c>
      <c r="O7855" t="n">
        <v>0</v>
      </c>
      <c r="P7855" t="n">
        <v>0</v>
      </c>
      <c r="Q7855" t="n">
        <v>0</v>
      </c>
      <c r="R7855" s="2" t="inlineStr"/>
    </row>
    <row r="7856" ht="15" customHeight="1">
      <c r="A7856" t="inlineStr">
        <is>
          <t>A 2458-2024</t>
        </is>
      </c>
      <c r="B7856" s="1" t="n">
        <v>45312.89796296296</v>
      </c>
      <c r="C7856" s="1" t="n">
        <v>46086</v>
      </c>
      <c r="D7856" t="inlineStr">
        <is>
          <t>GÄVLEBORGS LÄN</t>
        </is>
      </c>
      <c r="E7856" t="inlineStr">
        <is>
          <t>GÄVLE</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5606-2026</t>
        </is>
      </c>
      <c r="B7857" s="1" t="n">
        <v>46051.35390046296</v>
      </c>
      <c r="C7857" s="1" t="n">
        <v>46086</v>
      </c>
      <c r="D7857" t="inlineStr">
        <is>
          <t>GÄVLEBORGS LÄN</t>
        </is>
      </c>
      <c r="E7857" t="inlineStr">
        <is>
          <t>NORDANSTIG</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5608-2026</t>
        </is>
      </c>
      <c r="B7858" s="1" t="n">
        <v>46051.35716435185</v>
      </c>
      <c r="C7858" s="1" t="n">
        <v>46086</v>
      </c>
      <c r="D7858" t="inlineStr">
        <is>
          <t>GÄVLEBORGS LÄN</t>
        </is>
      </c>
      <c r="E7858" t="inlineStr">
        <is>
          <t>NORDANSTIG</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38570-2023</t>
        </is>
      </c>
      <c r="B7859" s="1" t="n">
        <v>45162</v>
      </c>
      <c r="C7859" s="1" t="n">
        <v>46086</v>
      </c>
      <c r="D7859" t="inlineStr">
        <is>
          <t>GÄVLEBORGS LÄN</t>
        </is>
      </c>
      <c r="E7859" t="inlineStr">
        <is>
          <t>SANDVIKEN</t>
        </is>
      </c>
      <c r="G7859" t="n">
        <v>6.3</v>
      </c>
      <c r="H7859" t="n">
        <v>0</v>
      </c>
      <c r="I7859" t="n">
        <v>0</v>
      </c>
      <c r="J7859" t="n">
        <v>0</v>
      </c>
      <c r="K7859" t="n">
        <v>0</v>
      </c>
      <c r="L7859" t="n">
        <v>0</v>
      </c>
      <c r="M7859" t="n">
        <v>0</v>
      </c>
      <c r="N7859" t="n">
        <v>0</v>
      </c>
      <c r="O7859" t="n">
        <v>0</v>
      </c>
      <c r="P7859" t="n">
        <v>0</v>
      </c>
      <c r="Q7859" t="n">
        <v>0</v>
      </c>
      <c r="R7859" s="2" t="inlineStr"/>
    </row>
    <row r="7860" ht="15" customHeight="1">
      <c r="A7860" t="inlineStr">
        <is>
          <t>A 63027-2025</t>
        </is>
      </c>
      <c r="B7860" s="1" t="n">
        <v>46009.595625</v>
      </c>
      <c r="C7860" s="1" t="n">
        <v>46086</v>
      </c>
      <c r="D7860" t="inlineStr">
        <is>
          <t>GÄVLEBORGS LÄN</t>
        </is>
      </c>
      <c r="E7860" t="inlineStr">
        <is>
          <t>BOLLNÄS</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63072-2025</t>
        </is>
      </c>
      <c r="B7861" s="1" t="n">
        <v>46009.65947916666</v>
      </c>
      <c r="C7861" s="1" t="n">
        <v>46086</v>
      </c>
      <c r="D7861" t="inlineStr">
        <is>
          <t>GÄVLEBORGS LÄN</t>
        </is>
      </c>
      <c r="E7861" t="inlineStr">
        <is>
          <t>HUDIKSVALL</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62792-2025</t>
        </is>
      </c>
      <c r="B7862" s="1" t="n">
        <v>46008.63590277778</v>
      </c>
      <c r="C7862" s="1" t="n">
        <v>46086</v>
      </c>
      <c r="D7862" t="inlineStr">
        <is>
          <t>GÄVLEBORGS LÄN</t>
        </is>
      </c>
      <c r="E7862" t="inlineStr">
        <is>
          <t>LJUSDAL</t>
        </is>
      </c>
      <c r="F7862" t="inlineStr">
        <is>
          <t>SCA</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62833-2025</t>
        </is>
      </c>
      <c r="B7863" s="1" t="n">
        <v>46008.6775</v>
      </c>
      <c r="C7863" s="1" t="n">
        <v>46086</v>
      </c>
      <c r="D7863" t="inlineStr">
        <is>
          <t>GÄVLEBORGS LÄN</t>
        </is>
      </c>
      <c r="E7863" t="inlineStr">
        <is>
          <t>NORDANSTIG</t>
        </is>
      </c>
      <c r="F7863" t="inlineStr">
        <is>
          <t>SCA</t>
        </is>
      </c>
      <c r="G7863" t="n">
        <v>7</v>
      </c>
      <c r="H7863" t="n">
        <v>0</v>
      </c>
      <c r="I7863" t="n">
        <v>0</v>
      </c>
      <c r="J7863" t="n">
        <v>0</v>
      </c>
      <c r="K7863" t="n">
        <v>0</v>
      </c>
      <c r="L7863" t="n">
        <v>0</v>
      </c>
      <c r="M7863" t="n">
        <v>0</v>
      </c>
      <c r="N7863" t="n">
        <v>0</v>
      </c>
      <c r="O7863" t="n">
        <v>0</v>
      </c>
      <c r="P7863" t="n">
        <v>0</v>
      </c>
      <c r="Q7863" t="n">
        <v>0</v>
      </c>
      <c r="R7863" s="2" t="inlineStr"/>
    </row>
    <row r="7864" ht="15" customHeight="1">
      <c r="A7864" t="inlineStr">
        <is>
          <t>A 9926-2023</t>
        </is>
      </c>
      <c r="B7864" s="1" t="n">
        <v>44985</v>
      </c>
      <c r="C7864" s="1" t="n">
        <v>46086</v>
      </c>
      <c r="D7864" t="inlineStr">
        <is>
          <t>GÄVLEBORGS LÄN</t>
        </is>
      </c>
      <c r="E7864" t="inlineStr">
        <is>
          <t>LJUSDAL</t>
        </is>
      </c>
      <c r="F7864" t="inlineStr">
        <is>
          <t>Bergvik skog väst AB</t>
        </is>
      </c>
      <c r="G7864" t="n">
        <v>17.5</v>
      </c>
      <c r="H7864" t="n">
        <v>0</v>
      </c>
      <c r="I7864" t="n">
        <v>0</v>
      </c>
      <c r="J7864" t="n">
        <v>0</v>
      </c>
      <c r="K7864" t="n">
        <v>0</v>
      </c>
      <c r="L7864" t="n">
        <v>0</v>
      </c>
      <c r="M7864" t="n">
        <v>0</v>
      </c>
      <c r="N7864" t="n">
        <v>0</v>
      </c>
      <c r="O7864" t="n">
        <v>0</v>
      </c>
      <c r="P7864" t="n">
        <v>0</v>
      </c>
      <c r="Q7864" t="n">
        <v>0</v>
      </c>
      <c r="R7864" s="2" t="inlineStr"/>
    </row>
    <row r="7865" ht="15" customHeight="1">
      <c r="A7865" t="inlineStr">
        <is>
          <t>A 62665-2025</t>
        </is>
      </c>
      <c r="B7865" s="1" t="n">
        <v>46008.43674768518</v>
      </c>
      <c r="C7865" s="1" t="n">
        <v>46086</v>
      </c>
      <c r="D7865" t="inlineStr">
        <is>
          <t>GÄVLEBORGS LÄN</t>
        </is>
      </c>
      <c r="E7865" t="inlineStr">
        <is>
          <t>HUDIKSVALL</t>
        </is>
      </c>
      <c r="G7865" t="n">
        <v>3.1</v>
      </c>
      <c r="H7865" t="n">
        <v>0</v>
      </c>
      <c r="I7865" t="n">
        <v>0</v>
      </c>
      <c r="J7865" t="n">
        <v>0</v>
      </c>
      <c r="K7865" t="n">
        <v>0</v>
      </c>
      <c r="L7865" t="n">
        <v>0</v>
      </c>
      <c r="M7865" t="n">
        <v>0</v>
      </c>
      <c r="N7865" t="n">
        <v>0</v>
      </c>
      <c r="O7865" t="n">
        <v>0</v>
      </c>
      <c r="P7865" t="n">
        <v>0</v>
      </c>
      <c r="Q7865" t="n">
        <v>0</v>
      </c>
      <c r="R7865" s="2" t="inlineStr"/>
    </row>
    <row r="7866" ht="15" customHeight="1">
      <c r="A7866" t="inlineStr">
        <is>
          <t>A 9946-2023</t>
        </is>
      </c>
      <c r="B7866" s="1" t="n">
        <v>44985</v>
      </c>
      <c r="C7866" s="1" t="n">
        <v>46086</v>
      </c>
      <c r="D7866" t="inlineStr">
        <is>
          <t>GÄVLEBORGS LÄN</t>
        </is>
      </c>
      <c r="E7866" t="inlineStr">
        <is>
          <t>LJUSDAL</t>
        </is>
      </c>
      <c r="F7866" t="inlineStr">
        <is>
          <t>Bergvik skog väst AB</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62656-2025</t>
        </is>
      </c>
      <c r="B7867" s="1" t="n">
        <v>46008.41877314815</v>
      </c>
      <c r="C7867" s="1" t="n">
        <v>46086</v>
      </c>
      <c r="D7867" t="inlineStr">
        <is>
          <t>GÄVLEBORGS LÄN</t>
        </is>
      </c>
      <c r="E7867" t="inlineStr">
        <is>
          <t>BOLLNÄS</t>
        </is>
      </c>
      <c r="G7867" t="n">
        <v>3.3</v>
      </c>
      <c r="H7867" t="n">
        <v>0</v>
      </c>
      <c r="I7867" t="n">
        <v>0</v>
      </c>
      <c r="J7867" t="n">
        <v>0</v>
      </c>
      <c r="K7867" t="n">
        <v>0</v>
      </c>
      <c r="L7867" t="n">
        <v>0</v>
      </c>
      <c r="M7867" t="n">
        <v>0</v>
      </c>
      <c r="N7867" t="n">
        <v>0</v>
      </c>
      <c r="O7867" t="n">
        <v>0</v>
      </c>
      <c r="P7867" t="n">
        <v>0</v>
      </c>
      <c r="Q7867" t="n">
        <v>0</v>
      </c>
      <c r="R7867" s="2" t="inlineStr"/>
    </row>
    <row r="7868" ht="15" customHeight="1">
      <c r="A7868" t="inlineStr">
        <is>
          <t>A 62667-2025</t>
        </is>
      </c>
      <c r="B7868" s="1" t="n">
        <v>46008.44090277778</v>
      </c>
      <c r="C7868" s="1" t="n">
        <v>46086</v>
      </c>
      <c r="D7868" t="inlineStr">
        <is>
          <t>GÄVLEBORGS LÄN</t>
        </is>
      </c>
      <c r="E7868" t="inlineStr">
        <is>
          <t>OVANÅKER</t>
        </is>
      </c>
      <c r="F7868" t="inlineStr">
        <is>
          <t>Bergvik skog väst AB</t>
        </is>
      </c>
      <c r="G7868" t="n">
        <v>0.2</v>
      </c>
      <c r="H7868" t="n">
        <v>0</v>
      </c>
      <c r="I7868" t="n">
        <v>0</v>
      </c>
      <c r="J7868" t="n">
        <v>0</v>
      </c>
      <c r="K7868" t="n">
        <v>0</v>
      </c>
      <c r="L7868" t="n">
        <v>0</v>
      </c>
      <c r="M7868" t="n">
        <v>0</v>
      </c>
      <c r="N7868" t="n">
        <v>0</v>
      </c>
      <c r="O7868" t="n">
        <v>0</v>
      </c>
      <c r="P7868" t="n">
        <v>0</v>
      </c>
      <c r="Q7868" t="n">
        <v>0</v>
      </c>
      <c r="R7868" s="2" t="inlineStr"/>
    </row>
    <row r="7869" ht="15" customHeight="1">
      <c r="A7869" t="inlineStr">
        <is>
          <t>A 5665-2026</t>
        </is>
      </c>
      <c r="B7869" s="1" t="n">
        <v>46051.46369212963</v>
      </c>
      <c r="C7869" s="1" t="n">
        <v>46086</v>
      </c>
      <c r="D7869" t="inlineStr">
        <is>
          <t>GÄVLEBORGS LÄN</t>
        </is>
      </c>
      <c r="E7869" t="inlineStr">
        <is>
          <t>BOLLNÄS</t>
        </is>
      </c>
      <c r="G7869" t="n">
        <v>4.9</v>
      </c>
      <c r="H7869" t="n">
        <v>0</v>
      </c>
      <c r="I7869" t="n">
        <v>0</v>
      </c>
      <c r="J7869" t="n">
        <v>0</v>
      </c>
      <c r="K7869" t="n">
        <v>0</v>
      </c>
      <c r="L7869" t="n">
        <v>0</v>
      </c>
      <c r="M7869" t="n">
        <v>0</v>
      </c>
      <c r="N7869" t="n">
        <v>0</v>
      </c>
      <c r="O7869" t="n">
        <v>0</v>
      </c>
      <c r="P7869" t="n">
        <v>0</v>
      </c>
      <c r="Q7869" t="n">
        <v>0</v>
      </c>
      <c r="R7869" s="2" t="inlineStr"/>
    </row>
    <row r="7870" ht="15" customHeight="1">
      <c r="A7870" t="inlineStr">
        <is>
          <t>A 5668-2026</t>
        </is>
      </c>
      <c r="B7870" s="1" t="n">
        <v>46051.46790509259</v>
      </c>
      <c r="C7870" s="1" t="n">
        <v>46086</v>
      </c>
      <c r="D7870" t="inlineStr">
        <is>
          <t>GÄVLEBORGS LÄN</t>
        </is>
      </c>
      <c r="E7870" t="inlineStr">
        <is>
          <t>OCKELBO</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5676-2026</t>
        </is>
      </c>
      <c r="B7871" s="1" t="n">
        <v>46051.47204861111</v>
      </c>
      <c r="C7871" s="1" t="n">
        <v>46086</v>
      </c>
      <c r="D7871" t="inlineStr">
        <is>
          <t>GÄVLEBORGS LÄN</t>
        </is>
      </c>
      <c r="E7871" t="inlineStr">
        <is>
          <t>BOLLNÄS</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5681-2026</t>
        </is>
      </c>
      <c r="B7872" s="1" t="n">
        <v>46051.47976851852</v>
      </c>
      <c r="C7872" s="1" t="n">
        <v>46086</v>
      </c>
      <c r="D7872" t="inlineStr">
        <is>
          <t>GÄVLEBORGS LÄN</t>
        </is>
      </c>
      <c r="E7872" t="inlineStr">
        <is>
          <t>OCKELBO</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62960-2025</t>
        </is>
      </c>
      <c r="B7873" s="1" t="n">
        <v>46009.45855324074</v>
      </c>
      <c r="C7873" s="1" t="n">
        <v>46086</v>
      </c>
      <c r="D7873" t="inlineStr">
        <is>
          <t>GÄVLEBORGS LÄN</t>
        </is>
      </c>
      <c r="E7873" t="inlineStr">
        <is>
          <t>NORDANSTIG</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932-2026</t>
        </is>
      </c>
      <c r="B7874" s="1" t="n">
        <v>46030</v>
      </c>
      <c r="C7874" s="1" t="n">
        <v>46086</v>
      </c>
      <c r="D7874" t="inlineStr">
        <is>
          <t>GÄVLEBORGS LÄN</t>
        </is>
      </c>
      <c r="E7874" t="inlineStr">
        <is>
          <t>OVANÅKER</t>
        </is>
      </c>
      <c r="G7874" t="n">
        <v>4</v>
      </c>
      <c r="H7874" t="n">
        <v>0</v>
      </c>
      <c r="I7874" t="n">
        <v>0</v>
      </c>
      <c r="J7874" t="n">
        <v>0</v>
      </c>
      <c r="K7874" t="n">
        <v>0</v>
      </c>
      <c r="L7874" t="n">
        <v>0</v>
      </c>
      <c r="M7874" t="n">
        <v>0</v>
      </c>
      <c r="N7874" t="n">
        <v>0</v>
      </c>
      <c r="O7874" t="n">
        <v>0</v>
      </c>
      <c r="P7874" t="n">
        <v>0</v>
      </c>
      <c r="Q7874" t="n">
        <v>0</v>
      </c>
      <c r="R7874" s="2" t="inlineStr"/>
    </row>
    <row r="7875" ht="15" customHeight="1">
      <c r="A7875" t="inlineStr">
        <is>
          <t>A 953-2026</t>
        </is>
      </c>
      <c r="B7875" s="1" t="n">
        <v>46030</v>
      </c>
      <c r="C7875" s="1" t="n">
        <v>46086</v>
      </c>
      <c r="D7875" t="inlineStr">
        <is>
          <t>GÄVLEBORGS LÄN</t>
        </is>
      </c>
      <c r="E7875" t="inlineStr">
        <is>
          <t>OVANÅKER</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5424-2026</t>
        </is>
      </c>
      <c r="B7876" s="1" t="n">
        <v>46050.54458333334</v>
      </c>
      <c r="C7876" s="1" t="n">
        <v>46086</v>
      </c>
      <c r="D7876" t="inlineStr">
        <is>
          <t>GÄVLEBORGS LÄN</t>
        </is>
      </c>
      <c r="E7876" t="inlineStr">
        <is>
          <t>HUDIKSVALL</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5458-2026</t>
        </is>
      </c>
      <c r="B7877" s="1" t="n">
        <v>46050.58952546296</v>
      </c>
      <c r="C7877" s="1" t="n">
        <v>46086</v>
      </c>
      <c r="D7877" t="inlineStr">
        <is>
          <t>GÄVLEBORGS LÄN</t>
        </is>
      </c>
      <c r="E7877" t="inlineStr">
        <is>
          <t>BOLLNÄS</t>
        </is>
      </c>
      <c r="F7877" t="inlineStr">
        <is>
          <t>Bergvik skog väst AB</t>
        </is>
      </c>
      <c r="G7877" t="n">
        <v>28.3</v>
      </c>
      <c r="H7877" t="n">
        <v>0</v>
      </c>
      <c r="I7877" t="n">
        <v>0</v>
      </c>
      <c r="J7877" t="n">
        <v>0</v>
      </c>
      <c r="K7877" t="n">
        <v>0</v>
      </c>
      <c r="L7877" t="n">
        <v>0</v>
      </c>
      <c r="M7877" t="n">
        <v>0</v>
      </c>
      <c r="N7877" t="n">
        <v>0</v>
      </c>
      <c r="O7877" t="n">
        <v>0</v>
      </c>
      <c r="P7877" t="n">
        <v>0</v>
      </c>
      <c r="Q7877" t="n">
        <v>0</v>
      </c>
      <c r="R7877" s="2" t="inlineStr"/>
    </row>
    <row r="7878" ht="15" customHeight="1">
      <c r="A7878" t="inlineStr">
        <is>
          <t>A 5464-2026</t>
        </is>
      </c>
      <c r="B7878" s="1" t="n">
        <v>46048</v>
      </c>
      <c r="C7878" s="1" t="n">
        <v>46086</v>
      </c>
      <c r="D7878" t="inlineStr">
        <is>
          <t>GÄVLEBORGS LÄN</t>
        </is>
      </c>
      <c r="E7878" t="inlineStr">
        <is>
          <t>OVANÅKER</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5527-2026</t>
        </is>
      </c>
      <c r="B7879" s="1" t="n">
        <v>46050.65401620371</v>
      </c>
      <c r="C7879" s="1" t="n">
        <v>46086</v>
      </c>
      <c r="D7879" t="inlineStr">
        <is>
          <t>GÄVLEBORGS LÄN</t>
        </is>
      </c>
      <c r="E7879" t="inlineStr">
        <is>
          <t>BOLLNÄS</t>
        </is>
      </c>
      <c r="G7879" t="n">
        <v>3.3</v>
      </c>
      <c r="H7879" t="n">
        <v>0</v>
      </c>
      <c r="I7879" t="n">
        <v>0</v>
      </c>
      <c r="J7879" t="n">
        <v>0</v>
      </c>
      <c r="K7879" t="n">
        <v>0</v>
      </c>
      <c r="L7879" t="n">
        <v>0</v>
      </c>
      <c r="M7879" t="n">
        <v>0</v>
      </c>
      <c r="N7879" t="n">
        <v>0</v>
      </c>
      <c r="O7879" t="n">
        <v>0</v>
      </c>
      <c r="P7879" t="n">
        <v>0</v>
      </c>
      <c r="Q7879" t="n">
        <v>0</v>
      </c>
      <c r="R7879" s="2" t="inlineStr"/>
    </row>
    <row r="7880" ht="15" customHeight="1">
      <c r="A7880" t="inlineStr">
        <is>
          <t>A 5543-2026</t>
        </is>
      </c>
      <c r="B7880" s="1" t="n">
        <v>46050.68386574074</v>
      </c>
      <c r="C7880" s="1" t="n">
        <v>46086</v>
      </c>
      <c r="D7880" t="inlineStr">
        <is>
          <t>GÄVLEBORGS LÄN</t>
        </is>
      </c>
      <c r="E7880" t="inlineStr">
        <is>
          <t>SANDVIKEN</t>
        </is>
      </c>
      <c r="G7880" t="n">
        <v>3.1</v>
      </c>
      <c r="H7880" t="n">
        <v>0</v>
      </c>
      <c r="I7880" t="n">
        <v>0</v>
      </c>
      <c r="J7880" t="n">
        <v>0</v>
      </c>
      <c r="K7880" t="n">
        <v>0</v>
      </c>
      <c r="L7880" t="n">
        <v>0</v>
      </c>
      <c r="M7880" t="n">
        <v>0</v>
      </c>
      <c r="N7880" t="n">
        <v>0</v>
      </c>
      <c r="O7880" t="n">
        <v>0</v>
      </c>
      <c r="P7880" t="n">
        <v>0</v>
      </c>
      <c r="Q7880" t="n">
        <v>0</v>
      </c>
      <c r="R7880" s="2" t="inlineStr"/>
    </row>
    <row r="7881" ht="15" customHeight="1">
      <c r="A7881" t="inlineStr">
        <is>
          <t>A 5558-2026</t>
        </is>
      </c>
      <c r="B7881" s="1" t="n">
        <v>46050.78326388889</v>
      </c>
      <c r="C7881" s="1" t="n">
        <v>46086</v>
      </c>
      <c r="D7881" t="inlineStr">
        <is>
          <t>GÄVLEBORGS LÄN</t>
        </is>
      </c>
      <c r="E7881" t="inlineStr">
        <is>
          <t>SANDVIKEN</t>
        </is>
      </c>
      <c r="F7881" t="inlineStr">
        <is>
          <t>Kyrkan</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5560-2026</t>
        </is>
      </c>
      <c r="B7882" s="1" t="n">
        <v>46050.79005787037</v>
      </c>
      <c r="C7882" s="1" t="n">
        <v>46086</v>
      </c>
      <c r="D7882" t="inlineStr">
        <is>
          <t>GÄVLEBORGS LÄN</t>
        </is>
      </c>
      <c r="E7882" t="inlineStr">
        <is>
          <t>HUDIKSVALL</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5577-2026</t>
        </is>
      </c>
      <c r="B7883" s="1" t="n">
        <v>46051.28708333334</v>
      </c>
      <c r="C7883" s="1" t="n">
        <v>46086</v>
      </c>
      <c r="D7883" t="inlineStr">
        <is>
          <t>GÄVLEBORGS LÄN</t>
        </is>
      </c>
      <c r="E7883" t="inlineStr">
        <is>
          <t>BOLLNÄS</t>
        </is>
      </c>
      <c r="G7883" t="n">
        <v>3.9</v>
      </c>
      <c r="H7883" t="n">
        <v>0</v>
      </c>
      <c r="I7883" t="n">
        <v>0</v>
      </c>
      <c r="J7883" t="n">
        <v>0</v>
      </c>
      <c r="K7883" t="n">
        <v>0</v>
      </c>
      <c r="L7883" t="n">
        <v>0</v>
      </c>
      <c r="M7883" t="n">
        <v>0</v>
      </c>
      <c r="N7883" t="n">
        <v>0</v>
      </c>
      <c r="O7883" t="n">
        <v>0</v>
      </c>
      <c r="P7883" t="n">
        <v>0</v>
      </c>
      <c r="Q7883" t="n">
        <v>0</v>
      </c>
      <c r="R7883" s="2" t="inlineStr"/>
    </row>
    <row r="7884" ht="15" customHeight="1">
      <c r="A7884" t="inlineStr">
        <is>
          <t>A 26106-2024</t>
        </is>
      </c>
      <c r="B7884" s="1" t="n">
        <v>45468.4416550926</v>
      </c>
      <c r="C7884" s="1" t="n">
        <v>46086</v>
      </c>
      <c r="D7884" t="inlineStr">
        <is>
          <t>GÄVLEBORGS LÄN</t>
        </is>
      </c>
      <c r="E7884" t="inlineStr">
        <is>
          <t>LJUSDAL</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9378-2025</t>
        </is>
      </c>
      <c r="B7885" s="1" t="n">
        <v>45715.34081018518</v>
      </c>
      <c r="C7885" s="1" t="n">
        <v>46086</v>
      </c>
      <c r="D7885" t="inlineStr">
        <is>
          <t>GÄVLEBORGS LÄN</t>
        </is>
      </c>
      <c r="E7885" t="inlineStr">
        <is>
          <t>GÄVLE</t>
        </is>
      </c>
      <c r="F7885" t="inlineStr">
        <is>
          <t>Kyrkan</t>
        </is>
      </c>
      <c r="G7885" t="n">
        <v>8.1</v>
      </c>
      <c r="H7885" t="n">
        <v>0</v>
      </c>
      <c r="I7885" t="n">
        <v>0</v>
      </c>
      <c r="J7885" t="n">
        <v>0</v>
      </c>
      <c r="K7885" t="n">
        <v>0</v>
      </c>
      <c r="L7885" t="n">
        <v>0</v>
      </c>
      <c r="M7885" t="n">
        <v>0</v>
      </c>
      <c r="N7885" t="n">
        <v>0</v>
      </c>
      <c r="O7885" t="n">
        <v>0</v>
      </c>
      <c r="P7885" t="n">
        <v>0</v>
      </c>
      <c r="Q7885" t="n">
        <v>0</v>
      </c>
      <c r="R7885" s="2" t="inlineStr"/>
    </row>
    <row r="7886" ht="15" customHeight="1">
      <c r="A7886" t="inlineStr">
        <is>
          <t>A 5749-2026</t>
        </is>
      </c>
      <c r="B7886" s="1" t="n">
        <v>46051.59861111111</v>
      </c>
      <c r="C7886" s="1" t="n">
        <v>46086</v>
      </c>
      <c r="D7886" t="inlineStr">
        <is>
          <t>GÄVLEBORGS LÄN</t>
        </is>
      </c>
      <c r="E7886" t="inlineStr">
        <is>
          <t>OCKELBO</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55642-2024</t>
        </is>
      </c>
      <c r="B7887" s="1" t="n">
        <v>45622.61861111111</v>
      </c>
      <c r="C7887" s="1" t="n">
        <v>46086</v>
      </c>
      <c r="D7887" t="inlineStr">
        <is>
          <t>GÄVLEBORGS LÄN</t>
        </is>
      </c>
      <c r="E7887" t="inlineStr">
        <is>
          <t>OVANÅKER</t>
        </is>
      </c>
      <c r="G7887" t="n">
        <v>4.7</v>
      </c>
      <c r="H7887" t="n">
        <v>0</v>
      </c>
      <c r="I7887" t="n">
        <v>0</v>
      </c>
      <c r="J7887" t="n">
        <v>0</v>
      </c>
      <c r="K7887" t="n">
        <v>0</v>
      </c>
      <c r="L7887" t="n">
        <v>0</v>
      </c>
      <c r="M7887" t="n">
        <v>0</v>
      </c>
      <c r="N7887" t="n">
        <v>0</v>
      </c>
      <c r="O7887" t="n">
        <v>0</v>
      </c>
      <c r="P7887" t="n">
        <v>0</v>
      </c>
      <c r="Q7887" t="n">
        <v>0</v>
      </c>
      <c r="R7887" s="2" t="inlineStr"/>
    </row>
    <row r="7888" ht="15" customHeight="1">
      <c r="A7888" t="inlineStr">
        <is>
          <t>A 62977-2025</t>
        </is>
      </c>
      <c r="B7888" s="1" t="n">
        <v>46009.47627314815</v>
      </c>
      <c r="C7888" s="1" t="n">
        <v>46086</v>
      </c>
      <c r="D7888" t="inlineStr">
        <is>
          <t>GÄVLEBORGS LÄN</t>
        </is>
      </c>
      <c r="E7888" t="inlineStr">
        <is>
          <t>HUDIKSVALL</t>
        </is>
      </c>
      <c r="F7888" t="inlineStr">
        <is>
          <t>Övriga Aktiebolag</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63013-2025</t>
        </is>
      </c>
      <c r="B7889" s="1" t="n">
        <v>46009.58381944444</v>
      </c>
      <c r="C7889" s="1" t="n">
        <v>46086</v>
      </c>
      <c r="D7889" t="inlineStr">
        <is>
          <t>GÄVLEBORGS LÄN</t>
        </is>
      </c>
      <c r="E7889" t="inlineStr">
        <is>
          <t>HUDIKSVALL</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56728-2024</t>
        </is>
      </c>
      <c r="B7890" s="1" t="n">
        <v>45628.35456018519</v>
      </c>
      <c r="C7890" s="1" t="n">
        <v>46086</v>
      </c>
      <c r="D7890" t="inlineStr">
        <is>
          <t>GÄVLEBORGS LÄN</t>
        </is>
      </c>
      <c r="E7890" t="inlineStr">
        <is>
          <t>GÄVLE</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56733-2024</t>
        </is>
      </c>
      <c r="B7891" s="1" t="n">
        <v>45628.36013888889</v>
      </c>
      <c r="C7891" s="1" t="n">
        <v>46086</v>
      </c>
      <c r="D7891" t="inlineStr">
        <is>
          <t>GÄVLEBORGS LÄN</t>
        </is>
      </c>
      <c r="E7891" t="inlineStr">
        <is>
          <t>NORDANSTIG</t>
        </is>
      </c>
      <c r="F7891" t="inlineStr">
        <is>
          <t>Holmen skog AB</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5561-2022</t>
        </is>
      </c>
      <c r="B7892" s="1" t="n">
        <v>44595</v>
      </c>
      <c r="C7892" s="1" t="n">
        <v>46086</v>
      </c>
      <c r="D7892" t="inlineStr">
        <is>
          <t>GÄVLEBORGS LÄN</t>
        </is>
      </c>
      <c r="E7892" t="inlineStr">
        <is>
          <t>BOLLNÄS</t>
        </is>
      </c>
      <c r="G7892" t="n">
        <v>2.8</v>
      </c>
      <c r="H7892" t="n">
        <v>0</v>
      </c>
      <c r="I7892" t="n">
        <v>0</v>
      </c>
      <c r="J7892" t="n">
        <v>0</v>
      </c>
      <c r="K7892" t="n">
        <v>0</v>
      </c>
      <c r="L7892" t="n">
        <v>0</v>
      </c>
      <c r="M7892" t="n">
        <v>0</v>
      </c>
      <c r="N7892" t="n">
        <v>0</v>
      </c>
      <c r="O7892" t="n">
        <v>0</v>
      </c>
      <c r="P7892" t="n">
        <v>0</v>
      </c>
      <c r="Q7892" t="n">
        <v>0</v>
      </c>
      <c r="R7892" s="2" t="inlineStr"/>
    </row>
    <row r="7893" ht="15" customHeight="1">
      <c r="A7893" t="inlineStr">
        <is>
          <t>A 63015-2025</t>
        </is>
      </c>
      <c r="B7893" s="1" t="n">
        <v>46009.58454861111</v>
      </c>
      <c r="C7893" s="1" t="n">
        <v>46086</v>
      </c>
      <c r="D7893" t="inlineStr">
        <is>
          <t>GÄVLEBORGS LÄN</t>
        </is>
      </c>
      <c r="E7893" t="inlineStr">
        <is>
          <t>OVANÅKER</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37972-2022</t>
        </is>
      </c>
      <c r="B7894" s="1" t="n">
        <v>44811</v>
      </c>
      <c r="C7894" s="1" t="n">
        <v>46086</v>
      </c>
      <c r="D7894" t="inlineStr">
        <is>
          <t>GÄVLEBORGS LÄN</t>
        </is>
      </c>
      <c r="E7894" t="inlineStr">
        <is>
          <t>NORDANSTIG</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5776-2026</t>
        </is>
      </c>
      <c r="B7895" s="1" t="n">
        <v>46051.65353009259</v>
      </c>
      <c r="C7895" s="1" t="n">
        <v>46086</v>
      </c>
      <c r="D7895" t="inlineStr">
        <is>
          <t>GÄVLEBORGS LÄN</t>
        </is>
      </c>
      <c r="E7895" t="inlineStr">
        <is>
          <t>BOLLNÄS</t>
        </is>
      </c>
      <c r="G7895" t="n">
        <v>15.9</v>
      </c>
      <c r="H7895" t="n">
        <v>0</v>
      </c>
      <c r="I7895" t="n">
        <v>0</v>
      </c>
      <c r="J7895" t="n">
        <v>0</v>
      </c>
      <c r="K7895" t="n">
        <v>0</v>
      </c>
      <c r="L7895" t="n">
        <v>0</v>
      </c>
      <c r="M7895" t="n">
        <v>0</v>
      </c>
      <c r="N7895" t="n">
        <v>0</v>
      </c>
      <c r="O7895" t="n">
        <v>0</v>
      </c>
      <c r="P7895" t="n">
        <v>0</v>
      </c>
      <c r="Q7895" t="n">
        <v>0</v>
      </c>
      <c r="R7895" s="2" t="inlineStr"/>
    </row>
    <row r="7896" ht="15" customHeight="1">
      <c r="A7896" t="inlineStr">
        <is>
          <t>A 51222-2024</t>
        </is>
      </c>
      <c r="B7896" s="1" t="n">
        <v>45603.65320601852</v>
      </c>
      <c r="C7896" s="1" t="n">
        <v>46086</v>
      </c>
      <c r="D7896" t="inlineStr">
        <is>
          <t>GÄVLEBORGS LÄN</t>
        </is>
      </c>
      <c r="E7896" t="inlineStr">
        <is>
          <t>NORDANSTIG</t>
        </is>
      </c>
      <c r="G7896" t="n">
        <v>15.1</v>
      </c>
      <c r="H7896" t="n">
        <v>0</v>
      </c>
      <c r="I7896" t="n">
        <v>0</v>
      </c>
      <c r="J7896" t="n">
        <v>0</v>
      </c>
      <c r="K7896" t="n">
        <v>0</v>
      </c>
      <c r="L7896" t="n">
        <v>0</v>
      </c>
      <c r="M7896" t="n">
        <v>0</v>
      </c>
      <c r="N7896" t="n">
        <v>0</v>
      </c>
      <c r="O7896" t="n">
        <v>0</v>
      </c>
      <c r="P7896" t="n">
        <v>0</v>
      </c>
      <c r="Q7896" t="n">
        <v>0</v>
      </c>
      <c r="R7896" s="2" t="inlineStr"/>
    </row>
    <row r="7897" ht="15" customHeight="1">
      <c r="A7897" t="inlineStr">
        <is>
          <t>A 5778-2026</t>
        </is>
      </c>
      <c r="B7897" s="1" t="n">
        <v>46051.65603009259</v>
      </c>
      <c r="C7897" s="1" t="n">
        <v>46086</v>
      </c>
      <c r="D7897" t="inlineStr">
        <is>
          <t>GÄVLEBORGS LÄN</t>
        </is>
      </c>
      <c r="E7897" t="inlineStr">
        <is>
          <t>BOLLNÄS</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5636-2026</t>
        </is>
      </c>
      <c r="B7898" s="1" t="n">
        <v>46051.40638888889</v>
      </c>
      <c r="C7898" s="1" t="n">
        <v>46086</v>
      </c>
      <c r="D7898" t="inlineStr">
        <is>
          <t>GÄVLEBORGS LÄN</t>
        </is>
      </c>
      <c r="E7898" t="inlineStr">
        <is>
          <t>OCKELBO</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5651-2026</t>
        </is>
      </c>
      <c r="B7899" s="1" t="n">
        <v>46051.43083333333</v>
      </c>
      <c r="C7899" s="1" t="n">
        <v>46086</v>
      </c>
      <c r="D7899" t="inlineStr">
        <is>
          <t>GÄVLEBORGS LÄN</t>
        </is>
      </c>
      <c r="E7899" t="inlineStr">
        <is>
          <t>BOLLNÄS</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51230-2024</t>
        </is>
      </c>
      <c r="B7900" s="1" t="n">
        <v>45603.65864583333</v>
      </c>
      <c r="C7900" s="1" t="n">
        <v>46086</v>
      </c>
      <c r="D7900" t="inlineStr">
        <is>
          <t>GÄVLEBORGS LÄN</t>
        </is>
      </c>
      <c r="E7900" t="inlineStr">
        <is>
          <t>NORDANSTIG</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5317-2026</t>
        </is>
      </c>
      <c r="B7901" s="1" t="n">
        <v>46050.37806712963</v>
      </c>
      <c r="C7901" s="1" t="n">
        <v>46086</v>
      </c>
      <c r="D7901" t="inlineStr">
        <is>
          <t>GÄVLEBORGS LÄN</t>
        </is>
      </c>
      <c r="E7901" t="inlineStr">
        <is>
          <t>OCKELBO</t>
        </is>
      </c>
      <c r="F7901" t="inlineStr">
        <is>
          <t>Bergvik skog väst AB</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5246-2026</t>
        </is>
      </c>
      <c r="B7902" s="1" t="n">
        <v>46049.89357638889</v>
      </c>
      <c r="C7902" s="1" t="n">
        <v>46086</v>
      </c>
      <c r="D7902" t="inlineStr">
        <is>
          <t>GÄVLEBORGS LÄN</t>
        </is>
      </c>
      <c r="E7902" t="inlineStr">
        <is>
          <t>SANDVIKEN</t>
        </is>
      </c>
      <c r="G7902" t="n">
        <v>4.5</v>
      </c>
      <c r="H7902" t="n">
        <v>0</v>
      </c>
      <c r="I7902" t="n">
        <v>0</v>
      </c>
      <c r="J7902" t="n">
        <v>0</v>
      </c>
      <c r="K7902" t="n">
        <v>0</v>
      </c>
      <c r="L7902" t="n">
        <v>0</v>
      </c>
      <c r="M7902" t="n">
        <v>0</v>
      </c>
      <c r="N7902" t="n">
        <v>0</v>
      </c>
      <c r="O7902" t="n">
        <v>0</v>
      </c>
      <c r="P7902" t="n">
        <v>0</v>
      </c>
      <c r="Q7902" t="n">
        <v>0</v>
      </c>
      <c r="R7902" s="2" t="inlineStr"/>
    </row>
    <row r="7903" ht="15" customHeight="1">
      <c r="A7903" t="inlineStr">
        <is>
          <t>A 62616-2025</t>
        </is>
      </c>
      <c r="B7903" s="1" t="n">
        <v>46008.32385416667</v>
      </c>
      <c r="C7903" s="1" t="n">
        <v>46086</v>
      </c>
      <c r="D7903" t="inlineStr">
        <is>
          <t>GÄVLEBORGS LÄN</t>
        </is>
      </c>
      <c r="E7903" t="inlineStr">
        <is>
          <t>SÖDERHAMN</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939-2026</t>
        </is>
      </c>
      <c r="B7904" s="1" t="n">
        <v>46030</v>
      </c>
      <c r="C7904" s="1" t="n">
        <v>46086</v>
      </c>
      <c r="D7904" t="inlineStr">
        <is>
          <t>GÄVLEBORGS LÄN</t>
        </is>
      </c>
      <c r="E7904" t="inlineStr">
        <is>
          <t>OVANÅKER</t>
        </is>
      </c>
      <c r="G7904" t="n">
        <v>5.9</v>
      </c>
      <c r="H7904" t="n">
        <v>0</v>
      </c>
      <c r="I7904" t="n">
        <v>0</v>
      </c>
      <c r="J7904" t="n">
        <v>0</v>
      </c>
      <c r="K7904" t="n">
        <v>0</v>
      </c>
      <c r="L7904" t="n">
        <v>0</v>
      </c>
      <c r="M7904" t="n">
        <v>0</v>
      </c>
      <c r="N7904" t="n">
        <v>0</v>
      </c>
      <c r="O7904" t="n">
        <v>0</v>
      </c>
      <c r="P7904" t="n">
        <v>0</v>
      </c>
      <c r="Q7904" t="n">
        <v>0</v>
      </c>
      <c r="R7904" s="2" t="inlineStr"/>
    </row>
    <row r="7905" ht="15" customHeight="1">
      <c r="A7905" t="inlineStr">
        <is>
          <t>A 964-2026</t>
        </is>
      </c>
      <c r="B7905" s="1" t="n">
        <v>46030</v>
      </c>
      <c r="C7905" s="1" t="n">
        <v>46086</v>
      </c>
      <c r="D7905" t="inlineStr">
        <is>
          <t>GÄVLEBORGS LÄN</t>
        </is>
      </c>
      <c r="E7905" t="inlineStr">
        <is>
          <t>OVANÅKER</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62856-2025</t>
        </is>
      </c>
      <c r="B7906" s="1" t="n">
        <v>46008.7390625</v>
      </c>
      <c r="C7906" s="1" t="n">
        <v>46086</v>
      </c>
      <c r="D7906" t="inlineStr">
        <is>
          <t>GÄVLEBORGS LÄN</t>
        </is>
      </c>
      <c r="E7906" t="inlineStr">
        <is>
          <t>OCKELBO</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5576-2026</t>
        </is>
      </c>
      <c r="B7907" s="1" t="n">
        <v>46051</v>
      </c>
      <c r="C7907" s="1" t="n">
        <v>46086</v>
      </c>
      <c r="D7907" t="inlineStr">
        <is>
          <t>GÄVLEBORGS LÄN</t>
        </is>
      </c>
      <c r="E7907" t="inlineStr">
        <is>
          <t>OVANÅKER</t>
        </is>
      </c>
      <c r="G7907" t="n">
        <v>4.3</v>
      </c>
      <c r="H7907" t="n">
        <v>0</v>
      </c>
      <c r="I7907" t="n">
        <v>0</v>
      </c>
      <c r="J7907" t="n">
        <v>0</v>
      </c>
      <c r="K7907" t="n">
        <v>0</v>
      </c>
      <c r="L7907" t="n">
        <v>0</v>
      </c>
      <c r="M7907" t="n">
        <v>0</v>
      </c>
      <c r="N7907" t="n">
        <v>0</v>
      </c>
      <c r="O7907" t="n">
        <v>0</v>
      </c>
      <c r="P7907" t="n">
        <v>0</v>
      </c>
      <c r="Q7907" t="n">
        <v>0</v>
      </c>
      <c r="R7907" s="2" t="inlineStr"/>
    </row>
    <row r="7908" ht="15" customHeight="1">
      <c r="A7908" t="inlineStr">
        <is>
          <t>A 63326-2025</t>
        </is>
      </c>
      <c r="B7908" s="1" t="n">
        <v>46010.63858796296</v>
      </c>
      <c r="C7908" s="1" t="n">
        <v>46086</v>
      </c>
      <c r="D7908" t="inlineStr">
        <is>
          <t>GÄVLEBORGS LÄN</t>
        </is>
      </c>
      <c r="E7908" t="inlineStr">
        <is>
          <t>BOLLNÄS</t>
        </is>
      </c>
      <c r="G7908" t="n">
        <v>6.8</v>
      </c>
      <c r="H7908" t="n">
        <v>0</v>
      </c>
      <c r="I7908" t="n">
        <v>0</v>
      </c>
      <c r="J7908" t="n">
        <v>0</v>
      </c>
      <c r="K7908" t="n">
        <v>0</v>
      </c>
      <c r="L7908" t="n">
        <v>0</v>
      </c>
      <c r="M7908" t="n">
        <v>0</v>
      </c>
      <c r="N7908" t="n">
        <v>0</v>
      </c>
      <c r="O7908" t="n">
        <v>0</v>
      </c>
      <c r="P7908" t="n">
        <v>0</v>
      </c>
      <c r="Q7908" t="n">
        <v>0</v>
      </c>
      <c r="R7908" s="2" t="inlineStr"/>
    </row>
    <row r="7909" ht="15" customHeight="1">
      <c r="A7909" t="inlineStr">
        <is>
          <t>A 5946-2026</t>
        </is>
      </c>
      <c r="B7909" s="1" t="n">
        <v>46052.48829861111</v>
      </c>
      <c r="C7909" s="1" t="n">
        <v>46086</v>
      </c>
      <c r="D7909" t="inlineStr">
        <is>
          <t>GÄVLEBORGS LÄN</t>
        </is>
      </c>
      <c r="E7909" t="inlineStr">
        <is>
          <t>SÖDERHAMN</t>
        </is>
      </c>
      <c r="G7909" t="n">
        <v>8.800000000000001</v>
      </c>
      <c r="H7909" t="n">
        <v>0</v>
      </c>
      <c r="I7909" t="n">
        <v>0</v>
      </c>
      <c r="J7909" t="n">
        <v>0</v>
      </c>
      <c r="K7909" t="n">
        <v>0</v>
      </c>
      <c r="L7909" t="n">
        <v>0</v>
      </c>
      <c r="M7909" t="n">
        <v>0</v>
      </c>
      <c r="N7909" t="n">
        <v>0</v>
      </c>
      <c r="O7909" t="n">
        <v>0</v>
      </c>
      <c r="P7909" t="n">
        <v>0</v>
      </c>
      <c r="Q7909" t="n">
        <v>0</v>
      </c>
      <c r="R7909" s="2" t="inlineStr"/>
    </row>
    <row r="7910" ht="15" customHeight="1">
      <c r="A7910" t="inlineStr">
        <is>
          <t>A 5958-2026</t>
        </is>
      </c>
      <c r="B7910" s="1" t="n">
        <v>46052.50318287037</v>
      </c>
      <c r="C7910" s="1" t="n">
        <v>46086</v>
      </c>
      <c r="D7910" t="inlineStr">
        <is>
          <t>GÄVLEBORGS LÄN</t>
        </is>
      </c>
      <c r="E7910" t="inlineStr">
        <is>
          <t>OCKELBO</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5973-2026</t>
        </is>
      </c>
      <c r="B7911" s="1" t="n">
        <v>46052.54758101852</v>
      </c>
      <c r="C7911" s="1" t="n">
        <v>46086</v>
      </c>
      <c r="D7911" t="inlineStr">
        <is>
          <t>GÄVLEBORGS LÄN</t>
        </is>
      </c>
      <c r="E7911" t="inlineStr">
        <is>
          <t>BOLLNÄS</t>
        </is>
      </c>
      <c r="G7911" t="n">
        <v>5.6</v>
      </c>
      <c r="H7911" t="n">
        <v>0</v>
      </c>
      <c r="I7911" t="n">
        <v>0</v>
      </c>
      <c r="J7911" t="n">
        <v>0</v>
      </c>
      <c r="K7911" t="n">
        <v>0</v>
      </c>
      <c r="L7911" t="n">
        <v>0</v>
      </c>
      <c r="M7911" t="n">
        <v>0</v>
      </c>
      <c r="N7911" t="n">
        <v>0</v>
      </c>
      <c r="O7911" t="n">
        <v>0</v>
      </c>
      <c r="P7911" t="n">
        <v>0</v>
      </c>
      <c r="Q7911" t="n">
        <v>0</v>
      </c>
      <c r="R7911" s="2" t="inlineStr"/>
    </row>
    <row r="7912" ht="15" customHeight="1">
      <c r="A7912" t="inlineStr">
        <is>
          <t>A 5995-2026</t>
        </is>
      </c>
      <c r="B7912" s="1" t="n">
        <v>46052.5744212963</v>
      </c>
      <c r="C7912" s="1" t="n">
        <v>46086</v>
      </c>
      <c r="D7912" t="inlineStr">
        <is>
          <t>GÄVLEBORGS LÄN</t>
        </is>
      </c>
      <c r="E7912" t="inlineStr">
        <is>
          <t>BOLLNÄS</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5996-2026</t>
        </is>
      </c>
      <c r="B7913" s="1" t="n">
        <v>46052.57585648148</v>
      </c>
      <c r="C7913" s="1" t="n">
        <v>46086</v>
      </c>
      <c r="D7913" t="inlineStr">
        <is>
          <t>GÄVLEBORGS LÄN</t>
        </is>
      </c>
      <c r="E7913" t="inlineStr">
        <is>
          <t>BOLLNÄS</t>
        </is>
      </c>
      <c r="G7913" t="n">
        <v>2.4</v>
      </c>
      <c r="H7913" t="n">
        <v>0</v>
      </c>
      <c r="I7913" t="n">
        <v>0</v>
      </c>
      <c r="J7913" t="n">
        <v>0</v>
      </c>
      <c r="K7913" t="n">
        <v>0</v>
      </c>
      <c r="L7913" t="n">
        <v>0</v>
      </c>
      <c r="M7913" t="n">
        <v>0</v>
      </c>
      <c r="N7913" t="n">
        <v>0</v>
      </c>
      <c r="O7913" t="n">
        <v>0</v>
      </c>
      <c r="P7913" t="n">
        <v>0</v>
      </c>
      <c r="Q7913" t="n">
        <v>0</v>
      </c>
      <c r="R7913" s="2" t="inlineStr"/>
    </row>
    <row r="7914" ht="15" customHeight="1">
      <c r="A7914" t="inlineStr">
        <is>
          <t>A 33974-2022</t>
        </is>
      </c>
      <c r="B7914" s="1" t="n">
        <v>44790</v>
      </c>
      <c r="C7914" s="1" t="n">
        <v>46086</v>
      </c>
      <c r="D7914" t="inlineStr">
        <is>
          <t>GÄVLEBORGS LÄN</t>
        </is>
      </c>
      <c r="E7914" t="inlineStr">
        <is>
          <t>NORDANSTIG</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11397-2023</t>
        </is>
      </c>
      <c r="B7915" s="1" t="n">
        <v>44988</v>
      </c>
      <c r="C7915" s="1" t="n">
        <v>46086</v>
      </c>
      <c r="D7915" t="inlineStr">
        <is>
          <t>GÄVLEBORGS LÄN</t>
        </is>
      </c>
      <c r="E7915" t="inlineStr">
        <is>
          <t>SANDVIKEN</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6005-2026</t>
        </is>
      </c>
      <c r="B7916" s="1" t="n">
        <v>46052.58637731482</v>
      </c>
      <c r="C7916" s="1" t="n">
        <v>46086</v>
      </c>
      <c r="D7916" t="inlineStr">
        <is>
          <t>GÄVLEBORGS LÄN</t>
        </is>
      </c>
      <c r="E7916" t="inlineStr">
        <is>
          <t>BOLLNÄS</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57694-2022</t>
        </is>
      </c>
      <c r="B7917" s="1" t="n">
        <v>44897.49520833333</v>
      </c>
      <c r="C7917" s="1" t="n">
        <v>46086</v>
      </c>
      <c r="D7917" t="inlineStr">
        <is>
          <t>GÄVLEBORGS LÄN</t>
        </is>
      </c>
      <c r="E7917" t="inlineStr">
        <is>
          <t>SÖDERHAMN</t>
        </is>
      </c>
      <c r="G7917" t="n">
        <v>8.1</v>
      </c>
      <c r="H7917" t="n">
        <v>0</v>
      </c>
      <c r="I7917" t="n">
        <v>0</v>
      </c>
      <c r="J7917" t="n">
        <v>0</v>
      </c>
      <c r="K7917" t="n">
        <v>0</v>
      </c>
      <c r="L7917" t="n">
        <v>0</v>
      </c>
      <c r="M7917" t="n">
        <v>0</v>
      </c>
      <c r="N7917" t="n">
        <v>0</v>
      </c>
      <c r="O7917" t="n">
        <v>0</v>
      </c>
      <c r="P7917" t="n">
        <v>0</v>
      </c>
      <c r="Q7917" t="n">
        <v>0</v>
      </c>
      <c r="R7917" s="2" t="inlineStr"/>
    </row>
    <row r="7918" ht="15" customHeight="1">
      <c r="A7918" t="inlineStr">
        <is>
          <t>A 6096-2026</t>
        </is>
      </c>
      <c r="B7918" s="1" t="n">
        <v>46052.72570601852</v>
      </c>
      <c r="C7918" s="1" t="n">
        <v>46086</v>
      </c>
      <c r="D7918" t="inlineStr">
        <is>
          <t>GÄVLEBORGS LÄN</t>
        </is>
      </c>
      <c r="E7918" t="inlineStr">
        <is>
          <t>BOLLNÄS</t>
        </is>
      </c>
      <c r="G7918" t="n">
        <v>16.8</v>
      </c>
      <c r="H7918" t="n">
        <v>0</v>
      </c>
      <c r="I7918" t="n">
        <v>0</v>
      </c>
      <c r="J7918" t="n">
        <v>0</v>
      </c>
      <c r="K7918" t="n">
        <v>0</v>
      </c>
      <c r="L7918" t="n">
        <v>0</v>
      </c>
      <c r="M7918" t="n">
        <v>0</v>
      </c>
      <c r="N7918" t="n">
        <v>0</v>
      </c>
      <c r="O7918" t="n">
        <v>0</v>
      </c>
      <c r="P7918" t="n">
        <v>0</v>
      </c>
      <c r="Q7918" t="n">
        <v>0</v>
      </c>
      <c r="R7918" s="2" t="inlineStr"/>
    </row>
    <row r="7919" ht="15" customHeight="1">
      <c r="A7919" t="inlineStr">
        <is>
          <t>A 6100-2026</t>
        </is>
      </c>
      <c r="B7919" s="1" t="n">
        <v>46052.84039351852</v>
      </c>
      <c r="C7919" s="1" t="n">
        <v>46086</v>
      </c>
      <c r="D7919" t="inlineStr">
        <is>
          <t>GÄVLEBORGS LÄN</t>
        </is>
      </c>
      <c r="E7919" t="inlineStr">
        <is>
          <t>SANDVIKEN</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6251-2026</t>
        </is>
      </c>
      <c r="B7920" s="1" t="n">
        <v>46055.4719212963</v>
      </c>
      <c r="C7920" s="1" t="n">
        <v>46086</v>
      </c>
      <c r="D7920" t="inlineStr">
        <is>
          <t>GÄVLEBORGS LÄN</t>
        </is>
      </c>
      <c r="E7920" t="inlineStr">
        <is>
          <t>BOLLNÄS</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5479-2026</t>
        </is>
      </c>
      <c r="B7921" s="1" t="n">
        <v>46050</v>
      </c>
      <c r="C7921" s="1" t="n">
        <v>46086</v>
      </c>
      <c r="D7921" t="inlineStr">
        <is>
          <t>GÄVLEBORGS LÄN</t>
        </is>
      </c>
      <c r="E7921" t="inlineStr">
        <is>
          <t>OVANÅKER</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6002-2026</t>
        </is>
      </c>
      <c r="B7922" s="1" t="n">
        <v>46052.58496527778</v>
      </c>
      <c r="C7922" s="1" t="n">
        <v>46086</v>
      </c>
      <c r="D7922" t="inlineStr">
        <is>
          <t>GÄVLEBORGS LÄN</t>
        </is>
      </c>
      <c r="E7922" t="inlineStr">
        <is>
          <t>BOLLNÄS</t>
        </is>
      </c>
      <c r="G7922" t="n">
        <v>3.2</v>
      </c>
      <c r="H7922" t="n">
        <v>0</v>
      </c>
      <c r="I7922" t="n">
        <v>0</v>
      </c>
      <c r="J7922" t="n">
        <v>0</v>
      </c>
      <c r="K7922" t="n">
        <v>0</v>
      </c>
      <c r="L7922" t="n">
        <v>0</v>
      </c>
      <c r="M7922" t="n">
        <v>0</v>
      </c>
      <c r="N7922" t="n">
        <v>0</v>
      </c>
      <c r="O7922" t="n">
        <v>0</v>
      </c>
      <c r="P7922" t="n">
        <v>0</v>
      </c>
      <c r="Q7922" t="n">
        <v>0</v>
      </c>
      <c r="R7922" s="2" t="inlineStr"/>
    </row>
    <row r="7923" ht="15" customHeight="1">
      <c r="A7923" t="inlineStr">
        <is>
          <t>A 6026-2026</t>
        </is>
      </c>
      <c r="B7923" s="1" t="n">
        <v>46052.60679398148</v>
      </c>
      <c r="C7923" s="1" t="n">
        <v>46086</v>
      </c>
      <c r="D7923" t="inlineStr">
        <is>
          <t>GÄVLEBORGS LÄN</t>
        </is>
      </c>
      <c r="E7923" t="inlineStr">
        <is>
          <t>BOLLNÄS</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6050-2026</t>
        </is>
      </c>
      <c r="B7924" s="1" t="n">
        <v>46052.63167824074</v>
      </c>
      <c r="C7924" s="1" t="n">
        <v>46086</v>
      </c>
      <c r="D7924" t="inlineStr">
        <is>
          <t>GÄVLEBORGS LÄN</t>
        </is>
      </c>
      <c r="E7924" t="inlineStr">
        <is>
          <t>BOLLNÄS</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6078-2026</t>
        </is>
      </c>
      <c r="B7925" s="1" t="n">
        <v>46052.66981481481</v>
      </c>
      <c r="C7925" s="1" t="n">
        <v>46086</v>
      </c>
      <c r="D7925" t="inlineStr">
        <is>
          <t>GÄVLEBORGS LÄN</t>
        </is>
      </c>
      <c r="E7925" t="inlineStr">
        <is>
          <t>SANDVIKEN</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6079-2026</t>
        </is>
      </c>
      <c r="B7926" s="1" t="n">
        <v>46052.67086805555</v>
      </c>
      <c r="C7926" s="1" t="n">
        <v>46086</v>
      </c>
      <c r="D7926" t="inlineStr">
        <is>
          <t>GÄVLEBORGS LÄN</t>
        </is>
      </c>
      <c r="E7926" t="inlineStr">
        <is>
          <t>SANDVIKEN</t>
        </is>
      </c>
      <c r="G7926" t="n">
        <v>3.8</v>
      </c>
      <c r="H7926" t="n">
        <v>0</v>
      </c>
      <c r="I7926" t="n">
        <v>0</v>
      </c>
      <c r="J7926" t="n">
        <v>0</v>
      </c>
      <c r="K7926" t="n">
        <v>0</v>
      </c>
      <c r="L7926" t="n">
        <v>0</v>
      </c>
      <c r="M7926" t="n">
        <v>0</v>
      </c>
      <c r="N7926" t="n">
        <v>0</v>
      </c>
      <c r="O7926" t="n">
        <v>0</v>
      </c>
      <c r="P7926" t="n">
        <v>0</v>
      </c>
      <c r="Q7926" t="n">
        <v>0</v>
      </c>
      <c r="R7926" s="2" t="inlineStr"/>
    </row>
    <row r="7927" ht="15" customHeight="1">
      <c r="A7927" t="inlineStr">
        <is>
          <t>A 6087-2026</t>
        </is>
      </c>
      <c r="B7927" s="1" t="n">
        <v>46052.70216435185</v>
      </c>
      <c r="C7927" s="1" t="n">
        <v>46086</v>
      </c>
      <c r="D7927" t="inlineStr">
        <is>
          <t>GÄVLEBORGS LÄN</t>
        </is>
      </c>
      <c r="E7927" t="inlineStr">
        <is>
          <t>BOLLNÄS</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5856-2026</t>
        </is>
      </c>
      <c r="B7928" s="1" t="n">
        <v>46052.36490740741</v>
      </c>
      <c r="C7928" s="1" t="n">
        <v>46086</v>
      </c>
      <c r="D7928" t="inlineStr">
        <is>
          <t>GÄVLEBORGS LÄN</t>
        </is>
      </c>
      <c r="E7928" t="inlineStr">
        <is>
          <t>BOLLNÄS</t>
        </is>
      </c>
      <c r="G7928" t="n">
        <v>3.2</v>
      </c>
      <c r="H7928" t="n">
        <v>0</v>
      </c>
      <c r="I7928" t="n">
        <v>0</v>
      </c>
      <c r="J7928" t="n">
        <v>0</v>
      </c>
      <c r="K7928" t="n">
        <v>0</v>
      </c>
      <c r="L7928" t="n">
        <v>0</v>
      </c>
      <c r="M7928" t="n">
        <v>0</v>
      </c>
      <c r="N7928" t="n">
        <v>0</v>
      </c>
      <c r="O7928" t="n">
        <v>0</v>
      </c>
      <c r="P7928" t="n">
        <v>0</v>
      </c>
      <c r="Q7928" t="n">
        <v>0</v>
      </c>
      <c r="R7928" s="2" t="inlineStr"/>
    </row>
    <row r="7929" ht="15" customHeight="1">
      <c r="A7929" t="inlineStr">
        <is>
          <t>A 5901-2026</t>
        </is>
      </c>
      <c r="B7929" s="1" t="n">
        <v>46052.43152777778</v>
      </c>
      <c r="C7929" s="1" t="n">
        <v>46086</v>
      </c>
      <c r="D7929" t="inlineStr">
        <is>
          <t>GÄVLEBORGS LÄN</t>
        </is>
      </c>
      <c r="E7929" t="inlineStr">
        <is>
          <t>BOLLNÄS</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5887-2026</t>
        </is>
      </c>
      <c r="B7930" s="1" t="n">
        <v>46052.41415509259</v>
      </c>
      <c r="C7930" s="1" t="n">
        <v>46086</v>
      </c>
      <c r="D7930" t="inlineStr">
        <is>
          <t>GÄVLEBORGS LÄN</t>
        </is>
      </c>
      <c r="E7930" t="inlineStr">
        <is>
          <t>OCKELBO</t>
        </is>
      </c>
      <c r="G7930" t="n">
        <v>3.9</v>
      </c>
      <c r="H7930" t="n">
        <v>0</v>
      </c>
      <c r="I7930" t="n">
        <v>0</v>
      </c>
      <c r="J7930" t="n">
        <v>0</v>
      </c>
      <c r="K7930" t="n">
        <v>0</v>
      </c>
      <c r="L7930" t="n">
        <v>0</v>
      </c>
      <c r="M7930" t="n">
        <v>0</v>
      </c>
      <c r="N7930" t="n">
        <v>0</v>
      </c>
      <c r="O7930" t="n">
        <v>0</v>
      </c>
      <c r="P7930" t="n">
        <v>0</v>
      </c>
      <c r="Q7930" t="n">
        <v>0</v>
      </c>
      <c r="R7930" s="2" t="inlineStr"/>
    </row>
    <row r="7931" ht="15" customHeight="1">
      <c r="A7931" t="inlineStr">
        <is>
          <t>A 34976-2024</t>
        </is>
      </c>
      <c r="B7931" s="1" t="n">
        <v>45527.5432175926</v>
      </c>
      <c r="C7931" s="1" t="n">
        <v>46086</v>
      </c>
      <c r="D7931" t="inlineStr">
        <is>
          <t>GÄVLEBORGS LÄN</t>
        </is>
      </c>
      <c r="E7931" t="inlineStr">
        <is>
          <t>SÖDERHAMN</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34982-2024</t>
        </is>
      </c>
      <c r="B7932" s="1" t="n">
        <v>45527.54805555556</v>
      </c>
      <c r="C7932" s="1" t="n">
        <v>46086</v>
      </c>
      <c r="D7932" t="inlineStr">
        <is>
          <t>GÄVLEBORGS LÄN</t>
        </is>
      </c>
      <c r="E7932" t="inlineStr">
        <is>
          <t>HUDIKSVALL</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34986-2024</t>
        </is>
      </c>
      <c r="B7933" s="1" t="n">
        <v>45527</v>
      </c>
      <c r="C7933" s="1" t="n">
        <v>46086</v>
      </c>
      <c r="D7933" t="inlineStr">
        <is>
          <t>GÄVLEBORGS LÄN</t>
        </is>
      </c>
      <c r="E7933" t="inlineStr">
        <is>
          <t>LJUSDAL</t>
        </is>
      </c>
      <c r="F7933" t="inlineStr">
        <is>
          <t>Sveaskog</t>
        </is>
      </c>
      <c r="G7933" t="n">
        <v>8.5</v>
      </c>
      <c r="H7933" t="n">
        <v>0</v>
      </c>
      <c r="I7933" t="n">
        <v>0</v>
      </c>
      <c r="J7933" t="n">
        <v>0</v>
      </c>
      <c r="K7933" t="n">
        <v>0</v>
      </c>
      <c r="L7933" t="n">
        <v>0</v>
      </c>
      <c r="M7933" t="n">
        <v>0</v>
      </c>
      <c r="N7933" t="n">
        <v>0</v>
      </c>
      <c r="O7933" t="n">
        <v>0</v>
      </c>
      <c r="P7933" t="n">
        <v>0</v>
      </c>
      <c r="Q7933" t="n">
        <v>0</v>
      </c>
      <c r="R7933" s="2" t="inlineStr"/>
    </row>
    <row r="7934" ht="15" customHeight="1">
      <c r="A7934" t="inlineStr">
        <is>
          <t>A 34989-2024</t>
        </is>
      </c>
      <c r="B7934" s="1" t="n">
        <v>45527.55215277777</v>
      </c>
      <c r="C7934" s="1" t="n">
        <v>46086</v>
      </c>
      <c r="D7934" t="inlineStr">
        <is>
          <t>GÄVLEBORGS LÄN</t>
        </is>
      </c>
      <c r="E7934" t="inlineStr">
        <is>
          <t>LJUSDAL</t>
        </is>
      </c>
      <c r="F7934" t="inlineStr">
        <is>
          <t>Sveaskog</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64109-2025</t>
        </is>
      </c>
      <c r="B7935" s="1" t="n">
        <v>46013</v>
      </c>
      <c r="C7935" s="1" t="n">
        <v>46086</v>
      </c>
      <c r="D7935" t="inlineStr">
        <is>
          <t>GÄVLEBORGS LÄN</t>
        </is>
      </c>
      <c r="E7935" t="inlineStr">
        <is>
          <t>BOLLNÄS</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4003-2026</t>
        </is>
      </c>
      <c r="B7936" s="1" t="n">
        <v>46044</v>
      </c>
      <c r="C7936" s="1" t="n">
        <v>46086</v>
      </c>
      <c r="D7936" t="inlineStr">
        <is>
          <t>GÄVLEBORGS LÄN</t>
        </is>
      </c>
      <c r="E7936" t="inlineStr">
        <is>
          <t>NORDANSTIG</t>
        </is>
      </c>
      <c r="G7936" t="n">
        <v>6</v>
      </c>
      <c r="H7936" t="n">
        <v>0</v>
      </c>
      <c r="I7936" t="n">
        <v>0</v>
      </c>
      <c r="J7936" t="n">
        <v>0</v>
      </c>
      <c r="K7936" t="n">
        <v>0</v>
      </c>
      <c r="L7936" t="n">
        <v>0</v>
      </c>
      <c r="M7936" t="n">
        <v>0</v>
      </c>
      <c r="N7936" t="n">
        <v>0</v>
      </c>
      <c r="O7936" t="n">
        <v>0</v>
      </c>
      <c r="P7936" t="n">
        <v>0</v>
      </c>
      <c r="Q7936" t="n">
        <v>0</v>
      </c>
      <c r="R7936" s="2" t="inlineStr"/>
    </row>
    <row r="7937" ht="15" customHeight="1">
      <c r="A7937" t="inlineStr">
        <is>
          <t>A 63314-2025</t>
        </is>
      </c>
      <c r="B7937" s="1" t="n">
        <v>46010</v>
      </c>
      <c r="C7937" s="1" t="n">
        <v>46086</v>
      </c>
      <c r="D7937" t="inlineStr">
        <is>
          <t>GÄVLEBORGS LÄN</t>
        </is>
      </c>
      <c r="E7937" t="inlineStr">
        <is>
          <t>NORDANSTIG</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6025-2026</t>
        </is>
      </c>
      <c r="B7938" s="1" t="n">
        <v>46052.60608796297</v>
      </c>
      <c r="C7938" s="1" t="n">
        <v>46086</v>
      </c>
      <c r="D7938" t="inlineStr">
        <is>
          <t>GÄVLEBORGS LÄN</t>
        </is>
      </c>
      <c r="E7938" t="inlineStr">
        <is>
          <t>BOLLNÄS</t>
        </is>
      </c>
      <c r="G7938" t="n">
        <v>34.4</v>
      </c>
      <c r="H7938" t="n">
        <v>0</v>
      </c>
      <c r="I7938" t="n">
        <v>0</v>
      </c>
      <c r="J7938" t="n">
        <v>0</v>
      </c>
      <c r="K7938" t="n">
        <v>0</v>
      </c>
      <c r="L7938" t="n">
        <v>0</v>
      </c>
      <c r="M7938" t="n">
        <v>0</v>
      </c>
      <c r="N7938" t="n">
        <v>0</v>
      </c>
      <c r="O7938" t="n">
        <v>0</v>
      </c>
      <c r="P7938" t="n">
        <v>0</v>
      </c>
      <c r="Q7938" t="n">
        <v>0</v>
      </c>
      <c r="R7938" s="2" t="inlineStr"/>
    </row>
    <row r="7939" ht="15" customHeight="1">
      <c r="A7939" t="inlineStr">
        <is>
          <t>A 6323-2026</t>
        </is>
      </c>
      <c r="B7939" s="1" t="n">
        <v>46055.58607638889</v>
      </c>
      <c r="C7939" s="1" t="n">
        <v>46086</v>
      </c>
      <c r="D7939" t="inlineStr">
        <is>
          <t>GÄVLEBORGS LÄN</t>
        </is>
      </c>
      <c r="E7939" t="inlineStr">
        <is>
          <t>BOLLNÄS</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6338-2026</t>
        </is>
      </c>
      <c r="B7940" s="1" t="n">
        <v>46055.59766203703</v>
      </c>
      <c r="C7940" s="1" t="n">
        <v>46086</v>
      </c>
      <c r="D7940" t="inlineStr">
        <is>
          <t>GÄVLEBORGS LÄN</t>
        </is>
      </c>
      <c r="E7940" t="inlineStr">
        <is>
          <t>OCKELBO</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6341-2026</t>
        </is>
      </c>
      <c r="B7941" s="1" t="n">
        <v>46055.60109953704</v>
      </c>
      <c r="C7941" s="1" t="n">
        <v>46086</v>
      </c>
      <c r="D7941" t="inlineStr">
        <is>
          <t>GÄVLEBORGS LÄN</t>
        </is>
      </c>
      <c r="E7941" t="inlineStr">
        <is>
          <t>OCKELBO</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52783-2024</t>
        </is>
      </c>
      <c r="B7942" s="1" t="n">
        <v>45610.55241898148</v>
      </c>
      <c r="C7942" s="1" t="n">
        <v>46086</v>
      </c>
      <c r="D7942" t="inlineStr">
        <is>
          <t>GÄVLEBORGS LÄN</t>
        </is>
      </c>
      <c r="E7942" t="inlineStr">
        <is>
          <t>LJUSDAL</t>
        </is>
      </c>
      <c r="F7942" t="inlineStr">
        <is>
          <t>SCA</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53399-2024</t>
        </is>
      </c>
      <c r="B7943" s="1" t="n">
        <v>45614.48822916667</v>
      </c>
      <c r="C7943" s="1" t="n">
        <v>46086</v>
      </c>
      <c r="D7943" t="inlineStr">
        <is>
          <t>GÄVLEBORGS LÄN</t>
        </is>
      </c>
      <c r="E7943" t="inlineStr">
        <is>
          <t>OVANÅKER</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59817-2023</t>
        </is>
      </c>
      <c r="B7944" s="1" t="n">
        <v>45257.52494212963</v>
      </c>
      <c r="C7944" s="1" t="n">
        <v>46086</v>
      </c>
      <c r="D7944" t="inlineStr">
        <is>
          <t>GÄVLEBORGS LÄN</t>
        </is>
      </c>
      <c r="E7944" t="inlineStr">
        <is>
          <t>GÄVLE</t>
        </is>
      </c>
      <c r="F7944" t="inlineStr">
        <is>
          <t>Bergvik skog väst AB</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63310-2025</t>
        </is>
      </c>
      <c r="B7945" s="1" t="n">
        <v>46010.6206712963</v>
      </c>
      <c r="C7945" s="1" t="n">
        <v>46086</v>
      </c>
      <c r="D7945" t="inlineStr">
        <is>
          <t>GÄVLEBORGS LÄN</t>
        </is>
      </c>
      <c r="E7945" t="inlineStr">
        <is>
          <t>OVANÅKER</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48799-2023</t>
        </is>
      </c>
      <c r="B7946" s="1" t="n">
        <v>45209.25542824074</v>
      </c>
      <c r="C7946" s="1" t="n">
        <v>46086</v>
      </c>
      <c r="D7946" t="inlineStr">
        <is>
          <t>GÄVLEBORGS LÄN</t>
        </is>
      </c>
      <c r="E7946" t="inlineStr">
        <is>
          <t>SANDVIKEN</t>
        </is>
      </c>
      <c r="F7946" t="inlineStr">
        <is>
          <t>Bergvik skog öst AB</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6171-2026</t>
        </is>
      </c>
      <c r="B7947" s="1" t="n">
        <v>46055.33916666666</v>
      </c>
      <c r="C7947" s="1" t="n">
        <v>46086</v>
      </c>
      <c r="D7947" t="inlineStr">
        <is>
          <t>GÄVLEBORGS LÄN</t>
        </is>
      </c>
      <c r="E7947" t="inlineStr">
        <is>
          <t>BOLLNÄS</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6199-2026</t>
        </is>
      </c>
      <c r="B7948" s="1" t="n">
        <v>46055.40554398148</v>
      </c>
      <c r="C7948" s="1" t="n">
        <v>46086</v>
      </c>
      <c r="D7948" t="inlineStr">
        <is>
          <t>GÄVLEBORGS LÄN</t>
        </is>
      </c>
      <c r="E7948" t="inlineStr">
        <is>
          <t>OVANÅKER</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6204-2026</t>
        </is>
      </c>
      <c r="B7949" s="1" t="n">
        <v>46055.4175925926</v>
      </c>
      <c r="C7949" s="1" t="n">
        <v>46086</v>
      </c>
      <c r="D7949" t="inlineStr">
        <is>
          <t>GÄVLEBORGS LÄN</t>
        </is>
      </c>
      <c r="E7949" t="inlineStr">
        <is>
          <t>OCKELBO</t>
        </is>
      </c>
      <c r="G7949" t="n">
        <v>1.8</v>
      </c>
      <c r="H7949" t="n">
        <v>0</v>
      </c>
      <c r="I7949" t="n">
        <v>0</v>
      </c>
      <c r="J7949" t="n">
        <v>0</v>
      </c>
      <c r="K7949" t="n">
        <v>0</v>
      </c>
      <c r="L7949" t="n">
        <v>0</v>
      </c>
      <c r="M7949" t="n">
        <v>0</v>
      </c>
      <c r="N7949" t="n">
        <v>0</v>
      </c>
      <c r="O7949" t="n">
        <v>0</v>
      </c>
      <c r="P7949" t="n">
        <v>0</v>
      </c>
      <c r="Q7949" t="n">
        <v>0</v>
      </c>
      <c r="R7949" s="2" t="inlineStr"/>
    </row>
    <row r="7950" ht="15" customHeight="1">
      <c r="A7950" t="inlineStr">
        <is>
          <t>A 26316-2025</t>
        </is>
      </c>
      <c r="B7950" s="1" t="n">
        <v>45805</v>
      </c>
      <c r="C7950" s="1" t="n">
        <v>46086</v>
      </c>
      <c r="D7950" t="inlineStr">
        <is>
          <t>GÄVLEBORGS LÄN</t>
        </is>
      </c>
      <c r="E7950" t="inlineStr">
        <is>
          <t>OVANÅKER</t>
        </is>
      </c>
      <c r="G7950" t="n">
        <v>4.2</v>
      </c>
      <c r="H7950" t="n">
        <v>0</v>
      </c>
      <c r="I7950" t="n">
        <v>0</v>
      </c>
      <c r="J7950" t="n">
        <v>0</v>
      </c>
      <c r="K7950" t="n">
        <v>0</v>
      </c>
      <c r="L7950" t="n">
        <v>0</v>
      </c>
      <c r="M7950" t="n">
        <v>0</v>
      </c>
      <c r="N7950" t="n">
        <v>0</v>
      </c>
      <c r="O7950" t="n">
        <v>0</v>
      </c>
      <c r="P7950" t="n">
        <v>0</v>
      </c>
      <c r="Q7950" t="n">
        <v>0</v>
      </c>
      <c r="R7950" s="2" t="inlineStr"/>
    </row>
    <row r="7951" ht="15" customHeight="1">
      <c r="A7951" t="inlineStr">
        <is>
          <t>A 45549-2024</t>
        </is>
      </c>
      <c r="B7951" s="1" t="n">
        <v>45579.34450231482</v>
      </c>
      <c r="C7951" s="1" t="n">
        <v>46086</v>
      </c>
      <c r="D7951" t="inlineStr">
        <is>
          <t>GÄVLEBORGS LÄN</t>
        </is>
      </c>
      <c r="E7951" t="inlineStr">
        <is>
          <t>NORDANSTIG</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63197-2025</t>
        </is>
      </c>
      <c r="B7952" s="1" t="n">
        <v>46010.45914351852</v>
      </c>
      <c r="C7952" s="1" t="n">
        <v>46086</v>
      </c>
      <c r="D7952" t="inlineStr">
        <is>
          <t>GÄVLEBORGS LÄN</t>
        </is>
      </c>
      <c r="E7952" t="inlineStr">
        <is>
          <t>BOLLNÄS</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63200-2025</t>
        </is>
      </c>
      <c r="B7953" s="1" t="n">
        <v>46010.46172453704</v>
      </c>
      <c r="C7953" s="1" t="n">
        <v>46086</v>
      </c>
      <c r="D7953" t="inlineStr">
        <is>
          <t>GÄVLEBORGS LÄN</t>
        </is>
      </c>
      <c r="E7953" t="inlineStr">
        <is>
          <t>BOLLNÄS</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6237-2026</t>
        </is>
      </c>
      <c r="B7954" s="1" t="n">
        <v>46055.45340277778</v>
      </c>
      <c r="C7954" s="1" t="n">
        <v>46086</v>
      </c>
      <c r="D7954" t="inlineStr">
        <is>
          <t>GÄVLEBORGS LÄN</t>
        </is>
      </c>
      <c r="E7954" t="inlineStr">
        <is>
          <t>OVANÅKER</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7532-2025</t>
        </is>
      </c>
      <c r="B7955" s="1" t="n">
        <v>45705.560625</v>
      </c>
      <c r="C7955" s="1" t="n">
        <v>46086</v>
      </c>
      <c r="D7955" t="inlineStr">
        <is>
          <t>GÄVLEBORGS LÄN</t>
        </is>
      </c>
      <c r="E7955" t="inlineStr">
        <is>
          <t>HUDIKSVALL</t>
        </is>
      </c>
      <c r="F7955" t="inlineStr">
        <is>
          <t>Holmen skog AB</t>
        </is>
      </c>
      <c r="G7955" t="n">
        <v>4.8</v>
      </c>
      <c r="H7955" t="n">
        <v>0</v>
      </c>
      <c r="I7955" t="n">
        <v>0</v>
      </c>
      <c r="J7955" t="n">
        <v>0</v>
      </c>
      <c r="K7955" t="n">
        <v>0</v>
      </c>
      <c r="L7955" t="n">
        <v>0</v>
      </c>
      <c r="M7955" t="n">
        <v>0</v>
      </c>
      <c r="N7955" t="n">
        <v>0</v>
      </c>
      <c r="O7955" t="n">
        <v>0</v>
      </c>
      <c r="P7955" t="n">
        <v>0</v>
      </c>
      <c r="Q7955" t="n">
        <v>0</v>
      </c>
      <c r="R7955" s="2" t="inlineStr"/>
    </row>
    <row r="7956" ht="15" customHeight="1">
      <c r="A7956" t="inlineStr">
        <is>
          <t>A 6432-2026</t>
        </is>
      </c>
      <c r="B7956" s="1" t="n">
        <v>46055.75491898148</v>
      </c>
      <c r="C7956" s="1" t="n">
        <v>46086</v>
      </c>
      <c r="D7956" t="inlineStr">
        <is>
          <t>GÄVLEBORGS LÄN</t>
        </is>
      </c>
      <c r="E7956" t="inlineStr">
        <is>
          <t>BOLLNÄS</t>
        </is>
      </c>
      <c r="F7956" t="inlineStr">
        <is>
          <t>Bergvik skog väst AB</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10333-2025</t>
        </is>
      </c>
      <c r="B7957" s="1" t="n">
        <v>45720.48692129629</v>
      </c>
      <c r="C7957" s="1" t="n">
        <v>46086</v>
      </c>
      <c r="D7957" t="inlineStr">
        <is>
          <t>GÄVLEBORGS LÄN</t>
        </is>
      </c>
      <c r="E7957" t="inlineStr">
        <is>
          <t>GÄVLE</t>
        </is>
      </c>
      <c r="F7957" t="inlineStr">
        <is>
          <t>Bergvik skog öst AB</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6436-2026</t>
        </is>
      </c>
      <c r="B7958" s="1" t="n">
        <v>46055.77675925926</v>
      </c>
      <c r="C7958" s="1" t="n">
        <v>46086</v>
      </c>
      <c r="D7958" t="inlineStr">
        <is>
          <t>GÄVLEBORGS LÄN</t>
        </is>
      </c>
      <c r="E7958" t="inlineStr">
        <is>
          <t>BOLLNÄS</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6287-2026</t>
        </is>
      </c>
      <c r="B7959" s="1" t="n">
        <v>46055.55038194444</v>
      </c>
      <c r="C7959" s="1" t="n">
        <v>46086</v>
      </c>
      <c r="D7959" t="inlineStr">
        <is>
          <t>GÄVLEBORGS LÄN</t>
        </is>
      </c>
      <c r="E7959" t="inlineStr">
        <is>
          <t>NORDANSTIG</t>
        </is>
      </c>
      <c r="F7959" t="inlineStr">
        <is>
          <t>Holmen skog AB</t>
        </is>
      </c>
      <c r="G7959" t="n">
        <v>3.5</v>
      </c>
      <c r="H7959" t="n">
        <v>0</v>
      </c>
      <c r="I7959" t="n">
        <v>0</v>
      </c>
      <c r="J7959" t="n">
        <v>0</v>
      </c>
      <c r="K7959" t="n">
        <v>0</v>
      </c>
      <c r="L7959" t="n">
        <v>0</v>
      </c>
      <c r="M7959" t="n">
        <v>0</v>
      </c>
      <c r="N7959" t="n">
        <v>0</v>
      </c>
      <c r="O7959" t="n">
        <v>0</v>
      </c>
      <c r="P7959" t="n">
        <v>0</v>
      </c>
      <c r="Q7959" t="n">
        <v>0</v>
      </c>
      <c r="R7959" s="2" t="inlineStr"/>
    </row>
    <row r="7960" ht="15" customHeight="1">
      <c r="A7960" t="inlineStr">
        <is>
          <t>A 6326-2026</t>
        </is>
      </c>
      <c r="B7960" s="1" t="n">
        <v>46055.58804398148</v>
      </c>
      <c r="C7960" s="1" t="n">
        <v>46086</v>
      </c>
      <c r="D7960" t="inlineStr">
        <is>
          <t>GÄVLEBORGS LÄN</t>
        </is>
      </c>
      <c r="E7960" t="inlineStr">
        <is>
          <t>BOLLNÄS</t>
        </is>
      </c>
      <c r="G7960" t="n">
        <v>4.3</v>
      </c>
      <c r="H7960" t="n">
        <v>0</v>
      </c>
      <c r="I7960" t="n">
        <v>0</v>
      </c>
      <c r="J7960" t="n">
        <v>0</v>
      </c>
      <c r="K7960" t="n">
        <v>0</v>
      </c>
      <c r="L7960" t="n">
        <v>0</v>
      </c>
      <c r="M7960" t="n">
        <v>0</v>
      </c>
      <c r="N7960" t="n">
        <v>0</v>
      </c>
      <c r="O7960" t="n">
        <v>0</v>
      </c>
      <c r="P7960" t="n">
        <v>0</v>
      </c>
      <c r="Q7960" t="n">
        <v>0</v>
      </c>
      <c r="R7960" s="2" t="inlineStr"/>
    </row>
    <row r="7961" ht="15" customHeight="1">
      <c r="A7961" t="inlineStr">
        <is>
          <t>A 6292-2026</t>
        </is>
      </c>
      <c r="B7961" s="1" t="n">
        <v>46055.55726851852</v>
      </c>
      <c r="C7961" s="1" t="n">
        <v>46086</v>
      </c>
      <c r="D7961" t="inlineStr">
        <is>
          <t>GÄVLEBORGS LÄN</t>
        </is>
      </c>
      <c r="E7961" t="inlineStr">
        <is>
          <t>BOLLNÄS</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6140-2026</t>
        </is>
      </c>
      <c r="B7962" s="1" t="n">
        <v>46054.7784837963</v>
      </c>
      <c r="C7962" s="1" t="n">
        <v>46086</v>
      </c>
      <c r="D7962" t="inlineStr">
        <is>
          <t>GÄVLEBORGS LÄN</t>
        </is>
      </c>
      <c r="E7962" t="inlineStr">
        <is>
          <t>HUDIKSVALL</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62126-2023</t>
        </is>
      </c>
      <c r="B7963" s="1" t="n">
        <v>45267</v>
      </c>
      <c r="C7963" s="1" t="n">
        <v>46086</v>
      </c>
      <c r="D7963" t="inlineStr">
        <is>
          <t>GÄVLEBORGS LÄN</t>
        </is>
      </c>
      <c r="E7963" t="inlineStr">
        <is>
          <t>OVANÅKER</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51922-2022</t>
        </is>
      </c>
      <c r="B7964" s="1" t="n">
        <v>44872</v>
      </c>
      <c r="C7964" s="1" t="n">
        <v>46086</v>
      </c>
      <c r="D7964" t="inlineStr">
        <is>
          <t>GÄVLEBORGS LÄN</t>
        </is>
      </c>
      <c r="E7964" t="inlineStr">
        <is>
          <t>LJUSDAL</t>
        </is>
      </c>
      <c r="F7964" t="inlineStr">
        <is>
          <t>Kommuner</t>
        </is>
      </c>
      <c r="G7964" t="n">
        <v>5</v>
      </c>
      <c r="H7964" t="n">
        <v>0</v>
      </c>
      <c r="I7964" t="n">
        <v>0</v>
      </c>
      <c r="J7964" t="n">
        <v>0</v>
      </c>
      <c r="K7964" t="n">
        <v>0</v>
      </c>
      <c r="L7964" t="n">
        <v>0</v>
      </c>
      <c r="M7964" t="n">
        <v>0</v>
      </c>
      <c r="N7964" t="n">
        <v>0</v>
      </c>
      <c r="O7964" t="n">
        <v>0</v>
      </c>
      <c r="P7964" t="n">
        <v>0</v>
      </c>
      <c r="Q7964" t="n">
        <v>0</v>
      </c>
      <c r="R7964" s="2" t="inlineStr"/>
    </row>
    <row r="7965" ht="15" customHeight="1">
      <c r="A7965" t="inlineStr">
        <is>
          <t>A 26377-2023</t>
        </is>
      </c>
      <c r="B7965" s="1" t="n">
        <v>45092.28179398148</v>
      </c>
      <c r="C7965" s="1" t="n">
        <v>46086</v>
      </c>
      <c r="D7965" t="inlineStr">
        <is>
          <t>GÄVLEBORGS LÄN</t>
        </is>
      </c>
      <c r="E7965" t="inlineStr">
        <is>
          <t>BOLLNÄS</t>
        </is>
      </c>
      <c r="G7965" t="n">
        <v>2.8</v>
      </c>
      <c r="H7965" t="n">
        <v>0</v>
      </c>
      <c r="I7965" t="n">
        <v>0</v>
      </c>
      <c r="J7965" t="n">
        <v>0</v>
      </c>
      <c r="K7965" t="n">
        <v>0</v>
      </c>
      <c r="L7965" t="n">
        <v>0</v>
      </c>
      <c r="M7965" t="n">
        <v>0</v>
      </c>
      <c r="N7965" t="n">
        <v>0</v>
      </c>
      <c r="O7965" t="n">
        <v>0</v>
      </c>
      <c r="P7965" t="n">
        <v>0</v>
      </c>
      <c r="Q7965" t="n">
        <v>0</v>
      </c>
      <c r="R7965" s="2" t="inlineStr"/>
    </row>
    <row r="7966" ht="15" customHeight="1">
      <c r="A7966" t="inlineStr">
        <is>
          <t>A 63865-2023</t>
        </is>
      </c>
      <c r="B7966" s="1" t="n">
        <v>45278.50369212963</v>
      </c>
      <c r="C7966" s="1" t="n">
        <v>46086</v>
      </c>
      <c r="D7966" t="inlineStr">
        <is>
          <t>GÄVLEBORGS LÄN</t>
        </is>
      </c>
      <c r="E7966" t="inlineStr">
        <is>
          <t>BOLLNÄS</t>
        </is>
      </c>
      <c r="G7966" t="n">
        <v>0.4</v>
      </c>
      <c r="H7966" t="n">
        <v>0</v>
      </c>
      <c r="I7966" t="n">
        <v>0</v>
      </c>
      <c r="J7966" t="n">
        <v>0</v>
      </c>
      <c r="K7966" t="n">
        <v>0</v>
      </c>
      <c r="L7966" t="n">
        <v>0</v>
      </c>
      <c r="M7966" t="n">
        <v>0</v>
      </c>
      <c r="N7966" t="n">
        <v>0</v>
      </c>
      <c r="O7966" t="n">
        <v>0</v>
      </c>
      <c r="P7966" t="n">
        <v>0</v>
      </c>
      <c r="Q7966" t="n">
        <v>0</v>
      </c>
      <c r="R7966" s="2" t="inlineStr"/>
    </row>
    <row r="7967" ht="15" customHeight="1">
      <c r="A7967" t="inlineStr">
        <is>
          <t>A 63868-2023</t>
        </is>
      </c>
      <c r="B7967" s="1" t="n">
        <v>45278.50765046296</v>
      </c>
      <c r="C7967" s="1" t="n">
        <v>46086</v>
      </c>
      <c r="D7967" t="inlineStr">
        <is>
          <t>GÄVLEBORGS LÄN</t>
        </is>
      </c>
      <c r="E7967" t="inlineStr">
        <is>
          <t>BOLLNÄS</t>
        </is>
      </c>
      <c r="G7967" t="n">
        <v>0.3</v>
      </c>
      <c r="H7967" t="n">
        <v>0</v>
      </c>
      <c r="I7967" t="n">
        <v>0</v>
      </c>
      <c r="J7967" t="n">
        <v>0</v>
      </c>
      <c r="K7967" t="n">
        <v>0</v>
      </c>
      <c r="L7967" t="n">
        <v>0</v>
      </c>
      <c r="M7967" t="n">
        <v>0</v>
      </c>
      <c r="N7967" t="n">
        <v>0</v>
      </c>
      <c r="O7967" t="n">
        <v>0</v>
      </c>
      <c r="P7967" t="n">
        <v>0</v>
      </c>
      <c r="Q7967" t="n">
        <v>0</v>
      </c>
      <c r="R7967" s="2" t="inlineStr"/>
    </row>
    <row r="7968" ht="15" customHeight="1">
      <c r="A7968" t="inlineStr">
        <is>
          <t>A 30877-2023</t>
        </is>
      </c>
      <c r="B7968" s="1" t="n">
        <v>45113.32282407407</v>
      </c>
      <c r="C7968" s="1" t="n">
        <v>46086</v>
      </c>
      <c r="D7968" t="inlineStr">
        <is>
          <t>GÄVLEBORGS LÄN</t>
        </is>
      </c>
      <c r="E7968" t="inlineStr">
        <is>
          <t>BOLLNÄS</t>
        </is>
      </c>
      <c r="G7968" t="n">
        <v>3.1</v>
      </c>
      <c r="H7968" t="n">
        <v>0</v>
      </c>
      <c r="I7968" t="n">
        <v>0</v>
      </c>
      <c r="J7968" t="n">
        <v>0</v>
      </c>
      <c r="K7968" t="n">
        <v>0</v>
      </c>
      <c r="L7968" t="n">
        <v>0</v>
      </c>
      <c r="M7968" t="n">
        <v>0</v>
      </c>
      <c r="N7968" t="n">
        <v>0</v>
      </c>
      <c r="O7968" t="n">
        <v>0</v>
      </c>
      <c r="P7968" t="n">
        <v>0</v>
      </c>
      <c r="Q7968" t="n">
        <v>0</v>
      </c>
      <c r="R7968" s="2" t="inlineStr"/>
    </row>
    <row r="7969" ht="15" customHeight="1">
      <c r="A7969" t="inlineStr">
        <is>
          <t>A 6101-2026</t>
        </is>
      </c>
      <c r="B7969" s="1" t="n">
        <v>46052.84206018518</v>
      </c>
      <c r="C7969" s="1" t="n">
        <v>46086</v>
      </c>
      <c r="D7969" t="inlineStr">
        <is>
          <t>GÄVLEBORGS LÄN</t>
        </is>
      </c>
      <c r="E7969" t="inlineStr">
        <is>
          <t>SANDVIKEN</t>
        </is>
      </c>
      <c r="G7969" t="n">
        <v>3.1</v>
      </c>
      <c r="H7969" t="n">
        <v>0</v>
      </c>
      <c r="I7969" t="n">
        <v>0</v>
      </c>
      <c r="J7969" t="n">
        <v>0</v>
      </c>
      <c r="K7969" t="n">
        <v>0</v>
      </c>
      <c r="L7969" t="n">
        <v>0</v>
      </c>
      <c r="M7969" t="n">
        <v>0</v>
      </c>
      <c r="N7969" t="n">
        <v>0</v>
      </c>
      <c r="O7969" t="n">
        <v>0</v>
      </c>
      <c r="P7969" t="n">
        <v>0</v>
      </c>
      <c r="Q7969" t="n">
        <v>0</v>
      </c>
      <c r="R7969" s="2" t="inlineStr"/>
    </row>
    <row r="7970" ht="15" customHeight="1">
      <c r="A7970" t="inlineStr">
        <is>
          <t>A 6118-2026</t>
        </is>
      </c>
      <c r="B7970" s="1" t="n">
        <v>46053.48377314815</v>
      </c>
      <c r="C7970" s="1" t="n">
        <v>46086</v>
      </c>
      <c r="D7970" t="inlineStr">
        <is>
          <t>GÄVLEBORGS LÄN</t>
        </is>
      </c>
      <c r="E7970" t="inlineStr">
        <is>
          <t>NORDANSTIG</t>
        </is>
      </c>
      <c r="G7970" t="n">
        <v>3.2</v>
      </c>
      <c r="H7970" t="n">
        <v>0</v>
      </c>
      <c r="I7970" t="n">
        <v>0</v>
      </c>
      <c r="J7970" t="n">
        <v>0</v>
      </c>
      <c r="K7970" t="n">
        <v>0</v>
      </c>
      <c r="L7970" t="n">
        <v>0</v>
      </c>
      <c r="M7970" t="n">
        <v>0</v>
      </c>
      <c r="N7970" t="n">
        <v>0</v>
      </c>
      <c r="O7970" t="n">
        <v>0</v>
      </c>
      <c r="P7970" t="n">
        <v>0</v>
      </c>
      <c r="Q7970" t="n">
        <v>0</v>
      </c>
      <c r="R7970" s="2" t="inlineStr"/>
    </row>
    <row r="7971" ht="15" customHeight="1">
      <c r="A7971" t="inlineStr">
        <is>
          <t>A 6119-2026</t>
        </is>
      </c>
      <c r="B7971" s="1" t="n">
        <v>46053.4891087963</v>
      </c>
      <c r="C7971" s="1" t="n">
        <v>46086</v>
      </c>
      <c r="D7971" t="inlineStr">
        <is>
          <t>GÄVLEBORGS LÄN</t>
        </is>
      </c>
      <c r="E7971" t="inlineStr">
        <is>
          <t>NORDANSTIG</t>
        </is>
      </c>
      <c r="G7971" t="n">
        <v>9.5</v>
      </c>
      <c r="H7971" t="n">
        <v>0</v>
      </c>
      <c r="I7971" t="n">
        <v>0</v>
      </c>
      <c r="J7971" t="n">
        <v>0</v>
      </c>
      <c r="K7971" t="n">
        <v>0</v>
      </c>
      <c r="L7971" t="n">
        <v>0</v>
      </c>
      <c r="M7971" t="n">
        <v>0</v>
      </c>
      <c r="N7971" t="n">
        <v>0</v>
      </c>
      <c r="O7971" t="n">
        <v>0</v>
      </c>
      <c r="P7971" t="n">
        <v>0</v>
      </c>
      <c r="Q7971" t="n">
        <v>0</v>
      </c>
      <c r="R7971" s="2" t="inlineStr"/>
    </row>
    <row r="7972" ht="15" customHeight="1">
      <c r="A7972" t="inlineStr">
        <is>
          <t>A 6120-2026</t>
        </is>
      </c>
      <c r="B7972" s="1" t="n">
        <v>46053.52635416666</v>
      </c>
      <c r="C7972" s="1" t="n">
        <v>46086</v>
      </c>
      <c r="D7972" t="inlineStr">
        <is>
          <t>GÄVLEBORGS LÄN</t>
        </is>
      </c>
      <c r="E7972" t="inlineStr">
        <is>
          <t>OCKELBO</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6121-2026</t>
        </is>
      </c>
      <c r="B7973" s="1" t="n">
        <v>46053.53597222222</v>
      </c>
      <c r="C7973" s="1" t="n">
        <v>46086</v>
      </c>
      <c r="D7973" t="inlineStr">
        <is>
          <t>GÄVLEBORGS LÄN</t>
        </is>
      </c>
      <c r="E7973" t="inlineStr">
        <is>
          <t>OCKELBO</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26578-2025</t>
        </is>
      </c>
      <c r="B7974" s="1" t="n">
        <v>45807</v>
      </c>
      <c r="C7974" s="1" t="n">
        <v>46086</v>
      </c>
      <c r="D7974" t="inlineStr">
        <is>
          <t>GÄVLEBORGS LÄN</t>
        </is>
      </c>
      <c r="E7974" t="inlineStr">
        <is>
          <t>LJUSDAL</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26304-2025</t>
        </is>
      </c>
      <c r="B7975" s="1" t="n">
        <v>45805</v>
      </c>
      <c r="C7975" s="1" t="n">
        <v>46086</v>
      </c>
      <c r="D7975" t="inlineStr">
        <is>
          <t>GÄVLEBORGS LÄN</t>
        </is>
      </c>
      <c r="E7975" t="inlineStr">
        <is>
          <t>OVANÅKER</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26581-2025</t>
        </is>
      </c>
      <c r="B7976" s="1" t="n">
        <v>45807</v>
      </c>
      <c r="C7976" s="1" t="n">
        <v>46086</v>
      </c>
      <c r="D7976" t="inlineStr">
        <is>
          <t>GÄVLEBORGS LÄN</t>
        </is>
      </c>
      <c r="E7976" t="inlineStr">
        <is>
          <t>OVANÅKER</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6063-2026</t>
        </is>
      </c>
      <c r="B7977" s="1" t="n">
        <v>46052.64888888889</v>
      </c>
      <c r="C7977" s="1" t="n">
        <v>46086</v>
      </c>
      <c r="D7977" t="inlineStr">
        <is>
          <t>GÄVLEBORGS LÄN</t>
        </is>
      </c>
      <c r="E7977" t="inlineStr">
        <is>
          <t>BOLLNÄS</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6064-2026</t>
        </is>
      </c>
      <c r="B7978" s="1" t="n">
        <v>46052.64956018519</v>
      </c>
      <c r="C7978" s="1" t="n">
        <v>46086</v>
      </c>
      <c r="D7978" t="inlineStr">
        <is>
          <t>GÄVLEBORGS LÄN</t>
        </is>
      </c>
      <c r="E7978" t="inlineStr">
        <is>
          <t>BOLLNÄS</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16393-2025</t>
        </is>
      </c>
      <c r="B7979" s="1" t="n">
        <v>45751.43475694444</v>
      </c>
      <c r="C7979" s="1" t="n">
        <v>46086</v>
      </c>
      <c r="D7979" t="inlineStr">
        <is>
          <t>GÄVLEBORGS LÄN</t>
        </is>
      </c>
      <c r="E7979" t="inlineStr">
        <is>
          <t>OVANÅKER</t>
        </is>
      </c>
      <c r="F7979" t="inlineStr">
        <is>
          <t>Bergvik skog öst AB</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26579-2025</t>
        </is>
      </c>
      <c r="B7980" s="1" t="n">
        <v>45807</v>
      </c>
      <c r="C7980" s="1" t="n">
        <v>46086</v>
      </c>
      <c r="D7980" t="inlineStr">
        <is>
          <t>GÄVLEBORGS LÄN</t>
        </is>
      </c>
      <c r="E7980" t="inlineStr">
        <is>
          <t>LJUSDAL</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26582-2025</t>
        </is>
      </c>
      <c r="B7981" s="1" t="n">
        <v>45807</v>
      </c>
      <c r="C7981" s="1" t="n">
        <v>46086</v>
      </c>
      <c r="D7981" t="inlineStr">
        <is>
          <t>GÄVLEBORGS LÄN</t>
        </is>
      </c>
      <c r="E7981" t="inlineStr">
        <is>
          <t>OVANÅKER</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4207-2026</t>
        </is>
      </c>
      <c r="B7982" s="1" t="n">
        <v>46044</v>
      </c>
      <c r="C7982" s="1" t="n">
        <v>46086</v>
      </c>
      <c r="D7982" t="inlineStr">
        <is>
          <t>GÄVLEBORGS LÄN</t>
        </is>
      </c>
      <c r="E7982" t="inlineStr">
        <is>
          <t>HUDIKSVALL</t>
        </is>
      </c>
      <c r="G7982" t="n">
        <v>8.800000000000001</v>
      </c>
      <c r="H7982" t="n">
        <v>0</v>
      </c>
      <c r="I7982" t="n">
        <v>0</v>
      </c>
      <c r="J7982" t="n">
        <v>0</v>
      </c>
      <c r="K7982" t="n">
        <v>0</v>
      </c>
      <c r="L7982" t="n">
        <v>0</v>
      </c>
      <c r="M7982" t="n">
        <v>0</v>
      </c>
      <c r="N7982" t="n">
        <v>0</v>
      </c>
      <c r="O7982" t="n">
        <v>0</v>
      </c>
      <c r="P7982" t="n">
        <v>0</v>
      </c>
      <c r="Q7982" t="n">
        <v>0</v>
      </c>
      <c r="R7982" s="2" t="inlineStr"/>
    </row>
    <row r="7983" ht="15" customHeight="1">
      <c r="A7983" t="inlineStr">
        <is>
          <t>A 19574-2025</t>
        </is>
      </c>
      <c r="B7983" s="1" t="n">
        <v>45770.5528587963</v>
      </c>
      <c r="C7983" s="1" t="n">
        <v>46086</v>
      </c>
      <c r="D7983" t="inlineStr">
        <is>
          <t>GÄVLEBORGS LÄN</t>
        </is>
      </c>
      <c r="E7983" t="inlineStr">
        <is>
          <t>LJUSDAL</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6420-2026</t>
        </is>
      </c>
      <c r="B7984" s="1" t="n">
        <v>46055.69435185185</v>
      </c>
      <c r="C7984" s="1" t="n">
        <v>46086</v>
      </c>
      <c r="D7984" t="inlineStr">
        <is>
          <t>GÄVLEBORGS LÄN</t>
        </is>
      </c>
      <c r="E7984" t="inlineStr">
        <is>
          <t>OCKELBO</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5955-2026</t>
        </is>
      </c>
      <c r="B7985" s="1" t="n">
        <v>46052.49719907407</v>
      </c>
      <c r="C7985" s="1" t="n">
        <v>46086</v>
      </c>
      <c r="D7985" t="inlineStr">
        <is>
          <t>GÄVLEBORGS LÄN</t>
        </is>
      </c>
      <c r="E7985" t="inlineStr">
        <is>
          <t>OCKELBO</t>
        </is>
      </c>
      <c r="G7985" t="n">
        <v>3.6</v>
      </c>
      <c r="H7985" t="n">
        <v>0</v>
      </c>
      <c r="I7985" t="n">
        <v>0</v>
      </c>
      <c r="J7985" t="n">
        <v>0</v>
      </c>
      <c r="K7985" t="n">
        <v>0</v>
      </c>
      <c r="L7985" t="n">
        <v>0</v>
      </c>
      <c r="M7985" t="n">
        <v>0</v>
      </c>
      <c r="N7985" t="n">
        <v>0</v>
      </c>
      <c r="O7985" t="n">
        <v>0</v>
      </c>
      <c r="P7985" t="n">
        <v>0</v>
      </c>
      <c r="Q7985" t="n">
        <v>0</v>
      </c>
      <c r="R7985" s="2" t="inlineStr"/>
    </row>
    <row r="7986" ht="15" customHeight="1">
      <c r="A7986" t="inlineStr">
        <is>
          <t>A 8379-2025</t>
        </is>
      </c>
      <c r="B7986" s="1" t="n">
        <v>45709.33609953704</v>
      </c>
      <c r="C7986" s="1" t="n">
        <v>46086</v>
      </c>
      <c r="D7986" t="inlineStr">
        <is>
          <t>GÄVLEBORGS LÄN</t>
        </is>
      </c>
      <c r="E7986" t="inlineStr">
        <is>
          <t>SANDVIKEN</t>
        </is>
      </c>
      <c r="G7986" t="n">
        <v>4.3</v>
      </c>
      <c r="H7986" t="n">
        <v>0</v>
      </c>
      <c r="I7986" t="n">
        <v>0</v>
      </c>
      <c r="J7986" t="n">
        <v>0</v>
      </c>
      <c r="K7986" t="n">
        <v>0</v>
      </c>
      <c r="L7986" t="n">
        <v>0</v>
      </c>
      <c r="M7986" t="n">
        <v>0</v>
      </c>
      <c r="N7986" t="n">
        <v>0</v>
      </c>
      <c r="O7986" t="n">
        <v>0</v>
      </c>
      <c r="P7986" t="n">
        <v>0</v>
      </c>
      <c r="Q7986" t="n">
        <v>0</v>
      </c>
      <c r="R7986" s="2" t="inlineStr"/>
    </row>
    <row r="7987" ht="15" customHeight="1">
      <c r="A7987" t="inlineStr">
        <is>
          <t>A 5965-2026</t>
        </is>
      </c>
      <c r="B7987" s="1" t="n">
        <v>46052.52888888889</v>
      </c>
      <c r="C7987" s="1" t="n">
        <v>46086</v>
      </c>
      <c r="D7987" t="inlineStr">
        <is>
          <t>GÄVLEBORGS LÄN</t>
        </is>
      </c>
      <c r="E7987" t="inlineStr">
        <is>
          <t>OCKELBO</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63279-2025</t>
        </is>
      </c>
      <c r="B7988" s="1" t="n">
        <v>46010.58444444444</v>
      </c>
      <c r="C7988" s="1" t="n">
        <v>46086</v>
      </c>
      <c r="D7988" t="inlineStr">
        <is>
          <t>GÄVLEBORGS LÄN</t>
        </is>
      </c>
      <c r="E7988" t="inlineStr">
        <is>
          <t>OVANÅKER</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5822-2026</t>
        </is>
      </c>
      <c r="B7989" s="1" t="n">
        <v>46052.28101851852</v>
      </c>
      <c r="C7989" s="1" t="n">
        <v>46086</v>
      </c>
      <c r="D7989" t="inlineStr">
        <is>
          <t>GÄVLEBORGS LÄN</t>
        </is>
      </c>
      <c r="E7989" t="inlineStr">
        <is>
          <t>BOLLNÄS</t>
        </is>
      </c>
      <c r="G7989" t="n">
        <v>5.5</v>
      </c>
      <c r="H7989" t="n">
        <v>0</v>
      </c>
      <c r="I7989" t="n">
        <v>0</v>
      </c>
      <c r="J7989" t="n">
        <v>0</v>
      </c>
      <c r="K7989" t="n">
        <v>0</v>
      </c>
      <c r="L7989" t="n">
        <v>0</v>
      </c>
      <c r="M7989" t="n">
        <v>0</v>
      </c>
      <c r="N7989" t="n">
        <v>0</v>
      </c>
      <c r="O7989" t="n">
        <v>0</v>
      </c>
      <c r="P7989" t="n">
        <v>0</v>
      </c>
      <c r="Q7989" t="n">
        <v>0</v>
      </c>
      <c r="R7989" s="2" t="inlineStr"/>
    </row>
    <row r="7990" ht="15" customHeight="1">
      <c r="A7990" t="inlineStr">
        <is>
          <t>A 5824-2026</t>
        </is>
      </c>
      <c r="B7990" s="1" t="n">
        <v>46052.28528935185</v>
      </c>
      <c r="C7990" s="1" t="n">
        <v>46086</v>
      </c>
      <c r="D7990" t="inlineStr">
        <is>
          <t>GÄVLEBORGS LÄN</t>
        </is>
      </c>
      <c r="E7990" t="inlineStr">
        <is>
          <t>BOLLNÄS</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5825-2026</t>
        </is>
      </c>
      <c r="B7991" s="1" t="n">
        <v>46052.28958333333</v>
      </c>
      <c r="C7991" s="1" t="n">
        <v>46086</v>
      </c>
      <c r="D7991" t="inlineStr">
        <is>
          <t>GÄVLEBORGS LÄN</t>
        </is>
      </c>
      <c r="E7991" t="inlineStr">
        <is>
          <t>BOLLNÄS</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4478-2026</t>
        </is>
      </c>
      <c r="B7992" s="1" t="n">
        <v>46045</v>
      </c>
      <c r="C7992" s="1" t="n">
        <v>46086</v>
      </c>
      <c r="D7992" t="inlineStr">
        <is>
          <t>GÄVLEBORGS LÄN</t>
        </is>
      </c>
      <c r="E7992" t="inlineStr">
        <is>
          <t>OVANÅKER</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6252-2026</t>
        </is>
      </c>
      <c r="B7993" s="1" t="n">
        <v>46055.47265046297</v>
      </c>
      <c r="C7993" s="1" t="n">
        <v>46086</v>
      </c>
      <c r="D7993" t="inlineStr">
        <is>
          <t>GÄVLEBORGS LÄN</t>
        </is>
      </c>
      <c r="E7993" t="inlineStr">
        <is>
          <t>BOLLNÄS</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60307-2024</t>
        </is>
      </c>
      <c r="B7994" s="1" t="n">
        <v>45643.34199074074</v>
      </c>
      <c r="C7994" s="1" t="n">
        <v>46086</v>
      </c>
      <c r="D7994" t="inlineStr">
        <is>
          <t>GÄVLEBORGS LÄN</t>
        </is>
      </c>
      <c r="E7994" t="inlineStr">
        <is>
          <t>GÄVLE</t>
        </is>
      </c>
      <c r="F7994" t="inlineStr">
        <is>
          <t>Kyrkan</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63312-2025</t>
        </is>
      </c>
      <c r="B7995" s="1" t="n">
        <v>46010.62248842593</v>
      </c>
      <c r="C7995" s="1" t="n">
        <v>46086</v>
      </c>
      <c r="D7995" t="inlineStr">
        <is>
          <t>GÄVLEBORGS LÄN</t>
        </is>
      </c>
      <c r="E7995" t="inlineStr">
        <is>
          <t>BOLLNÄS</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6169-2026</t>
        </is>
      </c>
      <c r="B7996" s="1" t="n">
        <v>46055.33828703704</v>
      </c>
      <c r="C7996" s="1" t="n">
        <v>46086</v>
      </c>
      <c r="D7996" t="inlineStr">
        <is>
          <t>GÄVLEBORGS LÄN</t>
        </is>
      </c>
      <c r="E7996" t="inlineStr">
        <is>
          <t>BOLLNÄS</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6177-2026</t>
        </is>
      </c>
      <c r="B7997" s="1" t="n">
        <v>46055.34770833333</v>
      </c>
      <c r="C7997" s="1" t="n">
        <v>46086</v>
      </c>
      <c r="D7997" t="inlineStr">
        <is>
          <t>GÄVLEBORGS LÄN</t>
        </is>
      </c>
      <c r="E7997" t="inlineStr">
        <is>
          <t>OVANÅKER</t>
        </is>
      </c>
      <c r="G7997" t="n">
        <v>4.2</v>
      </c>
      <c r="H7997" t="n">
        <v>0</v>
      </c>
      <c r="I7997" t="n">
        <v>0</v>
      </c>
      <c r="J7997" t="n">
        <v>0</v>
      </c>
      <c r="K7997" t="n">
        <v>0</v>
      </c>
      <c r="L7997" t="n">
        <v>0</v>
      </c>
      <c r="M7997" t="n">
        <v>0</v>
      </c>
      <c r="N7997" t="n">
        <v>0</v>
      </c>
      <c r="O7997" t="n">
        <v>0</v>
      </c>
      <c r="P7997" t="n">
        <v>0</v>
      </c>
      <c r="Q7997" t="n">
        <v>0</v>
      </c>
      <c r="R7997" s="2" t="inlineStr"/>
    </row>
    <row r="7998" ht="15" customHeight="1">
      <c r="A7998" t="inlineStr">
        <is>
          <t>A 63189-2025</t>
        </is>
      </c>
      <c r="B7998" s="1" t="n">
        <v>46010.44827546296</v>
      </c>
      <c r="C7998" s="1" t="n">
        <v>46086</v>
      </c>
      <c r="D7998" t="inlineStr">
        <is>
          <t>GÄVLEBORGS LÄN</t>
        </is>
      </c>
      <c r="E7998" t="inlineStr">
        <is>
          <t>HUDIKSVALL</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34447-2022</t>
        </is>
      </c>
      <c r="B7999" s="1" t="n">
        <v>44792</v>
      </c>
      <c r="C7999" s="1" t="n">
        <v>46086</v>
      </c>
      <c r="D7999" t="inlineStr">
        <is>
          <t>GÄVLEBORGS LÄN</t>
        </is>
      </c>
      <c r="E7999" t="inlineStr">
        <is>
          <t>LJUSDAL</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63214-2025</t>
        </is>
      </c>
      <c r="B8000" s="1" t="n">
        <v>46010</v>
      </c>
      <c r="C8000" s="1" t="n">
        <v>46086</v>
      </c>
      <c r="D8000" t="inlineStr">
        <is>
          <t>GÄVLEBORGS LÄN</t>
        </is>
      </c>
      <c r="E8000" t="inlineStr">
        <is>
          <t>BOLLNÄS</t>
        </is>
      </c>
      <c r="G8000" t="n">
        <v>4.3</v>
      </c>
      <c r="H8000" t="n">
        <v>0</v>
      </c>
      <c r="I8000" t="n">
        <v>0</v>
      </c>
      <c r="J8000" t="n">
        <v>0</v>
      </c>
      <c r="K8000" t="n">
        <v>0</v>
      </c>
      <c r="L8000" t="n">
        <v>0</v>
      </c>
      <c r="M8000" t="n">
        <v>0</v>
      </c>
      <c r="N8000" t="n">
        <v>0</v>
      </c>
      <c r="O8000" t="n">
        <v>0</v>
      </c>
      <c r="P8000" t="n">
        <v>0</v>
      </c>
      <c r="Q8000" t="n">
        <v>0</v>
      </c>
      <c r="R8000" s="2" t="inlineStr"/>
    </row>
    <row r="8001" ht="15" customHeight="1">
      <c r="A8001" t="inlineStr">
        <is>
          <t>A 63297-2025</t>
        </is>
      </c>
      <c r="B8001" s="1" t="n">
        <v>46010.60025462963</v>
      </c>
      <c r="C8001" s="1" t="n">
        <v>46086</v>
      </c>
      <c r="D8001" t="inlineStr">
        <is>
          <t>GÄVLEBORGS LÄN</t>
        </is>
      </c>
      <c r="E8001" t="inlineStr">
        <is>
          <t>LJUSDAL</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5830-2026</t>
        </is>
      </c>
      <c r="B8002" s="1" t="n">
        <v>46052.32393518519</v>
      </c>
      <c r="C8002" s="1" t="n">
        <v>46086</v>
      </c>
      <c r="D8002" t="inlineStr">
        <is>
          <t>GÄVLEBORGS LÄN</t>
        </is>
      </c>
      <c r="E8002" t="inlineStr">
        <is>
          <t>BOLLNÄS</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22226-2024</t>
        </is>
      </c>
      <c r="B8003" s="1" t="n">
        <v>45446.4203587963</v>
      </c>
      <c r="C8003" s="1" t="n">
        <v>46086</v>
      </c>
      <c r="D8003" t="inlineStr">
        <is>
          <t>GÄVLEBORGS LÄN</t>
        </is>
      </c>
      <c r="E8003" t="inlineStr">
        <is>
          <t>HOFORS</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6409-2026</t>
        </is>
      </c>
      <c r="B8004" s="1" t="n">
        <v>46055.67278935185</v>
      </c>
      <c r="C8004" s="1" t="n">
        <v>46086</v>
      </c>
      <c r="D8004" t="inlineStr">
        <is>
          <t>GÄVLEBORGS LÄN</t>
        </is>
      </c>
      <c r="E8004" t="inlineStr">
        <is>
          <t>NORDANSTIG</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6441-2026</t>
        </is>
      </c>
      <c r="B8005" s="1" t="n">
        <v>46055.80913194444</v>
      </c>
      <c r="C8005" s="1" t="n">
        <v>46086</v>
      </c>
      <c r="D8005" t="inlineStr">
        <is>
          <t>GÄVLEBORGS LÄN</t>
        </is>
      </c>
      <c r="E8005" t="inlineStr">
        <is>
          <t>BOLLNÄS</t>
        </is>
      </c>
      <c r="G8005" t="n">
        <v>3.9</v>
      </c>
      <c r="H8005" t="n">
        <v>0</v>
      </c>
      <c r="I8005" t="n">
        <v>0</v>
      </c>
      <c r="J8005" t="n">
        <v>0</v>
      </c>
      <c r="K8005" t="n">
        <v>0</v>
      </c>
      <c r="L8005" t="n">
        <v>0</v>
      </c>
      <c r="M8005" t="n">
        <v>0</v>
      </c>
      <c r="N8005" t="n">
        <v>0</v>
      </c>
      <c r="O8005" t="n">
        <v>0</v>
      </c>
      <c r="P8005" t="n">
        <v>0</v>
      </c>
      <c r="Q8005" t="n">
        <v>0</v>
      </c>
      <c r="R8005" s="2" t="inlineStr"/>
    </row>
    <row r="8006" ht="15" customHeight="1">
      <c r="A8006" t="inlineStr">
        <is>
          <t>A 6442-2026</t>
        </is>
      </c>
      <c r="B8006" s="1" t="n">
        <v>46055.8122337963</v>
      </c>
      <c r="C8006" s="1" t="n">
        <v>46086</v>
      </c>
      <c r="D8006" t="inlineStr">
        <is>
          <t>GÄVLEBORGS LÄN</t>
        </is>
      </c>
      <c r="E8006" t="inlineStr">
        <is>
          <t>BOLLNÄS</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5438-2026</t>
        </is>
      </c>
      <c r="B8007" s="1" t="n">
        <v>46050</v>
      </c>
      <c r="C8007" s="1" t="n">
        <v>46086</v>
      </c>
      <c r="D8007" t="inlineStr">
        <is>
          <t>GÄVLEBORGS LÄN</t>
        </is>
      </c>
      <c r="E8007" t="inlineStr">
        <is>
          <t>HUDIKSVALL</t>
        </is>
      </c>
      <c r="G8007" t="n">
        <v>5.5</v>
      </c>
      <c r="H8007" t="n">
        <v>0</v>
      </c>
      <c r="I8007" t="n">
        <v>0</v>
      </c>
      <c r="J8007" t="n">
        <v>0</v>
      </c>
      <c r="K8007" t="n">
        <v>0</v>
      </c>
      <c r="L8007" t="n">
        <v>0</v>
      </c>
      <c r="M8007" t="n">
        <v>0</v>
      </c>
      <c r="N8007" t="n">
        <v>0</v>
      </c>
      <c r="O8007" t="n">
        <v>0</v>
      </c>
      <c r="P8007" t="n">
        <v>0</v>
      </c>
      <c r="Q8007" t="n">
        <v>0</v>
      </c>
      <c r="R8007" s="2" t="inlineStr"/>
    </row>
    <row r="8008" ht="15" customHeight="1">
      <c r="A8008" t="inlineStr">
        <is>
          <t>A 1297-2024</t>
        </is>
      </c>
      <c r="B8008" s="1" t="n">
        <v>45303</v>
      </c>
      <c r="C8008" s="1" t="n">
        <v>46086</v>
      </c>
      <c r="D8008" t="inlineStr">
        <is>
          <t>GÄVLEBORGS LÄN</t>
        </is>
      </c>
      <c r="E8008" t="inlineStr">
        <is>
          <t>HUDIKSVALL</t>
        </is>
      </c>
      <c r="F8008" t="inlineStr">
        <is>
          <t>Holmen skog AB</t>
        </is>
      </c>
      <c r="G8008" t="n">
        <v>0.3</v>
      </c>
      <c r="H8008" t="n">
        <v>0</v>
      </c>
      <c r="I8008" t="n">
        <v>0</v>
      </c>
      <c r="J8008" t="n">
        <v>0</v>
      </c>
      <c r="K8008" t="n">
        <v>0</v>
      </c>
      <c r="L8008" t="n">
        <v>0</v>
      </c>
      <c r="M8008" t="n">
        <v>0</v>
      </c>
      <c r="N8008" t="n">
        <v>0</v>
      </c>
      <c r="O8008" t="n">
        <v>0</v>
      </c>
      <c r="P8008" t="n">
        <v>0</v>
      </c>
      <c r="Q8008" t="n">
        <v>0</v>
      </c>
      <c r="R8008" s="2" t="inlineStr"/>
    </row>
    <row r="8009" ht="15" customHeight="1">
      <c r="A8009" t="inlineStr">
        <is>
          <t>A 14128-2022</t>
        </is>
      </c>
      <c r="B8009" s="1" t="n">
        <v>44651.41497685185</v>
      </c>
      <c r="C8009" s="1" t="n">
        <v>46086</v>
      </c>
      <c r="D8009" t="inlineStr">
        <is>
          <t>GÄVLEBORGS LÄN</t>
        </is>
      </c>
      <c r="E8009" t="inlineStr">
        <is>
          <t>SÖDERHAMN</t>
        </is>
      </c>
      <c r="F8009" t="inlineStr">
        <is>
          <t>Bergvik skog väst AB</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14173-2022</t>
        </is>
      </c>
      <c r="B8010" s="1" t="n">
        <v>44651</v>
      </c>
      <c r="C8010" s="1" t="n">
        <v>46086</v>
      </c>
      <c r="D8010" t="inlineStr">
        <is>
          <t>GÄVLEBORGS LÄN</t>
        </is>
      </c>
      <c r="E8010" t="inlineStr">
        <is>
          <t>GÄVLE</t>
        </is>
      </c>
      <c r="F8010" t="inlineStr">
        <is>
          <t>Bergvik skog väst AB</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49300-2024</t>
        </is>
      </c>
      <c r="B8011" s="1" t="n">
        <v>45595.54486111111</v>
      </c>
      <c r="C8011" s="1" t="n">
        <v>46086</v>
      </c>
      <c r="D8011" t="inlineStr">
        <is>
          <t>GÄVLEBORGS LÄN</t>
        </is>
      </c>
      <c r="E8011" t="inlineStr">
        <is>
          <t>NORDANSTIG</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6108-2026</t>
        </is>
      </c>
      <c r="B8012" s="1" t="n">
        <v>46053.2815162037</v>
      </c>
      <c r="C8012" s="1" t="n">
        <v>46086</v>
      </c>
      <c r="D8012" t="inlineStr">
        <is>
          <t>GÄVLEBORGS LÄN</t>
        </is>
      </c>
      <c r="E8012" t="inlineStr">
        <is>
          <t>SANDVIKEN</t>
        </is>
      </c>
      <c r="G8012" t="n">
        <v>3.9</v>
      </c>
      <c r="H8012" t="n">
        <v>0</v>
      </c>
      <c r="I8012" t="n">
        <v>0</v>
      </c>
      <c r="J8012" t="n">
        <v>0</v>
      </c>
      <c r="K8012" t="n">
        <v>0</v>
      </c>
      <c r="L8012" t="n">
        <v>0</v>
      </c>
      <c r="M8012" t="n">
        <v>0</v>
      </c>
      <c r="N8012" t="n">
        <v>0</v>
      </c>
      <c r="O8012" t="n">
        <v>0</v>
      </c>
      <c r="P8012" t="n">
        <v>0</v>
      </c>
      <c r="Q8012" t="n">
        <v>0</v>
      </c>
      <c r="R8012" s="2" t="inlineStr"/>
    </row>
    <row r="8013" ht="15" customHeight="1">
      <c r="A8013" t="inlineStr">
        <is>
          <t>A 6172-2026</t>
        </is>
      </c>
      <c r="B8013" s="1" t="n">
        <v>46055.34146990741</v>
      </c>
      <c r="C8013" s="1" t="n">
        <v>46086</v>
      </c>
      <c r="D8013" t="inlineStr">
        <is>
          <t>GÄVLEBORGS LÄN</t>
        </is>
      </c>
      <c r="E8013" t="inlineStr">
        <is>
          <t>BOLLNÄS</t>
        </is>
      </c>
      <c r="G8013" t="n">
        <v>6.7</v>
      </c>
      <c r="H8013" t="n">
        <v>0</v>
      </c>
      <c r="I8013" t="n">
        <v>0</v>
      </c>
      <c r="J8013" t="n">
        <v>0</v>
      </c>
      <c r="K8013" t="n">
        <v>0</v>
      </c>
      <c r="L8013" t="n">
        <v>0</v>
      </c>
      <c r="M8013" t="n">
        <v>0</v>
      </c>
      <c r="N8013" t="n">
        <v>0</v>
      </c>
      <c r="O8013" t="n">
        <v>0</v>
      </c>
      <c r="P8013" t="n">
        <v>0</v>
      </c>
      <c r="Q8013" t="n">
        <v>0</v>
      </c>
      <c r="R8013" s="2" t="inlineStr"/>
    </row>
    <row r="8014" ht="15" customHeight="1">
      <c r="A8014" t="inlineStr">
        <is>
          <t>A 6184-2026</t>
        </is>
      </c>
      <c r="B8014" s="1" t="n">
        <v>46055.36364583333</v>
      </c>
      <c r="C8014" s="1" t="n">
        <v>46086</v>
      </c>
      <c r="D8014" t="inlineStr">
        <is>
          <t>GÄVLEBORGS LÄN</t>
        </is>
      </c>
      <c r="E8014" t="inlineStr">
        <is>
          <t>OVANÅKER</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6438-2026</t>
        </is>
      </c>
      <c r="B8015" s="1" t="n">
        <v>46055.80380787037</v>
      </c>
      <c r="C8015" s="1" t="n">
        <v>46086</v>
      </c>
      <c r="D8015" t="inlineStr">
        <is>
          <t>GÄVLEBORGS LÄN</t>
        </is>
      </c>
      <c r="E8015" t="inlineStr">
        <is>
          <t>BOLLNÄS</t>
        </is>
      </c>
      <c r="F8015" t="inlineStr">
        <is>
          <t>Kyrkan</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6325-2026</t>
        </is>
      </c>
      <c r="B8016" s="1" t="n">
        <v>46055.58699074074</v>
      </c>
      <c r="C8016" s="1" t="n">
        <v>46086</v>
      </c>
      <c r="D8016" t="inlineStr">
        <is>
          <t>GÄVLEBORGS LÄN</t>
        </is>
      </c>
      <c r="E8016" t="inlineStr">
        <is>
          <t>BOLLNÄS</t>
        </is>
      </c>
      <c r="G8016" t="n">
        <v>3.8</v>
      </c>
      <c r="H8016" t="n">
        <v>0</v>
      </c>
      <c r="I8016" t="n">
        <v>0</v>
      </c>
      <c r="J8016" t="n">
        <v>0</v>
      </c>
      <c r="K8016" t="n">
        <v>0</v>
      </c>
      <c r="L8016" t="n">
        <v>0</v>
      </c>
      <c r="M8016" t="n">
        <v>0</v>
      </c>
      <c r="N8016" t="n">
        <v>0</v>
      </c>
      <c r="O8016" t="n">
        <v>0</v>
      </c>
      <c r="P8016" t="n">
        <v>0</v>
      </c>
      <c r="Q8016" t="n">
        <v>0</v>
      </c>
      <c r="R8016" s="2" t="inlineStr"/>
    </row>
    <row r="8017" ht="15" customHeight="1">
      <c r="A8017" t="inlineStr">
        <is>
          <t>A 53444-2024</t>
        </is>
      </c>
      <c r="B8017" s="1" t="n">
        <v>45614.54</v>
      </c>
      <c r="C8017" s="1" t="n">
        <v>46086</v>
      </c>
      <c r="D8017" t="inlineStr">
        <is>
          <t>GÄVLEBORGS LÄN</t>
        </is>
      </c>
      <c r="E8017" t="inlineStr">
        <is>
          <t>OVANÅKER</t>
        </is>
      </c>
      <c r="G8017" t="n">
        <v>2.8</v>
      </c>
      <c r="H8017" t="n">
        <v>0</v>
      </c>
      <c r="I8017" t="n">
        <v>0</v>
      </c>
      <c r="J8017" t="n">
        <v>0</v>
      </c>
      <c r="K8017" t="n">
        <v>0</v>
      </c>
      <c r="L8017" t="n">
        <v>0</v>
      </c>
      <c r="M8017" t="n">
        <v>0</v>
      </c>
      <c r="N8017" t="n">
        <v>0</v>
      </c>
      <c r="O8017" t="n">
        <v>0</v>
      </c>
      <c r="P8017" t="n">
        <v>0</v>
      </c>
      <c r="Q8017" t="n">
        <v>0</v>
      </c>
      <c r="R8017" s="2" t="inlineStr"/>
    </row>
    <row r="8018" ht="15" customHeight="1">
      <c r="A8018" t="inlineStr">
        <is>
          <t>A 15088-2024</t>
        </is>
      </c>
      <c r="B8018" s="1" t="n">
        <v>45399.64290509259</v>
      </c>
      <c r="C8018" s="1" t="n">
        <v>46086</v>
      </c>
      <c r="D8018" t="inlineStr">
        <is>
          <t>GÄVLEBORGS LÄN</t>
        </is>
      </c>
      <c r="E8018" t="inlineStr">
        <is>
          <t>NORDANSTIG</t>
        </is>
      </c>
      <c r="G8018" t="n">
        <v>3</v>
      </c>
      <c r="H8018" t="n">
        <v>0</v>
      </c>
      <c r="I8018" t="n">
        <v>0</v>
      </c>
      <c r="J8018" t="n">
        <v>0</v>
      </c>
      <c r="K8018" t="n">
        <v>0</v>
      </c>
      <c r="L8018" t="n">
        <v>0</v>
      </c>
      <c r="M8018" t="n">
        <v>0</v>
      </c>
      <c r="N8018" t="n">
        <v>0</v>
      </c>
      <c r="O8018" t="n">
        <v>0</v>
      </c>
      <c r="P8018" t="n">
        <v>0</v>
      </c>
      <c r="Q8018" t="n">
        <v>0</v>
      </c>
      <c r="R8018" s="2" t="inlineStr"/>
    </row>
    <row r="8019" ht="15" customHeight="1">
      <c r="A8019" t="inlineStr">
        <is>
          <t>A 6285-2026</t>
        </is>
      </c>
      <c r="B8019" s="1" t="n">
        <v>46055.5475</v>
      </c>
      <c r="C8019" s="1" t="n">
        <v>46086</v>
      </c>
      <c r="D8019" t="inlineStr">
        <is>
          <t>GÄVLEBORGS LÄN</t>
        </is>
      </c>
      <c r="E8019" t="inlineStr">
        <is>
          <t>HUDIKSVALL</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6296-2026</t>
        </is>
      </c>
      <c r="B8020" s="1" t="n">
        <v>46055.56340277778</v>
      </c>
      <c r="C8020" s="1" t="n">
        <v>46086</v>
      </c>
      <c r="D8020" t="inlineStr">
        <is>
          <t>GÄVLEBORGS LÄN</t>
        </is>
      </c>
      <c r="E8020" t="inlineStr">
        <is>
          <t>BOLLNÄS</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15707-2024</t>
        </is>
      </c>
      <c r="B8021" s="1" t="n">
        <v>45404.47491898148</v>
      </c>
      <c r="C8021" s="1" t="n">
        <v>46086</v>
      </c>
      <c r="D8021" t="inlineStr">
        <is>
          <t>GÄVLEBORGS LÄN</t>
        </is>
      </c>
      <c r="E8021" t="inlineStr">
        <is>
          <t>GÄVLE</t>
        </is>
      </c>
      <c r="G8021" t="n">
        <v>4.7</v>
      </c>
      <c r="H8021" t="n">
        <v>0</v>
      </c>
      <c r="I8021" t="n">
        <v>0</v>
      </c>
      <c r="J8021" t="n">
        <v>0</v>
      </c>
      <c r="K8021" t="n">
        <v>0</v>
      </c>
      <c r="L8021" t="n">
        <v>0</v>
      </c>
      <c r="M8021" t="n">
        <v>0</v>
      </c>
      <c r="N8021" t="n">
        <v>0</v>
      </c>
      <c r="O8021" t="n">
        <v>0</v>
      </c>
      <c r="P8021" t="n">
        <v>0</v>
      </c>
      <c r="Q8021" t="n">
        <v>0</v>
      </c>
      <c r="R8021" s="2" t="inlineStr"/>
    </row>
    <row r="8022" ht="15" customHeight="1">
      <c r="A8022" t="inlineStr">
        <is>
          <t>A 6311-2026</t>
        </is>
      </c>
      <c r="B8022" s="1" t="n">
        <v>46055.57746527778</v>
      </c>
      <c r="C8022" s="1" t="n">
        <v>46086</v>
      </c>
      <c r="D8022" t="inlineStr">
        <is>
          <t>GÄVLEBORGS LÄN</t>
        </is>
      </c>
      <c r="E8022" t="inlineStr">
        <is>
          <t>SANDVIKEN</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6312-2026</t>
        </is>
      </c>
      <c r="B8023" s="1" t="n">
        <v>46055.57790509259</v>
      </c>
      <c r="C8023" s="1" t="n">
        <v>46086</v>
      </c>
      <c r="D8023" t="inlineStr">
        <is>
          <t>GÄVLEBORGS LÄN</t>
        </is>
      </c>
      <c r="E8023" t="inlineStr">
        <is>
          <t>HUDIKSVALL</t>
        </is>
      </c>
      <c r="G8023" t="n">
        <v>4.1</v>
      </c>
      <c r="H8023" t="n">
        <v>0</v>
      </c>
      <c r="I8023" t="n">
        <v>0</v>
      </c>
      <c r="J8023" t="n">
        <v>0</v>
      </c>
      <c r="K8023" t="n">
        <v>0</v>
      </c>
      <c r="L8023" t="n">
        <v>0</v>
      </c>
      <c r="M8023" t="n">
        <v>0</v>
      </c>
      <c r="N8023" t="n">
        <v>0</v>
      </c>
      <c r="O8023" t="n">
        <v>0</v>
      </c>
      <c r="P8023" t="n">
        <v>0</v>
      </c>
      <c r="Q8023" t="n">
        <v>0</v>
      </c>
      <c r="R8023" s="2" t="inlineStr"/>
    </row>
    <row r="8024" ht="15" customHeight="1">
      <c r="A8024" t="inlineStr">
        <is>
          <t>A 9804-2025</t>
        </is>
      </c>
      <c r="B8024" s="1" t="n">
        <v>45716.55760416666</v>
      </c>
      <c r="C8024" s="1" t="n">
        <v>46086</v>
      </c>
      <c r="D8024" t="inlineStr">
        <is>
          <t>GÄVLEBORGS LÄN</t>
        </is>
      </c>
      <c r="E8024" t="inlineStr">
        <is>
          <t>HUDIKSVALL</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58749-2024</t>
        </is>
      </c>
      <c r="B8025" s="1" t="n">
        <v>45635.71554398148</v>
      </c>
      <c r="C8025" s="1" t="n">
        <v>46086</v>
      </c>
      <c r="D8025" t="inlineStr">
        <is>
          <t>GÄVLEBORGS LÄN</t>
        </is>
      </c>
      <c r="E8025" t="inlineStr">
        <is>
          <t>NORDANSTIG</t>
        </is>
      </c>
      <c r="F8025" t="inlineStr">
        <is>
          <t>Holmen skog AB</t>
        </is>
      </c>
      <c r="G8025" t="n">
        <v>8</v>
      </c>
      <c r="H8025" t="n">
        <v>0</v>
      </c>
      <c r="I8025" t="n">
        <v>0</v>
      </c>
      <c r="J8025" t="n">
        <v>0</v>
      </c>
      <c r="K8025" t="n">
        <v>0</v>
      </c>
      <c r="L8025" t="n">
        <v>0</v>
      </c>
      <c r="M8025" t="n">
        <v>0</v>
      </c>
      <c r="N8025" t="n">
        <v>0</v>
      </c>
      <c r="O8025" t="n">
        <v>0</v>
      </c>
      <c r="P8025" t="n">
        <v>0</v>
      </c>
      <c r="Q8025" t="n">
        <v>0</v>
      </c>
      <c r="R8025" s="2" t="inlineStr"/>
    </row>
    <row r="8026" ht="15" customHeight="1">
      <c r="A8026" t="inlineStr">
        <is>
          <t>A 6009-2026</t>
        </is>
      </c>
      <c r="B8026" s="1" t="n">
        <v>46052.59601851852</v>
      </c>
      <c r="C8026" s="1" t="n">
        <v>46086</v>
      </c>
      <c r="D8026" t="inlineStr">
        <is>
          <t>GÄVLEBORGS LÄN</t>
        </is>
      </c>
      <c r="E8026" t="inlineStr">
        <is>
          <t>BOLLNÄS</t>
        </is>
      </c>
      <c r="G8026" t="n">
        <v>9.800000000000001</v>
      </c>
      <c r="H8026" t="n">
        <v>0</v>
      </c>
      <c r="I8026" t="n">
        <v>0</v>
      </c>
      <c r="J8026" t="n">
        <v>0</v>
      </c>
      <c r="K8026" t="n">
        <v>0</v>
      </c>
      <c r="L8026" t="n">
        <v>0</v>
      </c>
      <c r="M8026" t="n">
        <v>0</v>
      </c>
      <c r="N8026" t="n">
        <v>0</v>
      </c>
      <c r="O8026" t="n">
        <v>0</v>
      </c>
      <c r="P8026" t="n">
        <v>0</v>
      </c>
      <c r="Q8026" t="n">
        <v>0</v>
      </c>
      <c r="R8026" s="2" t="inlineStr"/>
    </row>
    <row r="8027" ht="15" customHeight="1">
      <c r="A8027" t="inlineStr">
        <is>
          <t>A 6010-2026</t>
        </is>
      </c>
      <c r="B8027" s="1" t="n">
        <v>46052.59644675926</v>
      </c>
      <c r="C8027" s="1" t="n">
        <v>46086</v>
      </c>
      <c r="D8027" t="inlineStr">
        <is>
          <t>GÄVLEBORGS LÄN</t>
        </is>
      </c>
      <c r="E8027" t="inlineStr">
        <is>
          <t>LJUSDAL</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6014-2026</t>
        </is>
      </c>
      <c r="B8028" s="1" t="n">
        <v>46052.59991898148</v>
      </c>
      <c r="C8028" s="1" t="n">
        <v>46086</v>
      </c>
      <c r="D8028" t="inlineStr">
        <is>
          <t>GÄVLEBORGS LÄN</t>
        </is>
      </c>
      <c r="E8028" t="inlineStr">
        <is>
          <t>SANDVIKEN</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6056-2026</t>
        </is>
      </c>
      <c r="B8029" s="1" t="n">
        <v>46052.63952546296</v>
      </c>
      <c r="C8029" s="1" t="n">
        <v>46086</v>
      </c>
      <c r="D8029" t="inlineStr">
        <is>
          <t>GÄVLEBORGS LÄN</t>
        </is>
      </c>
      <c r="E8029" t="inlineStr">
        <is>
          <t>BOLLNÄS</t>
        </is>
      </c>
      <c r="G8029" t="n">
        <v>14.6</v>
      </c>
      <c r="H8029" t="n">
        <v>0</v>
      </c>
      <c r="I8029" t="n">
        <v>0</v>
      </c>
      <c r="J8029" t="n">
        <v>0</v>
      </c>
      <c r="K8029" t="n">
        <v>0</v>
      </c>
      <c r="L8029" t="n">
        <v>0</v>
      </c>
      <c r="M8029" t="n">
        <v>0</v>
      </c>
      <c r="N8029" t="n">
        <v>0</v>
      </c>
      <c r="O8029" t="n">
        <v>0</v>
      </c>
      <c r="P8029" t="n">
        <v>0</v>
      </c>
      <c r="Q8029" t="n">
        <v>0</v>
      </c>
      <c r="R8029" s="2" t="inlineStr"/>
    </row>
    <row r="8030" ht="15" customHeight="1">
      <c r="A8030" t="inlineStr">
        <is>
          <t>A 11923-2023</t>
        </is>
      </c>
      <c r="B8030" s="1" t="n">
        <v>44995.47401620371</v>
      </c>
      <c r="C8030" s="1" t="n">
        <v>46086</v>
      </c>
      <c r="D8030" t="inlineStr">
        <is>
          <t>GÄVLEBORGS LÄN</t>
        </is>
      </c>
      <c r="E8030" t="inlineStr">
        <is>
          <t>LJUSDAL</t>
        </is>
      </c>
      <c r="F8030" t="inlineStr">
        <is>
          <t>Holmen skog AB</t>
        </is>
      </c>
      <c r="G8030" t="n">
        <v>3.9</v>
      </c>
      <c r="H8030" t="n">
        <v>0</v>
      </c>
      <c r="I8030" t="n">
        <v>0</v>
      </c>
      <c r="J8030" t="n">
        <v>0</v>
      </c>
      <c r="K8030" t="n">
        <v>0</v>
      </c>
      <c r="L8030" t="n">
        <v>0</v>
      </c>
      <c r="M8030" t="n">
        <v>0</v>
      </c>
      <c r="N8030" t="n">
        <v>0</v>
      </c>
      <c r="O8030" t="n">
        <v>0</v>
      </c>
      <c r="P8030" t="n">
        <v>0</v>
      </c>
      <c r="Q8030" t="n">
        <v>0</v>
      </c>
      <c r="R8030" s="2" t="inlineStr"/>
    </row>
    <row r="8031" ht="15" customHeight="1">
      <c r="A8031" t="inlineStr">
        <is>
          <t>A 6058-2026</t>
        </is>
      </c>
      <c r="B8031" s="1" t="n">
        <v>46052.64144675926</v>
      </c>
      <c r="C8031" s="1" t="n">
        <v>46086</v>
      </c>
      <c r="D8031" t="inlineStr">
        <is>
          <t>GÄVLEBORGS LÄN</t>
        </is>
      </c>
      <c r="E8031" t="inlineStr">
        <is>
          <t>BOLLNÄS</t>
        </is>
      </c>
      <c r="G8031" t="n">
        <v>1.8</v>
      </c>
      <c r="H8031" t="n">
        <v>0</v>
      </c>
      <c r="I8031" t="n">
        <v>0</v>
      </c>
      <c r="J8031" t="n">
        <v>0</v>
      </c>
      <c r="K8031" t="n">
        <v>0</v>
      </c>
      <c r="L8031" t="n">
        <v>0</v>
      </c>
      <c r="M8031" t="n">
        <v>0</v>
      </c>
      <c r="N8031" t="n">
        <v>0</v>
      </c>
      <c r="O8031" t="n">
        <v>0</v>
      </c>
      <c r="P8031" t="n">
        <v>0</v>
      </c>
      <c r="Q8031" t="n">
        <v>0</v>
      </c>
      <c r="R8031" s="2" t="inlineStr"/>
    </row>
    <row r="8032" ht="15" customHeight="1">
      <c r="A8032" t="inlineStr">
        <is>
          <t>A 6065-2026</t>
        </is>
      </c>
      <c r="B8032" s="1" t="n">
        <v>46052.65056712963</v>
      </c>
      <c r="C8032" s="1" t="n">
        <v>46086</v>
      </c>
      <c r="D8032" t="inlineStr">
        <is>
          <t>GÄVLEBORGS LÄN</t>
        </is>
      </c>
      <c r="E8032" t="inlineStr">
        <is>
          <t>GÄVLE</t>
        </is>
      </c>
      <c r="F8032" t="inlineStr">
        <is>
          <t>Bergvik skog öst AB</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6067-2026</t>
        </is>
      </c>
      <c r="B8033" s="1" t="n">
        <v>46052.65503472222</v>
      </c>
      <c r="C8033" s="1" t="n">
        <v>46086</v>
      </c>
      <c r="D8033" t="inlineStr">
        <is>
          <t>GÄVLEBORGS LÄN</t>
        </is>
      </c>
      <c r="E8033" t="inlineStr">
        <is>
          <t>BOLLNÄS</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6080-2026</t>
        </is>
      </c>
      <c r="B8034" s="1" t="n">
        <v>46052.67444444444</v>
      </c>
      <c r="C8034" s="1" t="n">
        <v>46086</v>
      </c>
      <c r="D8034" t="inlineStr">
        <is>
          <t>GÄVLEBORGS LÄN</t>
        </is>
      </c>
      <c r="E8034" t="inlineStr">
        <is>
          <t>GÄVLE</t>
        </is>
      </c>
      <c r="F8034" t="inlineStr">
        <is>
          <t>Bergvik skog öst AB</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6082-2026</t>
        </is>
      </c>
      <c r="B8035" s="1" t="n">
        <v>46052.67954861111</v>
      </c>
      <c r="C8035" s="1" t="n">
        <v>46086</v>
      </c>
      <c r="D8035" t="inlineStr">
        <is>
          <t>GÄVLEBORGS LÄN</t>
        </is>
      </c>
      <c r="E8035" t="inlineStr">
        <is>
          <t>BOLLNÄS</t>
        </is>
      </c>
      <c r="G8035" t="n">
        <v>3.3</v>
      </c>
      <c r="H8035" t="n">
        <v>0</v>
      </c>
      <c r="I8035" t="n">
        <v>0</v>
      </c>
      <c r="J8035" t="n">
        <v>0</v>
      </c>
      <c r="K8035" t="n">
        <v>0</v>
      </c>
      <c r="L8035" t="n">
        <v>0</v>
      </c>
      <c r="M8035" t="n">
        <v>0</v>
      </c>
      <c r="N8035" t="n">
        <v>0</v>
      </c>
      <c r="O8035" t="n">
        <v>0</v>
      </c>
      <c r="P8035" t="n">
        <v>0</v>
      </c>
      <c r="Q8035" t="n">
        <v>0</v>
      </c>
      <c r="R8035" s="2" t="inlineStr"/>
    </row>
    <row r="8036" ht="15" customHeight="1">
      <c r="A8036" t="inlineStr">
        <is>
          <t>A 6089-2026</t>
        </is>
      </c>
      <c r="B8036" s="1" t="n">
        <v>46052.70711805556</v>
      </c>
      <c r="C8036" s="1" t="n">
        <v>46086</v>
      </c>
      <c r="D8036" t="inlineStr">
        <is>
          <t>GÄVLEBORGS LÄN</t>
        </is>
      </c>
      <c r="E8036" t="inlineStr">
        <is>
          <t>BOLLNÄS</t>
        </is>
      </c>
      <c r="G8036" t="n">
        <v>8.4</v>
      </c>
      <c r="H8036" t="n">
        <v>0</v>
      </c>
      <c r="I8036" t="n">
        <v>0</v>
      </c>
      <c r="J8036" t="n">
        <v>0</v>
      </c>
      <c r="K8036" t="n">
        <v>0</v>
      </c>
      <c r="L8036" t="n">
        <v>0</v>
      </c>
      <c r="M8036" t="n">
        <v>0</v>
      </c>
      <c r="N8036" t="n">
        <v>0</v>
      </c>
      <c r="O8036" t="n">
        <v>0</v>
      </c>
      <c r="P8036" t="n">
        <v>0</v>
      </c>
      <c r="Q8036" t="n">
        <v>0</v>
      </c>
      <c r="R8036" s="2" t="inlineStr"/>
    </row>
    <row r="8037" ht="15" customHeight="1">
      <c r="A8037" t="inlineStr">
        <is>
          <t>A 6345-2026</t>
        </is>
      </c>
      <c r="B8037" s="1" t="n">
        <v>46055.60775462963</v>
      </c>
      <c r="C8037" s="1" t="n">
        <v>46086</v>
      </c>
      <c r="D8037" t="inlineStr">
        <is>
          <t>GÄVLEBORGS LÄN</t>
        </is>
      </c>
      <c r="E8037" t="inlineStr">
        <is>
          <t>BOLLNÄS</t>
        </is>
      </c>
      <c r="G8037" t="n">
        <v>12.5</v>
      </c>
      <c r="H8037" t="n">
        <v>0</v>
      </c>
      <c r="I8037" t="n">
        <v>0</v>
      </c>
      <c r="J8037" t="n">
        <v>0</v>
      </c>
      <c r="K8037" t="n">
        <v>0</v>
      </c>
      <c r="L8037" t="n">
        <v>0</v>
      </c>
      <c r="M8037" t="n">
        <v>0</v>
      </c>
      <c r="N8037" t="n">
        <v>0</v>
      </c>
      <c r="O8037" t="n">
        <v>0</v>
      </c>
      <c r="P8037" t="n">
        <v>0</v>
      </c>
      <c r="Q8037" t="n">
        <v>0</v>
      </c>
      <c r="R8037" s="2" t="inlineStr"/>
    </row>
    <row r="8038" ht="15" customHeight="1">
      <c r="A8038" t="inlineStr">
        <is>
          <t>A 6351-2026</t>
        </is>
      </c>
      <c r="B8038" s="1" t="n">
        <v>46055.6112037037</v>
      </c>
      <c r="C8038" s="1" t="n">
        <v>46086</v>
      </c>
      <c r="D8038" t="inlineStr">
        <is>
          <t>GÄVLEBORGS LÄN</t>
        </is>
      </c>
      <c r="E8038" t="inlineStr">
        <is>
          <t>OVANÅKER</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6352-2026</t>
        </is>
      </c>
      <c r="B8039" s="1" t="n">
        <v>46055.61150462963</v>
      </c>
      <c r="C8039" s="1" t="n">
        <v>46086</v>
      </c>
      <c r="D8039" t="inlineStr">
        <is>
          <t>GÄVLEBORGS LÄN</t>
        </is>
      </c>
      <c r="E8039" t="inlineStr">
        <is>
          <t>SANDVIKEN</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24999-2022</t>
        </is>
      </c>
      <c r="B8040" s="1" t="n">
        <v>44728</v>
      </c>
      <c r="C8040" s="1" t="n">
        <v>46086</v>
      </c>
      <c r="D8040" t="inlineStr">
        <is>
          <t>GÄVLEBORGS LÄN</t>
        </is>
      </c>
      <c r="E8040" t="inlineStr">
        <is>
          <t>NORDANSTIG</t>
        </is>
      </c>
      <c r="G8040" t="n">
        <v>18.5</v>
      </c>
      <c r="H8040" t="n">
        <v>0</v>
      </c>
      <c r="I8040" t="n">
        <v>0</v>
      </c>
      <c r="J8040" t="n">
        <v>0</v>
      </c>
      <c r="K8040" t="n">
        <v>0</v>
      </c>
      <c r="L8040" t="n">
        <v>0</v>
      </c>
      <c r="M8040" t="n">
        <v>0</v>
      </c>
      <c r="N8040" t="n">
        <v>0</v>
      </c>
      <c r="O8040" t="n">
        <v>0</v>
      </c>
      <c r="P8040" t="n">
        <v>0</v>
      </c>
      <c r="Q8040" t="n">
        <v>0</v>
      </c>
      <c r="R8040" s="2" t="inlineStr"/>
    </row>
    <row r="8041" ht="15" customHeight="1">
      <c r="A8041" t="inlineStr">
        <is>
          <t>A 63272-2025</t>
        </is>
      </c>
      <c r="B8041" s="1" t="n">
        <v>46010.57067129629</v>
      </c>
      <c r="C8041" s="1" t="n">
        <v>46086</v>
      </c>
      <c r="D8041" t="inlineStr">
        <is>
          <t>GÄVLEBORGS LÄN</t>
        </is>
      </c>
      <c r="E8041" t="inlineStr">
        <is>
          <t>BOLLNÄS</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63288-2025</t>
        </is>
      </c>
      <c r="B8042" s="1" t="n">
        <v>46010.59050925926</v>
      </c>
      <c r="C8042" s="1" t="n">
        <v>46086</v>
      </c>
      <c r="D8042" t="inlineStr">
        <is>
          <t>GÄVLEBORGS LÄN</t>
        </is>
      </c>
      <c r="E8042" t="inlineStr">
        <is>
          <t>GÄVLE</t>
        </is>
      </c>
      <c r="F8042" t="inlineStr">
        <is>
          <t>Bergvik skog väst AB</t>
        </is>
      </c>
      <c r="G8042" t="n">
        <v>5.3</v>
      </c>
      <c r="H8042" t="n">
        <v>0</v>
      </c>
      <c r="I8042" t="n">
        <v>0</v>
      </c>
      <c r="J8042" t="n">
        <v>0</v>
      </c>
      <c r="K8042" t="n">
        <v>0</v>
      </c>
      <c r="L8042" t="n">
        <v>0</v>
      </c>
      <c r="M8042" t="n">
        <v>0</v>
      </c>
      <c r="N8042" t="n">
        <v>0</v>
      </c>
      <c r="O8042" t="n">
        <v>0</v>
      </c>
      <c r="P8042" t="n">
        <v>0</v>
      </c>
      <c r="Q8042" t="n">
        <v>0</v>
      </c>
      <c r="R8042" s="2" t="inlineStr"/>
    </row>
    <row r="8043" ht="15" customHeight="1">
      <c r="A8043" t="inlineStr">
        <is>
          <t>A 5862-2026</t>
        </is>
      </c>
      <c r="B8043" s="1" t="n">
        <v>46052.36550925926</v>
      </c>
      <c r="C8043" s="1" t="n">
        <v>46086</v>
      </c>
      <c r="D8043" t="inlineStr">
        <is>
          <t>GÄVLEBORGS LÄN</t>
        </is>
      </c>
      <c r="E8043" t="inlineStr">
        <is>
          <t>OVANÅKER</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5864-2026</t>
        </is>
      </c>
      <c r="B8044" s="1" t="n">
        <v>46052.36734953704</v>
      </c>
      <c r="C8044" s="1" t="n">
        <v>46086</v>
      </c>
      <c r="D8044" t="inlineStr">
        <is>
          <t>GÄVLEBORGS LÄN</t>
        </is>
      </c>
      <c r="E8044" t="inlineStr">
        <is>
          <t>BOLLNÄS</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5838-2026</t>
        </is>
      </c>
      <c r="B8045" s="1" t="n">
        <v>46052.34255787037</v>
      </c>
      <c r="C8045" s="1" t="n">
        <v>46086</v>
      </c>
      <c r="D8045" t="inlineStr">
        <is>
          <t>GÄVLEBORGS LÄN</t>
        </is>
      </c>
      <c r="E8045" t="inlineStr">
        <is>
          <t>BOLLNÄS</t>
        </is>
      </c>
      <c r="G8045" t="n">
        <v>4.7</v>
      </c>
      <c r="H8045" t="n">
        <v>0</v>
      </c>
      <c r="I8045" t="n">
        <v>0</v>
      </c>
      <c r="J8045" t="n">
        <v>0</v>
      </c>
      <c r="K8045" t="n">
        <v>0</v>
      </c>
      <c r="L8045" t="n">
        <v>0</v>
      </c>
      <c r="M8045" t="n">
        <v>0</v>
      </c>
      <c r="N8045" t="n">
        <v>0</v>
      </c>
      <c r="O8045" t="n">
        <v>0</v>
      </c>
      <c r="P8045" t="n">
        <v>0</v>
      </c>
      <c r="Q8045" t="n">
        <v>0</v>
      </c>
      <c r="R8045" s="2" t="inlineStr"/>
    </row>
    <row r="8046" ht="15" customHeight="1">
      <c r="A8046" t="inlineStr">
        <is>
          <t>A 5868-2026</t>
        </is>
      </c>
      <c r="B8046" s="1" t="n">
        <v>46052.36797453704</v>
      </c>
      <c r="C8046" s="1" t="n">
        <v>46086</v>
      </c>
      <c r="D8046" t="inlineStr">
        <is>
          <t>GÄVLEBORGS LÄN</t>
        </is>
      </c>
      <c r="E8046" t="inlineStr">
        <is>
          <t>OVANÅKER</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5869-2026</t>
        </is>
      </c>
      <c r="B8047" s="1" t="n">
        <v>46052.36837962963</v>
      </c>
      <c r="C8047" s="1" t="n">
        <v>46086</v>
      </c>
      <c r="D8047" t="inlineStr">
        <is>
          <t>GÄVLEBORGS LÄN</t>
        </is>
      </c>
      <c r="E8047" t="inlineStr">
        <is>
          <t>BOLLNÄS</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5870-2026</t>
        </is>
      </c>
      <c r="B8048" s="1" t="n">
        <v>46052.36857638889</v>
      </c>
      <c r="C8048" s="1" t="n">
        <v>46086</v>
      </c>
      <c r="D8048" t="inlineStr">
        <is>
          <t>GÄVLEBORGS LÄN</t>
        </is>
      </c>
      <c r="E8048" t="inlineStr">
        <is>
          <t>BOLLNÄS</t>
        </is>
      </c>
      <c r="G8048" t="n">
        <v>4.6</v>
      </c>
      <c r="H8048" t="n">
        <v>0</v>
      </c>
      <c r="I8048" t="n">
        <v>0</v>
      </c>
      <c r="J8048" t="n">
        <v>0</v>
      </c>
      <c r="K8048" t="n">
        <v>0</v>
      </c>
      <c r="L8048" t="n">
        <v>0</v>
      </c>
      <c r="M8048" t="n">
        <v>0</v>
      </c>
      <c r="N8048" t="n">
        <v>0</v>
      </c>
      <c r="O8048" t="n">
        <v>0</v>
      </c>
      <c r="P8048" t="n">
        <v>0</v>
      </c>
      <c r="Q8048" t="n">
        <v>0</v>
      </c>
      <c r="R8048" s="2" t="inlineStr"/>
    </row>
    <row r="8049" ht="15" customHeight="1">
      <c r="A8049" t="inlineStr">
        <is>
          <t>A 5877-2026</t>
        </is>
      </c>
      <c r="B8049" s="1" t="n">
        <v>46052.38428240741</v>
      </c>
      <c r="C8049" s="1" t="n">
        <v>46086</v>
      </c>
      <c r="D8049" t="inlineStr">
        <is>
          <t>GÄVLEBORGS LÄN</t>
        </is>
      </c>
      <c r="E8049" t="inlineStr">
        <is>
          <t>GÄVLE</t>
        </is>
      </c>
      <c r="G8049" t="n">
        <v>5.9</v>
      </c>
      <c r="H8049" t="n">
        <v>0</v>
      </c>
      <c r="I8049" t="n">
        <v>0</v>
      </c>
      <c r="J8049" t="n">
        <v>0</v>
      </c>
      <c r="K8049" t="n">
        <v>0</v>
      </c>
      <c r="L8049" t="n">
        <v>0</v>
      </c>
      <c r="M8049" t="n">
        <v>0</v>
      </c>
      <c r="N8049" t="n">
        <v>0</v>
      </c>
      <c r="O8049" t="n">
        <v>0</v>
      </c>
      <c r="P8049" t="n">
        <v>0</v>
      </c>
      <c r="Q8049" t="n">
        <v>0</v>
      </c>
      <c r="R8049" s="2" t="inlineStr"/>
    </row>
    <row r="8050" ht="15" customHeight="1">
      <c r="A8050" t="inlineStr">
        <is>
          <t>A 34502-2024</t>
        </is>
      </c>
      <c r="B8050" s="1" t="n">
        <v>45525.64055555555</v>
      </c>
      <c r="C8050" s="1" t="n">
        <v>46086</v>
      </c>
      <c r="D8050" t="inlineStr">
        <is>
          <t>GÄVLEBORGS LÄN</t>
        </is>
      </c>
      <c r="E8050" t="inlineStr">
        <is>
          <t>NORDANSTIG</t>
        </is>
      </c>
      <c r="F8050" t="inlineStr">
        <is>
          <t>Holmen skog AB</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5954-2026</t>
        </is>
      </c>
      <c r="B8051" s="1" t="n">
        <v>46052.49340277778</v>
      </c>
      <c r="C8051" s="1" t="n">
        <v>46086</v>
      </c>
      <c r="D8051" t="inlineStr">
        <is>
          <t>GÄVLEBORGS LÄN</t>
        </is>
      </c>
      <c r="E8051" t="inlineStr">
        <is>
          <t>SÖDERHAMN</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6374-2026</t>
        </is>
      </c>
      <c r="B8052" s="1" t="n">
        <v>46055.63251157408</v>
      </c>
      <c r="C8052" s="1" t="n">
        <v>46086</v>
      </c>
      <c r="D8052" t="inlineStr">
        <is>
          <t>GÄVLEBORGS LÄN</t>
        </is>
      </c>
      <c r="E8052" t="inlineStr">
        <is>
          <t>LJUSDAL</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20109-2025</t>
        </is>
      </c>
      <c r="B8053" s="1" t="n">
        <v>45772.47123842593</v>
      </c>
      <c r="C8053" s="1" t="n">
        <v>46086</v>
      </c>
      <c r="D8053" t="inlineStr">
        <is>
          <t>GÄVLEBORGS LÄN</t>
        </is>
      </c>
      <c r="E8053" t="inlineStr">
        <is>
          <t>LJUSDAL</t>
        </is>
      </c>
      <c r="F8053" t="inlineStr">
        <is>
          <t>Sveaskog</t>
        </is>
      </c>
      <c r="G8053" t="n">
        <v>6.8</v>
      </c>
      <c r="H8053" t="n">
        <v>0</v>
      </c>
      <c r="I8053" t="n">
        <v>0</v>
      </c>
      <c r="J8053" t="n">
        <v>0</v>
      </c>
      <c r="K8053" t="n">
        <v>0</v>
      </c>
      <c r="L8053" t="n">
        <v>0</v>
      </c>
      <c r="M8053" t="n">
        <v>0</v>
      </c>
      <c r="N8053" t="n">
        <v>0</v>
      </c>
      <c r="O8053" t="n">
        <v>0</v>
      </c>
      <c r="P8053" t="n">
        <v>0</v>
      </c>
      <c r="Q8053" t="n">
        <v>0</v>
      </c>
      <c r="R8053" s="2" t="inlineStr"/>
    </row>
    <row r="8054" ht="15" customHeight="1">
      <c r="A8054" t="inlineStr">
        <is>
          <t>A 6428-2026</t>
        </is>
      </c>
      <c r="B8054" s="1" t="n">
        <v>46055.72790509259</v>
      </c>
      <c r="C8054" s="1" t="n">
        <v>46086</v>
      </c>
      <c r="D8054" t="inlineStr">
        <is>
          <t>GÄVLEBORGS LÄN</t>
        </is>
      </c>
      <c r="E8054" t="inlineStr">
        <is>
          <t>SANDVIKEN</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6431-2026</t>
        </is>
      </c>
      <c r="B8055" s="1" t="n">
        <v>46055.75021990741</v>
      </c>
      <c r="C8055" s="1" t="n">
        <v>46086</v>
      </c>
      <c r="D8055" t="inlineStr">
        <is>
          <t>GÄVLEBORGS LÄN</t>
        </is>
      </c>
      <c r="E8055" t="inlineStr">
        <is>
          <t>BOLLNÄS</t>
        </is>
      </c>
      <c r="F8055" t="inlineStr">
        <is>
          <t>Bergvik skog väst AB</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6388-2026</t>
        </is>
      </c>
      <c r="B8056" s="1" t="n">
        <v>46055.64354166666</v>
      </c>
      <c r="C8056" s="1" t="n">
        <v>46086</v>
      </c>
      <c r="D8056" t="inlineStr">
        <is>
          <t>GÄVLEBORGS LÄN</t>
        </is>
      </c>
      <c r="E8056" t="inlineStr">
        <is>
          <t>NORDANSTIG</t>
        </is>
      </c>
      <c r="G8056" t="n">
        <v>4.5</v>
      </c>
      <c r="H8056" t="n">
        <v>0</v>
      </c>
      <c r="I8056" t="n">
        <v>0</v>
      </c>
      <c r="J8056" t="n">
        <v>0</v>
      </c>
      <c r="K8056" t="n">
        <v>0</v>
      </c>
      <c r="L8056" t="n">
        <v>0</v>
      </c>
      <c r="M8056" t="n">
        <v>0</v>
      </c>
      <c r="N8056" t="n">
        <v>0</v>
      </c>
      <c r="O8056" t="n">
        <v>0</v>
      </c>
      <c r="P8056" t="n">
        <v>0</v>
      </c>
      <c r="Q8056" t="n">
        <v>0</v>
      </c>
      <c r="R8056" s="2" t="inlineStr"/>
    </row>
    <row r="8057" ht="15" customHeight="1">
      <c r="A8057" t="inlineStr">
        <is>
          <t>A 23772-2024</t>
        </is>
      </c>
      <c r="B8057" s="1" t="n">
        <v>45455.3833912037</v>
      </c>
      <c r="C8057" s="1" t="n">
        <v>46086</v>
      </c>
      <c r="D8057" t="inlineStr">
        <is>
          <t>GÄVLEBORGS LÄN</t>
        </is>
      </c>
      <c r="E8057" t="inlineStr">
        <is>
          <t>OCKELBO</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6401-2026</t>
        </is>
      </c>
      <c r="B8058" s="1" t="n">
        <v>46055.658125</v>
      </c>
      <c r="C8058" s="1" t="n">
        <v>46086</v>
      </c>
      <c r="D8058" t="inlineStr">
        <is>
          <t>GÄVLEBORGS LÄN</t>
        </is>
      </c>
      <c r="E8058" t="inlineStr">
        <is>
          <t>LJUSDAL</t>
        </is>
      </c>
      <c r="F8058" t="inlineStr">
        <is>
          <t>Holmen skog AB</t>
        </is>
      </c>
      <c r="G8058" t="n">
        <v>4.4</v>
      </c>
      <c r="H8058" t="n">
        <v>0</v>
      </c>
      <c r="I8058" t="n">
        <v>0</v>
      </c>
      <c r="J8058" t="n">
        <v>0</v>
      </c>
      <c r="K8058" t="n">
        <v>0</v>
      </c>
      <c r="L8058" t="n">
        <v>0</v>
      </c>
      <c r="M8058" t="n">
        <v>0</v>
      </c>
      <c r="N8058" t="n">
        <v>0</v>
      </c>
      <c r="O8058" t="n">
        <v>0</v>
      </c>
      <c r="P8058" t="n">
        <v>0</v>
      </c>
      <c r="Q8058" t="n">
        <v>0</v>
      </c>
      <c r="R8058" s="2" t="inlineStr"/>
    </row>
    <row r="8059" ht="15" customHeight="1">
      <c r="A8059" t="inlineStr">
        <is>
          <t>A 6403-2026</t>
        </is>
      </c>
      <c r="B8059" s="1" t="n">
        <v>46055.65849537037</v>
      </c>
      <c r="C8059" s="1" t="n">
        <v>46086</v>
      </c>
      <c r="D8059" t="inlineStr">
        <is>
          <t>GÄVLEBORGS LÄN</t>
        </is>
      </c>
      <c r="E8059" t="inlineStr">
        <is>
          <t>SÖDERHAMN</t>
        </is>
      </c>
      <c r="G8059" t="n">
        <v>8</v>
      </c>
      <c r="H8059" t="n">
        <v>0</v>
      </c>
      <c r="I8059" t="n">
        <v>0</v>
      </c>
      <c r="J8059" t="n">
        <v>0</v>
      </c>
      <c r="K8059" t="n">
        <v>0</v>
      </c>
      <c r="L8059" t="n">
        <v>0</v>
      </c>
      <c r="M8059" t="n">
        <v>0</v>
      </c>
      <c r="N8059" t="n">
        <v>0</v>
      </c>
      <c r="O8059" t="n">
        <v>0</v>
      </c>
      <c r="P8059" t="n">
        <v>0</v>
      </c>
      <c r="Q8059" t="n">
        <v>0</v>
      </c>
      <c r="R8059" s="2" t="inlineStr"/>
    </row>
    <row r="8060" ht="15" customHeight="1">
      <c r="A8060" t="inlineStr">
        <is>
          <t>A 6443-2026</t>
        </is>
      </c>
      <c r="B8060" s="1" t="n">
        <v>46055.81494212963</v>
      </c>
      <c r="C8060" s="1" t="n">
        <v>46086</v>
      </c>
      <c r="D8060" t="inlineStr">
        <is>
          <t>GÄVLEBORGS LÄN</t>
        </is>
      </c>
      <c r="E8060" t="inlineStr">
        <is>
          <t>BOLLNÄS</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6444-2026</t>
        </is>
      </c>
      <c r="B8061" s="1" t="n">
        <v>46055.82902777778</v>
      </c>
      <c r="C8061" s="1" t="n">
        <v>46086</v>
      </c>
      <c r="D8061" t="inlineStr">
        <is>
          <t>GÄVLEBORGS LÄN</t>
        </is>
      </c>
      <c r="E8061" t="inlineStr">
        <is>
          <t>BOLLNÄS</t>
        </is>
      </c>
      <c r="F8061" t="inlineStr">
        <is>
          <t>Kyrkan</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5826-2026</t>
        </is>
      </c>
      <c r="B8062" s="1" t="n">
        <v>46050</v>
      </c>
      <c r="C8062" s="1" t="n">
        <v>46086</v>
      </c>
      <c r="D8062" t="inlineStr">
        <is>
          <t>GÄVLEBORGS LÄN</t>
        </is>
      </c>
      <c r="E8062" t="inlineStr">
        <is>
          <t>OVANÅKER</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5846-2026</t>
        </is>
      </c>
      <c r="B8063" s="1" t="n">
        <v>46052.34869212963</v>
      </c>
      <c r="C8063" s="1" t="n">
        <v>46086</v>
      </c>
      <c r="D8063" t="inlineStr">
        <is>
          <t>GÄVLEBORGS LÄN</t>
        </is>
      </c>
      <c r="E8063" t="inlineStr">
        <is>
          <t>OCKELBO</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36658-2024</t>
        </is>
      </c>
      <c r="B8064" s="1" t="n">
        <v>45537.62311342593</v>
      </c>
      <c r="C8064" s="1" t="n">
        <v>46086</v>
      </c>
      <c r="D8064" t="inlineStr">
        <is>
          <t>GÄVLEBORGS LÄN</t>
        </is>
      </c>
      <c r="E8064" t="inlineStr">
        <is>
          <t>LJUSDAL</t>
        </is>
      </c>
      <c r="F8064" t="inlineStr">
        <is>
          <t>Holmen skog AB</t>
        </is>
      </c>
      <c r="G8064" t="n">
        <v>2.8</v>
      </c>
      <c r="H8064" t="n">
        <v>0</v>
      </c>
      <c r="I8064" t="n">
        <v>0</v>
      </c>
      <c r="J8064" t="n">
        <v>0</v>
      </c>
      <c r="K8064" t="n">
        <v>0</v>
      </c>
      <c r="L8064" t="n">
        <v>0</v>
      </c>
      <c r="M8064" t="n">
        <v>0</v>
      </c>
      <c r="N8064" t="n">
        <v>0</v>
      </c>
      <c r="O8064" t="n">
        <v>0</v>
      </c>
      <c r="P8064" t="n">
        <v>0</v>
      </c>
      <c r="Q8064" t="n">
        <v>0</v>
      </c>
      <c r="R8064" s="2" t="inlineStr"/>
    </row>
    <row r="8065" ht="15" customHeight="1">
      <c r="A8065" t="inlineStr">
        <is>
          <t>A 36694-2024</t>
        </is>
      </c>
      <c r="B8065" s="1" t="n">
        <v>45537.67020833334</v>
      </c>
      <c r="C8065" s="1" t="n">
        <v>46086</v>
      </c>
      <c r="D8065" t="inlineStr">
        <is>
          <t>GÄVLEBORGS LÄN</t>
        </is>
      </c>
      <c r="E8065" t="inlineStr">
        <is>
          <t>NORDANSTIG</t>
        </is>
      </c>
      <c r="F8065" t="inlineStr">
        <is>
          <t>Holmen skog AB</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5788-2025</t>
        </is>
      </c>
      <c r="B8066" s="1" t="n">
        <v>45694</v>
      </c>
      <c r="C8066" s="1" t="n">
        <v>46086</v>
      </c>
      <c r="D8066" t="inlineStr">
        <is>
          <t>GÄVLEBORGS LÄN</t>
        </is>
      </c>
      <c r="E8066" t="inlineStr">
        <is>
          <t>HUDIKSVALL</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5870-2025</t>
        </is>
      </c>
      <c r="B8067" s="1" t="n">
        <v>45695.36047453704</v>
      </c>
      <c r="C8067" s="1" t="n">
        <v>46086</v>
      </c>
      <c r="D8067" t="inlineStr">
        <is>
          <t>GÄVLEBORGS LÄN</t>
        </is>
      </c>
      <c r="E8067" t="inlineStr">
        <is>
          <t>HUDIKSVALL</t>
        </is>
      </c>
      <c r="F8067" t="inlineStr">
        <is>
          <t>Holmen skog AB</t>
        </is>
      </c>
      <c r="G8067" t="n">
        <v>3.9</v>
      </c>
      <c r="H8067" t="n">
        <v>0</v>
      </c>
      <c r="I8067" t="n">
        <v>0</v>
      </c>
      <c r="J8067" t="n">
        <v>0</v>
      </c>
      <c r="K8067" t="n">
        <v>0</v>
      </c>
      <c r="L8067" t="n">
        <v>0</v>
      </c>
      <c r="M8067" t="n">
        <v>0</v>
      </c>
      <c r="N8067" t="n">
        <v>0</v>
      </c>
      <c r="O8067" t="n">
        <v>0</v>
      </c>
      <c r="P8067" t="n">
        <v>0</v>
      </c>
      <c r="Q8067" t="n">
        <v>0</v>
      </c>
      <c r="R8067" s="2" t="inlineStr"/>
    </row>
    <row r="8068" ht="15" customHeight="1">
      <c r="A8068" t="inlineStr">
        <is>
          <t>A 63270-2025</t>
        </is>
      </c>
      <c r="B8068" s="1" t="n">
        <v>46010.56822916667</v>
      </c>
      <c r="C8068" s="1" t="n">
        <v>46086</v>
      </c>
      <c r="D8068" t="inlineStr">
        <is>
          <t>GÄVLEBORGS LÄN</t>
        </is>
      </c>
      <c r="E8068" t="inlineStr">
        <is>
          <t>BOLLNÄS</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63286-2025</t>
        </is>
      </c>
      <c r="B8069" s="1" t="n">
        <v>46010.58943287037</v>
      </c>
      <c r="C8069" s="1" t="n">
        <v>46086</v>
      </c>
      <c r="D8069" t="inlineStr">
        <is>
          <t>GÄVLEBORGS LÄN</t>
        </is>
      </c>
      <c r="E8069" t="inlineStr">
        <is>
          <t>BOLLNÄS</t>
        </is>
      </c>
      <c r="G8069" t="n">
        <v>3.3</v>
      </c>
      <c r="H8069" t="n">
        <v>0</v>
      </c>
      <c r="I8069" t="n">
        <v>0</v>
      </c>
      <c r="J8069" t="n">
        <v>0</v>
      </c>
      <c r="K8069" t="n">
        <v>0</v>
      </c>
      <c r="L8069" t="n">
        <v>0</v>
      </c>
      <c r="M8069" t="n">
        <v>0</v>
      </c>
      <c r="N8069" t="n">
        <v>0</v>
      </c>
      <c r="O8069" t="n">
        <v>0</v>
      </c>
      <c r="P8069" t="n">
        <v>0</v>
      </c>
      <c r="Q8069" t="n">
        <v>0</v>
      </c>
      <c r="R8069" s="2" t="inlineStr"/>
    </row>
    <row r="8070" ht="15" customHeight="1">
      <c r="A8070" t="inlineStr">
        <is>
          <t>A 6234-2026</t>
        </is>
      </c>
      <c r="B8070" s="1" t="n">
        <v>46055.45103009259</v>
      </c>
      <c r="C8070" s="1" t="n">
        <v>46086</v>
      </c>
      <c r="D8070" t="inlineStr">
        <is>
          <t>GÄVLEBORGS LÄN</t>
        </is>
      </c>
      <c r="E8070" t="inlineStr">
        <is>
          <t>OVANÅKER</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56120-2024</t>
        </is>
      </c>
      <c r="B8071" s="1" t="n">
        <v>45624.46519675926</v>
      </c>
      <c r="C8071" s="1" t="n">
        <v>46086</v>
      </c>
      <c r="D8071" t="inlineStr">
        <is>
          <t>GÄVLEBORGS LÄN</t>
        </is>
      </c>
      <c r="E8071" t="inlineStr">
        <is>
          <t>BOLLNÄS</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6257-2026</t>
        </is>
      </c>
      <c r="B8072" s="1" t="n">
        <v>46055.47626157408</v>
      </c>
      <c r="C8072" s="1" t="n">
        <v>46086</v>
      </c>
      <c r="D8072" t="inlineStr">
        <is>
          <t>GÄVLEBORGS LÄN</t>
        </is>
      </c>
      <c r="E8072" t="inlineStr">
        <is>
          <t>BOLLNÄS</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6336-2026</t>
        </is>
      </c>
      <c r="B8073" s="1" t="n">
        <v>46055.59658564815</v>
      </c>
      <c r="C8073" s="1" t="n">
        <v>46086</v>
      </c>
      <c r="D8073" t="inlineStr">
        <is>
          <t>GÄVLEBORGS LÄN</t>
        </is>
      </c>
      <c r="E8073" t="inlineStr">
        <is>
          <t>SÖDERHAMN</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37693-2023</t>
        </is>
      </c>
      <c r="B8074" s="1" t="n">
        <v>45159.57056712963</v>
      </c>
      <c r="C8074" s="1" t="n">
        <v>46086</v>
      </c>
      <c r="D8074" t="inlineStr">
        <is>
          <t>GÄVLEBORGS LÄN</t>
        </is>
      </c>
      <c r="E8074" t="inlineStr">
        <is>
          <t>HOFORS</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18453-2025</t>
        </is>
      </c>
      <c r="B8075" s="1" t="n">
        <v>45762.66689814815</v>
      </c>
      <c r="C8075" s="1" t="n">
        <v>46086</v>
      </c>
      <c r="D8075" t="inlineStr">
        <is>
          <t>GÄVLEBORGS LÄN</t>
        </is>
      </c>
      <c r="E8075" t="inlineStr">
        <is>
          <t>LJUSDAL</t>
        </is>
      </c>
      <c r="F8075" t="inlineStr">
        <is>
          <t>Kommuner</t>
        </is>
      </c>
      <c r="G8075" t="n">
        <v>5.5</v>
      </c>
      <c r="H8075" t="n">
        <v>0</v>
      </c>
      <c r="I8075" t="n">
        <v>0</v>
      </c>
      <c r="J8075" t="n">
        <v>0</v>
      </c>
      <c r="K8075" t="n">
        <v>0</v>
      </c>
      <c r="L8075" t="n">
        <v>0</v>
      </c>
      <c r="M8075" t="n">
        <v>0</v>
      </c>
      <c r="N8075" t="n">
        <v>0</v>
      </c>
      <c r="O8075" t="n">
        <v>0</v>
      </c>
      <c r="P8075" t="n">
        <v>0</v>
      </c>
      <c r="Q8075" t="n">
        <v>0</v>
      </c>
      <c r="R8075" s="2" t="inlineStr"/>
    </row>
    <row r="8076" ht="15" customHeight="1">
      <c r="A8076" t="inlineStr">
        <is>
          <t>A 37741-2023</t>
        </is>
      </c>
      <c r="B8076" s="1" t="n">
        <v>45159.62744212963</v>
      </c>
      <c r="C8076" s="1" t="n">
        <v>46086</v>
      </c>
      <c r="D8076" t="inlineStr">
        <is>
          <t>GÄVLEBORGS LÄN</t>
        </is>
      </c>
      <c r="E8076" t="inlineStr">
        <is>
          <t>SANDVIKEN</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5819-2026</t>
        </is>
      </c>
      <c r="B8077" s="1" t="n">
        <v>46052.26390046296</v>
      </c>
      <c r="C8077" s="1" t="n">
        <v>46086</v>
      </c>
      <c r="D8077" t="inlineStr">
        <is>
          <t>GÄVLEBORGS LÄN</t>
        </is>
      </c>
      <c r="E8077" t="inlineStr">
        <is>
          <t>BOLLNÄS</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5821-2026</t>
        </is>
      </c>
      <c r="B8078" s="1" t="n">
        <v>46052.27571759259</v>
      </c>
      <c r="C8078" s="1" t="n">
        <v>46086</v>
      </c>
      <c r="D8078" t="inlineStr">
        <is>
          <t>GÄVLEBORGS LÄN</t>
        </is>
      </c>
      <c r="E8078" t="inlineStr">
        <is>
          <t>BOLLNÄS</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35071-2024</t>
        </is>
      </c>
      <c r="B8079" s="1" t="n">
        <v>45527.66324074074</v>
      </c>
      <c r="C8079" s="1" t="n">
        <v>46086</v>
      </c>
      <c r="D8079" t="inlineStr">
        <is>
          <t>GÄVLEBORGS LÄN</t>
        </is>
      </c>
      <c r="E8079" t="inlineStr">
        <is>
          <t>HUDIKSVALL</t>
        </is>
      </c>
      <c r="F8079" t="inlineStr">
        <is>
          <t>Holmen skog AB</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35081-2024</t>
        </is>
      </c>
      <c r="B8080" s="1" t="n">
        <v>45527.67694444444</v>
      </c>
      <c r="C8080" s="1" t="n">
        <v>46086</v>
      </c>
      <c r="D8080" t="inlineStr">
        <is>
          <t>GÄVLEBORGS LÄN</t>
        </is>
      </c>
      <c r="E8080" t="inlineStr">
        <is>
          <t>HUDIKSVALL</t>
        </is>
      </c>
      <c r="F8080" t="inlineStr">
        <is>
          <t>Holmen skog AB</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6006-2026</t>
        </is>
      </c>
      <c r="B8081" s="1" t="n">
        <v>46052.58733796296</v>
      </c>
      <c r="C8081" s="1" t="n">
        <v>46086</v>
      </c>
      <c r="D8081" t="inlineStr">
        <is>
          <t>GÄVLEBORGS LÄN</t>
        </is>
      </c>
      <c r="E8081" t="inlineStr">
        <is>
          <t>BOLLNÄS</t>
        </is>
      </c>
      <c r="G8081" t="n">
        <v>8.699999999999999</v>
      </c>
      <c r="H8081" t="n">
        <v>0</v>
      </c>
      <c r="I8081" t="n">
        <v>0</v>
      </c>
      <c r="J8081" t="n">
        <v>0</v>
      </c>
      <c r="K8081" t="n">
        <v>0</v>
      </c>
      <c r="L8081" t="n">
        <v>0</v>
      </c>
      <c r="M8081" t="n">
        <v>0</v>
      </c>
      <c r="N8081" t="n">
        <v>0</v>
      </c>
      <c r="O8081" t="n">
        <v>0</v>
      </c>
      <c r="P8081" t="n">
        <v>0</v>
      </c>
      <c r="Q8081" t="n">
        <v>0</v>
      </c>
      <c r="R8081" s="2" t="inlineStr"/>
    </row>
    <row r="8082" ht="15" customHeight="1">
      <c r="A8082" t="inlineStr">
        <is>
          <t>A 6055-2026</t>
        </is>
      </c>
      <c r="B8082" s="1" t="n">
        <v>46052.63857638889</v>
      </c>
      <c r="C8082" s="1" t="n">
        <v>46086</v>
      </c>
      <c r="D8082" t="inlineStr">
        <is>
          <t>GÄVLEBORGS LÄN</t>
        </is>
      </c>
      <c r="E8082" t="inlineStr">
        <is>
          <t>GÄVLE</t>
        </is>
      </c>
      <c r="F8082" t="inlineStr">
        <is>
          <t>Bergvik skog öst AB</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6077-2026</t>
        </is>
      </c>
      <c r="B8083" s="1" t="n">
        <v>46052.66851851852</v>
      </c>
      <c r="C8083" s="1" t="n">
        <v>46086</v>
      </c>
      <c r="D8083" t="inlineStr">
        <is>
          <t>GÄVLEBORGS LÄN</t>
        </is>
      </c>
      <c r="E8083" t="inlineStr">
        <is>
          <t>SANDVIKEN</t>
        </is>
      </c>
      <c r="G8083" t="n">
        <v>6.3</v>
      </c>
      <c r="H8083" t="n">
        <v>0</v>
      </c>
      <c r="I8083" t="n">
        <v>0</v>
      </c>
      <c r="J8083" t="n">
        <v>0</v>
      </c>
      <c r="K8083" t="n">
        <v>0</v>
      </c>
      <c r="L8083" t="n">
        <v>0</v>
      </c>
      <c r="M8083" t="n">
        <v>0</v>
      </c>
      <c r="N8083" t="n">
        <v>0</v>
      </c>
      <c r="O8083" t="n">
        <v>0</v>
      </c>
      <c r="P8083" t="n">
        <v>0</v>
      </c>
      <c r="Q8083" t="n">
        <v>0</v>
      </c>
      <c r="R8083" s="2" t="inlineStr"/>
    </row>
    <row r="8084" ht="15" customHeight="1">
      <c r="A8084" t="inlineStr">
        <is>
          <t>A 42876-2023</t>
        </is>
      </c>
      <c r="B8084" s="1" t="n">
        <v>45182</v>
      </c>
      <c r="C8084" s="1" t="n">
        <v>46086</v>
      </c>
      <c r="D8084" t="inlineStr">
        <is>
          <t>GÄVLEBORGS LÄN</t>
        </is>
      </c>
      <c r="E8084" t="inlineStr">
        <is>
          <t>GÄVLE</t>
        </is>
      </c>
      <c r="F8084" t="inlineStr">
        <is>
          <t>Bergvik skog väst AB</t>
        </is>
      </c>
      <c r="G8084" t="n">
        <v>22.7</v>
      </c>
      <c r="H8084" t="n">
        <v>0</v>
      </c>
      <c r="I8084" t="n">
        <v>0</v>
      </c>
      <c r="J8084" t="n">
        <v>0</v>
      </c>
      <c r="K8084" t="n">
        <v>0</v>
      </c>
      <c r="L8084" t="n">
        <v>0</v>
      </c>
      <c r="M8084" t="n">
        <v>0</v>
      </c>
      <c r="N8084" t="n">
        <v>0</v>
      </c>
      <c r="O8084" t="n">
        <v>0</v>
      </c>
      <c r="P8084" t="n">
        <v>0</v>
      </c>
      <c r="Q8084" t="n">
        <v>0</v>
      </c>
      <c r="R8084" s="2" t="inlineStr"/>
    </row>
    <row r="8085" ht="15" customHeight="1">
      <c r="A8085" t="inlineStr">
        <is>
          <t>A 6052-2026</t>
        </is>
      </c>
      <c r="B8085" s="1" t="n">
        <v>46052.63516203704</v>
      </c>
      <c r="C8085" s="1" t="n">
        <v>46086</v>
      </c>
      <c r="D8085" t="inlineStr">
        <is>
          <t>GÄVLEBORGS LÄN</t>
        </is>
      </c>
      <c r="E8085" t="inlineStr">
        <is>
          <t>BOLLNÄS</t>
        </is>
      </c>
      <c r="G8085" t="n">
        <v>9</v>
      </c>
      <c r="H8085" t="n">
        <v>0</v>
      </c>
      <c r="I8085" t="n">
        <v>0</v>
      </c>
      <c r="J8085" t="n">
        <v>0</v>
      </c>
      <c r="K8085" t="n">
        <v>0</v>
      </c>
      <c r="L8085" t="n">
        <v>0</v>
      </c>
      <c r="M8085" t="n">
        <v>0</v>
      </c>
      <c r="N8085" t="n">
        <v>0</v>
      </c>
      <c r="O8085" t="n">
        <v>0</v>
      </c>
      <c r="P8085" t="n">
        <v>0</v>
      </c>
      <c r="Q8085" t="n">
        <v>0</v>
      </c>
      <c r="R8085" s="2" t="inlineStr"/>
    </row>
    <row r="8086" ht="15" customHeight="1">
      <c r="A8086" t="inlineStr">
        <is>
          <t>A 42930-2023</t>
        </is>
      </c>
      <c r="B8086" s="1" t="n">
        <v>45177</v>
      </c>
      <c r="C8086" s="1" t="n">
        <v>46086</v>
      </c>
      <c r="D8086" t="inlineStr">
        <is>
          <t>GÄVLEBORGS LÄN</t>
        </is>
      </c>
      <c r="E8086" t="inlineStr">
        <is>
          <t>SANDVIKEN</t>
        </is>
      </c>
      <c r="F8086" t="inlineStr">
        <is>
          <t>Bergvik skog väst AB</t>
        </is>
      </c>
      <c r="G8086" t="n">
        <v>20.6</v>
      </c>
      <c r="H8086" t="n">
        <v>0</v>
      </c>
      <c r="I8086" t="n">
        <v>0</v>
      </c>
      <c r="J8086" t="n">
        <v>0</v>
      </c>
      <c r="K8086" t="n">
        <v>0</v>
      </c>
      <c r="L8086" t="n">
        <v>0</v>
      </c>
      <c r="M8086" t="n">
        <v>0</v>
      </c>
      <c r="N8086" t="n">
        <v>0</v>
      </c>
      <c r="O8086" t="n">
        <v>0</v>
      </c>
      <c r="P8086" t="n">
        <v>0</v>
      </c>
      <c r="Q8086" t="n">
        <v>0</v>
      </c>
      <c r="R8086" s="2" t="inlineStr"/>
    </row>
    <row r="8087" ht="15" customHeight="1">
      <c r="A8087" t="inlineStr">
        <is>
          <t>A 63541-2025</t>
        </is>
      </c>
      <c r="B8087" s="1" t="n">
        <v>46013.58953703703</v>
      </c>
      <c r="C8087" s="1" t="n">
        <v>46086</v>
      </c>
      <c r="D8087" t="inlineStr">
        <is>
          <t>GÄVLEBORGS LÄN</t>
        </is>
      </c>
      <c r="E8087" t="inlineStr">
        <is>
          <t>HUDIKSVALL</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5820-2026</t>
        </is>
      </c>
      <c r="B8088" s="1" t="n">
        <v>46052.27096064815</v>
      </c>
      <c r="C8088" s="1" t="n">
        <v>46086</v>
      </c>
      <c r="D8088" t="inlineStr">
        <is>
          <t>GÄVLEBORGS LÄN</t>
        </is>
      </c>
      <c r="E8088" t="inlineStr">
        <is>
          <t>BOLLNÄS</t>
        </is>
      </c>
      <c r="G8088" t="n">
        <v>4.6</v>
      </c>
      <c r="H8088" t="n">
        <v>0</v>
      </c>
      <c r="I8088" t="n">
        <v>0</v>
      </c>
      <c r="J8088" t="n">
        <v>0</v>
      </c>
      <c r="K8088" t="n">
        <v>0</v>
      </c>
      <c r="L8088" t="n">
        <v>0</v>
      </c>
      <c r="M8088" t="n">
        <v>0</v>
      </c>
      <c r="N8088" t="n">
        <v>0</v>
      </c>
      <c r="O8088" t="n">
        <v>0</v>
      </c>
      <c r="P8088" t="n">
        <v>0</v>
      </c>
      <c r="Q8088" t="n">
        <v>0</v>
      </c>
      <c r="R8088" s="2" t="inlineStr"/>
    </row>
    <row r="8089" ht="15" customHeight="1">
      <c r="A8089" t="inlineStr">
        <is>
          <t>A 26324-2025</t>
        </is>
      </c>
      <c r="B8089" s="1" t="n">
        <v>45805</v>
      </c>
      <c r="C8089" s="1" t="n">
        <v>46086</v>
      </c>
      <c r="D8089" t="inlineStr">
        <is>
          <t>GÄVLEBORGS LÄN</t>
        </is>
      </c>
      <c r="E8089" t="inlineStr">
        <is>
          <t>OVANÅKER</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26580-2025</t>
        </is>
      </c>
      <c r="B8090" s="1" t="n">
        <v>45807</v>
      </c>
      <c r="C8090" s="1" t="n">
        <v>46086</v>
      </c>
      <c r="D8090" t="inlineStr">
        <is>
          <t>GÄVLEBORGS LÄN</t>
        </is>
      </c>
      <c r="E8090" t="inlineStr">
        <is>
          <t>LJUSDAL</t>
        </is>
      </c>
      <c r="G8090" t="n">
        <v>0.2</v>
      </c>
      <c r="H8090" t="n">
        <v>0</v>
      </c>
      <c r="I8090" t="n">
        <v>0</v>
      </c>
      <c r="J8090" t="n">
        <v>0</v>
      </c>
      <c r="K8090" t="n">
        <v>0</v>
      </c>
      <c r="L8090" t="n">
        <v>0</v>
      </c>
      <c r="M8090" t="n">
        <v>0</v>
      </c>
      <c r="N8090" t="n">
        <v>0</v>
      </c>
      <c r="O8090" t="n">
        <v>0</v>
      </c>
      <c r="P8090" t="n">
        <v>0</v>
      </c>
      <c r="Q8090" t="n">
        <v>0</v>
      </c>
      <c r="R8090" s="2" t="inlineStr"/>
    </row>
    <row r="8091" ht="15" customHeight="1">
      <c r="A8091" t="inlineStr">
        <is>
          <t>A 42979-2023</t>
        </is>
      </c>
      <c r="B8091" s="1" t="n">
        <v>45182.60753472222</v>
      </c>
      <c r="C8091" s="1" t="n">
        <v>46086</v>
      </c>
      <c r="D8091" t="inlineStr">
        <is>
          <t>GÄVLEBORGS LÄN</t>
        </is>
      </c>
      <c r="E8091" t="inlineStr">
        <is>
          <t>LJUSDAL</t>
        </is>
      </c>
      <c r="G8091" t="n">
        <v>13.2</v>
      </c>
      <c r="H8091" t="n">
        <v>0</v>
      </c>
      <c r="I8091" t="n">
        <v>0</v>
      </c>
      <c r="J8091" t="n">
        <v>0</v>
      </c>
      <c r="K8091" t="n">
        <v>0</v>
      </c>
      <c r="L8091" t="n">
        <v>0</v>
      </c>
      <c r="M8091" t="n">
        <v>0</v>
      </c>
      <c r="N8091" t="n">
        <v>0</v>
      </c>
      <c r="O8091" t="n">
        <v>0</v>
      </c>
      <c r="P8091" t="n">
        <v>0</v>
      </c>
      <c r="Q8091" t="n">
        <v>0</v>
      </c>
      <c r="R8091" s="2" t="inlineStr"/>
    </row>
    <row r="8092" ht="15" customHeight="1">
      <c r="A8092" t="inlineStr">
        <is>
          <t>A 5817-2026</t>
        </is>
      </c>
      <c r="B8092" s="1" t="n">
        <v>46052.25924768519</v>
      </c>
      <c r="C8092" s="1" t="n">
        <v>46086</v>
      </c>
      <c r="D8092" t="inlineStr">
        <is>
          <t>GÄVLEBORGS LÄN</t>
        </is>
      </c>
      <c r="E8092" t="inlineStr">
        <is>
          <t>BOLLNÄS</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6197-2026</t>
        </is>
      </c>
      <c r="B8093" s="1" t="n">
        <v>46055.39969907407</v>
      </c>
      <c r="C8093" s="1" t="n">
        <v>46086</v>
      </c>
      <c r="D8093" t="inlineStr">
        <is>
          <t>GÄVLEBORGS LÄN</t>
        </is>
      </c>
      <c r="E8093" t="inlineStr">
        <is>
          <t>LJUSDAL</t>
        </is>
      </c>
      <c r="F8093" t="inlineStr">
        <is>
          <t>Holmen skog AB</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6227-2026</t>
        </is>
      </c>
      <c r="B8094" s="1" t="n">
        <v>46055.44311342593</v>
      </c>
      <c r="C8094" s="1" t="n">
        <v>46086</v>
      </c>
      <c r="D8094" t="inlineStr">
        <is>
          <t>GÄVLEBORGS LÄN</t>
        </is>
      </c>
      <c r="E8094" t="inlineStr">
        <is>
          <t>SANDVIKEN</t>
        </is>
      </c>
      <c r="F8094" t="inlineStr">
        <is>
          <t>Kommuner</t>
        </is>
      </c>
      <c r="G8094" t="n">
        <v>4.7</v>
      </c>
      <c r="H8094" t="n">
        <v>0</v>
      </c>
      <c r="I8094" t="n">
        <v>0</v>
      </c>
      <c r="J8094" t="n">
        <v>0</v>
      </c>
      <c r="K8094" t="n">
        <v>0</v>
      </c>
      <c r="L8094" t="n">
        <v>0</v>
      </c>
      <c r="M8094" t="n">
        <v>0</v>
      </c>
      <c r="N8094" t="n">
        <v>0</v>
      </c>
      <c r="O8094" t="n">
        <v>0</v>
      </c>
      <c r="P8094" t="n">
        <v>0</v>
      </c>
      <c r="Q8094" t="n">
        <v>0</v>
      </c>
      <c r="R8094" s="2" t="inlineStr"/>
    </row>
    <row r="8095" ht="15" customHeight="1">
      <c r="A8095" t="inlineStr">
        <is>
          <t>A 6241-2026</t>
        </is>
      </c>
      <c r="B8095" s="1" t="n">
        <v>46055.46331018519</v>
      </c>
      <c r="C8095" s="1" t="n">
        <v>46086</v>
      </c>
      <c r="D8095" t="inlineStr">
        <is>
          <t>GÄVLEBORGS LÄN</t>
        </is>
      </c>
      <c r="E8095" t="inlineStr">
        <is>
          <t>HUDIKSVALL</t>
        </is>
      </c>
      <c r="G8095" t="n">
        <v>3.3</v>
      </c>
      <c r="H8095" t="n">
        <v>0</v>
      </c>
      <c r="I8095" t="n">
        <v>0</v>
      </c>
      <c r="J8095" t="n">
        <v>0</v>
      </c>
      <c r="K8095" t="n">
        <v>0</v>
      </c>
      <c r="L8095" t="n">
        <v>0</v>
      </c>
      <c r="M8095" t="n">
        <v>0</v>
      </c>
      <c r="N8095" t="n">
        <v>0</v>
      </c>
      <c r="O8095" t="n">
        <v>0</v>
      </c>
      <c r="P8095" t="n">
        <v>0</v>
      </c>
      <c r="Q8095" t="n">
        <v>0</v>
      </c>
      <c r="R8095" s="2" t="inlineStr"/>
      <c r="U8095">
        <f>HYPERLINK("https://klasma.github.io/Logging_2184/knärot/A 6241-2026 karta knärot.png", "A 6241-2026")</f>
        <v/>
      </c>
      <c r="V8095">
        <f>HYPERLINK("https://klasma.github.io/Logging_2184/klagomål/A 6241-2026 FSC-klagomål.docx", "A 6241-2026")</f>
        <v/>
      </c>
      <c r="W8095">
        <f>HYPERLINK("https://klasma.github.io/Logging_2184/klagomålsmail/A 6241-2026 FSC-klagomål mail.docx", "A 6241-2026")</f>
        <v/>
      </c>
      <c r="X8095">
        <f>HYPERLINK("https://klasma.github.io/Logging_2184/tillsyn/A 6241-2026 tillsynsbegäran.docx", "A 6241-2026")</f>
        <v/>
      </c>
      <c r="Y8095">
        <f>HYPERLINK("https://klasma.github.io/Logging_2184/tillsynsmail/A 6241-2026 tillsynsbegäran mail.docx", "A 6241-2026")</f>
        <v/>
      </c>
    </row>
    <row r="8096" ht="15" customHeight="1">
      <c r="A8096" t="inlineStr">
        <is>
          <t>A 4220-2026</t>
        </is>
      </c>
      <c r="B8096" s="1" t="n">
        <v>46044</v>
      </c>
      <c r="C8096" s="1" t="n">
        <v>46086</v>
      </c>
      <c r="D8096" t="inlineStr">
        <is>
          <t>GÄVLEBORGS LÄN</t>
        </is>
      </c>
      <c r="E8096" t="inlineStr">
        <is>
          <t>HUDIKSVALL</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63486-2025</t>
        </is>
      </c>
      <c r="B8097" s="1" t="n">
        <v>46013.46858796296</v>
      </c>
      <c r="C8097" s="1" t="n">
        <v>46086</v>
      </c>
      <c r="D8097" t="inlineStr">
        <is>
          <t>GÄVLEBORGS LÄN</t>
        </is>
      </c>
      <c r="E8097" t="inlineStr">
        <is>
          <t>SANDVIKEN</t>
        </is>
      </c>
      <c r="F8097" t="inlineStr">
        <is>
          <t>Sveaskog</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63552-2025</t>
        </is>
      </c>
      <c r="B8098" s="1" t="n">
        <v>46013.60928240741</v>
      </c>
      <c r="C8098" s="1" t="n">
        <v>46086</v>
      </c>
      <c r="D8098" t="inlineStr">
        <is>
          <t>GÄVLEBORGS LÄN</t>
        </is>
      </c>
      <c r="E8098" t="inlineStr">
        <is>
          <t>BOLLNÄS</t>
        </is>
      </c>
      <c r="G8098" t="n">
        <v>5.4</v>
      </c>
      <c r="H8098" t="n">
        <v>0</v>
      </c>
      <c r="I8098" t="n">
        <v>0</v>
      </c>
      <c r="J8098" t="n">
        <v>0</v>
      </c>
      <c r="K8098" t="n">
        <v>0</v>
      </c>
      <c r="L8098" t="n">
        <v>0</v>
      </c>
      <c r="M8098" t="n">
        <v>0</v>
      </c>
      <c r="N8098" t="n">
        <v>0</v>
      </c>
      <c r="O8098" t="n">
        <v>0</v>
      </c>
      <c r="P8098" t="n">
        <v>0</v>
      </c>
      <c r="Q8098" t="n">
        <v>0</v>
      </c>
      <c r="R8098" s="2" t="inlineStr"/>
    </row>
    <row r="8099" ht="15" customHeight="1">
      <c r="A8099" t="inlineStr">
        <is>
          <t>A 5926-2026</t>
        </is>
      </c>
      <c r="B8099" s="1" t="n">
        <v>46052.46386574074</v>
      </c>
      <c r="C8099" s="1" t="n">
        <v>46086</v>
      </c>
      <c r="D8099" t="inlineStr">
        <is>
          <t>GÄVLEBORGS LÄN</t>
        </is>
      </c>
      <c r="E8099" t="inlineStr">
        <is>
          <t>BOLLNÄS</t>
        </is>
      </c>
      <c r="G8099" t="n">
        <v>16.9</v>
      </c>
      <c r="H8099" t="n">
        <v>0</v>
      </c>
      <c r="I8099" t="n">
        <v>0</v>
      </c>
      <c r="J8099" t="n">
        <v>0</v>
      </c>
      <c r="K8099" t="n">
        <v>0</v>
      </c>
      <c r="L8099" t="n">
        <v>0</v>
      </c>
      <c r="M8099" t="n">
        <v>0</v>
      </c>
      <c r="N8099" t="n">
        <v>0</v>
      </c>
      <c r="O8099" t="n">
        <v>0</v>
      </c>
      <c r="P8099" t="n">
        <v>0</v>
      </c>
      <c r="Q8099" t="n">
        <v>0</v>
      </c>
      <c r="R8099" s="2" t="inlineStr"/>
    </row>
    <row r="8100" ht="15" customHeight="1">
      <c r="A8100" t="inlineStr">
        <is>
          <t>A 36203-2025</t>
        </is>
      </c>
      <c r="B8100" s="1" t="n">
        <v>45867</v>
      </c>
      <c r="C8100" s="1" t="n">
        <v>46086</v>
      </c>
      <c r="D8100" t="inlineStr">
        <is>
          <t>GÄVLEBORGS LÄN</t>
        </is>
      </c>
      <c r="E8100" t="inlineStr">
        <is>
          <t>SANDVIKEN</t>
        </is>
      </c>
      <c r="G8100" t="n">
        <v>4.5</v>
      </c>
      <c r="H8100" t="n">
        <v>0</v>
      </c>
      <c r="I8100" t="n">
        <v>0</v>
      </c>
      <c r="J8100" t="n">
        <v>0</v>
      </c>
      <c r="K8100" t="n">
        <v>0</v>
      </c>
      <c r="L8100" t="n">
        <v>0</v>
      </c>
      <c r="M8100" t="n">
        <v>0</v>
      </c>
      <c r="N8100" t="n">
        <v>0</v>
      </c>
      <c r="O8100" t="n">
        <v>0</v>
      </c>
      <c r="P8100" t="n">
        <v>0</v>
      </c>
      <c r="Q8100" t="n">
        <v>0</v>
      </c>
      <c r="R8100" s="2" t="inlineStr"/>
    </row>
    <row r="8101" ht="15" customHeight="1">
      <c r="A8101" t="inlineStr">
        <is>
          <t>A 6258-2026</t>
        </is>
      </c>
      <c r="B8101" s="1" t="n">
        <v>46055.47865740741</v>
      </c>
      <c r="C8101" s="1" t="n">
        <v>46086</v>
      </c>
      <c r="D8101" t="inlineStr">
        <is>
          <t>GÄVLEBORGS LÄN</t>
        </is>
      </c>
      <c r="E8101" t="inlineStr">
        <is>
          <t>BOLLNÄS</t>
        </is>
      </c>
      <c r="G8101" t="n">
        <v>8.699999999999999</v>
      </c>
      <c r="H8101" t="n">
        <v>0</v>
      </c>
      <c r="I8101" t="n">
        <v>0</v>
      </c>
      <c r="J8101" t="n">
        <v>0</v>
      </c>
      <c r="K8101" t="n">
        <v>0</v>
      </c>
      <c r="L8101" t="n">
        <v>0</v>
      </c>
      <c r="M8101" t="n">
        <v>0</v>
      </c>
      <c r="N8101" t="n">
        <v>0</v>
      </c>
      <c r="O8101" t="n">
        <v>0</v>
      </c>
      <c r="P8101" t="n">
        <v>0</v>
      </c>
      <c r="Q8101" t="n">
        <v>0</v>
      </c>
      <c r="R8101" s="2" t="inlineStr"/>
    </row>
    <row r="8102" ht="15" customHeight="1">
      <c r="A8102" t="inlineStr">
        <is>
          <t>A 6260-2026</t>
        </is>
      </c>
      <c r="B8102" s="1" t="n">
        <v>46055.48059027778</v>
      </c>
      <c r="C8102" s="1" t="n">
        <v>46086</v>
      </c>
      <c r="D8102" t="inlineStr">
        <is>
          <t>GÄVLEBORGS LÄN</t>
        </is>
      </c>
      <c r="E8102" t="inlineStr">
        <is>
          <t>BOLLNÄS</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14010-2022</t>
        </is>
      </c>
      <c r="B8103" s="1" t="n">
        <v>44650</v>
      </c>
      <c r="C8103" s="1" t="n">
        <v>46086</v>
      </c>
      <c r="D8103" t="inlineStr">
        <is>
          <t>GÄVLEBORGS LÄN</t>
        </is>
      </c>
      <c r="E8103" t="inlineStr">
        <is>
          <t>LJUSDAL</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48645-2024</t>
        </is>
      </c>
      <c r="B8104" s="1" t="n">
        <v>45593.47621527778</v>
      </c>
      <c r="C8104" s="1" t="n">
        <v>46086</v>
      </c>
      <c r="D8104" t="inlineStr">
        <is>
          <t>GÄVLEBORGS LÄN</t>
        </is>
      </c>
      <c r="E8104" t="inlineStr">
        <is>
          <t>HUDIKSVALL</t>
        </is>
      </c>
      <c r="G8104" t="n">
        <v>5.9</v>
      </c>
      <c r="H8104" t="n">
        <v>0</v>
      </c>
      <c r="I8104" t="n">
        <v>0</v>
      </c>
      <c r="J8104" t="n">
        <v>0</v>
      </c>
      <c r="K8104" t="n">
        <v>0</v>
      </c>
      <c r="L8104" t="n">
        <v>0</v>
      </c>
      <c r="M8104" t="n">
        <v>0</v>
      </c>
      <c r="N8104" t="n">
        <v>0</v>
      </c>
      <c r="O8104" t="n">
        <v>0</v>
      </c>
      <c r="P8104" t="n">
        <v>0</v>
      </c>
      <c r="Q8104" t="n">
        <v>0</v>
      </c>
      <c r="R8104" s="2" t="inlineStr"/>
    </row>
    <row r="8105" ht="15" customHeight="1">
      <c r="A8105" t="inlineStr">
        <is>
          <t>A 60779-2022</t>
        </is>
      </c>
      <c r="B8105" s="1" t="n">
        <v>44914.38584490741</v>
      </c>
      <c r="C8105" s="1" t="n">
        <v>46086</v>
      </c>
      <c r="D8105" t="inlineStr">
        <is>
          <t>GÄVLEBORGS LÄN</t>
        </is>
      </c>
      <c r="E8105" t="inlineStr">
        <is>
          <t>OVANÅKER</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6426-2026</t>
        </is>
      </c>
      <c r="B8106" s="1" t="n">
        <v>46055.71621527777</v>
      </c>
      <c r="C8106" s="1" t="n">
        <v>46086</v>
      </c>
      <c r="D8106" t="inlineStr">
        <is>
          <t>GÄVLEBORGS LÄN</t>
        </is>
      </c>
      <c r="E8106" t="inlineStr">
        <is>
          <t>SANDVIKEN</t>
        </is>
      </c>
      <c r="G8106" t="n">
        <v>4</v>
      </c>
      <c r="H8106" t="n">
        <v>0</v>
      </c>
      <c r="I8106" t="n">
        <v>0</v>
      </c>
      <c r="J8106" t="n">
        <v>0</v>
      </c>
      <c r="K8106" t="n">
        <v>0</v>
      </c>
      <c r="L8106" t="n">
        <v>0</v>
      </c>
      <c r="M8106" t="n">
        <v>0</v>
      </c>
      <c r="N8106" t="n">
        <v>0</v>
      </c>
      <c r="O8106" t="n">
        <v>0</v>
      </c>
      <c r="P8106" t="n">
        <v>0</v>
      </c>
      <c r="Q8106" t="n">
        <v>0</v>
      </c>
      <c r="R8106" s="2" t="inlineStr"/>
    </row>
    <row r="8107" ht="15" customHeight="1">
      <c r="A8107" t="inlineStr">
        <is>
          <t>A 6433-2026</t>
        </is>
      </c>
      <c r="B8107" s="1" t="n">
        <v>46055.76931712963</v>
      </c>
      <c r="C8107" s="1" t="n">
        <v>46086</v>
      </c>
      <c r="D8107" t="inlineStr">
        <is>
          <t>GÄVLEBORGS LÄN</t>
        </is>
      </c>
      <c r="E8107" t="inlineStr">
        <is>
          <t>BOLLNÄS</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3442-2023</t>
        </is>
      </c>
      <c r="B8108" s="1" t="n">
        <v>44949.60355324074</v>
      </c>
      <c r="C8108" s="1" t="n">
        <v>46086</v>
      </c>
      <c r="D8108" t="inlineStr">
        <is>
          <t>GÄVLEBORGS LÄN</t>
        </is>
      </c>
      <c r="E8108" t="inlineStr">
        <is>
          <t>SANDVIKEN</t>
        </is>
      </c>
      <c r="G8108" t="n">
        <v>4.7</v>
      </c>
      <c r="H8108" t="n">
        <v>0</v>
      </c>
      <c r="I8108" t="n">
        <v>0</v>
      </c>
      <c r="J8108" t="n">
        <v>0</v>
      </c>
      <c r="K8108" t="n">
        <v>0</v>
      </c>
      <c r="L8108" t="n">
        <v>0</v>
      </c>
      <c r="M8108" t="n">
        <v>0</v>
      </c>
      <c r="N8108" t="n">
        <v>0</v>
      </c>
      <c r="O8108" t="n">
        <v>0</v>
      </c>
      <c r="P8108" t="n">
        <v>0</v>
      </c>
      <c r="Q8108" t="n">
        <v>0</v>
      </c>
      <c r="R8108" s="2" t="inlineStr"/>
    </row>
    <row r="8109" ht="15" customHeight="1">
      <c r="A8109" t="inlineStr">
        <is>
          <t>A 26367-2024</t>
        </is>
      </c>
      <c r="B8109" s="1" t="n">
        <v>45469.3924537037</v>
      </c>
      <c r="C8109" s="1" t="n">
        <v>46086</v>
      </c>
      <c r="D8109" t="inlineStr">
        <is>
          <t>GÄVLEBORGS LÄN</t>
        </is>
      </c>
      <c r="E8109" t="inlineStr">
        <is>
          <t>OCKELBO</t>
        </is>
      </c>
      <c r="G8109" t="n">
        <v>3.7</v>
      </c>
      <c r="H8109" t="n">
        <v>0</v>
      </c>
      <c r="I8109" t="n">
        <v>0</v>
      </c>
      <c r="J8109" t="n">
        <v>0</v>
      </c>
      <c r="K8109" t="n">
        <v>0</v>
      </c>
      <c r="L8109" t="n">
        <v>0</v>
      </c>
      <c r="M8109" t="n">
        <v>0</v>
      </c>
      <c r="N8109" t="n">
        <v>0</v>
      </c>
      <c r="O8109" t="n">
        <v>0</v>
      </c>
      <c r="P8109" t="n">
        <v>0</v>
      </c>
      <c r="Q8109" t="n">
        <v>0</v>
      </c>
      <c r="R8109" s="2" t="inlineStr"/>
    </row>
    <row r="8110" ht="15" customHeight="1">
      <c r="A8110" t="inlineStr">
        <is>
          <t>A 63459-2025</t>
        </is>
      </c>
      <c r="B8110" s="1" t="n">
        <v>46013.42375</v>
      </c>
      <c r="C8110" s="1" t="n">
        <v>46086</v>
      </c>
      <c r="D8110" t="inlineStr">
        <is>
          <t>GÄVLEBORGS LÄN</t>
        </is>
      </c>
      <c r="E8110" t="inlineStr">
        <is>
          <t>OCKELBO</t>
        </is>
      </c>
      <c r="F8110" t="inlineStr">
        <is>
          <t>Bergvik skog väst AB</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6046-2026</t>
        </is>
      </c>
      <c r="B8111" s="1" t="n">
        <v>46052.62577546296</v>
      </c>
      <c r="C8111" s="1" t="n">
        <v>46086</v>
      </c>
      <c r="D8111" t="inlineStr">
        <is>
          <t>GÄVLEBORGS LÄN</t>
        </is>
      </c>
      <c r="E8111" t="inlineStr">
        <is>
          <t>GÄVLE</t>
        </is>
      </c>
      <c r="F8111" t="inlineStr">
        <is>
          <t>Bergvik skog öst AB</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26583-2025</t>
        </is>
      </c>
      <c r="B8112" s="1" t="n">
        <v>45807</v>
      </c>
      <c r="C8112" s="1" t="n">
        <v>46086</v>
      </c>
      <c r="D8112" t="inlineStr">
        <is>
          <t>GÄVLEBORGS LÄN</t>
        </is>
      </c>
      <c r="E8112" t="inlineStr">
        <is>
          <t>OVANÅKER</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63464-2025</t>
        </is>
      </c>
      <c r="B8113" s="1" t="n">
        <v>46013.42856481481</v>
      </c>
      <c r="C8113" s="1" t="n">
        <v>46086</v>
      </c>
      <c r="D8113" t="inlineStr">
        <is>
          <t>GÄVLEBORGS LÄN</t>
        </is>
      </c>
      <c r="E8113" t="inlineStr">
        <is>
          <t>OCKELBO</t>
        </is>
      </c>
      <c r="F8113" t="inlineStr">
        <is>
          <t>Bergvik skog väst AB</t>
        </is>
      </c>
      <c r="G8113" t="n">
        <v>4.2</v>
      </c>
      <c r="H8113" t="n">
        <v>0</v>
      </c>
      <c r="I8113" t="n">
        <v>0</v>
      </c>
      <c r="J8113" t="n">
        <v>0</v>
      </c>
      <c r="K8113" t="n">
        <v>0</v>
      </c>
      <c r="L8113" t="n">
        <v>0</v>
      </c>
      <c r="M8113" t="n">
        <v>0</v>
      </c>
      <c r="N8113" t="n">
        <v>0</v>
      </c>
      <c r="O8113" t="n">
        <v>0</v>
      </c>
      <c r="P8113" t="n">
        <v>0</v>
      </c>
      <c r="Q8113" t="n">
        <v>0</v>
      </c>
      <c r="R8113" s="2" t="inlineStr"/>
    </row>
    <row r="8114" ht="15" customHeight="1">
      <c r="A8114" t="inlineStr">
        <is>
          <t>A 6382-2026</t>
        </is>
      </c>
      <c r="B8114" s="1" t="n">
        <v>46055.63641203703</v>
      </c>
      <c r="C8114" s="1" t="n">
        <v>46086</v>
      </c>
      <c r="D8114" t="inlineStr">
        <is>
          <t>GÄVLEBORGS LÄN</t>
        </is>
      </c>
      <c r="E8114" t="inlineStr">
        <is>
          <t>BOLLNÄS</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6054-2026</t>
        </is>
      </c>
      <c r="B8115" s="1" t="n">
        <v>46052.63821759259</v>
      </c>
      <c r="C8115" s="1" t="n">
        <v>46086</v>
      </c>
      <c r="D8115" t="inlineStr">
        <is>
          <t>GÄVLEBORGS LÄN</t>
        </is>
      </c>
      <c r="E8115" t="inlineStr">
        <is>
          <t>HUDIKSVALL</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6057-2026</t>
        </is>
      </c>
      <c r="B8116" s="1" t="n">
        <v>46052.64009259259</v>
      </c>
      <c r="C8116" s="1" t="n">
        <v>46086</v>
      </c>
      <c r="D8116" t="inlineStr">
        <is>
          <t>GÄVLEBORGS LÄN</t>
        </is>
      </c>
      <c r="E8116" t="inlineStr">
        <is>
          <t>HUDIKSVALL</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6059-2026</t>
        </is>
      </c>
      <c r="B8117" s="1" t="n">
        <v>46052.64163194445</v>
      </c>
      <c r="C8117" s="1" t="n">
        <v>46086</v>
      </c>
      <c r="D8117" t="inlineStr">
        <is>
          <t>GÄVLEBORGS LÄN</t>
        </is>
      </c>
      <c r="E8117" t="inlineStr">
        <is>
          <t>BOLLNÄS</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6062-2026</t>
        </is>
      </c>
      <c r="B8118" s="1" t="n">
        <v>46052.6487037037</v>
      </c>
      <c r="C8118" s="1" t="n">
        <v>46086</v>
      </c>
      <c r="D8118" t="inlineStr">
        <is>
          <t>GÄVLEBORGS LÄN</t>
        </is>
      </c>
      <c r="E8118" t="inlineStr">
        <is>
          <t>BOLLNÄS</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63557-2025</t>
        </is>
      </c>
      <c r="B8119" s="1" t="n">
        <v>46013.61644675926</v>
      </c>
      <c r="C8119" s="1" t="n">
        <v>46086</v>
      </c>
      <c r="D8119" t="inlineStr">
        <is>
          <t>GÄVLEBORGS LÄN</t>
        </is>
      </c>
      <c r="E8119" t="inlineStr">
        <is>
          <t>HUDIKSVALL</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6348-2026</t>
        </is>
      </c>
      <c r="B8120" s="1" t="n">
        <v>46055.61</v>
      </c>
      <c r="C8120" s="1" t="n">
        <v>46086</v>
      </c>
      <c r="D8120" t="inlineStr">
        <is>
          <t>GÄVLEBORGS LÄN</t>
        </is>
      </c>
      <c r="E8120" t="inlineStr">
        <is>
          <t>OVANÅKER</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37697-2024</t>
        </is>
      </c>
      <c r="B8121" s="1" t="n">
        <v>45541</v>
      </c>
      <c r="C8121" s="1" t="n">
        <v>46086</v>
      </c>
      <c r="D8121" t="inlineStr">
        <is>
          <t>GÄVLEBORGS LÄN</t>
        </is>
      </c>
      <c r="E8121" t="inlineStr">
        <is>
          <t>HUDIKSVALL</t>
        </is>
      </c>
      <c r="F8121" t="inlineStr">
        <is>
          <t>Kommuner</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5892-2026</t>
        </is>
      </c>
      <c r="B8122" s="1" t="n">
        <v>46052.41797453703</v>
      </c>
      <c r="C8122" s="1" t="n">
        <v>46086</v>
      </c>
      <c r="D8122" t="inlineStr">
        <is>
          <t>GÄVLEBORGS LÄN</t>
        </is>
      </c>
      <c r="E8122" t="inlineStr">
        <is>
          <t>BOLLNÄS</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5898-2026</t>
        </is>
      </c>
      <c r="B8123" s="1" t="n">
        <v>46052.42894675926</v>
      </c>
      <c r="C8123" s="1" t="n">
        <v>46086</v>
      </c>
      <c r="D8123" t="inlineStr">
        <is>
          <t>GÄVLEBORGS LÄN</t>
        </is>
      </c>
      <c r="E8123" t="inlineStr">
        <is>
          <t>OCKELBO</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6117-2026</t>
        </is>
      </c>
      <c r="B8124" s="1" t="n">
        <v>46053.48155092593</v>
      </c>
      <c r="C8124" s="1" t="n">
        <v>46086</v>
      </c>
      <c r="D8124" t="inlineStr">
        <is>
          <t>GÄVLEBORGS LÄN</t>
        </is>
      </c>
      <c r="E8124" t="inlineStr">
        <is>
          <t>NORDANSTIG</t>
        </is>
      </c>
      <c r="G8124" t="n">
        <v>9.1</v>
      </c>
      <c r="H8124" t="n">
        <v>0</v>
      </c>
      <c r="I8124" t="n">
        <v>0</v>
      </c>
      <c r="J8124" t="n">
        <v>0</v>
      </c>
      <c r="K8124" t="n">
        <v>0</v>
      </c>
      <c r="L8124" t="n">
        <v>0</v>
      </c>
      <c r="M8124" t="n">
        <v>0</v>
      </c>
      <c r="N8124" t="n">
        <v>0</v>
      </c>
      <c r="O8124" t="n">
        <v>0</v>
      </c>
      <c r="P8124" t="n">
        <v>0</v>
      </c>
      <c r="Q8124" t="n">
        <v>0</v>
      </c>
      <c r="R8124" s="2" t="inlineStr"/>
    </row>
    <row r="8125" ht="15" customHeight="1">
      <c r="A8125" t="inlineStr">
        <is>
          <t>A 6122-2026</t>
        </is>
      </c>
      <c r="B8125" s="1" t="n">
        <v>46053.54109953704</v>
      </c>
      <c r="C8125" s="1" t="n">
        <v>46086</v>
      </c>
      <c r="D8125" t="inlineStr">
        <is>
          <t>GÄVLEBORGS LÄN</t>
        </is>
      </c>
      <c r="E8125" t="inlineStr">
        <is>
          <t>OCKELBO</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6196-2026</t>
        </is>
      </c>
      <c r="B8126" s="1" t="n">
        <v>46055.39881944445</v>
      </c>
      <c r="C8126" s="1" t="n">
        <v>46086</v>
      </c>
      <c r="D8126" t="inlineStr">
        <is>
          <t>GÄVLEBORGS LÄN</t>
        </is>
      </c>
      <c r="E8126" t="inlineStr">
        <is>
          <t>OVANÅKER</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53691-2022</t>
        </is>
      </c>
      <c r="B8127" s="1" t="n">
        <v>44880.33012731482</v>
      </c>
      <c r="C8127" s="1" t="n">
        <v>46086</v>
      </c>
      <c r="D8127" t="inlineStr">
        <is>
          <t>GÄVLEBORGS LÄN</t>
        </is>
      </c>
      <c r="E8127" t="inlineStr">
        <is>
          <t>OVANÅKER</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6112-2026</t>
        </is>
      </c>
      <c r="B8128" s="1" t="n">
        <v>46053.39618055556</v>
      </c>
      <c r="C8128" s="1" t="n">
        <v>46086</v>
      </c>
      <c r="D8128" t="inlineStr">
        <is>
          <t>GÄVLEBORGS LÄN</t>
        </is>
      </c>
      <c r="E8128" t="inlineStr">
        <is>
          <t>OVANÅKER</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6373-2026</t>
        </is>
      </c>
      <c r="B8129" s="1" t="n">
        <v>46055.63201388889</v>
      </c>
      <c r="C8129" s="1" t="n">
        <v>46086</v>
      </c>
      <c r="D8129" t="inlineStr">
        <is>
          <t>GÄVLEBORGS LÄN</t>
        </is>
      </c>
      <c r="E8129" t="inlineStr">
        <is>
          <t>BOLLNÄS</t>
        </is>
      </c>
      <c r="G8129" t="n">
        <v>9.6</v>
      </c>
      <c r="H8129" t="n">
        <v>0</v>
      </c>
      <c r="I8129" t="n">
        <v>0</v>
      </c>
      <c r="J8129" t="n">
        <v>0</v>
      </c>
      <c r="K8129" t="n">
        <v>0</v>
      </c>
      <c r="L8129" t="n">
        <v>0</v>
      </c>
      <c r="M8129" t="n">
        <v>0</v>
      </c>
      <c r="N8129" t="n">
        <v>0</v>
      </c>
      <c r="O8129" t="n">
        <v>0</v>
      </c>
      <c r="P8129" t="n">
        <v>0</v>
      </c>
      <c r="Q8129" t="n">
        <v>0</v>
      </c>
      <c r="R8129" s="2" t="inlineStr"/>
    </row>
    <row r="8130" ht="15" customHeight="1">
      <c r="A8130" t="inlineStr">
        <is>
          <t>A 6116-2026</t>
        </is>
      </c>
      <c r="B8130" s="1" t="n">
        <v>46053.47466435185</v>
      </c>
      <c r="C8130" s="1" t="n">
        <v>46086</v>
      </c>
      <c r="D8130" t="inlineStr">
        <is>
          <t>GÄVLEBORGS LÄN</t>
        </is>
      </c>
      <c r="E8130" t="inlineStr">
        <is>
          <t>NORDANSTIG</t>
        </is>
      </c>
      <c r="G8130" t="n">
        <v>45.3</v>
      </c>
      <c r="H8130" t="n">
        <v>0</v>
      </c>
      <c r="I8130" t="n">
        <v>0</v>
      </c>
      <c r="J8130" t="n">
        <v>0</v>
      </c>
      <c r="K8130" t="n">
        <v>0</v>
      </c>
      <c r="L8130" t="n">
        <v>0</v>
      </c>
      <c r="M8130" t="n">
        <v>0</v>
      </c>
      <c r="N8130" t="n">
        <v>0</v>
      </c>
      <c r="O8130" t="n">
        <v>0</v>
      </c>
      <c r="P8130" t="n">
        <v>0</v>
      </c>
      <c r="Q8130" t="n">
        <v>0</v>
      </c>
      <c r="R8130" s="2" t="inlineStr"/>
    </row>
    <row r="8131" ht="15" customHeight="1">
      <c r="A8131" t="inlineStr">
        <is>
          <t>A 20787-2024</t>
        </is>
      </c>
      <c r="B8131" s="1" t="n">
        <v>45438.31403935186</v>
      </c>
      <c r="C8131" s="1" t="n">
        <v>46086</v>
      </c>
      <c r="D8131" t="inlineStr">
        <is>
          <t>GÄVLEBORGS LÄN</t>
        </is>
      </c>
      <c r="E8131" t="inlineStr">
        <is>
          <t>LJUSDAL</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5844-2026</t>
        </is>
      </c>
      <c r="B8132" s="1" t="n">
        <v>46052.34828703704</v>
      </c>
      <c r="C8132" s="1" t="n">
        <v>46086</v>
      </c>
      <c r="D8132" t="inlineStr">
        <is>
          <t>GÄVLEBORGS LÄN</t>
        </is>
      </c>
      <c r="E8132" t="inlineStr">
        <is>
          <t>HUDIKSVALL</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63391-2025</t>
        </is>
      </c>
      <c r="B8133" s="1" t="n">
        <v>46011.73063657407</v>
      </c>
      <c r="C8133" s="1" t="n">
        <v>46086</v>
      </c>
      <c r="D8133" t="inlineStr">
        <is>
          <t>GÄVLEBORGS LÄN</t>
        </is>
      </c>
      <c r="E8133" t="inlineStr">
        <is>
          <t>LJUSDAL</t>
        </is>
      </c>
      <c r="G8133" t="n">
        <v>0.4</v>
      </c>
      <c r="H8133" t="n">
        <v>0</v>
      </c>
      <c r="I8133" t="n">
        <v>0</v>
      </c>
      <c r="J8133" t="n">
        <v>0</v>
      </c>
      <c r="K8133" t="n">
        <v>0</v>
      </c>
      <c r="L8133" t="n">
        <v>0</v>
      </c>
      <c r="M8133" t="n">
        <v>0</v>
      </c>
      <c r="N8133" t="n">
        <v>0</v>
      </c>
      <c r="O8133" t="n">
        <v>0</v>
      </c>
      <c r="P8133" t="n">
        <v>0</v>
      </c>
      <c r="Q8133" t="n">
        <v>0</v>
      </c>
      <c r="R8133" s="2" t="inlineStr"/>
    </row>
    <row r="8134" ht="15" customHeight="1">
      <c r="A8134" t="inlineStr">
        <is>
          <t>A 6279-2026</t>
        </is>
      </c>
      <c r="B8134" s="1" t="n">
        <v>46055.5321412037</v>
      </c>
      <c r="C8134" s="1" t="n">
        <v>46086</v>
      </c>
      <c r="D8134" t="inlineStr">
        <is>
          <t>GÄVLEBORGS LÄN</t>
        </is>
      </c>
      <c r="E8134" t="inlineStr">
        <is>
          <t>NORDANSTIG</t>
        </is>
      </c>
      <c r="F8134" t="inlineStr">
        <is>
          <t>Holmen skog AB</t>
        </is>
      </c>
      <c r="G8134" t="n">
        <v>3.7</v>
      </c>
      <c r="H8134" t="n">
        <v>0</v>
      </c>
      <c r="I8134" t="n">
        <v>0</v>
      </c>
      <c r="J8134" t="n">
        <v>0</v>
      </c>
      <c r="K8134" t="n">
        <v>0</v>
      </c>
      <c r="L8134" t="n">
        <v>0</v>
      </c>
      <c r="M8134" t="n">
        <v>0</v>
      </c>
      <c r="N8134" t="n">
        <v>0</v>
      </c>
      <c r="O8134" t="n">
        <v>0</v>
      </c>
      <c r="P8134" t="n">
        <v>0</v>
      </c>
      <c r="Q8134" t="n">
        <v>0</v>
      </c>
      <c r="R8134" s="2" t="inlineStr"/>
    </row>
    <row r="8135" ht="15" customHeight="1">
      <c r="A8135" t="inlineStr">
        <is>
          <t>A 6294-2026</t>
        </is>
      </c>
      <c r="B8135" s="1" t="n">
        <v>46055.56052083334</v>
      </c>
      <c r="C8135" s="1" t="n">
        <v>46086</v>
      </c>
      <c r="D8135" t="inlineStr">
        <is>
          <t>GÄVLEBORGS LÄN</t>
        </is>
      </c>
      <c r="E8135" t="inlineStr">
        <is>
          <t>HUDIKSVALL</t>
        </is>
      </c>
      <c r="G8135" t="n">
        <v>14.2</v>
      </c>
      <c r="H8135" t="n">
        <v>0</v>
      </c>
      <c r="I8135" t="n">
        <v>0</v>
      </c>
      <c r="J8135" t="n">
        <v>0</v>
      </c>
      <c r="K8135" t="n">
        <v>0</v>
      </c>
      <c r="L8135" t="n">
        <v>0</v>
      </c>
      <c r="M8135" t="n">
        <v>0</v>
      </c>
      <c r="N8135" t="n">
        <v>0</v>
      </c>
      <c r="O8135" t="n">
        <v>0</v>
      </c>
      <c r="P8135" t="n">
        <v>0</v>
      </c>
      <c r="Q8135" t="n">
        <v>0</v>
      </c>
      <c r="R8135" s="2" t="inlineStr"/>
    </row>
    <row r="8136" ht="15" customHeight="1">
      <c r="A8136" t="inlineStr">
        <is>
          <t>A 5876-2026</t>
        </is>
      </c>
      <c r="B8136" s="1" t="n">
        <v>46052.37924768519</v>
      </c>
      <c r="C8136" s="1" t="n">
        <v>46086</v>
      </c>
      <c r="D8136" t="inlineStr">
        <is>
          <t>GÄVLEBORGS LÄN</t>
        </is>
      </c>
      <c r="E8136" t="inlineStr">
        <is>
          <t>BOLLNÄS</t>
        </is>
      </c>
      <c r="G8136" t="n">
        <v>9.9</v>
      </c>
      <c r="H8136" t="n">
        <v>0</v>
      </c>
      <c r="I8136" t="n">
        <v>0</v>
      </c>
      <c r="J8136" t="n">
        <v>0</v>
      </c>
      <c r="K8136" t="n">
        <v>0</v>
      </c>
      <c r="L8136" t="n">
        <v>0</v>
      </c>
      <c r="M8136" t="n">
        <v>0</v>
      </c>
      <c r="N8136" t="n">
        <v>0</v>
      </c>
      <c r="O8136" t="n">
        <v>0</v>
      </c>
      <c r="P8136" t="n">
        <v>0</v>
      </c>
      <c r="Q8136" t="n">
        <v>0</v>
      </c>
      <c r="R8136" s="2" t="inlineStr"/>
    </row>
    <row r="8137" ht="15" customHeight="1">
      <c r="A8137" t="inlineStr">
        <is>
          <t>A 4480-2026</t>
        </is>
      </c>
      <c r="B8137" s="1" t="n">
        <v>46045</v>
      </c>
      <c r="C8137" s="1" t="n">
        <v>46086</v>
      </c>
      <c r="D8137" t="inlineStr">
        <is>
          <t>GÄVLEBORGS LÄN</t>
        </is>
      </c>
      <c r="E8137" t="inlineStr">
        <is>
          <t>OVANÅKER</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63224-2025</t>
        </is>
      </c>
      <c r="B8138" s="1" t="n">
        <v>46010.49428240741</v>
      </c>
      <c r="C8138" s="1" t="n">
        <v>46086</v>
      </c>
      <c r="D8138" t="inlineStr">
        <is>
          <t>GÄVLEBORGS LÄN</t>
        </is>
      </c>
      <c r="E8138" t="inlineStr">
        <is>
          <t>OCKELBO</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6181-2026</t>
        </is>
      </c>
      <c r="B8139" s="1" t="n">
        <v>46055.361875</v>
      </c>
      <c r="C8139" s="1" t="n">
        <v>46086</v>
      </c>
      <c r="D8139" t="inlineStr">
        <is>
          <t>GÄVLEBORGS LÄN</t>
        </is>
      </c>
      <c r="E8139" t="inlineStr">
        <is>
          <t>LJUSDAL</t>
        </is>
      </c>
      <c r="F8139" t="inlineStr">
        <is>
          <t>Holmen skog AB</t>
        </is>
      </c>
      <c r="G8139" t="n">
        <v>2.5</v>
      </c>
      <c r="H8139" t="n">
        <v>0</v>
      </c>
      <c r="I8139" t="n">
        <v>0</v>
      </c>
      <c r="J8139" t="n">
        <v>0</v>
      </c>
      <c r="K8139" t="n">
        <v>0</v>
      </c>
      <c r="L8139" t="n">
        <v>0</v>
      </c>
      <c r="M8139" t="n">
        <v>0</v>
      </c>
      <c r="N8139" t="n">
        <v>0</v>
      </c>
      <c r="O8139" t="n">
        <v>0</v>
      </c>
      <c r="P8139" t="n">
        <v>0</v>
      </c>
      <c r="Q8139" t="n">
        <v>0</v>
      </c>
      <c r="R8139" s="2" t="inlineStr"/>
    </row>
    <row r="8140" ht="15" customHeight="1">
      <c r="A8140" t="inlineStr">
        <is>
          <t>A 16497-2025</t>
        </is>
      </c>
      <c r="B8140" s="1" t="n">
        <v>45751.59929398148</v>
      </c>
      <c r="C8140" s="1" t="n">
        <v>46086</v>
      </c>
      <c r="D8140" t="inlineStr">
        <is>
          <t>GÄVLEBORGS LÄN</t>
        </is>
      </c>
      <c r="E8140" t="inlineStr">
        <is>
          <t>HUDIKSVALL</t>
        </is>
      </c>
      <c r="F8140" t="inlineStr">
        <is>
          <t>Holmen skog AB</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6246-2026</t>
        </is>
      </c>
      <c r="B8141" s="1" t="n">
        <v>46055.46792824074</v>
      </c>
      <c r="C8141" s="1" t="n">
        <v>46086</v>
      </c>
      <c r="D8141" t="inlineStr">
        <is>
          <t>GÄVLEBORGS LÄN</t>
        </is>
      </c>
      <c r="E8141" t="inlineStr">
        <is>
          <t>OVANÅKER</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6263-2026</t>
        </is>
      </c>
      <c r="B8142" s="1" t="n">
        <v>46055.48414351852</v>
      </c>
      <c r="C8142" s="1" t="n">
        <v>46086</v>
      </c>
      <c r="D8142" t="inlineStr">
        <is>
          <t>GÄVLEBORGS LÄN</t>
        </is>
      </c>
      <c r="E8142" t="inlineStr">
        <is>
          <t>SANDVIKEN</t>
        </is>
      </c>
      <c r="F8142" t="inlineStr">
        <is>
          <t>Kommuner</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6274-2026</t>
        </is>
      </c>
      <c r="B8143" s="1" t="n">
        <v>46055.50892361111</v>
      </c>
      <c r="C8143" s="1" t="n">
        <v>46086</v>
      </c>
      <c r="D8143" t="inlineStr">
        <is>
          <t>GÄVLEBORGS LÄN</t>
        </is>
      </c>
      <c r="E8143" t="inlineStr">
        <is>
          <t>SANDVIKEN</t>
        </is>
      </c>
      <c r="F8143" t="inlineStr">
        <is>
          <t>Kommuner</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6095-2026</t>
        </is>
      </c>
      <c r="B8144" s="1" t="n">
        <v>46052.7244212963</v>
      </c>
      <c r="C8144" s="1" t="n">
        <v>46086</v>
      </c>
      <c r="D8144" t="inlineStr">
        <is>
          <t>GÄVLEBORGS LÄN</t>
        </is>
      </c>
      <c r="E8144" t="inlineStr">
        <is>
          <t>SÖDERHAMN</t>
        </is>
      </c>
      <c r="G8144" t="n">
        <v>0.4</v>
      </c>
      <c r="H8144" t="n">
        <v>0</v>
      </c>
      <c r="I8144" t="n">
        <v>0</v>
      </c>
      <c r="J8144" t="n">
        <v>0</v>
      </c>
      <c r="K8144" t="n">
        <v>0</v>
      </c>
      <c r="L8144" t="n">
        <v>0</v>
      </c>
      <c r="M8144" t="n">
        <v>0</v>
      </c>
      <c r="N8144" t="n">
        <v>0</v>
      </c>
      <c r="O8144" t="n">
        <v>0</v>
      </c>
      <c r="P8144" t="n">
        <v>0</v>
      </c>
      <c r="Q8144" t="n">
        <v>0</v>
      </c>
      <c r="R8144" s="2" t="inlineStr"/>
    </row>
    <row r="8145" ht="15" customHeight="1">
      <c r="A8145" t="inlineStr">
        <is>
          <t>A 13014-2023</t>
        </is>
      </c>
      <c r="B8145" s="1" t="n">
        <v>45002</v>
      </c>
      <c r="C8145" s="1" t="n">
        <v>46086</v>
      </c>
      <c r="D8145" t="inlineStr">
        <is>
          <t>GÄVLEBORGS LÄN</t>
        </is>
      </c>
      <c r="E8145" t="inlineStr">
        <is>
          <t>OVANÅKER</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33489-2024</t>
        </is>
      </c>
      <c r="B8146" s="1" t="n">
        <v>45519.61517361111</v>
      </c>
      <c r="C8146" s="1" t="n">
        <v>46086</v>
      </c>
      <c r="D8146" t="inlineStr">
        <is>
          <t>GÄVLEBORGS LÄN</t>
        </is>
      </c>
      <c r="E8146" t="inlineStr">
        <is>
          <t>OVANÅKER</t>
        </is>
      </c>
      <c r="F8146" t="inlineStr">
        <is>
          <t>Bergvik skog öst AB</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5947-2026</t>
        </is>
      </c>
      <c r="B8147" s="1" t="n">
        <v>46052.48837962963</v>
      </c>
      <c r="C8147" s="1" t="n">
        <v>46086</v>
      </c>
      <c r="D8147" t="inlineStr">
        <is>
          <t>GÄVLEBORGS LÄN</t>
        </is>
      </c>
      <c r="E8147" t="inlineStr">
        <is>
          <t>NORDANSTIG</t>
        </is>
      </c>
      <c r="G8147" t="n">
        <v>10.2</v>
      </c>
      <c r="H8147" t="n">
        <v>0</v>
      </c>
      <c r="I8147" t="n">
        <v>0</v>
      </c>
      <c r="J8147" t="n">
        <v>0</v>
      </c>
      <c r="K8147" t="n">
        <v>0</v>
      </c>
      <c r="L8147" t="n">
        <v>0</v>
      </c>
      <c r="M8147" t="n">
        <v>0</v>
      </c>
      <c r="N8147" t="n">
        <v>0</v>
      </c>
      <c r="O8147" t="n">
        <v>0</v>
      </c>
      <c r="P8147" t="n">
        <v>0</v>
      </c>
      <c r="Q8147" t="n">
        <v>0</v>
      </c>
      <c r="R8147" s="2" t="inlineStr"/>
    </row>
    <row r="8148" ht="15" customHeight="1">
      <c r="A8148" t="inlineStr">
        <is>
          <t>A 5950-2026</t>
        </is>
      </c>
      <c r="B8148" s="1" t="n">
        <v>46052.49001157407</v>
      </c>
      <c r="C8148" s="1" t="n">
        <v>46086</v>
      </c>
      <c r="D8148" t="inlineStr">
        <is>
          <t>GÄVLEBORGS LÄN</t>
        </is>
      </c>
      <c r="E8148" t="inlineStr">
        <is>
          <t>OCKELBO</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5968-2026</t>
        </is>
      </c>
      <c r="B8149" s="1" t="n">
        <v>46052.54215277778</v>
      </c>
      <c r="C8149" s="1" t="n">
        <v>46086</v>
      </c>
      <c r="D8149" t="inlineStr">
        <is>
          <t>GÄVLEBORGS LÄN</t>
        </is>
      </c>
      <c r="E8149" t="inlineStr">
        <is>
          <t>BOLLNÄS</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6003-2026</t>
        </is>
      </c>
      <c r="B8150" s="1" t="n">
        <v>46052.58552083333</v>
      </c>
      <c r="C8150" s="1" t="n">
        <v>46086</v>
      </c>
      <c r="D8150" t="inlineStr">
        <is>
          <t>GÄVLEBORGS LÄN</t>
        </is>
      </c>
      <c r="E8150" t="inlineStr">
        <is>
          <t>BOLLNÄS</t>
        </is>
      </c>
      <c r="G8150" t="n">
        <v>8.1</v>
      </c>
      <c r="H8150" t="n">
        <v>0</v>
      </c>
      <c r="I8150" t="n">
        <v>0</v>
      </c>
      <c r="J8150" t="n">
        <v>0</v>
      </c>
      <c r="K8150" t="n">
        <v>0</v>
      </c>
      <c r="L8150" t="n">
        <v>0</v>
      </c>
      <c r="M8150" t="n">
        <v>0</v>
      </c>
      <c r="N8150" t="n">
        <v>0</v>
      </c>
      <c r="O8150" t="n">
        <v>0</v>
      </c>
      <c r="P8150" t="n">
        <v>0</v>
      </c>
      <c r="Q8150" t="n">
        <v>0</v>
      </c>
      <c r="R8150" s="2" t="inlineStr"/>
    </row>
    <row r="8151" ht="15" customHeight="1">
      <c r="A8151" t="inlineStr">
        <is>
          <t>A 6012-2026</t>
        </is>
      </c>
      <c r="B8151" s="1" t="n">
        <v>46052.5969675926</v>
      </c>
      <c r="C8151" s="1" t="n">
        <v>46086</v>
      </c>
      <c r="D8151" t="inlineStr">
        <is>
          <t>GÄVLEBORGS LÄN</t>
        </is>
      </c>
      <c r="E8151" t="inlineStr">
        <is>
          <t>BOLLNÄS</t>
        </is>
      </c>
      <c r="G8151" t="n">
        <v>10.2</v>
      </c>
      <c r="H8151" t="n">
        <v>0</v>
      </c>
      <c r="I8151" t="n">
        <v>0</v>
      </c>
      <c r="J8151" t="n">
        <v>0</v>
      </c>
      <c r="K8151" t="n">
        <v>0</v>
      </c>
      <c r="L8151" t="n">
        <v>0</v>
      </c>
      <c r="M8151" t="n">
        <v>0</v>
      </c>
      <c r="N8151" t="n">
        <v>0</v>
      </c>
      <c r="O8151" t="n">
        <v>0</v>
      </c>
      <c r="P8151" t="n">
        <v>0</v>
      </c>
      <c r="Q8151" t="n">
        <v>0</v>
      </c>
      <c r="R8151" s="2" t="inlineStr"/>
    </row>
    <row r="8152" ht="15" customHeight="1">
      <c r="A8152" t="inlineStr">
        <is>
          <t>A 6017-2026</t>
        </is>
      </c>
      <c r="B8152" s="1" t="n">
        <v>46052.60104166667</v>
      </c>
      <c r="C8152" s="1" t="n">
        <v>46086</v>
      </c>
      <c r="D8152" t="inlineStr">
        <is>
          <t>GÄVLEBORGS LÄN</t>
        </is>
      </c>
      <c r="E8152" t="inlineStr">
        <is>
          <t>BOLLNÄS</t>
        </is>
      </c>
      <c r="G8152" t="n">
        <v>28.2</v>
      </c>
      <c r="H8152" t="n">
        <v>0</v>
      </c>
      <c r="I8152" t="n">
        <v>0</v>
      </c>
      <c r="J8152" t="n">
        <v>0</v>
      </c>
      <c r="K8152" t="n">
        <v>0</v>
      </c>
      <c r="L8152" t="n">
        <v>0</v>
      </c>
      <c r="M8152" t="n">
        <v>0</v>
      </c>
      <c r="N8152" t="n">
        <v>0</v>
      </c>
      <c r="O8152" t="n">
        <v>0</v>
      </c>
      <c r="P8152" t="n">
        <v>0</v>
      </c>
      <c r="Q8152" t="n">
        <v>0</v>
      </c>
      <c r="R8152" s="2" t="inlineStr"/>
    </row>
    <row r="8153" ht="15" customHeight="1">
      <c r="A8153" t="inlineStr">
        <is>
          <t>A 6020-2026</t>
        </is>
      </c>
      <c r="B8153" s="1" t="n">
        <v>46052.60188657408</v>
      </c>
      <c r="C8153" s="1" t="n">
        <v>46086</v>
      </c>
      <c r="D8153" t="inlineStr">
        <is>
          <t>GÄVLEBORGS LÄN</t>
        </is>
      </c>
      <c r="E8153" t="inlineStr">
        <is>
          <t>BOLLNÄS</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6387-2026</t>
        </is>
      </c>
      <c r="B8154" s="1" t="n">
        <v>46055.643125</v>
      </c>
      <c r="C8154" s="1" t="n">
        <v>46086</v>
      </c>
      <c r="D8154" t="inlineStr">
        <is>
          <t>GÄVLEBORGS LÄN</t>
        </is>
      </c>
      <c r="E8154" t="inlineStr">
        <is>
          <t>BOLLNÄS</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6248-2026</t>
        </is>
      </c>
      <c r="B8155" s="1" t="n">
        <v>46055</v>
      </c>
      <c r="C8155" s="1" t="n">
        <v>46086</v>
      </c>
      <c r="D8155" t="inlineStr">
        <is>
          <t>GÄVLEBORGS LÄN</t>
        </is>
      </c>
      <c r="E8155" t="inlineStr">
        <is>
          <t>BOLLNÄS</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6949-2026</t>
        </is>
      </c>
      <c r="B8156" s="1" t="n">
        <v>46057.56966435185</v>
      </c>
      <c r="C8156" s="1" t="n">
        <v>46086</v>
      </c>
      <c r="D8156" t="inlineStr">
        <is>
          <t>GÄVLEBORGS LÄN</t>
        </is>
      </c>
      <c r="E8156" t="inlineStr">
        <is>
          <t>LJUSDAL</t>
        </is>
      </c>
      <c r="G8156" t="n">
        <v>1.9</v>
      </c>
      <c r="H8156" t="n">
        <v>0</v>
      </c>
      <c r="I8156" t="n">
        <v>0</v>
      </c>
      <c r="J8156" t="n">
        <v>0</v>
      </c>
      <c r="K8156" t="n">
        <v>0</v>
      </c>
      <c r="L8156" t="n">
        <v>0</v>
      </c>
      <c r="M8156" t="n">
        <v>0</v>
      </c>
      <c r="N8156" t="n">
        <v>0</v>
      </c>
      <c r="O8156" t="n">
        <v>0</v>
      </c>
      <c r="P8156" t="n">
        <v>0</v>
      </c>
      <c r="Q8156" t="n">
        <v>0</v>
      </c>
      <c r="R8156" s="2" t="inlineStr"/>
    </row>
    <row r="8157" ht="15" customHeight="1">
      <c r="A8157" t="inlineStr">
        <is>
          <t>A 6779-2026</t>
        </is>
      </c>
      <c r="B8157" s="1" t="n">
        <v>46057.30143518518</v>
      </c>
      <c r="C8157" s="1" t="n">
        <v>46086</v>
      </c>
      <c r="D8157" t="inlineStr">
        <is>
          <t>GÄVLEBORGS LÄN</t>
        </is>
      </c>
      <c r="E8157" t="inlineStr">
        <is>
          <t>NORDANSTIG</t>
        </is>
      </c>
      <c r="G8157" t="n">
        <v>3.3</v>
      </c>
      <c r="H8157" t="n">
        <v>0</v>
      </c>
      <c r="I8157" t="n">
        <v>0</v>
      </c>
      <c r="J8157" t="n">
        <v>0</v>
      </c>
      <c r="K8157" t="n">
        <v>0</v>
      </c>
      <c r="L8157" t="n">
        <v>0</v>
      </c>
      <c r="M8157" t="n">
        <v>0</v>
      </c>
      <c r="N8157" t="n">
        <v>0</v>
      </c>
      <c r="O8157" t="n">
        <v>0</v>
      </c>
      <c r="P8157" t="n">
        <v>0</v>
      </c>
      <c r="Q8157" t="n">
        <v>0</v>
      </c>
      <c r="R8157" s="2" t="inlineStr"/>
    </row>
    <row r="8158" ht="15" customHeight="1">
      <c r="A8158" t="inlineStr">
        <is>
          <t>A 6859-2026</t>
        </is>
      </c>
      <c r="B8158" s="1" t="n">
        <v>46057.4371875</v>
      </c>
      <c r="C8158" s="1" t="n">
        <v>46086</v>
      </c>
      <c r="D8158" t="inlineStr">
        <is>
          <t>GÄVLEBORGS LÄN</t>
        </is>
      </c>
      <c r="E8158" t="inlineStr">
        <is>
          <t>NORDANSTIG</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6864-2026</t>
        </is>
      </c>
      <c r="B8159" s="1" t="n">
        <v>46057.44184027778</v>
      </c>
      <c r="C8159" s="1" t="n">
        <v>46086</v>
      </c>
      <c r="D8159" t="inlineStr">
        <is>
          <t>GÄVLEBORGS LÄN</t>
        </is>
      </c>
      <c r="E8159" t="inlineStr">
        <is>
          <t>HUDIKSVALL</t>
        </is>
      </c>
      <c r="F8159" t="inlineStr">
        <is>
          <t>Naturvårdsverket</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22013-2021</t>
        </is>
      </c>
      <c r="B8160" s="1" t="n">
        <v>44323.46296296296</v>
      </c>
      <c r="C8160" s="1" t="n">
        <v>46086</v>
      </c>
      <c r="D8160" t="inlineStr">
        <is>
          <t>GÄVLEBORGS LÄN</t>
        </is>
      </c>
      <c r="E8160" t="inlineStr">
        <is>
          <t>LJUSDAL</t>
        </is>
      </c>
      <c r="F8160" t="inlineStr">
        <is>
          <t>Sveaskog</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6871-2026</t>
        </is>
      </c>
      <c r="B8161" s="1" t="n">
        <v>46057.45179398148</v>
      </c>
      <c r="C8161" s="1" t="n">
        <v>46086</v>
      </c>
      <c r="D8161" t="inlineStr">
        <is>
          <t>GÄVLEBORGS LÄN</t>
        </is>
      </c>
      <c r="E8161" t="inlineStr">
        <is>
          <t>SÖDERHAMN</t>
        </is>
      </c>
      <c r="G8161" t="n">
        <v>12.8</v>
      </c>
      <c r="H8161" t="n">
        <v>0</v>
      </c>
      <c r="I8161" t="n">
        <v>0</v>
      </c>
      <c r="J8161" t="n">
        <v>0</v>
      </c>
      <c r="K8161" t="n">
        <v>0</v>
      </c>
      <c r="L8161" t="n">
        <v>0</v>
      </c>
      <c r="M8161" t="n">
        <v>0</v>
      </c>
      <c r="N8161" t="n">
        <v>0</v>
      </c>
      <c r="O8161" t="n">
        <v>0</v>
      </c>
      <c r="P8161" t="n">
        <v>0</v>
      </c>
      <c r="Q8161" t="n">
        <v>0</v>
      </c>
      <c r="R8161" s="2" t="inlineStr"/>
    </row>
    <row r="8162" ht="15" customHeight="1">
      <c r="A8162" t="inlineStr">
        <is>
          <t>A 6578-2026</t>
        </is>
      </c>
      <c r="B8162" s="1" t="n">
        <v>46056.45182870371</v>
      </c>
      <c r="C8162" s="1" t="n">
        <v>46086</v>
      </c>
      <c r="D8162" t="inlineStr">
        <is>
          <t>GÄVLEBORGS LÄN</t>
        </is>
      </c>
      <c r="E8162" t="inlineStr">
        <is>
          <t>BOLLNÄS</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62439-2023</t>
        </is>
      </c>
      <c r="B8163" s="1" t="n">
        <v>45268.4574074074</v>
      </c>
      <c r="C8163" s="1" t="n">
        <v>46086</v>
      </c>
      <c r="D8163" t="inlineStr">
        <is>
          <t>GÄVLEBORGS LÄN</t>
        </is>
      </c>
      <c r="E8163" t="inlineStr">
        <is>
          <t>HUDIKSVALL</t>
        </is>
      </c>
      <c r="G8163" t="n">
        <v>13.3</v>
      </c>
      <c r="H8163" t="n">
        <v>0</v>
      </c>
      <c r="I8163" t="n">
        <v>0</v>
      </c>
      <c r="J8163" t="n">
        <v>0</v>
      </c>
      <c r="K8163" t="n">
        <v>0</v>
      </c>
      <c r="L8163" t="n">
        <v>0</v>
      </c>
      <c r="M8163" t="n">
        <v>0</v>
      </c>
      <c r="N8163" t="n">
        <v>0</v>
      </c>
      <c r="O8163" t="n">
        <v>0</v>
      </c>
      <c r="P8163" t="n">
        <v>0</v>
      </c>
      <c r="Q8163" t="n">
        <v>0</v>
      </c>
      <c r="R8163" s="2" t="inlineStr"/>
    </row>
    <row r="8164" ht="15" customHeight="1">
      <c r="A8164" t="inlineStr">
        <is>
          <t>A 62458-2023</t>
        </is>
      </c>
      <c r="B8164" s="1" t="n">
        <v>45268.51303240741</v>
      </c>
      <c r="C8164" s="1" t="n">
        <v>46086</v>
      </c>
      <c r="D8164" t="inlineStr">
        <is>
          <t>GÄVLEBORGS LÄN</t>
        </is>
      </c>
      <c r="E8164" t="inlineStr">
        <is>
          <t>NORDANSTIG</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7050-2026</t>
        </is>
      </c>
      <c r="B8165" s="1" t="n">
        <v>46057.72561342592</v>
      </c>
      <c r="C8165" s="1" t="n">
        <v>46086</v>
      </c>
      <c r="D8165" t="inlineStr">
        <is>
          <t>GÄVLEBORGS LÄN</t>
        </is>
      </c>
      <c r="E8165" t="inlineStr">
        <is>
          <t>OCKELBO</t>
        </is>
      </c>
      <c r="F8165" t="inlineStr">
        <is>
          <t>Bergvik skog väst AB</t>
        </is>
      </c>
      <c r="G8165" t="n">
        <v>5.2</v>
      </c>
      <c r="H8165" t="n">
        <v>0</v>
      </c>
      <c r="I8165" t="n">
        <v>0</v>
      </c>
      <c r="J8165" t="n">
        <v>0</v>
      </c>
      <c r="K8165" t="n">
        <v>0</v>
      </c>
      <c r="L8165" t="n">
        <v>0</v>
      </c>
      <c r="M8165" t="n">
        <v>0</v>
      </c>
      <c r="N8165" t="n">
        <v>0</v>
      </c>
      <c r="O8165" t="n">
        <v>0</v>
      </c>
      <c r="P8165" t="n">
        <v>0</v>
      </c>
      <c r="Q8165" t="n">
        <v>0</v>
      </c>
      <c r="R8165" s="2" t="inlineStr"/>
    </row>
    <row r="8166" ht="15" customHeight="1">
      <c r="A8166" t="inlineStr">
        <is>
          <t>A 7056-2026</t>
        </is>
      </c>
      <c r="B8166" s="1" t="n">
        <v>46057.82925925926</v>
      </c>
      <c r="C8166" s="1" t="n">
        <v>46086</v>
      </c>
      <c r="D8166" t="inlineStr">
        <is>
          <t>GÄVLEBORGS LÄN</t>
        </is>
      </c>
      <c r="E8166" t="inlineStr">
        <is>
          <t>OCKELBO</t>
        </is>
      </c>
      <c r="F8166" t="inlineStr">
        <is>
          <t>Bergvik skog väst AB</t>
        </is>
      </c>
      <c r="G8166" t="n">
        <v>12.8</v>
      </c>
      <c r="H8166" t="n">
        <v>0</v>
      </c>
      <c r="I8166" t="n">
        <v>0</v>
      </c>
      <c r="J8166" t="n">
        <v>0</v>
      </c>
      <c r="K8166" t="n">
        <v>0</v>
      </c>
      <c r="L8166" t="n">
        <v>0</v>
      </c>
      <c r="M8166" t="n">
        <v>0</v>
      </c>
      <c r="N8166" t="n">
        <v>0</v>
      </c>
      <c r="O8166" t="n">
        <v>0</v>
      </c>
      <c r="P8166" t="n">
        <v>0</v>
      </c>
      <c r="Q8166" t="n">
        <v>0</v>
      </c>
      <c r="R8166" s="2" t="inlineStr"/>
    </row>
    <row r="8167" ht="15" customHeight="1">
      <c r="A8167" t="inlineStr">
        <is>
          <t>A 6666-2026</t>
        </is>
      </c>
      <c r="B8167" s="1" t="n">
        <v>46056.58694444445</v>
      </c>
      <c r="C8167" s="1" t="n">
        <v>46086</v>
      </c>
      <c r="D8167" t="inlineStr">
        <is>
          <t>GÄVLEBORGS LÄN</t>
        </is>
      </c>
      <c r="E8167" t="inlineStr">
        <is>
          <t>BOLLNÄS</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6673-2026</t>
        </is>
      </c>
      <c r="B8168" s="1" t="n">
        <v>46056.59990740741</v>
      </c>
      <c r="C8168" s="1" t="n">
        <v>46086</v>
      </c>
      <c r="D8168" t="inlineStr">
        <is>
          <t>GÄVLEBORGS LÄN</t>
        </is>
      </c>
      <c r="E8168" t="inlineStr">
        <is>
          <t>GÄVLE</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6699-2026</t>
        </is>
      </c>
      <c r="B8169" s="1" t="n">
        <v>46056.64188657407</v>
      </c>
      <c r="C8169" s="1" t="n">
        <v>46086</v>
      </c>
      <c r="D8169" t="inlineStr">
        <is>
          <t>GÄVLEBORGS LÄN</t>
        </is>
      </c>
      <c r="E8169" t="inlineStr">
        <is>
          <t>LJUSDAL</t>
        </is>
      </c>
      <c r="G8169" t="n">
        <v>5.4</v>
      </c>
      <c r="H8169" t="n">
        <v>0</v>
      </c>
      <c r="I8169" t="n">
        <v>0</v>
      </c>
      <c r="J8169" t="n">
        <v>0</v>
      </c>
      <c r="K8169" t="n">
        <v>0</v>
      </c>
      <c r="L8169" t="n">
        <v>0</v>
      </c>
      <c r="M8169" t="n">
        <v>0</v>
      </c>
      <c r="N8169" t="n">
        <v>0</v>
      </c>
      <c r="O8169" t="n">
        <v>0</v>
      </c>
      <c r="P8169" t="n">
        <v>0</v>
      </c>
      <c r="Q8169" t="n">
        <v>0</v>
      </c>
      <c r="R8169" s="2" t="inlineStr"/>
    </row>
    <row r="8170" ht="15" customHeight="1">
      <c r="A8170" t="inlineStr">
        <is>
          <t>A 6704-2026</t>
        </is>
      </c>
      <c r="B8170" s="1" t="n">
        <v>46056.64695601852</v>
      </c>
      <c r="C8170" s="1" t="n">
        <v>46086</v>
      </c>
      <c r="D8170" t="inlineStr">
        <is>
          <t>GÄVLEBORGS LÄN</t>
        </is>
      </c>
      <c r="E8170" t="inlineStr">
        <is>
          <t>OVANÅKER</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16340-2023</t>
        </is>
      </c>
      <c r="B8171" s="1" t="n">
        <v>45028.64403935185</v>
      </c>
      <c r="C8171" s="1" t="n">
        <v>46086</v>
      </c>
      <c r="D8171" t="inlineStr">
        <is>
          <t>GÄVLEBORGS LÄN</t>
        </is>
      </c>
      <c r="E8171" t="inlineStr">
        <is>
          <t>SÖDERHAMN</t>
        </is>
      </c>
      <c r="F8171" t="inlineStr">
        <is>
          <t>Bergvik skog väst AB</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6586-2026</t>
        </is>
      </c>
      <c r="B8172" s="1" t="n">
        <v>46056.45778935185</v>
      </c>
      <c r="C8172" s="1" t="n">
        <v>46086</v>
      </c>
      <c r="D8172" t="inlineStr">
        <is>
          <t>GÄVLEBORGS LÄN</t>
        </is>
      </c>
      <c r="E8172" t="inlineStr">
        <is>
          <t>OCKELBO</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6591-2026</t>
        </is>
      </c>
      <c r="B8173" s="1" t="n">
        <v>46056.46296296296</v>
      </c>
      <c r="C8173" s="1" t="n">
        <v>46086</v>
      </c>
      <c r="D8173" t="inlineStr">
        <is>
          <t>GÄVLEBORGS LÄN</t>
        </is>
      </c>
      <c r="E8173" t="inlineStr">
        <is>
          <t>HUDIKSVALL</t>
        </is>
      </c>
      <c r="F8173" t="inlineStr">
        <is>
          <t>Holmen skog AB</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3220-2026</t>
        </is>
      </c>
      <c r="B8174" s="1" t="n">
        <v>46041.51876157407</v>
      </c>
      <c r="C8174" s="1" t="n">
        <v>46086</v>
      </c>
      <c r="D8174" t="inlineStr">
        <is>
          <t>GÄVLEBORGS LÄN</t>
        </is>
      </c>
      <c r="E8174" t="inlineStr">
        <is>
          <t>OVANÅKER</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6939-2026</t>
        </is>
      </c>
      <c r="B8175" s="1" t="n">
        <v>46057.56375</v>
      </c>
      <c r="C8175" s="1" t="n">
        <v>46086</v>
      </c>
      <c r="D8175" t="inlineStr">
        <is>
          <t>GÄVLEBORGS LÄN</t>
        </is>
      </c>
      <c r="E8175" t="inlineStr">
        <is>
          <t>SÖDERHAMN</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6940-2026</t>
        </is>
      </c>
      <c r="B8176" s="1" t="n">
        <v>46057.56431712963</v>
      </c>
      <c r="C8176" s="1" t="n">
        <v>46086</v>
      </c>
      <c r="D8176" t="inlineStr">
        <is>
          <t>GÄVLEBORGS LÄN</t>
        </is>
      </c>
      <c r="E8176" t="inlineStr">
        <is>
          <t>OVANÅKER</t>
        </is>
      </c>
      <c r="G8176" t="n">
        <v>5.5</v>
      </c>
      <c r="H8176" t="n">
        <v>0</v>
      </c>
      <c r="I8176" t="n">
        <v>0</v>
      </c>
      <c r="J8176" t="n">
        <v>0</v>
      </c>
      <c r="K8176" t="n">
        <v>0</v>
      </c>
      <c r="L8176" t="n">
        <v>0</v>
      </c>
      <c r="M8176" t="n">
        <v>0</v>
      </c>
      <c r="N8176" t="n">
        <v>0</v>
      </c>
      <c r="O8176" t="n">
        <v>0</v>
      </c>
      <c r="P8176" t="n">
        <v>0</v>
      </c>
      <c r="Q8176" t="n">
        <v>0</v>
      </c>
      <c r="R8176" s="2" t="inlineStr"/>
    </row>
    <row r="8177" ht="15" customHeight="1">
      <c r="A8177" t="inlineStr">
        <is>
          <t>A 10180-2022</t>
        </is>
      </c>
      <c r="B8177" s="1" t="n">
        <v>44622.40689814815</v>
      </c>
      <c r="C8177" s="1" t="n">
        <v>46086</v>
      </c>
      <c r="D8177" t="inlineStr">
        <is>
          <t>GÄVLEBORGS LÄN</t>
        </is>
      </c>
      <c r="E8177" t="inlineStr">
        <is>
          <t>BOLLNÄS</t>
        </is>
      </c>
      <c r="G8177" t="n">
        <v>0.2</v>
      </c>
      <c r="H8177" t="n">
        <v>0</v>
      </c>
      <c r="I8177" t="n">
        <v>0</v>
      </c>
      <c r="J8177" t="n">
        <v>0</v>
      </c>
      <c r="K8177" t="n">
        <v>0</v>
      </c>
      <c r="L8177" t="n">
        <v>0</v>
      </c>
      <c r="M8177" t="n">
        <v>0</v>
      </c>
      <c r="N8177" t="n">
        <v>0</v>
      </c>
      <c r="O8177" t="n">
        <v>0</v>
      </c>
      <c r="P8177" t="n">
        <v>0</v>
      </c>
      <c r="Q8177" t="n">
        <v>0</v>
      </c>
      <c r="R8177" s="2" t="inlineStr"/>
    </row>
    <row r="8178" ht="15" customHeight="1">
      <c r="A8178" t="inlineStr">
        <is>
          <t>A 6710-2026</t>
        </is>
      </c>
      <c r="B8178" s="1" t="n">
        <v>46056.65497685185</v>
      </c>
      <c r="C8178" s="1" t="n">
        <v>46086</v>
      </c>
      <c r="D8178" t="inlineStr">
        <is>
          <t>GÄVLEBORGS LÄN</t>
        </is>
      </c>
      <c r="E8178" t="inlineStr">
        <is>
          <t>OCKELBO</t>
        </is>
      </c>
      <c r="G8178" t="n">
        <v>4.3</v>
      </c>
      <c r="H8178" t="n">
        <v>0</v>
      </c>
      <c r="I8178" t="n">
        <v>0</v>
      </c>
      <c r="J8178" t="n">
        <v>0</v>
      </c>
      <c r="K8178" t="n">
        <v>0</v>
      </c>
      <c r="L8178" t="n">
        <v>0</v>
      </c>
      <c r="M8178" t="n">
        <v>0</v>
      </c>
      <c r="N8178" t="n">
        <v>0</v>
      </c>
      <c r="O8178" t="n">
        <v>0</v>
      </c>
      <c r="P8178" t="n">
        <v>0</v>
      </c>
      <c r="Q8178" t="n">
        <v>0</v>
      </c>
      <c r="R8178" s="2" t="inlineStr"/>
    </row>
    <row r="8179" ht="15" customHeight="1">
      <c r="A8179" t="inlineStr">
        <is>
          <t>A 6807-2026</t>
        </is>
      </c>
      <c r="B8179" s="1" t="n">
        <v>46057.36239583333</v>
      </c>
      <c r="C8179" s="1" t="n">
        <v>46086</v>
      </c>
      <c r="D8179" t="inlineStr">
        <is>
          <t>GÄVLEBORGS LÄN</t>
        </is>
      </c>
      <c r="E8179" t="inlineStr">
        <is>
          <t>LJUSDAL</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6821-2026</t>
        </is>
      </c>
      <c r="B8180" s="1" t="n">
        <v>46057.38680555556</v>
      </c>
      <c r="C8180" s="1" t="n">
        <v>46086</v>
      </c>
      <c r="D8180" t="inlineStr">
        <is>
          <t>GÄVLEBORGS LÄN</t>
        </is>
      </c>
      <c r="E8180" t="inlineStr">
        <is>
          <t>OVANÅKER</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51541-2025</t>
        </is>
      </c>
      <c r="B8181" s="1" t="n">
        <v>45950.70054398148</v>
      </c>
      <c r="C8181" s="1" t="n">
        <v>46086</v>
      </c>
      <c r="D8181" t="inlineStr">
        <is>
          <t>GÄVLEBORGS LÄN</t>
        </is>
      </c>
      <c r="E8181" t="inlineStr">
        <is>
          <t>NORDANSTIG</t>
        </is>
      </c>
      <c r="F8181" t="inlineStr">
        <is>
          <t>Holmen skog AB</t>
        </is>
      </c>
      <c r="G8181" t="n">
        <v>3.3</v>
      </c>
      <c r="H8181" t="n">
        <v>0</v>
      </c>
      <c r="I8181" t="n">
        <v>0</v>
      </c>
      <c r="J8181" t="n">
        <v>0</v>
      </c>
      <c r="K8181" t="n">
        <v>0</v>
      </c>
      <c r="L8181" t="n">
        <v>0</v>
      </c>
      <c r="M8181" t="n">
        <v>0</v>
      </c>
      <c r="N8181" t="n">
        <v>0</v>
      </c>
      <c r="O8181" t="n">
        <v>0</v>
      </c>
      <c r="P8181" t="n">
        <v>0</v>
      </c>
      <c r="Q8181" t="n">
        <v>0</v>
      </c>
      <c r="R8181" s="2" t="inlineStr"/>
    </row>
    <row r="8182" ht="15" customHeight="1">
      <c r="A8182" t="inlineStr">
        <is>
          <t>A 22975-2024</t>
        </is>
      </c>
      <c r="B8182" s="1" t="n">
        <v>45449.82996527778</v>
      </c>
      <c r="C8182" s="1" t="n">
        <v>46086</v>
      </c>
      <c r="D8182" t="inlineStr">
        <is>
          <t>GÄVLEBORGS LÄN</t>
        </is>
      </c>
      <c r="E8182" t="inlineStr">
        <is>
          <t>HUDIKSVALL</t>
        </is>
      </c>
      <c r="F8182" t="inlineStr">
        <is>
          <t>Holmen skog AB</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63640-2025</t>
        </is>
      </c>
      <c r="B8183" s="1" t="n">
        <v>46014.40673611111</v>
      </c>
      <c r="C8183" s="1" t="n">
        <v>46086</v>
      </c>
      <c r="D8183" t="inlineStr">
        <is>
          <t>GÄVLEBORGS LÄN</t>
        </is>
      </c>
      <c r="E8183" t="inlineStr">
        <is>
          <t>LJUSDAL</t>
        </is>
      </c>
      <c r="F8183" t="inlineStr">
        <is>
          <t>SCA</t>
        </is>
      </c>
      <c r="G8183" t="n">
        <v>8.300000000000001</v>
      </c>
      <c r="H8183" t="n">
        <v>0</v>
      </c>
      <c r="I8183" t="n">
        <v>0</v>
      </c>
      <c r="J8183" t="n">
        <v>0</v>
      </c>
      <c r="K8183" t="n">
        <v>0</v>
      </c>
      <c r="L8183" t="n">
        <v>0</v>
      </c>
      <c r="M8183" t="n">
        <v>0</v>
      </c>
      <c r="N8183" t="n">
        <v>0</v>
      </c>
      <c r="O8183" t="n">
        <v>0</v>
      </c>
      <c r="P8183" t="n">
        <v>0</v>
      </c>
      <c r="Q8183" t="n">
        <v>0</v>
      </c>
      <c r="R8183" s="2" t="inlineStr"/>
    </row>
    <row r="8184" ht="15" customHeight="1">
      <c r="A8184" t="inlineStr">
        <is>
          <t>A 6777-2026</t>
        </is>
      </c>
      <c r="B8184" s="1" t="n">
        <v>46057.29960648148</v>
      </c>
      <c r="C8184" s="1" t="n">
        <v>46086</v>
      </c>
      <c r="D8184" t="inlineStr">
        <is>
          <t>GÄVLEBORGS LÄN</t>
        </is>
      </c>
      <c r="E8184" t="inlineStr">
        <is>
          <t>BOLLNÄS</t>
        </is>
      </c>
      <c r="G8184" t="n">
        <v>10</v>
      </c>
      <c r="H8184" t="n">
        <v>0</v>
      </c>
      <c r="I8184" t="n">
        <v>0</v>
      </c>
      <c r="J8184" t="n">
        <v>0</v>
      </c>
      <c r="K8184" t="n">
        <v>0</v>
      </c>
      <c r="L8184" t="n">
        <v>0</v>
      </c>
      <c r="M8184" t="n">
        <v>0</v>
      </c>
      <c r="N8184" t="n">
        <v>0</v>
      </c>
      <c r="O8184" t="n">
        <v>0</v>
      </c>
      <c r="P8184" t="n">
        <v>0</v>
      </c>
      <c r="Q8184" t="n">
        <v>0</v>
      </c>
      <c r="R8184" s="2" t="inlineStr"/>
    </row>
    <row r="8185" ht="15" customHeight="1">
      <c r="A8185" t="inlineStr">
        <is>
          <t>A 17401-2025</t>
        </is>
      </c>
      <c r="B8185" s="1" t="n">
        <v>45757.35046296296</v>
      </c>
      <c r="C8185" s="1" t="n">
        <v>46086</v>
      </c>
      <c r="D8185" t="inlineStr">
        <is>
          <t>GÄVLEBORGS LÄN</t>
        </is>
      </c>
      <c r="E8185" t="inlineStr">
        <is>
          <t>BOLLNÄS</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6781-2026</t>
        </is>
      </c>
      <c r="B8186" s="1" t="n">
        <v>46057.30486111111</v>
      </c>
      <c r="C8186" s="1" t="n">
        <v>46086</v>
      </c>
      <c r="D8186" t="inlineStr">
        <is>
          <t>GÄVLEBORGS LÄN</t>
        </is>
      </c>
      <c r="E8186" t="inlineStr">
        <is>
          <t>BOLLNÄS</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6782-2026</t>
        </is>
      </c>
      <c r="B8187" s="1" t="n">
        <v>46057.3058912037</v>
      </c>
      <c r="C8187" s="1" t="n">
        <v>46086</v>
      </c>
      <c r="D8187" t="inlineStr">
        <is>
          <t>GÄVLEBORGS LÄN</t>
        </is>
      </c>
      <c r="E8187" t="inlineStr">
        <is>
          <t>BOLLNÄS</t>
        </is>
      </c>
      <c r="G8187" t="n">
        <v>4.1</v>
      </c>
      <c r="H8187" t="n">
        <v>0</v>
      </c>
      <c r="I8187" t="n">
        <v>0</v>
      </c>
      <c r="J8187" t="n">
        <v>0</v>
      </c>
      <c r="K8187" t="n">
        <v>0</v>
      </c>
      <c r="L8187" t="n">
        <v>0</v>
      </c>
      <c r="M8187" t="n">
        <v>0</v>
      </c>
      <c r="N8187" t="n">
        <v>0</v>
      </c>
      <c r="O8187" t="n">
        <v>0</v>
      </c>
      <c r="P8187" t="n">
        <v>0</v>
      </c>
      <c r="Q8187" t="n">
        <v>0</v>
      </c>
      <c r="R8187" s="2" t="inlineStr"/>
    </row>
    <row r="8188" ht="15" customHeight="1">
      <c r="A8188" t="inlineStr">
        <is>
          <t>A 6784-2026</t>
        </is>
      </c>
      <c r="B8188" s="1" t="n">
        <v>46057.31211805555</v>
      </c>
      <c r="C8188" s="1" t="n">
        <v>46086</v>
      </c>
      <c r="D8188" t="inlineStr">
        <is>
          <t>GÄVLEBORGS LÄN</t>
        </is>
      </c>
      <c r="E8188" t="inlineStr">
        <is>
          <t>BOLLNÄS</t>
        </is>
      </c>
      <c r="G8188" t="n">
        <v>21.8</v>
      </c>
      <c r="H8188" t="n">
        <v>0</v>
      </c>
      <c r="I8188" t="n">
        <v>0</v>
      </c>
      <c r="J8188" t="n">
        <v>0</v>
      </c>
      <c r="K8188" t="n">
        <v>0</v>
      </c>
      <c r="L8188" t="n">
        <v>0</v>
      </c>
      <c r="M8188" t="n">
        <v>0</v>
      </c>
      <c r="N8188" t="n">
        <v>0</v>
      </c>
      <c r="O8188" t="n">
        <v>0</v>
      </c>
      <c r="P8188" t="n">
        <v>0</v>
      </c>
      <c r="Q8188" t="n">
        <v>0</v>
      </c>
      <c r="R8188" s="2" t="inlineStr"/>
    </row>
    <row r="8189" ht="15" customHeight="1">
      <c r="A8189" t="inlineStr">
        <is>
          <t>A 17404-2025</t>
        </is>
      </c>
      <c r="B8189" s="1" t="n">
        <v>45757.35831018518</v>
      </c>
      <c r="C8189" s="1" t="n">
        <v>46086</v>
      </c>
      <c r="D8189" t="inlineStr">
        <is>
          <t>GÄVLEBORGS LÄN</t>
        </is>
      </c>
      <c r="E8189" t="inlineStr">
        <is>
          <t>GÄVLE</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6870-2026</t>
        </is>
      </c>
      <c r="B8190" s="1" t="n">
        <v>46057.45046296297</v>
      </c>
      <c r="C8190" s="1" t="n">
        <v>46086</v>
      </c>
      <c r="D8190" t="inlineStr">
        <is>
          <t>GÄVLEBORGS LÄN</t>
        </is>
      </c>
      <c r="E8190" t="inlineStr">
        <is>
          <t>OVANÅKER</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21229-2025</t>
        </is>
      </c>
      <c r="B8191" s="1" t="n">
        <v>45779</v>
      </c>
      <c r="C8191" s="1" t="n">
        <v>46086</v>
      </c>
      <c r="D8191" t="inlineStr">
        <is>
          <t>GÄVLEBORGS LÄN</t>
        </is>
      </c>
      <c r="E8191" t="inlineStr">
        <is>
          <t>HUDIKSVALL</t>
        </is>
      </c>
      <c r="F8191" t="inlineStr">
        <is>
          <t>Holmen skog AB</t>
        </is>
      </c>
      <c r="G8191" t="n">
        <v>38.1</v>
      </c>
      <c r="H8191" t="n">
        <v>0</v>
      </c>
      <c r="I8191" t="n">
        <v>0</v>
      </c>
      <c r="J8191" t="n">
        <v>0</v>
      </c>
      <c r="K8191" t="n">
        <v>0</v>
      </c>
      <c r="L8191" t="n">
        <v>0</v>
      </c>
      <c r="M8191" t="n">
        <v>0</v>
      </c>
      <c r="N8191" t="n">
        <v>0</v>
      </c>
      <c r="O8191" t="n">
        <v>0</v>
      </c>
      <c r="P8191" t="n">
        <v>0</v>
      </c>
      <c r="Q8191" t="n">
        <v>0</v>
      </c>
      <c r="R8191" s="2" t="inlineStr"/>
    </row>
    <row r="8192" ht="15" customHeight="1">
      <c r="A8192" t="inlineStr">
        <is>
          <t>A 6895-2026</t>
        </is>
      </c>
      <c r="B8192" s="1" t="n">
        <v>46057.48347222222</v>
      </c>
      <c r="C8192" s="1" t="n">
        <v>46086</v>
      </c>
      <c r="D8192" t="inlineStr">
        <is>
          <t>GÄVLEBORGS LÄN</t>
        </is>
      </c>
      <c r="E8192" t="inlineStr">
        <is>
          <t>HUDIKSVALL</t>
        </is>
      </c>
      <c r="G8192" t="n">
        <v>3.2</v>
      </c>
      <c r="H8192" t="n">
        <v>0</v>
      </c>
      <c r="I8192" t="n">
        <v>0</v>
      </c>
      <c r="J8192" t="n">
        <v>0</v>
      </c>
      <c r="K8192" t="n">
        <v>0</v>
      </c>
      <c r="L8192" t="n">
        <v>0</v>
      </c>
      <c r="M8192" t="n">
        <v>0</v>
      </c>
      <c r="N8192" t="n">
        <v>0</v>
      </c>
      <c r="O8192" t="n">
        <v>0</v>
      </c>
      <c r="P8192" t="n">
        <v>0</v>
      </c>
      <c r="Q8192" t="n">
        <v>0</v>
      </c>
      <c r="R8192" s="2" t="inlineStr"/>
    </row>
    <row r="8193" ht="15" customHeight="1">
      <c r="A8193" t="inlineStr">
        <is>
          <t>A 61763-2024</t>
        </is>
      </c>
      <c r="B8193" s="1" t="n">
        <v>45649.43486111111</v>
      </c>
      <c r="C8193" s="1" t="n">
        <v>46086</v>
      </c>
      <c r="D8193" t="inlineStr">
        <is>
          <t>GÄVLEBORGS LÄN</t>
        </is>
      </c>
      <c r="E8193" t="inlineStr">
        <is>
          <t>HUDIKSVALL</t>
        </is>
      </c>
      <c r="G8193" t="n">
        <v>7.1</v>
      </c>
      <c r="H8193" t="n">
        <v>0</v>
      </c>
      <c r="I8193" t="n">
        <v>0</v>
      </c>
      <c r="J8193" t="n">
        <v>0</v>
      </c>
      <c r="K8193" t="n">
        <v>0</v>
      </c>
      <c r="L8193" t="n">
        <v>0</v>
      </c>
      <c r="M8193" t="n">
        <v>0</v>
      </c>
      <c r="N8193" t="n">
        <v>0</v>
      </c>
      <c r="O8193" t="n">
        <v>0</v>
      </c>
      <c r="P8193" t="n">
        <v>0</v>
      </c>
      <c r="Q8193" t="n">
        <v>0</v>
      </c>
      <c r="R8193" s="2" t="inlineStr"/>
    </row>
    <row r="8194" ht="15" customHeight="1">
      <c r="A8194" t="inlineStr">
        <is>
          <t>A 6913-2026</t>
        </is>
      </c>
      <c r="B8194" s="1" t="n">
        <v>46057.51311342593</v>
      </c>
      <c r="C8194" s="1" t="n">
        <v>46086</v>
      </c>
      <c r="D8194" t="inlineStr">
        <is>
          <t>GÄVLEBORGS LÄN</t>
        </is>
      </c>
      <c r="E8194" t="inlineStr">
        <is>
          <t>OVANÅKER</t>
        </is>
      </c>
      <c r="G8194" t="n">
        <v>4.6</v>
      </c>
      <c r="H8194" t="n">
        <v>0</v>
      </c>
      <c r="I8194" t="n">
        <v>0</v>
      </c>
      <c r="J8194" t="n">
        <v>0</v>
      </c>
      <c r="K8194" t="n">
        <v>0</v>
      </c>
      <c r="L8194" t="n">
        <v>0</v>
      </c>
      <c r="M8194" t="n">
        <v>0</v>
      </c>
      <c r="N8194" t="n">
        <v>0</v>
      </c>
      <c r="O8194" t="n">
        <v>0</v>
      </c>
      <c r="P8194" t="n">
        <v>0</v>
      </c>
      <c r="Q8194" t="n">
        <v>0</v>
      </c>
      <c r="R8194" s="2" t="inlineStr"/>
    </row>
    <row r="8195" ht="15" customHeight="1">
      <c r="A8195" t="inlineStr">
        <is>
          <t>A 6920-2026</t>
        </is>
      </c>
      <c r="B8195" s="1" t="n">
        <v>46057.5354050926</v>
      </c>
      <c r="C8195" s="1" t="n">
        <v>46086</v>
      </c>
      <c r="D8195" t="inlineStr">
        <is>
          <t>GÄVLEBORGS LÄN</t>
        </is>
      </c>
      <c r="E8195" t="inlineStr">
        <is>
          <t>BOLLNÄS</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6963-2026</t>
        </is>
      </c>
      <c r="B8196" s="1" t="n">
        <v>46057.5818287037</v>
      </c>
      <c r="C8196" s="1" t="n">
        <v>46086</v>
      </c>
      <c r="D8196" t="inlineStr">
        <is>
          <t>GÄVLEBORGS LÄN</t>
        </is>
      </c>
      <c r="E8196" t="inlineStr">
        <is>
          <t>LJUSDAL</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6972-2026</t>
        </is>
      </c>
      <c r="B8197" s="1" t="n">
        <v>46057.59275462963</v>
      </c>
      <c r="C8197" s="1" t="n">
        <v>46086</v>
      </c>
      <c r="D8197" t="inlineStr">
        <is>
          <t>GÄVLEBORGS LÄN</t>
        </is>
      </c>
      <c r="E8197" t="inlineStr">
        <is>
          <t>SANDVIKEN</t>
        </is>
      </c>
      <c r="F8197" t="inlineStr">
        <is>
          <t>Naturvårdsverket</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6678-2026</t>
        </is>
      </c>
      <c r="B8198" s="1" t="n">
        <v>46056.60954861111</v>
      </c>
      <c r="C8198" s="1" t="n">
        <v>46086</v>
      </c>
      <c r="D8198" t="inlineStr">
        <is>
          <t>GÄVLEBORGS LÄN</t>
        </is>
      </c>
      <c r="E8198" t="inlineStr">
        <is>
          <t>NORDANSTIG</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6683-2026</t>
        </is>
      </c>
      <c r="B8199" s="1" t="n">
        <v>46056.61979166666</v>
      </c>
      <c r="C8199" s="1" t="n">
        <v>46086</v>
      </c>
      <c r="D8199" t="inlineStr">
        <is>
          <t>GÄVLEBORGS LÄN</t>
        </is>
      </c>
      <c r="E8199" t="inlineStr">
        <is>
          <t>GÄVLE</t>
        </is>
      </c>
      <c r="G8199" t="n">
        <v>6.5</v>
      </c>
      <c r="H8199" t="n">
        <v>0</v>
      </c>
      <c r="I8199" t="n">
        <v>0</v>
      </c>
      <c r="J8199" t="n">
        <v>0</v>
      </c>
      <c r="K8199" t="n">
        <v>0</v>
      </c>
      <c r="L8199" t="n">
        <v>0</v>
      </c>
      <c r="M8199" t="n">
        <v>0</v>
      </c>
      <c r="N8199" t="n">
        <v>0</v>
      </c>
      <c r="O8199" t="n">
        <v>0</v>
      </c>
      <c r="P8199" t="n">
        <v>0</v>
      </c>
      <c r="Q8199" t="n">
        <v>0</v>
      </c>
      <c r="R8199" s="2" t="inlineStr"/>
    </row>
    <row r="8200" ht="15" customHeight="1">
      <c r="A8200" t="inlineStr">
        <is>
          <t>A 6694-2026</t>
        </is>
      </c>
      <c r="B8200" s="1" t="n">
        <v>46056.63655092593</v>
      </c>
      <c r="C8200" s="1" t="n">
        <v>46086</v>
      </c>
      <c r="D8200" t="inlineStr">
        <is>
          <t>GÄVLEBORGS LÄN</t>
        </is>
      </c>
      <c r="E8200" t="inlineStr">
        <is>
          <t>HUDIKSVALL</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6749-2026</t>
        </is>
      </c>
      <c r="B8201" s="1" t="n">
        <v>46056.73796296296</v>
      </c>
      <c r="C8201" s="1" t="n">
        <v>46086</v>
      </c>
      <c r="D8201" t="inlineStr">
        <is>
          <t>GÄVLEBORGS LÄN</t>
        </is>
      </c>
      <c r="E8201" t="inlineStr">
        <is>
          <t>BOLLNÄS</t>
        </is>
      </c>
      <c r="G8201" t="n">
        <v>27.8</v>
      </c>
      <c r="H8201" t="n">
        <v>0</v>
      </c>
      <c r="I8201" t="n">
        <v>0</v>
      </c>
      <c r="J8201" t="n">
        <v>0</v>
      </c>
      <c r="K8201" t="n">
        <v>0</v>
      </c>
      <c r="L8201" t="n">
        <v>0</v>
      </c>
      <c r="M8201" t="n">
        <v>0</v>
      </c>
      <c r="N8201" t="n">
        <v>0</v>
      </c>
      <c r="O8201" t="n">
        <v>0</v>
      </c>
      <c r="P8201" t="n">
        <v>0</v>
      </c>
      <c r="Q8201" t="n">
        <v>0</v>
      </c>
      <c r="R8201" s="2" t="inlineStr"/>
    </row>
    <row r="8202" ht="15" customHeight="1">
      <c r="A8202" t="inlineStr">
        <is>
          <t>A 6559-2026</t>
        </is>
      </c>
      <c r="B8202" s="1" t="n">
        <v>46056.43454861111</v>
      </c>
      <c r="C8202" s="1" t="n">
        <v>46086</v>
      </c>
      <c r="D8202" t="inlineStr">
        <is>
          <t>GÄVLEBORGS LÄN</t>
        </is>
      </c>
      <c r="E8202" t="inlineStr">
        <is>
          <t>BOLLNÄS</t>
        </is>
      </c>
      <c r="G8202" t="n">
        <v>15.5</v>
      </c>
      <c r="H8202" t="n">
        <v>0</v>
      </c>
      <c r="I8202" t="n">
        <v>0</v>
      </c>
      <c r="J8202" t="n">
        <v>0</v>
      </c>
      <c r="K8202" t="n">
        <v>0</v>
      </c>
      <c r="L8202" t="n">
        <v>0</v>
      </c>
      <c r="M8202" t="n">
        <v>0</v>
      </c>
      <c r="N8202" t="n">
        <v>0</v>
      </c>
      <c r="O8202" t="n">
        <v>0</v>
      </c>
      <c r="P8202" t="n">
        <v>0</v>
      </c>
      <c r="Q8202" t="n">
        <v>0</v>
      </c>
      <c r="R8202" s="2" t="inlineStr"/>
    </row>
    <row r="8203" ht="15" customHeight="1">
      <c r="A8203" t="inlineStr">
        <is>
          <t>A 6698-2026</t>
        </is>
      </c>
      <c r="B8203" s="1" t="n">
        <v>46056.63907407408</v>
      </c>
      <c r="C8203" s="1" t="n">
        <v>46086</v>
      </c>
      <c r="D8203" t="inlineStr">
        <is>
          <t>GÄVLEBORGS LÄN</t>
        </is>
      </c>
      <c r="E8203" t="inlineStr">
        <is>
          <t>OCKELBO</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6734-2026</t>
        </is>
      </c>
      <c r="B8204" s="1" t="n">
        <v>46056.68880787037</v>
      </c>
      <c r="C8204" s="1" t="n">
        <v>46086</v>
      </c>
      <c r="D8204" t="inlineStr">
        <is>
          <t>GÄVLEBORGS LÄN</t>
        </is>
      </c>
      <c r="E8204" t="inlineStr">
        <is>
          <t>OVANÅKER</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6579-2026</t>
        </is>
      </c>
      <c r="B8205" s="1" t="n">
        <v>46056.45328703704</v>
      </c>
      <c r="C8205" s="1" t="n">
        <v>46086</v>
      </c>
      <c r="D8205" t="inlineStr">
        <is>
          <t>GÄVLEBORGS LÄN</t>
        </is>
      </c>
      <c r="E8205" t="inlineStr">
        <is>
          <t>OCKELBO</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6582-2026</t>
        </is>
      </c>
      <c r="B8206" s="1" t="n">
        <v>46056.45413194445</v>
      </c>
      <c r="C8206" s="1" t="n">
        <v>46086</v>
      </c>
      <c r="D8206" t="inlineStr">
        <is>
          <t>GÄVLEBORGS LÄN</t>
        </is>
      </c>
      <c r="E8206" t="inlineStr">
        <is>
          <t>OCKELBO</t>
        </is>
      </c>
      <c r="G8206" t="n">
        <v>6.2</v>
      </c>
      <c r="H8206" t="n">
        <v>0</v>
      </c>
      <c r="I8206" t="n">
        <v>0</v>
      </c>
      <c r="J8206" t="n">
        <v>0</v>
      </c>
      <c r="K8206" t="n">
        <v>0</v>
      </c>
      <c r="L8206" t="n">
        <v>0</v>
      </c>
      <c r="M8206" t="n">
        <v>0</v>
      </c>
      <c r="N8206" t="n">
        <v>0</v>
      </c>
      <c r="O8206" t="n">
        <v>0</v>
      </c>
      <c r="P8206" t="n">
        <v>0</v>
      </c>
      <c r="Q8206" t="n">
        <v>0</v>
      </c>
      <c r="R8206" s="2" t="inlineStr"/>
    </row>
    <row r="8207" ht="15" customHeight="1">
      <c r="A8207" t="inlineStr">
        <is>
          <t>A 6587-2026</t>
        </is>
      </c>
      <c r="B8207" s="1" t="n">
        <v>46056.45893518518</v>
      </c>
      <c r="C8207" s="1" t="n">
        <v>46086</v>
      </c>
      <c r="D8207" t="inlineStr">
        <is>
          <t>GÄVLEBORGS LÄN</t>
        </is>
      </c>
      <c r="E8207" t="inlineStr">
        <is>
          <t>OCKELBO</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6588-2026</t>
        </is>
      </c>
      <c r="B8208" s="1" t="n">
        <v>46056.46060185185</v>
      </c>
      <c r="C8208" s="1" t="n">
        <v>46086</v>
      </c>
      <c r="D8208" t="inlineStr">
        <is>
          <t>GÄVLEBORGS LÄN</t>
        </is>
      </c>
      <c r="E8208" t="inlineStr">
        <is>
          <t>OCKELBO</t>
        </is>
      </c>
      <c r="G8208" t="n">
        <v>3</v>
      </c>
      <c r="H8208" t="n">
        <v>0</v>
      </c>
      <c r="I8208" t="n">
        <v>0</v>
      </c>
      <c r="J8208" t="n">
        <v>0</v>
      </c>
      <c r="K8208" t="n">
        <v>0</v>
      </c>
      <c r="L8208" t="n">
        <v>0</v>
      </c>
      <c r="M8208" t="n">
        <v>0</v>
      </c>
      <c r="N8208" t="n">
        <v>0</v>
      </c>
      <c r="O8208" t="n">
        <v>0</v>
      </c>
      <c r="P8208" t="n">
        <v>0</v>
      </c>
      <c r="Q8208" t="n">
        <v>0</v>
      </c>
      <c r="R8208" s="2" t="inlineStr"/>
    </row>
    <row r="8209" ht="15" customHeight="1">
      <c r="A8209" t="inlineStr">
        <is>
          <t>A 6589-2026</t>
        </is>
      </c>
      <c r="B8209" s="1" t="n">
        <v>46056.46152777778</v>
      </c>
      <c r="C8209" s="1" t="n">
        <v>46086</v>
      </c>
      <c r="D8209" t="inlineStr">
        <is>
          <t>GÄVLEBORGS LÄN</t>
        </is>
      </c>
      <c r="E8209" t="inlineStr">
        <is>
          <t>OCKELBO</t>
        </is>
      </c>
      <c r="G8209" t="n">
        <v>5</v>
      </c>
      <c r="H8209" t="n">
        <v>0</v>
      </c>
      <c r="I8209" t="n">
        <v>0</v>
      </c>
      <c r="J8209" t="n">
        <v>0</v>
      </c>
      <c r="K8209" t="n">
        <v>0</v>
      </c>
      <c r="L8209" t="n">
        <v>0</v>
      </c>
      <c r="M8209" t="n">
        <v>0</v>
      </c>
      <c r="N8209" t="n">
        <v>0</v>
      </c>
      <c r="O8209" t="n">
        <v>0</v>
      </c>
      <c r="P8209" t="n">
        <v>0</v>
      </c>
      <c r="Q8209" t="n">
        <v>0</v>
      </c>
      <c r="R8209" s="2" t="inlineStr"/>
    </row>
    <row r="8210" ht="15" customHeight="1">
      <c r="A8210" t="inlineStr">
        <is>
          <t>A 6659-2026</t>
        </is>
      </c>
      <c r="B8210" s="1" t="n">
        <v>46056.57425925926</v>
      </c>
      <c r="C8210" s="1" t="n">
        <v>46086</v>
      </c>
      <c r="D8210" t="inlineStr">
        <is>
          <t>GÄVLEBORGS LÄN</t>
        </is>
      </c>
      <c r="E8210" t="inlineStr">
        <is>
          <t>LJUSDAL</t>
        </is>
      </c>
      <c r="G8210" t="n">
        <v>5.1</v>
      </c>
      <c r="H8210" t="n">
        <v>0</v>
      </c>
      <c r="I8210" t="n">
        <v>0</v>
      </c>
      <c r="J8210" t="n">
        <v>0</v>
      </c>
      <c r="K8210" t="n">
        <v>0</v>
      </c>
      <c r="L8210" t="n">
        <v>0</v>
      </c>
      <c r="M8210" t="n">
        <v>0</v>
      </c>
      <c r="N8210" t="n">
        <v>0</v>
      </c>
      <c r="O8210" t="n">
        <v>0</v>
      </c>
      <c r="P8210" t="n">
        <v>0</v>
      </c>
      <c r="Q8210" t="n">
        <v>0</v>
      </c>
      <c r="R8210" s="2" t="inlineStr"/>
    </row>
    <row r="8211" ht="15" customHeight="1">
      <c r="A8211" t="inlineStr">
        <is>
          <t>A 61612-2025</t>
        </is>
      </c>
      <c r="B8211" s="1" t="n">
        <v>46002.38555555556</v>
      </c>
      <c r="C8211" s="1" t="n">
        <v>46086</v>
      </c>
      <c r="D8211" t="inlineStr">
        <is>
          <t>GÄVLEBORGS LÄN</t>
        </is>
      </c>
      <c r="E8211" t="inlineStr">
        <is>
          <t>BOLLNÄS</t>
        </is>
      </c>
      <c r="G8211" t="n">
        <v>0.4</v>
      </c>
      <c r="H8211" t="n">
        <v>0</v>
      </c>
      <c r="I8211" t="n">
        <v>0</v>
      </c>
      <c r="J8211" t="n">
        <v>0</v>
      </c>
      <c r="K8211" t="n">
        <v>0</v>
      </c>
      <c r="L8211" t="n">
        <v>0</v>
      </c>
      <c r="M8211" t="n">
        <v>0</v>
      </c>
      <c r="N8211" t="n">
        <v>0</v>
      </c>
      <c r="O8211" t="n">
        <v>0</v>
      </c>
      <c r="P8211" t="n">
        <v>0</v>
      </c>
      <c r="Q8211" t="n">
        <v>0</v>
      </c>
      <c r="R8211" s="2" t="inlineStr"/>
    </row>
    <row r="8212" ht="15" customHeight="1">
      <c r="A8212" t="inlineStr">
        <is>
          <t>A 63611-2025</t>
        </is>
      </c>
      <c r="B8212" s="1" t="n">
        <v>46014.34421296296</v>
      </c>
      <c r="C8212" s="1" t="n">
        <v>46086</v>
      </c>
      <c r="D8212" t="inlineStr">
        <is>
          <t>GÄVLEBORGS LÄN</t>
        </is>
      </c>
      <c r="E8212" t="inlineStr">
        <is>
          <t>OCKELBO</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6875-2026</t>
        </is>
      </c>
      <c r="B8213" s="1" t="n">
        <v>46057.45417824074</v>
      </c>
      <c r="C8213" s="1" t="n">
        <v>46086</v>
      </c>
      <c r="D8213" t="inlineStr">
        <is>
          <t>GÄVLEBORGS LÄN</t>
        </is>
      </c>
      <c r="E8213" t="inlineStr">
        <is>
          <t>HUDIKSVALL</t>
        </is>
      </c>
      <c r="F8213" t="inlineStr">
        <is>
          <t>Naturvårdsverket</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6728-2026</t>
        </is>
      </c>
      <c r="B8214" s="1" t="n">
        <v>46056.68302083333</v>
      </c>
      <c r="C8214" s="1" t="n">
        <v>46086</v>
      </c>
      <c r="D8214" t="inlineStr">
        <is>
          <t>GÄVLEBORGS LÄN</t>
        </is>
      </c>
      <c r="E8214" t="inlineStr">
        <is>
          <t>OVANÅKER</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6735-2026</t>
        </is>
      </c>
      <c r="B8215" s="1" t="n">
        <v>46056.69196759259</v>
      </c>
      <c r="C8215" s="1" t="n">
        <v>46086</v>
      </c>
      <c r="D8215" t="inlineStr">
        <is>
          <t>GÄVLEBORGS LÄN</t>
        </is>
      </c>
      <c r="E8215" t="inlineStr">
        <is>
          <t>OVANÅKER</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6744-2026</t>
        </is>
      </c>
      <c r="B8216" s="1" t="n">
        <v>46056.72659722222</v>
      </c>
      <c r="C8216" s="1" t="n">
        <v>46086</v>
      </c>
      <c r="D8216" t="inlineStr">
        <is>
          <t>GÄVLEBORGS LÄN</t>
        </is>
      </c>
      <c r="E8216" t="inlineStr">
        <is>
          <t>BOLLNÄS</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18829-2024</t>
        </is>
      </c>
      <c r="B8217" s="1" t="n">
        <v>45426.64759259259</v>
      </c>
      <c r="C8217" s="1" t="n">
        <v>46086</v>
      </c>
      <c r="D8217" t="inlineStr">
        <is>
          <t>GÄVLEBORGS LÄN</t>
        </is>
      </c>
      <c r="E8217" t="inlineStr">
        <is>
          <t>HUDIKSVALL</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6769-2026</t>
        </is>
      </c>
      <c r="B8218" s="1" t="n">
        <v>46057.27315972222</v>
      </c>
      <c r="C8218" s="1" t="n">
        <v>46086</v>
      </c>
      <c r="D8218" t="inlineStr">
        <is>
          <t>GÄVLEBORGS LÄN</t>
        </is>
      </c>
      <c r="E8218" t="inlineStr">
        <is>
          <t>BOLLNÄS</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6773-2026</t>
        </is>
      </c>
      <c r="B8219" s="1" t="n">
        <v>46057.29446759259</v>
      </c>
      <c r="C8219" s="1" t="n">
        <v>46086</v>
      </c>
      <c r="D8219" t="inlineStr">
        <is>
          <t>GÄVLEBORGS LÄN</t>
        </is>
      </c>
      <c r="E8219" t="inlineStr">
        <is>
          <t>BOLLNÄS</t>
        </is>
      </c>
      <c r="G8219" t="n">
        <v>5</v>
      </c>
      <c r="H8219" t="n">
        <v>0</v>
      </c>
      <c r="I8219" t="n">
        <v>0</v>
      </c>
      <c r="J8219" t="n">
        <v>0</v>
      </c>
      <c r="K8219" t="n">
        <v>0</v>
      </c>
      <c r="L8219" t="n">
        <v>0</v>
      </c>
      <c r="M8219" t="n">
        <v>0</v>
      </c>
      <c r="N8219" t="n">
        <v>0</v>
      </c>
      <c r="O8219" t="n">
        <v>0</v>
      </c>
      <c r="P8219" t="n">
        <v>0</v>
      </c>
      <c r="Q8219" t="n">
        <v>0</v>
      </c>
      <c r="R8219" s="2" t="inlineStr"/>
    </row>
    <row r="8220" ht="15" customHeight="1">
      <c r="A8220" t="inlineStr">
        <is>
          <t>A 6783-2026</t>
        </is>
      </c>
      <c r="B8220" s="1" t="n">
        <v>46057.31099537037</v>
      </c>
      <c r="C8220" s="1" t="n">
        <v>46086</v>
      </c>
      <c r="D8220" t="inlineStr">
        <is>
          <t>GÄVLEBORGS LÄN</t>
        </is>
      </c>
      <c r="E8220" t="inlineStr">
        <is>
          <t>BOLLNÄS</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6793-2026</t>
        </is>
      </c>
      <c r="B8221" s="1" t="n">
        <v>46055</v>
      </c>
      <c r="C8221" s="1" t="n">
        <v>46086</v>
      </c>
      <c r="D8221" t="inlineStr">
        <is>
          <t>GÄVLEBORGS LÄN</t>
        </is>
      </c>
      <c r="E8221" t="inlineStr">
        <is>
          <t>SANDVIKEN</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6822-2026</t>
        </is>
      </c>
      <c r="B8222" s="1" t="n">
        <v>46057.39158564815</v>
      </c>
      <c r="C8222" s="1" t="n">
        <v>46086</v>
      </c>
      <c r="D8222" t="inlineStr">
        <is>
          <t>GÄVLEBORGS LÄN</t>
        </is>
      </c>
      <c r="E8222" t="inlineStr">
        <is>
          <t>HUDIKSVALL</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55523-2024</t>
        </is>
      </c>
      <c r="B8223" s="1" t="n">
        <v>45622.47424768518</v>
      </c>
      <c r="C8223" s="1" t="n">
        <v>46086</v>
      </c>
      <c r="D8223" t="inlineStr">
        <is>
          <t>GÄVLEBORGS LÄN</t>
        </is>
      </c>
      <c r="E8223" t="inlineStr">
        <is>
          <t>NORDANSTIG</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55538-2024</t>
        </is>
      </c>
      <c r="B8224" s="1" t="n">
        <v>45622.49493055556</v>
      </c>
      <c r="C8224" s="1" t="n">
        <v>46086</v>
      </c>
      <c r="D8224" t="inlineStr">
        <is>
          <t>GÄVLEBORGS LÄN</t>
        </is>
      </c>
      <c r="E8224" t="inlineStr">
        <is>
          <t>NORDANSTIG</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1564-2025</t>
        </is>
      </c>
      <c r="B8225" s="1" t="n">
        <v>45667</v>
      </c>
      <c r="C8225" s="1" t="n">
        <v>46086</v>
      </c>
      <c r="D8225" t="inlineStr">
        <is>
          <t>GÄVLEBORGS LÄN</t>
        </is>
      </c>
      <c r="E8225" t="inlineStr">
        <is>
          <t>NORDANSTIG</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1579-2025</t>
        </is>
      </c>
      <c r="B8226" s="1" t="n">
        <v>45670.56143518518</v>
      </c>
      <c r="C8226" s="1" t="n">
        <v>46086</v>
      </c>
      <c r="D8226" t="inlineStr">
        <is>
          <t>GÄVLEBORGS LÄN</t>
        </is>
      </c>
      <c r="E8226" t="inlineStr">
        <is>
          <t>NORDANSTIG</t>
        </is>
      </c>
      <c r="F8226" t="inlineStr">
        <is>
          <t>Holmen skog AB</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6495-2026</t>
        </is>
      </c>
      <c r="B8227" s="1" t="n">
        <v>46056.36020833333</v>
      </c>
      <c r="C8227" s="1" t="n">
        <v>46086</v>
      </c>
      <c r="D8227" t="inlineStr">
        <is>
          <t>GÄVLEBORGS LÄN</t>
        </is>
      </c>
      <c r="E8227" t="inlineStr">
        <is>
          <t>SANDVIKEN</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63431-2021</t>
        </is>
      </c>
      <c r="B8228" s="1" t="n">
        <v>44508.57627314814</v>
      </c>
      <c r="C8228" s="1" t="n">
        <v>46086</v>
      </c>
      <c r="D8228" t="inlineStr">
        <is>
          <t>GÄVLEBORGS LÄN</t>
        </is>
      </c>
      <c r="E8228" t="inlineStr">
        <is>
          <t>SÖDERHAMN</t>
        </is>
      </c>
      <c r="F8228" t="inlineStr">
        <is>
          <t>Bergvik skog väst AB</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16379-2022</t>
        </is>
      </c>
      <c r="B8229" s="1" t="n">
        <v>44671</v>
      </c>
      <c r="C8229" s="1" t="n">
        <v>46086</v>
      </c>
      <c r="D8229" t="inlineStr">
        <is>
          <t>GÄVLEBORGS LÄN</t>
        </is>
      </c>
      <c r="E8229" t="inlineStr">
        <is>
          <t>BOLLNÄS</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6528-2026</t>
        </is>
      </c>
      <c r="B8230" s="1" t="n">
        <v>46056.40777777778</v>
      </c>
      <c r="C8230" s="1" t="n">
        <v>46086</v>
      </c>
      <c r="D8230" t="inlineStr">
        <is>
          <t>GÄVLEBORGS LÄN</t>
        </is>
      </c>
      <c r="E8230" t="inlineStr">
        <is>
          <t>BOLLNÄS</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6537-2026</t>
        </is>
      </c>
      <c r="B8231" s="1" t="n">
        <v>46056.4221412037</v>
      </c>
      <c r="C8231" s="1" t="n">
        <v>46086</v>
      </c>
      <c r="D8231" t="inlineStr">
        <is>
          <t>GÄVLEBORGS LÄN</t>
        </is>
      </c>
      <c r="E8231" t="inlineStr">
        <is>
          <t>BOLLNÄS</t>
        </is>
      </c>
      <c r="G8231" t="n">
        <v>5.4</v>
      </c>
      <c r="H8231" t="n">
        <v>0</v>
      </c>
      <c r="I8231" t="n">
        <v>0</v>
      </c>
      <c r="J8231" t="n">
        <v>0</v>
      </c>
      <c r="K8231" t="n">
        <v>0</v>
      </c>
      <c r="L8231" t="n">
        <v>0</v>
      </c>
      <c r="M8231" t="n">
        <v>0</v>
      </c>
      <c r="N8231" t="n">
        <v>0</v>
      </c>
      <c r="O8231" t="n">
        <v>0</v>
      </c>
      <c r="P8231" t="n">
        <v>0</v>
      </c>
      <c r="Q8231" t="n">
        <v>0</v>
      </c>
      <c r="R8231" s="2" t="inlineStr"/>
    </row>
    <row r="8232" ht="15" customHeight="1">
      <c r="A8232" t="inlineStr">
        <is>
          <t>A 6554-2026</t>
        </is>
      </c>
      <c r="B8232" s="1" t="n">
        <v>46056.43068287037</v>
      </c>
      <c r="C8232" s="1" t="n">
        <v>46086</v>
      </c>
      <c r="D8232" t="inlineStr">
        <is>
          <t>GÄVLEBORGS LÄN</t>
        </is>
      </c>
      <c r="E8232" t="inlineStr">
        <is>
          <t>BOLLNÄS</t>
        </is>
      </c>
      <c r="G8232" t="n">
        <v>3.7</v>
      </c>
      <c r="H8232" t="n">
        <v>0</v>
      </c>
      <c r="I8232" t="n">
        <v>0</v>
      </c>
      <c r="J8232" t="n">
        <v>0</v>
      </c>
      <c r="K8232" t="n">
        <v>0</v>
      </c>
      <c r="L8232" t="n">
        <v>0</v>
      </c>
      <c r="M8232" t="n">
        <v>0</v>
      </c>
      <c r="N8232" t="n">
        <v>0</v>
      </c>
      <c r="O8232" t="n">
        <v>0</v>
      </c>
      <c r="P8232" t="n">
        <v>0</v>
      </c>
      <c r="Q8232" t="n">
        <v>0</v>
      </c>
      <c r="R8232" s="2" t="inlineStr"/>
    </row>
    <row r="8233" ht="15" customHeight="1">
      <c r="A8233" t="inlineStr">
        <is>
          <t>A 56008-2024</t>
        </is>
      </c>
      <c r="B8233" s="1" t="n">
        <v>45623.8034837963</v>
      </c>
      <c r="C8233" s="1" t="n">
        <v>46086</v>
      </c>
      <c r="D8233" t="inlineStr">
        <is>
          <t>GÄVLEBORGS LÄN</t>
        </is>
      </c>
      <c r="E8233" t="inlineStr">
        <is>
          <t>LJUSDAL</t>
        </is>
      </c>
      <c r="G8233" t="n">
        <v>4.1</v>
      </c>
      <c r="H8233" t="n">
        <v>0</v>
      </c>
      <c r="I8233" t="n">
        <v>0</v>
      </c>
      <c r="J8233" t="n">
        <v>0</v>
      </c>
      <c r="K8233" t="n">
        <v>0</v>
      </c>
      <c r="L8233" t="n">
        <v>0</v>
      </c>
      <c r="M8233" t="n">
        <v>0</v>
      </c>
      <c r="N8233" t="n">
        <v>0</v>
      </c>
      <c r="O8233" t="n">
        <v>0</v>
      </c>
      <c r="P8233" t="n">
        <v>0</v>
      </c>
      <c r="Q8233" t="n">
        <v>0</v>
      </c>
      <c r="R8233" s="2" t="inlineStr"/>
    </row>
    <row r="8234" ht="15" customHeight="1">
      <c r="A8234" t="inlineStr">
        <is>
          <t>A 6465-2026</t>
        </is>
      </c>
      <c r="B8234" s="1" t="n">
        <v>46056.31201388889</v>
      </c>
      <c r="C8234" s="1" t="n">
        <v>46086</v>
      </c>
      <c r="D8234" t="inlineStr">
        <is>
          <t>GÄVLEBORGS LÄN</t>
        </is>
      </c>
      <c r="E8234" t="inlineStr">
        <is>
          <t>BOLLNÄS</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6480-2026</t>
        </is>
      </c>
      <c r="B8235" s="1" t="n">
        <v>46056.33554398148</v>
      </c>
      <c r="C8235" s="1" t="n">
        <v>46086</v>
      </c>
      <c r="D8235" t="inlineStr">
        <is>
          <t>GÄVLEBORGS LÄN</t>
        </is>
      </c>
      <c r="E8235" t="inlineStr">
        <is>
          <t>SANDVIKEN</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6478-2026</t>
        </is>
      </c>
      <c r="B8236" s="1" t="n">
        <v>46056.33429398148</v>
      </c>
      <c r="C8236" s="1" t="n">
        <v>46086</v>
      </c>
      <c r="D8236" t="inlineStr">
        <is>
          <t>GÄVLEBORGS LÄN</t>
        </is>
      </c>
      <c r="E8236" t="inlineStr">
        <is>
          <t>SANDVIKEN</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6805-2026</t>
        </is>
      </c>
      <c r="B8237" s="1" t="n">
        <v>46057.36021990741</v>
      </c>
      <c r="C8237" s="1" t="n">
        <v>46086</v>
      </c>
      <c r="D8237" t="inlineStr">
        <is>
          <t>GÄVLEBORGS LÄN</t>
        </is>
      </c>
      <c r="E8237" t="inlineStr">
        <is>
          <t>BOLLNÄS</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58460-2022</t>
        </is>
      </c>
      <c r="B8238" s="1" t="n">
        <v>44902</v>
      </c>
      <c r="C8238" s="1" t="n">
        <v>46086</v>
      </c>
      <c r="D8238" t="inlineStr">
        <is>
          <t>GÄVLEBORGS LÄN</t>
        </is>
      </c>
      <c r="E8238" t="inlineStr">
        <is>
          <t>OVANÅKER</t>
        </is>
      </c>
      <c r="F8238" t="inlineStr">
        <is>
          <t>Bergvik skog väst AB</t>
        </is>
      </c>
      <c r="G8238" t="n">
        <v>3.8</v>
      </c>
      <c r="H8238" t="n">
        <v>0</v>
      </c>
      <c r="I8238" t="n">
        <v>0</v>
      </c>
      <c r="J8238" t="n">
        <v>0</v>
      </c>
      <c r="K8238" t="n">
        <v>0</v>
      </c>
      <c r="L8238" t="n">
        <v>0</v>
      </c>
      <c r="M8238" t="n">
        <v>0</v>
      </c>
      <c r="N8238" t="n">
        <v>0</v>
      </c>
      <c r="O8238" t="n">
        <v>0</v>
      </c>
      <c r="P8238" t="n">
        <v>0</v>
      </c>
      <c r="Q8238" t="n">
        <v>0</v>
      </c>
      <c r="R8238" s="2" t="inlineStr"/>
    </row>
    <row r="8239" ht="15" customHeight="1">
      <c r="A8239" t="inlineStr">
        <is>
          <t>A 7033-2026</t>
        </is>
      </c>
      <c r="B8239" s="1" t="n">
        <v>46057.6845949074</v>
      </c>
      <c r="C8239" s="1" t="n">
        <v>46086</v>
      </c>
      <c r="D8239" t="inlineStr">
        <is>
          <t>GÄVLEBORGS LÄN</t>
        </is>
      </c>
      <c r="E8239" t="inlineStr">
        <is>
          <t>HUDIKSVALL</t>
        </is>
      </c>
      <c r="G8239" t="n">
        <v>4.2</v>
      </c>
      <c r="H8239" t="n">
        <v>0</v>
      </c>
      <c r="I8239" t="n">
        <v>0</v>
      </c>
      <c r="J8239" t="n">
        <v>0</v>
      </c>
      <c r="K8239" t="n">
        <v>0</v>
      </c>
      <c r="L8239" t="n">
        <v>0</v>
      </c>
      <c r="M8239" t="n">
        <v>0</v>
      </c>
      <c r="N8239" t="n">
        <v>0</v>
      </c>
      <c r="O8239" t="n">
        <v>0</v>
      </c>
      <c r="P8239" t="n">
        <v>0</v>
      </c>
      <c r="Q8239" t="n">
        <v>0</v>
      </c>
      <c r="R8239" s="2" t="inlineStr"/>
    </row>
    <row r="8240" ht="15" customHeight="1">
      <c r="A8240" t="inlineStr">
        <is>
          <t>A 6787-2026</t>
        </is>
      </c>
      <c r="B8240" s="1" t="n">
        <v>46057.33519675926</v>
      </c>
      <c r="C8240" s="1" t="n">
        <v>46086</v>
      </c>
      <c r="D8240" t="inlineStr">
        <is>
          <t>GÄVLEBORGS LÄN</t>
        </is>
      </c>
      <c r="E8240" t="inlineStr">
        <is>
          <t>BOLLNÄS</t>
        </is>
      </c>
      <c r="G8240" t="n">
        <v>8</v>
      </c>
      <c r="H8240" t="n">
        <v>0</v>
      </c>
      <c r="I8240" t="n">
        <v>0</v>
      </c>
      <c r="J8240" t="n">
        <v>0</v>
      </c>
      <c r="K8240" t="n">
        <v>0</v>
      </c>
      <c r="L8240" t="n">
        <v>0</v>
      </c>
      <c r="M8240" t="n">
        <v>0</v>
      </c>
      <c r="N8240" t="n">
        <v>0</v>
      </c>
      <c r="O8240" t="n">
        <v>0</v>
      </c>
      <c r="P8240" t="n">
        <v>0</v>
      </c>
      <c r="Q8240" t="n">
        <v>0</v>
      </c>
      <c r="R8240" s="2" t="inlineStr"/>
    </row>
    <row r="8241" ht="15" customHeight="1">
      <c r="A8241" t="inlineStr">
        <is>
          <t>A 6791-2026</t>
        </is>
      </c>
      <c r="B8241" s="1" t="n">
        <v>46057.3409375</v>
      </c>
      <c r="C8241" s="1" t="n">
        <v>46086</v>
      </c>
      <c r="D8241" t="inlineStr">
        <is>
          <t>GÄVLEBORGS LÄN</t>
        </is>
      </c>
      <c r="E8241" t="inlineStr">
        <is>
          <t>BOLLNÄS</t>
        </is>
      </c>
      <c r="G8241" t="n">
        <v>3.9</v>
      </c>
      <c r="H8241" t="n">
        <v>0</v>
      </c>
      <c r="I8241" t="n">
        <v>0</v>
      </c>
      <c r="J8241" t="n">
        <v>0</v>
      </c>
      <c r="K8241" t="n">
        <v>0</v>
      </c>
      <c r="L8241" t="n">
        <v>0</v>
      </c>
      <c r="M8241" t="n">
        <v>0</v>
      </c>
      <c r="N8241" t="n">
        <v>0</v>
      </c>
      <c r="O8241" t="n">
        <v>0</v>
      </c>
      <c r="P8241" t="n">
        <v>0</v>
      </c>
      <c r="Q8241" t="n">
        <v>0</v>
      </c>
      <c r="R8241" s="2" t="inlineStr"/>
    </row>
    <row r="8242" ht="15" customHeight="1">
      <c r="A8242" t="inlineStr">
        <is>
          <t>A 65039-2023</t>
        </is>
      </c>
      <c r="B8242" s="1" t="n">
        <v>45287.48986111111</v>
      </c>
      <c r="C8242" s="1" t="n">
        <v>46086</v>
      </c>
      <c r="D8242" t="inlineStr">
        <is>
          <t>GÄVLEBORGS LÄN</t>
        </is>
      </c>
      <c r="E8242" t="inlineStr">
        <is>
          <t>NORDANSTIG</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6482-2026</t>
        </is>
      </c>
      <c r="B8243" s="1" t="n">
        <v>46056.33789351852</v>
      </c>
      <c r="C8243" s="1" t="n">
        <v>46086</v>
      </c>
      <c r="D8243" t="inlineStr">
        <is>
          <t>GÄVLEBORGS LÄN</t>
        </is>
      </c>
      <c r="E8243" t="inlineStr">
        <is>
          <t>BOLLNÄS</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13531-2021</t>
        </is>
      </c>
      <c r="B8244" s="1" t="n">
        <v>44273.695625</v>
      </c>
      <c r="C8244" s="1" t="n">
        <v>46086</v>
      </c>
      <c r="D8244" t="inlineStr">
        <is>
          <t>GÄVLEBORGS LÄN</t>
        </is>
      </c>
      <c r="E8244" t="inlineStr">
        <is>
          <t>SANDVIKEN</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6538-2026</t>
        </is>
      </c>
      <c r="B8245" s="1" t="n">
        <v>46056.42302083333</v>
      </c>
      <c r="C8245" s="1" t="n">
        <v>46086</v>
      </c>
      <c r="D8245" t="inlineStr">
        <is>
          <t>GÄVLEBORGS LÄN</t>
        </is>
      </c>
      <c r="E8245" t="inlineStr">
        <is>
          <t>BOLLNÄS</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23770-2024</t>
        </is>
      </c>
      <c r="B8246" s="1" t="n">
        <v>45455.38045138889</v>
      </c>
      <c r="C8246" s="1" t="n">
        <v>46086</v>
      </c>
      <c r="D8246" t="inlineStr">
        <is>
          <t>GÄVLEBORGS LÄN</t>
        </is>
      </c>
      <c r="E8246" t="inlineStr">
        <is>
          <t>NORDANSTIG</t>
        </is>
      </c>
      <c r="F8246" t="inlineStr">
        <is>
          <t>Holmen skog AB</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6832-2026</t>
        </is>
      </c>
      <c r="B8247" s="1" t="n">
        <v>46057.40731481482</v>
      </c>
      <c r="C8247" s="1" t="n">
        <v>46086</v>
      </c>
      <c r="D8247" t="inlineStr">
        <is>
          <t>GÄVLEBORGS LÄN</t>
        </is>
      </c>
      <c r="E8247" t="inlineStr">
        <is>
          <t>HUDIKSVALL</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6840-2026</t>
        </is>
      </c>
      <c r="B8248" s="1" t="n">
        <v>46057.41232638889</v>
      </c>
      <c r="C8248" s="1" t="n">
        <v>46086</v>
      </c>
      <c r="D8248" t="inlineStr">
        <is>
          <t>GÄVLEBORGS LÄN</t>
        </is>
      </c>
      <c r="E8248" t="inlineStr">
        <is>
          <t>NORDANSTIG</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6655-2026</t>
        </is>
      </c>
      <c r="B8249" s="1" t="n">
        <v>46056.55835648148</v>
      </c>
      <c r="C8249" s="1" t="n">
        <v>46086</v>
      </c>
      <c r="D8249" t="inlineStr">
        <is>
          <t>GÄVLEBORGS LÄN</t>
        </is>
      </c>
      <c r="E8249" t="inlineStr">
        <is>
          <t>OVANÅKER</t>
        </is>
      </c>
      <c r="G8249" t="n">
        <v>8.300000000000001</v>
      </c>
      <c r="H8249" t="n">
        <v>0</v>
      </c>
      <c r="I8249" t="n">
        <v>0</v>
      </c>
      <c r="J8249" t="n">
        <v>0</v>
      </c>
      <c r="K8249" t="n">
        <v>0</v>
      </c>
      <c r="L8249" t="n">
        <v>0</v>
      </c>
      <c r="M8249" t="n">
        <v>0</v>
      </c>
      <c r="N8249" t="n">
        <v>0</v>
      </c>
      <c r="O8249" t="n">
        <v>0</v>
      </c>
      <c r="P8249" t="n">
        <v>0</v>
      </c>
      <c r="Q8249" t="n">
        <v>0</v>
      </c>
      <c r="R8249" s="2" t="inlineStr"/>
    </row>
    <row r="8250" ht="15" customHeight="1">
      <c r="A8250" t="inlineStr">
        <is>
          <t>A 6677-2026</t>
        </is>
      </c>
      <c r="B8250" s="1" t="n">
        <v>46056.60728009259</v>
      </c>
      <c r="C8250" s="1" t="n">
        <v>46086</v>
      </c>
      <c r="D8250" t="inlineStr">
        <is>
          <t>GÄVLEBORGS LÄN</t>
        </is>
      </c>
      <c r="E8250" t="inlineStr">
        <is>
          <t>OCKELBO</t>
        </is>
      </c>
      <c r="F8250" t="inlineStr">
        <is>
          <t>Bergvik skog väst AB</t>
        </is>
      </c>
      <c r="G8250" t="n">
        <v>9.4</v>
      </c>
      <c r="H8250" t="n">
        <v>0</v>
      </c>
      <c r="I8250" t="n">
        <v>0</v>
      </c>
      <c r="J8250" t="n">
        <v>0</v>
      </c>
      <c r="K8250" t="n">
        <v>0</v>
      </c>
      <c r="L8250" t="n">
        <v>0</v>
      </c>
      <c r="M8250" t="n">
        <v>0</v>
      </c>
      <c r="N8250" t="n">
        <v>0</v>
      </c>
      <c r="O8250" t="n">
        <v>0</v>
      </c>
      <c r="P8250" t="n">
        <v>0</v>
      </c>
      <c r="Q8250" t="n">
        <v>0</v>
      </c>
      <c r="R8250" s="2" t="inlineStr"/>
    </row>
    <row r="8251" ht="15" customHeight="1">
      <c r="A8251" t="inlineStr">
        <is>
          <t>A 6716-2026</t>
        </is>
      </c>
      <c r="B8251" s="1" t="n">
        <v>46056.66236111111</v>
      </c>
      <c r="C8251" s="1" t="n">
        <v>46086</v>
      </c>
      <c r="D8251" t="inlineStr">
        <is>
          <t>GÄVLEBORGS LÄN</t>
        </is>
      </c>
      <c r="E8251" t="inlineStr">
        <is>
          <t>BOLLNÄS</t>
        </is>
      </c>
      <c r="G8251" t="n">
        <v>5.3</v>
      </c>
      <c r="H8251" t="n">
        <v>0</v>
      </c>
      <c r="I8251" t="n">
        <v>0</v>
      </c>
      <c r="J8251" t="n">
        <v>0</v>
      </c>
      <c r="K8251" t="n">
        <v>0</v>
      </c>
      <c r="L8251" t="n">
        <v>0</v>
      </c>
      <c r="M8251" t="n">
        <v>0</v>
      </c>
      <c r="N8251" t="n">
        <v>0</v>
      </c>
      <c r="O8251" t="n">
        <v>0</v>
      </c>
      <c r="P8251" t="n">
        <v>0</v>
      </c>
      <c r="Q8251" t="n">
        <v>0</v>
      </c>
      <c r="R8251" s="2" t="inlineStr"/>
    </row>
    <row r="8252" ht="15" customHeight="1">
      <c r="A8252" t="inlineStr">
        <is>
          <t>A 39916-2021</t>
        </is>
      </c>
      <c r="B8252" s="1" t="n">
        <v>44417.84194444444</v>
      </c>
      <c r="C8252" s="1" t="n">
        <v>46086</v>
      </c>
      <c r="D8252" t="inlineStr">
        <is>
          <t>GÄVLEBORGS LÄN</t>
        </is>
      </c>
      <c r="E8252" t="inlineStr">
        <is>
          <t>SÖDERHAMN</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6496-2026</t>
        </is>
      </c>
      <c r="B8253" s="1" t="n">
        <v>46056.36381944444</v>
      </c>
      <c r="C8253" s="1" t="n">
        <v>46086</v>
      </c>
      <c r="D8253" t="inlineStr">
        <is>
          <t>GÄVLEBORGS LÄN</t>
        </is>
      </c>
      <c r="E8253" t="inlineStr">
        <is>
          <t>OCKELBO</t>
        </is>
      </c>
      <c r="F8253" t="inlineStr">
        <is>
          <t>Bergvik skog väst AB</t>
        </is>
      </c>
      <c r="G8253" t="n">
        <v>31.1</v>
      </c>
      <c r="H8253" t="n">
        <v>0</v>
      </c>
      <c r="I8253" t="n">
        <v>0</v>
      </c>
      <c r="J8253" t="n">
        <v>0</v>
      </c>
      <c r="K8253" t="n">
        <v>0</v>
      </c>
      <c r="L8253" t="n">
        <v>0</v>
      </c>
      <c r="M8253" t="n">
        <v>0</v>
      </c>
      <c r="N8253" t="n">
        <v>0</v>
      </c>
      <c r="O8253" t="n">
        <v>0</v>
      </c>
      <c r="P8253" t="n">
        <v>0</v>
      </c>
      <c r="Q8253" t="n">
        <v>0</v>
      </c>
      <c r="R8253" s="2" t="inlineStr"/>
    </row>
    <row r="8254" ht="15" customHeight="1">
      <c r="A8254" t="inlineStr">
        <is>
          <t>A 6498-2026</t>
        </is>
      </c>
      <c r="B8254" s="1" t="n">
        <v>46056.36636574074</v>
      </c>
      <c r="C8254" s="1" t="n">
        <v>46086</v>
      </c>
      <c r="D8254" t="inlineStr">
        <is>
          <t>GÄVLEBORGS LÄN</t>
        </is>
      </c>
      <c r="E8254" t="inlineStr">
        <is>
          <t>SANDVIKEN</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6505-2026</t>
        </is>
      </c>
      <c r="B8255" s="1" t="n">
        <v>46056.37446759259</v>
      </c>
      <c r="C8255" s="1" t="n">
        <v>46086</v>
      </c>
      <c r="D8255" t="inlineStr">
        <is>
          <t>GÄVLEBORGS LÄN</t>
        </is>
      </c>
      <c r="E8255" t="inlineStr">
        <is>
          <t>BOLLNÄS</t>
        </is>
      </c>
      <c r="G8255" t="n">
        <v>5.7</v>
      </c>
      <c r="H8255" t="n">
        <v>0</v>
      </c>
      <c r="I8255" t="n">
        <v>0</v>
      </c>
      <c r="J8255" t="n">
        <v>0</v>
      </c>
      <c r="K8255" t="n">
        <v>0</v>
      </c>
      <c r="L8255" t="n">
        <v>0</v>
      </c>
      <c r="M8255" t="n">
        <v>0</v>
      </c>
      <c r="N8255" t="n">
        <v>0</v>
      </c>
      <c r="O8255" t="n">
        <v>0</v>
      </c>
      <c r="P8255" t="n">
        <v>0</v>
      </c>
      <c r="Q8255" t="n">
        <v>0</v>
      </c>
      <c r="R8255" s="2" t="inlineStr"/>
    </row>
    <row r="8256" ht="15" customHeight="1">
      <c r="A8256" t="inlineStr">
        <is>
          <t>A 6529-2026</t>
        </is>
      </c>
      <c r="B8256" s="1" t="n">
        <v>46052</v>
      </c>
      <c r="C8256" s="1" t="n">
        <v>46086</v>
      </c>
      <c r="D8256" t="inlineStr">
        <is>
          <t>GÄVLEBORGS LÄN</t>
        </is>
      </c>
      <c r="E8256" t="inlineStr">
        <is>
          <t>OCKELBO</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6531-2026</t>
        </is>
      </c>
      <c r="B8257" s="1" t="n">
        <v>46052</v>
      </c>
      <c r="C8257" s="1" t="n">
        <v>46086</v>
      </c>
      <c r="D8257" t="inlineStr">
        <is>
          <t>GÄVLEBORGS LÄN</t>
        </is>
      </c>
      <c r="E8257" t="inlineStr">
        <is>
          <t>OCKELBO</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6546-2026</t>
        </is>
      </c>
      <c r="B8258" s="1" t="n">
        <v>46056.42814814814</v>
      </c>
      <c r="C8258" s="1" t="n">
        <v>46086</v>
      </c>
      <c r="D8258" t="inlineStr">
        <is>
          <t>GÄVLEBORGS LÄN</t>
        </is>
      </c>
      <c r="E8258" t="inlineStr">
        <is>
          <t>BOLLNÄS</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57196-2025</t>
        </is>
      </c>
      <c r="B8259" s="1" t="n">
        <v>45979</v>
      </c>
      <c r="C8259" s="1" t="n">
        <v>46086</v>
      </c>
      <c r="D8259" t="inlineStr">
        <is>
          <t>GÄVLEBORGS LÄN</t>
        </is>
      </c>
      <c r="E8259" t="inlineStr">
        <is>
          <t>BOLLNÄS</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62095-2023</t>
        </is>
      </c>
      <c r="B8260" s="1" t="n">
        <v>45266</v>
      </c>
      <c r="C8260" s="1" t="n">
        <v>46086</v>
      </c>
      <c r="D8260" t="inlineStr">
        <is>
          <t>GÄVLEBORGS LÄN</t>
        </is>
      </c>
      <c r="E8260" t="inlineStr">
        <is>
          <t>LJUSDAL</t>
        </is>
      </c>
      <c r="G8260" t="n">
        <v>0.2</v>
      </c>
      <c r="H8260" t="n">
        <v>0</v>
      </c>
      <c r="I8260" t="n">
        <v>0</v>
      </c>
      <c r="J8260" t="n">
        <v>0</v>
      </c>
      <c r="K8260" t="n">
        <v>0</v>
      </c>
      <c r="L8260" t="n">
        <v>0</v>
      </c>
      <c r="M8260" t="n">
        <v>0</v>
      </c>
      <c r="N8260" t="n">
        <v>0</v>
      </c>
      <c r="O8260" t="n">
        <v>0</v>
      </c>
      <c r="P8260" t="n">
        <v>0</v>
      </c>
      <c r="Q8260" t="n">
        <v>0</v>
      </c>
      <c r="R8260" s="2" t="inlineStr"/>
    </row>
    <row r="8261" ht="15" customHeight="1">
      <c r="A8261" t="inlineStr">
        <is>
          <t>A 4494-2026</t>
        </is>
      </c>
      <c r="B8261" s="1" t="n">
        <v>46045</v>
      </c>
      <c r="C8261" s="1" t="n">
        <v>46086</v>
      </c>
      <c r="D8261" t="inlineStr">
        <is>
          <t>GÄVLEBORGS LÄN</t>
        </is>
      </c>
      <c r="E8261" t="inlineStr">
        <is>
          <t>SANDVIKEN</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6557-2026</t>
        </is>
      </c>
      <c r="B8262" s="1" t="n">
        <v>46056.43421296297</v>
      </c>
      <c r="C8262" s="1" t="n">
        <v>46086</v>
      </c>
      <c r="D8262" t="inlineStr">
        <is>
          <t>GÄVLEBORGS LÄN</t>
        </is>
      </c>
      <c r="E8262" t="inlineStr">
        <is>
          <t>BOLLNÄS</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68730-2021</t>
        </is>
      </c>
      <c r="B8263" s="1" t="n">
        <v>44529.78263888889</v>
      </c>
      <c r="C8263" s="1" t="n">
        <v>46086</v>
      </c>
      <c r="D8263" t="inlineStr">
        <is>
          <t>GÄVLEBORGS LÄN</t>
        </is>
      </c>
      <c r="E8263" t="inlineStr">
        <is>
          <t>HUDIKSVALL</t>
        </is>
      </c>
      <c r="G8263" t="n">
        <v>4.4</v>
      </c>
      <c r="H8263" t="n">
        <v>0</v>
      </c>
      <c r="I8263" t="n">
        <v>0</v>
      </c>
      <c r="J8263" t="n">
        <v>0</v>
      </c>
      <c r="K8263" t="n">
        <v>0</v>
      </c>
      <c r="L8263" t="n">
        <v>0</v>
      </c>
      <c r="M8263" t="n">
        <v>0</v>
      </c>
      <c r="N8263" t="n">
        <v>0</v>
      </c>
      <c r="O8263" t="n">
        <v>0</v>
      </c>
      <c r="P8263" t="n">
        <v>0</v>
      </c>
      <c r="Q8263" t="n">
        <v>0</v>
      </c>
      <c r="R8263" s="2" t="inlineStr"/>
    </row>
    <row r="8264" ht="15" customHeight="1">
      <c r="A8264" t="inlineStr">
        <is>
          <t>A 63583-2025</t>
        </is>
      </c>
      <c r="B8264" s="1" t="n">
        <v>46013.75712962963</v>
      </c>
      <c r="C8264" s="1" t="n">
        <v>46086</v>
      </c>
      <c r="D8264" t="inlineStr">
        <is>
          <t>GÄVLEBORGS LÄN</t>
        </is>
      </c>
      <c r="E8264" t="inlineStr">
        <is>
          <t>LJUSDAL</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63688-2025</t>
        </is>
      </c>
      <c r="B8265" s="1" t="n">
        <v>46014.53758101852</v>
      </c>
      <c r="C8265" s="1" t="n">
        <v>46086</v>
      </c>
      <c r="D8265" t="inlineStr">
        <is>
          <t>GÄVLEBORGS LÄN</t>
        </is>
      </c>
      <c r="E8265" t="inlineStr">
        <is>
          <t>OVANÅKER</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13805-2022</t>
        </is>
      </c>
      <c r="B8266" s="1" t="n">
        <v>44649.58061342593</v>
      </c>
      <c r="C8266" s="1" t="n">
        <v>46086</v>
      </c>
      <c r="D8266" t="inlineStr">
        <is>
          <t>GÄVLEBORGS LÄN</t>
        </is>
      </c>
      <c r="E8266" t="inlineStr">
        <is>
          <t>SÖDERHAMN</t>
        </is>
      </c>
      <c r="G8266" t="n">
        <v>4.1</v>
      </c>
      <c r="H8266" t="n">
        <v>0</v>
      </c>
      <c r="I8266" t="n">
        <v>0</v>
      </c>
      <c r="J8266" t="n">
        <v>0</v>
      </c>
      <c r="K8266" t="n">
        <v>0</v>
      </c>
      <c r="L8266" t="n">
        <v>0</v>
      </c>
      <c r="M8266" t="n">
        <v>0</v>
      </c>
      <c r="N8266" t="n">
        <v>0</v>
      </c>
      <c r="O8266" t="n">
        <v>0</v>
      </c>
      <c r="P8266" t="n">
        <v>0</v>
      </c>
      <c r="Q8266" t="n">
        <v>0</v>
      </c>
      <c r="R8266" s="2" t="inlineStr"/>
    </row>
    <row r="8267" ht="15" customHeight="1">
      <c r="A8267" t="inlineStr">
        <is>
          <t>A 54817-2022</t>
        </is>
      </c>
      <c r="B8267" s="1" t="n">
        <v>44883.78270833333</v>
      </c>
      <c r="C8267" s="1" t="n">
        <v>46086</v>
      </c>
      <c r="D8267" t="inlineStr">
        <is>
          <t>GÄVLEBORGS LÄN</t>
        </is>
      </c>
      <c r="E8267" t="inlineStr">
        <is>
          <t>OCKELBO</t>
        </is>
      </c>
      <c r="F8267" t="inlineStr">
        <is>
          <t>Bergvik skog väst AB</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63691-2025</t>
        </is>
      </c>
      <c r="B8268" s="1" t="n">
        <v>46014.54289351852</v>
      </c>
      <c r="C8268" s="1" t="n">
        <v>46086</v>
      </c>
      <c r="D8268" t="inlineStr">
        <is>
          <t>GÄVLEBORGS LÄN</t>
        </is>
      </c>
      <c r="E8268" t="inlineStr">
        <is>
          <t>OVANÅKER</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14088-2025</t>
        </is>
      </c>
      <c r="B8269" s="1" t="n">
        <v>45740.44287037037</v>
      </c>
      <c r="C8269" s="1" t="n">
        <v>46086</v>
      </c>
      <c r="D8269" t="inlineStr">
        <is>
          <t>GÄVLEBORGS LÄN</t>
        </is>
      </c>
      <c r="E8269" t="inlineStr">
        <is>
          <t>HUDIKSVALL</t>
        </is>
      </c>
      <c r="G8269" t="n">
        <v>12.8</v>
      </c>
      <c r="H8269" t="n">
        <v>0</v>
      </c>
      <c r="I8269" t="n">
        <v>0</v>
      </c>
      <c r="J8269" t="n">
        <v>0</v>
      </c>
      <c r="K8269" t="n">
        <v>0</v>
      </c>
      <c r="L8269" t="n">
        <v>0</v>
      </c>
      <c r="M8269" t="n">
        <v>0</v>
      </c>
      <c r="N8269" t="n">
        <v>0</v>
      </c>
      <c r="O8269" t="n">
        <v>0</v>
      </c>
      <c r="P8269" t="n">
        <v>0</v>
      </c>
      <c r="Q8269" t="n">
        <v>0</v>
      </c>
      <c r="R8269" s="2" t="inlineStr"/>
    </row>
    <row r="8270" ht="15" customHeight="1">
      <c r="A8270" t="inlineStr">
        <is>
          <t>A 6457-2026</t>
        </is>
      </c>
      <c r="B8270" s="1" t="n">
        <v>46056.26053240741</v>
      </c>
      <c r="C8270" s="1" t="n">
        <v>46086</v>
      </c>
      <c r="D8270" t="inlineStr">
        <is>
          <t>GÄVLEBORGS LÄN</t>
        </is>
      </c>
      <c r="E8270" t="inlineStr">
        <is>
          <t>BOLLNÄS</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6458-2026</t>
        </is>
      </c>
      <c r="B8271" s="1" t="n">
        <v>46056.26859953703</v>
      </c>
      <c r="C8271" s="1" t="n">
        <v>46086</v>
      </c>
      <c r="D8271" t="inlineStr">
        <is>
          <t>GÄVLEBORGS LÄN</t>
        </is>
      </c>
      <c r="E8271" t="inlineStr">
        <is>
          <t>BOLLNÄS</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47924-2021</t>
        </is>
      </c>
      <c r="B8272" s="1" t="n">
        <v>44448</v>
      </c>
      <c r="C8272" s="1" t="n">
        <v>46086</v>
      </c>
      <c r="D8272" t="inlineStr">
        <is>
          <t>GÄVLEBORGS LÄN</t>
        </is>
      </c>
      <c r="E8272" t="inlineStr">
        <is>
          <t>LJUSDAL</t>
        </is>
      </c>
      <c r="G8272" t="n">
        <v>6</v>
      </c>
      <c r="H8272" t="n">
        <v>0</v>
      </c>
      <c r="I8272" t="n">
        <v>0</v>
      </c>
      <c r="J8272" t="n">
        <v>0</v>
      </c>
      <c r="K8272" t="n">
        <v>0</v>
      </c>
      <c r="L8272" t="n">
        <v>0</v>
      </c>
      <c r="M8272" t="n">
        <v>0</v>
      </c>
      <c r="N8272" t="n">
        <v>0</v>
      </c>
      <c r="O8272" t="n">
        <v>0</v>
      </c>
      <c r="P8272" t="n">
        <v>0</v>
      </c>
      <c r="Q8272" t="n">
        <v>0</v>
      </c>
      <c r="R8272" s="2" t="inlineStr"/>
    </row>
    <row r="8273" ht="15" customHeight="1">
      <c r="A8273" t="inlineStr">
        <is>
          <t>A 15668-2025</t>
        </is>
      </c>
      <c r="B8273" s="1" t="n">
        <v>45748.4383912037</v>
      </c>
      <c r="C8273" s="1" t="n">
        <v>46086</v>
      </c>
      <c r="D8273" t="inlineStr">
        <is>
          <t>GÄVLEBORGS LÄN</t>
        </is>
      </c>
      <c r="E8273" t="inlineStr">
        <is>
          <t>BOLLNÄS</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15671-2025</t>
        </is>
      </c>
      <c r="B8274" s="1" t="n">
        <v>45748.44193287037</v>
      </c>
      <c r="C8274" s="1" t="n">
        <v>46086</v>
      </c>
      <c r="D8274" t="inlineStr">
        <is>
          <t>GÄVLEBORGS LÄN</t>
        </is>
      </c>
      <c r="E8274" t="inlineStr">
        <is>
          <t>BOLLNÄS</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15682-2025</t>
        </is>
      </c>
      <c r="B8275" s="1" t="n">
        <v>45748.45584490741</v>
      </c>
      <c r="C8275" s="1" t="n">
        <v>46086</v>
      </c>
      <c r="D8275" t="inlineStr">
        <is>
          <t>GÄVLEBORGS LÄN</t>
        </is>
      </c>
      <c r="E8275" t="inlineStr">
        <is>
          <t>SÖDERHAMN</t>
        </is>
      </c>
      <c r="G8275" t="n">
        <v>3.7</v>
      </c>
      <c r="H8275" t="n">
        <v>0</v>
      </c>
      <c r="I8275" t="n">
        <v>0</v>
      </c>
      <c r="J8275" t="n">
        <v>0</v>
      </c>
      <c r="K8275" t="n">
        <v>0</v>
      </c>
      <c r="L8275" t="n">
        <v>0</v>
      </c>
      <c r="M8275" t="n">
        <v>0</v>
      </c>
      <c r="N8275" t="n">
        <v>0</v>
      </c>
      <c r="O8275" t="n">
        <v>0</v>
      </c>
      <c r="P8275" t="n">
        <v>0</v>
      </c>
      <c r="Q8275" t="n">
        <v>0</v>
      </c>
      <c r="R8275" s="2" t="inlineStr"/>
    </row>
    <row r="8276" ht="15" customHeight="1">
      <c r="A8276" t="inlineStr">
        <is>
          <t>A 6598-2026</t>
        </is>
      </c>
      <c r="B8276" s="1" t="n">
        <v>46056.46603009259</v>
      </c>
      <c r="C8276" s="1" t="n">
        <v>46086</v>
      </c>
      <c r="D8276" t="inlineStr">
        <is>
          <t>GÄVLEBORGS LÄN</t>
        </is>
      </c>
      <c r="E8276" t="inlineStr">
        <is>
          <t>OCKELBO</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6661-2026</t>
        </is>
      </c>
      <c r="B8277" s="1" t="n">
        <v>46056.57664351852</v>
      </c>
      <c r="C8277" s="1" t="n">
        <v>46086</v>
      </c>
      <c r="D8277" t="inlineStr">
        <is>
          <t>GÄVLEBORGS LÄN</t>
        </is>
      </c>
      <c r="E8277" t="inlineStr">
        <is>
          <t>OCKELBO</t>
        </is>
      </c>
      <c r="G8277" t="n">
        <v>4.4</v>
      </c>
      <c r="H8277" t="n">
        <v>0</v>
      </c>
      <c r="I8277" t="n">
        <v>0</v>
      </c>
      <c r="J8277" t="n">
        <v>0</v>
      </c>
      <c r="K8277" t="n">
        <v>0</v>
      </c>
      <c r="L8277" t="n">
        <v>0</v>
      </c>
      <c r="M8277" t="n">
        <v>0</v>
      </c>
      <c r="N8277" t="n">
        <v>0</v>
      </c>
      <c r="O8277" t="n">
        <v>0</v>
      </c>
      <c r="P8277" t="n">
        <v>0</v>
      </c>
      <c r="Q8277" t="n">
        <v>0</v>
      </c>
      <c r="R8277" s="2" t="inlineStr"/>
    </row>
    <row r="8278" ht="15" customHeight="1">
      <c r="A8278" t="inlineStr">
        <is>
          <t>A 6663-2026</t>
        </is>
      </c>
      <c r="B8278" s="1" t="n">
        <v>46056</v>
      </c>
      <c r="C8278" s="1" t="n">
        <v>46086</v>
      </c>
      <c r="D8278" t="inlineStr">
        <is>
          <t>GÄVLEBORGS LÄN</t>
        </is>
      </c>
      <c r="E8278" t="inlineStr">
        <is>
          <t>HUDIKSVALL</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6759-2026</t>
        </is>
      </c>
      <c r="B8279" s="1" t="n">
        <v>46056.83179398148</v>
      </c>
      <c r="C8279" s="1" t="n">
        <v>46086</v>
      </c>
      <c r="D8279" t="inlineStr">
        <is>
          <t>GÄVLEBORGS LÄN</t>
        </is>
      </c>
      <c r="E8279" t="inlineStr">
        <is>
          <t>BOLLNÄS</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14783-2025</t>
        </is>
      </c>
      <c r="B8280" s="1" t="n">
        <v>45742.73994212963</v>
      </c>
      <c r="C8280" s="1" t="n">
        <v>46086</v>
      </c>
      <c r="D8280" t="inlineStr">
        <is>
          <t>GÄVLEBORGS LÄN</t>
        </is>
      </c>
      <c r="E8280" t="inlineStr">
        <is>
          <t>GÄVLE</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15687-2025</t>
        </is>
      </c>
      <c r="B8281" s="1" t="n">
        <v>45748.46032407408</v>
      </c>
      <c r="C8281" s="1" t="n">
        <v>46086</v>
      </c>
      <c r="D8281" t="inlineStr">
        <is>
          <t>GÄVLEBORGS LÄN</t>
        </is>
      </c>
      <c r="E8281" t="inlineStr">
        <is>
          <t>BOLLNÄS</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63653-2025</t>
        </is>
      </c>
      <c r="B8282" s="1" t="n">
        <v>46014.44008101852</v>
      </c>
      <c r="C8282" s="1" t="n">
        <v>46086</v>
      </c>
      <c r="D8282" t="inlineStr">
        <is>
          <t>GÄVLEBORGS LÄN</t>
        </is>
      </c>
      <c r="E8282" t="inlineStr">
        <is>
          <t>LJUSDAL</t>
        </is>
      </c>
      <c r="G8282" t="n">
        <v>3.7</v>
      </c>
      <c r="H8282" t="n">
        <v>0</v>
      </c>
      <c r="I8282" t="n">
        <v>0</v>
      </c>
      <c r="J8282" t="n">
        <v>0</v>
      </c>
      <c r="K8282" t="n">
        <v>0</v>
      </c>
      <c r="L8282" t="n">
        <v>0</v>
      </c>
      <c r="M8282" t="n">
        <v>0</v>
      </c>
      <c r="N8282" t="n">
        <v>0</v>
      </c>
      <c r="O8282" t="n">
        <v>0</v>
      </c>
      <c r="P8282" t="n">
        <v>0</v>
      </c>
      <c r="Q8282" t="n">
        <v>0</v>
      </c>
      <c r="R8282" s="2" t="inlineStr"/>
    </row>
    <row r="8283" ht="15" customHeight="1">
      <c r="A8283" t="inlineStr">
        <is>
          <t>A 61711-2023</t>
        </is>
      </c>
      <c r="B8283" s="1" t="n">
        <v>45265.66679398148</v>
      </c>
      <c r="C8283" s="1" t="n">
        <v>46086</v>
      </c>
      <c r="D8283" t="inlineStr">
        <is>
          <t>GÄVLEBORGS LÄN</t>
        </is>
      </c>
      <c r="E8283" t="inlineStr">
        <is>
          <t>BOLLNÄS</t>
        </is>
      </c>
      <c r="G8283" t="n">
        <v>7.1</v>
      </c>
      <c r="H8283" t="n">
        <v>0</v>
      </c>
      <c r="I8283" t="n">
        <v>0</v>
      </c>
      <c r="J8283" t="n">
        <v>0</v>
      </c>
      <c r="K8283" t="n">
        <v>0</v>
      </c>
      <c r="L8283" t="n">
        <v>0</v>
      </c>
      <c r="M8283" t="n">
        <v>0</v>
      </c>
      <c r="N8283" t="n">
        <v>0</v>
      </c>
      <c r="O8283" t="n">
        <v>0</v>
      </c>
      <c r="P8283" t="n">
        <v>0</v>
      </c>
      <c r="Q8283" t="n">
        <v>0</v>
      </c>
      <c r="R8283" s="2" t="inlineStr"/>
    </row>
    <row r="8284" ht="15" customHeight="1">
      <c r="A8284" t="inlineStr">
        <is>
          <t>A 6570-2026</t>
        </is>
      </c>
      <c r="B8284" s="1" t="n">
        <v>46056.44278935185</v>
      </c>
      <c r="C8284" s="1" t="n">
        <v>46086</v>
      </c>
      <c r="D8284" t="inlineStr">
        <is>
          <t>GÄVLEBORGS LÄN</t>
        </is>
      </c>
      <c r="E8284" t="inlineStr">
        <is>
          <t>BOLLNÄS</t>
        </is>
      </c>
      <c r="G8284" t="n">
        <v>4.8</v>
      </c>
      <c r="H8284" t="n">
        <v>0</v>
      </c>
      <c r="I8284" t="n">
        <v>0</v>
      </c>
      <c r="J8284" t="n">
        <v>0</v>
      </c>
      <c r="K8284" t="n">
        <v>0</v>
      </c>
      <c r="L8284" t="n">
        <v>0</v>
      </c>
      <c r="M8284" t="n">
        <v>0</v>
      </c>
      <c r="N8284" t="n">
        <v>0</v>
      </c>
      <c r="O8284" t="n">
        <v>0</v>
      </c>
      <c r="P8284" t="n">
        <v>0</v>
      </c>
      <c r="Q8284" t="n">
        <v>0</v>
      </c>
      <c r="R8284" s="2" t="inlineStr"/>
    </row>
    <row r="8285" ht="15" customHeight="1">
      <c r="A8285" t="inlineStr">
        <is>
          <t>A 6555-2026</t>
        </is>
      </c>
      <c r="B8285" s="1" t="n">
        <v>46056.4308912037</v>
      </c>
      <c r="C8285" s="1" t="n">
        <v>46086</v>
      </c>
      <c r="D8285" t="inlineStr">
        <is>
          <t>GÄVLEBORGS LÄN</t>
        </is>
      </c>
      <c r="E8285" t="inlineStr">
        <is>
          <t>SANDVIKEN</t>
        </is>
      </c>
      <c r="F8285" t="inlineStr">
        <is>
          <t>Kommuner</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5892-2022</t>
        </is>
      </c>
      <c r="B8286" s="1" t="n">
        <v>44596</v>
      </c>
      <c r="C8286" s="1" t="n">
        <v>46086</v>
      </c>
      <c r="D8286" t="inlineStr">
        <is>
          <t>GÄVLEBORGS LÄN</t>
        </is>
      </c>
      <c r="E8286" t="inlineStr">
        <is>
          <t>NORDANSTIG</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6562-2026</t>
        </is>
      </c>
      <c r="B8287" s="1" t="n">
        <v>46056.43694444445</v>
      </c>
      <c r="C8287" s="1" t="n">
        <v>46086</v>
      </c>
      <c r="D8287" t="inlineStr">
        <is>
          <t>GÄVLEBORGS LÄN</t>
        </is>
      </c>
      <c r="E8287" t="inlineStr">
        <is>
          <t>BOLLNÄS</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6564-2026</t>
        </is>
      </c>
      <c r="B8288" s="1" t="n">
        <v>46056.43815972222</v>
      </c>
      <c r="C8288" s="1" t="n">
        <v>46086</v>
      </c>
      <c r="D8288" t="inlineStr">
        <is>
          <t>GÄVLEBORGS LÄN</t>
        </is>
      </c>
      <c r="E8288" t="inlineStr">
        <is>
          <t>BOLLNÄS</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1996-2025</t>
        </is>
      </c>
      <c r="B8289" s="1" t="n">
        <v>45672.4428125</v>
      </c>
      <c r="C8289" s="1" t="n">
        <v>46086</v>
      </c>
      <c r="D8289" t="inlineStr">
        <is>
          <t>GÄVLEBORGS LÄN</t>
        </is>
      </c>
      <c r="E8289" t="inlineStr">
        <is>
          <t>BOLLNÄS</t>
        </is>
      </c>
      <c r="G8289" t="n">
        <v>3.3</v>
      </c>
      <c r="H8289" t="n">
        <v>0</v>
      </c>
      <c r="I8289" t="n">
        <v>0</v>
      </c>
      <c r="J8289" t="n">
        <v>0</v>
      </c>
      <c r="K8289" t="n">
        <v>0</v>
      </c>
      <c r="L8289" t="n">
        <v>0</v>
      </c>
      <c r="M8289" t="n">
        <v>0</v>
      </c>
      <c r="N8289" t="n">
        <v>0</v>
      </c>
      <c r="O8289" t="n">
        <v>0</v>
      </c>
      <c r="P8289" t="n">
        <v>0</v>
      </c>
      <c r="Q8289" t="n">
        <v>0</v>
      </c>
      <c r="R8289" s="2" t="inlineStr"/>
    </row>
    <row r="8290" ht="15" customHeight="1">
      <c r="A8290" t="inlineStr">
        <is>
          <t>A 35061-2024</t>
        </is>
      </c>
      <c r="B8290" s="1" t="n">
        <v>45527.65628472222</v>
      </c>
      <c r="C8290" s="1" t="n">
        <v>46086</v>
      </c>
      <c r="D8290" t="inlineStr">
        <is>
          <t>GÄVLEBORGS LÄN</t>
        </is>
      </c>
      <c r="E8290" t="inlineStr">
        <is>
          <t>HUDIKSVALL</t>
        </is>
      </c>
      <c r="F8290" t="inlineStr">
        <is>
          <t>Holmen skog AB</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2932-2024</t>
        </is>
      </c>
      <c r="B8291" s="1" t="n">
        <v>45315.59603009259</v>
      </c>
      <c r="C8291" s="1" t="n">
        <v>46086</v>
      </c>
      <c r="D8291" t="inlineStr">
        <is>
          <t>GÄVLEBORGS LÄN</t>
        </is>
      </c>
      <c r="E8291" t="inlineStr">
        <is>
          <t>BOLLNÄS</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37146-2024</t>
        </is>
      </c>
      <c r="B8292" s="1" t="n">
        <v>45539.6021875</v>
      </c>
      <c r="C8292" s="1" t="n">
        <v>46086</v>
      </c>
      <c r="D8292" t="inlineStr">
        <is>
          <t>GÄVLEBORGS LÄN</t>
        </is>
      </c>
      <c r="E8292" t="inlineStr">
        <is>
          <t>GÄVLE</t>
        </is>
      </c>
      <c r="G8292" t="n">
        <v>9.4</v>
      </c>
      <c r="H8292" t="n">
        <v>0</v>
      </c>
      <c r="I8292" t="n">
        <v>0</v>
      </c>
      <c r="J8292" t="n">
        <v>0</v>
      </c>
      <c r="K8292" t="n">
        <v>0</v>
      </c>
      <c r="L8292" t="n">
        <v>0</v>
      </c>
      <c r="M8292" t="n">
        <v>0</v>
      </c>
      <c r="N8292" t="n">
        <v>0</v>
      </c>
      <c r="O8292" t="n">
        <v>0</v>
      </c>
      <c r="P8292" t="n">
        <v>0</v>
      </c>
      <c r="Q8292" t="n">
        <v>0</v>
      </c>
      <c r="R8292" s="2" t="inlineStr"/>
    </row>
    <row r="8293" ht="15" customHeight="1">
      <c r="A8293" t="inlineStr">
        <is>
          <t>A 6912-2026</t>
        </is>
      </c>
      <c r="B8293" s="1" t="n">
        <v>46057.51216435185</v>
      </c>
      <c r="C8293" s="1" t="n">
        <v>46086</v>
      </c>
      <c r="D8293" t="inlineStr">
        <is>
          <t>GÄVLEBORGS LÄN</t>
        </is>
      </c>
      <c r="E8293" t="inlineStr">
        <is>
          <t>OVANÅKER</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25204-2024</t>
        </is>
      </c>
      <c r="B8294" s="1" t="n">
        <v>45462.57364583333</v>
      </c>
      <c r="C8294" s="1" t="n">
        <v>46086</v>
      </c>
      <c r="D8294" t="inlineStr">
        <is>
          <t>GÄVLEBORGS LÄN</t>
        </is>
      </c>
      <c r="E8294" t="inlineStr">
        <is>
          <t>LJUSDAL</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31317-2023</t>
        </is>
      </c>
      <c r="B8295" s="1" t="n">
        <v>45103</v>
      </c>
      <c r="C8295" s="1" t="n">
        <v>46086</v>
      </c>
      <c r="D8295" t="inlineStr">
        <is>
          <t>GÄVLEBORGS LÄN</t>
        </is>
      </c>
      <c r="E8295" t="inlineStr">
        <is>
          <t>SANDVIKEN</t>
        </is>
      </c>
      <c r="G8295" t="n">
        <v>0.4</v>
      </c>
      <c r="H8295" t="n">
        <v>0</v>
      </c>
      <c r="I8295" t="n">
        <v>0</v>
      </c>
      <c r="J8295" t="n">
        <v>0</v>
      </c>
      <c r="K8295" t="n">
        <v>0</v>
      </c>
      <c r="L8295" t="n">
        <v>0</v>
      </c>
      <c r="M8295" t="n">
        <v>0</v>
      </c>
      <c r="N8295" t="n">
        <v>0</v>
      </c>
      <c r="O8295" t="n">
        <v>0</v>
      </c>
      <c r="P8295" t="n">
        <v>0</v>
      </c>
      <c r="Q8295" t="n">
        <v>0</v>
      </c>
      <c r="R8295" s="2" t="inlineStr"/>
    </row>
    <row r="8296" ht="15" customHeight="1">
      <c r="A8296" t="inlineStr">
        <is>
          <t>A 14498-2023</t>
        </is>
      </c>
      <c r="B8296" s="1" t="n">
        <v>45012</v>
      </c>
      <c r="C8296" s="1" t="n">
        <v>46086</v>
      </c>
      <c r="D8296" t="inlineStr">
        <is>
          <t>GÄVLEBORGS LÄN</t>
        </is>
      </c>
      <c r="E8296" t="inlineStr">
        <is>
          <t>SÖDERHAMN</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7009-2026</t>
        </is>
      </c>
      <c r="B8297" s="1" t="n">
        <v>46057.63962962963</v>
      </c>
      <c r="C8297" s="1" t="n">
        <v>46086</v>
      </c>
      <c r="D8297" t="inlineStr">
        <is>
          <t>GÄVLEBORGS LÄN</t>
        </is>
      </c>
      <c r="E8297" t="inlineStr">
        <is>
          <t>SANDVIKEN</t>
        </is>
      </c>
      <c r="F8297" t="inlineStr">
        <is>
          <t>Naturvårdsverket</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11653-2024</t>
        </is>
      </c>
      <c r="B8298" s="1" t="n">
        <v>45373.53380787037</v>
      </c>
      <c r="C8298" s="1" t="n">
        <v>46086</v>
      </c>
      <c r="D8298" t="inlineStr">
        <is>
          <t>GÄVLEBORGS LÄN</t>
        </is>
      </c>
      <c r="E8298" t="inlineStr">
        <is>
          <t>SÖDERHAMN</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11684-2024</t>
        </is>
      </c>
      <c r="B8299" s="1" t="n">
        <v>45373.58568287037</v>
      </c>
      <c r="C8299" s="1" t="n">
        <v>46086</v>
      </c>
      <c r="D8299" t="inlineStr">
        <is>
          <t>GÄVLEBORGS LÄN</t>
        </is>
      </c>
      <c r="E8299" t="inlineStr">
        <is>
          <t>OVANÅKER</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27179-2023</t>
        </is>
      </c>
      <c r="B8300" s="1" t="n">
        <v>45096.52631944444</v>
      </c>
      <c r="C8300" s="1" t="n">
        <v>46086</v>
      </c>
      <c r="D8300" t="inlineStr">
        <is>
          <t>GÄVLEBORGS LÄN</t>
        </is>
      </c>
      <c r="E8300" t="inlineStr">
        <is>
          <t>BOLLNÄS</t>
        </is>
      </c>
      <c r="G8300" t="n">
        <v>3.7</v>
      </c>
      <c r="H8300" t="n">
        <v>0</v>
      </c>
      <c r="I8300" t="n">
        <v>0</v>
      </c>
      <c r="J8300" t="n">
        <v>0</v>
      </c>
      <c r="K8300" t="n">
        <v>0</v>
      </c>
      <c r="L8300" t="n">
        <v>0</v>
      </c>
      <c r="M8300" t="n">
        <v>0</v>
      </c>
      <c r="N8300" t="n">
        <v>0</v>
      </c>
      <c r="O8300" t="n">
        <v>0</v>
      </c>
      <c r="P8300" t="n">
        <v>0</v>
      </c>
      <c r="Q8300" t="n">
        <v>0</v>
      </c>
      <c r="R8300" s="2" t="inlineStr"/>
    </row>
    <row r="8301" ht="15" customHeight="1">
      <c r="A8301" t="inlineStr">
        <is>
          <t>A 6498-2025</t>
        </is>
      </c>
      <c r="B8301" s="1" t="n">
        <v>45699.63789351852</v>
      </c>
      <c r="C8301" s="1" t="n">
        <v>46086</v>
      </c>
      <c r="D8301" t="inlineStr">
        <is>
          <t>GÄVLEBORGS LÄN</t>
        </is>
      </c>
      <c r="E8301" t="inlineStr">
        <is>
          <t>LJUSDAL</t>
        </is>
      </c>
      <c r="F8301" t="inlineStr">
        <is>
          <t>Holmen skog AB</t>
        </is>
      </c>
      <c r="G8301" t="n">
        <v>9.199999999999999</v>
      </c>
      <c r="H8301" t="n">
        <v>0</v>
      </c>
      <c r="I8301" t="n">
        <v>0</v>
      </c>
      <c r="J8301" t="n">
        <v>0</v>
      </c>
      <c r="K8301" t="n">
        <v>0</v>
      </c>
      <c r="L8301" t="n">
        <v>0</v>
      </c>
      <c r="M8301" t="n">
        <v>0</v>
      </c>
      <c r="N8301" t="n">
        <v>0</v>
      </c>
      <c r="O8301" t="n">
        <v>0</v>
      </c>
      <c r="P8301" t="n">
        <v>0</v>
      </c>
      <c r="Q8301" t="n">
        <v>0</v>
      </c>
      <c r="R8301" s="2" t="inlineStr"/>
    </row>
    <row r="8302" ht="15" customHeight="1">
      <c r="A8302" t="inlineStr">
        <is>
          <t>A 6763-2026</t>
        </is>
      </c>
      <c r="B8302" s="1" t="n">
        <v>46056.8631712963</v>
      </c>
      <c r="C8302" s="1" t="n">
        <v>46086</v>
      </c>
      <c r="D8302" t="inlineStr">
        <is>
          <t>GÄVLEBORGS LÄN</t>
        </is>
      </c>
      <c r="E8302" t="inlineStr">
        <is>
          <t>OCKELBO</t>
        </is>
      </c>
      <c r="F8302" t="inlineStr">
        <is>
          <t>Bergvik skog väst AB</t>
        </is>
      </c>
      <c r="G8302" t="n">
        <v>34.3</v>
      </c>
      <c r="H8302" t="n">
        <v>0</v>
      </c>
      <c r="I8302" t="n">
        <v>0</v>
      </c>
      <c r="J8302" t="n">
        <v>0</v>
      </c>
      <c r="K8302" t="n">
        <v>0</v>
      </c>
      <c r="L8302" t="n">
        <v>0</v>
      </c>
      <c r="M8302" t="n">
        <v>0</v>
      </c>
      <c r="N8302" t="n">
        <v>0</v>
      </c>
      <c r="O8302" t="n">
        <v>0</v>
      </c>
      <c r="P8302" t="n">
        <v>0</v>
      </c>
      <c r="Q8302" t="n">
        <v>0</v>
      </c>
      <c r="R8302" s="2" t="inlineStr"/>
    </row>
    <row r="8303" ht="15" customHeight="1">
      <c r="A8303" t="inlineStr">
        <is>
          <t>A 6770-2026</t>
        </is>
      </c>
      <c r="B8303" s="1" t="n">
        <v>46057.27619212963</v>
      </c>
      <c r="C8303" s="1" t="n">
        <v>46086</v>
      </c>
      <c r="D8303" t="inlineStr">
        <is>
          <t>GÄVLEBORGS LÄN</t>
        </is>
      </c>
      <c r="E8303" t="inlineStr">
        <is>
          <t>BOLLNÄS</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259-2025</t>
        </is>
      </c>
      <c r="B8304" s="1" t="n">
        <v>45660.44798611111</v>
      </c>
      <c r="C8304" s="1" t="n">
        <v>46086</v>
      </c>
      <c r="D8304" t="inlineStr">
        <is>
          <t>GÄVLEBORGS LÄN</t>
        </is>
      </c>
      <c r="E8304" t="inlineStr">
        <is>
          <t>GÄVLE</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67923-2021</t>
        </is>
      </c>
      <c r="B8305" s="1" t="n">
        <v>44525.61118055556</v>
      </c>
      <c r="C8305" s="1" t="n">
        <v>46086</v>
      </c>
      <c r="D8305" t="inlineStr">
        <is>
          <t>GÄVLEBORGS LÄN</t>
        </is>
      </c>
      <c r="E8305" t="inlineStr">
        <is>
          <t>LJUSDAL</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5949-2026</t>
        </is>
      </c>
      <c r="B8306" s="1" t="n">
        <v>46052</v>
      </c>
      <c r="C8306" s="1" t="n">
        <v>46086</v>
      </c>
      <c r="D8306" t="inlineStr">
        <is>
          <t>GÄVLEBORGS LÄN</t>
        </is>
      </c>
      <c r="E8306" t="inlineStr">
        <is>
          <t>SANDVIKEN</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4751-2025</t>
        </is>
      </c>
      <c r="B8307" s="1" t="n">
        <v>45688.46480324074</v>
      </c>
      <c r="C8307" s="1" t="n">
        <v>46086</v>
      </c>
      <c r="D8307" t="inlineStr">
        <is>
          <t>GÄVLEBORGS LÄN</t>
        </is>
      </c>
      <c r="E8307" t="inlineStr">
        <is>
          <t>OVANÅKER</t>
        </is>
      </c>
      <c r="G8307" t="n">
        <v>4.4</v>
      </c>
      <c r="H8307" t="n">
        <v>0</v>
      </c>
      <c r="I8307" t="n">
        <v>0</v>
      </c>
      <c r="J8307" t="n">
        <v>0</v>
      </c>
      <c r="K8307" t="n">
        <v>0</v>
      </c>
      <c r="L8307" t="n">
        <v>0</v>
      </c>
      <c r="M8307" t="n">
        <v>0</v>
      </c>
      <c r="N8307" t="n">
        <v>0</v>
      </c>
      <c r="O8307" t="n">
        <v>0</v>
      </c>
      <c r="P8307" t="n">
        <v>0</v>
      </c>
      <c r="Q8307" t="n">
        <v>0</v>
      </c>
      <c r="R8307" s="2" t="inlineStr"/>
    </row>
    <row r="8308" ht="15" customHeight="1">
      <c r="A8308" t="inlineStr">
        <is>
          <t>A 3416-2026</t>
        </is>
      </c>
      <c r="B8308" s="1" t="n">
        <v>46042.42108796296</v>
      </c>
      <c r="C8308" s="1" t="n">
        <v>46086</v>
      </c>
      <c r="D8308" t="inlineStr">
        <is>
          <t>GÄVLEBORGS LÄN</t>
        </is>
      </c>
      <c r="E8308" t="inlineStr">
        <is>
          <t>OVANÅKER</t>
        </is>
      </c>
      <c r="F8308" t="inlineStr">
        <is>
          <t>Bergvik skog väst AB</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22869-2024</t>
        </is>
      </c>
      <c r="B8309" s="1" t="n">
        <v>45448.64054398148</v>
      </c>
      <c r="C8309" s="1" t="n">
        <v>46086</v>
      </c>
      <c r="D8309" t="inlineStr">
        <is>
          <t>GÄVLEBORGS LÄN</t>
        </is>
      </c>
      <c r="E8309" t="inlineStr">
        <is>
          <t>HUDIKSVALL</t>
        </is>
      </c>
      <c r="F8309" t="inlineStr">
        <is>
          <t>Holmen skog AB</t>
        </is>
      </c>
      <c r="G8309" t="n">
        <v>5.7</v>
      </c>
      <c r="H8309" t="n">
        <v>0</v>
      </c>
      <c r="I8309" t="n">
        <v>0</v>
      </c>
      <c r="J8309" t="n">
        <v>0</v>
      </c>
      <c r="K8309" t="n">
        <v>0</v>
      </c>
      <c r="L8309" t="n">
        <v>0</v>
      </c>
      <c r="M8309" t="n">
        <v>0</v>
      </c>
      <c r="N8309" t="n">
        <v>0</v>
      </c>
      <c r="O8309" t="n">
        <v>0</v>
      </c>
      <c r="P8309" t="n">
        <v>0</v>
      </c>
      <c r="Q8309" t="n">
        <v>0</v>
      </c>
      <c r="R8309" s="2" t="inlineStr"/>
    </row>
    <row r="8310" ht="15" customHeight="1">
      <c r="A8310" t="inlineStr">
        <is>
          <t>A 22877-2024</t>
        </is>
      </c>
      <c r="B8310" s="1" t="n">
        <v>45448.65388888889</v>
      </c>
      <c r="C8310" s="1" t="n">
        <v>46086</v>
      </c>
      <c r="D8310" t="inlineStr">
        <is>
          <t>GÄVLEBORGS LÄN</t>
        </is>
      </c>
      <c r="E8310" t="inlineStr">
        <is>
          <t>BOLLNÄS</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57977-2022</t>
        </is>
      </c>
      <c r="B8311" s="1" t="n">
        <v>44900.45950231481</v>
      </c>
      <c r="C8311" s="1" t="n">
        <v>46086</v>
      </c>
      <c r="D8311" t="inlineStr">
        <is>
          <t>GÄVLEBORGS LÄN</t>
        </is>
      </c>
      <c r="E8311" t="inlineStr">
        <is>
          <t>LJUSDAL</t>
        </is>
      </c>
      <c r="F8311" t="inlineStr">
        <is>
          <t>Holmen skog AB</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69851-2021</t>
        </is>
      </c>
      <c r="B8312" s="1" t="n">
        <v>44532.68631944444</v>
      </c>
      <c r="C8312" s="1" t="n">
        <v>46086</v>
      </c>
      <c r="D8312" t="inlineStr">
        <is>
          <t>GÄVLEBORGS LÄN</t>
        </is>
      </c>
      <c r="E8312" t="inlineStr">
        <is>
          <t>HUDIKSVALL</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63649-2025</t>
        </is>
      </c>
      <c r="B8313" s="1" t="n">
        <v>46014.43402777778</v>
      </c>
      <c r="C8313" s="1" t="n">
        <v>46086</v>
      </c>
      <c r="D8313" t="inlineStr">
        <is>
          <t>GÄVLEBORGS LÄN</t>
        </is>
      </c>
      <c r="E8313" t="inlineStr">
        <is>
          <t>LJUSDAL</t>
        </is>
      </c>
      <c r="G8313" t="n">
        <v>3.6</v>
      </c>
      <c r="H8313" t="n">
        <v>0</v>
      </c>
      <c r="I8313" t="n">
        <v>0</v>
      </c>
      <c r="J8313" t="n">
        <v>0</v>
      </c>
      <c r="K8313" t="n">
        <v>0</v>
      </c>
      <c r="L8313" t="n">
        <v>0</v>
      </c>
      <c r="M8313" t="n">
        <v>0</v>
      </c>
      <c r="N8313" t="n">
        <v>0</v>
      </c>
      <c r="O8313" t="n">
        <v>0</v>
      </c>
      <c r="P8313" t="n">
        <v>0</v>
      </c>
      <c r="Q8313" t="n">
        <v>0</v>
      </c>
      <c r="R8313" s="2" t="inlineStr"/>
    </row>
    <row r="8314" ht="15" customHeight="1">
      <c r="A8314" t="inlineStr">
        <is>
          <t>A 63650-2025</t>
        </is>
      </c>
      <c r="B8314" s="1" t="n">
        <v>46014.43686342592</v>
      </c>
      <c r="C8314" s="1" t="n">
        <v>46086</v>
      </c>
      <c r="D8314" t="inlineStr">
        <is>
          <t>GÄVLEBORGS LÄN</t>
        </is>
      </c>
      <c r="E8314" t="inlineStr">
        <is>
          <t>LJUSDAL</t>
        </is>
      </c>
      <c r="G8314" t="n">
        <v>9</v>
      </c>
      <c r="H8314" t="n">
        <v>0</v>
      </c>
      <c r="I8314" t="n">
        <v>0</v>
      </c>
      <c r="J8314" t="n">
        <v>0</v>
      </c>
      <c r="K8314" t="n">
        <v>0</v>
      </c>
      <c r="L8314" t="n">
        <v>0</v>
      </c>
      <c r="M8314" t="n">
        <v>0</v>
      </c>
      <c r="N8314" t="n">
        <v>0</v>
      </c>
      <c r="O8314" t="n">
        <v>0</v>
      </c>
      <c r="P8314" t="n">
        <v>0</v>
      </c>
      <c r="Q8314" t="n">
        <v>0</v>
      </c>
      <c r="R8314" s="2" t="inlineStr"/>
    </row>
    <row r="8315" ht="15" customHeight="1">
      <c r="A8315" t="inlineStr">
        <is>
          <t>A 4972-2026</t>
        </is>
      </c>
      <c r="B8315" s="1" t="n">
        <v>46049</v>
      </c>
      <c r="C8315" s="1" t="n">
        <v>46086</v>
      </c>
      <c r="D8315" t="inlineStr">
        <is>
          <t>GÄVLEBORGS LÄN</t>
        </is>
      </c>
      <c r="E8315" t="inlineStr">
        <is>
          <t>LJUSDAL</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6641-2026</t>
        </is>
      </c>
      <c r="B8316" s="1" t="n">
        <v>46056</v>
      </c>
      <c r="C8316" s="1" t="n">
        <v>46086</v>
      </c>
      <c r="D8316" t="inlineStr">
        <is>
          <t>GÄVLEBORGS LÄN</t>
        </is>
      </c>
      <c r="E8316" t="inlineStr">
        <is>
          <t>NORDANSTIG</t>
        </is>
      </c>
      <c r="G8316" t="n">
        <v>6.3</v>
      </c>
      <c r="H8316" t="n">
        <v>0</v>
      </c>
      <c r="I8316" t="n">
        <v>0</v>
      </c>
      <c r="J8316" t="n">
        <v>0</v>
      </c>
      <c r="K8316" t="n">
        <v>0</v>
      </c>
      <c r="L8316" t="n">
        <v>0</v>
      </c>
      <c r="M8316" t="n">
        <v>0</v>
      </c>
      <c r="N8316" t="n">
        <v>0</v>
      </c>
      <c r="O8316" t="n">
        <v>0</v>
      </c>
      <c r="P8316" t="n">
        <v>0</v>
      </c>
      <c r="Q8316" t="n">
        <v>0</v>
      </c>
      <c r="R8316" s="2" t="inlineStr"/>
    </row>
    <row r="8317" ht="15" customHeight="1">
      <c r="A8317" t="inlineStr">
        <is>
          <t>A 6643-2026</t>
        </is>
      </c>
      <c r="B8317" s="1" t="n">
        <v>46056.53697916667</v>
      </c>
      <c r="C8317" s="1" t="n">
        <v>46086</v>
      </c>
      <c r="D8317" t="inlineStr">
        <is>
          <t>GÄVLEBORGS LÄN</t>
        </is>
      </c>
      <c r="E8317" t="inlineStr">
        <is>
          <t>BOLLNÄS</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55446-2021</t>
        </is>
      </c>
      <c r="B8318" s="1" t="n">
        <v>44475.57178240741</v>
      </c>
      <c r="C8318" s="1" t="n">
        <v>46086</v>
      </c>
      <c r="D8318" t="inlineStr">
        <is>
          <t>GÄVLEBORGS LÄN</t>
        </is>
      </c>
      <c r="E8318" t="inlineStr">
        <is>
          <t>LJUSDAL</t>
        </is>
      </c>
      <c r="F8318" t="inlineStr">
        <is>
          <t>Holmen skog AB</t>
        </is>
      </c>
      <c r="G8318" t="n">
        <v>4.9</v>
      </c>
      <c r="H8318" t="n">
        <v>0</v>
      </c>
      <c r="I8318" t="n">
        <v>0</v>
      </c>
      <c r="J8318" t="n">
        <v>0</v>
      </c>
      <c r="K8318" t="n">
        <v>0</v>
      </c>
      <c r="L8318" t="n">
        <v>0</v>
      </c>
      <c r="M8318" t="n">
        <v>0</v>
      </c>
      <c r="N8318" t="n">
        <v>0</v>
      </c>
      <c r="O8318" t="n">
        <v>0</v>
      </c>
      <c r="P8318" t="n">
        <v>0</v>
      </c>
      <c r="Q8318" t="n">
        <v>0</v>
      </c>
      <c r="R8318" s="2" t="inlineStr"/>
    </row>
    <row r="8319" ht="15" customHeight="1">
      <c r="A8319" t="inlineStr">
        <is>
          <t>A 6652-2026</t>
        </is>
      </c>
      <c r="B8319" s="1" t="n">
        <v>46056</v>
      </c>
      <c r="C8319" s="1" t="n">
        <v>46086</v>
      </c>
      <c r="D8319" t="inlineStr">
        <is>
          <t>GÄVLEBORGS LÄN</t>
        </is>
      </c>
      <c r="E8319" t="inlineStr">
        <is>
          <t>NORDANSTIG</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6654-2026</t>
        </is>
      </c>
      <c r="B8320" s="1" t="n">
        <v>46056.55571759259</v>
      </c>
      <c r="C8320" s="1" t="n">
        <v>46086</v>
      </c>
      <c r="D8320" t="inlineStr">
        <is>
          <t>GÄVLEBORGS LÄN</t>
        </is>
      </c>
      <c r="E8320" t="inlineStr">
        <is>
          <t>OCKELBO</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6850-2026</t>
        </is>
      </c>
      <c r="B8321" s="1" t="n">
        <v>46057.43195601852</v>
      </c>
      <c r="C8321" s="1" t="n">
        <v>46086</v>
      </c>
      <c r="D8321" t="inlineStr">
        <is>
          <t>GÄVLEBORGS LÄN</t>
        </is>
      </c>
      <c r="E8321" t="inlineStr">
        <is>
          <t>BOLLNÄS</t>
        </is>
      </c>
      <c r="G8321" t="n">
        <v>3.8</v>
      </c>
      <c r="H8321" t="n">
        <v>0</v>
      </c>
      <c r="I8321" t="n">
        <v>0</v>
      </c>
      <c r="J8321" t="n">
        <v>0</v>
      </c>
      <c r="K8321" t="n">
        <v>0</v>
      </c>
      <c r="L8321" t="n">
        <v>0</v>
      </c>
      <c r="M8321" t="n">
        <v>0</v>
      </c>
      <c r="N8321" t="n">
        <v>0</v>
      </c>
      <c r="O8321" t="n">
        <v>0</v>
      </c>
      <c r="P8321" t="n">
        <v>0</v>
      </c>
      <c r="Q8321" t="n">
        <v>0</v>
      </c>
      <c r="R8321" s="2" t="inlineStr"/>
    </row>
    <row r="8322" ht="15" customHeight="1">
      <c r="A8322" t="inlineStr">
        <is>
          <t>A 6854-2026</t>
        </is>
      </c>
      <c r="B8322" s="1" t="n">
        <v>46057.43564814814</v>
      </c>
      <c r="C8322" s="1" t="n">
        <v>46086</v>
      </c>
      <c r="D8322" t="inlineStr">
        <is>
          <t>GÄVLEBORGS LÄN</t>
        </is>
      </c>
      <c r="E8322" t="inlineStr">
        <is>
          <t>NORDANSTIG</t>
        </is>
      </c>
      <c r="G8322" t="n">
        <v>5.2</v>
      </c>
      <c r="H8322" t="n">
        <v>0</v>
      </c>
      <c r="I8322" t="n">
        <v>0</v>
      </c>
      <c r="J8322" t="n">
        <v>0</v>
      </c>
      <c r="K8322" t="n">
        <v>0</v>
      </c>
      <c r="L8322" t="n">
        <v>0</v>
      </c>
      <c r="M8322" t="n">
        <v>0</v>
      </c>
      <c r="N8322" t="n">
        <v>0</v>
      </c>
      <c r="O8322" t="n">
        <v>0</v>
      </c>
      <c r="P8322" t="n">
        <v>0</v>
      </c>
      <c r="Q8322" t="n">
        <v>0</v>
      </c>
      <c r="R8322" s="2" t="inlineStr"/>
    </row>
    <row r="8323" ht="15" customHeight="1">
      <c r="A8323" t="inlineStr">
        <is>
          <t>A 6861-2026</t>
        </is>
      </c>
      <c r="B8323" s="1" t="n">
        <v>46057.43800925926</v>
      </c>
      <c r="C8323" s="1" t="n">
        <v>46086</v>
      </c>
      <c r="D8323" t="inlineStr">
        <is>
          <t>GÄVLEBORGS LÄN</t>
        </is>
      </c>
      <c r="E8323" t="inlineStr">
        <is>
          <t>HUDIKSVALL</t>
        </is>
      </c>
      <c r="F8323" t="inlineStr">
        <is>
          <t>Naturvårdsverket</t>
        </is>
      </c>
      <c r="G8323" t="n">
        <v>4.9</v>
      </c>
      <c r="H8323" t="n">
        <v>0</v>
      </c>
      <c r="I8323" t="n">
        <v>0</v>
      </c>
      <c r="J8323" t="n">
        <v>0</v>
      </c>
      <c r="K8323" t="n">
        <v>0</v>
      </c>
      <c r="L8323" t="n">
        <v>0</v>
      </c>
      <c r="M8323" t="n">
        <v>0</v>
      </c>
      <c r="N8323" t="n">
        <v>0</v>
      </c>
      <c r="O8323" t="n">
        <v>0</v>
      </c>
      <c r="P8323" t="n">
        <v>0</v>
      </c>
      <c r="Q8323" t="n">
        <v>0</v>
      </c>
      <c r="R8323" s="2" t="inlineStr"/>
    </row>
    <row r="8324" ht="15" customHeight="1">
      <c r="A8324" t="inlineStr">
        <is>
          <t>A 6785-2026</t>
        </is>
      </c>
      <c r="B8324" s="1" t="n">
        <v>46057.31912037037</v>
      </c>
      <c r="C8324" s="1" t="n">
        <v>46086</v>
      </c>
      <c r="D8324" t="inlineStr">
        <is>
          <t>GÄVLEBORGS LÄN</t>
        </is>
      </c>
      <c r="E8324" t="inlineStr">
        <is>
          <t>BOLLNÄS</t>
        </is>
      </c>
      <c r="G8324" t="n">
        <v>9.5</v>
      </c>
      <c r="H8324" t="n">
        <v>0</v>
      </c>
      <c r="I8324" t="n">
        <v>0</v>
      </c>
      <c r="J8324" t="n">
        <v>0</v>
      </c>
      <c r="K8324" t="n">
        <v>0</v>
      </c>
      <c r="L8324" t="n">
        <v>0</v>
      </c>
      <c r="M8324" t="n">
        <v>0</v>
      </c>
      <c r="N8324" t="n">
        <v>0</v>
      </c>
      <c r="O8324" t="n">
        <v>0</v>
      </c>
      <c r="P8324" t="n">
        <v>0</v>
      </c>
      <c r="Q8324" t="n">
        <v>0</v>
      </c>
      <c r="R8324" s="2" t="inlineStr"/>
    </row>
    <row r="8325" ht="15" customHeight="1">
      <c r="A8325" t="inlineStr">
        <is>
          <t>A 6790-2026</t>
        </is>
      </c>
      <c r="B8325" s="1" t="n">
        <v>46057.34092592593</v>
      </c>
      <c r="C8325" s="1" t="n">
        <v>46086</v>
      </c>
      <c r="D8325" t="inlineStr">
        <is>
          <t>GÄVLEBORGS LÄN</t>
        </is>
      </c>
      <c r="E8325" t="inlineStr">
        <is>
          <t>LJUSDAL</t>
        </is>
      </c>
      <c r="G8325" t="n">
        <v>2.8</v>
      </c>
      <c r="H8325" t="n">
        <v>0</v>
      </c>
      <c r="I8325" t="n">
        <v>0</v>
      </c>
      <c r="J8325" t="n">
        <v>0</v>
      </c>
      <c r="K8325" t="n">
        <v>0</v>
      </c>
      <c r="L8325" t="n">
        <v>0</v>
      </c>
      <c r="M8325" t="n">
        <v>0</v>
      </c>
      <c r="N8325" t="n">
        <v>0</v>
      </c>
      <c r="O8325" t="n">
        <v>0</v>
      </c>
      <c r="P8325" t="n">
        <v>0</v>
      </c>
      <c r="Q8325" t="n">
        <v>0</v>
      </c>
      <c r="R8325" s="2" t="inlineStr"/>
    </row>
    <row r="8326" ht="15" customHeight="1">
      <c r="A8326" t="inlineStr">
        <is>
          <t>A 6851-2026</t>
        </is>
      </c>
      <c r="B8326" s="1" t="n">
        <v>46057.43291666666</v>
      </c>
      <c r="C8326" s="1" t="n">
        <v>46086</v>
      </c>
      <c r="D8326" t="inlineStr">
        <is>
          <t>GÄVLEBORGS LÄN</t>
        </is>
      </c>
      <c r="E8326" t="inlineStr">
        <is>
          <t>NORDANSTIG</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6571-2026</t>
        </is>
      </c>
      <c r="B8327" s="1" t="n">
        <v>46056.44422453704</v>
      </c>
      <c r="C8327" s="1" t="n">
        <v>46086</v>
      </c>
      <c r="D8327" t="inlineStr">
        <is>
          <t>GÄVLEBORGS LÄN</t>
        </is>
      </c>
      <c r="E8327" t="inlineStr">
        <is>
          <t>BOLLNÄS</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6576-2026</t>
        </is>
      </c>
      <c r="B8328" s="1" t="n">
        <v>46056.4489699074</v>
      </c>
      <c r="C8328" s="1" t="n">
        <v>46086</v>
      </c>
      <c r="D8328" t="inlineStr">
        <is>
          <t>GÄVLEBORGS LÄN</t>
        </is>
      </c>
      <c r="E8328" t="inlineStr">
        <is>
          <t>SANDVIKEN</t>
        </is>
      </c>
      <c r="F8328" t="inlineStr">
        <is>
          <t>Kommuner</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6594-2026</t>
        </is>
      </c>
      <c r="B8329" s="1" t="n">
        <v>46056.46402777778</v>
      </c>
      <c r="C8329" s="1" t="n">
        <v>46086</v>
      </c>
      <c r="D8329" t="inlineStr">
        <is>
          <t>GÄVLEBORGS LÄN</t>
        </is>
      </c>
      <c r="E8329" t="inlineStr">
        <is>
          <t>OCKELBO</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17384-2023</t>
        </is>
      </c>
      <c r="B8330" s="1" t="n">
        <v>45035</v>
      </c>
      <c r="C8330" s="1" t="n">
        <v>46086</v>
      </c>
      <c r="D8330" t="inlineStr">
        <is>
          <t>GÄVLEBORGS LÄN</t>
        </is>
      </c>
      <c r="E8330" t="inlineStr">
        <is>
          <t>OVANÅKER</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6907-2026</t>
        </is>
      </c>
      <c r="B8331" s="1" t="n">
        <v>46057.49563657407</v>
      </c>
      <c r="C8331" s="1" t="n">
        <v>46086</v>
      </c>
      <c r="D8331" t="inlineStr">
        <is>
          <t>GÄVLEBORGS LÄN</t>
        </is>
      </c>
      <c r="E8331" t="inlineStr">
        <is>
          <t>LJUSDAL</t>
        </is>
      </c>
      <c r="F8331" t="inlineStr">
        <is>
          <t>Sveaskog</t>
        </is>
      </c>
      <c r="G8331" t="n">
        <v>6.2</v>
      </c>
      <c r="H8331" t="n">
        <v>0</v>
      </c>
      <c r="I8331" t="n">
        <v>0</v>
      </c>
      <c r="J8331" t="n">
        <v>0</v>
      </c>
      <c r="K8331" t="n">
        <v>0</v>
      </c>
      <c r="L8331" t="n">
        <v>0</v>
      </c>
      <c r="M8331" t="n">
        <v>0</v>
      </c>
      <c r="N8331" t="n">
        <v>0</v>
      </c>
      <c r="O8331" t="n">
        <v>0</v>
      </c>
      <c r="P8331" t="n">
        <v>0</v>
      </c>
      <c r="Q8331" t="n">
        <v>0</v>
      </c>
      <c r="R8331" s="2" t="inlineStr"/>
    </row>
    <row r="8332" ht="15" customHeight="1">
      <c r="A8332" t="inlineStr">
        <is>
          <t>A 6915-2026</t>
        </is>
      </c>
      <c r="B8332" s="1" t="n">
        <v>46057.52116898148</v>
      </c>
      <c r="C8332" s="1" t="n">
        <v>46086</v>
      </c>
      <c r="D8332" t="inlineStr">
        <is>
          <t>GÄVLEBORGS LÄN</t>
        </is>
      </c>
      <c r="E8332" t="inlineStr">
        <is>
          <t>OCKELBO</t>
        </is>
      </c>
      <c r="F8332" t="inlineStr">
        <is>
          <t>Bergvik skog väst AB</t>
        </is>
      </c>
      <c r="G8332" t="n">
        <v>16.1</v>
      </c>
      <c r="H8332" t="n">
        <v>0</v>
      </c>
      <c r="I8332" t="n">
        <v>0</v>
      </c>
      <c r="J8332" t="n">
        <v>0</v>
      </c>
      <c r="K8332" t="n">
        <v>0</v>
      </c>
      <c r="L8332" t="n">
        <v>0</v>
      </c>
      <c r="M8332" t="n">
        <v>0</v>
      </c>
      <c r="N8332" t="n">
        <v>0</v>
      </c>
      <c r="O8332" t="n">
        <v>0</v>
      </c>
      <c r="P8332" t="n">
        <v>0</v>
      </c>
      <c r="Q8332" t="n">
        <v>0</v>
      </c>
      <c r="R8332" s="2" t="inlineStr"/>
    </row>
    <row r="8333" ht="15" customHeight="1">
      <c r="A8333" t="inlineStr">
        <is>
          <t>A 6584-2026</t>
        </is>
      </c>
      <c r="B8333" s="1" t="n">
        <v>46056.45658564815</v>
      </c>
      <c r="C8333" s="1" t="n">
        <v>46086</v>
      </c>
      <c r="D8333" t="inlineStr">
        <is>
          <t>GÄVLEBORGS LÄN</t>
        </is>
      </c>
      <c r="E8333" t="inlineStr">
        <is>
          <t>OCKELBO</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6590-2026</t>
        </is>
      </c>
      <c r="B8334" s="1" t="n">
        <v>46056.46262731482</v>
      </c>
      <c r="C8334" s="1" t="n">
        <v>46086</v>
      </c>
      <c r="D8334" t="inlineStr">
        <is>
          <t>GÄVLEBORGS LÄN</t>
        </is>
      </c>
      <c r="E8334" t="inlineStr">
        <is>
          <t>OCKELBO</t>
        </is>
      </c>
      <c r="G8334" t="n">
        <v>2.5</v>
      </c>
      <c r="H8334" t="n">
        <v>0</v>
      </c>
      <c r="I8334" t="n">
        <v>0</v>
      </c>
      <c r="J8334" t="n">
        <v>0</v>
      </c>
      <c r="K8334" t="n">
        <v>0</v>
      </c>
      <c r="L8334" t="n">
        <v>0</v>
      </c>
      <c r="M8334" t="n">
        <v>0</v>
      </c>
      <c r="N8334" t="n">
        <v>0</v>
      </c>
      <c r="O8334" t="n">
        <v>0</v>
      </c>
      <c r="P8334" t="n">
        <v>0</v>
      </c>
      <c r="Q8334" t="n">
        <v>0</v>
      </c>
      <c r="R8334" s="2" t="inlineStr"/>
    </row>
    <row r="8335" ht="15" customHeight="1">
      <c r="A8335" t="inlineStr">
        <is>
          <t>A 6647-2026</t>
        </is>
      </c>
      <c r="B8335" s="1" t="n">
        <v>46056</v>
      </c>
      <c r="C8335" s="1" t="n">
        <v>46086</v>
      </c>
      <c r="D8335" t="inlineStr">
        <is>
          <t>GÄVLEBORGS LÄN</t>
        </is>
      </c>
      <c r="E8335" t="inlineStr">
        <is>
          <t>NORDANSTIG</t>
        </is>
      </c>
      <c r="G8335" t="n">
        <v>7</v>
      </c>
      <c r="H8335" t="n">
        <v>0</v>
      </c>
      <c r="I8335" t="n">
        <v>0</v>
      </c>
      <c r="J8335" t="n">
        <v>0</v>
      </c>
      <c r="K8335" t="n">
        <v>0</v>
      </c>
      <c r="L8335" t="n">
        <v>0</v>
      </c>
      <c r="M8335" t="n">
        <v>0</v>
      </c>
      <c r="N8335" t="n">
        <v>0</v>
      </c>
      <c r="O8335" t="n">
        <v>0</v>
      </c>
      <c r="P8335" t="n">
        <v>0</v>
      </c>
      <c r="Q8335" t="n">
        <v>0</v>
      </c>
      <c r="R8335" s="2" t="inlineStr"/>
    </row>
    <row r="8336" ht="15" customHeight="1">
      <c r="A8336" t="inlineStr">
        <is>
          <t>A 6665-2026</t>
        </is>
      </c>
      <c r="B8336" s="1" t="n">
        <v>46056.58530092592</v>
      </c>
      <c r="C8336" s="1" t="n">
        <v>46086</v>
      </c>
      <c r="D8336" t="inlineStr">
        <is>
          <t>GÄVLEBORGS LÄN</t>
        </is>
      </c>
      <c r="E8336" t="inlineStr">
        <is>
          <t>OCKELBO</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63017-2025</t>
        </is>
      </c>
      <c r="B8337" s="1" t="n">
        <v>46009.59115740741</v>
      </c>
      <c r="C8337" s="1" t="n">
        <v>46086</v>
      </c>
      <c r="D8337" t="inlineStr">
        <is>
          <t>GÄVLEBORGS LÄN</t>
        </is>
      </c>
      <c r="E8337" t="inlineStr">
        <is>
          <t>OCKELBO</t>
        </is>
      </c>
      <c r="F8337" t="inlineStr">
        <is>
          <t>Bergvik skog väst AB</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63690-2025</t>
        </is>
      </c>
      <c r="B8338" s="1" t="n">
        <v>46014.54175925926</v>
      </c>
      <c r="C8338" s="1" t="n">
        <v>46086</v>
      </c>
      <c r="D8338" t="inlineStr">
        <is>
          <t>GÄVLEBORGS LÄN</t>
        </is>
      </c>
      <c r="E8338" t="inlineStr">
        <is>
          <t>OVANÅKER</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7049-2026</t>
        </is>
      </c>
      <c r="B8339" s="1" t="n">
        <v>46057.72354166667</v>
      </c>
      <c r="C8339" s="1" t="n">
        <v>46086</v>
      </c>
      <c r="D8339" t="inlineStr">
        <is>
          <t>GÄVLEBORGS LÄN</t>
        </is>
      </c>
      <c r="E8339" t="inlineStr">
        <is>
          <t>OCKELBO</t>
        </is>
      </c>
      <c r="F8339" t="inlineStr">
        <is>
          <t>Bergvik skog väst AB</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51986-2024</t>
        </is>
      </c>
      <c r="B8340" s="1" t="n">
        <v>45607.68255787037</v>
      </c>
      <c r="C8340" s="1" t="n">
        <v>46086</v>
      </c>
      <c r="D8340" t="inlineStr">
        <is>
          <t>GÄVLEBORGS LÄN</t>
        </is>
      </c>
      <c r="E8340" t="inlineStr">
        <is>
          <t>SÖDERHAMN</t>
        </is>
      </c>
      <c r="F8340" t="inlineStr">
        <is>
          <t>Bergvik skog väst AB</t>
        </is>
      </c>
      <c r="G8340" t="n">
        <v>5.7</v>
      </c>
      <c r="H8340" t="n">
        <v>0</v>
      </c>
      <c r="I8340" t="n">
        <v>0</v>
      </c>
      <c r="J8340" t="n">
        <v>0</v>
      </c>
      <c r="K8340" t="n">
        <v>0</v>
      </c>
      <c r="L8340" t="n">
        <v>0</v>
      </c>
      <c r="M8340" t="n">
        <v>0</v>
      </c>
      <c r="N8340" t="n">
        <v>0</v>
      </c>
      <c r="O8340" t="n">
        <v>0</v>
      </c>
      <c r="P8340" t="n">
        <v>0</v>
      </c>
      <c r="Q8340" t="n">
        <v>0</v>
      </c>
      <c r="R8340" s="2" t="inlineStr"/>
    </row>
    <row r="8341" ht="15" customHeight="1">
      <c r="A8341" t="inlineStr">
        <is>
          <t>A 52001-2024</t>
        </is>
      </c>
      <c r="B8341" s="1" t="n">
        <v>45607.75534722222</v>
      </c>
      <c r="C8341" s="1" t="n">
        <v>46086</v>
      </c>
      <c r="D8341" t="inlineStr">
        <is>
          <t>GÄVLEBORGS LÄN</t>
        </is>
      </c>
      <c r="E8341" t="inlineStr">
        <is>
          <t>NORDANSTIG</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6461-2026</t>
        </is>
      </c>
      <c r="B8342" s="1" t="n">
        <v>46056.30370370371</v>
      </c>
      <c r="C8342" s="1" t="n">
        <v>46086</v>
      </c>
      <c r="D8342" t="inlineStr">
        <is>
          <t>GÄVLEBORGS LÄN</t>
        </is>
      </c>
      <c r="E8342" t="inlineStr">
        <is>
          <t>BOLLNÄS</t>
        </is>
      </c>
      <c r="F8342" t="inlineStr">
        <is>
          <t>Kyrkan</t>
        </is>
      </c>
      <c r="G8342" t="n">
        <v>5.9</v>
      </c>
      <c r="H8342" t="n">
        <v>0</v>
      </c>
      <c r="I8342" t="n">
        <v>0</v>
      </c>
      <c r="J8342" t="n">
        <v>0</v>
      </c>
      <c r="K8342" t="n">
        <v>0</v>
      </c>
      <c r="L8342" t="n">
        <v>0</v>
      </c>
      <c r="M8342" t="n">
        <v>0</v>
      </c>
      <c r="N8342" t="n">
        <v>0</v>
      </c>
      <c r="O8342" t="n">
        <v>0</v>
      </c>
      <c r="P8342" t="n">
        <v>0</v>
      </c>
      <c r="Q8342" t="n">
        <v>0</v>
      </c>
      <c r="R8342" s="2" t="inlineStr"/>
    </row>
    <row r="8343" ht="15" customHeight="1">
      <c r="A8343" t="inlineStr">
        <is>
          <t>A 5945-2026</t>
        </is>
      </c>
      <c r="B8343" s="1" t="n">
        <v>46052</v>
      </c>
      <c r="C8343" s="1" t="n">
        <v>46086</v>
      </c>
      <c r="D8343" t="inlineStr">
        <is>
          <t>GÄVLEBORGS LÄN</t>
        </is>
      </c>
      <c r="E8343" t="inlineStr">
        <is>
          <t>SANDVIKEN</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5999-2026</t>
        </is>
      </c>
      <c r="B8344" s="1" t="n">
        <v>46052</v>
      </c>
      <c r="C8344" s="1" t="n">
        <v>46086</v>
      </c>
      <c r="D8344" t="inlineStr">
        <is>
          <t>GÄVLEBORGS LÄN</t>
        </is>
      </c>
      <c r="E8344" t="inlineStr">
        <is>
          <t>BOLLNÄS</t>
        </is>
      </c>
      <c r="G8344" t="n">
        <v>2.6</v>
      </c>
      <c r="H8344" t="n">
        <v>0</v>
      </c>
      <c r="I8344" t="n">
        <v>0</v>
      </c>
      <c r="J8344" t="n">
        <v>0</v>
      </c>
      <c r="K8344" t="n">
        <v>0</v>
      </c>
      <c r="L8344" t="n">
        <v>0</v>
      </c>
      <c r="M8344" t="n">
        <v>0</v>
      </c>
      <c r="N8344" t="n">
        <v>0</v>
      </c>
      <c r="O8344" t="n">
        <v>0</v>
      </c>
      <c r="P8344" t="n">
        <v>0</v>
      </c>
      <c r="Q8344" t="n">
        <v>0</v>
      </c>
      <c r="R8344" s="2" t="inlineStr"/>
    </row>
    <row r="8345" ht="15" customHeight="1">
      <c r="A8345" t="inlineStr">
        <is>
          <t>A 6543-2026</t>
        </is>
      </c>
      <c r="B8345" s="1" t="n">
        <v>46056.42787037037</v>
      </c>
      <c r="C8345" s="1" t="n">
        <v>46086</v>
      </c>
      <c r="D8345" t="inlineStr">
        <is>
          <t>GÄVLEBORGS LÄN</t>
        </is>
      </c>
      <c r="E8345" t="inlineStr">
        <is>
          <t>BOLLNÄS</t>
        </is>
      </c>
      <c r="G8345" t="n">
        <v>10.5</v>
      </c>
      <c r="H8345" t="n">
        <v>0</v>
      </c>
      <c r="I8345" t="n">
        <v>0</v>
      </c>
      <c r="J8345" t="n">
        <v>0</v>
      </c>
      <c r="K8345" t="n">
        <v>0</v>
      </c>
      <c r="L8345" t="n">
        <v>0</v>
      </c>
      <c r="M8345" t="n">
        <v>0</v>
      </c>
      <c r="N8345" t="n">
        <v>0</v>
      </c>
      <c r="O8345" t="n">
        <v>0</v>
      </c>
      <c r="P8345" t="n">
        <v>0</v>
      </c>
      <c r="Q8345" t="n">
        <v>0</v>
      </c>
      <c r="R8345" s="2" t="inlineStr"/>
    </row>
    <row r="8346" ht="15" customHeight="1">
      <c r="A8346" t="inlineStr">
        <is>
          <t>A 15124-2022</t>
        </is>
      </c>
      <c r="B8346" s="1" t="n">
        <v>44658</v>
      </c>
      <c r="C8346" s="1" t="n">
        <v>46086</v>
      </c>
      <c r="D8346" t="inlineStr">
        <is>
          <t>GÄVLEBORGS LÄN</t>
        </is>
      </c>
      <c r="E8346" t="inlineStr">
        <is>
          <t>SANDVIKEN</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56933-2024</t>
        </is>
      </c>
      <c r="B8347" s="1" t="n">
        <v>45628</v>
      </c>
      <c r="C8347" s="1" t="n">
        <v>46086</v>
      </c>
      <c r="D8347" t="inlineStr">
        <is>
          <t>GÄVLEBORGS LÄN</t>
        </is>
      </c>
      <c r="E8347" t="inlineStr">
        <is>
          <t>SÖDERHAMN</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63616-2025</t>
        </is>
      </c>
      <c r="B8348" s="1" t="n">
        <v>46014.34641203703</v>
      </c>
      <c r="C8348" s="1" t="n">
        <v>46086</v>
      </c>
      <c r="D8348" t="inlineStr">
        <is>
          <t>GÄVLEBORGS LÄN</t>
        </is>
      </c>
      <c r="E8348" t="inlineStr">
        <is>
          <t>OCKELBO</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6740-2026</t>
        </is>
      </c>
      <c r="B8349" s="1" t="n">
        <v>46056.7003125</v>
      </c>
      <c r="C8349" s="1" t="n">
        <v>46086</v>
      </c>
      <c r="D8349" t="inlineStr">
        <is>
          <t>GÄVLEBORGS LÄN</t>
        </is>
      </c>
      <c r="E8349" t="inlineStr">
        <is>
          <t>BOLLNÄS</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6741-2026</t>
        </is>
      </c>
      <c r="B8350" s="1" t="n">
        <v>46056.71391203703</v>
      </c>
      <c r="C8350" s="1" t="n">
        <v>46086</v>
      </c>
      <c r="D8350" t="inlineStr">
        <is>
          <t>GÄVLEBORGS LÄN</t>
        </is>
      </c>
      <c r="E8350" t="inlineStr">
        <is>
          <t>BOLLNÄS</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6501-2026</t>
        </is>
      </c>
      <c r="B8351" s="1" t="n">
        <v>46056.36847222222</v>
      </c>
      <c r="C8351" s="1" t="n">
        <v>46086</v>
      </c>
      <c r="D8351" t="inlineStr">
        <is>
          <t>GÄVLEBORGS LÄN</t>
        </is>
      </c>
      <c r="E8351" t="inlineStr">
        <is>
          <t>BOLLNÄS</t>
        </is>
      </c>
      <c r="G8351" t="n">
        <v>3.7</v>
      </c>
      <c r="H8351" t="n">
        <v>0</v>
      </c>
      <c r="I8351" t="n">
        <v>0</v>
      </c>
      <c r="J8351" t="n">
        <v>0</v>
      </c>
      <c r="K8351" t="n">
        <v>0</v>
      </c>
      <c r="L8351" t="n">
        <v>0</v>
      </c>
      <c r="M8351" t="n">
        <v>0</v>
      </c>
      <c r="N8351" t="n">
        <v>0</v>
      </c>
      <c r="O8351" t="n">
        <v>0</v>
      </c>
      <c r="P8351" t="n">
        <v>0</v>
      </c>
      <c r="Q8351" t="n">
        <v>0</v>
      </c>
      <c r="R8351" s="2" t="inlineStr"/>
    </row>
    <row r="8352" ht="15" customHeight="1">
      <c r="A8352" t="inlineStr">
        <is>
          <t>A 6518-2026</t>
        </is>
      </c>
      <c r="B8352" s="1" t="n">
        <v>46052</v>
      </c>
      <c r="C8352" s="1" t="n">
        <v>46086</v>
      </c>
      <c r="D8352" t="inlineStr">
        <is>
          <t>GÄVLEBORGS LÄN</t>
        </is>
      </c>
      <c r="E8352" t="inlineStr">
        <is>
          <t>OCKELBO</t>
        </is>
      </c>
      <c r="G8352" t="n">
        <v>5</v>
      </c>
      <c r="H8352" t="n">
        <v>0</v>
      </c>
      <c r="I8352" t="n">
        <v>0</v>
      </c>
      <c r="J8352" t="n">
        <v>0</v>
      </c>
      <c r="K8352" t="n">
        <v>0</v>
      </c>
      <c r="L8352" t="n">
        <v>0</v>
      </c>
      <c r="M8352" t="n">
        <v>0</v>
      </c>
      <c r="N8352" t="n">
        <v>0</v>
      </c>
      <c r="O8352" t="n">
        <v>0</v>
      </c>
      <c r="P8352" t="n">
        <v>0</v>
      </c>
      <c r="Q8352" t="n">
        <v>0</v>
      </c>
      <c r="R8352" s="2" t="inlineStr"/>
    </row>
    <row r="8353" ht="15" customHeight="1">
      <c r="A8353" t="inlineStr">
        <is>
          <t>A 3975-2026</t>
        </is>
      </c>
      <c r="B8353" s="1" t="n">
        <v>46044</v>
      </c>
      <c r="C8353" s="1" t="n">
        <v>46086</v>
      </c>
      <c r="D8353" t="inlineStr">
        <is>
          <t>GÄVLEBORGS LÄN</t>
        </is>
      </c>
      <c r="E8353" t="inlineStr">
        <is>
          <t>HUDIKSVALL</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6464-2026</t>
        </is>
      </c>
      <c r="B8354" s="1" t="n">
        <v>46056.30787037037</v>
      </c>
      <c r="C8354" s="1" t="n">
        <v>46086</v>
      </c>
      <c r="D8354" t="inlineStr">
        <is>
          <t>GÄVLEBORGS LÄN</t>
        </is>
      </c>
      <c r="E8354" t="inlineStr">
        <is>
          <t>BOLLNÄS</t>
        </is>
      </c>
      <c r="G8354" t="n">
        <v>7.5</v>
      </c>
      <c r="H8354" t="n">
        <v>0</v>
      </c>
      <c r="I8354" t="n">
        <v>0</v>
      </c>
      <c r="J8354" t="n">
        <v>0</v>
      </c>
      <c r="K8354" t="n">
        <v>0</v>
      </c>
      <c r="L8354" t="n">
        <v>0</v>
      </c>
      <c r="M8354" t="n">
        <v>0</v>
      </c>
      <c r="N8354" t="n">
        <v>0</v>
      </c>
      <c r="O8354" t="n">
        <v>0</v>
      </c>
      <c r="P8354" t="n">
        <v>0</v>
      </c>
      <c r="Q8354" t="n">
        <v>0</v>
      </c>
      <c r="R8354" s="2" t="inlineStr"/>
    </row>
    <row r="8355" ht="15" customHeight="1">
      <c r="A8355" t="inlineStr">
        <is>
          <t>A 6471-2026</t>
        </is>
      </c>
      <c r="B8355" s="1" t="n">
        <v>46056.32709490741</v>
      </c>
      <c r="C8355" s="1" t="n">
        <v>46086</v>
      </c>
      <c r="D8355" t="inlineStr">
        <is>
          <t>GÄVLEBORGS LÄN</t>
        </is>
      </c>
      <c r="E8355" t="inlineStr">
        <is>
          <t>SANDVIKEN</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8073-2022</t>
        </is>
      </c>
      <c r="B8356" s="1" t="n">
        <v>44609.49275462963</v>
      </c>
      <c r="C8356" s="1" t="n">
        <v>46086</v>
      </c>
      <c r="D8356" t="inlineStr">
        <is>
          <t>GÄVLEBORGS LÄN</t>
        </is>
      </c>
      <c r="E8356" t="inlineStr">
        <is>
          <t>SÖDERHAMN</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7470-2026</t>
        </is>
      </c>
      <c r="B8357" s="1" t="n">
        <v>46059.49020833334</v>
      </c>
      <c r="C8357" s="1" t="n">
        <v>46086</v>
      </c>
      <c r="D8357" t="inlineStr">
        <is>
          <t>GÄVLEBORGS LÄN</t>
        </is>
      </c>
      <c r="E8357" t="inlineStr">
        <is>
          <t>BOLLNÄS</t>
        </is>
      </c>
      <c r="G8357" t="n">
        <v>3.6</v>
      </c>
      <c r="H8357" t="n">
        <v>0</v>
      </c>
      <c r="I8357" t="n">
        <v>0</v>
      </c>
      <c r="J8357" t="n">
        <v>0</v>
      </c>
      <c r="K8357" t="n">
        <v>0</v>
      </c>
      <c r="L8357" t="n">
        <v>0</v>
      </c>
      <c r="M8357" t="n">
        <v>0</v>
      </c>
      <c r="N8357" t="n">
        <v>0</v>
      </c>
      <c r="O8357" t="n">
        <v>0</v>
      </c>
      <c r="P8357" t="n">
        <v>0</v>
      </c>
      <c r="Q8357" t="n">
        <v>0</v>
      </c>
      <c r="R8357" s="2" t="inlineStr"/>
    </row>
    <row r="8358" ht="15" customHeight="1">
      <c r="A8358" t="inlineStr">
        <is>
          <t>A 7486-2026</t>
        </is>
      </c>
      <c r="B8358" s="1" t="n">
        <v>46059.52850694444</v>
      </c>
      <c r="C8358" s="1" t="n">
        <v>46086</v>
      </c>
      <c r="D8358" t="inlineStr">
        <is>
          <t>GÄVLEBORGS LÄN</t>
        </is>
      </c>
      <c r="E8358" t="inlineStr">
        <is>
          <t>LJUSDAL</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7524-2026</t>
        </is>
      </c>
      <c r="B8359" s="1" t="n">
        <v>46059.60871527778</v>
      </c>
      <c r="C8359" s="1" t="n">
        <v>46086</v>
      </c>
      <c r="D8359" t="inlineStr">
        <is>
          <t>GÄVLEBORGS LÄN</t>
        </is>
      </c>
      <c r="E8359" t="inlineStr">
        <is>
          <t>OVANÅKER</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7215-2026</t>
        </is>
      </c>
      <c r="B8360" s="1" t="n">
        <v>46058.55074074074</v>
      </c>
      <c r="C8360" s="1" t="n">
        <v>46086</v>
      </c>
      <c r="D8360" t="inlineStr">
        <is>
          <t>GÄVLEBORGS LÄN</t>
        </is>
      </c>
      <c r="E8360" t="inlineStr">
        <is>
          <t>BOLLNÄS</t>
        </is>
      </c>
      <c r="G8360" t="n">
        <v>3.4</v>
      </c>
      <c r="H8360" t="n">
        <v>0</v>
      </c>
      <c r="I8360" t="n">
        <v>0</v>
      </c>
      <c r="J8360" t="n">
        <v>0</v>
      </c>
      <c r="K8360" t="n">
        <v>0</v>
      </c>
      <c r="L8360" t="n">
        <v>0</v>
      </c>
      <c r="M8360" t="n">
        <v>0</v>
      </c>
      <c r="N8360" t="n">
        <v>0</v>
      </c>
      <c r="O8360" t="n">
        <v>0</v>
      </c>
      <c r="P8360" t="n">
        <v>0</v>
      </c>
      <c r="Q8360" t="n">
        <v>0</v>
      </c>
      <c r="R8360" s="2" t="inlineStr"/>
    </row>
    <row r="8361" ht="15" customHeight="1">
      <c r="A8361" t="inlineStr">
        <is>
          <t>A 7225-2026</t>
        </is>
      </c>
      <c r="B8361" s="1" t="n">
        <v>46058.56771990741</v>
      </c>
      <c r="C8361" s="1" t="n">
        <v>46086</v>
      </c>
      <c r="D8361" t="inlineStr">
        <is>
          <t>GÄVLEBORGS LÄN</t>
        </is>
      </c>
      <c r="E8361" t="inlineStr">
        <is>
          <t>OVANÅKER</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7245-2026</t>
        </is>
      </c>
      <c r="B8362" s="1" t="n">
        <v>46058.58692129629</v>
      </c>
      <c r="C8362" s="1" t="n">
        <v>46086</v>
      </c>
      <c r="D8362" t="inlineStr">
        <is>
          <t>GÄVLEBORGS LÄN</t>
        </is>
      </c>
      <c r="E8362" t="inlineStr">
        <is>
          <t>OCKELBO</t>
        </is>
      </c>
      <c r="F8362" t="inlineStr">
        <is>
          <t>Bergvik skog väst AB</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7268-2026</t>
        </is>
      </c>
      <c r="B8363" s="1" t="n">
        <v>46058.60949074074</v>
      </c>
      <c r="C8363" s="1" t="n">
        <v>46086</v>
      </c>
      <c r="D8363" t="inlineStr">
        <is>
          <t>GÄVLEBORGS LÄN</t>
        </is>
      </c>
      <c r="E8363" t="inlineStr">
        <is>
          <t>LJUSDAL</t>
        </is>
      </c>
      <c r="G8363" t="n">
        <v>3.4</v>
      </c>
      <c r="H8363" t="n">
        <v>0</v>
      </c>
      <c r="I8363" t="n">
        <v>0</v>
      </c>
      <c r="J8363" t="n">
        <v>0</v>
      </c>
      <c r="K8363" t="n">
        <v>0</v>
      </c>
      <c r="L8363" t="n">
        <v>0</v>
      </c>
      <c r="M8363" t="n">
        <v>0</v>
      </c>
      <c r="N8363" t="n">
        <v>0</v>
      </c>
      <c r="O8363" t="n">
        <v>0</v>
      </c>
      <c r="P8363" t="n">
        <v>0</v>
      </c>
      <c r="Q8363" t="n">
        <v>0</v>
      </c>
      <c r="R8363" s="2" t="inlineStr"/>
    </row>
    <row r="8364" ht="15" customHeight="1">
      <c r="A8364" t="inlineStr">
        <is>
          <t>A 7287-2026</t>
        </is>
      </c>
      <c r="B8364" s="1" t="n">
        <v>46058.63787037037</v>
      </c>
      <c r="C8364" s="1" t="n">
        <v>46086</v>
      </c>
      <c r="D8364" t="inlineStr">
        <is>
          <t>GÄVLEBORGS LÄN</t>
        </is>
      </c>
      <c r="E8364" t="inlineStr">
        <is>
          <t>OVANÅKER</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7333-2026</t>
        </is>
      </c>
      <c r="B8365" s="1" t="n">
        <v>46058.78822916667</v>
      </c>
      <c r="C8365" s="1" t="n">
        <v>46086</v>
      </c>
      <c r="D8365" t="inlineStr">
        <is>
          <t>GÄVLEBORGS LÄN</t>
        </is>
      </c>
      <c r="E8365" t="inlineStr">
        <is>
          <t>OVANÅKER</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57905-2022</t>
        </is>
      </c>
      <c r="B8366" s="1" t="n">
        <v>44900</v>
      </c>
      <c r="C8366" s="1" t="n">
        <v>46086</v>
      </c>
      <c r="D8366" t="inlineStr">
        <is>
          <t>GÄVLEBORGS LÄN</t>
        </is>
      </c>
      <c r="E8366" t="inlineStr">
        <is>
          <t>LJUSDAL</t>
        </is>
      </c>
      <c r="F8366" t="inlineStr">
        <is>
          <t>Allmännings- och besparingsskogar</t>
        </is>
      </c>
      <c r="G8366" t="n">
        <v>11.5</v>
      </c>
      <c r="H8366" t="n">
        <v>0</v>
      </c>
      <c r="I8366" t="n">
        <v>0</v>
      </c>
      <c r="J8366" t="n">
        <v>0</v>
      </c>
      <c r="K8366" t="n">
        <v>0</v>
      </c>
      <c r="L8366" t="n">
        <v>0</v>
      </c>
      <c r="M8366" t="n">
        <v>0</v>
      </c>
      <c r="N8366" t="n">
        <v>0</v>
      </c>
      <c r="O8366" t="n">
        <v>0</v>
      </c>
      <c r="P8366" t="n">
        <v>0</v>
      </c>
      <c r="Q8366" t="n">
        <v>0</v>
      </c>
      <c r="R8366" s="2" t="inlineStr"/>
    </row>
    <row r="8367" ht="15" customHeight="1">
      <c r="A8367" t="inlineStr">
        <is>
          <t>A 5587-2026</t>
        </is>
      </c>
      <c r="B8367" s="1" t="n">
        <v>46051</v>
      </c>
      <c r="C8367" s="1" t="n">
        <v>46086</v>
      </c>
      <c r="D8367" t="inlineStr">
        <is>
          <t>GÄVLEBORGS LÄN</t>
        </is>
      </c>
      <c r="E8367" t="inlineStr">
        <is>
          <t>OVANÅKER</t>
        </is>
      </c>
      <c r="F8367" t="inlineStr">
        <is>
          <t>Bergvik skog väst AB</t>
        </is>
      </c>
      <c r="G8367" t="n">
        <v>8.1</v>
      </c>
      <c r="H8367" t="n">
        <v>0</v>
      </c>
      <c r="I8367" t="n">
        <v>0</v>
      </c>
      <c r="J8367" t="n">
        <v>0</v>
      </c>
      <c r="K8367" t="n">
        <v>0</v>
      </c>
      <c r="L8367" t="n">
        <v>0</v>
      </c>
      <c r="M8367" t="n">
        <v>0</v>
      </c>
      <c r="N8367" t="n">
        <v>0</v>
      </c>
      <c r="O8367" t="n">
        <v>0</v>
      </c>
      <c r="P8367" t="n">
        <v>0</v>
      </c>
      <c r="Q8367" t="n">
        <v>0</v>
      </c>
      <c r="R8367" s="2" t="inlineStr"/>
    </row>
    <row r="8368" ht="15" customHeight="1">
      <c r="A8368" t="inlineStr">
        <is>
          <t>A 4267-2026</t>
        </is>
      </c>
      <c r="B8368" s="1" t="n">
        <v>46045</v>
      </c>
      <c r="C8368" s="1" t="n">
        <v>46086</v>
      </c>
      <c r="D8368" t="inlineStr">
        <is>
          <t>GÄVLEBORGS LÄN</t>
        </is>
      </c>
      <c r="E8368" t="inlineStr">
        <is>
          <t>OCKELBO</t>
        </is>
      </c>
      <c r="F8368" t="inlineStr">
        <is>
          <t>Bergvik skog väst AB</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4458-2026</t>
        </is>
      </c>
      <c r="B8369" s="1" t="n">
        <v>46045</v>
      </c>
      <c r="C8369" s="1" t="n">
        <v>46086</v>
      </c>
      <c r="D8369" t="inlineStr">
        <is>
          <t>GÄVLEBORGS LÄN</t>
        </is>
      </c>
      <c r="E8369" t="inlineStr">
        <is>
          <t>BOLLNÄS</t>
        </is>
      </c>
      <c r="G8369" t="n">
        <v>4.6</v>
      </c>
      <c r="H8369" t="n">
        <v>0</v>
      </c>
      <c r="I8369" t="n">
        <v>0</v>
      </c>
      <c r="J8369" t="n">
        <v>0</v>
      </c>
      <c r="K8369" t="n">
        <v>0</v>
      </c>
      <c r="L8369" t="n">
        <v>0</v>
      </c>
      <c r="M8369" t="n">
        <v>0</v>
      </c>
      <c r="N8369" t="n">
        <v>0</v>
      </c>
      <c r="O8369" t="n">
        <v>0</v>
      </c>
      <c r="P8369" t="n">
        <v>0</v>
      </c>
      <c r="Q8369" t="n">
        <v>0</v>
      </c>
      <c r="R8369" s="2" t="inlineStr"/>
    </row>
    <row r="8370" ht="15" customHeight="1">
      <c r="A8370" t="inlineStr">
        <is>
          <t>A 4062-2026</t>
        </is>
      </c>
      <c r="B8370" s="1" t="n">
        <v>46044</v>
      </c>
      <c r="C8370" s="1" t="n">
        <v>46086</v>
      </c>
      <c r="D8370" t="inlineStr">
        <is>
          <t>GÄVLEBORGS LÄN</t>
        </is>
      </c>
      <c r="E8370" t="inlineStr">
        <is>
          <t>BOLLNÄS</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7360-2026</t>
        </is>
      </c>
      <c r="B8371" s="1" t="n">
        <v>46058.7768287037</v>
      </c>
      <c r="C8371" s="1" t="n">
        <v>46086</v>
      </c>
      <c r="D8371" t="inlineStr">
        <is>
          <t>GÄVLEBORGS LÄN</t>
        </is>
      </c>
      <c r="E8371" t="inlineStr">
        <is>
          <t>SANDVIKEN</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7280-2026</t>
        </is>
      </c>
      <c r="B8372" s="1" t="n">
        <v>46058.63459490741</v>
      </c>
      <c r="C8372" s="1" t="n">
        <v>46086</v>
      </c>
      <c r="D8372" t="inlineStr">
        <is>
          <t>GÄVLEBORGS LÄN</t>
        </is>
      </c>
      <c r="E8372" t="inlineStr">
        <is>
          <t>BOLLNÄS</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7111-2026</t>
        </is>
      </c>
      <c r="B8373" s="1" t="n">
        <v>46058.37325231481</v>
      </c>
      <c r="C8373" s="1" t="n">
        <v>46086</v>
      </c>
      <c r="D8373" t="inlineStr">
        <is>
          <t>GÄVLEBORGS LÄN</t>
        </is>
      </c>
      <c r="E8373" t="inlineStr">
        <is>
          <t>SÖDERHAMN</t>
        </is>
      </c>
      <c r="F8373" t="inlineStr">
        <is>
          <t>Övriga statliga verk och myndigheter</t>
        </is>
      </c>
      <c r="G8373" t="n">
        <v>11.3</v>
      </c>
      <c r="H8373" t="n">
        <v>0</v>
      </c>
      <c r="I8373" t="n">
        <v>0</v>
      </c>
      <c r="J8373" t="n">
        <v>0</v>
      </c>
      <c r="K8373" t="n">
        <v>0</v>
      </c>
      <c r="L8373" t="n">
        <v>0</v>
      </c>
      <c r="M8373" t="n">
        <v>0</v>
      </c>
      <c r="N8373" t="n">
        <v>0</v>
      </c>
      <c r="O8373" t="n">
        <v>0</v>
      </c>
      <c r="P8373" t="n">
        <v>0</v>
      </c>
      <c r="Q8373" t="n">
        <v>0</v>
      </c>
      <c r="R8373" s="2" t="inlineStr"/>
    </row>
    <row r="8374" ht="15" customHeight="1">
      <c r="A8374" t="inlineStr">
        <is>
          <t>A 7112-2026</t>
        </is>
      </c>
      <c r="B8374" s="1" t="n">
        <v>46058.37418981481</v>
      </c>
      <c r="C8374" s="1" t="n">
        <v>46086</v>
      </c>
      <c r="D8374" t="inlineStr">
        <is>
          <t>GÄVLEBORGS LÄN</t>
        </is>
      </c>
      <c r="E8374" t="inlineStr">
        <is>
          <t>BOLLNÄS</t>
        </is>
      </c>
      <c r="G8374" t="n">
        <v>7.8</v>
      </c>
      <c r="H8374" t="n">
        <v>0</v>
      </c>
      <c r="I8374" t="n">
        <v>0</v>
      </c>
      <c r="J8374" t="n">
        <v>0</v>
      </c>
      <c r="K8374" t="n">
        <v>0</v>
      </c>
      <c r="L8374" t="n">
        <v>0</v>
      </c>
      <c r="M8374" t="n">
        <v>0</v>
      </c>
      <c r="N8374" t="n">
        <v>0</v>
      </c>
      <c r="O8374" t="n">
        <v>0</v>
      </c>
      <c r="P8374" t="n">
        <v>0</v>
      </c>
      <c r="Q8374" t="n">
        <v>0</v>
      </c>
      <c r="R8374" s="2" t="inlineStr"/>
    </row>
    <row r="8375" ht="15" customHeight="1">
      <c r="A8375" t="inlineStr">
        <is>
          <t>A 54273-2024</t>
        </is>
      </c>
      <c r="B8375" s="1" t="n">
        <v>45616.82413194444</v>
      </c>
      <c r="C8375" s="1" t="n">
        <v>46086</v>
      </c>
      <c r="D8375" t="inlineStr">
        <is>
          <t>GÄVLEBORGS LÄN</t>
        </is>
      </c>
      <c r="E8375" t="inlineStr">
        <is>
          <t>OVANÅKER</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52655-2024</t>
        </is>
      </c>
      <c r="B8376" s="1" t="n">
        <v>45610.35550925926</v>
      </c>
      <c r="C8376" s="1" t="n">
        <v>46086</v>
      </c>
      <c r="D8376" t="inlineStr">
        <is>
          <t>GÄVLEBORGS LÄN</t>
        </is>
      </c>
      <c r="E8376" t="inlineStr">
        <is>
          <t>NORDANSTIG</t>
        </is>
      </c>
      <c r="F8376" t="inlineStr">
        <is>
          <t>Holmen skog AB</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5580-2026</t>
        </is>
      </c>
      <c r="B8377" s="1" t="n">
        <v>46051</v>
      </c>
      <c r="C8377" s="1" t="n">
        <v>46086</v>
      </c>
      <c r="D8377" t="inlineStr">
        <is>
          <t>GÄVLEBORGS LÄN</t>
        </is>
      </c>
      <c r="E8377" t="inlineStr">
        <is>
          <t>OVANÅKER</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7068-2026</t>
        </is>
      </c>
      <c r="B8378" s="1" t="n">
        <v>46058.29828703704</v>
      </c>
      <c r="C8378" s="1" t="n">
        <v>46086</v>
      </c>
      <c r="D8378" t="inlineStr">
        <is>
          <t>GÄVLEBORGS LÄN</t>
        </is>
      </c>
      <c r="E8378" t="inlineStr">
        <is>
          <t>BOLLNÄS</t>
        </is>
      </c>
      <c r="G8378" t="n">
        <v>3.8</v>
      </c>
      <c r="H8378" t="n">
        <v>0</v>
      </c>
      <c r="I8378" t="n">
        <v>0</v>
      </c>
      <c r="J8378" t="n">
        <v>0</v>
      </c>
      <c r="K8378" t="n">
        <v>0</v>
      </c>
      <c r="L8378" t="n">
        <v>0</v>
      </c>
      <c r="M8378" t="n">
        <v>0</v>
      </c>
      <c r="N8378" t="n">
        <v>0</v>
      </c>
      <c r="O8378" t="n">
        <v>0</v>
      </c>
      <c r="P8378" t="n">
        <v>0</v>
      </c>
      <c r="Q8378" t="n">
        <v>0</v>
      </c>
      <c r="R8378" s="2" t="inlineStr"/>
    </row>
    <row r="8379" ht="15" customHeight="1">
      <c r="A8379" t="inlineStr">
        <is>
          <t>A 7088-2026</t>
        </is>
      </c>
      <c r="B8379" s="1" t="n">
        <v>46058.34273148148</v>
      </c>
      <c r="C8379" s="1" t="n">
        <v>46086</v>
      </c>
      <c r="D8379" t="inlineStr">
        <is>
          <t>GÄVLEBORGS LÄN</t>
        </is>
      </c>
      <c r="E8379" t="inlineStr">
        <is>
          <t>BOLLNÄS</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47059-2024</t>
        </is>
      </c>
      <c r="B8380" s="1" t="n">
        <v>45586.46855324074</v>
      </c>
      <c r="C8380" s="1" t="n">
        <v>46086</v>
      </c>
      <c r="D8380" t="inlineStr">
        <is>
          <t>GÄVLEBORGS LÄN</t>
        </is>
      </c>
      <c r="E8380" t="inlineStr">
        <is>
          <t>HUDIKSVALL</t>
        </is>
      </c>
      <c r="G8380" t="n">
        <v>18.2</v>
      </c>
      <c r="H8380" t="n">
        <v>0</v>
      </c>
      <c r="I8380" t="n">
        <v>0</v>
      </c>
      <c r="J8380" t="n">
        <v>0</v>
      </c>
      <c r="K8380" t="n">
        <v>0</v>
      </c>
      <c r="L8380" t="n">
        <v>0</v>
      </c>
      <c r="M8380" t="n">
        <v>0</v>
      </c>
      <c r="N8380" t="n">
        <v>0</v>
      </c>
      <c r="O8380" t="n">
        <v>0</v>
      </c>
      <c r="P8380" t="n">
        <v>0</v>
      </c>
      <c r="Q8380" t="n">
        <v>0</v>
      </c>
      <c r="R8380" s="2" t="inlineStr"/>
    </row>
    <row r="8381" ht="15" customHeight="1">
      <c r="A8381" t="inlineStr">
        <is>
          <t>A 7091-2026</t>
        </is>
      </c>
      <c r="B8381" s="1" t="n">
        <v>46058.34454861111</v>
      </c>
      <c r="C8381" s="1" t="n">
        <v>46086</v>
      </c>
      <c r="D8381" t="inlineStr">
        <is>
          <t>GÄVLEBORGS LÄN</t>
        </is>
      </c>
      <c r="E8381" t="inlineStr">
        <is>
          <t>BOLLNÄS</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7096-2026</t>
        </is>
      </c>
      <c r="B8382" s="1" t="n">
        <v>46058.35065972222</v>
      </c>
      <c r="C8382" s="1" t="n">
        <v>46086</v>
      </c>
      <c r="D8382" t="inlineStr">
        <is>
          <t>GÄVLEBORGS LÄN</t>
        </is>
      </c>
      <c r="E8382" t="inlineStr">
        <is>
          <t>SANDVIKEN</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5340-2026</t>
        </is>
      </c>
      <c r="B8383" s="1" t="n">
        <v>46050</v>
      </c>
      <c r="C8383" s="1" t="n">
        <v>46086</v>
      </c>
      <c r="D8383" t="inlineStr">
        <is>
          <t>GÄVLEBORGS LÄN</t>
        </is>
      </c>
      <c r="E8383" t="inlineStr">
        <is>
          <t>BOLLNÄS</t>
        </is>
      </c>
      <c r="G8383" t="n">
        <v>3.2</v>
      </c>
      <c r="H8383" t="n">
        <v>0</v>
      </c>
      <c r="I8383" t="n">
        <v>0</v>
      </c>
      <c r="J8383" t="n">
        <v>0</v>
      </c>
      <c r="K8383" t="n">
        <v>0</v>
      </c>
      <c r="L8383" t="n">
        <v>0</v>
      </c>
      <c r="M8383" t="n">
        <v>0</v>
      </c>
      <c r="N8383" t="n">
        <v>0</v>
      </c>
      <c r="O8383" t="n">
        <v>0</v>
      </c>
      <c r="P8383" t="n">
        <v>0</v>
      </c>
      <c r="Q8383" t="n">
        <v>0</v>
      </c>
      <c r="R8383" s="2" t="inlineStr"/>
    </row>
    <row r="8384" ht="15" customHeight="1">
      <c r="A8384" t="inlineStr">
        <is>
          <t>A 5373-2026</t>
        </is>
      </c>
      <c r="B8384" s="1" t="n">
        <v>46050</v>
      </c>
      <c r="C8384" s="1" t="n">
        <v>46086</v>
      </c>
      <c r="D8384" t="inlineStr">
        <is>
          <t>GÄVLEBORGS LÄN</t>
        </is>
      </c>
      <c r="E8384" t="inlineStr">
        <is>
          <t>BOLLNÄS</t>
        </is>
      </c>
      <c r="F8384" t="inlineStr">
        <is>
          <t>Bergvik skog väst AB</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7479-2026</t>
        </is>
      </c>
      <c r="B8385" s="1" t="n">
        <v>46059.50855324074</v>
      </c>
      <c r="C8385" s="1" t="n">
        <v>46086</v>
      </c>
      <c r="D8385" t="inlineStr">
        <is>
          <t>GÄVLEBORGS LÄN</t>
        </is>
      </c>
      <c r="E8385" t="inlineStr">
        <is>
          <t>BOLLNÄS</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34867-2024</t>
        </is>
      </c>
      <c r="B8386" s="1" t="n">
        <v>45527.34408564815</v>
      </c>
      <c r="C8386" s="1" t="n">
        <v>46086</v>
      </c>
      <c r="D8386" t="inlineStr">
        <is>
          <t>GÄVLEBORGS LÄN</t>
        </is>
      </c>
      <c r="E8386" t="inlineStr">
        <is>
          <t>BOLLNÄS</t>
        </is>
      </c>
      <c r="F8386" t="inlineStr">
        <is>
          <t>Bergvik skog väst AB</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7467-2026</t>
        </is>
      </c>
      <c r="B8387" s="1" t="n">
        <v>46058</v>
      </c>
      <c r="C8387" s="1" t="n">
        <v>46086</v>
      </c>
      <c r="D8387" t="inlineStr">
        <is>
          <t>GÄVLEBORGS LÄN</t>
        </is>
      </c>
      <c r="E8387" t="inlineStr">
        <is>
          <t>OVANÅKER</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7468-2026</t>
        </is>
      </c>
      <c r="B8388" s="1" t="n">
        <v>46058</v>
      </c>
      <c r="C8388" s="1" t="n">
        <v>46086</v>
      </c>
      <c r="D8388" t="inlineStr">
        <is>
          <t>GÄVLEBORGS LÄN</t>
        </is>
      </c>
      <c r="E8388" t="inlineStr">
        <is>
          <t>OVANÅKER</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7309-2026</t>
        </is>
      </c>
      <c r="B8389" s="1" t="n">
        <v>46058.66096064815</v>
      </c>
      <c r="C8389" s="1" t="n">
        <v>46086</v>
      </c>
      <c r="D8389" t="inlineStr">
        <is>
          <t>GÄVLEBORGS LÄN</t>
        </is>
      </c>
      <c r="E8389" t="inlineStr">
        <is>
          <t>BOLLNÄS</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7331-2026</t>
        </is>
      </c>
      <c r="B8390" s="1" t="n">
        <v>46058.68724537037</v>
      </c>
      <c r="C8390" s="1" t="n">
        <v>46086</v>
      </c>
      <c r="D8390" t="inlineStr">
        <is>
          <t>GÄVLEBORGS LÄN</t>
        </is>
      </c>
      <c r="E8390" t="inlineStr">
        <is>
          <t>OCKELBO</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7339-2026</t>
        </is>
      </c>
      <c r="B8391" s="1" t="n">
        <v>46058.88850694444</v>
      </c>
      <c r="C8391" s="1" t="n">
        <v>46086</v>
      </c>
      <c r="D8391" t="inlineStr">
        <is>
          <t>GÄVLEBORGS LÄN</t>
        </is>
      </c>
      <c r="E8391" t="inlineStr">
        <is>
          <t>BOLLNÄS</t>
        </is>
      </c>
      <c r="G8391" t="n">
        <v>12.1</v>
      </c>
      <c r="H8391" t="n">
        <v>0</v>
      </c>
      <c r="I8391" t="n">
        <v>0</v>
      </c>
      <c r="J8391" t="n">
        <v>0</v>
      </c>
      <c r="K8391" t="n">
        <v>0</v>
      </c>
      <c r="L8391" t="n">
        <v>0</v>
      </c>
      <c r="M8391" t="n">
        <v>0</v>
      </c>
      <c r="N8391" t="n">
        <v>0</v>
      </c>
      <c r="O8391" t="n">
        <v>0</v>
      </c>
      <c r="P8391" t="n">
        <v>0</v>
      </c>
      <c r="Q8391" t="n">
        <v>0</v>
      </c>
      <c r="R8391" s="2" t="inlineStr"/>
    </row>
    <row r="8392" ht="15" customHeight="1">
      <c r="A8392" t="inlineStr">
        <is>
          <t>A 7346-2026</t>
        </is>
      </c>
      <c r="B8392" s="1" t="n">
        <v>46058.90762731482</v>
      </c>
      <c r="C8392" s="1" t="n">
        <v>46086</v>
      </c>
      <c r="D8392" t="inlineStr">
        <is>
          <t>GÄVLEBORGS LÄN</t>
        </is>
      </c>
      <c r="E8392" t="inlineStr">
        <is>
          <t>SANDVIKEN</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7347-2026</t>
        </is>
      </c>
      <c r="B8393" s="1" t="n">
        <v>46058.90876157407</v>
      </c>
      <c r="C8393" s="1" t="n">
        <v>46086</v>
      </c>
      <c r="D8393" t="inlineStr">
        <is>
          <t>GÄVLEBORGS LÄN</t>
        </is>
      </c>
      <c r="E8393" t="inlineStr">
        <is>
          <t>SANDVIKEN</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7348-2026</t>
        </is>
      </c>
      <c r="B8394" s="1" t="n">
        <v>46058.9102199074</v>
      </c>
      <c r="C8394" s="1" t="n">
        <v>46086</v>
      </c>
      <c r="D8394" t="inlineStr">
        <is>
          <t>GÄVLEBORGS LÄN</t>
        </is>
      </c>
      <c r="E8394" t="inlineStr">
        <is>
          <t>SANDVIKEN</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7354-2026</t>
        </is>
      </c>
      <c r="B8395" s="1" t="n">
        <v>46059.27091435185</v>
      </c>
      <c r="C8395" s="1" t="n">
        <v>46086</v>
      </c>
      <c r="D8395" t="inlineStr">
        <is>
          <t>GÄVLEBORGS LÄN</t>
        </is>
      </c>
      <c r="E8395" t="inlineStr">
        <is>
          <t>OVANÅKER</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7408-2026</t>
        </is>
      </c>
      <c r="B8396" s="1" t="n">
        <v>46059.40171296296</v>
      </c>
      <c r="C8396" s="1" t="n">
        <v>46086</v>
      </c>
      <c r="D8396" t="inlineStr">
        <is>
          <t>GÄVLEBORGS LÄN</t>
        </is>
      </c>
      <c r="E8396" t="inlineStr">
        <is>
          <t>BOLLNÄS</t>
        </is>
      </c>
      <c r="G8396" t="n">
        <v>10.8</v>
      </c>
      <c r="H8396" t="n">
        <v>0</v>
      </c>
      <c r="I8396" t="n">
        <v>0</v>
      </c>
      <c r="J8396" t="n">
        <v>0</v>
      </c>
      <c r="K8396" t="n">
        <v>0</v>
      </c>
      <c r="L8396" t="n">
        <v>0</v>
      </c>
      <c r="M8396" t="n">
        <v>0</v>
      </c>
      <c r="N8396" t="n">
        <v>0</v>
      </c>
      <c r="O8396" t="n">
        <v>0</v>
      </c>
      <c r="P8396" t="n">
        <v>0</v>
      </c>
      <c r="Q8396" t="n">
        <v>0</v>
      </c>
      <c r="R8396" s="2" t="inlineStr"/>
    </row>
    <row r="8397" ht="15" customHeight="1">
      <c r="A8397" t="inlineStr">
        <is>
          <t>A 60120-2025</t>
        </is>
      </c>
      <c r="B8397" s="1" t="n">
        <v>45994.33106481482</v>
      </c>
      <c r="C8397" s="1" t="n">
        <v>46086</v>
      </c>
      <c r="D8397" t="inlineStr">
        <is>
          <t>GÄVLEBORGS LÄN</t>
        </is>
      </c>
      <c r="E8397" t="inlineStr">
        <is>
          <t>OCKELBO</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5267-2026</t>
        </is>
      </c>
      <c r="B8398" s="1" t="n">
        <v>46050.31341435185</v>
      </c>
      <c r="C8398" s="1" t="n">
        <v>46086</v>
      </c>
      <c r="D8398" t="inlineStr">
        <is>
          <t>GÄVLEBORGS LÄN</t>
        </is>
      </c>
      <c r="E8398" t="inlineStr">
        <is>
          <t>BOLLNÄS</t>
        </is>
      </c>
      <c r="F8398" t="inlineStr">
        <is>
          <t>Kommuner</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7141-2026</t>
        </is>
      </c>
      <c r="B8399" s="1" t="n">
        <v>46058.41209490741</v>
      </c>
      <c r="C8399" s="1" t="n">
        <v>46086</v>
      </c>
      <c r="D8399" t="inlineStr">
        <is>
          <t>GÄVLEBORGS LÄN</t>
        </is>
      </c>
      <c r="E8399" t="inlineStr">
        <is>
          <t>HUDIKSVALL</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7145-2026</t>
        </is>
      </c>
      <c r="B8400" s="1" t="n">
        <v>46058.42248842592</v>
      </c>
      <c r="C8400" s="1" t="n">
        <v>46086</v>
      </c>
      <c r="D8400" t="inlineStr">
        <is>
          <t>GÄVLEBORGS LÄN</t>
        </is>
      </c>
      <c r="E8400" t="inlineStr">
        <is>
          <t>BOLLNÄS</t>
        </is>
      </c>
      <c r="G8400" t="n">
        <v>3.5</v>
      </c>
      <c r="H8400" t="n">
        <v>0</v>
      </c>
      <c r="I8400" t="n">
        <v>0</v>
      </c>
      <c r="J8400" t="n">
        <v>0</v>
      </c>
      <c r="K8400" t="n">
        <v>0</v>
      </c>
      <c r="L8400" t="n">
        <v>0</v>
      </c>
      <c r="M8400" t="n">
        <v>0</v>
      </c>
      <c r="N8400" t="n">
        <v>0</v>
      </c>
      <c r="O8400" t="n">
        <v>0</v>
      </c>
      <c r="P8400" t="n">
        <v>0</v>
      </c>
      <c r="Q8400" t="n">
        <v>0</v>
      </c>
      <c r="R8400" s="2" t="inlineStr"/>
    </row>
    <row r="8401" ht="15" customHeight="1">
      <c r="A8401" t="inlineStr">
        <is>
          <t>A 7164-2026</t>
        </is>
      </c>
      <c r="B8401" s="1" t="n">
        <v>46058.45130787037</v>
      </c>
      <c r="C8401" s="1" t="n">
        <v>46086</v>
      </c>
      <c r="D8401" t="inlineStr">
        <is>
          <t>GÄVLEBORGS LÄN</t>
        </is>
      </c>
      <c r="E8401" t="inlineStr">
        <is>
          <t>LJUSDAL</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7200-2026</t>
        </is>
      </c>
      <c r="B8402" s="1" t="n">
        <v>46058</v>
      </c>
      <c r="C8402" s="1" t="n">
        <v>46086</v>
      </c>
      <c r="D8402" t="inlineStr">
        <is>
          <t>GÄVLEBORGS LÄN</t>
        </is>
      </c>
      <c r="E8402" t="inlineStr">
        <is>
          <t>LJUSDAL</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7209-2026</t>
        </is>
      </c>
      <c r="B8403" s="1" t="n">
        <v>46058.53673611111</v>
      </c>
      <c r="C8403" s="1" t="n">
        <v>46086</v>
      </c>
      <c r="D8403" t="inlineStr">
        <is>
          <t>GÄVLEBORGS LÄN</t>
        </is>
      </c>
      <c r="E8403" t="inlineStr">
        <is>
          <t>HOFORS</t>
        </is>
      </c>
      <c r="F8403" t="inlineStr">
        <is>
          <t>Sveaskog</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7239-2026</t>
        </is>
      </c>
      <c r="B8404" s="1" t="n">
        <v>46058.58331018518</v>
      </c>
      <c r="C8404" s="1" t="n">
        <v>46086</v>
      </c>
      <c r="D8404" t="inlineStr">
        <is>
          <t>GÄVLEBORGS LÄN</t>
        </is>
      </c>
      <c r="E8404" t="inlineStr">
        <is>
          <t>GÄVLE</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7264-2026</t>
        </is>
      </c>
      <c r="B8405" s="1" t="n">
        <v>46058.60697916667</v>
      </c>
      <c r="C8405" s="1" t="n">
        <v>46086</v>
      </c>
      <c r="D8405" t="inlineStr">
        <is>
          <t>GÄVLEBORGS LÄN</t>
        </is>
      </c>
      <c r="E8405" t="inlineStr">
        <is>
          <t>BOLLNÄS</t>
        </is>
      </c>
      <c r="G8405" t="n">
        <v>5.3</v>
      </c>
      <c r="H8405" t="n">
        <v>0</v>
      </c>
      <c r="I8405" t="n">
        <v>0</v>
      </c>
      <c r="J8405" t="n">
        <v>0</v>
      </c>
      <c r="K8405" t="n">
        <v>0</v>
      </c>
      <c r="L8405" t="n">
        <v>0</v>
      </c>
      <c r="M8405" t="n">
        <v>0</v>
      </c>
      <c r="N8405" t="n">
        <v>0</v>
      </c>
      <c r="O8405" t="n">
        <v>0</v>
      </c>
      <c r="P8405" t="n">
        <v>0</v>
      </c>
      <c r="Q8405" t="n">
        <v>0</v>
      </c>
      <c r="R8405" s="2" t="inlineStr"/>
    </row>
    <row r="8406" ht="15" customHeight="1">
      <c r="A8406" t="inlineStr">
        <is>
          <t>A 3115-2025</t>
        </is>
      </c>
      <c r="B8406" s="1" t="n">
        <v>45678.70383101852</v>
      </c>
      <c r="C8406" s="1" t="n">
        <v>46086</v>
      </c>
      <c r="D8406" t="inlineStr">
        <is>
          <t>GÄVLEBORGS LÄN</t>
        </is>
      </c>
      <c r="E8406" t="inlineStr">
        <is>
          <t>OVANÅKER</t>
        </is>
      </c>
      <c r="G8406" t="n">
        <v>6.2</v>
      </c>
      <c r="H8406" t="n">
        <v>0</v>
      </c>
      <c r="I8406" t="n">
        <v>0</v>
      </c>
      <c r="J8406" t="n">
        <v>0</v>
      </c>
      <c r="K8406" t="n">
        <v>0</v>
      </c>
      <c r="L8406" t="n">
        <v>0</v>
      </c>
      <c r="M8406" t="n">
        <v>0</v>
      </c>
      <c r="N8406" t="n">
        <v>0</v>
      </c>
      <c r="O8406" t="n">
        <v>0</v>
      </c>
      <c r="P8406" t="n">
        <v>0</v>
      </c>
      <c r="Q8406" t="n">
        <v>0</v>
      </c>
      <c r="R8406" s="2" t="inlineStr"/>
    </row>
    <row r="8407" ht="15" customHeight="1">
      <c r="A8407" t="inlineStr">
        <is>
          <t>A 7450-2026</t>
        </is>
      </c>
      <c r="B8407" s="1" t="n">
        <v>46059.46864583333</v>
      </c>
      <c r="C8407" s="1" t="n">
        <v>46086</v>
      </c>
      <c r="D8407" t="inlineStr">
        <is>
          <t>GÄVLEBORGS LÄN</t>
        </is>
      </c>
      <c r="E8407" t="inlineStr">
        <is>
          <t>OVANÅKER</t>
        </is>
      </c>
      <c r="G8407" t="n">
        <v>4.5</v>
      </c>
      <c r="H8407" t="n">
        <v>0</v>
      </c>
      <c r="I8407" t="n">
        <v>0</v>
      </c>
      <c r="J8407" t="n">
        <v>0</v>
      </c>
      <c r="K8407" t="n">
        <v>0</v>
      </c>
      <c r="L8407" t="n">
        <v>0</v>
      </c>
      <c r="M8407" t="n">
        <v>0</v>
      </c>
      <c r="N8407" t="n">
        <v>0</v>
      </c>
      <c r="O8407" t="n">
        <v>0</v>
      </c>
      <c r="P8407" t="n">
        <v>0</v>
      </c>
      <c r="Q8407" t="n">
        <v>0</v>
      </c>
      <c r="R8407" s="2" t="inlineStr"/>
    </row>
    <row r="8408" ht="15" customHeight="1">
      <c r="A8408" t="inlineStr">
        <is>
          <t>A 7451-2026</t>
        </is>
      </c>
      <c r="B8408" s="1" t="n">
        <v>46059.46886574074</v>
      </c>
      <c r="C8408" s="1" t="n">
        <v>46086</v>
      </c>
      <c r="D8408" t="inlineStr">
        <is>
          <t>GÄVLEBORGS LÄN</t>
        </is>
      </c>
      <c r="E8408" t="inlineStr">
        <is>
          <t>LJUSDAL</t>
        </is>
      </c>
      <c r="G8408" t="n">
        <v>3.5</v>
      </c>
      <c r="H8408" t="n">
        <v>0</v>
      </c>
      <c r="I8408" t="n">
        <v>0</v>
      </c>
      <c r="J8408" t="n">
        <v>0</v>
      </c>
      <c r="K8408" t="n">
        <v>0</v>
      </c>
      <c r="L8408" t="n">
        <v>0</v>
      </c>
      <c r="M8408" t="n">
        <v>0</v>
      </c>
      <c r="N8408" t="n">
        <v>0</v>
      </c>
      <c r="O8408" t="n">
        <v>0</v>
      </c>
      <c r="P8408" t="n">
        <v>0</v>
      </c>
      <c r="Q8408" t="n">
        <v>0</v>
      </c>
      <c r="R8408" s="2" t="inlineStr"/>
    </row>
    <row r="8409" ht="15" customHeight="1">
      <c r="A8409" t="inlineStr">
        <is>
          <t>A 7477-2026</t>
        </is>
      </c>
      <c r="B8409" s="1" t="n">
        <v>46058</v>
      </c>
      <c r="C8409" s="1" t="n">
        <v>46086</v>
      </c>
      <c r="D8409" t="inlineStr">
        <is>
          <t>GÄVLEBORGS LÄN</t>
        </is>
      </c>
      <c r="E8409" t="inlineStr">
        <is>
          <t>OVANÅKER</t>
        </is>
      </c>
      <c r="G8409" t="n">
        <v>3.9</v>
      </c>
      <c r="H8409" t="n">
        <v>0</v>
      </c>
      <c r="I8409" t="n">
        <v>0</v>
      </c>
      <c r="J8409" t="n">
        <v>0</v>
      </c>
      <c r="K8409" t="n">
        <v>0</v>
      </c>
      <c r="L8409" t="n">
        <v>0</v>
      </c>
      <c r="M8409" t="n">
        <v>0</v>
      </c>
      <c r="N8409" t="n">
        <v>0</v>
      </c>
      <c r="O8409" t="n">
        <v>0</v>
      </c>
      <c r="P8409" t="n">
        <v>0</v>
      </c>
      <c r="Q8409" t="n">
        <v>0</v>
      </c>
      <c r="R8409" s="2" t="inlineStr"/>
    </row>
    <row r="8410" ht="15" customHeight="1">
      <c r="A8410" t="inlineStr">
        <is>
          <t>A 7478-2026</t>
        </is>
      </c>
      <c r="B8410" s="1" t="n">
        <v>46058</v>
      </c>
      <c r="C8410" s="1" t="n">
        <v>46086</v>
      </c>
      <c r="D8410" t="inlineStr">
        <is>
          <t>GÄVLEBORGS LÄN</t>
        </is>
      </c>
      <c r="E8410" t="inlineStr">
        <is>
          <t>OVANÅKER</t>
        </is>
      </c>
      <c r="G8410" t="n">
        <v>2</v>
      </c>
      <c r="H8410" t="n">
        <v>0</v>
      </c>
      <c r="I8410" t="n">
        <v>0</v>
      </c>
      <c r="J8410" t="n">
        <v>0</v>
      </c>
      <c r="K8410" t="n">
        <v>0</v>
      </c>
      <c r="L8410" t="n">
        <v>0</v>
      </c>
      <c r="M8410" t="n">
        <v>0</v>
      </c>
      <c r="N8410" t="n">
        <v>0</v>
      </c>
      <c r="O8410" t="n">
        <v>0</v>
      </c>
      <c r="P8410" t="n">
        <v>0</v>
      </c>
      <c r="Q8410" t="n">
        <v>0</v>
      </c>
      <c r="R8410" s="2" t="inlineStr"/>
    </row>
    <row r="8411" ht="15" customHeight="1">
      <c r="A8411" t="inlineStr">
        <is>
          <t>A 60122-2025</t>
        </is>
      </c>
      <c r="B8411" s="1" t="n">
        <v>45994.3346875</v>
      </c>
      <c r="C8411" s="1" t="n">
        <v>46086</v>
      </c>
      <c r="D8411" t="inlineStr">
        <is>
          <t>GÄVLEBORGS LÄN</t>
        </is>
      </c>
      <c r="E8411" t="inlineStr">
        <is>
          <t>OCKELBO</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5573-2026</t>
        </is>
      </c>
      <c r="B8412" s="1" t="n">
        <v>46051.26194444444</v>
      </c>
      <c r="C8412" s="1" t="n">
        <v>46086</v>
      </c>
      <c r="D8412" t="inlineStr">
        <is>
          <t>GÄVLEBORGS LÄN</t>
        </is>
      </c>
      <c r="E8412" t="inlineStr">
        <is>
          <t>BOLLNÄS</t>
        </is>
      </c>
      <c r="G8412" t="n">
        <v>7.6</v>
      </c>
      <c r="H8412" t="n">
        <v>0</v>
      </c>
      <c r="I8412" t="n">
        <v>0</v>
      </c>
      <c r="J8412" t="n">
        <v>0</v>
      </c>
      <c r="K8412" t="n">
        <v>0</v>
      </c>
      <c r="L8412" t="n">
        <v>0</v>
      </c>
      <c r="M8412" t="n">
        <v>0</v>
      </c>
      <c r="N8412" t="n">
        <v>0</v>
      </c>
      <c r="O8412" t="n">
        <v>0</v>
      </c>
      <c r="P8412" t="n">
        <v>0</v>
      </c>
      <c r="Q8412" t="n">
        <v>0</v>
      </c>
      <c r="R8412" s="2" t="inlineStr"/>
    </row>
    <row r="8413" ht="15" customHeight="1">
      <c r="A8413" t="inlineStr">
        <is>
          <t>A 5585-2026</t>
        </is>
      </c>
      <c r="B8413" s="1" t="n">
        <v>46051</v>
      </c>
      <c r="C8413" s="1" t="n">
        <v>46086</v>
      </c>
      <c r="D8413" t="inlineStr">
        <is>
          <t>GÄVLEBORGS LÄN</t>
        </is>
      </c>
      <c r="E8413" t="inlineStr">
        <is>
          <t>BOLLNÄS</t>
        </is>
      </c>
      <c r="F8413" t="inlineStr">
        <is>
          <t>Bergvik skog väst AB</t>
        </is>
      </c>
      <c r="G8413" t="n">
        <v>5.2</v>
      </c>
      <c r="H8413" t="n">
        <v>0</v>
      </c>
      <c r="I8413" t="n">
        <v>0</v>
      </c>
      <c r="J8413" t="n">
        <v>0</v>
      </c>
      <c r="K8413" t="n">
        <v>0</v>
      </c>
      <c r="L8413" t="n">
        <v>0</v>
      </c>
      <c r="M8413" t="n">
        <v>0</v>
      </c>
      <c r="N8413" t="n">
        <v>0</v>
      </c>
      <c r="O8413" t="n">
        <v>0</v>
      </c>
      <c r="P8413" t="n">
        <v>0</v>
      </c>
      <c r="Q8413" t="n">
        <v>0</v>
      </c>
      <c r="R8413" s="2" t="inlineStr"/>
    </row>
    <row r="8414" ht="15" customHeight="1">
      <c r="A8414" t="inlineStr">
        <is>
          <t>A 5660-2026</t>
        </is>
      </c>
      <c r="B8414" s="1" t="n">
        <v>46051</v>
      </c>
      <c r="C8414" s="1" t="n">
        <v>46086</v>
      </c>
      <c r="D8414" t="inlineStr">
        <is>
          <t>GÄVLEBORGS LÄN</t>
        </is>
      </c>
      <c r="E8414" t="inlineStr">
        <is>
          <t>BOLLNÄS</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5396-2026</t>
        </is>
      </c>
      <c r="B8415" s="1" t="n">
        <v>46050</v>
      </c>
      <c r="C8415" s="1" t="n">
        <v>46086</v>
      </c>
      <c r="D8415" t="inlineStr">
        <is>
          <t>GÄVLEBORGS LÄN</t>
        </is>
      </c>
      <c r="E8415" t="inlineStr">
        <is>
          <t>BOLLNÄS</t>
        </is>
      </c>
      <c r="F8415" t="inlineStr">
        <is>
          <t>Bergvik skog väst AB</t>
        </is>
      </c>
      <c r="G8415" t="n">
        <v>0.4</v>
      </c>
      <c r="H8415" t="n">
        <v>0</v>
      </c>
      <c r="I8415" t="n">
        <v>0</v>
      </c>
      <c r="J8415" t="n">
        <v>0</v>
      </c>
      <c r="K8415" t="n">
        <v>0</v>
      </c>
      <c r="L8415" t="n">
        <v>0</v>
      </c>
      <c r="M8415" t="n">
        <v>0</v>
      </c>
      <c r="N8415" t="n">
        <v>0</v>
      </c>
      <c r="O8415" t="n">
        <v>0</v>
      </c>
      <c r="P8415" t="n">
        <v>0</v>
      </c>
      <c r="Q8415" t="n">
        <v>0</v>
      </c>
      <c r="R8415" s="2" t="inlineStr"/>
    </row>
    <row r="8416" ht="15" customHeight="1">
      <c r="A8416" t="inlineStr">
        <is>
          <t>A 5487-2026</t>
        </is>
      </c>
      <c r="B8416" s="1" t="n">
        <v>46050</v>
      </c>
      <c r="C8416" s="1" t="n">
        <v>46086</v>
      </c>
      <c r="D8416" t="inlineStr">
        <is>
          <t>GÄVLEBORGS LÄN</t>
        </is>
      </c>
      <c r="E8416" t="inlineStr">
        <is>
          <t>HUDIKSVALL</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5579-2026</t>
        </is>
      </c>
      <c r="B8417" s="1" t="n">
        <v>46051</v>
      </c>
      <c r="C8417" s="1" t="n">
        <v>46086</v>
      </c>
      <c r="D8417" t="inlineStr">
        <is>
          <t>GÄVLEBORGS LÄN</t>
        </is>
      </c>
      <c r="E8417" t="inlineStr">
        <is>
          <t>OVANÅKER</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5584-2026</t>
        </is>
      </c>
      <c r="B8418" s="1" t="n">
        <v>46051</v>
      </c>
      <c r="C8418" s="1" t="n">
        <v>46086</v>
      </c>
      <c r="D8418" t="inlineStr">
        <is>
          <t>GÄVLEBORGS LÄN</t>
        </is>
      </c>
      <c r="E8418" t="inlineStr">
        <is>
          <t>BOLLNÄS</t>
        </is>
      </c>
      <c r="F8418" t="inlineStr">
        <is>
          <t>Bergvik skog väst AB</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10893-2025</t>
        </is>
      </c>
      <c r="B8419" s="1" t="n">
        <v>45722.67835648148</v>
      </c>
      <c r="C8419" s="1" t="n">
        <v>46086</v>
      </c>
      <c r="D8419" t="inlineStr">
        <is>
          <t>GÄVLEBORGS LÄN</t>
        </is>
      </c>
      <c r="E8419" t="inlineStr">
        <is>
          <t>SANDVIKEN</t>
        </is>
      </c>
      <c r="G8419" t="n">
        <v>4.3</v>
      </c>
      <c r="H8419" t="n">
        <v>0</v>
      </c>
      <c r="I8419" t="n">
        <v>0</v>
      </c>
      <c r="J8419" t="n">
        <v>0</v>
      </c>
      <c r="K8419" t="n">
        <v>0</v>
      </c>
      <c r="L8419" t="n">
        <v>0</v>
      </c>
      <c r="M8419" t="n">
        <v>0</v>
      </c>
      <c r="N8419" t="n">
        <v>0</v>
      </c>
      <c r="O8419" t="n">
        <v>0</v>
      </c>
      <c r="P8419" t="n">
        <v>0</v>
      </c>
      <c r="Q8419" t="n">
        <v>0</v>
      </c>
      <c r="R8419" s="2" t="inlineStr"/>
    </row>
    <row r="8420" ht="15" customHeight="1">
      <c r="A8420" t="inlineStr">
        <is>
          <t>A 10895-2025</t>
        </is>
      </c>
      <c r="B8420" s="1" t="n">
        <v>45722.68167824074</v>
      </c>
      <c r="C8420" s="1" t="n">
        <v>46086</v>
      </c>
      <c r="D8420" t="inlineStr">
        <is>
          <t>GÄVLEBORGS LÄN</t>
        </is>
      </c>
      <c r="E8420" t="inlineStr">
        <is>
          <t>SANDVIKEN</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6732-2026</t>
        </is>
      </c>
      <c r="B8421" s="1" t="n">
        <v>46056</v>
      </c>
      <c r="C8421" s="1" t="n">
        <v>46086</v>
      </c>
      <c r="D8421" t="inlineStr">
        <is>
          <t>GÄVLEBORGS LÄN</t>
        </is>
      </c>
      <c r="E8421" t="inlineStr">
        <is>
          <t>HUDIKSVALL</t>
        </is>
      </c>
      <c r="G8421" t="n">
        <v>3.7</v>
      </c>
      <c r="H8421" t="n">
        <v>0</v>
      </c>
      <c r="I8421" t="n">
        <v>0</v>
      </c>
      <c r="J8421" t="n">
        <v>0</v>
      </c>
      <c r="K8421" t="n">
        <v>0</v>
      </c>
      <c r="L8421" t="n">
        <v>0</v>
      </c>
      <c r="M8421" t="n">
        <v>0</v>
      </c>
      <c r="N8421" t="n">
        <v>0</v>
      </c>
      <c r="O8421" t="n">
        <v>0</v>
      </c>
      <c r="P8421" t="n">
        <v>0</v>
      </c>
      <c r="Q8421" t="n">
        <v>0</v>
      </c>
      <c r="R8421" s="2" t="inlineStr"/>
    </row>
    <row r="8422" ht="15" customHeight="1">
      <c r="A8422" t="inlineStr">
        <is>
          <t>A 7139-2026</t>
        </is>
      </c>
      <c r="B8422" s="1" t="n">
        <v>46058.40991898148</v>
      </c>
      <c r="C8422" s="1" t="n">
        <v>46086</v>
      </c>
      <c r="D8422" t="inlineStr">
        <is>
          <t>GÄVLEBORGS LÄN</t>
        </is>
      </c>
      <c r="E8422" t="inlineStr">
        <is>
          <t>BOLLNÄS</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7464-2026</t>
        </is>
      </c>
      <c r="B8423" s="1" t="n">
        <v>46059.4814699074</v>
      </c>
      <c r="C8423" s="1" t="n">
        <v>46086</v>
      </c>
      <c r="D8423" t="inlineStr">
        <is>
          <t>GÄVLEBORGS LÄN</t>
        </is>
      </c>
      <c r="E8423" t="inlineStr">
        <is>
          <t>BOLLNÄS</t>
        </is>
      </c>
      <c r="G8423" t="n">
        <v>5.7</v>
      </c>
      <c r="H8423" t="n">
        <v>0</v>
      </c>
      <c r="I8423" t="n">
        <v>0</v>
      </c>
      <c r="J8423" t="n">
        <v>0</v>
      </c>
      <c r="K8423" t="n">
        <v>0</v>
      </c>
      <c r="L8423" t="n">
        <v>0</v>
      </c>
      <c r="M8423" t="n">
        <v>0</v>
      </c>
      <c r="N8423" t="n">
        <v>0</v>
      </c>
      <c r="O8423" t="n">
        <v>0</v>
      </c>
      <c r="P8423" t="n">
        <v>0</v>
      </c>
      <c r="Q8423" t="n">
        <v>0</v>
      </c>
      <c r="R8423" s="2" t="inlineStr"/>
    </row>
    <row r="8424" ht="15" customHeight="1">
      <c r="A8424" t="inlineStr">
        <is>
          <t>A 6232-2026</t>
        </is>
      </c>
      <c r="B8424" s="1" t="n">
        <v>46055</v>
      </c>
      <c r="C8424" s="1" t="n">
        <v>46086</v>
      </c>
      <c r="D8424" t="inlineStr">
        <is>
          <t>GÄVLEBORGS LÄN</t>
        </is>
      </c>
      <c r="E8424" t="inlineStr">
        <is>
          <t>SÖDERHAMN</t>
        </is>
      </c>
      <c r="G8424" t="n">
        <v>4</v>
      </c>
      <c r="H8424" t="n">
        <v>0</v>
      </c>
      <c r="I8424" t="n">
        <v>0</v>
      </c>
      <c r="J8424" t="n">
        <v>0</v>
      </c>
      <c r="K8424" t="n">
        <v>0</v>
      </c>
      <c r="L8424" t="n">
        <v>0</v>
      </c>
      <c r="M8424" t="n">
        <v>0</v>
      </c>
      <c r="N8424" t="n">
        <v>0</v>
      </c>
      <c r="O8424" t="n">
        <v>0</v>
      </c>
      <c r="P8424" t="n">
        <v>0</v>
      </c>
      <c r="Q8424" t="n">
        <v>0</v>
      </c>
      <c r="R8424" s="2" t="inlineStr"/>
    </row>
    <row r="8425" ht="15" customHeight="1">
      <c r="A8425" t="inlineStr">
        <is>
          <t>A 7445-2026</t>
        </is>
      </c>
      <c r="B8425" s="1" t="n">
        <v>46059.46193287037</v>
      </c>
      <c r="C8425" s="1" t="n">
        <v>46086</v>
      </c>
      <c r="D8425" t="inlineStr">
        <is>
          <t>GÄVLEBORGS LÄN</t>
        </is>
      </c>
      <c r="E8425" t="inlineStr">
        <is>
          <t>LJUSDAL</t>
        </is>
      </c>
      <c r="G8425" t="n">
        <v>3.5</v>
      </c>
      <c r="H8425" t="n">
        <v>0</v>
      </c>
      <c r="I8425" t="n">
        <v>0</v>
      </c>
      <c r="J8425" t="n">
        <v>0</v>
      </c>
      <c r="K8425" t="n">
        <v>0</v>
      </c>
      <c r="L8425" t="n">
        <v>0</v>
      </c>
      <c r="M8425" t="n">
        <v>0</v>
      </c>
      <c r="N8425" t="n">
        <v>0</v>
      </c>
      <c r="O8425" t="n">
        <v>0</v>
      </c>
      <c r="P8425" t="n">
        <v>0</v>
      </c>
      <c r="Q8425" t="n">
        <v>0</v>
      </c>
      <c r="R8425" s="2" t="inlineStr"/>
    </row>
    <row r="8426" ht="15" customHeight="1">
      <c r="A8426" t="inlineStr">
        <is>
          <t>A 7500-2026</t>
        </is>
      </c>
      <c r="B8426" s="1" t="n">
        <v>46059.55956018518</v>
      </c>
      <c r="C8426" s="1" t="n">
        <v>46086</v>
      </c>
      <c r="D8426" t="inlineStr">
        <is>
          <t>GÄVLEBORGS LÄN</t>
        </is>
      </c>
      <c r="E8426" t="inlineStr">
        <is>
          <t>SANDVIKEN</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7203-2026</t>
        </is>
      </c>
      <c r="B8427" s="1" t="n">
        <v>46058.52929398148</v>
      </c>
      <c r="C8427" s="1" t="n">
        <v>46086</v>
      </c>
      <c r="D8427" t="inlineStr">
        <is>
          <t>GÄVLEBORGS LÄN</t>
        </is>
      </c>
      <c r="E8427" t="inlineStr">
        <is>
          <t>BOLLNÄS</t>
        </is>
      </c>
      <c r="G8427" t="n">
        <v>4.3</v>
      </c>
      <c r="H8427" t="n">
        <v>0</v>
      </c>
      <c r="I8427" t="n">
        <v>0</v>
      </c>
      <c r="J8427" t="n">
        <v>0</v>
      </c>
      <c r="K8427" t="n">
        <v>0</v>
      </c>
      <c r="L8427" t="n">
        <v>0</v>
      </c>
      <c r="M8427" t="n">
        <v>0</v>
      </c>
      <c r="N8427" t="n">
        <v>0</v>
      </c>
      <c r="O8427" t="n">
        <v>0</v>
      </c>
      <c r="P8427" t="n">
        <v>0</v>
      </c>
      <c r="Q8427" t="n">
        <v>0</v>
      </c>
      <c r="R8427" s="2" t="inlineStr"/>
    </row>
    <row r="8428" ht="15" customHeight="1">
      <c r="A8428" t="inlineStr">
        <is>
          <t>A 7210-2026</t>
        </is>
      </c>
      <c r="B8428" s="1" t="n">
        <v>46058.53807870371</v>
      </c>
      <c r="C8428" s="1" t="n">
        <v>46086</v>
      </c>
      <c r="D8428" t="inlineStr">
        <is>
          <t>GÄVLEBORGS LÄN</t>
        </is>
      </c>
      <c r="E8428" t="inlineStr">
        <is>
          <t>HOFORS</t>
        </is>
      </c>
      <c r="F8428" t="inlineStr">
        <is>
          <t>Sveaskog</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14280-2025</t>
        </is>
      </c>
      <c r="B8429" s="1" t="n">
        <v>45740.65372685185</v>
      </c>
      <c r="C8429" s="1" t="n">
        <v>46086</v>
      </c>
      <c r="D8429" t="inlineStr">
        <is>
          <t>GÄVLEBORGS LÄN</t>
        </is>
      </c>
      <c r="E8429" t="inlineStr">
        <is>
          <t>SANDVIKEN</t>
        </is>
      </c>
      <c r="F8429" t="inlineStr">
        <is>
          <t>Bergvik skog öst AB</t>
        </is>
      </c>
      <c r="G8429" t="n">
        <v>7.4</v>
      </c>
      <c r="H8429" t="n">
        <v>0</v>
      </c>
      <c r="I8429" t="n">
        <v>0</v>
      </c>
      <c r="J8429" t="n">
        <v>0</v>
      </c>
      <c r="K8429" t="n">
        <v>0</v>
      </c>
      <c r="L8429" t="n">
        <v>0</v>
      </c>
      <c r="M8429" t="n">
        <v>0</v>
      </c>
      <c r="N8429" t="n">
        <v>0</v>
      </c>
      <c r="O8429" t="n">
        <v>0</v>
      </c>
      <c r="P8429" t="n">
        <v>0</v>
      </c>
      <c r="Q8429" t="n">
        <v>0</v>
      </c>
      <c r="R8429" s="2" t="inlineStr"/>
    </row>
    <row r="8430" ht="15" customHeight="1">
      <c r="A8430" t="inlineStr">
        <is>
          <t>A 4931-2026</t>
        </is>
      </c>
      <c r="B8430" s="1" t="n">
        <v>46048</v>
      </c>
      <c r="C8430" s="1" t="n">
        <v>46086</v>
      </c>
      <c r="D8430" t="inlineStr">
        <is>
          <t>GÄVLEBORGS LÄN</t>
        </is>
      </c>
      <c r="E8430" t="inlineStr">
        <is>
          <t>BOLLNÄS</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5126-2026</t>
        </is>
      </c>
      <c r="B8431" s="1" t="n">
        <v>46049</v>
      </c>
      <c r="C8431" s="1" t="n">
        <v>46086</v>
      </c>
      <c r="D8431" t="inlineStr">
        <is>
          <t>GÄVLEBORGS LÄN</t>
        </is>
      </c>
      <c r="E8431" t="inlineStr">
        <is>
          <t>BOLLNÄS</t>
        </is>
      </c>
      <c r="F8431" t="inlineStr">
        <is>
          <t>Bergvik skog väst AB</t>
        </is>
      </c>
      <c r="G8431" t="n">
        <v>4.4</v>
      </c>
      <c r="H8431" t="n">
        <v>0</v>
      </c>
      <c r="I8431" t="n">
        <v>0</v>
      </c>
      <c r="J8431" t="n">
        <v>0</v>
      </c>
      <c r="K8431" t="n">
        <v>0</v>
      </c>
      <c r="L8431" t="n">
        <v>0</v>
      </c>
      <c r="M8431" t="n">
        <v>0</v>
      </c>
      <c r="N8431" t="n">
        <v>0</v>
      </c>
      <c r="O8431" t="n">
        <v>0</v>
      </c>
      <c r="P8431" t="n">
        <v>0</v>
      </c>
      <c r="Q8431" t="n">
        <v>0</v>
      </c>
      <c r="R8431" s="2" t="inlineStr"/>
    </row>
    <row r="8432" ht="15" customHeight="1">
      <c r="A8432" t="inlineStr">
        <is>
          <t>A 7171-2026</t>
        </is>
      </c>
      <c r="B8432" s="1" t="n">
        <v>46058.46019675926</v>
      </c>
      <c r="C8432" s="1" t="n">
        <v>46086</v>
      </c>
      <c r="D8432" t="inlineStr">
        <is>
          <t>GÄVLEBORGS LÄN</t>
        </is>
      </c>
      <c r="E8432" t="inlineStr">
        <is>
          <t>SANDVIKEN</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12004-2023</t>
        </is>
      </c>
      <c r="B8433" s="1" t="n">
        <v>44995.61207175926</v>
      </c>
      <c r="C8433" s="1" t="n">
        <v>46086</v>
      </c>
      <c r="D8433" t="inlineStr">
        <is>
          <t>GÄVLEBORGS LÄN</t>
        </is>
      </c>
      <c r="E8433" t="inlineStr">
        <is>
          <t>LJUSDAL</t>
        </is>
      </c>
      <c r="F8433" t="inlineStr">
        <is>
          <t>Holmen skog AB</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5191-2025</t>
        </is>
      </c>
      <c r="B8434" s="1" t="n">
        <v>45691.6490625</v>
      </c>
      <c r="C8434" s="1" t="n">
        <v>46086</v>
      </c>
      <c r="D8434" t="inlineStr">
        <is>
          <t>GÄVLEBORGS LÄN</t>
        </is>
      </c>
      <c r="E8434" t="inlineStr">
        <is>
          <t>HUDIKSVALL</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31899-2022</t>
        </is>
      </c>
      <c r="B8435" s="1" t="n">
        <v>44777</v>
      </c>
      <c r="C8435" s="1" t="n">
        <v>46086</v>
      </c>
      <c r="D8435" t="inlineStr">
        <is>
          <t>GÄVLEBORGS LÄN</t>
        </is>
      </c>
      <c r="E8435" t="inlineStr">
        <is>
          <t>NORDANSTIG</t>
        </is>
      </c>
      <c r="F8435" t="inlineStr">
        <is>
          <t>Holmen skog AB</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7114-2026</t>
        </is>
      </c>
      <c r="B8436" s="1" t="n">
        <v>46058.37604166667</v>
      </c>
      <c r="C8436" s="1" t="n">
        <v>46086</v>
      </c>
      <c r="D8436" t="inlineStr">
        <is>
          <t>GÄVLEBORGS LÄN</t>
        </is>
      </c>
      <c r="E8436" t="inlineStr">
        <is>
          <t>SÖDERHAMN</t>
        </is>
      </c>
      <c r="F8436" t="inlineStr">
        <is>
          <t>Övriga statliga verk och myndigheter</t>
        </is>
      </c>
      <c r="G8436" t="n">
        <v>6</v>
      </c>
      <c r="H8436" t="n">
        <v>0</v>
      </c>
      <c r="I8436" t="n">
        <v>0</v>
      </c>
      <c r="J8436" t="n">
        <v>0</v>
      </c>
      <c r="K8436" t="n">
        <v>0</v>
      </c>
      <c r="L8436" t="n">
        <v>0</v>
      </c>
      <c r="M8436" t="n">
        <v>0</v>
      </c>
      <c r="N8436" t="n">
        <v>0</v>
      </c>
      <c r="O8436" t="n">
        <v>0</v>
      </c>
      <c r="P8436" t="n">
        <v>0</v>
      </c>
      <c r="Q8436" t="n">
        <v>0</v>
      </c>
      <c r="R8436" s="2" t="inlineStr"/>
    </row>
    <row r="8437" ht="15" customHeight="1">
      <c r="A8437" t="inlineStr">
        <is>
          <t>A 7115-2026</t>
        </is>
      </c>
      <c r="B8437" s="1" t="n">
        <v>46058.37694444445</v>
      </c>
      <c r="C8437" s="1" t="n">
        <v>46086</v>
      </c>
      <c r="D8437" t="inlineStr">
        <is>
          <t>GÄVLEBORGS LÄN</t>
        </is>
      </c>
      <c r="E8437" t="inlineStr">
        <is>
          <t>BOLLNÄS</t>
        </is>
      </c>
      <c r="G8437" t="n">
        <v>6.4</v>
      </c>
      <c r="H8437" t="n">
        <v>0</v>
      </c>
      <c r="I8437" t="n">
        <v>0</v>
      </c>
      <c r="J8437" t="n">
        <v>0</v>
      </c>
      <c r="K8437" t="n">
        <v>0</v>
      </c>
      <c r="L8437" t="n">
        <v>0</v>
      </c>
      <c r="M8437" t="n">
        <v>0</v>
      </c>
      <c r="N8437" t="n">
        <v>0</v>
      </c>
      <c r="O8437" t="n">
        <v>0</v>
      </c>
      <c r="P8437" t="n">
        <v>0</v>
      </c>
      <c r="Q8437" t="n">
        <v>0</v>
      </c>
      <c r="R8437" s="2" t="inlineStr"/>
    </row>
    <row r="8438" ht="15" customHeight="1">
      <c r="A8438" t="inlineStr">
        <is>
          <t>A 7537-2026</t>
        </is>
      </c>
      <c r="B8438" s="1" t="n">
        <v>46059.63122685185</v>
      </c>
      <c r="C8438" s="1" t="n">
        <v>46086</v>
      </c>
      <c r="D8438" t="inlineStr">
        <is>
          <t>GÄVLEBORGS LÄN</t>
        </is>
      </c>
      <c r="E8438" t="inlineStr">
        <is>
          <t>LJUSDAL</t>
        </is>
      </c>
      <c r="F8438" t="inlineStr">
        <is>
          <t>Holmen skog AB</t>
        </is>
      </c>
      <c r="G8438" t="n">
        <v>3.8</v>
      </c>
      <c r="H8438" t="n">
        <v>0</v>
      </c>
      <c r="I8438" t="n">
        <v>0</v>
      </c>
      <c r="J8438" t="n">
        <v>0</v>
      </c>
      <c r="K8438" t="n">
        <v>0</v>
      </c>
      <c r="L8438" t="n">
        <v>0</v>
      </c>
      <c r="M8438" t="n">
        <v>0</v>
      </c>
      <c r="N8438" t="n">
        <v>0</v>
      </c>
      <c r="O8438" t="n">
        <v>0</v>
      </c>
      <c r="P8438" t="n">
        <v>0</v>
      </c>
      <c r="Q8438" t="n">
        <v>0</v>
      </c>
      <c r="R8438" s="2" t="inlineStr"/>
    </row>
    <row r="8439" ht="15" customHeight="1">
      <c r="A8439" t="inlineStr">
        <is>
          <t>A 5356-2026</t>
        </is>
      </c>
      <c r="B8439" s="1" t="n">
        <v>46050</v>
      </c>
      <c r="C8439" s="1" t="n">
        <v>46086</v>
      </c>
      <c r="D8439" t="inlineStr">
        <is>
          <t>GÄVLEBORGS LÄN</t>
        </is>
      </c>
      <c r="E8439" t="inlineStr">
        <is>
          <t>BOLLNÄS</t>
        </is>
      </c>
      <c r="F8439" t="inlineStr">
        <is>
          <t>Bergvik skog väst AB</t>
        </is>
      </c>
      <c r="G8439" t="n">
        <v>0.4</v>
      </c>
      <c r="H8439" t="n">
        <v>0</v>
      </c>
      <c r="I8439" t="n">
        <v>0</v>
      </c>
      <c r="J8439" t="n">
        <v>0</v>
      </c>
      <c r="K8439" t="n">
        <v>0</v>
      </c>
      <c r="L8439" t="n">
        <v>0</v>
      </c>
      <c r="M8439" t="n">
        <v>0</v>
      </c>
      <c r="N8439" t="n">
        <v>0</v>
      </c>
      <c r="O8439" t="n">
        <v>0</v>
      </c>
      <c r="P8439" t="n">
        <v>0</v>
      </c>
      <c r="Q8439" t="n">
        <v>0</v>
      </c>
      <c r="R8439" s="2" t="inlineStr"/>
    </row>
    <row r="8440" ht="15" customHeight="1">
      <c r="A8440" t="inlineStr">
        <is>
          <t>A 7501-2026</t>
        </is>
      </c>
      <c r="B8440" s="1" t="n">
        <v>46059.56321759259</v>
      </c>
      <c r="C8440" s="1" t="n">
        <v>46086</v>
      </c>
      <c r="D8440" t="inlineStr">
        <is>
          <t>GÄVLEBORGS LÄN</t>
        </is>
      </c>
      <c r="E8440" t="inlineStr">
        <is>
          <t>GÄVLE</t>
        </is>
      </c>
      <c r="F8440" t="inlineStr">
        <is>
          <t>Bergvik skog väst AB</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7207-2026</t>
        </is>
      </c>
      <c r="B8441" s="1" t="n">
        <v>46058.53497685185</v>
      </c>
      <c r="C8441" s="1" t="n">
        <v>46086</v>
      </c>
      <c r="D8441" t="inlineStr">
        <is>
          <t>GÄVLEBORGS LÄN</t>
        </is>
      </c>
      <c r="E8441" t="inlineStr">
        <is>
          <t>HOFORS</t>
        </is>
      </c>
      <c r="F8441" t="inlineStr">
        <is>
          <t>Sveaskog</t>
        </is>
      </c>
      <c r="G8441" t="n">
        <v>2.2</v>
      </c>
      <c r="H8441" t="n">
        <v>0</v>
      </c>
      <c r="I8441" t="n">
        <v>0</v>
      </c>
      <c r="J8441" t="n">
        <v>0</v>
      </c>
      <c r="K8441" t="n">
        <v>0</v>
      </c>
      <c r="L8441" t="n">
        <v>0</v>
      </c>
      <c r="M8441" t="n">
        <v>0</v>
      </c>
      <c r="N8441" t="n">
        <v>0</v>
      </c>
      <c r="O8441" t="n">
        <v>0</v>
      </c>
      <c r="P8441" t="n">
        <v>0</v>
      </c>
      <c r="Q8441" t="n">
        <v>0</v>
      </c>
      <c r="R8441" s="2" t="inlineStr"/>
    </row>
    <row r="8442" ht="15" customHeight="1">
      <c r="A8442" t="inlineStr">
        <is>
          <t>A 7252-2026</t>
        </is>
      </c>
      <c r="B8442" s="1" t="n">
        <v>46058.59615740741</v>
      </c>
      <c r="C8442" s="1" t="n">
        <v>46086</v>
      </c>
      <c r="D8442" t="inlineStr">
        <is>
          <t>GÄVLEBORGS LÄN</t>
        </is>
      </c>
      <c r="E8442" t="inlineStr">
        <is>
          <t>GÄVLE</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7255-2026</t>
        </is>
      </c>
      <c r="B8443" s="1" t="n">
        <v>46058.59788194444</v>
      </c>
      <c r="C8443" s="1" t="n">
        <v>46086</v>
      </c>
      <c r="D8443" t="inlineStr">
        <is>
          <t>GÄVLEBORGS LÄN</t>
        </is>
      </c>
      <c r="E8443" t="inlineStr">
        <is>
          <t>OCKELBO</t>
        </is>
      </c>
      <c r="F8443" t="inlineStr">
        <is>
          <t>Bergvik skog väst AB</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20383-2025</t>
        </is>
      </c>
      <c r="B8444" s="1" t="n">
        <v>45775</v>
      </c>
      <c r="C8444" s="1" t="n">
        <v>46086</v>
      </c>
      <c r="D8444" t="inlineStr">
        <is>
          <t>GÄVLEBORGS LÄN</t>
        </is>
      </c>
      <c r="E8444" t="inlineStr">
        <is>
          <t>HUDIKSVALL</t>
        </is>
      </c>
      <c r="G8444" t="n">
        <v>3.2</v>
      </c>
      <c r="H8444" t="n">
        <v>0</v>
      </c>
      <c r="I8444" t="n">
        <v>0</v>
      </c>
      <c r="J8444" t="n">
        <v>0</v>
      </c>
      <c r="K8444" t="n">
        <v>0</v>
      </c>
      <c r="L8444" t="n">
        <v>0</v>
      </c>
      <c r="M8444" t="n">
        <v>0</v>
      </c>
      <c r="N8444" t="n">
        <v>0</v>
      </c>
      <c r="O8444" t="n">
        <v>0</v>
      </c>
      <c r="P8444" t="n">
        <v>0</v>
      </c>
      <c r="Q8444" t="n">
        <v>0</v>
      </c>
      <c r="R8444" s="2" t="inlineStr"/>
    </row>
    <row r="8445" ht="15" customHeight="1">
      <c r="A8445" t="inlineStr">
        <is>
          <t>A 7257-2026</t>
        </is>
      </c>
      <c r="B8445" s="1" t="n">
        <v>46058.59868055556</v>
      </c>
      <c r="C8445" s="1" t="n">
        <v>46086</v>
      </c>
      <c r="D8445" t="inlineStr">
        <is>
          <t>GÄVLEBORGS LÄN</t>
        </is>
      </c>
      <c r="E8445" t="inlineStr">
        <is>
          <t>OCKELBO</t>
        </is>
      </c>
      <c r="F8445" t="inlineStr">
        <is>
          <t>Bergvik skog väst AB</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4500-2026</t>
        </is>
      </c>
      <c r="B8446" s="1" t="n">
        <v>46045</v>
      </c>
      <c r="C8446" s="1" t="n">
        <v>46086</v>
      </c>
      <c r="D8446" t="inlineStr">
        <is>
          <t>GÄVLEBORGS LÄN</t>
        </is>
      </c>
      <c r="E8446" t="inlineStr">
        <is>
          <t>BOLLNÄS</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6228-2026</t>
        </is>
      </c>
      <c r="B8447" s="1" t="n">
        <v>46055</v>
      </c>
      <c r="C8447" s="1" t="n">
        <v>46086</v>
      </c>
      <c r="D8447" t="inlineStr">
        <is>
          <t>GÄVLEBORGS LÄN</t>
        </is>
      </c>
      <c r="E8447" t="inlineStr">
        <is>
          <t>SÖDERHAMN</t>
        </is>
      </c>
      <c r="G8447" t="n">
        <v>2.8</v>
      </c>
      <c r="H8447" t="n">
        <v>0</v>
      </c>
      <c r="I8447" t="n">
        <v>0</v>
      </c>
      <c r="J8447" t="n">
        <v>0</v>
      </c>
      <c r="K8447" t="n">
        <v>0</v>
      </c>
      <c r="L8447" t="n">
        <v>0</v>
      </c>
      <c r="M8447" t="n">
        <v>0</v>
      </c>
      <c r="N8447" t="n">
        <v>0</v>
      </c>
      <c r="O8447" t="n">
        <v>0</v>
      </c>
      <c r="P8447" t="n">
        <v>0</v>
      </c>
      <c r="Q8447" t="n">
        <v>0</v>
      </c>
      <c r="R8447" s="2" t="inlineStr"/>
    </row>
    <row r="8448" ht="15" customHeight="1">
      <c r="A8448" t="inlineStr">
        <is>
          <t>A 7093-2026</t>
        </is>
      </c>
      <c r="B8448" s="1" t="n">
        <v>46058.34549768519</v>
      </c>
      <c r="C8448" s="1" t="n">
        <v>46086</v>
      </c>
      <c r="D8448" t="inlineStr">
        <is>
          <t>GÄVLEBORGS LÄN</t>
        </is>
      </c>
      <c r="E8448" t="inlineStr">
        <is>
          <t>BOLLNÄS</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7107-2026</t>
        </is>
      </c>
      <c r="B8449" s="1" t="n">
        <v>46058.36818287037</v>
      </c>
      <c r="C8449" s="1" t="n">
        <v>46086</v>
      </c>
      <c r="D8449" t="inlineStr">
        <is>
          <t>GÄVLEBORGS LÄN</t>
        </is>
      </c>
      <c r="E8449" t="inlineStr">
        <is>
          <t>LJUSDAL</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7138-2026</t>
        </is>
      </c>
      <c r="B8450" s="1" t="n">
        <v>46058.40667824074</v>
      </c>
      <c r="C8450" s="1" t="n">
        <v>46086</v>
      </c>
      <c r="D8450" t="inlineStr">
        <is>
          <t>GÄVLEBORGS LÄN</t>
        </is>
      </c>
      <c r="E8450" t="inlineStr">
        <is>
          <t>BOLLNÄS</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6230-2026</t>
        </is>
      </c>
      <c r="B8451" s="1" t="n">
        <v>46055</v>
      </c>
      <c r="C8451" s="1" t="n">
        <v>46086</v>
      </c>
      <c r="D8451" t="inlineStr">
        <is>
          <t>GÄVLEBORGS LÄN</t>
        </is>
      </c>
      <c r="E8451" t="inlineStr">
        <is>
          <t>SÖDERHAMN</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7294-2026</t>
        </is>
      </c>
      <c r="B8452" s="1" t="n">
        <v>46058.64146990741</v>
      </c>
      <c r="C8452" s="1" t="n">
        <v>46086</v>
      </c>
      <c r="D8452" t="inlineStr">
        <is>
          <t>GÄVLEBORGS LÄN</t>
        </is>
      </c>
      <c r="E8452" t="inlineStr">
        <is>
          <t>OVANÅKER</t>
        </is>
      </c>
      <c r="G8452" t="n">
        <v>30.5</v>
      </c>
      <c r="H8452" t="n">
        <v>0</v>
      </c>
      <c r="I8452" t="n">
        <v>0</v>
      </c>
      <c r="J8452" t="n">
        <v>0</v>
      </c>
      <c r="K8452" t="n">
        <v>0</v>
      </c>
      <c r="L8452" t="n">
        <v>0</v>
      </c>
      <c r="M8452" t="n">
        <v>0</v>
      </c>
      <c r="N8452" t="n">
        <v>0</v>
      </c>
      <c r="O8452" t="n">
        <v>0</v>
      </c>
      <c r="P8452" t="n">
        <v>0</v>
      </c>
      <c r="Q8452" t="n">
        <v>0</v>
      </c>
      <c r="R8452" s="2" t="inlineStr"/>
    </row>
    <row r="8453" ht="15" customHeight="1">
      <c r="A8453" t="inlineStr">
        <is>
          <t>A 7337-2026</t>
        </is>
      </c>
      <c r="B8453" s="1" t="n">
        <v>46058.88473379629</v>
      </c>
      <c r="C8453" s="1" t="n">
        <v>46086</v>
      </c>
      <c r="D8453" t="inlineStr">
        <is>
          <t>GÄVLEBORGS LÄN</t>
        </is>
      </c>
      <c r="E8453" t="inlineStr">
        <is>
          <t>BOLLNÄS</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7340-2026</t>
        </is>
      </c>
      <c r="B8454" s="1" t="n">
        <v>46058.88918981481</v>
      </c>
      <c r="C8454" s="1" t="n">
        <v>46086</v>
      </c>
      <c r="D8454" t="inlineStr">
        <is>
          <t>GÄVLEBORGS LÄN</t>
        </is>
      </c>
      <c r="E8454" t="inlineStr">
        <is>
          <t>BOLLNÄS</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7342-2026</t>
        </is>
      </c>
      <c r="B8455" s="1" t="n">
        <v>46058.8941087963</v>
      </c>
      <c r="C8455" s="1" t="n">
        <v>46086</v>
      </c>
      <c r="D8455" t="inlineStr">
        <is>
          <t>GÄVLEBORGS LÄN</t>
        </is>
      </c>
      <c r="E8455" t="inlineStr">
        <is>
          <t>SANDVIKEN</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7344-2026</t>
        </is>
      </c>
      <c r="B8456" s="1" t="n">
        <v>46058.90265046297</v>
      </c>
      <c r="C8456" s="1" t="n">
        <v>46086</v>
      </c>
      <c r="D8456" t="inlineStr">
        <is>
          <t>GÄVLEBORGS LÄN</t>
        </is>
      </c>
      <c r="E8456" t="inlineStr">
        <is>
          <t>SANDVIKEN</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7345-2026</t>
        </is>
      </c>
      <c r="B8457" s="1" t="n">
        <v>46058.90559027778</v>
      </c>
      <c r="C8457" s="1" t="n">
        <v>46086</v>
      </c>
      <c r="D8457" t="inlineStr">
        <is>
          <t>GÄVLEBORGS LÄN</t>
        </is>
      </c>
      <c r="E8457" t="inlineStr">
        <is>
          <t>SANDVIKEN</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4873-2026</t>
        </is>
      </c>
      <c r="B8458" s="1" t="n">
        <v>46048</v>
      </c>
      <c r="C8458" s="1" t="n">
        <v>46086</v>
      </c>
      <c r="D8458" t="inlineStr">
        <is>
          <t>GÄVLEBORGS LÄN</t>
        </is>
      </c>
      <c r="E8458" t="inlineStr">
        <is>
          <t>HUDIKSVALL</t>
        </is>
      </c>
      <c r="G8458" t="n">
        <v>3.6</v>
      </c>
      <c r="H8458" t="n">
        <v>0</v>
      </c>
      <c r="I8458" t="n">
        <v>0</v>
      </c>
      <c r="J8458" t="n">
        <v>0</v>
      </c>
      <c r="K8458" t="n">
        <v>0</v>
      </c>
      <c r="L8458" t="n">
        <v>0</v>
      </c>
      <c r="M8458" t="n">
        <v>0</v>
      </c>
      <c r="N8458" t="n">
        <v>0</v>
      </c>
      <c r="O8458" t="n">
        <v>0</v>
      </c>
      <c r="P8458" t="n">
        <v>0</v>
      </c>
      <c r="Q8458" t="n">
        <v>0</v>
      </c>
      <c r="R8458" s="2" t="inlineStr"/>
    </row>
    <row r="8459" ht="15" customHeight="1">
      <c r="A8459" t="inlineStr">
        <is>
          <t>A 54443-2024</t>
        </is>
      </c>
      <c r="B8459" s="1" t="n">
        <v>45617.51553240741</v>
      </c>
      <c r="C8459" s="1" t="n">
        <v>46086</v>
      </c>
      <c r="D8459" t="inlineStr">
        <is>
          <t>GÄVLEBORGS LÄN</t>
        </is>
      </c>
      <c r="E8459" t="inlineStr">
        <is>
          <t>SANDVIKEN</t>
        </is>
      </c>
      <c r="F8459" t="inlineStr">
        <is>
          <t>Bergvik skog öst AB</t>
        </is>
      </c>
      <c r="G8459" t="n">
        <v>4.2</v>
      </c>
      <c r="H8459" t="n">
        <v>0</v>
      </c>
      <c r="I8459" t="n">
        <v>0</v>
      </c>
      <c r="J8459" t="n">
        <v>0</v>
      </c>
      <c r="K8459" t="n">
        <v>0</v>
      </c>
      <c r="L8459" t="n">
        <v>0</v>
      </c>
      <c r="M8459" t="n">
        <v>0</v>
      </c>
      <c r="N8459" t="n">
        <v>0</v>
      </c>
      <c r="O8459" t="n">
        <v>0</v>
      </c>
      <c r="P8459" t="n">
        <v>0</v>
      </c>
      <c r="Q8459" t="n">
        <v>0</v>
      </c>
      <c r="R8459" s="2" t="inlineStr"/>
    </row>
    <row r="8460" ht="15" customHeight="1">
      <c r="A8460" t="inlineStr">
        <is>
          <t>A 36656-2024</t>
        </is>
      </c>
      <c r="B8460" s="1" t="n">
        <v>45537.61835648148</v>
      </c>
      <c r="C8460" s="1" t="n">
        <v>46086</v>
      </c>
      <c r="D8460" t="inlineStr">
        <is>
          <t>GÄVLEBORGS LÄN</t>
        </is>
      </c>
      <c r="E8460" t="inlineStr">
        <is>
          <t>SANDVIKEN</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7502-2026</t>
        </is>
      </c>
      <c r="B8461" s="1" t="n">
        <v>46059.56504629629</v>
      </c>
      <c r="C8461" s="1" t="n">
        <v>46086</v>
      </c>
      <c r="D8461" t="inlineStr">
        <is>
          <t>GÄVLEBORGS LÄN</t>
        </is>
      </c>
      <c r="E8461" t="inlineStr">
        <is>
          <t>SANDVIKEN</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7544-2026</t>
        </is>
      </c>
      <c r="B8462" s="1" t="n">
        <v>46059.64305555556</v>
      </c>
      <c r="C8462" s="1" t="n">
        <v>46086</v>
      </c>
      <c r="D8462" t="inlineStr">
        <is>
          <t>GÄVLEBORGS LÄN</t>
        </is>
      </c>
      <c r="E8462" t="inlineStr">
        <is>
          <t>OCKELBO</t>
        </is>
      </c>
      <c r="G8462" t="n">
        <v>3.1</v>
      </c>
      <c r="H8462" t="n">
        <v>0</v>
      </c>
      <c r="I8462" t="n">
        <v>0</v>
      </c>
      <c r="J8462" t="n">
        <v>0</v>
      </c>
      <c r="K8462" t="n">
        <v>0</v>
      </c>
      <c r="L8462" t="n">
        <v>0</v>
      </c>
      <c r="M8462" t="n">
        <v>0</v>
      </c>
      <c r="N8462" t="n">
        <v>0</v>
      </c>
      <c r="O8462" t="n">
        <v>0</v>
      </c>
      <c r="P8462" t="n">
        <v>0</v>
      </c>
      <c r="Q8462" t="n">
        <v>0</v>
      </c>
      <c r="R8462" s="2" t="inlineStr"/>
    </row>
    <row r="8463" ht="15" customHeight="1">
      <c r="A8463" t="inlineStr">
        <is>
          <t>A 5137-2026</t>
        </is>
      </c>
      <c r="B8463" s="1" t="n">
        <v>46049</v>
      </c>
      <c r="C8463" s="1" t="n">
        <v>46086</v>
      </c>
      <c r="D8463" t="inlineStr">
        <is>
          <t>GÄVLEBORGS LÄN</t>
        </is>
      </c>
      <c r="E8463" t="inlineStr">
        <is>
          <t>BOLLNÄS</t>
        </is>
      </c>
      <c r="F8463" t="inlineStr">
        <is>
          <t>Bergvik skog väst AB</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5881-2026</t>
        </is>
      </c>
      <c r="B8464" s="1" t="n">
        <v>46052</v>
      </c>
      <c r="C8464" s="1" t="n">
        <v>46086</v>
      </c>
      <c r="D8464" t="inlineStr">
        <is>
          <t>GÄVLEBORGS LÄN</t>
        </is>
      </c>
      <c r="E8464" t="inlineStr">
        <is>
          <t>LJUSDAL</t>
        </is>
      </c>
      <c r="G8464" t="n">
        <v>4.5</v>
      </c>
      <c r="H8464" t="n">
        <v>0</v>
      </c>
      <c r="I8464" t="n">
        <v>0</v>
      </c>
      <c r="J8464" t="n">
        <v>0</v>
      </c>
      <c r="K8464" t="n">
        <v>0</v>
      </c>
      <c r="L8464" t="n">
        <v>0</v>
      </c>
      <c r="M8464" t="n">
        <v>0</v>
      </c>
      <c r="N8464" t="n">
        <v>0</v>
      </c>
      <c r="O8464" t="n">
        <v>0</v>
      </c>
      <c r="P8464" t="n">
        <v>0</v>
      </c>
      <c r="Q8464" t="n">
        <v>0</v>
      </c>
      <c r="R8464" s="2" t="inlineStr"/>
    </row>
    <row r="8465" ht="15" customHeight="1">
      <c r="A8465" t="inlineStr">
        <is>
          <t>A 7525-2026</t>
        </is>
      </c>
      <c r="B8465" s="1" t="n">
        <v>46059.6093287037</v>
      </c>
      <c r="C8465" s="1" t="n">
        <v>46086</v>
      </c>
      <c r="D8465" t="inlineStr">
        <is>
          <t>GÄVLEBORGS LÄN</t>
        </is>
      </c>
      <c r="E8465" t="inlineStr">
        <is>
          <t>OVANÅKER</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7526-2026</t>
        </is>
      </c>
      <c r="B8466" s="1" t="n">
        <v>46059.61340277778</v>
      </c>
      <c r="C8466" s="1" t="n">
        <v>46086</v>
      </c>
      <c r="D8466" t="inlineStr">
        <is>
          <t>GÄVLEBORGS LÄN</t>
        </is>
      </c>
      <c r="E8466" t="inlineStr">
        <is>
          <t>LJUSDAL</t>
        </is>
      </c>
      <c r="F8466" t="inlineStr">
        <is>
          <t>Holmen skog AB</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31356-2022</t>
        </is>
      </c>
      <c r="B8467" s="1" t="n">
        <v>44774.57127314815</v>
      </c>
      <c r="C8467" s="1" t="n">
        <v>46086</v>
      </c>
      <c r="D8467" t="inlineStr">
        <is>
          <t>GÄVLEBORGS LÄN</t>
        </is>
      </c>
      <c r="E8467" t="inlineStr">
        <is>
          <t>OVANÅKER</t>
        </is>
      </c>
      <c r="F8467" t="inlineStr">
        <is>
          <t>Bergvik skog väst AB</t>
        </is>
      </c>
      <c r="G8467" t="n">
        <v>5.8</v>
      </c>
      <c r="H8467" t="n">
        <v>0</v>
      </c>
      <c r="I8467" t="n">
        <v>0</v>
      </c>
      <c r="J8467" t="n">
        <v>0</v>
      </c>
      <c r="K8467" t="n">
        <v>0</v>
      </c>
      <c r="L8467" t="n">
        <v>0</v>
      </c>
      <c r="M8467" t="n">
        <v>0</v>
      </c>
      <c r="N8467" t="n">
        <v>0</v>
      </c>
      <c r="O8467" t="n">
        <v>0</v>
      </c>
      <c r="P8467" t="n">
        <v>0</v>
      </c>
      <c r="Q8467" t="n">
        <v>0</v>
      </c>
      <c r="R8467" s="2" t="inlineStr"/>
    </row>
    <row r="8468" ht="15" customHeight="1">
      <c r="A8468" t="inlineStr">
        <is>
          <t>A 6016-2026</t>
        </is>
      </c>
      <c r="B8468" s="1" t="n">
        <v>46050</v>
      </c>
      <c r="C8468" s="1" t="n">
        <v>46086</v>
      </c>
      <c r="D8468" t="inlineStr">
        <is>
          <t>GÄVLEBORGS LÄN</t>
        </is>
      </c>
      <c r="E8468" t="inlineStr">
        <is>
          <t>OVANÅKER</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4446-2026</t>
        </is>
      </c>
      <c r="B8469" s="1" t="n">
        <v>46045</v>
      </c>
      <c r="C8469" s="1" t="n">
        <v>46086</v>
      </c>
      <c r="D8469" t="inlineStr">
        <is>
          <t>GÄVLEBORGS LÄN</t>
        </is>
      </c>
      <c r="E8469" t="inlineStr">
        <is>
          <t>BOLLNÄS</t>
        </is>
      </c>
      <c r="G8469" t="n">
        <v>4</v>
      </c>
      <c r="H8469" t="n">
        <v>0</v>
      </c>
      <c r="I8469" t="n">
        <v>0</v>
      </c>
      <c r="J8469" t="n">
        <v>0</v>
      </c>
      <c r="K8469" t="n">
        <v>0</v>
      </c>
      <c r="L8469" t="n">
        <v>0</v>
      </c>
      <c r="M8469" t="n">
        <v>0</v>
      </c>
      <c r="N8469" t="n">
        <v>0</v>
      </c>
      <c r="O8469" t="n">
        <v>0</v>
      </c>
      <c r="P8469" t="n">
        <v>0</v>
      </c>
      <c r="Q8469" t="n">
        <v>0</v>
      </c>
      <c r="R8469" s="2" t="inlineStr"/>
    </row>
    <row r="8470" ht="15" customHeight="1">
      <c r="A8470" t="inlineStr">
        <is>
          <t>A 3360-2026</t>
        </is>
      </c>
      <c r="B8470" s="1" t="n">
        <v>46042.31787037037</v>
      </c>
      <c r="C8470" s="1" t="n">
        <v>46086</v>
      </c>
      <c r="D8470" t="inlineStr">
        <is>
          <t>GÄVLEBORGS LÄN</t>
        </is>
      </c>
      <c r="E8470" t="inlineStr">
        <is>
          <t>NORDANSTIG</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7286-2026</t>
        </is>
      </c>
      <c r="B8471" s="1" t="n">
        <v>46058.63775462963</v>
      </c>
      <c r="C8471" s="1" t="n">
        <v>46086</v>
      </c>
      <c r="D8471" t="inlineStr">
        <is>
          <t>GÄVLEBORGS LÄN</t>
        </is>
      </c>
      <c r="E8471" t="inlineStr">
        <is>
          <t>OCKELBO</t>
        </is>
      </c>
      <c r="G8471" t="n">
        <v>13.3</v>
      </c>
      <c r="H8471" t="n">
        <v>0</v>
      </c>
      <c r="I8471" t="n">
        <v>0</v>
      </c>
      <c r="J8471" t="n">
        <v>0</v>
      </c>
      <c r="K8471" t="n">
        <v>0</v>
      </c>
      <c r="L8471" t="n">
        <v>0</v>
      </c>
      <c r="M8471" t="n">
        <v>0</v>
      </c>
      <c r="N8471" t="n">
        <v>0</v>
      </c>
      <c r="O8471" t="n">
        <v>0</v>
      </c>
      <c r="P8471" t="n">
        <v>0</v>
      </c>
      <c r="Q8471" t="n">
        <v>0</v>
      </c>
      <c r="R8471" s="2" t="inlineStr"/>
    </row>
    <row r="8472" ht="15" customHeight="1">
      <c r="A8472" t="inlineStr">
        <is>
          <t>A 36257-2024</t>
        </is>
      </c>
      <c r="B8472" s="1" t="n">
        <v>45534</v>
      </c>
      <c r="C8472" s="1" t="n">
        <v>46086</v>
      </c>
      <c r="D8472" t="inlineStr">
        <is>
          <t>GÄVLEBORGS LÄN</t>
        </is>
      </c>
      <c r="E8472" t="inlineStr">
        <is>
          <t>OVANÅKER</t>
        </is>
      </c>
      <c r="G8472" t="n">
        <v>0.4</v>
      </c>
      <c r="H8472" t="n">
        <v>0</v>
      </c>
      <c r="I8472" t="n">
        <v>0</v>
      </c>
      <c r="J8472" t="n">
        <v>0</v>
      </c>
      <c r="K8472" t="n">
        <v>0</v>
      </c>
      <c r="L8472" t="n">
        <v>0</v>
      </c>
      <c r="M8472" t="n">
        <v>0</v>
      </c>
      <c r="N8472" t="n">
        <v>0</v>
      </c>
      <c r="O8472" t="n">
        <v>0</v>
      </c>
      <c r="P8472" t="n">
        <v>0</v>
      </c>
      <c r="Q8472" t="n">
        <v>0</v>
      </c>
      <c r="R8472" s="2" t="inlineStr"/>
    </row>
    <row r="8473" ht="15" customHeight="1">
      <c r="A8473" t="inlineStr">
        <is>
          <t>A 7094-2026</t>
        </is>
      </c>
      <c r="B8473" s="1" t="n">
        <v>46058.34699074074</v>
      </c>
      <c r="C8473" s="1" t="n">
        <v>46086</v>
      </c>
      <c r="D8473" t="inlineStr">
        <is>
          <t>GÄVLEBORGS LÄN</t>
        </is>
      </c>
      <c r="E8473" t="inlineStr">
        <is>
          <t>BOLLNÄS</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7187-2026</t>
        </is>
      </c>
      <c r="B8474" s="1" t="n">
        <v>46058.49211805555</v>
      </c>
      <c r="C8474" s="1" t="n">
        <v>46086</v>
      </c>
      <c r="D8474" t="inlineStr">
        <is>
          <t>GÄVLEBORGS LÄN</t>
        </is>
      </c>
      <c r="E8474" t="inlineStr">
        <is>
          <t>OVANÅKER</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7221-2026</t>
        </is>
      </c>
      <c r="B8475" s="1" t="n">
        <v>46058.56152777778</v>
      </c>
      <c r="C8475" s="1" t="n">
        <v>46086</v>
      </c>
      <c r="D8475" t="inlineStr">
        <is>
          <t>GÄVLEBORGS LÄN</t>
        </is>
      </c>
      <c r="E8475" t="inlineStr">
        <is>
          <t>SÖDERHAMN</t>
        </is>
      </c>
      <c r="G8475" t="n">
        <v>6</v>
      </c>
      <c r="H8475" t="n">
        <v>0</v>
      </c>
      <c r="I8475" t="n">
        <v>0</v>
      </c>
      <c r="J8475" t="n">
        <v>0</v>
      </c>
      <c r="K8475" t="n">
        <v>0</v>
      </c>
      <c r="L8475" t="n">
        <v>0</v>
      </c>
      <c r="M8475" t="n">
        <v>0</v>
      </c>
      <c r="N8475" t="n">
        <v>0</v>
      </c>
      <c r="O8475" t="n">
        <v>0</v>
      </c>
      <c r="P8475" t="n">
        <v>0</v>
      </c>
      <c r="Q8475" t="n">
        <v>0</v>
      </c>
      <c r="R8475" s="2" t="inlineStr"/>
    </row>
    <row r="8476" ht="15" customHeight="1">
      <c r="A8476" t="inlineStr">
        <is>
          <t>A 7223-2026</t>
        </is>
      </c>
      <c r="B8476" s="1" t="n">
        <v>46058.56357638889</v>
      </c>
      <c r="C8476" s="1" t="n">
        <v>46086</v>
      </c>
      <c r="D8476" t="inlineStr">
        <is>
          <t>GÄVLEBORGS LÄN</t>
        </is>
      </c>
      <c r="E8476" t="inlineStr">
        <is>
          <t>OCKELBO</t>
        </is>
      </c>
      <c r="F8476" t="inlineStr">
        <is>
          <t>Bergvik skog väst AB</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7228-2026</t>
        </is>
      </c>
      <c r="B8477" s="1" t="n">
        <v>46058.56946759259</v>
      </c>
      <c r="C8477" s="1" t="n">
        <v>46086</v>
      </c>
      <c r="D8477" t="inlineStr">
        <is>
          <t>GÄVLEBORGS LÄN</t>
        </is>
      </c>
      <c r="E8477" t="inlineStr">
        <is>
          <t>OCKELBO</t>
        </is>
      </c>
      <c r="F8477" t="inlineStr">
        <is>
          <t>Bergvik skog väst AB</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7231-2026</t>
        </is>
      </c>
      <c r="B8478" s="1" t="n">
        <v>46058.57243055556</v>
      </c>
      <c r="C8478" s="1" t="n">
        <v>46086</v>
      </c>
      <c r="D8478" t="inlineStr">
        <is>
          <t>GÄVLEBORGS LÄN</t>
        </is>
      </c>
      <c r="E8478" t="inlineStr">
        <is>
          <t>BOLLNÄS</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7235-2026</t>
        </is>
      </c>
      <c r="B8479" s="1" t="n">
        <v>46058.57689814815</v>
      </c>
      <c r="C8479" s="1" t="n">
        <v>46086</v>
      </c>
      <c r="D8479" t="inlineStr">
        <is>
          <t>GÄVLEBORGS LÄN</t>
        </is>
      </c>
      <c r="E8479" t="inlineStr">
        <is>
          <t>OCKELBO</t>
        </is>
      </c>
      <c r="F8479" t="inlineStr">
        <is>
          <t>Bergvik skog väst AB</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55629-2024</t>
        </is>
      </c>
      <c r="B8480" s="1" t="n">
        <v>45622.60282407407</v>
      </c>
      <c r="C8480" s="1" t="n">
        <v>46086</v>
      </c>
      <c r="D8480" t="inlineStr">
        <is>
          <t>GÄVLEBORGS LÄN</t>
        </is>
      </c>
      <c r="E8480" t="inlineStr">
        <is>
          <t>HUDIKSVALL</t>
        </is>
      </c>
      <c r="F8480" t="inlineStr">
        <is>
          <t>Holmen skog AB</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7246-2026</t>
        </is>
      </c>
      <c r="B8481" s="1" t="n">
        <v>46058.59034722222</v>
      </c>
      <c r="C8481" s="1" t="n">
        <v>46086</v>
      </c>
      <c r="D8481" t="inlineStr">
        <is>
          <t>GÄVLEBORGS LÄN</t>
        </is>
      </c>
      <c r="E8481" t="inlineStr">
        <is>
          <t>OCKELBO</t>
        </is>
      </c>
      <c r="F8481" t="inlineStr">
        <is>
          <t>Bergvik skog väst AB</t>
        </is>
      </c>
      <c r="G8481" t="n">
        <v>4.6</v>
      </c>
      <c r="H8481" t="n">
        <v>0</v>
      </c>
      <c r="I8481" t="n">
        <v>0</v>
      </c>
      <c r="J8481" t="n">
        <v>0</v>
      </c>
      <c r="K8481" t="n">
        <v>0</v>
      </c>
      <c r="L8481" t="n">
        <v>0</v>
      </c>
      <c r="M8481" t="n">
        <v>0</v>
      </c>
      <c r="N8481" t="n">
        <v>0</v>
      </c>
      <c r="O8481" t="n">
        <v>0</v>
      </c>
      <c r="P8481" t="n">
        <v>0</v>
      </c>
      <c r="Q8481" t="n">
        <v>0</v>
      </c>
      <c r="R8481" s="2" t="inlineStr"/>
    </row>
    <row r="8482" ht="15" customHeight="1">
      <c r="A8482" t="inlineStr">
        <is>
          <t>A 55713-2024</t>
        </is>
      </c>
      <c r="B8482" s="1" t="n">
        <v>45622.70282407408</v>
      </c>
      <c r="C8482" s="1" t="n">
        <v>46086</v>
      </c>
      <c r="D8482" t="inlineStr">
        <is>
          <t>GÄVLEBORGS LÄN</t>
        </is>
      </c>
      <c r="E8482" t="inlineStr">
        <is>
          <t>SÖDERHAMN</t>
        </is>
      </c>
      <c r="G8482" t="n">
        <v>4.5</v>
      </c>
      <c r="H8482" t="n">
        <v>0</v>
      </c>
      <c r="I8482" t="n">
        <v>0</v>
      </c>
      <c r="J8482" t="n">
        <v>0</v>
      </c>
      <c r="K8482" t="n">
        <v>0</v>
      </c>
      <c r="L8482" t="n">
        <v>0</v>
      </c>
      <c r="M8482" t="n">
        <v>0</v>
      </c>
      <c r="N8482" t="n">
        <v>0</v>
      </c>
      <c r="O8482" t="n">
        <v>0</v>
      </c>
      <c r="P8482" t="n">
        <v>0</v>
      </c>
      <c r="Q8482" t="n">
        <v>0</v>
      </c>
      <c r="R8482" s="2" t="inlineStr"/>
    </row>
    <row r="8483" ht="15" customHeight="1">
      <c r="A8483" t="inlineStr">
        <is>
          <t>A 7433-2026</t>
        </is>
      </c>
      <c r="B8483" s="1" t="n">
        <v>46059.43840277778</v>
      </c>
      <c r="C8483" s="1" t="n">
        <v>46086</v>
      </c>
      <c r="D8483" t="inlineStr">
        <is>
          <t>GÄVLEBORGS LÄN</t>
        </is>
      </c>
      <c r="E8483" t="inlineStr">
        <is>
          <t>NORDANSTIG</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55715-2024</t>
        </is>
      </c>
      <c r="B8484" s="1" t="n">
        <v>45622.70284722222</v>
      </c>
      <c r="C8484" s="1" t="n">
        <v>46086</v>
      </c>
      <c r="D8484" t="inlineStr">
        <is>
          <t>GÄVLEBORGS LÄN</t>
        </is>
      </c>
      <c r="E8484" t="inlineStr">
        <is>
          <t>SÖDERHAMN</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7549-2026</t>
        </is>
      </c>
      <c r="B8485" s="1" t="n">
        <v>46059.67913194445</v>
      </c>
      <c r="C8485" s="1" t="n">
        <v>46086</v>
      </c>
      <c r="D8485" t="inlineStr">
        <is>
          <t>GÄVLEBORGS LÄN</t>
        </is>
      </c>
      <c r="E8485" t="inlineStr">
        <is>
          <t>SANDVIKEN</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7282-2026</t>
        </is>
      </c>
      <c r="B8486" s="1" t="n">
        <v>46058.63587962963</v>
      </c>
      <c r="C8486" s="1" t="n">
        <v>46086</v>
      </c>
      <c r="D8486" t="inlineStr">
        <is>
          <t>GÄVLEBORGS LÄN</t>
        </is>
      </c>
      <c r="E8486" t="inlineStr">
        <is>
          <t>LJUSDAL</t>
        </is>
      </c>
      <c r="F8486" t="inlineStr">
        <is>
          <t>SCA</t>
        </is>
      </c>
      <c r="G8486" t="n">
        <v>7.7</v>
      </c>
      <c r="H8486" t="n">
        <v>0</v>
      </c>
      <c r="I8486" t="n">
        <v>0</v>
      </c>
      <c r="J8486" t="n">
        <v>0</v>
      </c>
      <c r="K8486" t="n">
        <v>0</v>
      </c>
      <c r="L8486" t="n">
        <v>0</v>
      </c>
      <c r="M8486" t="n">
        <v>0</v>
      </c>
      <c r="N8486" t="n">
        <v>0</v>
      </c>
      <c r="O8486" t="n">
        <v>0</v>
      </c>
      <c r="P8486" t="n">
        <v>0</v>
      </c>
      <c r="Q8486" t="n">
        <v>0</v>
      </c>
      <c r="R8486" s="2" t="inlineStr"/>
    </row>
    <row r="8487" ht="15" customHeight="1">
      <c r="A8487" t="inlineStr">
        <is>
          <t>A 7336-2026</t>
        </is>
      </c>
      <c r="B8487" s="1" t="n">
        <v>46058.87827546296</v>
      </c>
      <c r="C8487" s="1" t="n">
        <v>46086</v>
      </c>
      <c r="D8487" t="inlineStr">
        <is>
          <t>GÄVLEBORGS LÄN</t>
        </is>
      </c>
      <c r="E8487" t="inlineStr">
        <is>
          <t>BOLLNÄS</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7338-2026</t>
        </is>
      </c>
      <c r="B8488" s="1" t="n">
        <v>46058.88533564815</v>
      </c>
      <c r="C8488" s="1" t="n">
        <v>46086</v>
      </c>
      <c r="D8488" t="inlineStr">
        <is>
          <t>GÄVLEBORGS LÄN</t>
        </is>
      </c>
      <c r="E8488" t="inlineStr">
        <is>
          <t>BOLLNÄS</t>
        </is>
      </c>
      <c r="G8488" t="n">
        <v>6</v>
      </c>
      <c r="H8488" t="n">
        <v>0</v>
      </c>
      <c r="I8488" t="n">
        <v>0</v>
      </c>
      <c r="J8488" t="n">
        <v>0</v>
      </c>
      <c r="K8488" t="n">
        <v>0</v>
      </c>
      <c r="L8488" t="n">
        <v>0</v>
      </c>
      <c r="M8488" t="n">
        <v>0</v>
      </c>
      <c r="N8488" t="n">
        <v>0</v>
      </c>
      <c r="O8488" t="n">
        <v>0</v>
      </c>
      <c r="P8488" t="n">
        <v>0</v>
      </c>
      <c r="Q8488" t="n">
        <v>0</v>
      </c>
      <c r="R8488" s="2" t="inlineStr"/>
    </row>
    <row r="8489" ht="15" customHeight="1">
      <c r="A8489" t="inlineStr">
        <is>
          <t>A 40196-2024</t>
        </is>
      </c>
      <c r="B8489" s="1" t="n">
        <v>45554.57899305555</v>
      </c>
      <c r="C8489" s="1" t="n">
        <v>46086</v>
      </c>
      <c r="D8489" t="inlineStr">
        <is>
          <t>GÄVLEBORGS LÄN</t>
        </is>
      </c>
      <c r="E8489" t="inlineStr">
        <is>
          <t>OCKELBO</t>
        </is>
      </c>
      <c r="F8489" t="inlineStr">
        <is>
          <t>Bergvik skog väst AB</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7343-2026</t>
        </is>
      </c>
      <c r="B8490" s="1" t="n">
        <v>46058.89818287037</v>
      </c>
      <c r="C8490" s="1" t="n">
        <v>46086</v>
      </c>
      <c r="D8490" t="inlineStr">
        <is>
          <t>GÄVLEBORGS LÄN</t>
        </is>
      </c>
      <c r="E8490" t="inlineStr">
        <is>
          <t>SANDVIKEN</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7379-2026</t>
        </is>
      </c>
      <c r="B8491" s="1" t="n">
        <v>46059.35972222222</v>
      </c>
      <c r="C8491" s="1" t="n">
        <v>46086</v>
      </c>
      <c r="D8491" t="inlineStr">
        <is>
          <t>GÄVLEBORGS LÄN</t>
        </is>
      </c>
      <c r="E8491" t="inlineStr">
        <is>
          <t>HUDIKSVALL</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35154-2023</t>
        </is>
      </c>
      <c r="B8492" s="1" t="n">
        <v>45145</v>
      </c>
      <c r="C8492" s="1" t="n">
        <v>46086</v>
      </c>
      <c r="D8492" t="inlineStr">
        <is>
          <t>GÄVLEBORGS LÄN</t>
        </is>
      </c>
      <c r="E8492" t="inlineStr">
        <is>
          <t>LJUSDAL</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7393-2026</t>
        </is>
      </c>
      <c r="B8493" s="1" t="n">
        <v>46059.36969907407</v>
      </c>
      <c r="C8493" s="1" t="n">
        <v>46086</v>
      </c>
      <c r="D8493" t="inlineStr">
        <is>
          <t>GÄVLEBORGS LÄN</t>
        </is>
      </c>
      <c r="E8493" t="inlineStr">
        <is>
          <t>SANDVIKEN</t>
        </is>
      </c>
      <c r="G8493" t="n">
        <v>6.7</v>
      </c>
      <c r="H8493" t="n">
        <v>0</v>
      </c>
      <c r="I8493" t="n">
        <v>0</v>
      </c>
      <c r="J8493" t="n">
        <v>0</v>
      </c>
      <c r="K8493" t="n">
        <v>0</v>
      </c>
      <c r="L8493" t="n">
        <v>0</v>
      </c>
      <c r="M8493" t="n">
        <v>0</v>
      </c>
      <c r="N8493" t="n">
        <v>0</v>
      </c>
      <c r="O8493" t="n">
        <v>0</v>
      </c>
      <c r="P8493" t="n">
        <v>0</v>
      </c>
      <c r="Q8493" t="n">
        <v>0</v>
      </c>
      <c r="R8493" s="2" t="inlineStr"/>
    </row>
    <row r="8494" ht="15" customHeight="1">
      <c r="A8494" t="inlineStr">
        <is>
          <t>A 31848-2021</t>
        </is>
      </c>
      <c r="B8494" s="1" t="n">
        <v>44370</v>
      </c>
      <c r="C8494" s="1" t="n">
        <v>46086</v>
      </c>
      <c r="D8494" t="inlineStr">
        <is>
          <t>GÄVLEBORGS LÄN</t>
        </is>
      </c>
      <c r="E8494" t="inlineStr">
        <is>
          <t>BOLLNÄS</t>
        </is>
      </c>
      <c r="F8494" t="inlineStr">
        <is>
          <t>Bergvik skog väst AB</t>
        </is>
      </c>
      <c r="G8494" t="n">
        <v>4</v>
      </c>
      <c r="H8494" t="n">
        <v>0</v>
      </c>
      <c r="I8494" t="n">
        <v>0</v>
      </c>
      <c r="J8494" t="n">
        <v>0</v>
      </c>
      <c r="K8494" t="n">
        <v>0</v>
      </c>
      <c r="L8494" t="n">
        <v>0</v>
      </c>
      <c r="M8494" t="n">
        <v>0</v>
      </c>
      <c r="N8494" t="n">
        <v>0</v>
      </c>
      <c r="O8494" t="n">
        <v>0</v>
      </c>
      <c r="P8494" t="n">
        <v>0</v>
      </c>
      <c r="Q8494" t="n">
        <v>0</v>
      </c>
      <c r="R8494" s="2" t="inlineStr"/>
    </row>
    <row r="8495" ht="15" customHeight="1">
      <c r="A8495" t="inlineStr">
        <is>
          <t>A 7058-2026</t>
        </is>
      </c>
      <c r="B8495" s="1" t="n">
        <v>46057.85387731482</v>
      </c>
      <c r="C8495" s="1" t="n">
        <v>46086</v>
      </c>
      <c r="D8495" t="inlineStr">
        <is>
          <t>GÄVLEBORGS LÄN</t>
        </is>
      </c>
      <c r="E8495" t="inlineStr">
        <is>
          <t>HUDIKSVALL</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7067-2026</t>
        </is>
      </c>
      <c r="B8496" s="1" t="n">
        <v>46058.284375</v>
      </c>
      <c r="C8496" s="1" t="n">
        <v>46086</v>
      </c>
      <c r="D8496" t="inlineStr">
        <is>
          <t>GÄVLEBORGS LÄN</t>
        </is>
      </c>
      <c r="E8496" t="inlineStr">
        <is>
          <t>BOLLNÄS</t>
        </is>
      </c>
      <c r="G8496" t="n">
        <v>3.9</v>
      </c>
      <c r="H8496" t="n">
        <v>0</v>
      </c>
      <c r="I8496" t="n">
        <v>0</v>
      </c>
      <c r="J8496" t="n">
        <v>0</v>
      </c>
      <c r="K8496" t="n">
        <v>0</v>
      </c>
      <c r="L8496" t="n">
        <v>0</v>
      </c>
      <c r="M8496" t="n">
        <v>0</v>
      </c>
      <c r="N8496" t="n">
        <v>0</v>
      </c>
      <c r="O8496" t="n">
        <v>0</v>
      </c>
      <c r="P8496" t="n">
        <v>0</v>
      </c>
      <c r="Q8496" t="n">
        <v>0</v>
      </c>
      <c r="R8496" s="2" t="inlineStr"/>
    </row>
    <row r="8497" ht="15" customHeight="1">
      <c r="A8497" t="inlineStr">
        <is>
          <t>A 7073-2026</t>
        </is>
      </c>
      <c r="B8497" s="1" t="n">
        <v>46058.32569444444</v>
      </c>
      <c r="C8497" s="1" t="n">
        <v>46086</v>
      </c>
      <c r="D8497" t="inlineStr">
        <is>
          <t>GÄVLEBORGS LÄN</t>
        </is>
      </c>
      <c r="E8497" t="inlineStr">
        <is>
          <t>SANDVIKEN</t>
        </is>
      </c>
      <c r="G8497" t="n">
        <v>3.4</v>
      </c>
      <c r="H8497" t="n">
        <v>0</v>
      </c>
      <c r="I8497" t="n">
        <v>0</v>
      </c>
      <c r="J8497" t="n">
        <v>0</v>
      </c>
      <c r="K8497" t="n">
        <v>0</v>
      </c>
      <c r="L8497" t="n">
        <v>0</v>
      </c>
      <c r="M8497" t="n">
        <v>0</v>
      </c>
      <c r="N8497" t="n">
        <v>0</v>
      </c>
      <c r="O8497" t="n">
        <v>0</v>
      </c>
      <c r="P8497" t="n">
        <v>0</v>
      </c>
      <c r="Q8497" t="n">
        <v>0</v>
      </c>
      <c r="R8497" s="2" t="inlineStr"/>
    </row>
    <row r="8498" ht="15" customHeight="1">
      <c r="A8498" t="inlineStr">
        <is>
          <t>A 7095-2026</t>
        </is>
      </c>
      <c r="B8498" s="1" t="n">
        <v>46058.34798611111</v>
      </c>
      <c r="C8498" s="1" t="n">
        <v>46086</v>
      </c>
      <c r="D8498" t="inlineStr">
        <is>
          <t>GÄVLEBORGS LÄN</t>
        </is>
      </c>
      <c r="E8498" t="inlineStr">
        <is>
          <t>BOLLNÄS</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6681-2026</t>
        </is>
      </c>
      <c r="B8499" s="1" t="n">
        <v>46056</v>
      </c>
      <c r="C8499" s="1" t="n">
        <v>46086</v>
      </c>
      <c r="D8499" t="inlineStr">
        <is>
          <t>GÄVLEBORGS LÄN</t>
        </is>
      </c>
      <c r="E8499" t="inlineStr">
        <is>
          <t>GÄVLE</t>
        </is>
      </c>
      <c r="G8499" t="n">
        <v>6.6</v>
      </c>
      <c r="H8499" t="n">
        <v>0</v>
      </c>
      <c r="I8499" t="n">
        <v>0</v>
      </c>
      <c r="J8499" t="n">
        <v>0</v>
      </c>
      <c r="K8499" t="n">
        <v>0</v>
      </c>
      <c r="L8499" t="n">
        <v>0</v>
      </c>
      <c r="M8499" t="n">
        <v>0</v>
      </c>
      <c r="N8499" t="n">
        <v>0</v>
      </c>
      <c r="O8499" t="n">
        <v>0</v>
      </c>
      <c r="P8499" t="n">
        <v>0</v>
      </c>
      <c r="Q8499" t="n">
        <v>0</v>
      </c>
      <c r="R8499" s="2" t="inlineStr"/>
    </row>
    <row r="8500" ht="15" customHeight="1">
      <c r="A8500" t="inlineStr">
        <is>
          <t>A 5449-2026</t>
        </is>
      </c>
      <c r="B8500" s="1" t="n">
        <v>46050</v>
      </c>
      <c r="C8500" s="1" t="n">
        <v>46086</v>
      </c>
      <c r="D8500" t="inlineStr">
        <is>
          <t>GÄVLEBORGS LÄN</t>
        </is>
      </c>
      <c r="E8500" t="inlineStr">
        <is>
          <t>BOLLNÄS</t>
        </is>
      </c>
      <c r="F8500" t="inlineStr">
        <is>
          <t>Bergvik skog väst AB</t>
        </is>
      </c>
      <c r="G8500" t="n">
        <v>0.4</v>
      </c>
      <c r="H8500" t="n">
        <v>0</v>
      </c>
      <c r="I8500" t="n">
        <v>0</v>
      </c>
      <c r="J8500" t="n">
        <v>0</v>
      </c>
      <c r="K8500" t="n">
        <v>0</v>
      </c>
      <c r="L8500" t="n">
        <v>0</v>
      </c>
      <c r="M8500" t="n">
        <v>0</v>
      </c>
      <c r="N8500" t="n">
        <v>0</v>
      </c>
      <c r="O8500" t="n">
        <v>0</v>
      </c>
      <c r="P8500" t="n">
        <v>0</v>
      </c>
      <c r="Q8500" t="n">
        <v>0</v>
      </c>
      <c r="R8500" s="2" t="inlineStr"/>
    </row>
    <row r="8501" ht="15" customHeight="1">
      <c r="A8501" t="inlineStr">
        <is>
          <t>A 16185-2025</t>
        </is>
      </c>
      <c r="B8501" s="1" t="n">
        <v>45750.58597222222</v>
      </c>
      <c r="C8501" s="1" t="n">
        <v>46086</v>
      </c>
      <c r="D8501" t="inlineStr">
        <is>
          <t>GÄVLEBORGS LÄN</t>
        </is>
      </c>
      <c r="E8501" t="inlineStr">
        <is>
          <t>SÖDERHAMN</t>
        </is>
      </c>
      <c r="F8501" t="inlineStr">
        <is>
          <t>Kommuner</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13667-2023</t>
        </is>
      </c>
      <c r="B8502" s="1" t="n">
        <v>45006</v>
      </c>
      <c r="C8502" s="1" t="n">
        <v>46086</v>
      </c>
      <c r="D8502" t="inlineStr">
        <is>
          <t>GÄVLEBORGS LÄN</t>
        </is>
      </c>
      <c r="E8502" t="inlineStr">
        <is>
          <t>LJUSDAL</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7119-2026</t>
        </is>
      </c>
      <c r="B8503" s="1" t="n">
        <v>46058.37984953704</v>
      </c>
      <c r="C8503" s="1" t="n">
        <v>46086</v>
      </c>
      <c r="D8503" t="inlineStr">
        <is>
          <t>GÄVLEBORGS LÄN</t>
        </is>
      </c>
      <c r="E8503" t="inlineStr">
        <is>
          <t>SANDVIKEN</t>
        </is>
      </c>
      <c r="G8503" t="n">
        <v>2.3</v>
      </c>
      <c r="H8503" t="n">
        <v>0</v>
      </c>
      <c r="I8503" t="n">
        <v>0</v>
      </c>
      <c r="J8503" t="n">
        <v>0</v>
      </c>
      <c r="K8503" t="n">
        <v>0</v>
      </c>
      <c r="L8503" t="n">
        <v>0</v>
      </c>
      <c r="M8503" t="n">
        <v>0</v>
      </c>
      <c r="N8503" t="n">
        <v>0</v>
      </c>
      <c r="O8503" t="n">
        <v>0</v>
      </c>
      <c r="P8503" t="n">
        <v>0</v>
      </c>
      <c r="Q8503" t="n">
        <v>0</v>
      </c>
      <c r="R8503" s="2" t="inlineStr"/>
    </row>
    <row r="8504" ht="15" customHeight="1">
      <c r="A8504" t="inlineStr">
        <is>
          <t>A 7144-2026</t>
        </is>
      </c>
      <c r="B8504" s="1" t="n">
        <v>46058.42159722222</v>
      </c>
      <c r="C8504" s="1" t="n">
        <v>46086</v>
      </c>
      <c r="D8504" t="inlineStr">
        <is>
          <t>GÄVLEBORGS LÄN</t>
        </is>
      </c>
      <c r="E8504" t="inlineStr">
        <is>
          <t>BOLLNÄS</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42657-2024</t>
        </is>
      </c>
      <c r="B8505" s="1" t="n">
        <v>45566.33591435185</v>
      </c>
      <c r="C8505" s="1" t="n">
        <v>46086</v>
      </c>
      <c r="D8505" t="inlineStr">
        <is>
          <t>GÄVLEBORGS LÄN</t>
        </is>
      </c>
      <c r="E8505" t="inlineStr">
        <is>
          <t>HUDIKSVALL</t>
        </is>
      </c>
      <c r="F8505" t="inlineStr">
        <is>
          <t>Holmen skog AB</t>
        </is>
      </c>
      <c r="G8505" t="n">
        <v>10</v>
      </c>
      <c r="H8505" t="n">
        <v>0</v>
      </c>
      <c r="I8505" t="n">
        <v>0</v>
      </c>
      <c r="J8505" t="n">
        <v>0</v>
      </c>
      <c r="K8505" t="n">
        <v>0</v>
      </c>
      <c r="L8505" t="n">
        <v>0</v>
      </c>
      <c r="M8505" t="n">
        <v>0</v>
      </c>
      <c r="N8505" t="n">
        <v>0</v>
      </c>
      <c r="O8505" t="n">
        <v>0</v>
      </c>
      <c r="P8505" t="n">
        <v>0</v>
      </c>
      <c r="Q8505" t="n">
        <v>0</v>
      </c>
      <c r="R8505" s="2" t="inlineStr"/>
    </row>
    <row r="8506" ht="15" customHeight="1">
      <c r="A8506" t="inlineStr">
        <is>
          <t>A 7176-2026</t>
        </is>
      </c>
      <c r="B8506" s="1" t="n">
        <v>46058.46605324074</v>
      </c>
      <c r="C8506" s="1" t="n">
        <v>46086</v>
      </c>
      <c r="D8506" t="inlineStr">
        <is>
          <t>GÄVLEBORGS LÄN</t>
        </is>
      </c>
      <c r="E8506" t="inlineStr">
        <is>
          <t>OVANÅKER</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7066-2026</t>
        </is>
      </c>
      <c r="B8507" s="1" t="n">
        <v>46058.28021990741</v>
      </c>
      <c r="C8507" s="1" t="n">
        <v>46086</v>
      </c>
      <c r="D8507" t="inlineStr">
        <is>
          <t>GÄVLEBORGS LÄN</t>
        </is>
      </c>
      <c r="E8507" t="inlineStr">
        <is>
          <t>BOLLNÄS</t>
        </is>
      </c>
      <c r="G8507" t="n">
        <v>7.6</v>
      </c>
      <c r="H8507" t="n">
        <v>0</v>
      </c>
      <c r="I8507" t="n">
        <v>0</v>
      </c>
      <c r="J8507" t="n">
        <v>0</v>
      </c>
      <c r="K8507" t="n">
        <v>0</v>
      </c>
      <c r="L8507" t="n">
        <v>0</v>
      </c>
      <c r="M8507" t="n">
        <v>0</v>
      </c>
      <c r="N8507" t="n">
        <v>0</v>
      </c>
      <c r="O8507" t="n">
        <v>0</v>
      </c>
      <c r="P8507" t="n">
        <v>0</v>
      </c>
      <c r="Q8507" t="n">
        <v>0</v>
      </c>
      <c r="R8507" s="2" t="inlineStr"/>
    </row>
    <row r="8508" ht="15" customHeight="1">
      <c r="A8508" t="inlineStr">
        <is>
          <t>A 42796-2024</t>
        </is>
      </c>
      <c r="B8508" s="1" t="n">
        <v>45566.55170138889</v>
      </c>
      <c r="C8508" s="1" t="n">
        <v>46086</v>
      </c>
      <c r="D8508" t="inlineStr">
        <is>
          <t>GÄVLEBORGS LÄN</t>
        </is>
      </c>
      <c r="E8508" t="inlineStr">
        <is>
          <t>NORDANSTIG</t>
        </is>
      </c>
      <c r="G8508" t="n">
        <v>4.4</v>
      </c>
      <c r="H8508" t="n">
        <v>0</v>
      </c>
      <c r="I8508" t="n">
        <v>0</v>
      </c>
      <c r="J8508" t="n">
        <v>0</v>
      </c>
      <c r="K8508" t="n">
        <v>0</v>
      </c>
      <c r="L8508" t="n">
        <v>0</v>
      </c>
      <c r="M8508" t="n">
        <v>0</v>
      </c>
      <c r="N8508" t="n">
        <v>0</v>
      </c>
      <c r="O8508" t="n">
        <v>0</v>
      </c>
      <c r="P8508" t="n">
        <v>0</v>
      </c>
      <c r="Q8508" t="n">
        <v>0</v>
      </c>
      <c r="R8508" s="2" t="inlineStr"/>
    </row>
    <row r="8509" ht="15" customHeight="1">
      <c r="A8509" t="inlineStr">
        <is>
          <t>A 43121-2023</t>
        </is>
      </c>
      <c r="B8509" s="1" t="n">
        <v>45182.94826388889</v>
      </c>
      <c r="C8509" s="1" t="n">
        <v>46086</v>
      </c>
      <c r="D8509" t="inlineStr">
        <is>
          <t>GÄVLEBORGS LÄN</t>
        </is>
      </c>
      <c r="E8509" t="inlineStr">
        <is>
          <t>LJUSDAL</t>
        </is>
      </c>
      <c r="F8509" t="inlineStr">
        <is>
          <t>SCA</t>
        </is>
      </c>
      <c r="G8509" t="n">
        <v>7.6</v>
      </c>
      <c r="H8509" t="n">
        <v>0</v>
      </c>
      <c r="I8509" t="n">
        <v>0</v>
      </c>
      <c r="J8509" t="n">
        <v>0</v>
      </c>
      <c r="K8509" t="n">
        <v>0</v>
      </c>
      <c r="L8509" t="n">
        <v>0</v>
      </c>
      <c r="M8509" t="n">
        <v>0</v>
      </c>
      <c r="N8509" t="n">
        <v>0</v>
      </c>
      <c r="O8509" t="n">
        <v>0</v>
      </c>
      <c r="P8509" t="n">
        <v>0</v>
      </c>
      <c r="Q8509" t="n">
        <v>0</v>
      </c>
      <c r="R8509" s="2" t="inlineStr"/>
    </row>
    <row r="8510" ht="15" customHeight="1">
      <c r="A8510" t="inlineStr">
        <is>
          <t>A 35450-2025</t>
        </is>
      </c>
      <c r="B8510" s="1" t="n">
        <v>45855.56597222222</v>
      </c>
      <c r="C8510" s="1" t="n">
        <v>46086</v>
      </c>
      <c r="D8510" t="inlineStr">
        <is>
          <t>GÄVLEBORGS LÄN</t>
        </is>
      </c>
      <c r="E8510" t="inlineStr">
        <is>
          <t>GÄVLE</t>
        </is>
      </c>
      <c r="G8510" t="n">
        <v>8.199999999999999</v>
      </c>
      <c r="H8510" t="n">
        <v>0</v>
      </c>
      <c r="I8510" t="n">
        <v>0</v>
      </c>
      <c r="J8510" t="n">
        <v>0</v>
      </c>
      <c r="K8510" t="n">
        <v>0</v>
      </c>
      <c r="L8510" t="n">
        <v>0</v>
      </c>
      <c r="M8510" t="n">
        <v>0</v>
      </c>
      <c r="N8510" t="n">
        <v>0</v>
      </c>
      <c r="O8510" t="n">
        <v>0</v>
      </c>
      <c r="P8510" t="n">
        <v>0</v>
      </c>
      <c r="Q8510" t="n">
        <v>0</v>
      </c>
      <c r="R8510" s="2" t="inlineStr"/>
    </row>
    <row r="8511" ht="15" customHeight="1">
      <c r="A8511" t="inlineStr">
        <is>
          <t>A 17853-2025</t>
        </is>
      </c>
      <c r="B8511" s="1" t="n">
        <v>45758.61561342593</v>
      </c>
      <c r="C8511" s="1" t="n">
        <v>46086</v>
      </c>
      <c r="D8511" t="inlineStr">
        <is>
          <t>GÄVLEBORGS LÄN</t>
        </is>
      </c>
      <c r="E8511" t="inlineStr">
        <is>
          <t>NORDANSTIG</t>
        </is>
      </c>
      <c r="F8511" t="inlineStr">
        <is>
          <t>Holmen skog AB</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5199-2026</t>
        </is>
      </c>
      <c r="B8512" s="1" t="n">
        <v>46049</v>
      </c>
      <c r="C8512" s="1" t="n">
        <v>46086</v>
      </c>
      <c r="D8512" t="inlineStr">
        <is>
          <t>GÄVLEBORGS LÄN</t>
        </is>
      </c>
      <c r="E8512" t="inlineStr">
        <is>
          <t>OCKELBO</t>
        </is>
      </c>
      <c r="F8512" t="inlineStr">
        <is>
          <t>Bergvik skog väst AB</t>
        </is>
      </c>
      <c r="G8512" t="n">
        <v>3.9</v>
      </c>
      <c r="H8512" t="n">
        <v>0</v>
      </c>
      <c r="I8512" t="n">
        <v>0</v>
      </c>
      <c r="J8512" t="n">
        <v>0</v>
      </c>
      <c r="K8512" t="n">
        <v>0</v>
      </c>
      <c r="L8512" t="n">
        <v>0</v>
      </c>
      <c r="M8512" t="n">
        <v>0</v>
      </c>
      <c r="N8512" t="n">
        <v>0</v>
      </c>
      <c r="O8512" t="n">
        <v>0</v>
      </c>
      <c r="P8512" t="n">
        <v>0</v>
      </c>
      <c r="Q8512" t="n">
        <v>0</v>
      </c>
      <c r="R8512" s="2" t="inlineStr"/>
    </row>
    <row r="8513" ht="15" customHeight="1">
      <c r="A8513" t="inlineStr">
        <is>
          <t>A 64082-2025</t>
        </is>
      </c>
      <c r="B8513" s="1" t="n">
        <v>46021</v>
      </c>
      <c r="C8513" s="1" t="n">
        <v>46086</v>
      </c>
      <c r="D8513" t="inlineStr">
        <is>
          <t>GÄVLEBORGS LÄN</t>
        </is>
      </c>
      <c r="E8513" t="inlineStr">
        <is>
          <t>HUDIKSVALL</t>
        </is>
      </c>
      <c r="G8513" t="n">
        <v>4.4</v>
      </c>
      <c r="H8513" t="n">
        <v>0</v>
      </c>
      <c r="I8513" t="n">
        <v>0</v>
      </c>
      <c r="J8513" t="n">
        <v>0</v>
      </c>
      <c r="K8513" t="n">
        <v>0</v>
      </c>
      <c r="L8513" t="n">
        <v>0</v>
      </c>
      <c r="M8513" t="n">
        <v>0</v>
      </c>
      <c r="N8513" t="n">
        <v>0</v>
      </c>
      <c r="O8513" t="n">
        <v>0</v>
      </c>
      <c r="P8513" t="n">
        <v>0</v>
      </c>
      <c r="Q8513" t="n">
        <v>0</v>
      </c>
      <c r="R8513" s="2" t="inlineStr"/>
    </row>
    <row r="8514" ht="15" customHeight="1">
      <c r="A8514" t="inlineStr">
        <is>
          <t>A 4483-2026</t>
        </is>
      </c>
      <c r="B8514" s="1" t="n">
        <v>46045</v>
      </c>
      <c r="C8514" s="1" t="n">
        <v>46086</v>
      </c>
      <c r="D8514" t="inlineStr">
        <is>
          <t>GÄVLEBORGS LÄN</t>
        </is>
      </c>
      <c r="E8514" t="inlineStr">
        <is>
          <t>SANDVIKEN</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63988-2025</t>
        </is>
      </c>
      <c r="B8515" s="1" t="n">
        <v>46021</v>
      </c>
      <c r="C8515" s="1" t="n">
        <v>46086</v>
      </c>
      <c r="D8515" t="inlineStr">
        <is>
          <t>GÄVLEBORGS LÄN</t>
        </is>
      </c>
      <c r="E8515" t="inlineStr">
        <is>
          <t>LJUSDAL</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63996-2025</t>
        </is>
      </c>
      <c r="B8516" s="1" t="n">
        <v>46021</v>
      </c>
      <c r="C8516" s="1" t="n">
        <v>46086</v>
      </c>
      <c r="D8516" t="inlineStr">
        <is>
          <t>GÄVLEBORGS LÄN</t>
        </is>
      </c>
      <c r="E8516" t="inlineStr">
        <is>
          <t>BOLLNÄS</t>
        </is>
      </c>
      <c r="G8516" t="n">
        <v>9.1</v>
      </c>
      <c r="H8516" t="n">
        <v>0</v>
      </c>
      <c r="I8516" t="n">
        <v>0</v>
      </c>
      <c r="J8516" t="n">
        <v>0</v>
      </c>
      <c r="K8516" t="n">
        <v>0</v>
      </c>
      <c r="L8516" t="n">
        <v>0</v>
      </c>
      <c r="M8516" t="n">
        <v>0</v>
      </c>
      <c r="N8516" t="n">
        <v>0</v>
      </c>
      <c r="O8516" t="n">
        <v>0</v>
      </c>
      <c r="P8516" t="n">
        <v>0</v>
      </c>
      <c r="Q8516" t="n">
        <v>0</v>
      </c>
      <c r="R8516" s="2" t="inlineStr"/>
    </row>
    <row r="8517" ht="15" customHeight="1">
      <c r="A8517" t="inlineStr">
        <is>
          <t>A 63920-2025</t>
        </is>
      </c>
      <c r="B8517" s="1" t="n">
        <v>46020</v>
      </c>
      <c r="C8517" s="1" t="n">
        <v>46086</v>
      </c>
      <c r="D8517" t="inlineStr">
        <is>
          <t>GÄVLEBORGS LÄN</t>
        </is>
      </c>
      <c r="E8517" t="inlineStr">
        <is>
          <t>OVANÅKER</t>
        </is>
      </c>
      <c r="G8517" t="n">
        <v>4.6</v>
      </c>
      <c r="H8517" t="n">
        <v>0</v>
      </c>
      <c r="I8517" t="n">
        <v>0</v>
      </c>
      <c r="J8517" t="n">
        <v>0</v>
      </c>
      <c r="K8517" t="n">
        <v>0</v>
      </c>
      <c r="L8517" t="n">
        <v>0</v>
      </c>
      <c r="M8517" t="n">
        <v>0</v>
      </c>
      <c r="N8517" t="n">
        <v>0</v>
      </c>
      <c r="O8517" t="n">
        <v>0</v>
      </c>
      <c r="P8517" t="n">
        <v>0</v>
      </c>
      <c r="Q8517" t="n">
        <v>0</v>
      </c>
      <c r="R8517" s="2" t="inlineStr"/>
    </row>
    <row r="8518" ht="15" customHeight="1">
      <c r="A8518" t="inlineStr">
        <is>
          <t>A 63923-2025</t>
        </is>
      </c>
      <c r="B8518" s="1" t="n">
        <v>46020</v>
      </c>
      <c r="C8518" s="1" t="n">
        <v>46086</v>
      </c>
      <c r="D8518" t="inlineStr">
        <is>
          <t>GÄVLEBORGS LÄN</t>
        </is>
      </c>
      <c r="E8518" t="inlineStr">
        <is>
          <t>OVANÅKER</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63925-2025</t>
        </is>
      </c>
      <c r="B8519" s="1" t="n">
        <v>46020</v>
      </c>
      <c r="C8519" s="1" t="n">
        <v>46086</v>
      </c>
      <c r="D8519" t="inlineStr">
        <is>
          <t>GÄVLEBORGS LÄN</t>
        </is>
      </c>
      <c r="E8519" t="inlineStr">
        <is>
          <t>HUDIKSVALL</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63929-2025</t>
        </is>
      </c>
      <c r="B8520" s="1" t="n">
        <v>46020</v>
      </c>
      <c r="C8520" s="1" t="n">
        <v>46086</v>
      </c>
      <c r="D8520" t="inlineStr">
        <is>
          <t>GÄVLEBORGS LÄN</t>
        </is>
      </c>
      <c r="E8520" t="inlineStr">
        <is>
          <t>OVANÅKER</t>
        </is>
      </c>
      <c r="G8520" t="n">
        <v>6.6</v>
      </c>
      <c r="H8520" t="n">
        <v>0</v>
      </c>
      <c r="I8520" t="n">
        <v>0</v>
      </c>
      <c r="J8520" t="n">
        <v>0</v>
      </c>
      <c r="K8520" t="n">
        <v>0</v>
      </c>
      <c r="L8520" t="n">
        <v>0</v>
      </c>
      <c r="M8520" t="n">
        <v>0</v>
      </c>
      <c r="N8520" t="n">
        <v>0</v>
      </c>
      <c r="O8520" t="n">
        <v>0</v>
      </c>
      <c r="P8520" t="n">
        <v>0</v>
      </c>
      <c r="Q8520" t="n">
        <v>0</v>
      </c>
      <c r="R8520" s="2" t="inlineStr"/>
    </row>
    <row r="8521" ht="15" customHeight="1">
      <c r="A8521" t="inlineStr">
        <is>
          <t>A 63932-2025</t>
        </is>
      </c>
      <c r="B8521" s="1" t="n">
        <v>46020</v>
      </c>
      <c r="C8521" s="1" t="n">
        <v>46086</v>
      </c>
      <c r="D8521" t="inlineStr">
        <is>
          <t>GÄVLEBORGS LÄN</t>
        </is>
      </c>
      <c r="E8521" t="inlineStr">
        <is>
          <t>HUDIKSVALL</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63951-2025</t>
        </is>
      </c>
      <c r="B8522" s="1" t="n">
        <v>46020</v>
      </c>
      <c r="C8522" s="1" t="n">
        <v>46086</v>
      </c>
      <c r="D8522" t="inlineStr">
        <is>
          <t>GÄVLEBORGS LÄN</t>
        </is>
      </c>
      <c r="E8522" t="inlineStr">
        <is>
          <t>BOLLNÄS</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6262-2026</t>
        </is>
      </c>
      <c r="B8523" s="1" t="n">
        <v>46055</v>
      </c>
      <c r="C8523" s="1" t="n">
        <v>46086</v>
      </c>
      <c r="D8523" t="inlineStr">
        <is>
          <t>GÄVLEBORGS LÄN</t>
        </is>
      </c>
      <c r="E8523" t="inlineStr">
        <is>
          <t>OCKELBO</t>
        </is>
      </c>
      <c r="F8523" t="inlineStr">
        <is>
          <t>Bergvik skog väst AB</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6264-2026</t>
        </is>
      </c>
      <c r="B8524" s="1" t="n">
        <v>46055</v>
      </c>
      <c r="C8524" s="1" t="n">
        <v>46086</v>
      </c>
      <c r="D8524" t="inlineStr">
        <is>
          <t>GÄVLEBORGS LÄN</t>
        </is>
      </c>
      <c r="E8524" t="inlineStr">
        <is>
          <t>OCKELBO</t>
        </is>
      </c>
      <c r="F8524" t="inlineStr">
        <is>
          <t>Bergvik skog väst AB</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50791-2024</t>
        </is>
      </c>
      <c r="B8525" s="1" t="n">
        <v>45602.47328703704</v>
      </c>
      <c r="C8525" s="1" t="n">
        <v>46086</v>
      </c>
      <c r="D8525" t="inlineStr">
        <is>
          <t>GÄVLEBORGS LÄN</t>
        </is>
      </c>
      <c r="E8525" t="inlineStr">
        <is>
          <t>OVANÅKER</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50842-2024</t>
        </is>
      </c>
      <c r="B8526" s="1" t="n">
        <v>45602.60487268519</v>
      </c>
      <c r="C8526" s="1" t="n">
        <v>46086</v>
      </c>
      <c r="D8526" t="inlineStr">
        <is>
          <t>GÄVLEBORGS LÄN</t>
        </is>
      </c>
      <c r="E8526" t="inlineStr">
        <is>
          <t>SÖDERHAMN</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6320-2026</t>
        </is>
      </c>
      <c r="B8527" s="1" t="n">
        <v>46055</v>
      </c>
      <c r="C8527" s="1" t="n">
        <v>46086</v>
      </c>
      <c r="D8527" t="inlineStr">
        <is>
          <t>GÄVLEBORGS LÄN</t>
        </is>
      </c>
      <c r="E8527" t="inlineStr">
        <is>
          <t>BOLLNÄS</t>
        </is>
      </c>
      <c r="F8527" t="inlineStr">
        <is>
          <t>Bergvik skog väst AB</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7212-2026</t>
        </is>
      </c>
      <c r="B8528" s="1" t="n">
        <v>46058</v>
      </c>
      <c r="C8528" s="1" t="n">
        <v>46086</v>
      </c>
      <c r="D8528" t="inlineStr">
        <is>
          <t>GÄVLEBORGS LÄN</t>
        </is>
      </c>
      <c r="E8528" t="inlineStr">
        <is>
          <t>LJUSDAL</t>
        </is>
      </c>
      <c r="G8528" t="n">
        <v>3.1</v>
      </c>
      <c r="H8528" t="n">
        <v>0</v>
      </c>
      <c r="I8528" t="n">
        <v>0</v>
      </c>
      <c r="J8528" t="n">
        <v>0</v>
      </c>
      <c r="K8528" t="n">
        <v>0</v>
      </c>
      <c r="L8528" t="n">
        <v>0</v>
      </c>
      <c r="M8528" t="n">
        <v>0</v>
      </c>
      <c r="N8528" t="n">
        <v>0</v>
      </c>
      <c r="O8528" t="n">
        <v>0</v>
      </c>
      <c r="P8528" t="n">
        <v>0</v>
      </c>
      <c r="Q8528" t="n">
        <v>0</v>
      </c>
      <c r="R8528" s="2" t="inlineStr"/>
    </row>
    <row r="8529" ht="15" customHeight="1">
      <c r="A8529" t="inlineStr">
        <is>
          <t>A 7334-2026</t>
        </is>
      </c>
      <c r="B8529" s="1" t="n">
        <v>46058</v>
      </c>
      <c r="C8529" s="1" t="n">
        <v>46086</v>
      </c>
      <c r="D8529" t="inlineStr">
        <is>
          <t>GÄVLEBORGS LÄN</t>
        </is>
      </c>
      <c r="E8529" t="inlineStr">
        <is>
          <t>SANDVIKEN</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64050-2025</t>
        </is>
      </c>
      <c r="B8530" s="1" t="n">
        <v>46021</v>
      </c>
      <c r="C8530" s="1" t="n">
        <v>46086</v>
      </c>
      <c r="D8530" t="inlineStr">
        <is>
          <t>GÄVLEBORGS LÄN</t>
        </is>
      </c>
      <c r="E8530" t="inlineStr">
        <is>
          <t>GÄVLE</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2528-2025</t>
        </is>
      </c>
      <c r="B8531" s="1" t="n">
        <v>45674.61342592593</v>
      </c>
      <c r="C8531" s="1" t="n">
        <v>46086</v>
      </c>
      <c r="D8531" t="inlineStr">
        <is>
          <t>GÄVLEBORGS LÄN</t>
        </is>
      </c>
      <c r="E8531" t="inlineStr">
        <is>
          <t>HUDIKSVALL</t>
        </is>
      </c>
      <c r="G8531" t="n">
        <v>3.5</v>
      </c>
      <c r="H8531" t="n">
        <v>0</v>
      </c>
      <c r="I8531" t="n">
        <v>0</v>
      </c>
      <c r="J8531" t="n">
        <v>0</v>
      </c>
      <c r="K8531" t="n">
        <v>0</v>
      </c>
      <c r="L8531" t="n">
        <v>0</v>
      </c>
      <c r="M8531" t="n">
        <v>0</v>
      </c>
      <c r="N8531" t="n">
        <v>0</v>
      </c>
      <c r="O8531" t="n">
        <v>0</v>
      </c>
      <c r="P8531" t="n">
        <v>0</v>
      </c>
      <c r="Q8531" t="n">
        <v>0</v>
      </c>
      <c r="R8531" s="2" t="inlineStr"/>
    </row>
    <row r="8532" ht="15" customHeight="1">
      <c r="A8532" t="inlineStr">
        <is>
          <t>A 2373-2025</t>
        </is>
      </c>
      <c r="B8532" s="1" t="n">
        <v>45673.85991898148</v>
      </c>
      <c r="C8532" s="1" t="n">
        <v>46086</v>
      </c>
      <c r="D8532" t="inlineStr">
        <is>
          <t>GÄVLEBORGS LÄN</t>
        </is>
      </c>
      <c r="E8532" t="inlineStr">
        <is>
          <t>GÄVLE</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2374-2025</t>
        </is>
      </c>
      <c r="B8533" s="1" t="n">
        <v>45673.87116898148</v>
      </c>
      <c r="C8533" s="1" t="n">
        <v>46086</v>
      </c>
      <c r="D8533" t="inlineStr">
        <is>
          <t>GÄVLEBORGS LÄN</t>
        </is>
      </c>
      <c r="E8533" t="inlineStr">
        <is>
          <t>GÄVLE</t>
        </is>
      </c>
      <c r="G8533" t="n">
        <v>3.6</v>
      </c>
      <c r="H8533" t="n">
        <v>0</v>
      </c>
      <c r="I8533" t="n">
        <v>0</v>
      </c>
      <c r="J8533" t="n">
        <v>0</v>
      </c>
      <c r="K8533" t="n">
        <v>0</v>
      </c>
      <c r="L8533" t="n">
        <v>0</v>
      </c>
      <c r="M8533" t="n">
        <v>0</v>
      </c>
      <c r="N8533" t="n">
        <v>0</v>
      </c>
      <c r="O8533" t="n">
        <v>0</v>
      </c>
      <c r="P8533" t="n">
        <v>0</v>
      </c>
      <c r="Q8533" t="n">
        <v>0</v>
      </c>
      <c r="R8533" s="2" t="inlineStr"/>
    </row>
    <row r="8534" ht="15" customHeight="1">
      <c r="A8534" t="inlineStr">
        <is>
          <t>A 64059-2025</t>
        </is>
      </c>
      <c r="B8534" s="1" t="n">
        <v>46021</v>
      </c>
      <c r="C8534" s="1" t="n">
        <v>46086</v>
      </c>
      <c r="D8534" t="inlineStr">
        <is>
          <t>GÄVLEBORGS LÄN</t>
        </is>
      </c>
      <c r="E8534" t="inlineStr">
        <is>
          <t>OVANÅKER</t>
        </is>
      </c>
      <c r="G8534" t="n">
        <v>16.1</v>
      </c>
      <c r="H8534" t="n">
        <v>0</v>
      </c>
      <c r="I8534" t="n">
        <v>0</v>
      </c>
      <c r="J8534" t="n">
        <v>0</v>
      </c>
      <c r="K8534" t="n">
        <v>0</v>
      </c>
      <c r="L8534" t="n">
        <v>0</v>
      </c>
      <c r="M8534" t="n">
        <v>0</v>
      </c>
      <c r="N8534" t="n">
        <v>0</v>
      </c>
      <c r="O8534" t="n">
        <v>0</v>
      </c>
      <c r="P8534" t="n">
        <v>0</v>
      </c>
      <c r="Q8534" t="n">
        <v>0</v>
      </c>
      <c r="R8534" s="2" t="inlineStr"/>
    </row>
    <row r="8535" ht="15" customHeight="1">
      <c r="A8535" t="inlineStr">
        <is>
          <t>A 64092-2025</t>
        </is>
      </c>
      <c r="B8535" s="1" t="n">
        <v>46021</v>
      </c>
      <c r="C8535" s="1" t="n">
        <v>46086</v>
      </c>
      <c r="D8535" t="inlineStr">
        <is>
          <t>GÄVLEBORGS LÄN</t>
        </is>
      </c>
      <c r="E8535" t="inlineStr">
        <is>
          <t>LJUSDAL</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63783-2025</t>
        </is>
      </c>
      <c r="B8536" s="1" t="n">
        <v>46019</v>
      </c>
      <c r="C8536" s="1" t="n">
        <v>46086</v>
      </c>
      <c r="D8536" t="inlineStr">
        <is>
          <t>GÄVLEBORGS LÄN</t>
        </is>
      </c>
      <c r="E8536" t="inlineStr">
        <is>
          <t>NORDANSTIG</t>
        </is>
      </c>
      <c r="G8536" t="n">
        <v>6.4</v>
      </c>
      <c r="H8536" t="n">
        <v>0</v>
      </c>
      <c r="I8536" t="n">
        <v>0</v>
      </c>
      <c r="J8536" t="n">
        <v>0</v>
      </c>
      <c r="K8536" t="n">
        <v>0</v>
      </c>
      <c r="L8536" t="n">
        <v>0</v>
      </c>
      <c r="M8536" t="n">
        <v>0</v>
      </c>
      <c r="N8536" t="n">
        <v>0</v>
      </c>
      <c r="O8536" t="n">
        <v>0</v>
      </c>
      <c r="P8536" t="n">
        <v>0</v>
      </c>
      <c r="Q8536" t="n">
        <v>0</v>
      </c>
      <c r="R8536" s="2" t="inlineStr"/>
    </row>
    <row r="8537" ht="15" customHeight="1">
      <c r="A8537" t="inlineStr">
        <is>
          <t>A 63970-2025</t>
        </is>
      </c>
      <c r="B8537" s="1" t="n">
        <v>46021</v>
      </c>
      <c r="C8537" s="1" t="n">
        <v>46086</v>
      </c>
      <c r="D8537" t="inlineStr">
        <is>
          <t>GÄVLEBORGS LÄN</t>
        </is>
      </c>
      <c r="E8537" t="inlineStr">
        <is>
          <t>BOLLNÄS</t>
        </is>
      </c>
      <c r="G8537" t="n">
        <v>3.4</v>
      </c>
      <c r="H8537" t="n">
        <v>0</v>
      </c>
      <c r="I8537" t="n">
        <v>0</v>
      </c>
      <c r="J8537" t="n">
        <v>0</v>
      </c>
      <c r="K8537" t="n">
        <v>0</v>
      </c>
      <c r="L8537" t="n">
        <v>0</v>
      </c>
      <c r="M8537" t="n">
        <v>0</v>
      </c>
      <c r="N8537" t="n">
        <v>0</v>
      </c>
      <c r="O8537" t="n">
        <v>0</v>
      </c>
      <c r="P8537" t="n">
        <v>0</v>
      </c>
      <c r="Q8537" t="n">
        <v>0</v>
      </c>
      <c r="R8537" s="2" t="inlineStr"/>
    </row>
    <row r="8538" ht="15" customHeight="1">
      <c r="A8538" t="inlineStr">
        <is>
          <t>A 63973-2025</t>
        </is>
      </c>
      <c r="B8538" s="1" t="n">
        <v>46021</v>
      </c>
      <c r="C8538" s="1" t="n">
        <v>46086</v>
      </c>
      <c r="D8538" t="inlineStr">
        <is>
          <t>GÄVLEBORGS LÄN</t>
        </is>
      </c>
      <c r="E8538" t="inlineStr">
        <is>
          <t>OVANÅKER</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63977-2025</t>
        </is>
      </c>
      <c r="B8539" s="1" t="n">
        <v>46021</v>
      </c>
      <c r="C8539" s="1" t="n">
        <v>46086</v>
      </c>
      <c r="D8539" t="inlineStr">
        <is>
          <t>GÄVLEBORGS LÄN</t>
        </is>
      </c>
      <c r="E8539" t="inlineStr">
        <is>
          <t>OCKELBO</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63984-2025</t>
        </is>
      </c>
      <c r="B8540" s="1" t="n">
        <v>46021</v>
      </c>
      <c r="C8540" s="1" t="n">
        <v>46086</v>
      </c>
      <c r="D8540" t="inlineStr">
        <is>
          <t>GÄVLEBORGS LÄN</t>
        </is>
      </c>
      <c r="E8540" t="inlineStr">
        <is>
          <t>BOLLNÄS</t>
        </is>
      </c>
      <c r="G8540" t="n">
        <v>10.6</v>
      </c>
      <c r="H8540" t="n">
        <v>0</v>
      </c>
      <c r="I8540" t="n">
        <v>0</v>
      </c>
      <c r="J8540" t="n">
        <v>0</v>
      </c>
      <c r="K8540" t="n">
        <v>0</v>
      </c>
      <c r="L8540" t="n">
        <v>0</v>
      </c>
      <c r="M8540" t="n">
        <v>0</v>
      </c>
      <c r="N8540" t="n">
        <v>0</v>
      </c>
      <c r="O8540" t="n">
        <v>0</v>
      </c>
      <c r="P8540" t="n">
        <v>0</v>
      </c>
      <c r="Q8540" t="n">
        <v>0</v>
      </c>
      <c r="R8540" s="2" t="inlineStr"/>
    </row>
    <row r="8541" ht="15" customHeight="1">
      <c r="A8541" t="inlineStr">
        <is>
          <t>A 64000-2025</t>
        </is>
      </c>
      <c r="B8541" s="1" t="n">
        <v>46021.39847222222</v>
      </c>
      <c r="C8541" s="1" t="n">
        <v>46086</v>
      </c>
      <c r="D8541" t="inlineStr">
        <is>
          <t>GÄVLEBORGS LÄN</t>
        </is>
      </c>
      <c r="E8541" t="inlineStr">
        <is>
          <t>HOFORS</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5798-2026</t>
        </is>
      </c>
      <c r="B8542" s="1" t="n">
        <v>46051</v>
      </c>
      <c r="C8542" s="1" t="n">
        <v>46086</v>
      </c>
      <c r="D8542" t="inlineStr">
        <is>
          <t>GÄVLEBORGS LÄN</t>
        </is>
      </c>
      <c r="E8542" t="inlineStr">
        <is>
          <t>BOLLNÄS</t>
        </is>
      </c>
      <c r="F8542" t="inlineStr">
        <is>
          <t>Bergvik skog väst AB</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5932-2026</t>
        </is>
      </c>
      <c r="B8543" s="1" t="n">
        <v>46052.47049768519</v>
      </c>
      <c r="C8543" s="1" t="n">
        <v>46086</v>
      </c>
      <c r="D8543" t="inlineStr">
        <is>
          <t>GÄVLEBORGS LÄN</t>
        </is>
      </c>
      <c r="E8543" t="inlineStr">
        <is>
          <t>SANDVIKEN</t>
        </is>
      </c>
      <c r="G8543" t="n">
        <v>7.1</v>
      </c>
      <c r="H8543" t="n">
        <v>0</v>
      </c>
      <c r="I8543" t="n">
        <v>0</v>
      </c>
      <c r="J8543" t="n">
        <v>0</v>
      </c>
      <c r="K8543" t="n">
        <v>0</v>
      </c>
      <c r="L8543" t="n">
        <v>0</v>
      </c>
      <c r="M8543" t="n">
        <v>0</v>
      </c>
      <c r="N8543" t="n">
        <v>0</v>
      </c>
      <c r="O8543" t="n">
        <v>0</v>
      </c>
      <c r="P8543" t="n">
        <v>0</v>
      </c>
      <c r="Q8543" t="n">
        <v>0</v>
      </c>
      <c r="R8543" s="2" t="inlineStr"/>
    </row>
    <row r="8544" ht="15" customHeight="1">
      <c r="A8544" t="inlineStr">
        <is>
          <t>A 5964-2026</t>
        </is>
      </c>
      <c r="B8544" s="1" t="n">
        <v>46052.51173611111</v>
      </c>
      <c r="C8544" s="1" t="n">
        <v>46086</v>
      </c>
      <c r="D8544" t="inlineStr">
        <is>
          <t>GÄVLEBORGS LÄN</t>
        </is>
      </c>
      <c r="E8544" t="inlineStr">
        <is>
          <t>SANDVIKEN</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7894-2026</t>
        </is>
      </c>
      <c r="B8545" s="1" t="n">
        <v>46063.33663194445</v>
      </c>
      <c r="C8545" s="1" t="n">
        <v>46086</v>
      </c>
      <c r="D8545" t="inlineStr">
        <is>
          <t>GÄVLEBORGS LÄN</t>
        </is>
      </c>
      <c r="E8545" t="inlineStr">
        <is>
          <t>OVANÅKER</t>
        </is>
      </c>
      <c r="G8545" t="n">
        <v>12.1</v>
      </c>
      <c r="H8545" t="n">
        <v>0</v>
      </c>
      <c r="I8545" t="n">
        <v>0</v>
      </c>
      <c r="J8545" t="n">
        <v>0</v>
      </c>
      <c r="K8545" t="n">
        <v>0</v>
      </c>
      <c r="L8545" t="n">
        <v>0</v>
      </c>
      <c r="M8545" t="n">
        <v>0</v>
      </c>
      <c r="N8545" t="n">
        <v>0</v>
      </c>
      <c r="O8545" t="n">
        <v>0</v>
      </c>
      <c r="P8545" t="n">
        <v>0</v>
      </c>
      <c r="Q8545" t="n">
        <v>0</v>
      </c>
      <c r="R8545" s="2" t="inlineStr"/>
    </row>
    <row r="8546" ht="15" customHeight="1">
      <c r="A8546" t="inlineStr">
        <is>
          <t>A 7907-2026</t>
        </is>
      </c>
      <c r="B8546" s="1" t="n">
        <v>46063.35768518518</v>
      </c>
      <c r="C8546" s="1" t="n">
        <v>46086</v>
      </c>
      <c r="D8546" t="inlineStr">
        <is>
          <t>GÄVLEBORGS LÄN</t>
        </is>
      </c>
      <c r="E8546" t="inlineStr">
        <is>
          <t>OCKELBO</t>
        </is>
      </c>
      <c r="G8546" t="n">
        <v>11.5</v>
      </c>
      <c r="H8546" t="n">
        <v>0</v>
      </c>
      <c r="I8546" t="n">
        <v>0</v>
      </c>
      <c r="J8546" t="n">
        <v>0</v>
      </c>
      <c r="K8546" t="n">
        <v>0</v>
      </c>
      <c r="L8546" t="n">
        <v>0</v>
      </c>
      <c r="M8546" t="n">
        <v>0</v>
      </c>
      <c r="N8546" t="n">
        <v>0</v>
      </c>
      <c r="O8546" t="n">
        <v>0</v>
      </c>
      <c r="P8546" t="n">
        <v>0</v>
      </c>
      <c r="Q8546" t="n">
        <v>0</v>
      </c>
      <c r="R8546" s="2" t="inlineStr"/>
    </row>
    <row r="8547" ht="15" customHeight="1">
      <c r="A8547" t="inlineStr">
        <is>
          <t>A 188-2024</t>
        </is>
      </c>
      <c r="B8547" s="1" t="n">
        <v>45294.61709490741</v>
      </c>
      <c r="C8547" s="1" t="n">
        <v>46086</v>
      </c>
      <c r="D8547" t="inlineStr">
        <is>
          <t>GÄVLEBORGS LÄN</t>
        </is>
      </c>
      <c r="E8547" t="inlineStr">
        <is>
          <t>LJUSDAL</t>
        </is>
      </c>
      <c r="G8547" t="n">
        <v>14.3</v>
      </c>
      <c r="H8547" t="n">
        <v>0</v>
      </c>
      <c r="I8547" t="n">
        <v>0</v>
      </c>
      <c r="J8547" t="n">
        <v>0</v>
      </c>
      <c r="K8547" t="n">
        <v>0</v>
      </c>
      <c r="L8547" t="n">
        <v>0</v>
      </c>
      <c r="M8547" t="n">
        <v>0</v>
      </c>
      <c r="N8547" t="n">
        <v>0</v>
      </c>
      <c r="O8547" t="n">
        <v>0</v>
      </c>
      <c r="P8547" t="n">
        <v>0</v>
      </c>
      <c r="Q8547" t="n">
        <v>0</v>
      </c>
      <c r="R8547" s="2" t="inlineStr"/>
    </row>
    <row r="8548" ht="15" customHeight="1">
      <c r="A8548" t="inlineStr">
        <is>
          <t>A 264-2024</t>
        </is>
      </c>
      <c r="B8548" s="1" t="n">
        <v>45295</v>
      </c>
      <c r="C8548" s="1" t="n">
        <v>46086</v>
      </c>
      <c r="D8548" t="inlineStr">
        <is>
          <t>GÄVLEBORGS LÄN</t>
        </is>
      </c>
      <c r="E8548" t="inlineStr">
        <is>
          <t>LJUSDAL</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42035-2024</t>
        </is>
      </c>
      <c r="B8549" s="1" t="n">
        <v>45561</v>
      </c>
      <c r="C8549" s="1" t="n">
        <v>46086</v>
      </c>
      <c r="D8549" t="inlineStr">
        <is>
          <t>GÄVLEBORGS LÄN</t>
        </is>
      </c>
      <c r="E8549" t="inlineStr">
        <is>
          <t>SÖDERHAMN</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44347-2023</t>
        </is>
      </c>
      <c r="B8550" s="1" t="n">
        <v>45188.72041666666</v>
      </c>
      <c r="C8550" s="1" t="n">
        <v>46086</v>
      </c>
      <c r="D8550" t="inlineStr">
        <is>
          <t>GÄVLEBORGS LÄN</t>
        </is>
      </c>
      <c r="E8550" t="inlineStr">
        <is>
          <t>OVANÅKER</t>
        </is>
      </c>
      <c r="G8550" t="n">
        <v>4.1</v>
      </c>
      <c r="H8550" t="n">
        <v>0</v>
      </c>
      <c r="I8550" t="n">
        <v>0</v>
      </c>
      <c r="J8550" t="n">
        <v>0</v>
      </c>
      <c r="K8550" t="n">
        <v>0</v>
      </c>
      <c r="L8550" t="n">
        <v>0</v>
      </c>
      <c r="M8550" t="n">
        <v>0</v>
      </c>
      <c r="N8550" t="n">
        <v>0</v>
      </c>
      <c r="O8550" t="n">
        <v>0</v>
      </c>
      <c r="P8550" t="n">
        <v>0</v>
      </c>
      <c r="Q8550" t="n">
        <v>0</v>
      </c>
      <c r="R8550" s="2" t="inlineStr"/>
    </row>
    <row r="8551" ht="15" customHeight="1">
      <c r="A8551" t="inlineStr">
        <is>
          <t>A 63876-2025</t>
        </is>
      </c>
      <c r="B8551" s="1" t="n">
        <v>46020</v>
      </c>
      <c r="C8551" s="1" t="n">
        <v>46086</v>
      </c>
      <c r="D8551" t="inlineStr">
        <is>
          <t>GÄVLEBORGS LÄN</t>
        </is>
      </c>
      <c r="E8551" t="inlineStr">
        <is>
          <t>BOLLNÄS</t>
        </is>
      </c>
      <c r="G8551" t="n">
        <v>12.2</v>
      </c>
      <c r="H8551" t="n">
        <v>0</v>
      </c>
      <c r="I8551" t="n">
        <v>0</v>
      </c>
      <c r="J8551" t="n">
        <v>0</v>
      </c>
      <c r="K8551" t="n">
        <v>0</v>
      </c>
      <c r="L8551" t="n">
        <v>0</v>
      </c>
      <c r="M8551" t="n">
        <v>0</v>
      </c>
      <c r="N8551" t="n">
        <v>0</v>
      </c>
      <c r="O8551" t="n">
        <v>0</v>
      </c>
      <c r="P8551" t="n">
        <v>0</v>
      </c>
      <c r="Q8551" t="n">
        <v>0</v>
      </c>
      <c r="R8551" s="2" t="inlineStr"/>
    </row>
    <row r="8552" ht="15" customHeight="1">
      <c r="A8552" t="inlineStr">
        <is>
          <t>A 63879-2025</t>
        </is>
      </c>
      <c r="B8552" s="1" t="n">
        <v>46020</v>
      </c>
      <c r="C8552" s="1" t="n">
        <v>46086</v>
      </c>
      <c r="D8552" t="inlineStr">
        <is>
          <t>GÄVLEBORGS LÄN</t>
        </is>
      </c>
      <c r="E8552" t="inlineStr">
        <is>
          <t>SANDVIKEN</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7668-2026</t>
        </is>
      </c>
      <c r="B8553" s="1" t="n">
        <v>46062.41246527778</v>
      </c>
      <c r="C8553" s="1" t="n">
        <v>46086</v>
      </c>
      <c r="D8553" t="inlineStr">
        <is>
          <t>GÄVLEBORGS LÄN</t>
        </is>
      </c>
      <c r="E8553" t="inlineStr">
        <is>
          <t>NORDANSTIG</t>
        </is>
      </c>
      <c r="G8553" t="n">
        <v>5</v>
      </c>
      <c r="H8553" t="n">
        <v>0</v>
      </c>
      <c r="I8553" t="n">
        <v>0</v>
      </c>
      <c r="J8553" t="n">
        <v>0</v>
      </c>
      <c r="K8553" t="n">
        <v>0</v>
      </c>
      <c r="L8553" t="n">
        <v>0</v>
      </c>
      <c r="M8553" t="n">
        <v>0</v>
      </c>
      <c r="N8553" t="n">
        <v>0</v>
      </c>
      <c r="O8553" t="n">
        <v>0</v>
      </c>
      <c r="P8553" t="n">
        <v>0</v>
      </c>
      <c r="Q8553" t="n">
        <v>0</v>
      </c>
      <c r="R8553" s="2" t="inlineStr"/>
    </row>
    <row r="8554" ht="15" customHeight="1">
      <c r="A8554" t="inlineStr">
        <is>
          <t>A 7670-2026</t>
        </is>
      </c>
      <c r="B8554" s="1" t="n">
        <v>46062.41636574074</v>
      </c>
      <c r="C8554" s="1" t="n">
        <v>46086</v>
      </c>
      <c r="D8554" t="inlineStr">
        <is>
          <t>GÄVLEBORGS LÄN</t>
        </is>
      </c>
      <c r="E8554" t="inlineStr">
        <is>
          <t>NORDANSTIG</t>
        </is>
      </c>
      <c r="G8554" t="n">
        <v>7.7</v>
      </c>
      <c r="H8554" t="n">
        <v>0</v>
      </c>
      <c r="I8554" t="n">
        <v>0</v>
      </c>
      <c r="J8554" t="n">
        <v>0</v>
      </c>
      <c r="K8554" t="n">
        <v>0</v>
      </c>
      <c r="L8554" t="n">
        <v>0</v>
      </c>
      <c r="M8554" t="n">
        <v>0</v>
      </c>
      <c r="N8554" t="n">
        <v>0</v>
      </c>
      <c r="O8554" t="n">
        <v>0</v>
      </c>
      <c r="P8554" t="n">
        <v>0</v>
      </c>
      <c r="Q8554" t="n">
        <v>0</v>
      </c>
      <c r="R8554" s="2" t="inlineStr"/>
    </row>
    <row r="8555" ht="15" customHeight="1">
      <c r="A8555" t="inlineStr">
        <is>
          <t>A 60190-2023</t>
        </is>
      </c>
      <c r="B8555" s="1" t="n">
        <v>45258.57988425926</v>
      </c>
      <c r="C8555" s="1" t="n">
        <v>46086</v>
      </c>
      <c r="D8555" t="inlineStr">
        <is>
          <t>GÄVLEBORGS LÄN</t>
        </is>
      </c>
      <c r="E8555" t="inlineStr">
        <is>
          <t>HUDIKSVALL</t>
        </is>
      </c>
      <c r="F8555" t="inlineStr">
        <is>
          <t>Holmen skog AB</t>
        </is>
      </c>
      <c r="G8555" t="n">
        <v>0.3</v>
      </c>
      <c r="H8555" t="n">
        <v>0</v>
      </c>
      <c r="I8555" t="n">
        <v>0</v>
      </c>
      <c r="J8555" t="n">
        <v>0</v>
      </c>
      <c r="K8555" t="n">
        <v>0</v>
      </c>
      <c r="L8555" t="n">
        <v>0</v>
      </c>
      <c r="M8555" t="n">
        <v>0</v>
      </c>
      <c r="N8555" t="n">
        <v>0</v>
      </c>
      <c r="O8555" t="n">
        <v>0</v>
      </c>
      <c r="P8555" t="n">
        <v>0</v>
      </c>
      <c r="Q8555" t="n">
        <v>0</v>
      </c>
      <c r="R8555" s="2" t="inlineStr"/>
    </row>
    <row r="8556" ht="15" customHeight="1">
      <c r="A8556" t="inlineStr">
        <is>
          <t>A 7675-2026</t>
        </is>
      </c>
      <c r="B8556" s="1" t="n">
        <v>46062.42148148148</v>
      </c>
      <c r="C8556" s="1" t="n">
        <v>46086</v>
      </c>
      <c r="D8556" t="inlineStr">
        <is>
          <t>GÄVLEBORGS LÄN</t>
        </is>
      </c>
      <c r="E8556" t="inlineStr">
        <is>
          <t>OCKELBO</t>
        </is>
      </c>
      <c r="F8556" t="inlineStr">
        <is>
          <t>Kyrkan</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7688-2026</t>
        </is>
      </c>
      <c r="B8557" s="1" t="n">
        <v>46062.44076388889</v>
      </c>
      <c r="C8557" s="1" t="n">
        <v>46086</v>
      </c>
      <c r="D8557" t="inlineStr">
        <is>
          <t>GÄVLEBORGS LÄN</t>
        </is>
      </c>
      <c r="E8557" t="inlineStr">
        <is>
          <t>BOLLNÄS</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7691-2026</t>
        </is>
      </c>
      <c r="B8558" s="1" t="n">
        <v>46062.44280092593</v>
      </c>
      <c r="C8558" s="1" t="n">
        <v>46086</v>
      </c>
      <c r="D8558" t="inlineStr">
        <is>
          <t>GÄVLEBORGS LÄN</t>
        </is>
      </c>
      <c r="E8558" t="inlineStr">
        <is>
          <t>NORDANSTIG</t>
        </is>
      </c>
      <c r="G8558" t="n">
        <v>5.7</v>
      </c>
      <c r="H8558" t="n">
        <v>0</v>
      </c>
      <c r="I8558" t="n">
        <v>0</v>
      </c>
      <c r="J8558" t="n">
        <v>0</v>
      </c>
      <c r="K8558" t="n">
        <v>0</v>
      </c>
      <c r="L8558" t="n">
        <v>0</v>
      </c>
      <c r="M8558" t="n">
        <v>0</v>
      </c>
      <c r="N8558" t="n">
        <v>0</v>
      </c>
      <c r="O8558" t="n">
        <v>0</v>
      </c>
      <c r="P8558" t="n">
        <v>0</v>
      </c>
      <c r="Q8558" t="n">
        <v>0</v>
      </c>
      <c r="R8558" s="2" t="inlineStr"/>
    </row>
    <row r="8559" ht="15" customHeight="1">
      <c r="A8559" t="inlineStr">
        <is>
          <t>A 7709-2026</t>
        </is>
      </c>
      <c r="B8559" s="1" t="n">
        <v>46062.47863425926</v>
      </c>
      <c r="C8559" s="1" t="n">
        <v>46086</v>
      </c>
      <c r="D8559" t="inlineStr">
        <is>
          <t>GÄVLEBORGS LÄN</t>
        </is>
      </c>
      <c r="E8559" t="inlineStr">
        <is>
          <t>BOLLNÄS</t>
        </is>
      </c>
      <c r="G8559" t="n">
        <v>3.7</v>
      </c>
      <c r="H8559" t="n">
        <v>0</v>
      </c>
      <c r="I8559" t="n">
        <v>0</v>
      </c>
      <c r="J8559" t="n">
        <v>0</v>
      </c>
      <c r="K8559" t="n">
        <v>0</v>
      </c>
      <c r="L8559" t="n">
        <v>0</v>
      </c>
      <c r="M8559" t="n">
        <v>0</v>
      </c>
      <c r="N8559" t="n">
        <v>0</v>
      </c>
      <c r="O8559" t="n">
        <v>0</v>
      </c>
      <c r="P8559" t="n">
        <v>0</v>
      </c>
      <c r="Q8559" t="n">
        <v>0</v>
      </c>
      <c r="R8559" s="2" t="inlineStr"/>
    </row>
    <row r="8560" ht="15" customHeight="1">
      <c r="A8560" t="inlineStr">
        <is>
          <t>A 7740-2026</t>
        </is>
      </c>
      <c r="B8560" s="1" t="n">
        <v>46062.53707175926</v>
      </c>
      <c r="C8560" s="1" t="n">
        <v>46086</v>
      </c>
      <c r="D8560" t="inlineStr">
        <is>
          <t>GÄVLEBORGS LÄN</t>
        </is>
      </c>
      <c r="E8560" t="inlineStr">
        <is>
          <t>BOLLNÄS</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64091-2025</t>
        </is>
      </c>
      <c r="B8561" s="1" t="n">
        <v>46021</v>
      </c>
      <c r="C8561" s="1" t="n">
        <v>46086</v>
      </c>
      <c r="D8561" t="inlineStr">
        <is>
          <t>GÄVLEBORGS LÄN</t>
        </is>
      </c>
      <c r="E8561" t="inlineStr">
        <is>
          <t>HUDIKSVALL</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63819-2025</t>
        </is>
      </c>
      <c r="B8562" s="1" t="n">
        <v>46020.35232638889</v>
      </c>
      <c r="C8562" s="1" t="n">
        <v>46086</v>
      </c>
      <c r="D8562" t="inlineStr">
        <is>
          <t>GÄVLEBORGS LÄN</t>
        </is>
      </c>
      <c r="E8562" t="inlineStr">
        <is>
          <t>HUDIKSVALL</t>
        </is>
      </c>
      <c r="G8562" t="n">
        <v>3.9</v>
      </c>
      <c r="H8562" t="n">
        <v>0</v>
      </c>
      <c r="I8562" t="n">
        <v>0</v>
      </c>
      <c r="J8562" t="n">
        <v>0</v>
      </c>
      <c r="K8562" t="n">
        <v>0</v>
      </c>
      <c r="L8562" t="n">
        <v>0</v>
      </c>
      <c r="M8562" t="n">
        <v>0</v>
      </c>
      <c r="N8562" t="n">
        <v>0</v>
      </c>
      <c r="O8562" t="n">
        <v>0</v>
      </c>
      <c r="P8562" t="n">
        <v>0</v>
      </c>
      <c r="Q8562" t="n">
        <v>0</v>
      </c>
      <c r="R8562" s="2" t="inlineStr"/>
    </row>
    <row r="8563" ht="15" customHeight="1">
      <c r="A8563" t="inlineStr">
        <is>
          <t>A 7919-2026</t>
        </is>
      </c>
      <c r="B8563" s="1" t="n">
        <v>46063.38306712963</v>
      </c>
      <c r="C8563" s="1" t="n">
        <v>46086</v>
      </c>
      <c r="D8563" t="inlineStr">
        <is>
          <t>GÄVLEBORGS LÄN</t>
        </is>
      </c>
      <c r="E8563" t="inlineStr">
        <is>
          <t>BOLLNÄS</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8005-2026</t>
        </is>
      </c>
      <c r="B8564" s="1" t="n">
        <v>46063.51378472222</v>
      </c>
      <c r="C8564" s="1" t="n">
        <v>46086</v>
      </c>
      <c r="D8564" t="inlineStr">
        <is>
          <t>GÄVLEBORGS LÄN</t>
        </is>
      </c>
      <c r="E8564" t="inlineStr">
        <is>
          <t>HUDIKSVALL</t>
        </is>
      </c>
      <c r="F8564" t="inlineStr">
        <is>
          <t>Holmen skog AB</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63798-2025</t>
        </is>
      </c>
      <c r="B8565" s="1" t="n">
        <v>46019</v>
      </c>
      <c r="C8565" s="1" t="n">
        <v>46086</v>
      </c>
      <c r="D8565" t="inlineStr">
        <is>
          <t>GÄVLEBORGS LÄN</t>
        </is>
      </c>
      <c r="E8565" t="inlineStr">
        <is>
          <t>HUDIKSVALL</t>
        </is>
      </c>
      <c r="G8565" t="n">
        <v>6.8</v>
      </c>
      <c r="H8565" t="n">
        <v>0</v>
      </c>
      <c r="I8565" t="n">
        <v>0</v>
      </c>
      <c r="J8565" t="n">
        <v>0</v>
      </c>
      <c r="K8565" t="n">
        <v>0</v>
      </c>
      <c r="L8565" t="n">
        <v>0</v>
      </c>
      <c r="M8565" t="n">
        <v>0</v>
      </c>
      <c r="N8565" t="n">
        <v>0</v>
      </c>
      <c r="O8565" t="n">
        <v>0</v>
      </c>
      <c r="P8565" t="n">
        <v>0</v>
      </c>
      <c r="Q8565" t="n">
        <v>0</v>
      </c>
      <c r="R8565" s="2" t="inlineStr"/>
    </row>
    <row r="8566" ht="15" customHeight="1">
      <c r="A8566" t="inlineStr">
        <is>
          <t>A 63801-2025</t>
        </is>
      </c>
      <c r="B8566" s="1" t="n">
        <v>46019.84400462963</v>
      </c>
      <c r="C8566" s="1" t="n">
        <v>46086</v>
      </c>
      <c r="D8566" t="inlineStr">
        <is>
          <t>GÄVLEBORGS LÄN</t>
        </is>
      </c>
      <c r="E8566" t="inlineStr">
        <is>
          <t>GÄVLE</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7949-2026</t>
        </is>
      </c>
      <c r="B8567" s="1" t="n">
        <v>46063.42120370371</v>
      </c>
      <c r="C8567" s="1" t="n">
        <v>46086</v>
      </c>
      <c r="D8567" t="inlineStr">
        <is>
          <t>GÄVLEBORGS LÄN</t>
        </is>
      </c>
      <c r="E8567" t="inlineStr">
        <is>
          <t>OCKELBO</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7952-2026</t>
        </is>
      </c>
      <c r="B8568" s="1" t="n">
        <v>46063.42532407407</v>
      </c>
      <c r="C8568" s="1" t="n">
        <v>46086</v>
      </c>
      <c r="D8568" t="inlineStr">
        <is>
          <t>GÄVLEBORGS LÄN</t>
        </is>
      </c>
      <c r="E8568" t="inlineStr">
        <is>
          <t>BOLLNÄS</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7880-2026</t>
        </is>
      </c>
      <c r="B8569" s="1" t="n">
        <v>46063.27535879629</v>
      </c>
      <c r="C8569" s="1" t="n">
        <v>46086</v>
      </c>
      <c r="D8569" t="inlineStr">
        <is>
          <t>GÄVLEBORGS LÄN</t>
        </is>
      </c>
      <c r="E8569" t="inlineStr">
        <is>
          <t>BOLLNÄS</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64006-2025</t>
        </is>
      </c>
      <c r="B8570" s="1" t="n">
        <v>46021</v>
      </c>
      <c r="C8570" s="1" t="n">
        <v>46086</v>
      </c>
      <c r="D8570" t="inlineStr">
        <is>
          <t>GÄVLEBORGS LÄN</t>
        </is>
      </c>
      <c r="E8570" t="inlineStr">
        <is>
          <t>OCKELBO</t>
        </is>
      </c>
      <c r="G8570" t="n">
        <v>13.6</v>
      </c>
      <c r="H8570" t="n">
        <v>0</v>
      </c>
      <c r="I8570" t="n">
        <v>0</v>
      </c>
      <c r="J8570" t="n">
        <v>0</v>
      </c>
      <c r="K8570" t="n">
        <v>0</v>
      </c>
      <c r="L8570" t="n">
        <v>0</v>
      </c>
      <c r="M8570" t="n">
        <v>0</v>
      </c>
      <c r="N8570" t="n">
        <v>0</v>
      </c>
      <c r="O8570" t="n">
        <v>0</v>
      </c>
      <c r="P8570" t="n">
        <v>0</v>
      </c>
      <c r="Q8570" t="n">
        <v>0</v>
      </c>
      <c r="R8570" s="2" t="inlineStr"/>
    </row>
    <row r="8571" ht="15" customHeight="1">
      <c r="A8571" t="inlineStr">
        <is>
          <t>A 64035-2025</t>
        </is>
      </c>
      <c r="B8571" s="1" t="n">
        <v>46021</v>
      </c>
      <c r="C8571" s="1" t="n">
        <v>46086</v>
      </c>
      <c r="D8571" t="inlineStr">
        <is>
          <t>GÄVLEBORGS LÄN</t>
        </is>
      </c>
      <c r="E8571" t="inlineStr">
        <is>
          <t>OCKELBO</t>
        </is>
      </c>
      <c r="G8571" t="n">
        <v>21.9</v>
      </c>
      <c r="H8571" t="n">
        <v>0</v>
      </c>
      <c r="I8571" t="n">
        <v>0</v>
      </c>
      <c r="J8571" t="n">
        <v>0</v>
      </c>
      <c r="K8571" t="n">
        <v>0</v>
      </c>
      <c r="L8571" t="n">
        <v>0</v>
      </c>
      <c r="M8571" t="n">
        <v>0</v>
      </c>
      <c r="N8571" t="n">
        <v>0</v>
      </c>
      <c r="O8571" t="n">
        <v>0</v>
      </c>
      <c r="P8571" t="n">
        <v>0</v>
      </c>
      <c r="Q8571" t="n">
        <v>0</v>
      </c>
      <c r="R8571" s="2" t="inlineStr"/>
    </row>
    <row r="8572" ht="15" customHeight="1">
      <c r="A8572" t="inlineStr">
        <is>
          <t>A 64075-2025</t>
        </is>
      </c>
      <c r="B8572" s="1" t="n">
        <v>46021</v>
      </c>
      <c r="C8572" s="1" t="n">
        <v>46086</v>
      </c>
      <c r="D8572" t="inlineStr">
        <is>
          <t>GÄVLEBORGS LÄN</t>
        </is>
      </c>
      <c r="E8572" t="inlineStr">
        <is>
          <t>OVANÅKER</t>
        </is>
      </c>
      <c r="G8572" t="n">
        <v>10.2</v>
      </c>
      <c r="H8572" t="n">
        <v>0</v>
      </c>
      <c r="I8572" t="n">
        <v>0</v>
      </c>
      <c r="J8572" t="n">
        <v>0</v>
      </c>
      <c r="K8572" t="n">
        <v>0</v>
      </c>
      <c r="L8572" t="n">
        <v>0</v>
      </c>
      <c r="M8572" t="n">
        <v>0</v>
      </c>
      <c r="N8572" t="n">
        <v>0</v>
      </c>
      <c r="O8572" t="n">
        <v>0</v>
      </c>
      <c r="P8572" t="n">
        <v>0</v>
      </c>
      <c r="Q8572" t="n">
        <v>0</v>
      </c>
      <c r="R8572" s="2" t="inlineStr"/>
    </row>
    <row r="8573" ht="15" customHeight="1">
      <c r="A8573" t="inlineStr">
        <is>
          <t>A 12391-2021</t>
        </is>
      </c>
      <c r="B8573" s="1" t="n">
        <v>44267.54184027778</v>
      </c>
      <c r="C8573" s="1" t="n">
        <v>46086</v>
      </c>
      <c r="D8573" t="inlineStr">
        <is>
          <t>GÄVLEBORGS LÄN</t>
        </is>
      </c>
      <c r="E8573" t="inlineStr">
        <is>
          <t>LJUSDAL</t>
        </is>
      </c>
      <c r="F8573" t="inlineStr">
        <is>
          <t>Bergvik skog väst AB</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54953-2025</t>
        </is>
      </c>
      <c r="B8574" s="1" t="n">
        <v>45967.45105324074</v>
      </c>
      <c r="C8574" s="1" t="n">
        <v>46086</v>
      </c>
      <c r="D8574" t="inlineStr">
        <is>
          <t>GÄVLEBORGS LÄN</t>
        </is>
      </c>
      <c r="E8574" t="inlineStr">
        <is>
          <t>GÄVLE</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7955-2026</t>
        </is>
      </c>
      <c r="B8575" s="1" t="n">
        <v>46063.42803240741</v>
      </c>
      <c r="C8575" s="1" t="n">
        <v>46086</v>
      </c>
      <c r="D8575" t="inlineStr">
        <is>
          <t>GÄVLEBORGS LÄN</t>
        </is>
      </c>
      <c r="E8575" t="inlineStr">
        <is>
          <t>OCKELBO</t>
        </is>
      </c>
      <c r="F8575" t="inlineStr">
        <is>
          <t>Bergvik skog väst AB</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8042-2026</t>
        </is>
      </c>
      <c r="B8576" s="1" t="n">
        <v>46063.60541666667</v>
      </c>
      <c r="C8576" s="1" t="n">
        <v>46086</v>
      </c>
      <c r="D8576" t="inlineStr">
        <is>
          <t>GÄVLEBORGS LÄN</t>
        </is>
      </c>
      <c r="E8576" t="inlineStr">
        <is>
          <t>BOLLNÄS</t>
        </is>
      </c>
      <c r="G8576" t="n">
        <v>3.1</v>
      </c>
      <c r="H8576" t="n">
        <v>0</v>
      </c>
      <c r="I8576" t="n">
        <v>0</v>
      </c>
      <c r="J8576" t="n">
        <v>0</v>
      </c>
      <c r="K8576" t="n">
        <v>0</v>
      </c>
      <c r="L8576" t="n">
        <v>0</v>
      </c>
      <c r="M8576" t="n">
        <v>0</v>
      </c>
      <c r="N8576" t="n">
        <v>0</v>
      </c>
      <c r="O8576" t="n">
        <v>0</v>
      </c>
      <c r="P8576" t="n">
        <v>0</v>
      </c>
      <c r="Q8576" t="n">
        <v>0</v>
      </c>
      <c r="R8576" s="2" t="inlineStr"/>
    </row>
    <row r="8577" ht="15" customHeight="1">
      <c r="A8577" t="inlineStr">
        <is>
          <t>A 63997-2025</t>
        </is>
      </c>
      <c r="B8577" s="1" t="n">
        <v>46021</v>
      </c>
      <c r="C8577" s="1" t="n">
        <v>46086</v>
      </c>
      <c r="D8577" t="inlineStr">
        <is>
          <t>GÄVLEBORGS LÄN</t>
        </is>
      </c>
      <c r="E8577" t="inlineStr">
        <is>
          <t>LJUSDAL</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64033-2025</t>
        </is>
      </c>
      <c r="B8578" s="1" t="n">
        <v>46021.51074074074</v>
      </c>
      <c r="C8578" s="1" t="n">
        <v>46086</v>
      </c>
      <c r="D8578" t="inlineStr">
        <is>
          <t>GÄVLEBORGS LÄN</t>
        </is>
      </c>
      <c r="E8578" t="inlineStr">
        <is>
          <t>NORDANSTIG</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64038-2025</t>
        </is>
      </c>
      <c r="B8579" s="1" t="n">
        <v>46021</v>
      </c>
      <c r="C8579" s="1" t="n">
        <v>46086</v>
      </c>
      <c r="D8579" t="inlineStr">
        <is>
          <t>GÄVLEBORGS LÄN</t>
        </is>
      </c>
      <c r="E8579" t="inlineStr">
        <is>
          <t>HUDIKSVALL</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1039-2025</t>
        </is>
      </c>
      <c r="B8580" s="1" t="n">
        <v>45666.54069444445</v>
      </c>
      <c r="C8580" s="1" t="n">
        <v>46086</v>
      </c>
      <c r="D8580" t="inlineStr">
        <is>
          <t>GÄVLEBORGS LÄN</t>
        </is>
      </c>
      <c r="E8580" t="inlineStr">
        <is>
          <t>SANDVIKEN</t>
        </is>
      </c>
      <c r="G8580" t="n">
        <v>3</v>
      </c>
      <c r="H8580" t="n">
        <v>0</v>
      </c>
      <c r="I8580" t="n">
        <v>0</v>
      </c>
      <c r="J8580" t="n">
        <v>0</v>
      </c>
      <c r="K8580" t="n">
        <v>0</v>
      </c>
      <c r="L8580" t="n">
        <v>0</v>
      </c>
      <c r="M8580" t="n">
        <v>0</v>
      </c>
      <c r="N8580" t="n">
        <v>0</v>
      </c>
      <c r="O8580" t="n">
        <v>0</v>
      </c>
      <c r="P8580" t="n">
        <v>0</v>
      </c>
      <c r="Q8580" t="n">
        <v>0</v>
      </c>
      <c r="R8580" s="2" t="inlineStr"/>
    </row>
    <row r="8581" ht="15" customHeight="1">
      <c r="A8581" t="inlineStr">
        <is>
          <t>A 64063-2025</t>
        </is>
      </c>
      <c r="B8581" s="1" t="n">
        <v>46021</v>
      </c>
      <c r="C8581" s="1" t="n">
        <v>46086</v>
      </c>
      <c r="D8581" t="inlineStr">
        <is>
          <t>GÄVLEBORGS LÄN</t>
        </is>
      </c>
      <c r="E8581" t="inlineStr">
        <is>
          <t>GÄVLE</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64064-2025</t>
        </is>
      </c>
      <c r="B8582" s="1" t="n">
        <v>46021</v>
      </c>
      <c r="C8582" s="1" t="n">
        <v>46086</v>
      </c>
      <c r="D8582" t="inlineStr">
        <is>
          <t>GÄVLEBORGS LÄN</t>
        </is>
      </c>
      <c r="E8582" t="inlineStr">
        <is>
          <t>OVANÅKER</t>
        </is>
      </c>
      <c r="G8582" t="n">
        <v>14.6</v>
      </c>
      <c r="H8582" t="n">
        <v>0</v>
      </c>
      <c r="I8582" t="n">
        <v>0</v>
      </c>
      <c r="J8582" t="n">
        <v>0</v>
      </c>
      <c r="K8582" t="n">
        <v>0</v>
      </c>
      <c r="L8582" t="n">
        <v>0</v>
      </c>
      <c r="M8582" t="n">
        <v>0</v>
      </c>
      <c r="N8582" t="n">
        <v>0</v>
      </c>
      <c r="O8582" t="n">
        <v>0</v>
      </c>
      <c r="P8582" t="n">
        <v>0</v>
      </c>
      <c r="Q8582" t="n">
        <v>0</v>
      </c>
      <c r="R8582" s="2" t="inlineStr"/>
    </row>
    <row r="8583" ht="15" customHeight="1">
      <c r="A8583" t="inlineStr">
        <is>
          <t>A 64090-2025</t>
        </is>
      </c>
      <c r="B8583" s="1" t="n">
        <v>46021</v>
      </c>
      <c r="C8583" s="1" t="n">
        <v>46086</v>
      </c>
      <c r="D8583" t="inlineStr">
        <is>
          <t>GÄVLEBORGS LÄN</t>
        </is>
      </c>
      <c r="E8583" t="inlineStr">
        <is>
          <t>LJUSDAL</t>
        </is>
      </c>
      <c r="G8583" t="n">
        <v>3.6</v>
      </c>
      <c r="H8583" t="n">
        <v>0</v>
      </c>
      <c r="I8583" t="n">
        <v>0</v>
      </c>
      <c r="J8583" t="n">
        <v>0</v>
      </c>
      <c r="K8583" t="n">
        <v>0</v>
      </c>
      <c r="L8583" t="n">
        <v>0</v>
      </c>
      <c r="M8583" t="n">
        <v>0</v>
      </c>
      <c r="N8583" t="n">
        <v>0</v>
      </c>
      <c r="O8583" t="n">
        <v>0</v>
      </c>
      <c r="P8583" t="n">
        <v>0</v>
      </c>
      <c r="Q8583" t="n">
        <v>0</v>
      </c>
      <c r="R8583" s="2" t="inlineStr"/>
    </row>
    <row r="8584" ht="15" customHeight="1">
      <c r="A8584" t="inlineStr">
        <is>
          <t>A 64098-2025</t>
        </is>
      </c>
      <c r="B8584" s="1" t="n">
        <v>46021</v>
      </c>
      <c r="C8584" s="1" t="n">
        <v>46086</v>
      </c>
      <c r="D8584" t="inlineStr">
        <is>
          <t>GÄVLEBORGS LÄN</t>
        </is>
      </c>
      <c r="E8584" t="inlineStr">
        <is>
          <t>OVANÅKER</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42575-2024</t>
        </is>
      </c>
      <c r="B8585" s="1" t="n">
        <v>45565.64587962963</v>
      </c>
      <c r="C8585" s="1" t="n">
        <v>46086</v>
      </c>
      <c r="D8585" t="inlineStr">
        <is>
          <t>GÄVLEBORGS LÄN</t>
        </is>
      </c>
      <c r="E8585" t="inlineStr">
        <is>
          <t>BOLLNÄS</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64104-2025</t>
        </is>
      </c>
      <c r="B8586" s="1" t="n">
        <v>46021</v>
      </c>
      <c r="C8586" s="1" t="n">
        <v>46086</v>
      </c>
      <c r="D8586" t="inlineStr">
        <is>
          <t>GÄVLEBORGS LÄN</t>
        </is>
      </c>
      <c r="E8586" t="inlineStr">
        <is>
          <t>HUDIKSVALL</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5310-2026</t>
        </is>
      </c>
      <c r="B8587" s="1" t="n">
        <v>46050</v>
      </c>
      <c r="C8587" s="1" t="n">
        <v>46086</v>
      </c>
      <c r="D8587" t="inlineStr">
        <is>
          <t>GÄVLEBORGS LÄN</t>
        </is>
      </c>
      <c r="E8587" t="inlineStr">
        <is>
          <t>BOLLNÄS</t>
        </is>
      </c>
      <c r="F8587" t="inlineStr">
        <is>
          <t>Bergvik skog väst AB</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5529-2026</t>
        </is>
      </c>
      <c r="B8588" s="1" t="n">
        <v>46050</v>
      </c>
      <c r="C8588" s="1" t="n">
        <v>46086</v>
      </c>
      <c r="D8588" t="inlineStr">
        <is>
          <t>GÄVLEBORGS LÄN</t>
        </is>
      </c>
      <c r="E8588" t="inlineStr">
        <is>
          <t>OCKELBO</t>
        </is>
      </c>
      <c r="F8588" t="inlineStr">
        <is>
          <t>Bergvik skog väst AB</t>
        </is>
      </c>
      <c r="G8588" t="n">
        <v>12.6</v>
      </c>
      <c r="H8588" t="n">
        <v>0</v>
      </c>
      <c r="I8588" t="n">
        <v>0</v>
      </c>
      <c r="J8588" t="n">
        <v>0</v>
      </c>
      <c r="K8588" t="n">
        <v>0</v>
      </c>
      <c r="L8588" t="n">
        <v>0</v>
      </c>
      <c r="M8588" t="n">
        <v>0</v>
      </c>
      <c r="N8588" t="n">
        <v>0</v>
      </c>
      <c r="O8588" t="n">
        <v>0</v>
      </c>
      <c r="P8588" t="n">
        <v>0</v>
      </c>
      <c r="Q8588" t="n">
        <v>0</v>
      </c>
      <c r="R8588" s="2" t="inlineStr"/>
    </row>
    <row r="8589" ht="15" customHeight="1">
      <c r="A8589" t="inlineStr">
        <is>
          <t>A 5699-2026</t>
        </is>
      </c>
      <c r="B8589" s="1" t="n">
        <v>46051</v>
      </c>
      <c r="C8589" s="1" t="n">
        <v>46086</v>
      </c>
      <c r="D8589" t="inlineStr">
        <is>
          <t>GÄVLEBORGS LÄN</t>
        </is>
      </c>
      <c r="E8589" t="inlineStr">
        <is>
          <t>BOLLNÄS</t>
        </is>
      </c>
      <c r="F8589" t="inlineStr">
        <is>
          <t>Bergvik skog väst AB</t>
        </is>
      </c>
      <c r="G8589" t="n">
        <v>53.4</v>
      </c>
      <c r="H8589" t="n">
        <v>0</v>
      </c>
      <c r="I8589" t="n">
        <v>0</v>
      </c>
      <c r="J8589" t="n">
        <v>0</v>
      </c>
      <c r="K8589" t="n">
        <v>0</v>
      </c>
      <c r="L8589" t="n">
        <v>0</v>
      </c>
      <c r="M8589" t="n">
        <v>0</v>
      </c>
      <c r="N8589" t="n">
        <v>0</v>
      </c>
      <c r="O8589" t="n">
        <v>0</v>
      </c>
      <c r="P8589" t="n">
        <v>0</v>
      </c>
      <c r="Q8589" t="n">
        <v>0</v>
      </c>
      <c r="R8589" s="2" t="inlineStr"/>
    </row>
    <row r="8590" ht="15" customHeight="1">
      <c r="A8590" t="inlineStr">
        <is>
          <t>A 6371-2026</t>
        </is>
      </c>
      <c r="B8590" s="1" t="n">
        <v>46055</v>
      </c>
      <c r="C8590" s="1" t="n">
        <v>46086</v>
      </c>
      <c r="D8590" t="inlineStr">
        <is>
          <t>GÄVLEBORGS LÄN</t>
        </is>
      </c>
      <c r="E8590" t="inlineStr">
        <is>
          <t>BOLLNÄS</t>
        </is>
      </c>
      <c r="F8590" t="inlineStr">
        <is>
          <t>Bergvik skog väst AB</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54896-2024</t>
        </is>
      </c>
      <c r="B8591" s="1" t="n">
        <v>45618.63685185185</v>
      </c>
      <c r="C8591" s="1" t="n">
        <v>46086</v>
      </c>
      <c r="D8591" t="inlineStr">
        <is>
          <t>GÄVLEBORGS LÄN</t>
        </is>
      </c>
      <c r="E8591" t="inlineStr">
        <is>
          <t>NORDANSTIG</t>
        </is>
      </c>
      <c r="F8591" t="inlineStr">
        <is>
          <t>Holmen skog AB</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7884-2026</t>
        </is>
      </c>
      <c r="B8592" s="1" t="n">
        <v>46063.30266203704</v>
      </c>
      <c r="C8592" s="1" t="n">
        <v>46086</v>
      </c>
      <c r="D8592" t="inlineStr">
        <is>
          <t>GÄVLEBORGS LÄN</t>
        </is>
      </c>
      <c r="E8592" t="inlineStr">
        <is>
          <t>BOLLNÄS</t>
        </is>
      </c>
      <c r="F8592" t="inlineStr">
        <is>
          <t>Bergvik skog väst AB</t>
        </is>
      </c>
      <c r="G8592" t="n">
        <v>7.6</v>
      </c>
      <c r="H8592" t="n">
        <v>0</v>
      </c>
      <c r="I8592" t="n">
        <v>0</v>
      </c>
      <c r="J8592" t="n">
        <v>0</v>
      </c>
      <c r="K8592" t="n">
        <v>0</v>
      </c>
      <c r="L8592" t="n">
        <v>0</v>
      </c>
      <c r="M8592" t="n">
        <v>0</v>
      </c>
      <c r="N8592" t="n">
        <v>0</v>
      </c>
      <c r="O8592" t="n">
        <v>0</v>
      </c>
      <c r="P8592" t="n">
        <v>0</v>
      </c>
      <c r="Q8592" t="n">
        <v>0</v>
      </c>
      <c r="R8592" s="2" t="inlineStr"/>
    </row>
    <row r="8593" ht="15" customHeight="1">
      <c r="A8593" t="inlineStr">
        <is>
          <t>A 7889-2026</t>
        </is>
      </c>
      <c r="B8593" s="1" t="n">
        <v>46063.31143518518</v>
      </c>
      <c r="C8593" s="1" t="n">
        <v>46086</v>
      </c>
      <c r="D8593" t="inlineStr">
        <is>
          <t>GÄVLEBORGS LÄN</t>
        </is>
      </c>
      <c r="E8593" t="inlineStr">
        <is>
          <t>SÖDERHAMN</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7892-2026</t>
        </is>
      </c>
      <c r="B8594" s="1" t="n">
        <v>46063.31511574074</v>
      </c>
      <c r="C8594" s="1" t="n">
        <v>46086</v>
      </c>
      <c r="D8594" t="inlineStr">
        <is>
          <t>GÄVLEBORGS LÄN</t>
        </is>
      </c>
      <c r="E8594" t="inlineStr">
        <is>
          <t>SANDVIKEN</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7895-2026</t>
        </is>
      </c>
      <c r="B8595" s="1" t="n">
        <v>46063.34335648148</v>
      </c>
      <c r="C8595" s="1" t="n">
        <v>46086</v>
      </c>
      <c r="D8595" t="inlineStr">
        <is>
          <t>GÄVLEBORGS LÄN</t>
        </is>
      </c>
      <c r="E8595" t="inlineStr">
        <is>
          <t>OVANÅKER</t>
        </is>
      </c>
      <c r="G8595" t="n">
        <v>14.2</v>
      </c>
      <c r="H8595" t="n">
        <v>0</v>
      </c>
      <c r="I8595" t="n">
        <v>0</v>
      </c>
      <c r="J8595" t="n">
        <v>0</v>
      </c>
      <c r="K8595" t="n">
        <v>0</v>
      </c>
      <c r="L8595" t="n">
        <v>0</v>
      </c>
      <c r="M8595" t="n">
        <v>0</v>
      </c>
      <c r="N8595" t="n">
        <v>0</v>
      </c>
      <c r="O8595" t="n">
        <v>0</v>
      </c>
      <c r="P8595" t="n">
        <v>0</v>
      </c>
      <c r="Q8595" t="n">
        <v>0</v>
      </c>
      <c r="R8595" s="2" t="inlineStr"/>
    </row>
    <row r="8596" ht="15" customHeight="1">
      <c r="A8596" t="inlineStr">
        <is>
          <t>A 47942-2025</t>
        </is>
      </c>
      <c r="B8596" s="1" t="n">
        <v>45932.5684375</v>
      </c>
      <c r="C8596" s="1" t="n">
        <v>46086</v>
      </c>
      <c r="D8596" t="inlineStr">
        <is>
          <t>GÄVLEBORGS LÄN</t>
        </is>
      </c>
      <c r="E8596" t="inlineStr">
        <is>
          <t>GÄVLE</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47981-2025</t>
        </is>
      </c>
      <c r="B8597" s="1" t="n">
        <v>45932.61349537037</v>
      </c>
      <c r="C8597" s="1" t="n">
        <v>46086</v>
      </c>
      <c r="D8597" t="inlineStr">
        <is>
          <t>GÄVLEBORGS LÄN</t>
        </is>
      </c>
      <c r="E8597" t="inlineStr">
        <is>
          <t>GÄVLE</t>
        </is>
      </c>
      <c r="G8597" t="n">
        <v>3.4</v>
      </c>
      <c r="H8597" t="n">
        <v>0</v>
      </c>
      <c r="I8597" t="n">
        <v>0</v>
      </c>
      <c r="J8597" t="n">
        <v>0</v>
      </c>
      <c r="K8597" t="n">
        <v>0</v>
      </c>
      <c r="L8597" t="n">
        <v>0</v>
      </c>
      <c r="M8597" t="n">
        <v>0</v>
      </c>
      <c r="N8597" t="n">
        <v>0</v>
      </c>
      <c r="O8597" t="n">
        <v>0</v>
      </c>
      <c r="P8597" t="n">
        <v>0</v>
      </c>
      <c r="Q8597" t="n">
        <v>0</v>
      </c>
      <c r="R8597" s="2" t="inlineStr"/>
    </row>
    <row r="8598" ht="15" customHeight="1">
      <c r="A8598" t="inlineStr">
        <is>
          <t>A 14840-2025</t>
        </is>
      </c>
      <c r="B8598" s="1" t="n">
        <v>45743.38597222222</v>
      </c>
      <c r="C8598" s="1" t="n">
        <v>46086</v>
      </c>
      <c r="D8598" t="inlineStr">
        <is>
          <t>GÄVLEBORGS LÄN</t>
        </is>
      </c>
      <c r="E8598" t="inlineStr">
        <is>
          <t>HUDIKSVALL</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4445-2025</t>
        </is>
      </c>
      <c r="B8599" s="1" t="n">
        <v>45686.56731481481</v>
      </c>
      <c r="C8599" s="1" t="n">
        <v>46086</v>
      </c>
      <c r="D8599" t="inlineStr">
        <is>
          <t>GÄVLEBORGS LÄN</t>
        </is>
      </c>
      <c r="E8599" t="inlineStr">
        <is>
          <t>NORDANSTIG</t>
        </is>
      </c>
      <c r="F8599" t="inlineStr">
        <is>
          <t>Holmen skog AB</t>
        </is>
      </c>
      <c r="G8599" t="n">
        <v>13.4</v>
      </c>
      <c r="H8599" t="n">
        <v>0</v>
      </c>
      <c r="I8599" t="n">
        <v>0</v>
      </c>
      <c r="J8599" t="n">
        <v>0</v>
      </c>
      <c r="K8599" t="n">
        <v>0</v>
      </c>
      <c r="L8599" t="n">
        <v>0</v>
      </c>
      <c r="M8599" t="n">
        <v>0</v>
      </c>
      <c r="N8599" t="n">
        <v>0</v>
      </c>
      <c r="O8599" t="n">
        <v>0</v>
      </c>
      <c r="P8599" t="n">
        <v>0</v>
      </c>
      <c r="Q8599" t="n">
        <v>0</v>
      </c>
      <c r="R8599" s="2" t="inlineStr"/>
    </row>
    <row r="8600" ht="15" customHeight="1">
      <c r="A8600" t="inlineStr">
        <is>
          <t>A 54977-2024</t>
        </is>
      </c>
      <c r="B8600" s="1" t="n">
        <v>45620.68857638889</v>
      </c>
      <c r="C8600" s="1" t="n">
        <v>46086</v>
      </c>
      <c r="D8600" t="inlineStr">
        <is>
          <t>GÄVLEBORGS LÄN</t>
        </is>
      </c>
      <c r="E8600" t="inlineStr">
        <is>
          <t>OCKELBO</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7798-2026</t>
        </is>
      </c>
      <c r="B8601" s="1" t="n">
        <v>46062.60090277778</v>
      </c>
      <c r="C8601" s="1" t="n">
        <v>46086</v>
      </c>
      <c r="D8601" t="inlineStr">
        <is>
          <t>GÄVLEBORGS LÄN</t>
        </is>
      </c>
      <c r="E8601" t="inlineStr">
        <is>
          <t>BOLLNÄS</t>
        </is>
      </c>
      <c r="G8601" t="n">
        <v>4</v>
      </c>
      <c r="H8601" t="n">
        <v>0</v>
      </c>
      <c r="I8601" t="n">
        <v>0</v>
      </c>
      <c r="J8601" t="n">
        <v>0</v>
      </c>
      <c r="K8601" t="n">
        <v>0</v>
      </c>
      <c r="L8601" t="n">
        <v>0</v>
      </c>
      <c r="M8601" t="n">
        <v>0</v>
      </c>
      <c r="N8601" t="n">
        <v>0</v>
      </c>
      <c r="O8601" t="n">
        <v>0</v>
      </c>
      <c r="P8601" t="n">
        <v>0</v>
      </c>
      <c r="Q8601" t="n">
        <v>0</v>
      </c>
      <c r="R8601" s="2" t="inlineStr"/>
    </row>
    <row r="8602" ht="15" customHeight="1">
      <c r="A8602" t="inlineStr">
        <is>
          <t>A 7825-2026</t>
        </is>
      </c>
      <c r="B8602" s="1" t="n">
        <v>46062.63797453704</v>
      </c>
      <c r="C8602" s="1" t="n">
        <v>46086</v>
      </c>
      <c r="D8602" t="inlineStr">
        <is>
          <t>GÄVLEBORGS LÄN</t>
        </is>
      </c>
      <c r="E8602" t="inlineStr">
        <is>
          <t>SANDVIKEN</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8016-2026</t>
        </is>
      </c>
      <c r="B8603" s="1" t="n">
        <v>46063.54653935185</v>
      </c>
      <c r="C8603" s="1" t="n">
        <v>46086</v>
      </c>
      <c r="D8603" t="inlineStr">
        <is>
          <t>GÄVLEBORGS LÄN</t>
        </is>
      </c>
      <c r="E8603" t="inlineStr">
        <is>
          <t>OVANÅKER</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8023-2026</t>
        </is>
      </c>
      <c r="B8604" s="1" t="n">
        <v>46063.55747685185</v>
      </c>
      <c r="C8604" s="1" t="n">
        <v>46086</v>
      </c>
      <c r="D8604" t="inlineStr">
        <is>
          <t>GÄVLEBORGS LÄN</t>
        </is>
      </c>
      <c r="E8604" t="inlineStr">
        <is>
          <t>GÄVLE</t>
        </is>
      </c>
      <c r="F8604" t="inlineStr">
        <is>
          <t>Bergvik skog öst AB</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47674-2023</t>
        </is>
      </c>
      <c r="B8605" s="1" t="n">
        <v>45203.60052083333</v>
      </c>
      <c r="C8605" s="1" t="n">
        <v>46086</v>
      </c>
      <c r="D8605" t="inlineStr">
        <is>
          <t>GÄVLEBORGS LÄN</t>
        </is>
      </c>
      <c r="E8605" t="inlineStr">
        <is>
          <t>OCKELBO</t>
        </is>
      </c>
      <c r="G8605" t="n">
        <v>3</v>
      </c>
      <c r="H8605" t="n">
        <v>0</v>
      </c>
      <c r="I8605" t="n">
        <v>0</v>
      </c>
      <c r="J8605" t="n">
        <v>0</v>
      </c>
      <c r="K8605" t="n">
        <v>0</v>
      </c>
      <c r="L8605" t="n">
        <v>0</v>
      </c>
      <c r="M8605" t="n">
        <v>0</v>
      </c>
      <c r="N8605" t="n">
        <v>0</v>
      </c>
      <c r="O8605" t="n">
        <v>0</v>
      </c>
      <c r="P8605" t="n">
        <v>0</v>
      </c>
      <c r="Q8605" t="n">
        <v>0</v>
      </c>
      <c r="R8605" s="2" t="inlineStr"/>
    </row>
    <row r="8606" ht="15" customHeight="1">
      <c r="A8606" t="inlineStr">
        <is>
          <t>A 8070-2026</t>
        </is>
      </c>
      <c r="B8606" s="1" t="n">
        <v>46063.64724537037</v>
      </c>
      <c r="C8606" s="1" t="n">
        <v>46086</v>
      </c>
      <c r="D8606" t="inlineStr">
        <is>
          <t>GÄVLEBORGS LÄN</t>
        </is>
      </c>
      <c r="E8606" t="inlineStr">
        <is>
          <t>BOLLNÄS</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8087-2026</t>
        </is>
      </c>
      <c r="B8607" s="1" t="n">
        <v>46063.70119212963</v>
      </c>
      <c r="C8607" s="1" t="n">
        <v>46086</v>
      </c>
      <c r="D8607" t="inlineStr">
        <is>
          <t>GÄVLEBORGS LÄN</t>
        </is>
      </c>
      <c r="E8607" t="inlineStr">
        <is>
          <t>BOLLNÄS</t>
        </is>
      </c>
      <c r="G8607" t="n">
        <v>13.3</v>
      </c>
      <c r="H8607" t="n">
        <v>0</v>
      </c>
      <c r="I8607" t="n">
        <v>0</v>
      </c>
      <c r="J8607" t="n">
        <v>0</v>
      </c>
      <c r="K8607" t="n">
        <v>0</v>
      </c>
      <c r="L8607" t="n">
        <v>0</v>
      </c>
      <c r="M8607" t="n">
        <v>0</v>
      </c>
      <c r="N8607" t="n">
        <v>0</v>
      </c>
      <c r="O8607" t="n">
        <v>0</v>
      </c>
      <c r="P8607" t="n">
        <v>0</v>
      </c>
      <c r="Q8607" t="n">
        <v>0</v>
      </c>
      <c r="R8607" s="2" t="inlineStr"/>
    </row>
    <row r="8608" ht="15" customHeight="1">
      <c r="A8608" t="inlineStr">
        <is>
          <t>A 14955-2023</t>
        </is>
      </c>
      <c r="B8608" s="1" t="n">
        <v>45015</v>
      </c>
      <c r="C8608" s="1" t="n">
        <v>46086</v>
      </c>
      <c r="D8608" t="inlineStr">
        <is>
          <t>GÄVLEBORGS LÄN</t>
        </is>
      </c>
      <c r="E8608" t="inlineStr">
        <is>
          <t>HUDIKSVALL</t>
        </is>
      </c>
      <c r="G8608" t="n">
        <v>9.699999999999999</v>
      </c>
      <c r="H8608" t="n">
        <v>0</v>
      </c>
      <c r="I8608" t="n">
        <v>0</v>
      </c>
      <c r="J8608" t="n">
        <v>0</v>
      </c>
      <c r="K8608" t="n">
        <v>0</v>
      </c>
      <c r="L8608" t="n">
        <v>0</v>
      </c>
      <c r="M8608" t="n">
        <v>0</v>
      </c>
      <c r="N8608" t="n">
        <v>0</v>
      </c>
      <c r="O8608" t="n">
        <v>0</v>
      </c>
      <c r="P8608" t="n">
        <v>0</v>
      </c>
      <c r="Q8608" t="n">
        <v>0</v>
      </c>
      <c r="R8608" s="2" t="inlineStr"/>
    </row>
    <row r="8609" ht="15" customHeight="1">
      <c r="A8609" t="inlineStr">
        <is>
          <t>A 7881-2026</t>
        </is>
      </c>
      <c r="B8609" s="1" t="n">
        <v>46063.28967592592</v>
      </c>
      <c r="C8609" s="1" t="n">
        <v>46086</v>
      </c>
      <c r="D8609" t="inlineStr">
        <is>
          <t>GÄVLEBORGS LÄN</t>
        </is>
      </c>
      <c r="E8609" t="inlineStr">
        <is>
          <t>SÖDERHAMN</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7891-2026</t>
        </is>
      </c>
      <c r="B8610" s="1" t="n">
        <v>46063.31457175926</v>
      </c>
      <c r="C8610" s="1" t="n">
        <v>46086</v>
      </c>
      <c r="D8610" t="inlineStr">
        <is>
          <t>GÄVLEBORGS LÄN</t>
        </is>
      </c>
      <c r="E8610" t="inlineStr">
        <is>
          <t>SÖDERHAMN</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7906-2026</t>
        </is>
      </c>
      <c r="B8611" s="1" t="n">
        <v>46063.35641203704</v>
      </c>
      <c r="C8611" s="1" t="n">
        <v>46086</v>
      </c>
      <c r="D8611" t="inlineStr">
        <is>
          <t>GÄVLEBORGS LÄN</t>
        </is>
      </c>
      <c r="E8611" t="inlineStr">
        <is>
          <t>SANDVIKEN</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7908-2026</t>
        </is>
      </c>
      <c r="B8612" s="1" t="n">
        <v>46063.35994212963</v>
      </c>
      <c r="C8612" s="1" t="n">
        <v>46086</v>
      </c>
      <c r="D8612" t="inlineStr">
        <is>
          <t>GÄVLEBORGS LÄN</t>
        </is>
      </c>
      <c r="E8612" t="inlineStr">
        <is>
          <t>GÄVLE</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7926-2026</t>
        </is>
      </c>
      <c r="B8613" s="1" t="n">
        <v>46063.39403935185</v>
      </c>
      <c r="C8613" s="1" t="n">
        <v>46086</v>
      </c>
      <c r="D8613" t="inlineStr">
        <is>
          <t>GÄVLEBORGS LÄN</t>
        </is>
      </c>
      <c r="E8613" t="inlineStr">
        <is>
          <t>HUDIKSVALL</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7928-2026</t>
        </is>
      </c>
      <c r="B8614" s="1" t="n">
        <v>46063.39893518519</v>
      </c>
      <c r="C8614" s="1" t="n">
        <v>46086</v>
      </c>
      <c r="D8614" t="inlineStr">
        <is>
          <t>GÄVLEBORGS LÄN</t>
        </is>
      </c>
      <c r="E8614" t="inlineStr">
        <is>
          <t>NORDANSTIG</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5592-2026</t>
        </is>
      </c>
      <c r="B8615" s="1" t="n">
        <v>46051</v>
      </c>
      <c r="C8615" s="1" t="n">
        <v>46086</v>
      </c>
      <c r="D8615" t="inlineStr">
        <is>
          <t>GÄVLEBORGS LÄN</t>
        </is>
      </c>
      <c r="E8615" t="inlineStr">
        <is>
          <t>OCKELBO</t>
        </is>
      </c>
      <c r="F8615" t="inlineStr">
        <is>
          <t>Bergvik skog väst AB</t>
        </is>
      </c>
      <c r="G8615" t="n">
        <v>4.2</v>
      </c>
      <c r="H8615" t="n">
        <v>0</v>
      </c>
      <c r="I8615" t="n">
        <v>0</v>
      </c>
      <c r="J8615" t="n">
        <v>0</v>
      </c>
      <c r="K8615" t="n">
        <v>0</v>
      </c>
      <c r="L8615" t="n">
        <v>0</v>
      </c>
      <c r="M8615" t="n">
        <v>0</v>
      </c>
      <c r="N8615" t="n">
        <v>0</v>
      </c>
      <c r="O8615" t="n">
        <v>0</v>
      </c>
      <c r="P8615" t="n">
        <v>0</v>
      </c>
      <c r="Q8615" t="n">
        <v>0</v>
      </c>
      <c r="R8615" s="2" t="inlineStr"/>
    </row>
    <row r="8616" ht="15" customHeight="1">
      <c r="A8616" t="inlineStr">
        <is>
          <t>A 6344-2026</t>
        </is>
      </c>
      <c r="B8616" s="1" t="n">
        <v>46055</v>
      </c>
      <c r="C8616" s="1" t="n">
        <v>46086</v>
      </c>
      <c r="D8616" t="inlineStr">
        <is>
          <t>GÄVLEBORGS LÄN</t>
        </is>
      </c>
      <c r="E8616" t="inlineStr">
        <is>
          <t>NORDANSTIG</t>
        </is>
      </c>
      <c r="G8616" t="n">
        <v>4.9</v>
      </c>
      <c r="H8616" t="n">
        <v>0</v>
      </c>
      <c r="I8616" t="n">
        <v>0</v>
      </c>
      <c r="J8616" t="n">
        <v>0</v>
      </c>
      <c r="K8616" t="n">
        <v>0</v>
      </c>
      <c r="L8616" t="n">
        <v>0</v>
      </c>
      <c r="M8616" t="n">
        <v>0</v>
      </c>
      <c r="N8616" t="n">
        <v>0</v>
      </c>
      <c r="O8616" t="n">
        <v>0</v>
      </c>
      <c r="P8616" t="n">
        <v>0</v>
      </c>
      <c r="Q8616" t="n">
        <v>0</v>
      </c>
      <c r="R8616" s="2" t="inlineStr"/>
    </row>
    <row r="8617" ht="15" customHeight="1">
      <c r="A8617" t="inlineStr">
        <is>
          <t>A 6380-2026</t>
        </is>
      </c>
      <c r="B8617" s="1" t="n">
        <v>46055</v>
      </c>
      <c r="C8617" s="1" t="n">
        <v>46086</v>
      </c>
      <c r="D8617" t="inlineStr">
        <is>
          <t>GÄVLEBORGS LÄN</t>
        </is>
      </c>
      <c r="E8617" t="inlineStr">
        <is>
          <t>BOLLNÄS</t>
        </is>
      </c>
      <c r="F8617" t="inlineStr">
        <is>
          <t>Bergvik skog väst AB</t>
        </is>
      </c>
      <c r="G8617" t="n">
        <v>4.6</v>
      </c>
      <c r="H8617" t="n">
        <v>0</v>
      </c>
      <c r="I8617" t="n">
        <v>0</v>
      </c>
      <c r="J8617" t="n">
        <v>0</v>
      </c>
      <c r="K8617" t="n">
        <v>0</v>
      </c>
      <c r="L8617" t="n">
        <v>0</v>
      </c>
      <c r="M8617" t="n">
        <v>0</v>
      </c>
      <c r="N8617" t="n">
        <v>0</v>
      </c>
      <c r="O8617" t="n">
        <v>0</v>
      </c>
      <c r="P8617" t="n">
        <v>0</v>
      </c>
      <c r="Q8617" t="n">
        <v>0</v>
      </c>
      <c r="R8617" s="2" t="inlineStr"/>
    </row>
    <row r="8618" ht="15" customHeight="1">
      <c r="A8618" t="inlineStr">
        <is>
          <t>A 6419-2026</t>
        </is>
      </c>
      <c r="B8618" s="1" t="n">
        <v>46055</v>
      </c>
      <c r="C8618" s="1" t="n">
        <v>46086</v>
      </c>
      <c r="D8618" t="inlineStr">
        <is>
          <t>GÄVLEBORGS LÄN</t>
        </is>
      </c>
      <c r="E8618" t="inlineStr">
        <is>
          <t>BOLLNÄS</t>
        </is>
      </c>
      <c r="F8618" t="inlineStr">
        <is>
          <t>Bergvik skog väst AB</t>
        </is>
      </c>
      <c r="G8618" t="n">
        <v>3.1</v>
      </c>
      <c r="H8618" t="n">
        <v>0</v>
      </c>
      <c r="I8618" t="n">
        <v>0</v>
      </c>
      <c r="J8618" t="n">
        <v>0</v>
      </c>
      <c r="K8618" t="n">
        <v>0</v>
      </c>
      <c r="L8618" t="n">
        <v>0</v>
      </c>
      <c r="M8618" t="n">
        <v>0</v>
      </c>
      <c r="N8618" t="n">
        <v>0</v>
      </c>
      <c r="O8618" t="n">
        <v>0</v>
      </c>
      <c r="P8618" t="n">
        <v>0</v>
      </c>
      <c r="Q8618" t="n">
        <v>0</v>
      </c>
      <c r="R8618" s="2" t="inlineStr"/>
    </row>
    <row r="8619" ht="15" customHeight="1">
      <c r="A8619" t="inlineStr">
        <is>
          <t>A 7861-2026</t>
        </is>
      </c>
      <c r="B8619" s="1" t="n">
        <v>46062.68954861111</v>
      </c>
      <c r="C8619" s="1" t="n">
        <v>46086</v>
      </c>
      <c r="D8619" t="inlineStr">
        <is>
          <t>GÄVLEBORGS LÄN</t>
        </is>
      </c>
      <c r="E8619" t="inlineStr">
        <is>
          <t>SÖDERHAMN</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4006-2026</t>
        </is>
      </c>
      <c r="B8620" s="1" t="n">
        <v>46044</v>
      </c>
      <c r="C8620" s="1" t="n">
        <v>46086</v>
      </c>
      <c r="D8620" t="inlineStr">
        <is>
          <t>GÄVLEBORGS LÄN</t>
        </is>
      </c>
      <c r="E8620" t="inlineStr">
        <is>
          <t>HUDIKSVALL</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64034-2025</t>
        </is>
      </c>
      <c r="B8621" s="1" t="n">
        <v>46021.51075231482</v>
      </c>
      <c r="C8621" s="1" t="n">
        <v>46086</v>
      </c>
      <c r="D8621" t="inlineStr">
        <is>
          <t>GÄVLEBORGS LÄN</t>
        </is>
      </c>
      <c r="E8621" t="inlineStr">
        <is>
          <t>NORDANSTIG</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7924-2026</t>
        </is>
      </c>
      <c r="B8622" s="1" t="n">
        <v>46063.39244212963</v>
      </c>
      <c r="C8622" s="1" t="n">
        <v>46086</v>
      </c>
      <c r="D8622" t="inlineStr">
        <is>
          <t>GÄVLEBORGS LÄN</t>
        </is>
      </c>
      <c r="E8622" t="inlineStr">
        <is>
          <t>SANDVIKEN</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7840-2026</t>
        </is>
      </c>
      <c r="B8623" s="1" t="n">
        <v>46062.65012731482</v>
      </c>
      <c r="C8623" s="1" t="n">
        <v>46086</v>
      </c>
      <c r="D8623" t="inlineStr">
        <is>
          <t>GÄVLEBORGS LÄN</t>
        </is>
      </c>
      <c r="E8623" t="inlineStr">
        <is>
          <t>LJUSDAL</t>
        </is>
      </c>
      <c r="G8623" t="n">
        <v>9.800000000000001</v>
      </c>
      <c r="H8623" t="n">
        <v>0</v>
      </c>
      <c r="I8623" t="n">
        <v>0</v>
      </c>
      <c r="J8623" t="n">
        <v>0</v>
      </c>
      <c r="K8623" t="n">
        <v>0</v>
      </c>
      <c r="L8623" t="n">
        <v>0</v>
      </c>
      <c r="M8623" t="n">
        <v>0</v>
      </c>
      <c r="N8623" t="n">
        <v>0</v>
      </c>
      <c r="O8623" t="n">
        <v>0</v>
      </c>
      <c r="P8623" t="n">
        <v>0</v>
      </c>
      <c r="Q8623" t="n">
        <v>0</v>
      </c>
      <c r="R8623" s="2" t="inlineStr"/>
    </row>
    <row r="8624" ht="15" customHeight="1">
      <c r="A8624" t="inlineStr">
        <is>
          <t>A 64043-2025</t>
        </is>
      </c>
      <c r="B8624" s="1" t="n">
        <v>46021.55554398148</v>
      </c>
      <c r="C8624" s="1" t="n">
        <v>46086</v>
      </c>
      <c r="D8624" t="inlineStr">
        <is>
          <t>GÄVLEBORGS LÄN</t>
        </is>
      </c>
      <c r="E8624" t="inlineStr">
        <is>
          <t>BOLLNÄS</t>
        </is>
      </c>
      <c r="G8624" t="n">
        <v>17.6</v>
      </c>
      <c r="H8624" t="n">
        <v>0</v>
      </c>
      <c r="I8624" t="n">
        <v>0</v>
      </c>
      <c r="J8624" t="n">
        <v>0</v>
      </c>
      <c r="K8624" t="n">
        <v>0</v>
      </c>
      <c r="L8624" t="n">
        <v>0</v>
      </c>
      <c r="M8624" t="n">
        <v>0</v>
      </c>
      <c r="N8624" t="n">
        <v>0</v>
      </c>
      <c r="O8624" t="n">
        <v>0</v>
      </c>
      <c r="P8624" t="n">
        <v>0</v>
      </c>
      <c r="Q8624" t="n">
        <v>0</v>
      </c>
      <c r="R8624" s="2" t="inlineStr"/>
    </row>
    <row r="8625" ht="15" customHeight="1">
      <c r="A8625" t="inlineStr">
        <is>
          <t>A 7629-2026</t>
        </is>
      </c>
      <c r="B8625" s="1" t="n">
        <v>46062.36005787037</v>
      </c>
      <c r="C8625" s="1" t="n">
        <v>46086</v>
      </c>
      <c r="D8625" t="inlineStr">
        <is>
          <t>GÄVLEBORGS LÄN</t>
        </is>
      </c>
      <c r="E8625" t="inlineStr">
        <is>
          <t>SÖDERHAMN</t>
        </is>
      </c>
      <c r="F8625" t="inlineStr">
        <is>
          <t>Bergvik skog väst AB</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7633-2026</t>
        </is>
      </c>
      <c r="B8626" s="1" t="n">
        <v>46062.36394675926</v>
      </c>
      <c r="C8626" s="1" t="n">
        <v>46086</v>
      </c>
      <c r="D8626" t="inlineStr">
        <is>
          <t>GÄVLEBORGS LÄN</t>
        </is>
      </c>
      <c r="E8626" t="inlineStr">
        <is>
          <t>BOLLNÄS</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7640-2026</t>
        </is>
      </c>
      <c r="B8627" s="1" t="n">
        <v>46062.37439814815</v>
      </c>
      <c r="C8627" s="1" t="n">
        <v>46086</v>
      </c>
      <c r="D8627" t="inlineStr">
        <is>
          <t>GÄVLEBORGS LÄN</t>
        </is>
      </c>
      <c r="E8627" t="inlineStr">
        <is>
          <t>NORDANSTIG</t>
        </is>
      </c>
      <c r="F8627" t="inlineStr">
        <is>
          <t>Holmen skog AB</t>
        </is>
      </c>
      <c r="G8627" t="n">
        <v>35.4</v>
      </c>
      <c r="H8627" t="n">
        <v>0</v>
      </c>
      <c r="I8627" t="n">
        <v>0</v>
      </c>
      <c r="J8627" t="n">
        <v>0</v>
      </c>
      <c r="K8627" t="n">
        <v>0</v>
      </c>
      <c r="L8627" t="n">
        <v>0</v>
      </c>
      <c r="M8627" t="n">
        <v>0</v>
      </c>
      <c r="N8627" t="n">
        <v>0</v>
      </c>
      <c r="O8627" t="n">
        <v>0</v>
      </c>
      <c r="P8627" t="n">
        <v>0</v>
      </c>
      <c r="Q8627" t="n">
        <v>0</v>
      </c>
      <c r="R8627" s="2" t="inlineStr"/>
    </row>
    <row r="8628" ht="15" customHeight="1">
      <c r="A8628" t="inlineStr">
        <is>
          <t>A 7864-2026</t>
        </is>
      </c>
      <c r="B8628" s="1" t="n">
        <v>46062.73173611111</v>
      </c>
      <c r="C8628" s="1" t="n">
        <v>46086</v>
      </c>
      <c r="D8628" t="inlineStr">
        <is>
          <t>GÄVLEBORGS LÄN</t>
        </is>
      </c>
      <c r="E8628" t="inlineStr">
        <is>
          <t>BOLLNÄS</t>
        </is>
      </c>
      <c r="G8628" t="n">
        <v>19.4</v>
      </c>
      <c r="H8628" t="n">
        <v>0</v>
      </c>
      <c r="I8628" t="n">
        <v>0</v>
      </c>
      <c r="J8628" t="n">
        <v>0</v>
      </c>
      <c r="K8628" t="n">
        <v>0</v>
      </c>
      <c r="L8628" t="n">
        <v>0</v>
      </c>
      <c r="M8628" t="n">
        <v>0</v>
      </c>
      <c r="N8628" t="n">
        <v>0</v>
      </c>
      <c r="O8628" t="n">
        <v>0</v>
      </c>
      <c r="P8628" t="n">
        <v>0</v>
      </c>
      <c r="Q8628" t="n">
        <v>0</v>
      </c>
      <c r="R8628" s="2" t="inlineStr"/>
    </row>
    <row r="8629" ht="15" customHeight="1">
      <c r="A8629" t="inlineStr">
        <is>
          <t>A 7642-2026</t>
        </is>
      </c>
      <c r="B8629" s="1" t="n">
        <v>46062.37685185186</v>
      </c>
      <c r="C8629" s="1" t="n">
        <v>46086</v>
      </c>
      <c r="D8629" t="inlineStr">
        <is>
          <t>GÄVLEBORGS LÄN</t>
        </is>
      </c>
      <c r="E8629" t="inlineStr">
        <is>
          <t>BOLLNÄS</t>
        </is>
      </c>
      <c r="G8629" t="n">
        <v>3.2</v>
      </c>
      <c r="H8629" t="n">
        <v>0</v>
      </c>
      <c r="I8629" t="n">
        <v>0</v>
      </c>
      <c r="J8629" t="n">
        <v>0</v>
      </c>
      <c r="K8629" t="n">
        <v>0</v>
      </c>
      <c r="L8629" t="n">
        <v>0</v>
      </c>
      <c r="M8629" t="n">
        <v>0</v>
      </c>
      <c r="N8629" t="n">
        <v>0</v>
      </c>
      <c r="O8629" t="n">
        <v>0</v>
      </c>
      <c r="P8629" t="n">
        <v>0</v>
      </c>
      <c r="Q8629" t="n">
        <v>0</v>
      </c>
      <c r="R8629" s="2" t="inlineStr"/>
    </row>
    <row r="8630" ht="15" customHeight="1">
      <c r="A8630" t="inlineStr">
        <is>
          <t>A 7681-2026</t>
        </is>
      </c>
      <c r="B8630" s="1" t="n">
        <v>46062.43238425926</v>
      </c>
      <c r="C8630" s="1" t="n">
        <v>46086</v>
      </c>
      <c r="D8630" t="inlineStr">
        <is>
          <t>GÄVLEBORGS LÄN</t>
        </is>
      </c>
      <c r="E8630" t="inlineStr">
        <is>
          <t>OCKELBO</t>
        </is>
      </c>
      <c r="F8630" t="inlineStr">
        <is>
          <t>Kyrkan</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7689-2026</t>
        </is>
      </c>
      <c r="B8631" s="1" t="n">
        <v>46062.44077546296</v>
      </c>
      <c r="C8631" s="1" t="n">
        <v>46086</v>
      </c>
      <c r="D8631" t="inlineStr">
        <is>
          <t>GÄVLEBORGS LÄN</t>
        </is>
      </c>
      <c r="E8631" t="inlineStr">
        <is>
          <t>OCKELBO</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7697-2026</t>
        </is>
      </c>
      <c r="B8632" s="1" t="n">
        <v>46062.451875</v>
      </c>
      <c r="C8632" s="1" t="n">
        <v>46086</v>
      </c>
      <c r="D8632" t="inlineStr">
        <is>
          <t>GÄVLEBORGS LÄN</t>
        </is>
      </c>
      <c r="E8632" t="inlineStr">
        <is>
          <t>OVANÅKER</t>
        </is>
      </c>
      <c r="G8632" t="n">
        <v>2.2</v>
      </c>
      <c r="H8632" t="n">
        <v>0</v>
      </c>
      <c r="I8632" t="n">
        <v>0</v>
      </c>
      <c r="J8632" t="n">
        <v>0</v>
      </c>
      <c r="K8632" t="n">
        <v>0</v>
      </c>
      <c r="L8632" t="n">
        <v>0</v>
      </c>
      <c r="M8632" t="n">
        <v>0</v>
      </c>
      <c r="N8632" t="n">
        <v>0</v>
      </c>
      <c r="O8632" t="n">
        <v>0</v>
      </c>
      <c r="P8632" t="n">
        <v>0</v>
      </c>
      <c r="Q8632" t="n">
        <v>0</v>
      </c>
      <c r="R8632" s="2" t="inlineStr"/>
    </row>
    <row r="8633" ht="15" customHeight="1">
      <c r="A8633" t="inlineStr">
        <is>
          <t>A 7876-2026</t>
        </is>
      </c>
      <c r="B8633" s="1" t="n">
        <v>46063.25381944444</v>
      </c>
      <c r="C8633" s="1" t="n">
        <v>46086</v>
      </c>
      <c r="D8633" t="inlineStr">
        <is>
          <t>GÄVLEBORGS LÄN</t>
        </is>
      </c>
      <c r="E8633" t="inlineStr">
        <is>
          <t>SANDVIKEN</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7882-2026</t>
        </is>
      </c>
      <c r="B8634" s="1" t="n">
        <v>46063.29253472222</v>
      </c>
      <c r="C8634" s="1" t="n">
        <v>46086</v>
      </c>
      <c r="D8634" t="inlineStr">
        <is>
          <t>GÄVLEBORGS LÄN</t>
        </is>
      </c>
      <c r="E8634" t="inlineStr">
        <is>
          <t>SÖDERHAMN</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5325-2026</t>
        </is>
      </c>
      <c r="B8635" s="1" t="n">
        <v>46050</v>
      </c>
      <c r="C8635" s="1" t="n">
        <v>46086</v>
      </c>
      <c r="D8635" t="inlineStr">
        <is>
          <t>GÄVLEBORGS LÄN</t>
        </is>
      </c>
      <c r="E8635" t="inlineStr">
        <is>
          <t>OCKELBO</t>
        </is>
      </c>
      <c r="F8635" t="inlineStr">
        <is>
          <t>Bergvik skog väst AB</t>
        </is>
      </c>
      <c r="G8635" t="n">
        <v>5.5</v>
      </c>
      <c r="H8635" t="n">
        <v>0</v>
      </c>
      <c r="I8635" t="n">
        <v>0</v>
      </c>
      <c r="J8635" t="n">
        <v>0</v>
      </c>
      <c r="K8635" t="n">
        <v>0</v>
      </c>
      <c r="L8635" t="n">
        <v>0</v>
      </c>
      <c r="M8635" t="n">
        <v>0</v>
      </c>
      <c r="N8635" t="n">
        <v>0</v>
      </c>
      <c r="O8635" t="n">
        <v>0</v>
      </c>
      <c r="P8635" t="n">
        <v>0</v>
      </c>
      <c r="Q8635" t="n">
        <v>0</v>
      </c>
      <c r="R8635" s="2" t="inlineStr"/>
    </row>
    <row r="8636" ht="15" customHeight="1">
      <c r="A8636" t="inlineStr">
        <is>
          <t>A 5342-2026</t>
        </is>
      </c>
      <c r="B8636" s="1" t="n">
        <v>46050</v>
      </c>
      <c r="C8636" s="1" t="n">
        <v>46086</v>
      </c>
      <c r="D8636" t="inlineStr">
        <is>
          <t>GÄVLEBORGS LÄN</t>
        </is>
      </c>
      <c r="E8636" t="inlineStr">
        <is>
          <t>BOLLNÄS</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6349-2026</t>
        </is>
      </c>
      <c r="B8637" s="1" t="n">
        <v>46055</v>
      </c>
      <c r="C8637" s="1" t="n">
        <v>46086</v>
      </c>
      <c r="D8637" t="inlineStr">
        <is>
          <t>GÄVLEBORGS LÄN</t>
        </is>
      </c>
      <c r="E8637" t="inlineStr">
        <is>
          <t>NORDANSTIG</t>
        </is>
      </c>
      <c r="G8637" t="n">
        <v>5.4</v>
      </c>
      <c r="H8637" t="n">
        <v>0</v>
      </c>
      <c r="I8637" t="n">
        <v>0</v>
      </c>
      <c r="J8637" t="n">
        <v>0</v>
      </c>
      <c r="K8637" t="n">
        <v>0</v>
      </c>
      <c r="L8637" t="n">
        <v>0</v>
      </c>
      <c r="M8637" t="n">
        <v>0</v>
      </c>
      <c r="N8637" t="n">
        <v>0</v>
      </c>
      <c r="O8637" t="n">
        <v>0</v>
      </c>
      <c r="P8637" t="n">
        <v>0</v>
      </c>
      <c r="Q8637" t="n">
        <v>0</v>
      </c>
      <c r="R8637" s="2" t="inlineStr"/>
    </row>
    <row r="8638" ht="15" customHeight="1">
      <c r="A8638" t="inlineStr">
        <is>
          <t>A 6370-2026</t>
        </is>
      </c>
      <c r="B8638" s="1" t="n">
        <v>46055</v>
      </c>
      <c r="C8638" s="1" t="n">
        <v>46086</v>
      </c>
      <c r="D8638" t="inlineStr">
        <is>
          <t>GÄVLEBORGS LÄN</t>
        </is>
      </c>
      <c r="E8638" t="inlineStr">
        <is>
          <t>BOLLNÄS</t>
        </is>
      </c>
      <c r="F8638" t="inlineStr">
        <is>
          <t>Bergvik skog väst AB</t>
        </is>
      </c>
      <c r="G8638" t="n">
        <v>4.7</v>
      </c>
      <c r="H8638" t="n">
        <v>0</v>
      </c>
      <c r="I8638" t="n">
        <v>0</v>
      </c>
      <c r="J8638" t="n">
        <v>0</v>
      </c>
      <c r="K8638" t="n">
        <v>0</v>
      </c>
      <c r="L8638" t="n">
        <v>0</v>
      </c>
      <c r="M8638" t="n">
        <v>0</v>
      </c>
      <c r="N8638" t="n">
        <v>0</v>
      </c>
      <c r="O8638" t="n">
        <v>0</v>
      </c>
      <c r="P8638" t="n">
        <v>0</v>
      </c>
      <c r="Q8638" t="n">
        <v>0</v>
      </c>
      <c r="R8638" s="2" t="inlineStr"/>
    </row>
    <row r="8639" ht="15" customHeight="1">
      <c r="A8639" t="inlineStr">
        <is>
          <t>A 6376-2026</t>
        </is>
      </c>
      <c r="B8639" s="1" t="n">
        <v>46055</v>
      </c>
      <c r="C8639" s="1" t="n">
        <v>46086</v>
      </c>
      <c r="D8639" t="inlineStr">
        <is>
          <t>GÄVLEBORGS LÄN</t>
        </is>
      </c>
      <c r="E8639" t="inlineStr">
        <is>
          <t>BOLLNÄS</t>
        </is>
      </c>
      <c r="F8639" t="inlineStr">
        <is>
          <t>Bergvik skog väst AB</t>
        </is>
      </c>
      <c r="G8639" t="n">
        <v>8.699999999999999</v>
      </c>
      <c r="H8639" t="n">
        <v>0</v>
      </c>
      <c r="I8639" t="n">
        <v>0</v>
      </c>
      <c r="J8639" t="n">
        <v>0</v>
      </c>
      <c r="K8639" t="n">
        <v>0</v>
      </c>
      <c r="L8639" t="n">
        <v>0</v>
      </c>
      <c r="M8639" t="n">
        <v>0</v>
      </c>
      <c r="N8639" t="n">
        <v>0</v>
      </c>
      <c r="O8639" t="n">
        <v>0</v>
      </c>
      <c r="P8639" t="n">
        <v>0</v>
      </c>
      <c r="Q8639" t="n">
        <v>0</v>
      </c>
      <c r="R8639" s="2" t="inlineStr"/>
    </row>
    <row r="8640" ht="15" customHeight="1">
      <c r="A8640" t="inlineStr">
        <is>
          <t>A 63887-2025</t>
        </is>
      </c>
      <c r="B8640" s="1" t="n">
        <v>46020</v>
      </c>
      <c r="C8640" s="1" t="n">
        <v>46086</v>
      </c>
      <c r="D8640" t="inlineStr">
        <is>
          <t>GÄVLEBORGS LÄN</t>
        </is>
      </c>
      <c r="E8640" t="inlineStr">
        <is>
          <t>GÄVLE</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63911-2025</t>
        </is>
      </c>
      <c r="B8641" s="1" t="n">
        <v>46020</v>
      </c>
      <c r="C8641" s="1" t="n">
        <v>46086</v>
      </c>
      <c r="D8641" t="inlineStr">
        <is>
          <t>GÄVLEBORGS LÄN</t>
        </is>
      </c>
      <c r="E8641" t="inlineStr">
        <is>
          <t>HUDIKSVALL</t>
        </is>
      </c>
      <c r="G8641" t="n">
        <v>1.7</v>
      </c>
      <c r="H8641" t="n">
        <v>0</v>
      </c>
      <c r="I8641" t="n">
        <v>0</v>
      </c>
      <c r="J8641" t="n">
        <v>0</v>
      </c>
      <c r="K8641" t="n">
        <v>0</v>
      </c>
      <c r="L8641" t="n">
        <v>0</v>
      </c>
      <c r="M8641" t="n">
        <v>0</v>
      </c>
      <c r="N8641" t="n">
        <v>0</v>
      </c>
      <c r="O8641" t="n">
        <v>0</v>
      </c>
      <c r="P8641" t="n">
        <v>0</v>
      </c>
      <c r="Q8641" t="n">
        <v>0</v>
      </c>
      <c r="R8641" s="2" t="inlineStr"/>
      <c r="U8641">
        <f>HYPERLINK("https://klasma.github.io/Logging_2184/knärot/A 63911-2025 karta knärot.png", "A 63911-2025")</f>
        <v/>
      </c>
      <c r="V8641">
        <f>HYPERLINK("https://klasma.github.io/Logging_2184/klagomål/A 63911-2025 FSC-klagomål.docx", "A 63911-2025")</f>
        <v/>
      </c>
      <c r="W8641">
        <f>HYPERLINK("https://klasma.github.io/Logging_2184/klagomålsmail/A 63911-2025 FSC-klagomål mail.docx", "A 63911-2025")</f>
        <v/>
      </c>
      <c r="X8641">
        <f>HYPERLINK("https://klasma.github.io/Logging_2184/tillsyn/A 63911-2025 tillsynsbegäran.docx", "A 63911-2025")</f>
        <v/>
      </c>
      <c r="Y8641">
        <f>HYPERLINK("https://klasma.github.io/Logging_2184/tillsynsmail/A 63911-2025 tillsynsbegäran mail.docx", "A 63911-2025")</f>
        <v/>
      </c>
    </row>
    <row r="8642" ht="15" customHeight="1">
      <c r="A8642" t="inlineStr">
        <is>
          <t>A 63963-2025</t>
        </is>
      </c>
      <c r="B8642" s="1" t="n">
        <v>46020</v>
      </c>
      <c r="C8642" s="1" t="n">
        <v>46086</v>
      </c>
      <c r="D8642" t="inlineStr">
        <is>
          <t>GÄVLEBORGS LÄN</t>
        </is>
      </c>
      <c r="E8642" t="inlineStr">
        <is>
          <t>HUDIKSVALL</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63976-2025</t>
        </is>
      </c>
      <c r="B8643" s="1" t="n">
        <v>46021</v>
      </c>
      <c r="C8643" s="1" t="n">
        <v>46086</v>
      </c>
      <c r="D8643" t="inlineStr">
        <is>
          <t>GÄVLEBORGS LÄN</t>
        </is>
      </c>
      <c r="E8643" t="inlineStr">
        <is>
          <t>BOLLNÄS</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6091-2026</t>
        </is>
      </c>
      <c r="B8644" s="1" t="n">
        <v>46052</v>
      </c>
      <c r="C8644" s="1" t="n">
        <v>46086</v>
      </c>
      <c r="D8644" t="inlineStr">
        <is>
          <t>GÄVLEBORGS LÄN</t>
        </is>
      </c>
      <c r="E8644" t="inlineStr">
        <is>
          <t>OCKELBO</t>
        </is>
      </c>
      <c r="F8644" t="inlineStr">
        <is>
          <t>Bergvik skog väst AB</t>
        </is>
      </c>
      <c r="G8644" t="n">
        <v>12.5</v>
      </c>
      <c r="H8644" t="n">
        <v>0</v>
      </c>
      <c r="I8644" t="n">
        <v>0</v>
      </c>
      <c r="J8644" t="n">
        <v>0</v>
      </c>
      <c r="K8644" t="n">
        <v>0</v>
      </c>
      <c r="L8644" t="n">
        <v>0</v>
      </c>
      <c r="M8644" t="n">
        <v>0</v>
      </c>
      <c r="N8644" t="n">
        <v>0</v>
      </c>
      <c r="O8644" t="n">
        <v>0</v>
      </c>
      <c r="P8644" t="n">
        <v>0</v>
      </c>
      <c r="Q8644" t="n">
        <v>0</v>
      </c>
      <c r="R8644" s="2" t="inlineStr"/>
    </row>
    <row r="8645" ht="15" customHeight="1">
      <c r="A8645" t="inlineStr">
        <is>
          <t>A 6266-2026</t>
        </is>
      </c>
      <c r="B8645" s="1" t="n">
        <v>46055</v>
      </c>
      <c r="C8645" s="1" t="n">
        <v>46086</v>
      </c>
      <c r="D8645" t="inlineStr">
        <is>
          <t>GÄVLEBORGS LÄN</t>
        </is>
      </c>
      <c r="E8645" t="inlineStr">
        <is>
          <t>OCKELBO</t>
        </is>
      </c>
      <c r="F8645" t="inlineStr">
        <is>
          <t>Bergvik skog väst AB</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6359-2026</t>
        </is>
      </c>
      <c r="B8646" s="1" t="n">
        <v>46055</v>
      </c>
      <c r="C8646" s="1" t="n">
        <v>46086</v>
      </c>
      <c r="D8646" t="inlineStr">
        <is>
          <t>GÄVLEBORGS LÄN</t>
        </is>
      </c>
      <c r="E8646" t="inlineStr">
        <is>
          <t>OCKELBO</t>
        </is>
      </c>
      <c r="F8646" t="inlineStr">
        <is>
          <t>Bergvik skog väst AB</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7065-2026</t>
        </is>
      </c>
      <c r="B8647" s="1" t="n">
        <v>46058</v>
      </c>
      <c r="C8647" s="1" t="n">
        <v>46086</v>
      </c>
      <c r="D8647" t="inlineStr">
        <is>
          <t>GÄVLEBORGS LÄN</t>
        </is>
      </c>
      <c r="E8647" t="inlineStr">
        <is>
          <t>OVANÅKER</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5992-2026</t>
        </is>
      </c>
      <c r="B8648" s="1" t="n">
        <v>46052.56912037037</v>
      </c>
      <c r="C8648" s="1" t="n">
        <v>46086</v>
      </c>
      <c r="D8648" t="inlineStr">
        <is>
          <t>GÄVLEBORGS LÄN</t>
        </is>
      </c>
      <c r="E8648" t="inlineStr">
        <is>
          <t>SANDVIKEN</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6129-2026</t>
        </is>
      </c>
      <c r="B8649" s="1" t="n">
        <v>46054</v>
      </c>
      <c r="C8649" s="1" t="n">
        <v>46086</v>
      </c>
      <c r="D8649" t="inlineStr">
        <is>
          <t>GÄVLEBORGS LÄN</t>
        </is>
      </c>
      <c r="E8649" t="inlineStr">
        <is>
          <t>NORDANSTIG</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3983-2026</t>
        </is>
      </c>
      <c r="B8650" s="1" t="n">
        <v>46044</v>
      </c>
      <c r="C8650" s="1" t="n">
        <v>46086</v>
      </c>
      <c r="D8650" t="inlineStr">
        <is>
          <t>GÄVLEBORGS LÄN</t>
        </is>
      </c>
      <c r="E8650" t="inlineStr">
        <is>
          <t>HUDIKSVALL</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4727-2026</t>
        </is>
      </c>
      <c r="B8651" s="1" t="n">
        <v>46048</v>
      </c>
      <c r="C8651" s="1" t="n">
        <v>46086</v>
      </c>
      <c r="D8651" t="inlineStr">
        <is>
          <t>GÄVLEBORGS LÄN</t>
        </is>
      </c>
      <c r="E8651" t="inlineStr">
        <is>
          <t>BOLLNÄS</t>
        </is>
      </c>
      <c r="F8651" t="inlineStr">
        <is>
          <t>Bergvik skog väst AB</t>
        </is>
      </c>
      <c r="G8651" t="n">
        <v>15.6</v>
      </c>
      <c r="H8651" t="n">
        <v>0</v>
      </c>
      <c r="I8651" t="n">
        <v>0</v>
      </c>
      <c r="J8651" t="n">
        <v>0</v>
      </c>
      <c r="K8651" t="n">
        <v>0</v>
      </c>
      <c r="L8651" t="n">
        <v>0</v>
      </c>
      <c r="M8651" t="n">
        <v>0</v>
      </c>
      <c r="N8651" t="n">
        <v>0</v>
      </c>
      <c r="O8651" t="n">
        <v>0</v>
      </c>
      <c r="P8651" t="n">
        <v>0</v>
      </c>
      <c r="Q8651" t="n">
        <v>0</v>
      </c>
      <c r="R8651" s="2" t="inlineStr"/>
    </row>
    <row r="8652" ht="15" customHeight="1">
      <c r="A8652" t="inlineStr">
        <is>
          <t>A 5521-2026</t>
        </is>
      </c>
      <c r="B8652" s="1" t="n">
        <v>46050</v>
      </c>
      <c r="C8652" s="1" t="n">
        <v>46086</v>
      </c>
      <c r="D8652" t="inlineStr">
        <is>
          <t>GÄVLEBORGS LÄN</t>
        </is>
      </c>
      <c r="E8652" t="inlineStr">
        <is>
          <t>OCKELBO</t>
        </is>
      </c>
      <c r="F8652" t="inlineStr">
        <is>
          <t>Bergvik skog väst AB</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5960-2026</t>
        </is>
      </c>
      <c r="B8653" s="1" t="n">
        <v>46052.50662037037</v>
      </c>
      <c r="C8653" s="1" t="n">
        <v>46086</v>
      </c>
      <c r="D8653" t="inlineStr">
        <is>
          <t>GÄVLEBORGS LÄN</t>
        </is>
      </c>
      <c r="E8653" t="inlineStr">
        <is>
          <t>SANDVIKEN</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5969-2026</t>
        </is>
      </c>
      <c r="B8654" s="1" t="n">
        <v>46052</v>
      </c>
      <c r="C8654" s="1" t="n">
        <v>46086</v>
      </c>
      <c r="D8654" t="inlineStr">
        <is>
          <t>GÄVLEBORGS LÄN</t>
        </is>
      </c>
      <c r="E8654" t="inlineStr">
        <is>
          <t>OCKELBO</t>
        </is>
      </c>
      <c r="F8654" t="inlineStr">
        <is>
          <t>Bergvik skog väst AB</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5986-2026</t>
        </is>
      </c>
      <c r="B8655" s="1" t="n">
        <v>46052.56048611111</v>
      </c>
      <c r="C8655" s="1" t="n">
        <v>46086</v>
      </c>
      <c r="D8655" t="inlineStr">
        <is>
          <t>GÄVLEBORGS LÄN</t>
        </is>
      </c>
      <c r="E8655" t="inlineStr">
        <is>
          <t>SANDVIKEN</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6019-2026</t>
        </is>
      </c>
      <c r="B8656" s="1" t="n">
        <v>46052</v>
      </c>
      <c r="C8656" s="1" t="n">
        <v>46086</v>
      </c>
      <c r="D8656" t="inlineStr">
        <is>
          <t>GÄVLEBORGS LÄN</t>
        </is>
      </c>
      <c r="E8656" t="inlineStr">
        <is>
          <t>OCKELBO</t>
        </is>
      </c>
      <c r="F8656" t="inlineStr">
        <is>
          <t>Bergvik skog väst AB</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7910-2026</t>
        </is>
      </c>
      <c r="B8657" s="1" t="n">
        <v>46063.3653587963</v>
      </c>
      <c r="C8657" s="1" t="n">
        <v>46086</v>
      </c>
      <c r="D8657" t="inlineStr">
        <is>
          <t>GÄVLEBORGS LÄN</t>
        </is>
      </c>
      <c r="E8657" t="inlineStr">
        <is>
          <t>SANDVIKEN</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7911-2026</t>
        </is>
      </c>
      <c r="B8658" s="1" t="n">
        <v>46063.37041666666</v>
      </c>
      <c r="C8658" s="1" t="n">
        <v>46086</v>
      </c>
      <c r="D8658" t="inlineStr">
        <is>
          <t>GÄVLEBORGS LÄN</t>
        </is>
      </c>
      <c r="E8658" t="inlineStr">
        <is>
          <t>SANDVIKEN</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7912-2026</t>
        </is>
      </c>
      <c r="B8659" s="1" t="n">
        <v>46063.3712962963</v>
      </c>
      <c r="C8659" s="1" t="n">
        <v>46086</v>
      </c>
      <c r="D8659" t="inlineStr">
        <is>
          <t>GÄVLEBORGS LÄN</t>
        </is>
      </c>
      <c r="E8659" t="inlineStr">
        <is>
          <t>BOLLNÄS</t>
        </is>
      </c>
      <c r="F8659" t="inlineStr">
        <is>
          <t>Bergvik skog väst AB</t>
        </is>
      </c>
      <c r="G8659" t="n">
        <v>3.5</v>
      </c>
      <c r="H8659" t="n">
        <v>0</v>
      </c>
      <c r="I8659" t="n">
        <v>0</v>
      </c>
      <c r="J8659" t="n">
        <v>0</v>
      </c>
      <c r="K8659" t="n">
        <v>0</v>
      </c>
      <c r="L8659" t="n">
        <v>0</v>
      </c>
      <c r="M8659" t="n">
        <v>0</v>
      </c>
      <c r="N8659" t="n">
        <v>0</v>
      </c>
      <c r="O8659" t="n">
        <v>0</v>
      </c>
      <c r="P8659" t="n">
        <v>0</v>
      </c>
      <c r="Q8659" t="n">
        <v>0</v>
      </c>
      <c r="R8659" s="2" t="inlineStr"/>
    </row>
    <row r="8660" ht="15" customHeight="1">
      <c r="A8660" t="inlineStr">
        <is>
          <t>A 7914-2026</t>
        </is>
      </c>
      <c r="B8660" s="1" t="n">
        <v>46063.37728009259</v>
      </c>
      <c r="C8660" s="1" t="n">
        <v>46086</v>
      </c>
      <c r="D8660" t="inlineStr">
        <is>
          <t>GÄVLEBORGS LÄN</t>
        </is>
      </c>
      <c r="E8660" t="inlineStr">
        <is>
          <t>SANDVIKEN</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11940-2025</t>
        </is>
      </c>
      <c r="B8661" s="1" t="n">
        <v>45728.5352662037</v>
      </c>
      <c r="C8661" s="1" t="n">
        <v>46086</v>
      </c>
      <c r="D8661" t="inlineStr">
        <is>
          <t>GÄVLEBORGS LÄN</t>
        </is>
      </c>
      <c r="E8661" t="inlineStr">
        <is>
          <t>OVANÅKER</t>
        </is>
      </c>
      <c r="G8661" t="n">
        <v>4.7</v>
      </c>
      <c r="H8661" t="n">
        <v>0</v>
      </c>
      <c r="I8661" t="n">
        <v>0</v>
      </c>
      <c r="J8661" t="n">
        <v>0</v>
      </c>
      <c r="K8661" t="n">
        <v>0</v>
      </c>
      <c r="L8661" t="n">
        <v>0</v>
      </c>
      <c r="M8661" t="n">
        <v>0</v>
      </c>
      <c r="N8661" t="n">
        <v>0</v>
      </c>
      <c r="O8661" t="n">
        <v>0</v>
      </c>
      <c r="P8661" t="n">
        <v>0</v>
      </c>
      <c r="Q8661" t="n">
        <v>0</v>
      </c>
      <c r="R8661" s="2" t="inlineStr"/>
    </row>
    <row r="8662" ht="15" customHeight="1">
      <c r="A8662" t="inlineStr">
        <is>
          <t>A 8012-2026</t>
        </is>
      </c>
      <c r="B8662" s="1" t="n">
        <v>46063.53550925926</v>
      </c>
      <c r="C8662" s="1" t="n">
        <v>46086</v>
      </c>
      <c r="D8662" t="inlineStr">
        <is>
          <t>GÄVLEBORGS LÄN</t>
        </is>
      </c>
      <c r="E8662" t="inlineStr">
        <is>
          <t>BOLLNÄS</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11964-2025</t>
        </is>
      </c>
      <c r="B8663" s="1" t="n">
        <v>45728.57576388889</v>
      </c>
      <c r="C8663" s="1" t="n">
        <v>46086</v>
      </c>
      <c r="D8663" t="inlineStr">
        <is>
          <t>GÄVLEBORGS LÄN</t>
        </is>
      </c>
      <c r="E8663" t="inlineStr">
        <is>
          <t>OVANÅKER</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8021-2026</t>
        </is>
      </c>
      <c r="B8664" s="1" t="n">
        <v>46063.55601851852</v>
      </c>
      <c r="C8664" s="1" t="n">
        <v>46086</v>
      </c>
      <c r="D8664" t="inlineStr">
        <is>
          <t>GÄVLEBORGS LÄN</t>
        </is>
      </c>
      <c r="E8664" t="inlineStr">
        <is>
          <t>OVANÅKER</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7580-2026</t>
        </is>
      </c>
      <c r="B8665" s="1" t="n">
        <v>46061.63731481481</v>
      </c>
      <c r="C8665" s="1" t="n">
        <v>46086</v>
      </c>
      <c r="D8665" t="inlineStr">
        <is>
          <t>GÄVLEBORGS LÄN</t>
        </is>
      </c>
      <c r="E8665" t="inlineStr">
        <is>
          <t>HOFORS</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7720-2026</t>
        </is>
      </c>
      <c r="B8666" s="1" t="n">
        <v>46062.49643518519</v>
      </c>
      <c r="C8666" s="1" t="n">
        <v>46086</v>
      </c>
      <c r="D8666" t="inlineStr">
        <is>
          <t>GÄVLEBORGS LÄN</t>
        </is>
      </c>
      <c r="E8666" t="inlineStr">
        <is>
          <t>GÄVLE</t>
        </is>
      </c>
      <c r="F8666" t="inlineStr">
        <is>
          <t>Bergvik skog väst AB</t>
        </is>
      </c>
      <c r="G8666" t="n">
        <v>7.5</v>
      </c>
      <c r="H8666" t="n">
        <v>0</v>
      </c>
      <c r="I8666" t="n">
        <v>0</v>
      </c>
      <c r="J8666" t="n">
        <v>0</v>
      </c>
      <c r="K8666" t="n">
        <v>0</v>
      </c>
      <c r="L8666" t="n">
        <v>0</v>
      </c>
      <c r="M8666" t="n">
        <v>0</v>
      </c>
      <c r="N8666" t="n">
        <v>0</v>
      </c>
      <c r="O8666" t="n">
        <v>0</v>
      </c>
      <c r="P8666" t="n">
        <v>0</v>
      </c>
      <c r="Q8666" t="n">
        <v>0</v>
      </c>
      <c r="R8666" s="2" t="inlineStr"/>
    </row>
    <row r="8667" ht="15" customHeight="1">
      <c r="A8667" t="inlineStr">
        <is>
          <t>A 7735-2026</t>
        </is>
      </c>
      <c r="B8667" s="1" t="n">
        <v>46062.52943287037</v>
      </c>
      <c r="C8667" s="1" t="n">
        <v>46086</v>
      </c>
      <c r="D8667" t="inlineStr">
        <is>
          <t>GÄVLEBORGS LÄN</t>
        </is>
      </c>
      <c r="E8667" t="inlineStr">
        <is>
          <t>BOLLNÄS</t>
        </is>
      </c>
      <c r="F8667" t="inlineStr">
        <is>
          <t>Bergvik skog väst AB</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7749-2026</t>
        </is>
      </c>
      <c r="B8668" s="1" t="n">
        <v>46062.54609953704</v>
      </c>
      <c r="C8668" s="1" t="n">
        <v>46086</v>
      </c>
      <c r="D8668" t="inlineStr">
        <is>
          <t>GÄVLEBORGS LÄN</t>
        </is>
      </c>
      <c r="E8668" t="inlineStr">
        <is>
          <t>HUDIKSVALL</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7796-2026</t>
        </is>
      </c>
      <c r="B8669" s="1" t="n">
        <v>46062.59929398148</v>
      </c>
      <c r="C8669" s="1" t="n">
        <v>46086</v>
      </c>
      <c r="D8669" t="inlineStr">
        <is>
          <t>GÄVLEBORGS LÄN</t>
        </is>
      </c>
      <c r="E8669" t="inlineStr">
        <is>
          <t>NORDANSTIG</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7717-2026</t>
        </is>
      </c>
      <c r="B8670" s="1" t="n">
        <v>46062.49126157408</v>
      </c>
      <c r="C8670" s="1" t="n">
        <v>46086</v>
      </c>
      <c r="D8670" t="inlineStr">
        <is>
          <t>GÄVLEBORGS LÄN</t>
        </is>
      </c>
      <c r="E8670" t="inlineStr">
        <is>
          <t>LJUSDAL</t>
        </is>
      </c>
      <c r="F8670" t="inlineStr">
        <is>
          <t>Sveaskog</t>
        </is>
      </c>
      <c r="G8670" t="n">
        <v>3.7</v>
      </c>
      <c r="H8670" t="n">
        <v>0</v>
      </c>
      <c r="I8670" t="n">
        <v>0</v>
      </c>
      <c r="J8670" t="n">
        <v>0</v>
      </c>
      <c r="K8670" t="n">
        <v>0</v>
      </c>
      <c r="L8670" t="n">
        <v>0</v>
      </c>
      <c r="M8670" t="n">
        <v>0</v>
      </c>
      <c r="N8670" t="n">
        <v>0</v>
      </c>
      <c r="O8670" t="n">
        <v>0</v>
      </c>
      <c r="P8670" t="n">
        <v>0</v>
      </c>
      <c r="Q8670" t="n">
        <v>0</v>
      </c>
      <c r="R8670" s="2" t="inlineStr"/>
    </row>
    <row r="8671" ht="15" customHeight="1">
      <c r="A8671" t="inlineStr">
        <is>
          <t>A 7718-2026</t>
        </is>
      </c>
      <c r="B8671" s="1" t="n">
        <v>46062.49398148148</v>
      </c>
      <c r="C8671" s="1" t="n">
        <v>46086</v>
      </c>
      <c r="D8671" t="inlineStr">
        <is>
          <t>GÄVLEBORGS LÄN</t>
        </is>
      </c>
      <c r="E8671" t="inlineStr">
        <is>
          <t>HUDIKSVALL</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7725-2026</t>
        </is>
      </c>
      <c r="B8672" s="1" t="n">
        <v>46062.49981481482</v>
      </c>
      <c r="C8672" s="1" t="n">
        <v>46086</v>
      </c>
      <c r="D8672" t="inlineStr">
        <is>
          <t>GÄVLEBORGS LÄN</t>
        </is>
      </c>
      <c r="E8672" t="inlineStr">
        <is>
          <t>SANDVIKEN</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7564-2026</t>
        </is>
      </c>
      <c r="B8673" s="1" t="n">
        <v>46060.56787037037</v>
      </c>
      <c r="C8673" s="1" t="n">
        <v>46086</v>
      </c>
      <c r="D8673" t="inlineStr">
        <is>
          <t>GÄVLEBORGS LÄN</t>
        </is>
      </c>
      <c r="E8673" t="inlineStr">
        <is>
          <t>BOLLNÄS</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63952-2025</t>
        </is>
      </c>
      <c r="B8674" s="1" t="n">
        <v>46020</v>
      </c>
      <c r="C8674" s="1" t="n">
        <v>46086</v>
      </c>
      <c r="D8674" t="inlineStr">
        <is>
          <t>GÄVLEBORGS LÄN</t>
        </is>
      </c>
      <c r="E8674" t="inlineStr">
        <is>
          <t>GÄVLE</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7959-2026</t>
        </is>
      </c>
      <c r="B8675" s="1" t="n">
        <v>46063.43263888889</v>
      </c>
      <c r="C8675" s="1" t="n">
        <v>46086</v>
      </c>
      <c r="D8675" t="inlineStr">
        <is>
          <t>GÄVLEBORGS LÄN</t>
        </is>
      </c>
      <c r="E8675" t="inlineStr">
        <is>
          <t>BOLLNÄS</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5271-2023</t>
        </is>
      </c>
      <c r="B8676" s="1" t="n">
        <v>44959.48050925926</v>
      </c>
      <c r="C8676" s="1" t="n">
        <v>46086</v>
      </c>
      <c r="D8676" t="inlineStr">
        <is>
          <t>GÄVLEBORGS LÄN</t>
        </is>
      </c>
      <c r="E8676" t="inlineStr">
        <is>
          <t>OVANÅKER</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64128-2025</t>
        </is>
      </c>
      <c r="B8677" s="1" t="n">
        <v>46021</v>
      </c>
      <c r="C8677" s="1" t="n">
        <v>46086</v>
      </c>
      <c r="D8677" t="inlineStr">
        <is>
          <t>GÄVLEBORGS LÄN</t>
        </is>
      </c>
      <c r="E8677" t="inlineStr">
        <is>
          <t>OCKELBO</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64131-2025</t>
        </is>
      </c>
      <c r="B8678" s="1" t="n">
        <v>46021</v>
      </c>
      <c r="C8678" s="1" t="n">
        <v>46086</v>
      </c>
      <c r="D8678" t="inlineStr">
        <is>
          <t>GÄVLEBORGS LÄN</t>
        </is>
      </c>
      <c r="E8678" t="inlineStr">
        <is>
          <t>OCKELBO</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5300-2023</t>
        </is>
      </c>
      <c r="B8679" s="1" t="n">
        <v>44959.54719907408</v>
      </c>
      <c r="C8679" s="1" t="n">
        <v>46086</v>
      </c>
      <c r="D8679" t="inlineStr">
        <is>
          <t>GÄVLEBORGS LÄN</t>
        </is>
      </c>
      <c r="E8679" t="inlineStr">
        <is>
          <t>OVANÅKER</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7639-2026</t>
        </is>
      </c>
      <c r="B8680" s="1" t="n">
        <v>46062.37336805555</v>
      </c>
      <c r="C8680" s="1" t="n">
        <v>46086</v>
      </c>
      <c r="D8680" t="inlineStr">
        <is>
          <t>GÄVLEBORGS LÄN</t>
        </is>
      </c>
      <c r="E8680" t="inlineStr">
        <is>
          <t>OCKELBO</t>
        </is>
      </c>
      <c r="G8680" t="n">
        <v>4.3</v>
      </c>
      <c r="H8680" t="n">
        <v>0</v>
      </c>
      <c r="I8680" t="n">
        <v>0</v>
      </c>
      <c r="J8680" t="n">
        <v>0</v>
      </c>
      <c r="K8680" t="n">
        <v>0</v>
      </c>
      <c r="L8680" t="n">
        <v>0</v>
      </c>
      <c r="M8680" t="n">
        <v>0</v>
      </c>
      <c r="N8680" t="n">
        <v>0</v>
      </c>
      <c r="O8680" t="n">
        <v>0</v>
      </c>
      <c r="P8680" t="n">
        <v>0</v>
      </c>
      <c r="Q8680" t="n">
        <v>0</v>
      </c>
      <c r="R8680" s="2" t="inlineStr"/>
    </row>
    <row r="8681" ht="15" customHeight="1">
      <c r="A8681" t="inlineStr">
        <is>
          <t>A 7651-2026</t>
        </is>
      </c>
      <c r="B8681" s="1" t="n">
        <v>46062.38591435185</v>
      </c>
      <c r="C8681" s="1" t="n">
        <v>46086</v>
      </c>
      <c r="D8681" t="inlineStr">
        <is>
          <t>GÄVLEBORGS LÄN</t>
        </is>
      </c>
      <c r="E8681" t="inlineStr">
        <is>
          <t>HUDIKSVALL</t>
        </is>
      </c>
      <c r="G8681" t="n">
        <v>4.7</v>
      </c>
      <c r="H8681" t="n">
        <v>0</v>
      </c>
      <c r="I8681" t="n">
        <v>0</v>
      </c>
      <c r="J8681" t="n">
        <v>0</v>
      </c>
      <c r="K8681" t="n">
        <v>0</v>
      </c>
      <c r="L8681" t="n">
        <v>0</v>
      </c>
      <c r="M8681" t="n">
        <v>0</v>
      </c>
      <c r="N8681" t="n">
        <v>0</v>
      </c>
      <c r="O8681" t="n">
        <v>0</v>
      </c>
      <c r="P8681" t="n">
        <v>0</v>
      </c>
      <c r="Q8681" t="n">
        <v>0</v>
      </c>
      <c r="R8681" s="2" t="inlineStr"/>
    </row>
    <row r="8682" ht="15" customHeight="1">
      <c r="A8682" t="inlineStr">
        <is>
          <t>A 7653-2026</t>
        </is>
      </c>
      <c r="B8682" s="1" t="n">
        <v>46062.38793981481</v>
      </c>
      <c r="C8682" s="1" t="n">
        <v>46086</v>
      </c>
      <c r="D8682" t="inlineStr">
        <is>
          <t>GÄVLEBORGS LÄN</t>
        </is>
      </c>
      <c r="E8682" t="inlineStr">
        <is>
          <t>OVANÅKER</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7589-2026</t>
        </is>
      </c>
      <c r="B8683" s="1" t="n">
        <v>46061.84179398148</v>
      </c>
      <c r="C8683" s="1" t="n">
        <v>46086</v>
      </c>
      <c r="D8683" t="inlineStr">
        <is>
          <t>GÄVLEBORGS LÄN</t>
        </is>
      </c>
      <c r="E8683" t="inlineStr">
        <is>
          <t>SÖDERHAMN</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63877-2025</t>
        </is>
      </c>
      <c r="B8684" s="1" t="n">
        <v>46020</v>
      </c>
      <c r="C8684" s="1" t="n">
        <v>46086</v>
      </c>
      <c r="D8684" t="inlineStr">
        <is>
          <t>GÄVLEBORGS LÄN</t>
        </is>
      </c>
      <c r="E8684" t="inlineStr">
        <is>
          <t>BOLLNÄS</t>
        </is>
      </c>
      <c r="G8684" t="n">
        <v>8.800000000000001</v>
      </c>
      <c r="H8684" t="n">
        <v>0</v>
      </c>
      <c r="I8684" t="n">
        <v>0</v>
      </c>
      <c r="J8684" t="n">
        <v>0</v>
      </c>
      <c r="K8684" t="n">
        <v>0</v>
      </c>
      <c r="L8684" t="n">
        <v>0</v>
      </c>
      <c r="M8684" t="n">
        <v>0</v>
      </c>
      <c r="N8684" t="n">
        <v>0</v>
      </c>
      <c r="O8684" t="n">
        <v>0</v>
      </c>
      <c r="P8684" t="n">
        <v>0</v>
      </c>
      <c r="Q8684" t="n">
        <v>0</v>
      </c>
      <c r="R8684" s="2" t="inlineStr"/>
    </row>
    <row r="8685" ht="15" customHeight="1">
      <c r="A8685" t="inlineStr">
        <is>
          <t>A 63985-2025</t>
        </is>
      </c>
      <c r="B8685" s="1" t="n">
        <v>46021</v>
      </c>
      <c r="C8685" s="1" t="n">
        <v>46086</v>
      </c>
      <c r="D8685" t="inlineStr">
        <is>
          <t>GÄVLEBORGS LÄN</t>
        </is>
      </c>
      <c r="E8685" t="inlineStr">
        <is>
          <t>SANDVIKEN</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7608-2026</t>
        </is>
      </c>
      <c r="B8686" s="1" t="n">
        <v>46062.30583333333</v>
      </c>
      <c r="C8686" s="1" t="n">
        <v>46086</v>
      </c>
      <c r="D8686" t="inlineStr">
        <is>
          <t>GÄVLEBORGS LÄN</t>
        </is>
      </c>
      <c r="E8686" t="inlineStr">
        <is>
          <t>SÖDERHAMN</t>
        </is>
      </c>
      <c r="G8686" t="n">
        <v>11.8</v>
      </c>
      <c r="H8686" t="n">
        <v>0</v>
      </c>
      <c r="I8686" t="n">
        <v>0</v>
      </c>
      <c r="J8686" t="n">
        <v>0</v>
      </c>
      <c r="K8686" t="n">
        <v>0</v>
      </c>
      <c r="L8686" t="n">
        <v>0</v>
      </c>
      <c r="M8686" t="n">
        <v>0</v>
      </c>
      <c r="N8686" t="n">
        <v>0</v>
      </c>
      <c r="O8686" t="n">
        <v>0</v>
      </c>
      <c r="P8686" t="n">
        <v>0</v>
      </c>
      <c r="Q8686" t="n">
        <v>0</v>
      </c>
      <c r="R8686" s="2" t="inlineStr"/>
    </row>
    <row r="8687" ht="15" customHeight="1">
      <c r="A8687" t="inlineStr">
        <is>
          <t>A 7614-2026</t>
        </is>
      </c>
      <c r="B8687" s="1" t="n">
        <v>46062.32998842592</v>
      </c>
      <c r="C8687" s="1" t="n">
        <v>46086</v>
      </c>
      <c r="D8687" t="inlineStr">
        <is>
          <t>GÄVLEBORGS LÄN</t>
        </is>
      </c>
      <c r="E8687" t="inlineStr">
        <is>
          <t>BOLLNÄS</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7618-2026</t>
        </is>
      </c>
      <c r="B8688" s="1" t="n">
        <v>46062.34146990741</v>
      </c>
      <c r="C8688" s="1" t="n">
        <v>46086</v>
      </c>
      <c r="D8688" t="inlineStr">
        <is>
          <t>GÄVLEBORGS LÄN</t>
        </is>
      </c>
      <c r="E8688" t="inlineStr">
        <is>
          <t>BOLLNÄS</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7621-2026</t>
        </is>
      </c>
      <c r="B8689" s="1" t="n">
        <v>46062.34568287037</v>
      </c>
      <c r="C8689" s="1" t="n">
        <v>46086</v>
      </c>
      <c r="D8689" t="inlineStr">
        <is>
          <t>GÄVLEBORGS LÄN</t>
        </is>
      </c>
      <c r="E8689" t="inlineStr">
        <is>
          <t>BOLLNÄS</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7622-2026</t>
        </is>
      </c>
      <c r="B8690" s="1" t="n">
        <v>46062.34707175926</v>
      </c>
      <c r="C8690" s="1" t="n">
        <v>46086</v>
      </c>
      <c r="D8690" t="inlineStr">
        <is>
          <t>GÄVLEBORGS LÄN</t>
        </is>
      </c>
      <c r="E8690" t="inlineStr">
        <is>
          <t>SANDVIKEN</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7638-2026</t>
        </is>
      </c>
      <c r="B8691" s="1" t="n">
        <v>46062.37104166667</v>
      </c>
      <c r="C8691" s="1" t="n">
        <v>46086</v>
      </c>
      <c r="D8691" t="inlineStr">
        <is>
          <t>GÄVLEBORGS LÄN</t>
        </is>
      </c>
      <c r="E8691" t="inlineStr">
        <is>
          <t>BOLLNÄS</t>
        </is>
      </c>
      <c r="F8691" t="inlineStr">
        <is>
          <t>Bergvik skog väst AB</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63800-2025</t>
        </is>
      </c>
      <c r="B8692" s="1" t="n">
        <v>46019.83925925926</v>
      </c>
      <c r="C8692" s="1" t="n">
        <v>46086</v>
      </c>
      <c r="D8692" t="inlineStr">
        <is>
          <t>GÄVLEBORGS LÄN</t>
        </is>
      </c>
      <c r="E8692" t="inlineStr">
        <is>
          <t>GÄVLE</t>
        </is>
      </c>
      <c r="G8692" t="n">
        <v>4.1</v>
      </c>
      <c r="H8692" t="n">
        <v>0</v>
      </c>
      <c r="I8692" t="n">
        <v>0</v>
      </c>
      <c r="J8692" t="n">
        <v>0</v>
      </c>
      <c r="K8692" t="n">
        <v>0</v>
      </c>
      <c r="L8692" t="n">
        <v>0</v>
      </c>
      <c r="M8692" t="n">
        <v>0</v>
      </c>
      <c r="N8692" t="n">
        <v>0</v>
      </c>
      <c r="O8692" t="n">
        <v>0</v>
      </c>
      <c r="P8692" t="n">
        <v>0</v>
      </c>
      <c r="Q8692" t="n">
        <v>0</v>
      </c>
      <c r="R8692" s="2" t="inlineStr"/>
    </row>
    <row r="8693" ht="15" customHeight="1">
      <c r="A8693" t="inlineStr">
        <is>
          <t>A 51241-2023</t>
        </is>
      </c>
      <c r="B8693" s="1" t="n">
        <v>45219.47429398148</v>
      </c>
      <c r="C8693" s="1" t="n">
        <v>46086</v>
      </c>
      <c r="D8693" t="inlineStr">
        <is>
          <t>GÄVLEBORGS LÄN</t>
        </is>
      </c>
      <c r="E8693" t="inlineStr">
        <is>
          <t>HUDIKSVALL</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7646-2026</t>
        </is>
      </c>
      <c r="B8694" s="1" t="n">
        <v>46062.3792824074</v>
      </c>
      <c r="C8694" s="1" t="n">
        <v>46086</v>
      </c>
      <c r="D8694" t="inlineStr">
        <is>
          <t>GÄVLEBORGS LÄN</t>
        </is>
      </c>
      <c r="E8694" t="inlineStr">
        <is>
          <t>BOLLNÄS</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7660-2026</t>
        </is>
      </c>
      <c r="B8695" s="1" t="n">
        <v>46062.39435185185</v>
      </c>
      <c r="C8695" s="1" t="n">
        <v>46086</v>
      </c>
      <c r="D8695" t="inlineStr">
        <is>
          <t>GÄVLEBORGS LÄN</t>
        </is>
      </c>
      <c r="E8695" t="inlineStr">
        <is>
          <t>BOLLNÄS</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63866-2025</t>
        </is>
      </c>
      <c r="B8696" s="1" t="n">
        <v>46020</v>
      </c>
      <c r="C8696" s="1" t="n">
        <v>46086</v>
      </c>
      <c r="D8696" t="inlineStr">
        <is>
          <t>GÄVLEBORGS LÄN</t>
        </is>
      </c>
      <c r="E8696" t="inlineStr">
        <is>
          <t>BOLLNÄS</t>
        </is>
      </c>
      <c r="G8696" t="n">
        <v>13.9</v>
      </c>
      <c r="H8696" t="n">
        <v>0</v>
      </c>
      <c r="I8696" t="n">
        <v>0</v>
      </c>
      <c r="J8696" t="n">
        <v>0</v>
      </c>
      <c r="K8696" t="n">
        <v>0</v>
      </c>
      <c r="L8696" t="n">
        <v>0</v>
      </c>
      <c r="M8696" t="n">
        <v>0</v>
      </c>
      <c r="N8696" t="n">
        <v>0</v>
      </c>
      <c r="O8696" t="n">
        <v>0</v>
      </c>
      <c r="P8696" t="n">
        <v>0</v>
      </c>
      <c r="Q8696" t="n">
        <v>0</v>
      </c>
      <c r="R8696" s="2" t="inlineStr"/>
    </row>
    <row r="8697" ht="15" customHeight="1">
      <c r="A8697" t="inlineStr">
        <is>
          <t>A 51247-2023</t>
        </is>
      </c>
      <c r="B8697" s="1" t="n">
        <v>45219.4821875</v>
      </c>
      <c r="C8697" s="1" t="n">
        <v>46086</v>
      </c>
      <c r="D8697" t="inlineStr">
        <is>
          <t>GÄVLEBORGS LÄN</t>
        </is>
      </c>
      <c r="E8697" t="inlineStr">
        <is>
          <t>BOLLNÄS</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7737-2026</t>
        </is>
      </c>
      <c r="B8698" s="1" t="n">
        <v>46062.53140046296</v>
      </c>
      <c r="C8698" s="1" t="n">
        <v>46086</v>
      </c>
      <c r="D8698" t="inlineStr">
        <is>
          <t>GÄVLEBORGS LÄN</t>
        </is>
      </c>
      <c r="E8698" t="inlineStr">
        <is>
          <t>SÖDERHAMN</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7742-2026</t>
        </is>
      </c>
      <c r="B8699" s="1" t="n">
        <v>46062.53787037037</v>
      </c>
      <c r="C8699" s="1" t="n">
        <v>46086</v>
      </c>
      <c r="D8699" t="inlineStr">
        <is>
          <t>GÄVLEBORGS LÄN</t>
        </is>
      </c>
      <c r="E8699" t="inlineStr">
        <is>
          <t>SÖDERHAMN</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7769-2026</t>
        </is>
      </c>
      <c r="B8700" s="1" t="n">
        <v>46062.56677083333</v>
      </c>
      <c r="C8700" s="1" t="n">
        <v>46086</v>
      </c>
      <c r="D8700" t="inlineStr">
        <is>
          <t>GÄVLEBORGS LÄN</t>
        </is>
      </c>
      <c r="E8700" t="inlineStr">
        <is>
          <t>OCKELBO</t>
        </is>
      </c>
      <c r="G8700" t="n">
        <v>7</v>
      </c>
      <c r="H8700" t="n">
        <v>0</v>
      </c>
      <c r="I8700" t="n">
        <v>0</v>
      </c>
      <c r="J8700" t="n">
        <v>0</v>
      </c>
      <c r="K8700" t="n">
        <v>0</v>
      </c>
      <c r="L8700" t="n">
        <v>0</v>
      </c>
      <c r="M8700" t="n">
        <v>0</v>
      </c>
      <c r="N8700" t="n">
        <v>0</v>
      </c>
      <c r="O8700" t="n">
        <v>0</v>
      </c>
      <c r="P8700" t="n">
        <v>0</v>
      </c>
      <c r="Q8700" t="n">
        <v>0</v>
      </c>
      <c r="R8700" s="2" t="inlineStr"/>
    </row>
    <row r="8701" ht="15" customHeight="1">
      <c r="A8701" t="inlineStr">
        <is>
          <t>A 12853-2025</t>
        </is>
      </c>
      <c r="B8701" s="1" t="n">
        <v>45733.65908564815</v>
      </c>
      <c r="C8701" s="1" t="n">
        <v>46086</v>
      </c>
      <c r="D8701" t="inlineStr">
        <is>
          <t>GÄVLEBORGS LÄN</t>
        </is>
      </c>
      <c r="E8701" t="inlineStr">
        <is>
          <t>BOLLNÄS</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5102-2026</t>
        </is>
      </c>
      <c r="B8702" s="1" t="n">
        <v>46049</v>
      </c>
      <c r="C8702" s="1" t="n">
        <v>46086</v>
      </c>
      <c r="D8702" t="inlineStr">
        <is>
          <t>GÄVLEBORGS LÄN</t>
        </is>
      </c>
      <c r="E8702" t="inlineStr">
        <is>
          <t>BOLLNÄS</t>
        </is>
      </c>
      <c r="F8702" t="inlineStr">
        <is>
          <t>Bergvik skog väst AB</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5185-2026</t>
        </is>
      </c>
      <c r="B8703" s="1" t="n">
        <v>46049</v>
      </c>
      <c r="C8703" s="1" t="n">
        <v>46086</v>
      </c>
      <c r="D8703" t="inlineStr">
        <is>
          <t>GÄVLEBORGS LÄN</t>
        </is>
      </c>
      <c r="E8703" t="inlineStr">
        <is>
          <t>OCKELBO</t>
        </is>
      </c>
      <c r="F8703" t="inlineStr">
        <is>
          <t>Bergvik skog väst AB</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5194-2026</t>
        </is>
      </c>
      <c r="B8704" s="1" t="n">
        <v>46049</v>
      </c>
      <c r="C8704" s="1" t="n">
        <v>46086</v>
      </c>
      <c r="D8704" t="inlineStr">
        <is>
          <t>GÄVLEBORGS LÄN</t>
        </is>
      </c>
      <c r="E8704" t="inlineStr">
        <is>
          <t>OCKELBO</t>
        </is>
      </c>
      <c r="F8704" t="inlineStr">
        <is>
          <t>Bergvik skog väst AB</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7724-2026</t>
        </is>
      </c>
      <c r="B8705" s="1" t="n">
        <v>46062.4996875</v>
      </c>
      <c r="C8705" s="1" t="n">
        <v>46086</v>
      </c>
      <c r="D8705" t="inlineStr">
        <is>
          <t>GÄVLEBORGS LÄN</t>
        </is>
      </c>
      <c r="E8705" t="inlineStr">
        <is>
          <t>LJUSDAL</t>
        </is>
      </c>
      <c r="F8705" t="inlineStr">
        <is>
          <t>Sveaskog</t>
        </is>
      </c>
      <c r="G8705" t="n">
        <v>8.800000000000001</v>
      </c>
      <c r="H8705" t="n">
        <v>0</v>
      </c>
      <c r="I8705" t="n">
        <v>0</v>
      </c>
      <c r="J8705" t="n">
        <v>0</v>
      </c>
      <c r="K8705" t="n">
        <v>0</v>
      </c>
      <c r="L8705" t="n">
        <v>0</v>
      </c>
      <c r="M8705" t="n">
        <v>0</v>
      </c>
      <c r="N8705" t="n">
        <v>0</v>
      </c>
      <c r="O8705" t="n">
        <v>0</v>
      </c>
      <c r="P8705" t="n">
        <v>0</v>
      </c>
      <c r="Q8705" t="n">
        <v>0</v>
      </c>
      <c r="R8705" s="2" t="inlineStr"/>
    </row>
    <row r="8706" ht="15" customHeight="1">
      <c r="A8706" t="inlineStr">
        <is>
          <t>A 64070-2025</t>
        </is>
      </c>
      <c r="B8706" s="1" t="n">
        <v>46021</v>
      </c>
      <c r="C8706" s="1" t="n">
        <v>46086</v>
      </c>
      <c r="D8706" t="inlineStr">
        <is>
          <t>GÄVLEBORGS LÄN</t>
        </is>
      </c>
      <c r="E8706" t="inlineStr">
        <is>
          <t>OVANÅKER</t>
        </is>
      </c>
      <c r="G8706" t="n">
        <v>28.6</v>
      </c>
      <c r="H8706" t="n">
        <v>0</v>
      </c>
      <c r="I8706" t="n">
        <v>0</v>
      </c>
      <c r="J8706" t="n">
        <v>0</v>
      </c>
      <c r="K8706" t="n">
        <v>0</v>
      </c>
      <c r="L8706" t="n">
        <v>0</v>
      </c>
      <c r="M8706" t="n">
        <v>0</v>
      </c>
      <c r="N8706" t="n">
        <v>0</v>
      </c>
      <c r="O8706" t="n">
        <v>0</v>
      </c>
      <c r="P8706" t="n">
        <v>0</v>
      </c>
      <c r="Q8706" t="n">
        <v>0</v>
      </c>
      <c r="R8706" s="2" t="inlineStr"/>
    </row>
    <row r="8707" ht="15" customHeight="1">
      <c r="A8707" t="inlineStr">
        <is>
          <t>A 64078-2025</t>
        </is>
      </c>
      <c r="B8707" s="1" t="n">
        <v>46021</v>
      </c>
      <c r="C8707" s="1" t="n">
        <v>46086</v>
      </c>
      <c r="D8707" t="inlineStr">
        <is>
          <t>GÄVLEBORGS LÄN</t>
        </is>
      </c>
      <c r="E8707" t="inlineStr">
        <is>
          <t>OVANÅKER</t>
        </is>
      </c>
      <c r="G8707" t="n">
        <v>5.6</v>
      </c>
      <c r="H8707" t="n">
        <v>0</v>
      </c>
      <c r="I8707" t="n">
        <v>0</v>
      </c>
      <c r="J8707" t="n">
        <v>0</v>
      </c>
      <c r="K8707" t="n">
        <v>0</v>
      </c>
      <c r="L8707" t="n">
        <v>0</v>
      </c>
      <c r="M8707" t="n">
        <v>0</v>
      </c>
      <c r="N8707" t="n">
        <v>0</v>
      </c>
      <c r="O8707" t="n">
        <v>0</v>
      </c>
      <c r="P8707" t="n">
        <v>0</v>
      </c>
      <c r="Q8707" t="n">
        <v>0</v>
      </c>
      <c r="R8707" s="2" t="inlineStr"/>
    </row>
    <row r="8708" ht="15" customHeight="1">
      <c r="A8708" t="inlineStr">
        <is>
          <t>A 64086-2025</t>
        </is>
      </c>
      <c r="B8708" s="1" t="n">
        <v>46021</v>
      </c>
      <c r="C8708" s="1" t="n">
        <v>46086</v>
      </c>
      <c r="D8708" t="inlineStr">
        <is>
          <t>GÄVLEBORGS LÄN</t>
        </is>
      </c>
      <c r="E8708" t="inlineStr">
        <is>
          <t>HUDIKSVALL</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7632-2026</t>
        </is>
      </c>
      <c r="B8709" s="1" t="n">
        <v>46062.36394675926</v>
      </c>
      <c r="C8709" s="1" t="n">
        <v>46086</v>
      </c>
      <c r="D8709" t="inlineStr">
        <is>
          <t>GÄVLEBORGS LÄN</t>
        </is>
      </c>
      <c r="E8709" t="inlineStr">
        <is>
          <t>BOLLNÄS</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42788-2025</t>
        </is>
      </c>
      <c r="B8710" s="1" t="n">
        <v>45908.51519675926</v>
      </c>
      <c r="C8710" s="1" t="n">
        <v>46086</v>
      </c>
      <c r="D8710" t="inlineStr">
        <is>
          <t>GÄVLEBORGS LÄN</t>
        </is>
      </c>
      <c r="E8710" t="inlineStr">
        <is>
          <t>GÄVLE</t>
        </is>
      </c>
      <c r="G8710" t="n">
        <v>4.2</v>
      </c>
      <c r="H8710" t="n">
        <v>0</v>
      </c>
      <c r="I8710" t="n">
        <v>0</v>
      </c>
      <c r="J8710" t="n">
        <v>0</v>
      </c>
      <c r="K8710" t="n">
        <v>0</v>
      </c>
      <c r="L8710" t="n">
        <v>0</v>
      </c>
      <c r="M8710" t="n">
        <v>0</v>
      </c>
      <c r="N8710" t="n">
        <v>0</v>
      </c>
      <c r="O8710" t="n">
        <v>0</v>
      </c>
      <c r="P8710" t="n">
        <v>0</v>
      </c>
      <c r="Q8710" t="n">
        <v>0</v>
      </c>
      <c r="R8710" s="2" t="inlineStr"/>
    </row>
    <row r="8711" ht="15" customHeight="1">
      <c r="A8711" t="inlineStr">
        <is>
          <t>A 48928-2025</t>
        </is>
      </c>
      <c r="B8711" s="1" t="n">
        <v>45937.51259259259</v>
      </c>
      <c r="C8711" s="1" t="n">
        <v>46086</v>
      </c>
      <c r="D8711" t="inlineStr">
        <is>
          <t>GÄVLEBORGS LÄN</t>
        </is>
      </c>
      <c r="E8711" t="inlineStr">
        <is>
          <t>GÄVLE</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436-2026</t>
        </is>
      </c>
      <c r="B8712" s="1" t="n">
        <v>46021</v>
      </c>
      <c r="C8712" s="1" t="n">
        <v>46086</v>
      </c>
      <c r="D8712" t="inlineStr">
        <is>
          <t>GÄVLEBORGS LÄN</t>
        </is>
      </c>
      <c r="E8712" t="inlineStr">
        <is>
          <t>SANDVIKEN</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32199-2022</t>
        </is>
      </c>
      <c r="B8713" s="1" t="n">
        <v>44781</v>
      </c>
      <c r="C8713" s="1" t="n">
        <v>46086</v>
      </c>
      <c r="D8713" t="inlineStr">
        <is>
          <t>GÄVLEBORGS LÄN</t>
        </is>
      </c>
      <c r="E8713" t="inlineStr">
        <is>
          <t>HUDIKSVALL</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448-2026</t>
        </is>
      </c>
      <c r="B8714" s="1" t="n">
        <v>46021</v>
      </c>
      <c r="C8714" s="1" t="n">
        <v>46086</v>
      </c>
      <c r="D8714" t="inlineStr">
        <is>
          <t>GÄVLEBORGS LÄN</t>
        </is>
      </c>
      <c r="E8714" t="inlineStr">
        <is>
          <t>SANDVIKEN</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63966-2025</t>
        </is>
      </c>
      <c r="B8715" s="1" t="n">
        <v>46021</v>
      </c>
      <c r="C8715" s="1" t="n">
        <v>46086</v>
      </c>
      <c r="D8715" t="inlineStr">
        <is>
          <t>GÄVLEBORGS LÄN</t>
        </is>
      </c>
      <c r="E8715" t="inlineStr">
        <is>
          <t>OCKELBO</t>
        </is>
      </c>
      <c r="G8715" t="n">
        <v>5</v>
      </c>
      <c r="H8715" t="n">
        <v>0</v>
      </c>
      <c r="I8715" t="n">
        <v>0</v>
      </c>
      <c r="J8715" t="n">
        <v>0</v>
      </c>
      <c r="K8715" t="n">
        <v>0</v>
      </c>
      <c r="L8715" t="n">
        <v>0</v>
      </c>
      <c r="M8715" t="n">
        <v>0</v>
      </c>
      <c r="N8715" t="n">
        <v>0</v>
      </c>
      <c r="O8715" t="n">
        <v>0</v>
      </c>
      <c r="P8715" t="n">
        <v>0</v>
      </c>
      <c r="Q8715" t="n">
        <v>0</v>
      </c>
      <c r="R8715" s="2" t="inlineStr"/>
    </row>
    <row r="8716" ht="15" customHeight="1">
      <c r="A8716" t="inlineStr">
        <is>
          <t>A 63980-2025</t>
        </is>
      </c>
      <c r="B8716" s="1" t="n">
        <v>46021.34444444445</v>
      </c>
      <c r="C8716" s="1" t="n">
        <v>46086</v>
      </c>
      <c r="D8716" t="inlineStr">
        <is>
          <t>GÄVLEBORGS LÄN</t>
        </is>
      </c>
      <c r="E8716" t="inlineStr">
        <is>
          <t>NORDANSTIG</t>
        </is>
      </c>
      <c r="G8716" t="n">
        <v>7.4</v>
      </c>
      <c r="H8716" t="n">
        <v>0</v>
      </c>
      <c r="I8716" t="n">
        <v>0</v>
      </c>
      <c r="J8716" t="n">
        <v>0</v>
      </c>
      <c r="K8716" t="n">
        <v>0</v>
      </c>
      <c r="L8716" t="n">
        <v>0</v>
      </c>
      <c r="M8716" t="n">
        <v>0</v>
      </c>
      <c r="N8716" t="n">
        <v>0</v>
      </c>
      <c r="O8716" t="n">
        <v>0</v>
      </c>
      <c r="P8716" t="n">
        <v>0</v>
      </c>
      <c r="Q8716" t="n">
        <v>0</v>
      </c>
      <c r="R8716" s="2" t="inlineStr"/>
    </row>
    <row r="8717" ht="15" customHeight="1">
      <c r="A8717" t="inlineStr">
        <is>
          <t>A 47314-2024</t>
        </is>
      </c>
      <c r="B8717" s="1" t="n">
        <v>45587.36900462963</v>
      </c>
      <c r="C8717" s="1" t="n">
        <v>46086</v>
      </c>
      <c r="D8717" t="inlineStr">
        <is>
          <t>GÄVLEBORGS LÄN</t>
        </is>
      </c>
      <c r="E8717" t="inlineStr">
        <is>
          <t>HUDIKSVALL</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42727-2025</t>
        </is>
      </c>
      <c r="B8718" s="1" t="n">
        <v>45908.40347222222</v>
      </c>
      <c r="C8718" s="1" t="n">
        <v>46086</v>
      </c>
      <c r="D8718" t="inlineStr">
        <is>
          <t>GÄVLEBORGS LÄN</t>
        </is>
      </c>
      <c r="E8718" t="inlineStr">
        <is>
          <t>GÄVLE</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36407-2024</t>
        </is>
      </c>
      <c r="B8719" s="1" t="n">
        <v>45535.81711805556</v>
      </c>
      <c r="C8719" s="1" t="n">
        <v>46086</v>
      </c>
      <c r="D8719" t="inlineStr">
        <is>
          <t>GÄVLEBORGS LÄN</t>
        </is>
      </c>
      <c r="E8719" t="inlineStr">
        <is>
          <t>HUDIKSVALL</t>
        </is>
      </c>
      <c r="F8719" t="inlineStr">
        <is>
          <t>Holmen skog AB</t>
        </is>
      </c>
      <c r="G8719" t="n">
        <v>7.7</v>
      </c>
      <c r="H8719" t="n">
        <v>0</v>
      </c>
      <c r="I8719" t="n">
        <v>0</v>
      </c>
      <c r="J8719" t="n">
        <v>0</v>
      </c>
      <c r="K8719" t="n">
        <v>0</v>
      </c>
      <c r="L8719" t="n">
        <v>0</v>
      </c>
      <c r="M8719" t="n">
        <v>0</v>
      </c>
      <c r="N8719" t="n">
        <v>0</v>
      </c>
      <c r="O8719" t="n">
        <v>0</v>
      </c>
      <c r="P8719" t="n">
        <v>0</v>
      </c>
      <c r="Q8719" t="n">
        <v>0</v>
      </c>
      <c r="R8719" s="2" t="inlineStr"/>
    </row>
    <row r="8720" ht="15" customHeight="1">
      <c r="A8720" t="inlineStr">
        <is>
          <t>A 63528-2021</t>
        </is>
      </c>
      <c r="B8720" s="1" t="n">
        <v>44508.65456018518</v>
      </c>
      <c r="C8720" s="1" t="n">
        <v>46086</v>
      </c>
      <c r="D8720" t="inlineStr">
        <is>
          <t>GÄVLEBORGS LÄN</t>
        </is>
      </c>
      <c r="E8720" t="inlineStr">
        <is>
          <t>LJUSDAL</t>
        </is>
      </c>
      <c r="F8720" t="inlineStr">
        <is>
          <t>Holmen skog AB</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7624-2023</t>
        </is>
      </c>
      <c r="B8721" s="1" t="n">
        <v>44972</v>
      </c>
      <c r="C8721" s="1" t="n">
        <v>46086</v>
      </c>
      <c r="D8721" t="inlineStr">
        <is>
          <t>GÄVLEBORGS LÄN</t>
        </is>
      </c>
      <c r="E8721" t="inlineStr">
        <is>
          <t>SANDVIKEN</t>
        </is>
      </c>
      <c r="G8721" t="n">
        <v>4</v>
      </c>
      <c r="H8721" t="n">
        <v>0</v>
      </c>
      <c r="I8721" t="n">
        <v>0</v>
      </c>
      <c r="J8721" t="n">
        <v>0</v>
      </c>
      <c r="K8721" t="n">
        <v>0</v>
      </c>
      <c r="L8721" t="n">
        <v>0</v>
      </c>
      <c r="M8721" t="n">
        <v>0</v>
      </c>
      <c r="N8721" t="n">
        <v>0</v>
      </c>
      <c r="O8721" t="n">
        <v>0</v>
      </c>
      <c r="P8721" t="n">
        <v>0</v>
      </c>
      <c r="Q8721" t="n">
        <v>0</v>
      </c>
      <c r="R8721" s="2" t="inlineStr"/>
    </row>
    <row r="8722" ht="15" customHeight="1">
      <c r="A8722" t="inlineStr">
        <is>
          <t>A 5539-2026</t>
        </is>
      </c>
      <c r="B8722" s="1" t="n">
        <v>46050</v>
      </c>
      <c r="C8722" s="1" t="n">
        <v>46086</v>
      </c>
      <c r="D8722" t="inlineStr">
        <is>
          <t>GÄVLEBORGS LÄN</t>
        </is>
      </c>
      <c r="E8722" t="inlineStr">
        <is>
          <t>OCKELBO</t>
        </is>
      </c>
      <c r="F8722" t="inlineStr">
        <is>
          <t>Bergvik skog väst AB</t>
        </is>
      </c>
      <c r="G8722" t="n">
        <v>15.3</v>
      </c>
      <c r="H8722" t="n">
        <v>0</v>
      </c>
      <c r="I8722" t="n">
        <v>0</v>
      </c>
      <c r="J8722" t="n">
        <v>0</v>
      </c>
      <c r="K8722" t="n">
        <v>0</v>
      </c>
      <c r="L8722" t="n">
        <v>0</v>
      </c>
      <c r="M8722" t="n">
        <v>0</v>
      </c>
      <c r="N8722" t="n">
        <v>0</v>
      </c>
      <c r="O8722" t="n">
        <v>0</v>
      </c>
      <c r="P8722" t="n">
        <v>0</v>
      </c>
      <c r="Q8722" t="n">
        <v>0</v>
      </c>
      <c r="R8722" s="2" t="inlineStr"/>
    </row>
    <row r="8723" ht="15" customHeight="1">
      <c r="A8723" t="inlineStr">
        <is>
          <t>A 5596-2026</t>
        </is>
      </c>
      <c r="B8723" s="1" t="n">
        <v>46051</v>
      </c>
      <c r="C8723" s="1" t="n">
        <v>46086</v>
      </c>
      <c r="D8723" t="inlineStr">
        <is>
          <t>GÄVLEBORGS LÄN</t>
        </is>
      </c>
      <c r="E8723" t="inlineStr">
        <is>
          <t>OCKELBO</t>
        </is>
      </c>
      <c r="F8723" t="inlineStr">
        <is>
          <t>Bergvik skog väst AB</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5700-2026</t>
        </is>
      </c>
      <c r="B8724" s="1" t="n">
        <v>46051</v>
      </c>
      <c r="C8724" s="1" t="n">
        <v>46086</v>
      </c>
      <c r="D8724" t="inlineStr">
        <is>
          <t>GÄVLEBORGS LÄN</t>
        </is>
      </c>
      <c r="E8724" t="inlineStr">
        <is>
          <t>GÄVLE</t>
        </is>
      </c>
      <c r="F8724" t="inlineStr">
        <is>
          <t>Bergvik skog väst AB</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61501-2024</t>
        </is>
      </c>
      <c r="B8725" s="1" t="n">
        <v>45646.5587037037</v>
      </c>
      <c r="C8725" s="1" t="n">
        <v>46086</v>
      </c>
      <c r="D8725" t="inlineStr">
        <is>
          <t>GÄVLEBORGS LÄN</t>
        </is>
      </c>
      <c r="E8725" t="inlineStr">
        <is>
          <t>GÄVLE</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18099-2025</t>
        </is>
      </c>
      <c r="B8726" s="1" t="n">
        <v>45761.55233796296</v>
      </c>
      <c r="C8726" s="1" t="n">
        <v>46086</v>
      </c>
      <c r="D8726" t="inlineStr">
        <is>
          <t>GÄVLEBORGS LÄN</t>
        </is>
      </c>
      <c r="E8726" t="inlineStr">
        <is>
          <t>HUDIKSVALL</t>
        </is>
      </c>
      <c r="G8726" t="n">
        <v>3.7</v>
      </c>
      <c r="H8726" t="n">
        <v>0</v>
      </c>
      <c r="I8726" t="n">
        <v>0</v>
      </c>
      <c r="J8726" t="n">
        <v>0</v>
      </c>
      <c r="K8726" t="n">
        <v>0</v>
      </c>
      <c r="L8726" t="n">
        <v>0</v>
      </c>
      <c r="M8726" t="n">
        <v>0</v>
      </c>
      <c r="N8726" t="n">
        <v>0</v>
      </c>
      <c r="O8726" t="n">
        <v>0</v>
      </c>
      <c r="P8726" t="n">
        <v>0</v>
      </c>
      <c r="Q8726" t="n">
        <v>0</v>
      </c>
      <c r="R8726" s="2" t="inlineStr"/>
    </row>
    <row r="8727" ht="15" customHeight="1">
      <c r="A8727" t="inlineStr">
        <is>
          <t>A 63933-2025</t>
        </is>
      </c>
      <c r="B8727" s="1" t="n">
        <v>46020</v>
      </c>
      <c r="C8727" s="1" t="n">
        <v>46086</v>
      </c>
      <c r="D8727" t="inlineStr">
        <is>
          <t>GÄVLEBORGS LÄN</t>
        </is>
      </c>
      <c r="E8727" t="inlineStr">
        <is>
          <t>HUDIKSVALL</t>
        </is>
      </c>
      <c r="G8727" t="n">
        <v>3.4</v>
      </c>
      <c r="H8727" t="n">
        <v>0</v>
      </c>
      <c r="I8727" t="n">
        <v>0</v>
      </c>
      <c r="J8727" t="n">
        <v>0</v>
      </c>
      <c r="K8727" t="n">
        <v>0</v>
      </c>
      <c r="L8727" t="n">
        <v>0</v>
      </c>
      <c r="M8727" t="n">
        <v>0</v>
      </c>
      <c r="N8727" t="n">
        <v>0</v>
      </c>
      <c r="O8727" t="n">
        <v>0</v>
      </c>
      <c r="P8727" t="n">
        <v>0</v>
      </c>
      <c r="Q8727" t="n">
        <v>0</v>
      </c>
      <c r="R8727" s="2" t="inlineStr"/>
    </row>
    <row r="8728" ht="15" customHeight="1">
      <c r="A8728" t="inlineStr">
        <is>
          <t>A 63936-2025</t>
        </is>
      </c>
      <c r="B8728" s="1" t="n">
        <v>46020</v>
      </c>
      <c r="C8728" s="1" t="n">
        <v>46086</v>
      </c>
      <c r="D8728" t="inlineStr">
        <is>
          <t>GÄVLEBORGS LÄN</t>
        </is>
      </c>
      <c r="E8728" t="inlineStr">
        <is>
          <t>BOLLNÄS</t>
        </is>
      </c>
      <c r="G8728" t="n">
        <v>48</v>
      </c>
      <c r="H8728" t="n">
        <v>0</v>
      </c>
      <c r="I8728" t="n">
        <v>0</v>
      </c>
      <c r="J8728" t="n">
        <v>0</v>
      </c>
      <c r="K8728" t="n">
        <v>0</v>
      </c>
      <c r="L8728" t="n">
        <v>0</v>
      </c>
      <c r="M8728" t="n">
        <v>0</v>
      </c>
      <c r="N8728" t="n">
        <v>0</v>
      </c>
      <c r="O8728" t="n">
        <v>0</v>
      </c>
      <c r="P8728" t="n">
        <v>0</v>
      </c>
      <c r="Q8728" t="n">
        <v>0</v>
      </c>
      <c r="R8728" s="2" t="inlineStr"/>
    </row>
    <row r="8729" ht="15" customHeight="1">
      <c r="A8729" t="inlineStr">
        <is>
          <t>A 57378-2024</t>
        </is>
      </c>
      <c r="B8729" s="1" t="n">
        <v>45629.67824074074</v>
      </c>
      <c r="C8729" s="1" t="n">
        <v>46086</v>
      </c>
      <c r="D8729" t="inlineStr">
        <is>
          <t>GÄVLEBORGS LÄN</t>
        </is>
      </c>
      <c r="E8729" t="inlineStr">
        <is>
          <t>BOLLNÄS</t>
        </is>
      </c>
      <c r="G8729" t="n">
        <v>0.4</v>
      </c>
      <c r="H8729" t="n">
        <v>0</v>
      </c>
      <c r="I8729" t="n">
        <v>0</v>
      </c>
      <c r="J8729" t="n">
        <v>0</v>
      </c>
      <c r="K8729" t="n">
        <v>0</v>
      </c>
      <c r="L8729" t="n">
        <v>0</v>
      </c>
      <c r="M8729" t="n">
        <v>0</v>
      </c>
      <c r="N8729" t="n">
        <v>0</v>
      </c>
      <c r="O8729" t="n">
        <v>0</v>
      </c>
      <c r="P8729" t="n">
        <v>0</v>
      </c>
      <c r="Q8729" t="n">
        <v>0</v>
      </c>
      <c r="R8729" s="2" t="inlineStr"/>
    </row>
    <row r="8730" ht="15" customHeight="1">
      <c r="A8730" t="inlineStr">
        <is>
          <t>A 5571-2026</t>
        </is>
      </c>
      <c r="B8730" s="1" t="n">
        <v>46050</v>
      </c>
      <c r="C8730" s="1" t="n">
        <v>46086</v>
      </c>
      <c r="D8730" t="inlineStr">
        <is>
          <t>GÄVLEBORGS LÄN</t>
        </is>
      </c>
      <c r="E8730" t="inlineStr">
        <is>
          <t>BOLLNÄS</t>
        </is>
      </c>
      <c r="G8730" t="n">
        <v>5.4</v>
      </c>
      <c r="H8730" t="n">
        <v>0</v>
      </c>
      <c r="I8730" t="n">
        <v>0</v>
      </c>
      <c r="J8730" t="n">
        <v>0</v>
      </c>
      <c r="K8730" t="n">
        <v>0</v>
      </c>
      <c r="L8730" t="n">
        <v>0</v>
      </c>
      <c r="M8730" t="n">
        <v>0</v>
      </c>
      <c r="N8730" t="n">
        <v>0</v>
      </c>
      <c r="O8730" t="n">
        <v>0</v>
      </c>
      <c r="P8730" t="n">
        <v>0</v>
      </c>
      <c r="Q8730" t="n">
        <v>0</v>
      </c>
      <c r="R8730" s="2" t="inlineStr"/>
    </row>
    <row r="8731" ht="15" customHeight="1">
      <c r="A8731" t="inlineStr">
        <is>
          <t>A 4481-2026</t>
        </is>
      </c>
      <c r="B8731" s="1" t="n">
        <v>46045</v>
      </c>
      <c r="C8731" s="1" t="n">
        <v>46086</v>
      </c>
      <c r="D8731" t="inlineStr">
        <is>
          <t>GÄVLEBORGS LÄN</t>
        </is>
      </c>
      <c r="E8731" t="inlineStr">
        <is>
          <t>SANDVIKEN</t>
        </is>
      </c>
      <c r="G8731" t="n">
        <v>3.1</v>
      </c>
      <c r="H8731" t="n">
        <v>0</v>
      </c>
      <c r="I8731" t="n">
        <v>0</v>
      </c>
      <c r="J8731" t="n">
        <v>0</v>
      </c>
      <c r="K8731" t="n">
        <v>0</v>
      </c>
      <c r="L8731" t="n">
        <v>0</v>
      </c>
      <c r="M8731" t="n">
        <v>0</v>
      </c>
      <c r="N8731" t="n">
        <v>0</v>
      </c>
      <c r="O8731" t="n">
        <v>0</v>
      </c>
      <c r="P8731" t="n">
        <v>0</v>
      </c>
      <c r="Q8731" t="n">
        <v>0</v>
      </c>
      <c r="R8731" s="2" t="inlineStr"/>
    </row>
    <row r="8732" ht="15" customHeight="1">
      <c r="A8732" t="inlineStr">
        <is>
          <t>A 63934-2025</t>
        </is>
      </c>
      <c r="B8732" s="1" t="n">
        <v>46020</v>
      </c>
      <c r="C8732" s="1" t="n">
        <v>46086</v>
      </c>
      <c r="D8732" t="inlineStr">
        <is>
          <t>GÄVLEBORGS LÄN</t>
        </is>
      </c>
      <c r="E8732" t="inlineStr">
        <is>
          <t>NORDANSTIG</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63955-2025</t>
        </is>
      </c>
      <c r="B8733" s="1" t="n">
        <v>46020</v>
      </c>
      <c r="C8733" s="1" t="n">
        <v>46086</v>
      </c>
      <c r="D8733" t="inlineStr">
        <is>
          <t>GÄVLEBORGS LÄN</t>
        </is>
      </c>
      <c r="E8733" t="inlineStr">
        <is>
          <t>GÄVLE</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47458-2022</t>
        </is>
      </c>
      <c r="B8734" s="1" t="n">
        <v>44853</v>
      </c>
      <c r="C8734" s="1" t="n">
        <v>46086</v>
      </c>
      <c r="D8734" t="inlineStr">
        <is>
          <t>GÄVLEBORGS LÄN</t>
        </is>
      </c>
      <c r="E8734" t="inlineStr">
        <is>
          <t>GÄVLE</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49706-2023</t>
        </is>
      </c>
      <c r="B8735" s="1" t="n">
        <v>45212.40984953703</v>
      </c>
      <c r="C8735" s="1" t="n">
        <v>46086</v>
      </c>
      <c r="D8735" t="inlineStr">
        <is>
          <t>GÄVLEBORGS LÄN</t>
        </is>
      </c>
      <c r="E8735" t="inlineStr">
        <is>
          <t>SANDVIKEN</t>
        </is>
      </c>
      <c r="F8735" t="inlineStr">
        <is>
          <t>Sveaskog</t>
        </is>
      </c>
      <c r="G8735" t="n">
        <v>0.2</v>
      </c>
      <c r="H8735" t="n">
        <v>0</v>
      </c>
      <c r="I8735" t="n">
        <v>0</v>
      </c>
      <c r="J8735" t="n">
        <v>0</v>
      </c>
      <c r="K8735" t="n">
        <v>0</v>
      </c>
      <c r="L8735" t="n">
        <v>0</v>
      </c>
      <c r="M8735" t="n">
        <v>0</v>
      </c>
      <c r="N8735" t="n">
        <v>0</v>
      </c>
      <c r="O8735" t="n">
        <v>0</v>
      </c>
      <c r="P8735" t="n">
        <v>0</v>
      </c>
      <c r="Q8735" t="n">
        <v>0</v>
      </c>
      <c r="R8735" s="2" t="inlineStr"/>
    </row>
    <row r="8736" ht="15" customHeight="1">
      <c r="A8736" t="inlineStr">
        <is>
          <t>A 7837-2026</t>
        </is>
      </c>
      <c r="B8736" s="1" t="n">
        <v>46062.64984953704</v>
      </c>
      <c r="C8736" s="1" t="n">
        <v>46086</v>
      </c>
      <c r="D8736" t="inlineStr">
        <is>
          <t>GÄVLEBORGS LÄN</t>
        </is>
      </c>
      <c r="E8736" t="inlineStr">
        <is>
          <t>SÖDERHAMN</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7878-2026</t>
        </is>
      </c>
      <c r="B8737" s="1" t="n">
        <v>46063.26592592592</v>
      </c>
      <c r="C8737" s="1" t="n">
        <v>46086</v>
      </c>
      <c r="D8737" t="inlineStr">
        <is>
          <t>GÄVLEBORGS LÄN</t>
        </is>
      </c>
      <c r="E8737" t="inlineStr">
        <is>
          <t>BOLLNÄS</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5967-2026</t>
        </is>
      </c>
      <c r="B8738" s="1" t="n">
        <v>46052</v>
      </c>
      <c r="C8738" s="1" t="n">
        <v>46086</v>
      </c>
      <c r="D8738" t="inlineStr">
        <is>
          <t>GÄVLEBORGS LÄN</t>
        </is>
      </c>
      <c r="E8738" t="inlineStr">
        <is>
          <t>OCKELBO</t>
        </is>
      </c>
      <c r="F8738" t="inlineStr">
        <is>
          <t>Bergvik skog väst AB</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7615-2026</t>
        </is>
      </c>
      <c r="B8739" s="1" t="n">
        <v>46062.33466435185</v>
      </c>
      <c r="C8739" s="1" t="n">
        <v>46086</v>
      </c>
      <c r="D8739" t="inlineStr">
        <is>
          <t>GÄVLEBORGS LÄN</t>
        </is>
      </c>
      <c r="E8739" t="inlineStr">
        <is>
          <t>GÄVLE</t>
        </is>
      </c>
      <c r="F8739" t="inlineStr">
        <is>
          <t>Kyrkan</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7616-2026</t>
        </is>
      </c>
      <c r="B8740" s="1" t="n">
        <v>46062.33501157408</v>
      </c>
      <c r="C8740" s="1" t="n">
        <v>46086</v>
      </c>
      <c r="D8740" t="inlineStr">
        <is>
          <t>GÄVLEBORGS LÄN</t>
        </is>
      </c>
      <c r="E8740" t="inlineStr">
        <is>
          <t>BOLLNÄS</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7863-2026</t>
        </is>
      </c>
      <c r="B8741" s="1" t="n">
        <v>46062.71915509259</v>
      </c>
      <c r="C8741" s="1" t="n">
        <v>46086</v>
      </c>
      <c r="D8741" t="inlineStr">
        <is>
          <t>GÄVLEBORGS LÄN</t>
        </is>
      </c>
      <c r="E8741" t="inlineStr">
        <is>
          <t>NORDANSTIG</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5207-2026</t>
        </is>
      </c>
      <c r="B8742" s="1" t="n">
        <v>46049</v>
      </c>
      <c r="C8742" s="1" t="n">
        <v>46086</v>
      </c>
      <c r="D8742" t="inlineStr">
        <is>
          <t>GÄVLEBORGS LÄN</t>
        </is>
      </c>
      <c r="E8742" t="inlineStr">
        <is>
          <t>OCKELBO</t>
        </is>
      </c>
      <c r="F8742" t="inlineStr">
        <is>
          <t>Bergvik skog väst AB</t>
        </is>
      </c>
      <c r="G8742" t="n">
        <v>16.5</v>
      </c>
      <c r="H8742" t="n">
        <v>0</v>
      </c>
      <c r="I8742" t="n">
        <v>0</v>
      </c>
      <c r="J8742" t="n">
        <v>0</v>
      </c>
      <c r="K8742" t="n">
        <v>0</v>
      </c>
      <c r="L8742" t="n">
        <v>0</v>
      </c>
      <c r="M8742" t="n">
        <v>0</v>
      </c>
      <c r="N8742" t="n">
        <v>0</v>
      </c>
      <c r="O8742" t="n">
        <v>0</v>
      </c>
      <c r="P8742" t="n">
        <v>0</v>
      </c>
      <c r="Q8742" t="n">
        <v>0</v>
      </c>
      <c r="R8742" s="2" t="inlineStr"/>
    </row>
    <row r="8743" ht="15" customHeight="1">
      <c r="A8743" t="inlineStr">
        <is>
          <t>A 7685-2026</t>
        </is>
      </c>
      <c r="B8743" s="1" t="n">
        <v>46062.43528935185</v>
      </c>
      <c r="C8743" s="1" t="n">
        <v>46086</v>
      </c>
      <c r="D8743" t="inlineStr">
        <is>
          <t>GÄVLEBORGS LÄN</t>
        </is>
      </c>
      <c r="E8743" t="inlineStr">
        <is>
          <t>NORDANSTIG</t>
        </is>
      </c>
      <c r="G8743" t="n">
        <v>7.3</v>
      </c>
      <c r="H8743" t="n">
        <v>0</v>
      </c>
      <c r="I8743" t="n">
        <v>0</v>
      </c>
      <c r="J8743" t="n">
        <v>0</v>
      </c>
      <c r="K8743" t="n">
        <v>0</v>
      </c>
      <c r="L8743" t="n">
        <v>0</v>
      </c>
      <c r="M8743" t="n">
        <v>0</v>
      </c>
      <c r="N8743" t="n">
        <v>0</v>
      </c>
      <c r="O8743" t="n">
        <v>0</v>
      </c>
      <c r="P8743" t="n">
        <v>0</v>
      </c>
      <c r="Q8743" t="n">
        <v>0</v>
      </c>
      <c r="R8743" s="2" t="inlineStr"/>
    </row>
    <row r="8744" ht="15" customHeight="1">
      <c r="A8744" t="inlineStr">
        <is>
          <t>A 7690-2026</t>
        </is>
      </c>
      <c r="B8744" s="1" t="n">
        <v>46062.44086805556</v>
      </c>
      <c r="C8744" s="1" t="n">
        <v>46086</v>
      </c>
      <c r="D8744" t="inlineStr">
        <is>
          <t>GÄVLEBORGS LÄN</t>
        </is>
      </c>
      <c r="E8744" t="inlineStr">
        <is>
          <t>LJUSDAL</t>
        </is>
      </c>
      <c r="F8744" t="inlineStr">
        <is>
          <t>Holmen skog AB</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7765-2026</t>
        </is>
      </c>
      <c r="B8745" s="1" t="n">
        <v>46062.56228009259</v>
      </c>
      <c r="C8745" s="1" t="n">
        <v>46086</v>
      </c>
      <c r="D8745" t="inlineStr">
        <is>
          <t>GÄVLEBORGS LÄN</t>
        </is>
      </c>
      <c r="E8745" t="inlineStr">
        <is>
          <t>OCKELBO</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63975-2025</t>
        </is>
      </c>
      <c r="B8746" s="1" t="n">
        <v>46021</v>
      </c>
      <c r="C8746" s="1" t="n">
        <v>46086</v>
      </c>
      <c r="D8746" t="inlineStr">
        <is>
          <t>GÄVLEBORGS LÄN</t>
        </is>
      </c>
      <c r="E8746" t="inlineStr">
        <is>
          <t>OVANÅKER</t>
        </is>
      </c>
      <c r="G8746" t="n">
        <v>7.1</v>
      </c>
      <c r="H8746" t="n">
        <v>0</v>
      </c>
      <c r="I8746" t="n">
        <v>0</v>
      </c>
      <c r="J8746" t="n">
        <v>0</v>
      </c>
      <c r="K8746" t="n">
        <v>0</v>
      </c>
      <c r="L8746" t="n">
        <v>0</v>
      </c>
      <c r="M8746" t="n">
        <v>0</v>
      </c>
      <c r="N8746" t="n">
        <v>0</v>
      </c>
      <c r="O8746" t="n">
        <v>0</v>
      </c>
      <c r="P8746" t="n">
        <v>0</v>
      </c>
      <c r="Q8746" t="n">
        <v>0</v>
      </c>
      <c r="R8746" s="2" t="inlineStr"/>
    </row>
    <row r="8747" ht="15" customHeight="1">
      <c r="A8747" t="inlineStr">
        <is>
          <t>A 4676-2026</t>
        </is>
      </c>
      <c r="B8747" s="1" t="n">
        <v>46048</v>
      </c>
      <c r="C8747" s="1" t="n">
        <v>46086</v>
      </c>
      <c r="D8747" t="inlineStr">
        <is>
          <t>GÄVLEBORGS LÄN</t>
        </is>
      </c>
      <c r="E8747" t="inlineStr">
        <is>
          <t>BOLLNÄS</t>
        </is>
      </c>
      <c r="F8747" t="inlineStr">
        <is>
          <t>Bergvik skog väst AB</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5346-2026</t>
        </is>
      </c>
      <c r="B8748" s="1" t="n">
        <v>46050</v>
      </c>
      <c r="C8748" s="1" t="n">
        <v>46086</v>
      </c>
      <c r="D8748" t="inlineStr">
        <is>
          <t>GÄVLEBORGS LÄN</t>
        </is>
      </c>
      <c r="E8748" t="inlineStr">
        <is>
          <t>BOLLNÄS</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48864-2025</t>
        </is>
      </c>
      <c r="B8749" s="1" t="n">
        <v>45937.44758101852</v>
      </c>
      <c r="C8749" s="1" t="n">
        <v>46086</v>
      </c>
      <c r="D8749" t="inlineStr">
        <is>
          <t>GÄVLEBORGS LÄN</t>
        </is>
      </c>
      <c r="E8749" t="inlineStr">
        <is>
          <t>GÄVLE</t>
        </is>
      </c>
      <c r="G8749" t="n">
        <v>4.5</v>
      </c>
      <c r="H8749" t="n">
        <v>0</v>
      </c>
      <c r="I8749" t="n">
        <v>0</v>
      </c>
      <c r="J8749" t="n">
        <v>0</v>
      </c>
      <c r="K8749" t="n">
        <v>0</v>
      </c>
      <c r="L8749" t="n">
        <v>0</v>
      </c>
      <c r="M8749" t="n">
        <v>0</v>
      </c>
      <c r="N8749" t="n">
        <v>0</v>
      </c>
      <c r="O8749" t="n">
        <v>0</v>
      </c>
      <c r="P8749" t="n">
        <v>0</v>
      </c>
      <c r="Q8749" t="n">
        <v>0</v>
      </c>
      <c r="R8749" s="2" t="inlineStr"/>
    </row>
    <row r="8750" ht="15" customHeight="1">
      <c r="A8750" t="inlineStr">
        <is>
          <t>A 7652-2026</t>
        </is>
      </c>
      <c r="B8750" s="1" t="n">
        <v>46062.38596064815</v>
      </c>
      <c r="C8750" s="1" t="n">
        <v>46086</v>
      </c>
      <c r="D8750" t="inlineStr">
        <is>
          <t>GÄVLEBORGS LÄN</t>
        </is>
      </c>
      <c r="E8750" t="inlineStr">
        <is>
          <t>HUDIKSVALL</t>
        </is>
      </c>
      <c r="G8750" t="n">
        <v>3.3</v>
      </c>
      <c r="H8750" t="n">
        <v>0</v>
      </c>
      <c r="I8750" t="n">
        <v>0</v>
      </c>
      <c r="J8750" t="n">
        <v>0</v>
      </c>
      <c r="K8750" t="n">
        <v>0</v>
      </c>
      <c r="L8750" t="n">
        <v>0</v>
      </c>
      <c r="M8750" t="n">
        <v>0</v>
      </c>
      <c r="N8750" t="n">
        <v>0</v>
      </c>
      <c r="O8750" t="n">
        <v>0</v>
      </c>
      <c r="P8750" t="n">
        <v>0</v>
      </c>
      <c r="Q8750" t="n">
        <v>0</v>
      </c>
      <c r="R8750" s="2" t="inlineStr"/>
    </row>
    <row r="8751" ht="15" customHeight="1">
      <c r="A8751" t="inlineStr">
        <is>
          <t>A 7665-2026</t>
        </is>
      </c>
      <c r="B8751" s="1" t="n">
        <v>46062.40657407408</v>
      </c>
      <c r="C8751" s="1" t="n">
        <v>46086</v>
      </c>
      <c r="D8751" t="inlineStr">
        <is>
          <t>GÄVLEBORGS LÄN</t>
        </is>
      </c>
      <c r="E8751" t="inlineStr">
        <is>
          <t>GÄVLE</t>
        </is>
      </c>
      <c r="F8751" t="inlineStr">
        <is>
          <t>Kyrkan</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63979-2025</t>
        </is>
      </c>
      <c r="B8752" s="1" t="n">
        <v>46021.34436342592</v>
      </c>
      <c r="C8752" s="1" t="n">
        <v>46086</v>
      </c>
      <c r="D8752" t="inlineStr">
        <is>
          <t>GÄVLEBORGS LÄN</t>
        </is>
      </c>
      <c r="E8752" t="inlineStr">
        <is>
          <t>LJUSDAL</t>
        </is>
      </c>
      <c r="F8752" t="inlineStr">
        <is>
          <t>SCA</t>
        </is>
      </c>
      <c r="G8752" t="n">
        <v>3</v>
      </c>
      <c r="H8752" t="n">
        <v>0</v>
      </c>
      <c r="I8752" t="n">
        <v>0</v>
      </c>
      <c r="J8752" t="n">
        <v>0</v>
      </c>
      <c r="K8752" t="n">
        <v>0</v>
      </c>
      <c r="L8752" t="n">
        <v>0</v>
      </c>
      <c r="M8752" t="n">
        <v>0</v>
      </c>
      <c r="N8752" t="n">
        <v>0</v>
      </c>
      <c r="O8752" t="n">
        <v>0</v>
      </c>
      <c r="P8752" t="n">
        <v>0</v>
      </c>
      <c r="Q8752" t="n">
        <v>0</v>
      </c>
      <c r="R8752" s="2" t="inlineStr"/>
    </row>
    <row r="8753" ht="15" customHeight="1">
      <c r="A8753" t="inlineStr">
        <is>
          <t>A 63986-2025</t>
        </is>
      </c>
      <c r="B8753" s="1" t="n">
        <v>46021</v>
      </c>
      <c r="C8753" s="1" t="n">
        <v>46086</v>
      </c>
      <c r="D8753" t="inlineStr">
        <is>
          <t>GÄVLEBORGS LÄN</t>
        </is>
      </c>
      <c r="E8753" t="inlineStr">
        <is>
          <t>NORDANSTIG</t>
        </is>
      </c>
      <c r="F8753" t="inlineStr">
        <is>
          <t>Holmen skog AB</t>
        </is>
      </c>
      <c r="G8753" t="n">
        <v>7.8</v>
      </c>
      <c r="H8753" t="n">
        <v>0</v>
      </c>
      <c r="I8753" t="n">
        <v>0</v>
      </c>
      <c r="J8753" t="n">
        <v>0</v>
      </c>
      <c r="K8753" t="n">
        <v>0</v>
      </c>
      <c r="L8753" t="n">
        <v>0</v>
      </c>
      <c r="M8753" t="n">
        <v>0</v>
      </c>
      <c r="N8753" t="n">
        <v>0</v>
      </c>
      <c r="O8753" t="n">
        <v>0</v>
      </c>
      <c r="P8753" t="n">
        <v>0</v>
      </c>
      <c r="Q8753" t="n">
        <v>0</v>
      </c>
      <c r="R8753" s="2" t="inlineStr"/>
    </row>
    <row r="8754" ht="15" customHeight="1">
      <c r="A8754" t="inlineStr">
        <is>
          <t>A 64009-2025</t>
        </is>
      </c>
      <c r="B8754" s="1" t="n">
        <v>46021</v>
      </c>
      <c r="C8754" s="1" t="n">
        <v>46086</v>
      </c>
      <c r="D8754" t="inlineStr">
        <is>
          <t>GÄVLEBORGS LÄN</t>
        </is>
      </c>
      <c r="E8754" t="inlineStr">
        <is>
          <t>LJUSDAL</t>
        </is>
      </c>
      <c r="G8754" t="n">
        <v>10.3</v>
      </c>
      <c r="H8754" t="n">
        <v>0</v>
      </c>
      <c r="I8754" t="n">
        <v>0</v>
      </c>
      <c r="J8754" t="n">
        <v>0</v>
      </c>
      <c r="K8754" t="n">
        <v>0</v>
      </c>
      <c r="L8754" t="n">
        <v>0</v>
      </c>
      <c r="M8754" t="n">
        <v>0</v>
      </c>
      <c r="N8754" t="n">
        <v>0</v>
      </c>
      <c r="O8754" t="n">
        <v>0</v>
      </c>
      <c r="P8754" t="n">
        <v>0</v>
      </c>
      <c r="Q8754" t="n">
        <v>0</v>
      </c>
      <c r="R8754" s="2" t="inlineStr"/>
    </row>
    <row r="8755" ht="15" customHeight="1">
      <c r="A8755" t="inlineStr">
        <is>
          <t>A 64037-2025</t>
        </is>
      </c>
      <c r="B8755" s="1" t="n">
        <v>46021</v>
      </c>
      <c r="C8755" s="1" t="n">
        <v>46086</v>
      </c>
      <c r="D8755" t="inlineStr">
        <is>
          <t>GÄVLEBORGS LÄN</t>
        </is>
      </c>
      <c r="E8755" t="inlineStr">
        <is>
          <t>GÄVLE</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64039-2025</t>
        </is>
      </c>
      <c r="B8756" s="1" t="n">
        <v>46021</v>
      </c>
      <c r="C8756" s="1" t="n">
        <v>46086</v>
      </c>
      <c r="D8756" t="inlineStr">
        <is>
          <t>GÄVLEBORGS LÄN</t>
        </is>
      </c>
      <c r="E8756" t="inlineStr">
        <is>
          <t>HUDIKSVALL</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64044-2025</t>
        </is>
      </c>
      <c r="B8757" s="1" t="n">
        <v>46021</v>
      </c>
      <c r="C8757" s="1" t="n">
        <v>46086</v>
      </c>
      <c r="D8757" t="inlineStr">
        <is>
          <t>GÄVLEBORGS LÄN</t>
        </is>
      </c>
      <c r="E8757" t="inlineStr">
        <is>
          <t>GÄVLE</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64123-2025</t>
        </is>
      </c>
      <c r="B8758" s="1" t="n">
        <v>46021</v>
      </c>
      <c r="C8758" s="1" t="n">
        <v>46086</v>
      </c>
      <c r="D8758" t="inlineStr">
        <is>
          <t>GÄVLEBORGS LÄN</t>
        </is>
      </c>
      <c r="E8758" t="inlineStr">
        <is>
          <t>HUDIKSVALL</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64125-2025</t>
        </is>
      </c>
      <c r="B8759" s="1" t="n">
        <v>46021</v>
      </c>
      <c r="C8759" s="1" t="n">
        <v>46086</v>
      </c>
      <c r="D8759" t="inlineStr">
        <is>
          <t>GÄVLEBORGS LÄN</t>
        </is>
      </c>
      <c r="E8759" t="inlineStr">
        <is>
          <t>OCKELBO</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5627-2026</t>
        </is>
      </c>
      <c r="B8760" s="1" t="n">
        <v>46051</v>
      </c>
      <c r="C8760" s="1" t="n">
        <v>46086</v>
      </c>
      <c r="D8760" t="inlineStr">
        <is>
          <t>GÄVLEBORGS LÄN</t>
        </is>
      </c>
      <c r="E8760" t="inlineStr">
        <is>
          <t>OCKELBO</t>
        </is>
      </c>
      <c r="F8760" t="inlineStr">
        <is>
          <t>Bergvik skog väst AB</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63823-2025</t>
        </is>
      </c>
      <c r="B8761" s="1" t="n">
        <v>46020</v>
      </c>
      <c r="C8761" s="1" t="n">
        <v>46086</v>
      </c>
      <c r="D8761" t="inlineStr">
        <is>
          <t>GÄVLEBORGS LÄN</t>
        </is>
      </c>
      <c r="E8761" t="inlineStr">
        <is>
          <t>HUDIKSVALL</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7898-2026</t>
        </is>
      </c>
      <c r="B8762" s="1" t="n">
        <v>46063.34471064815</v>
      </c>
      <c r="C8762" s="1" t="n">
        <v>46086</v>
      </c>
      <c r="D8762" t="inlineStr">
        <is>
          <t>GÄVLEBORGS LÄN</t>
        </is>
      </c>
      <c r="E8762" t="inlineStr">
        <is>
          <t>SANDVIKEN</t>
        </is>
      </c>
      <c r="G8762" t="n">
        <v>5.6</v>
      </c>
      <c r="H8762" t="n">
        <v>0</v>
      </c>
      <c r="I8762" t="n">
        <v>0</v>
      </c>
      <c r="J8762" t="n">
        <v>0</v>
      </c>
      <c r="K8762" t="n">
        <v>0</v>
      </c>
      <c r="L8762" t="n">
        <v>0</v>
      </c>
      <c r="M8762" t="n">
        <v>0</v>
      </c>
      <c r="N8762" t="n">
        <v>0</v>
      </c>
      <c r="O8762" t="n">
        <v>0</v>
      </c>
      <c r="P8762" t="n">
        <v>0</v>
      </c>
      <c r="Q8762" t="n">
        <v>0</v>
      </c>
      <c r="R8762" s="2" t="inlineStr"/>
    </row>
    <row r="8763" ht="15" customHeight="1">
      <c r="A8763" t="inlineStr">
        <is>
          <t>A 7903-2026</t>
        </is>
      </c>
      <c r="B8763" s="1" t="n">
        <v>46063.35148148148</v>
      </c>
      <c r="C8763" s="1" t="n">
        <v>46086</v>
      </c>
      <c r="D8763" t="inlineStr">
        <is>
          <t>GÄVLEBORGS LÄN</t>
        </is>
      </c>
      <c r="E8763" t="inlineStr">
        <is>
          <t>OVANÅKER</t>
        </is>
      </c>
      <c r="G8763" t="n">
        <v>3.7</v>
      </c>
      <c r="H8763" t="n">
        <v>0</v>
      </c>
      <c r="I8763" t="n">
        <v>0</v>
      </c>
      <c r="J8763" t="n">
        <v>0</v>
      </c>
      <c r="K8763" t="n">
        <v>0</v>
      </c>
      <c r="L8763" t="n">
        <v>0</v>
      </c>
      <c r="M8763" t="n">
        <v>0</v>
      </c>
      <c r="N8763" t="n">
        <v>0</v>
      </c>
      <c r="O8763" t="n">
        <v>0</v>
      </c>
      <c r="P8763" t="n">
        <v>0</v>
      </c>
      <c r="Q8763" t="n">
        <v>0</v>
      </c>
      <c r="R8763" s="2" t="inlineStr"/>
    </row>
    <row r="8764" ht="15" customHeight="1">
      <c r="A8764" t="inlineStr">
        <is>
          <t>A 64130-2025</t>
        </is>
      </c>
      <c r="B8764" s="1" t="n">
        <v>46021</v>
      </c>
      <c r="C8764" s="1" t="n">
        <v>46086</v>
      </c>
      <c r="D8764" t="inlineStr">
        <is>
          <t>GÄVLEBORGS LÄN</t>
        </is>
      </c>
      <c r="E8764" t="inlineStr">
        <is>
          <t>SANDVIKEN</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63864-2025</t>
        </is>
      </c>
      <c r="B8765" s="1" t="n">
        <v>46020</v>
      </c>
      <c r="C8765" s="1" t="n">
        <v>46086</v>
      </c>
      <c r="D8765" t="inlineStr">
        <is>
          <t>GÄVLEBORGS LÄN</t>
        </is>
      </c>
      <c r="E8765" t="inlineStr">
        <is>
          <t>HUDIKSVALL</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7600-2026</t>
        </is>
      </c>
      <c r="B8766" s="1" t="n">
        <v>46062.26628472222</v>
      </c>
      <c r="C8766" s="1" t="n">
        <v>46086</v>
      </c>
      <c r="D8766" t="inlineStr">
        <is>
          <t>GÄVLEBORGS LÄN</t>
        </is>
      </c>
      <c r="E8766" t="inlineStr">
        <is>
          <t>LJUSDAL</t>
        </is>
      </c>
      <c r="G8766" t="n">
        <v>28.5</v>
      </c>
      <c r="H8766" t="n">
        <v>0</v>
      </c>
      <c r="I8766" t="n">
        <v>0</v>
      </c>
      <c r="J8766" t="n">
        <v>0</v>
      </c>
      <c r="K8766" t="n">
        <v>0</v>
      </c>
      <c r="L8766" t="n">
        <v>0</v>
      </c>
      <c r="M8766" t="n">
        <v>0</v>
      </c>
      <c r="N8766" t="n">
        <v>0</v>
      </c>
      <c r="O8766" t="n">
        <v>0</v>
      </c>
      <c r="P8766" t="n">
        <v>0</v>
      </c>
      <c r="Q8766" t="n">
        <v>0</v>
      </c>
      <c r="R8766" s="2" t="inlineStr"/>
    </row>
    <row r="8767" ht="15" customHeight="1">
      <c r="A8767" t="inlineStr">
        <is>
          <t>A 7613-2026</t>
        </is>
      </c>
      <c r="B8767" s="1" t="n">
        <v>46062.325625</v>
      </c>
      <c r="C8767" s="1" t="n">
        <v>46086</v>
      </c>
      <c r="D8767" t="inlineStr">
        <is>
          <t>GÄVLEBORGS LÄN</t>
        </is>
      </c>
      <c r="E8767" t="inlineStr">
        <is>
          <t>BOLLNÄS</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8100-2026</t>
        </is>
      </c>
      <c r="B8768" s="1" t="n">
        <v>46063.72082175926</v>
      </c>
      <c r="C8768" s="1" t="n">
        <v>46086</v>
      </c>
      <c r="D8768" t="inlineStr">
        <is>
          <t>GÄVLEBORGS LÄN</t>
        </is>
      </c>
      <c r="E8768" t="inlineStr">
        <is>
          <t>SANDVIKEN</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36086-2024</t>
        </is>
      </c>
      <c r="B8769" s="1" t="n">
        <v>45533.67511574074</v>
      </c>
      <c r="C8769" s="1" t="n">
        <v>46086</v>
      </c>
      <c r="D8769" t="inlineStr">
        <is>
          <t>GÄVLEBORGS LÄN</t>
        </is>
      </c>
      <c r="E8769" t="inlineStr">
        <is>
          <t>HUDIKSVALL</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7565-2026</t>
        </is>
      </c>
      <c r="B8770" s="1" t="n">
        <v>46060.57633101852</v>
      </c>
      <c r="C8770" s="1" t="n">
        <v>46086</v>
      </c>
      <c r="D8770" t="inlineStr">
        <is>
          <t>GÄVLEBORGS LÄN</t>
        </is>
      </c>
      <c r="E8770" t="inlineStr">
        <is>
          <t>BOLLNÄS</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7581-2026</t>
        </is>
      </c>
      <c r="B8771" s="1" t="n">
        <v>46061.63856481481</v>
      </c>
      <c r="C8771" s="1" t="n">
        <v>46086</v>
      </c>
      <c r="D8771" t="inlineStr">
        <is>
          <t>GÄVLEBORGS LÄN</t>
        </is>
      </c>
      <c r="E8771" t="inlineStr">
        <is>
          <t>HOFORS</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7944-2026</t>
        </is>
      </c>
      <c r="B8772" s="1" t="n">
        <v>46063.41300925926</v>
      </c>
      <c r="C8772" s="1" t="n">
        <v>46086</v>
      </c>
      <c r="D8772" t="inlineStr">
        <is>
          <t>GÄVLEBORGS LÄN</t>
        </is>
      </c>
      <c r="E8772" t="inlineStr">
        <is>
          <t>NORDANSTIG</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7995-2026</t>
        </is>
      </c>
      <c r="B8773" s="1" t="n">
        <v>46063.50179398148</v>
      </c>
      <c r="C8773" s="1" t="n">
        <v>46086</v>
      </c>
      <c r="D8773" t="inlineStr">
        <is>
          <t>GÄVLEBORGS LÄN</t>
        </is>
      </c>
      <c r="E8773" t="inlineStr">
        <is>
          <t>GÄVLE</t>
        </is>
      </c>
      <c r="F8773" t="inlineStr">
        <is>
          <t>Bergvik skog väst AB</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7998-2026</t>
        </is>
      </c>
      <c r="B8774" s="1" t="n">
        <v>46063.50559027777</v>
      </c>
      <c r="C8774" s="1" t="n">
        <v>46086</v>
      </c>
      <c r="D8774" t="inlineStr">
        <is>
          <t>GÄVLEBORGS LÄN</t>
        </is>
      </c>
      <c r="E8774" t="inlineStr">
        <is>
          <t>NORDANSTIG</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7877-2026</t>
        </is>
      </c>
      <c r="B8775" s="1" t="n">
        <v>46063.25568287037</v>
      </c>
      <c r="C8775" s="1" t="n">
        <v>46086</v>
      </c>
      <c r="D8775" t="inlineStr">
        <is>
          <t>GÄVLEBORGS LÄN</t>
        </is>
      </c>
      <c r="E8775" t="inlineStr">
        <is>
          <t>SANDVIKEN</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7893-2026</t>
        </is>
      </c>
      <c r="B8776" s="1" t="n">
        <v>46063.32108796296</v>
      </c>
      <c r="C8776" s="1" t="n">
        <v>46086</v>
      </c>
      <c r="D8776" t="inlineStr">
        <is>
          <t>GÄVLEBORGS LÄN</t>
        </is>
      </c>
      <c r="E8776" t="inlineStr">
        <is>
          <t>SÖDERHAMN</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7601-2026</t>
        </is>
      </c>
      <c r="B8777" s="1" t="n">
        <v>46062.2721875</v>
      </c>
      <c r="C8777" s="1" t="n">
        <v>46086</v>
      </c>
      <c r="D8777" t="inlineStr">
        <is>
          <t>GÄVLEBORGS LÄN</t>
        </is>
      </c>
      <c r="E8777" t="inlineStr">
        <is>
          <t>LJUSDAL</t>
        </is>
      </c>
      <c r="G8777" t="n">
        <v>15.2</v>
      </c>
      <c r="H8777" t="n">
        <v>0</v>
      </c>
      <c r="I8777" t="n">
        <v>0</v>
      </c>
      <c r="J8777" t="n">
        <v>0</v>
      </c>
      <c r="K8777" t="n">
        <v>0</v>
      </c>
      <c r="L8777" t="n">
        <v>0</v>
      </c>
      <c r="M8777" t="n">
        <v>0</v>
      </c>
      <c r="N8777" t="n">
        <v>0</v>
      </c>
      <c r="O8777" t="n">
        <v>0</v>
      </c>
      <c r="P8777" t="n">
        <v>0</v>
      </c>
      <c r="Q8777" t="n">
        <v>0</v>
      </c>
      <c r="R8777" s="2" t="inlineStr"/>
    </row>
    <row r="8778" ht="15" customHeight="1">
      <c r="A8778" t="inlineStr">
        <is>
          <t>A 61407-2024</t>
        </is>
      </c>
      <c r="B8778" s="1" t="n">
        <v>45646.43694444445</v>
      </c>
      <c r="C8778" s="1" t="n">
        <v>46086</v>
      </c>
      <c r="D8778" t="inlineStr">
        <is>
          <t>GÄVLEBORGS LÄN</t>
        </is>
      </c>
      <c r="E8778" t="inlineStr">
        <is>
          <t>NORDANSTIG</t>
        </is>
      </c>
      <c r="G8778" t="n">
        <v>5.8</v>
      </c>
      <c r="H8778" t="n">
        <v>0</v>
      </c>
      <c r="I8778" t="n">
        <v>0</v>
      </c>
      <c r="J8778" t="n">
        <v>0</v>
      </c>
      <c r="K8778" t="n">
        <v>0</v>
      </c>
      <c r="L8778" t="n">
        <v>0</v>
      </c>
      <c r="M8778" t="n">
        <v>0</v>
      </c>
      <c r="N8778" t="n">
        <v>0</v>
      </c>
      <c r="O8778" t="n">
        <v>0</v>
      </c>
      <c r="P8778" t="n">
        <v>0</v>
      </c>
      <c r="Q8778" t="n">
        <v>0</v>
      </c>
      <c r="R8778" s="2" t="inlineStr"/>
    </row>
    <row r="8779" ht="15" customHeight="1">
      <c r="A8779" t="inlineStr">
        <is>
          <t>A 7605-2026</t>
        </is>
      </c>
      <c r="B8779" s="1" t="n">
        <v>46062.30194444444</v>
      </c>
      <c r="C8779" s="1" t="n">
        <v>46086</v>
      </c>
      <c r="D8779" t="inlineStr">
        <is>
          <t>GÄVLEBORGS LÄN</t>
        </is>
      </c>
      <c r="E8779" t="inlineStr">
        <is>
          <t>SÖDERHAMN</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7710-2026</t>
        </is>
      </c>
      <c r="B8780" s="1" t="n">
        <v>46062.48096064815</v>
      </c>
      <c r="C8780" s="1" t="n">
        <v>46086</v>
      </c>
      <c r="D8780" t="inlineStr">
        <is>
          <t>GÄVLEBORGS LÄN</t>
        </is>
      </c>
      <c r="E8780" t="inlineStr">
        <is>
          <t>BOLLNÄS</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61416-2024</t>
        </is>
      </c>
      <c r="B8781" s="1" t="n">
        <v>45646.44552083333</v>
      </c>
      <c r="C8781" s="1" t="n">
        <v>46086</v>
      </c>
      <c r="D8781" t="inlineStr">
        <is>
          <t>GÄVLEBORGS LÄN</t>
        </is>
      </c>
      <c r="E8781" t="inlineStr">
        <is>
          <t>LJUSDAL</t>
        </is>
      </c>
      <c r="F8781" t="inlineStr">
        <is>
          <t>Sveaskog</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5722-2026</t>
        </is>
      </c>
      <c r="B8782" s="1" t="n">
        <v>46051</v>
      </c>
      <c r="C8782" s="1" t="n">
        <v>46086</v>
      </c>
      <c r="D8782" t="inlineStr">
        <is>
          <t>GÄVLEBORGS LÄN</t>
        </is>
      </c>
      <c r="E8782" t="inlineStr">
        <is>
          <t>GÄVLE</t>
        </is>
      </c>
      <c r="F8782" t="inlineStr">
        <is>
          <t>Bergvik skog väst AB</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6695-2026</t>
        </is>
      </c>
      <c r="B8783" s="1" t="n">
        <v>46056</v>
      </c>
      <c r="C8783" s="1" t="n">
        <v>46086</v>
      </c>
      <c r="D8783" t="inlineStr">
        <is>
          <t>GÄVLEBORGS LÄN</t>
        </is>
      </c>
      <c r="E8783" t="inlineStr">
        <is>
          <t>BOLLNÄS</t>
        </is>
      </c>
      <c r="F8783" t="inlineStr">
        <is>
          <t>Bergvik skog väst AB</t>
        </is>
      </c>
      <c r="G8783" t="n">
        <v>10.4</v>
      </c>
      <c r="H8783" t="n">
        <v>0</v>
      </c>
      <c r="I8783" t="n">
        <v>0</v>
      </c>
      <c r="J8783" t="n">
        <v>0</v>
      </c>
      <c r="K8783" t="n">
        <v>0</v>
      </c>
      <c r="L8783" t="n">
        <v>0</v>
      </c>
      <c r="M8783" t="n">
        <v>0</v>
      </c>
      <c r="N8783" t="n">
        <v>0</v>
      </c>
      <c r="O8783" t="n">
        <v>0</v>
      </c>
      <c r="P8783" t="n">
        <v>0</v>
      </c>
      <c r="Q8783" t="n">
        <v>0</v>
      </c>
      <c r="R8783" s="2" t="inlineStr"/>
    </row>
    <row r="8784" ht="15" customHeight="1">
      <c r="A8784" t="inlineStr">
        <is>
          <t>A 7650-2026</t>
        </is>
      </c>
      <c r="B8784" s="1" t="n">
        <v>46062.38546296296</v>
      </c>
      <c r="C8784" s="1" t="n">
        <v>46086</v>
      </c>
      <c r="D8784" t="inlineStr">
        <is>
          <t>GÄVLEBORGS LÄN</t>
        </is>
      </c>
      <c r="E8784" t="inlineStr">
        <is>
          <t>OVANÅKER</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7738-2026</t>
        </is>
      </c>
      <c r="B8785" s="1" t="n">
        <v>46062.5318287037</v>
      </c>
      <c r="C8785" s="1" t="n">
        <v>46086</v>
      </c>
      <c r="D8785" t="inlineStr">
        <is>
          <t>GÄVLEBORGS LÄN</t>
        </is>
      </c>
      <c r="E8785" t="inlineStr">
        <is>
          <t>BOLLNÄS</t>
        </is>
      </c>
      <c r="F8785" t="inlineStr">
        <is>
          <t>Bergvik skog väst AB</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7772-2026</t>
        </is>
      </c>
      <c r="B8786" s="1" t="n">
        <v>46062.56966435185</v>
      </c>
      <c r="C8786" s="1" t="n">
        <v>46086</v>
      </c>
      <c r="D8786" t="inlineStr">
        <is>
          <t>GÄVLEBORGS LÄN</t>
        </is>
      </c>
      <c r="E8786" t="inlineStr">
        <is>
          <t>NORDANSTIG</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73748-2021</t>
        </is>
      </c>
      <c r="B8787" s="1" t="n">
        <v>44552.57103009259</v>
      </c>
      <c r="C8787" s="1" t="n">
        <v>46086</v>
      </c>
      <c r="D8787" t="inlineStr">
        <is>
          <t>GÄVLEBORGS LÄN</t>
        </is>
      </c>
      <c r="E8787" t="inlineStr">
        <is>
          <t>NORDANSTIG</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63840-2025</t>
        </is>
      </c>
      <c r="B8788" s="1" t="n">
        <v>46020</v>
      </c>
      <c r="C8788" s="1" t="n">
        <v>46086</v>
      </c>
      <c r="D8788" t="inlineStr">
        <is>
          <t>GÄVLEBORGS LÄN</t>
        </is>
      </c>
      <c r="E8788" t="inlineStr">
        <is>
          <t>HUDIKSVALL</t>
        </is>
      </c>
      <c r="G8788" t="n">
        <v>6.6</v>
      </c>
      <c r="H8788" t="n">
        <v>0</v>
      </c>
      <c r="I8788" t="n">
        <v>0</v>
      </c>
      <c r="J8788" t="n">
        <v>0</v>
      </c>
      <c r="K8788" t="n">
        <v>0</v>
      </c>
      <c r="L8788" t="n">
        <v>0</v>
      </c>
      <c r="M8788" t="n">
        <v>0</v>
      </c>
      <c r="N8788" t="n">
        <v>0</v>
      </c>
      <c r="O8788" t="n">
        <v>0</v>
      </c>
      <c r="P8788" t="n">
        <v>0</v>
      </c>
      <c r="Q8788" t="n">
        <v>0</v>
      </c>
      <c r="R8788" s="2" t="inlineStr"/>
    </row>
    <row r="8789" ht="15" customHeight="1">
      <c r="A8789" t="inlineStr">
        <is>
          <t>A 63862-2025</t>
        </is>
      </c>
      <c r="B8789" s="1" t="n">
        <v>46020</v>
      </c>
      <c r="C8789" s="1" t="n">
        <v>46086</v>
      </c>
      <c r="D8789" t="inlineStr">
        <is>
          <t>GÄVLEBORGS LÄN</t>
        </is>
      </c>
      <c r="E8789" t="inlineStr">
        <is>
          <t>HUDIKSVALL</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61207-2022</t>
        </is>
      </c>
      <c r="B8790" s="1" t="n">
        <v>44915.53925925926</v>
      </c>
      <c r="C8790" s="1" t="n">
        <v>46086</v>
      </c>
      <c r="D8790" t="inlineStr">
        <is>
          <t>GÄVLEBORGS LÄN</t>
        </is>
      </c>
      <c r="E8790" t="inlineStr">
        <is>
          <t>HUDIKSVALL</t>
        </is>
      </c>
      <c r="F8790" t="inlineStr">
        <is>
          <t>Holmen skog AB</t>
        </is>
      </c>
      <c r="G8790" t="n">
        <v>4.2</v>
      </c>
      <c r="H8790" t="n">
        <v>0</v>
      </c>
      <c r="I8790" t="n">
        <v>0</v>
      </c>
      <c r="J8790" t="n">
        <v>0</v>
      </c>
      <c r="K8790" t="n">
        <v>0</v>
      </c>
      <c r="L8790" t="n">
        <v>0</v>
      </c>
      <c r="M8790" t="n">
        <v>0</v>
      </c>
      <c r="N8790" t="n">
        <v>0</v>
      </c>
      <c r="O8790" t="n">
        <v>0</v>
      </c>
      <c r="P8790" t="n">
        <v>0</v>
      </c>
      <c r="Q8790" t="n">
        <v>0</v>
      </c>
      <c r="R8790" s="2" t="inlineStr"/>
    </row>
    <row r="8791" ht="15" customHeight="1">
      <c r="A8791" t="inlineStr">
        <is>
          <t>A 63870-2025</t>
        </is>
      </c>
      <c r="B8791" s="1" t="n">
        <v>46020</v>
      </c>
      <c r="C8791" s="1" t="n">
        <v>46086</v>
      </c>
      <c r="D8791" t="inlineStr">
        <is>
          <t>GÄVLEBORGS LÄN</t>
        </is>
      </c>
      <c r="E8791" t="inlineStr">
        <is>
          <t>BOLLNÄS</t>
        </is>
      </c>
      <c r="G8791" t="n">
        <v>9.4</v>
      </c>
      <c r="H8791" t="n">
        <v>0</v>
      </c>
      <c r="I8791" t="n">
        <v>0</v>
      </c>
      <c r="J8791" t="n">
        <v>0</v>
      </c>
      <c r="K8791" t="n">
        <v>0</v>
      </c>
      <c r="L8791" t="n">
        <v>0</v>
      </c>
      <c r="M8791" t="n">
        <v>0</v>
      </c>
      <c r="N8791" t="n">
        <v>0</v>
      </c>
      <c r="O8791" t="n">
        <v>0</v>
      </c>
      <c r="P8791" t="n">
        <v>0</v>
      </c>
      <c r="Q8791" t="n">
        <v>0</v>
      </c>
      <c r="R8791" s="2" t="inlineStr"/>
    </row>
    <row r="8792" ht="15" customHeight="1">
      <c r="A8792" t="inlineStr">
        <is>
          <t>A 63880-2025</t>
        </is>
      </c>
      <c r="B8792" s="1" t="n">
        <v>46020</v>
      </c>
      <c r="C8792" s="1" t="n">
        <v>46086</v>
      </c>
      <c r="D8792" t="inlineStr">
        <is>
          <t>GÄVLEBORGS LÄN</t>
        </is>
      </c>
      <c r="E8792" t="inlineStr">
        <is>
          <t>SANDVIKEN</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63889-2025</t>
        </is>
      </c>
      <c r="B8793" s="1" t="n">
        <v>46020</v>
      </c>
      <c r="C8793" s="1" t="n">
        <v>46086</v>
      </c>
      <c r="D8793" t="inlineStr">
        <is>
          <t>GÄVLEBORGS LÄN</t>
        </is>
      </c>
      <c r="E8793" t="inlineStr">
        <is>
          <t>GÄVLE</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42692-2025</t>
        </is>
      </c>
      <c r="B8794" s="1" t="n">
        <v>45908.35809027778</v>
      </c>
      <c r="C8794" s="1" t="n">
        <v>46086</v>
      </c>
      <c r="D8794" t="inlineStr">
        <is>
          <t>GÄVLEBORGS LÄN</t>
        </is>
      </c>
      <c r="E8794" t="inlineStr">
        <is>
          <t>GÄVLE</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47694-2025</t>
        </is>
      </c>
      <c r="B8795" s="1" t="n">
        <v>45931.59844907407</v>
      </c>
      <c r="C8795" s="1" t="n">
        <v>46086</v>
      </c>
      <c r="D8795" t="inlineStr">
        <is>
          <t>GÄVLEBORGS LÄN</t>
        </is>
      </c>
      <c r="E8795" t="inlineStr">
        <is>
          <t>GÄVLE</t>
        </is>
      </c>
      <c r="G8795" t="n">
        <v>4.5</v>
      </c>
      <c r="H8795" t="n">
        <v>0</v>
      </c>
      <c r="I8795" t="n">
        <v>0</v>
      </c>
      <c r="J8795" t="n">
        <v>0</v>
      </c>
      <c r="K8795" t="n">
        <v>0</v>
      </c>
      <c r="L8795" t="n">
        <v>0</v>
      </c>
      <c r="M8795" t="n">
        <v>0</v>
      </c>
      <c r="N8795" t="n">
        <v>0</v>
      </c>
      <c r="O8795" t="n">
        <v>0</v>
      </c>
      <c r="P8795" t="n">
        <v>0</v>
      </c>
      <c r="Q8795" t="n">
        <v>0</v>
      </c>
      <c r="R8795" s="2" t="inlineStr"/>
    </row>
    <row r="8796" ht="15" customHeight="1">
      <c r="A8796" t="inlineStr">
        <is>
          <t>A 34964-2021</t>
        </is>
      </c>
      <c r="B8796" s="1" t="n">
        <v>44383.60237268519</v>
      </c>
      <c r="C8796" s="1" t="n">
        <v>46086</v>
      </c>
      <c r="D8796" t="inlineStr">
        <is>
          <t>GÄVLEBORGS LÄN</t>
        </is>
      </c>
      <c r="E8796" t="inlineStr">
        <is>
          <t>HUDIKSVALL</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51387-2024</t>
        </is>
      </c>
      <c r="B8797" s="1" t="n">
        <v>45604.39825231482</v>
      </c>
      <c r="C8797" s="1" t="n">
        <v>46086</v>
      </c>
      <c r="D8797" t="inlineStr">
        <is>
          <t>GÄVLEBORGS LÄN</t>
        </is>
      </c>
      <c r="E8797" t="inlineStr">
        <is>
          <t>NORDANSTIG</t>
        </is>
      </c>
      <c r="F8797" t="inlineStr">
        <is>
          <t>Holmen skog AB</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60931-2023</t>
        </is>
      </c>
      <c r="B8798" s="1" t="n">
        <v>45261.42261574074</v>
      </c>
      <c r="C8798" s="1" t="n">
        <v>46086</v>
      </c>
      <c r="D8798" t="inlineStr">
        <is>
          <t>GÄVLEBORGS LÄN</t>
        </is>
      </c>
      <c r="E8798" t="inlineStr">
        <is>
          <t>HUDIKSVALL</t>
        </is>
      </c>
      <c r="F8798" t="inlineStr">
        <is>
          <t>Holmen skog AB</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7771-2026</t>
        </is>
      </c>
      <c r="B8799" s="1" t="n">
        <v>46062.56836805555</v>
      </c>
      <c r="C8799" s="1" t="n">
        <v>46086</v>
      </c>
      <c r="D8799" t="inlineStr">
        <is>
          <t>GÄVLEBORGS LÄN</t>
        </is>
      </c>
      <c r="E8799" t="inlineStr">
        <is>
          <t>BOLLNÄS</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7841-2026</t>
        </is>
      </c>
      <c r="B8800" s="1" t="n">
        <v>46062.65070601852</v>
      </c>
      <c r="C8800" s="1" t="n">
        <v>46086</v>
      </c>
      <c r="D8800" t="inlineStr">
        <is>
          <t>GÄVLEBORGS LÄN</t>
        </is>
      </c>
      <c r="E8800" t="inlineStr">
        <is>
          <t>BOLLNÄS</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5189-2026</t>
        </is>
      </c>
      <c r="B8801" s="1" t="n">
        <v>46049</v>
      </c>
      <c r="C8801" s="1" t="n">
        <v>46086</v>
      </c>
      <c r="D8801" t="inlineStr">
        <is>
          <t>GÄVLEBORGS LÄN</t>
        </is>
      </c>
      <c r="E8801" t="inlineStr">
        <is>
          <t>OCKELBO</t>
        </is>
      </c>
      <c r="F8801" t="inlineStr">
        <is>
          <t>Bergvik skog väst AB</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4848-2026</t>
        </is>
      </c>
      <c r="B8802" s="1" t="n">
        <v>46048.62207175926</v>
      </c>
      <c r="C8802" s="1" t="n">
        <v>46086</v>
      </c>
      <c r="D8802" t="inlineStr">
        <is>
          <t>GÄVLEBORGS LÄN</t>
        </is>
      </c>
      <c r="E8802" t="inlineStr">
        <is>
          <t>SANDVIKEN</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4519-2026</t>
        </is>
      </c>
      <c r="B8803" s="1" t="n">
        <v>46046</v>
      </c>
      <c r="C8803" s="1" t="n">
        <v>46086</v>
      </c>
      <c r="D8803" t="inlineStr">
        <is>
          <t>GÄVLEBORGS LÄN</t>
        </is>
      </c>
      <c r="E8803" t="inlineStr">
        <is>
          <t>HUDIKSVALL</t>
        </is>
      </c>
      <c r="G8803" t="n">
        <v>3</v>
      </c>
      <c r="H8803" t="n">
        <v>0</v>
      </c>
      <c r="I8803" t="n">
        <v>0</v>
      </c>
      <c r="J8803" t="n">
        <v>0</v>
      </c>
      <c r="K8803" t="n">
        <v>0</v>
      </c>
      <c r="L8803" t="n">
        <v>0</v>
      </c>
      <c r="M8803" t="n">
        <v>0</v>
      </c>
      <c r="N8803" t="n">
        <v>0</v>
      </c>
      <c r="O8803" t="n">
        <v>0</v>
      </c>
      <c r="P8803" t="n">
        <v>0</v>
      </c>
      <c r="Q8803" t="n">
        <v>0</v>
      </c>
      <c r="R8803" s="2" t="inlineStr"/>
    </row>
    <row r="8804" ht="15" customHeight="1">
      <c r="A8804" t="inlineStr">
        <is>
          <t>A 63784-2025</t>
        </is>
      </c>
      <c r="B8804" s="1" t="n">
        <v>46019</v>
      </c>
      <c r="C8804" s="1" t="n">
        <v>46086</v>
      </c>
      <c r="D8804" t="inlineStr">
        <is>
          <t>GÄVLEBORGS LÄN</t>
        </is>
      </c>
      <c r="E8804" t="inlineStr">
        <is>
          <t>NORDANSTIG</t>
        </is>
      </c>
      <c r="G8804" t="n">
        <v>6.3</v>
      </c>
      <c r="H8804" t="n">
        <v>0</v>
      </c>
      <c r="I8804" t="n">
        <v>0</v>
      </c>
      <c r="J8804" t="n">
        <v>0</v>
      </c>
      <c r="K8804" t="n">
        <v>0</v>
      </c>
      <c r="L8804" t="n">
        <v>0</v>
      </c>
      <c r="M8804" t="n">
        <v>0</v>
      </c>
      <c r="N8804" t="n">
        <v>0</v>
      </c>
      <c r="O8804" t="n">
        <v>0</v>
      </c>
      <c r="P8804" t="n">
        <v>0</v>
      </c>
      <c r="Q8804" t="n">
        <v>0</v>
      </c>
      <c r="R8804" s="2" t="inlineStr"/>
    </row>
    <row r="8805" ht="15" customHeight="1">
      <c r="A8805" t="inlineStr">
        <is>
          <t>A 63786-2025</t>
        </is>
      </c>
      <c r="B8805" s="1" t="n">
        <v>46019</v>
      </c>
      <c r="C8805" s="1" t="n">
        <v>46086</v>
      </c>
      <c r="D8805" t="inlineStr">
        <is>
          <t>GÄVLEBORGS LÄN</t>
        </is>
      </c>
      <c r="E8805" t="inlineStr">
        <is>
          <t>NORDANSTIG</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63791-2025</t>
        </is>
      </c>
      <c r="B8806" s="1" t="n">
        <v>46019</v>
      </c>
      <c r="C8806" s="1" t="n">
        <v>46086</v>
      </c>
      <c r="D8806" t="inlineStr">
        <is>
          <t>GÄVLEBORGS LÄN</t>
        </is>
      </c>
      <c r="E8806" t="inlineStr">
        <is>
          <t>OCKELBO</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63806-2025</t>
        </is>
      </c>
      <c r="B8807" s="1" t="n">
        <v>46019</v>
      </c>
      <c r="C8807" s="1" t="n">
        <v>46086</v>
      </c>
      <c r="D8807" t="inlineStr">
        <is>
          <t>GÄVLEBORGS LÄN</t>
        </is>
      </c>
      <c r="E8807" t="inlineStr">
        <is>
          <t>NORDANSTIG</t>
        </is>
      </c>
      <c r="G8807" t="n">
        <v>16.2</v>
      </c>
      <c r="H8807" t="n">
        <v>0</v>
      </c>
      <c r="I8807" t="n">
        <v>0</v>
      </c>
      <c r="J8807" t="n">
        <v>0</v>
      </c>
      <c r="K8807" t="n">
        <v>0</v>
      </c>
      <c r="L8807" t="n">
        <v>0</v>
      </c>
      <c r="M8807" t="n">
        <v>0</v>
      </c>
      <c r="N8807" t="n">
        <v>0</v>
      </c>
      <c r="O8807" t="n">
        <v>0</v>
      </c>
      <c r="P8807" t="n">
        <v>0</v>
      </c>
      <c r="Q8807" t="n">
        <v>0</v>
      </c>
      <c r="R8807" s="2" t="inlineStr"/>
    </row>
    <row r="8808" ht="15" customHeight="1">
      <c r="A8808" t="inlineStr">
        <is>
          <t>A 8092-2026</t>
        </is>
      </c>
      <c r="B8808" s="1" t="n">
        <v>46063.70972222222</v>
      </c>
      <c r="C8808" s="1" t="n">
        <v>46086</v>
      </c>
      <c r="D8808" t="inlineStr">
        <is>
          <t>GÄVLEBORGS LÄN</t>
        </is>
      </c>
      <c r="E8808" t="inlineStr">
        <is>
          <t>NORDANSTIG</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64094-2025</t>
        </is>
      </c>
      <c r="B8809" s="1" t="n">
        <v>46021</v>
      </c>
      <c r="C8809" s="1" t="n">
        <v>46086</v>
      </c>
      <c r="D8809" t="inlineStr">
        <is>
          <t>GÄVLEBORGS LÄN</t>
        </is>
      </c>
      <c r="E8809" t="inlineStr">
        <is>
          <t>LJUSDAL</t>
        </is>
      </c>
      <c r="G8809" t="n">
        <v>8.300000000000001</v>
      </c>
      <c r="H8809" t="n">
        <v>0</v>
      </c>
      <c r="I8809" t="n">
        <v>0</v>
      </c>
      <c r="J8809" t="n">
        <v>0</v>
      </c>
      <c r="K8809" t="n">
        <v>0</v>
      </c>
      <c r="L8809" t="n">
        <v>0</v>
      </c>
      <c r="M8809" t="n">
        <v>0</v>
      </c>
      <c r="N8809" t="n">
        <v>0</v>
      </c>
      <c r="O8809" t="n">
        <v>0</v>
      </c>
      <c r="P8809" t="n">
        <v>0</v>
      </c>
      <c r="Q8809" t="n">
        <v>0</v>
      </c>
      <c r="R8809" s="2" t="inlineStr"/>
    </row>
    <row r="8810" ht="15" customHeight="1">
      <c r="A8810" t="inlineStr">
        <is>
          <t>A 63787-2025</t>
        </is>
      </c>
      <c r="B8810" s="1" t="n">
        <v>46019</v>
      </c>
      <c r="C8810" s="1" t="n">
        <v>46086</v>
      </c>
      <c r="D8810" t="inlineStr">
        <is>
          <t>GÄVLEBORGS LÄN</t>
        </is>
      </c>
      <c r="E8810" t="inlineStr">
        <is>
          <t>NORDANSTIG</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63797-2025</t>
        </is>
      </c>
      <c r="B8811" s="1" t="n">
        <v>46019</v>
      </c>
      <c r="C8811" s="1" t="n">
        <v>46086</v>
      </c>
      <c r="D8811" t="inlineStr">
        <is>
          <t>GÄVLEBORGS LÄN</t>
        </is>
      </c>
      <c r="E8811" t="inlineStr">
        <is>
          <t>HUDIKSVALL</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7733-2026</t>
        </is>
      </c>
      <c r="B8812" s="1" t="n">
        <v>46062.5240625</v>
      </c>
      <c r="C8812" s="1" t="n">
        <v>46086</v>
      </c>
      <c r="D8812" t="inlineStr">
        <is>
          <t>GÄVLEBORGS LÄN</t>
        </is>
      </c>
      <c r="E8812" t="inlineStr">
        <is>
          <t>SANDVIKEN</t>
        </is>
      </c>
      <c r="G8812" t="n">
        <v>6.9</v>
      </c>
      <c r="H8812" t="n">
        <v>0</v>
      </c>
      <c r="I8812" t="n">
        <v>0</v>
      </c>
      <c r="J8812" t="n">
        <v>0</v>
      </c>
      <c r="K8812" t="n">
        <v>0</v>
      </c>
      <c r="L8812" t="n">
        <v>0</v>
      </c>
      <c r="M8812" t="n">
        <v>0</v>
      </c>
      <c r="N8812" t="n">
        <v>0</v>
      </c>
      <c r="O8812" t="n">
        <v>0</v>
      </c>
      <c r="P8812" t="n">
        <v>0</v>
      </c>
      <c r="Q8812" t="n">
        <v>0</v>
      </c>
      <c r="R8812" s="2" t="inlineStr"/>
      <c r="U8812">
        <f>HYPERLINK("https://klasma.github.io/Logging_2181/knärot/A 7733-2026 karta knärot.png", "A 7733-2026")</f>
        <v/>
      </c>
      <c r="V8812">
        <f>HYPERLINK("https://klasma.github.io/Logging_2181/klagomål/A 7733-2026 FSC-klagomål.docx", "A 7733-2026")</f>
        <v/>
      </c>
      <c r="W8812">
        <f>HYPERLINK("https://klasma.github.io/Logging_2181/klagomålsmail/A 7733-2026 FSC-klagomål mail.docx", "A 7733-2026")</f>
        <v/>
      </c>
      <c r="X8812">
        <f>HYPERLINK("https://klasma.github.io/Logging_2181/tillsyn/A 7733-2026 tillsynsbegäran.docx", "A 7733-2026")</f>
        <v/>
      </c>
      <c r="Y8812">
        <f>HYPERLINK("https://klasma.github.io/Logging_2181/tillsynsmail/A 7733-2026 tillsynsbegäran mail.docx", "A 7733-2026")</f>
        <v/>
      </c>
    </row>
    <row r="8813" ht="15" customHeight="1">
      <c r="A8813" t="inlineStr">
        <is>
          <t>A 8098-2026</t>
        </is>
      </c>
      <c r="B8813" s="1" t="n">
        <v>46063.71506944444</v>
      </c>
      <c r="C8813" s="1" t="n">
        <v>46086</v>
      </c>
      <c r="D8813" t="inlineStr">
        <is>
          <t>GÄVLEBORGS LÄN</t>
        </is>
      </c>
      <c r="E8813" t="inlineStr">
        <is>
          <t>BOLLNÄS</t>
        </is>
      </c>
      <c r="G8813" t="n">
        <v>10.6</v>
      </c>
      <c r="H8813" t="n">
        <v>0</v>
      </c>
      <c r="I8813" t="n">
        <v>0</v>
      </c>
      <c r="J8813" t="n">
        <v>0</v>
      </c>
      <c r="K8813" t="n">
        <v>0</v>
      </c>
      <c r="L8813" t="n">
        <v>0</v>
      </c>
      <c r="M8813" t="n">
        <v>0</v>
      </c>
      <c r="N8813" t="n">
        <v>0</v>
      </c>
      <c r="O8813" t="n">
        <v>0</v>
      </c>
      <c r="P8813" t="n">
        <v>0</v>
      </c>
      <c r="Q8813" t="n">
        <v>0</v>
      </c>
      <c r="R8813" s="2" t="inlineStr"/>
    </row>
    <row r="8814" ht="15" customHeight="1">
      <c r="A8814" t="inlineStr">
        <is>
          <t>A 7971-2026</t>
        </is>
      </c>
      <c r="B8814" s="1" t="n">
        <v>46063.46555555556</v>
      </c>
      <c r="C8814" s="1" t="n">
        <v>46086</v>
      </c>
      <c r="D8814" t="inlineStr">
        <is>
          <t>GÄVLEBORGS LÄN</t>
        </is>
      </c>
      <c r="E8814" t="inlineStr">
        <is>
          <t>BOLLNÄS</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7974-2026</t>
        </is>
      </c>
      <c r="B8815" s="1" t="n">
        <v>46063.46685185185</v>
      </c>
      <c r="C8815" s="1" t="n">
        <v>46086</v>
      </c>
      <c r="D8815" t="inlineStr">
        <is>
          <t>GÄVLEBORGS LÄN</t>
        </is>
      </c>
      <c r="E8815" t="inlineStr">
        <is>
          <t>HUDIKSVALL</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7976-2026</t>
        </is>
      </c>
      <c r="B8816" s="1" t="n">
        <v>46063.46881944445</v>
      </c>
      <c r="C8816" s="1" t="n">
        <v>46086</v>
      </c>
      <c r="D8816" t="inlineStr">
        <is>
          <t>GÄVLEBORGS LÄN</t>
        </is>
      </c>
      <c r="E8816" t="inlineStr">
        <is>
          <t>HUDIKSVALL</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8295-2026</t>
        </is>
      </c>
      <c r="B8817" s="1" t="n">
        <v>46063</v>
      </c>
      <c r="C8817" s="1" t="n">
        <v>46086</v>
      </c>
      <c r="D8817" t="inlineStr">
        <is>
          <t>GÄVLEBORGS LÄN</t>
        </is>
      </c>
      <c r="E8817" t="inlineStr">
        <is>
          <t>SANDVIKEN</t>
        </is>
      </c>
      <c r="F8817" t="inlineStr">
        <is>
          <t>Bergvik skog väst AB</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8301-2026</t>
        </is>
      </c>
      <c r="B8818" s="1" t="n">
        <v>46063</v>
      </c>
      <c r="C8818" s="1" t="n">
        <v>46086</v>
      </c>
      <c r="D8818" t="inlineStr">
        <is>
          <t>GÄVLEBORGS LÄN</t>
        </is>
      </c>
      <c r="E8818" t="inlineStr">
        <is>
          <t>GÄVLE</t>
        </is>
      </c>
      <c r="F8818" t="inlineStr">
        <is>
          <t>Bergvik skog väst AB</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8314-2026</t>
        </is>
      </c>
      <c r="B8819" s="1" t="n">
        <v>46064.60053240741</v>
      </c>
      <c r="C8819" s="1" t="n">
        <v>46086</v>
      </c>
      <c r="D8819" t="inlineStr">
        <is>
          <t>GÄVLEBORGS LÄN</t>
        </is>
      </c>
      <c r="E8819" t="inlineStr">
        <is>
          <t>HOFORS</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8343-2026</t>
        </is>
      </c>
      <c r="B8820" s="1" t="n">
        <v>46064.63734953704</v>
      </c>
      <c r="C8820" s="1" t="n">
        <v>46086</v>
      </c>
      <c r="D8820" t="inlineStr">
        <is>
          <t>GÄVLEBORGS LÄN</t>
        </is>
      </c>
      <c r="E8820" t="inlineStr">
        <is>
          <t>OCKELBO</t>
        </is>
      </c>
      <c r="G8820" t="n">
        <v>3.4</v>
      </c>
      <c r="H8820" t="n">
        <v>0</v>
      </c>
      <c r="I8820" t="n">
        <v>0</v>
      </c>
      <c r="J8820" t="n">
        <v>0</v>
      </c>
      <c r="K8820" t="n">
        <v>0</v>
      </c>
      <c r="L8820" t="n">
        <v>0</v>
      </c>
      <c r="M8820" t="n">
        <v>0</v>
      </c>
      <c r="N8820" t="n">
        <v>0</v>
      </c>
      <c r="O8820" t="n">
        <v>0</v>
      </c>
      <c r="P8820" t="n">
        <v>0</v>
      </c>
      <c r="Q8820" t="n">
        <v>0</v>
      </c>
      <c r="R8820" s="2" t="inlineStr"/>
    </row>
    <row r="8821" ht="15" customHeight="1">
      <c r="A8821" t="inlineStr">
        <is>
          <t>A 8344-2026</t>
        </is>
      </c>
      <c r="B8821" s="1" t="n">
        <v>46064.63939814815</v>
      </c>
      <c r="C8821" s="1" t="n">
        <v>46086</v>
      </c>
      <c r="D8821" t="inlineStr">
        <is>
          <t>GÄVLEBORGS LÄN</t>
        </is>
      </c>
      <c r="E8821" t="inlineStr">
        <is>
          <t>OCKELBO</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8346-2026</t>
        </is>
      </c>
      <c r="B8822" s="1" t="n">
        <v>46064.6397337963</v>
      </c>
      <c r="C8822" s="1" t="n">
        <v>46086</v>
      </c>
      <c r="D8822" t="inlineStr">
        <is>
          <t>GÄVLEBORGS LÄN</t>
        </is>
      </c>
      <c r="E8822" t="inlineStr">
        <is>
          <t>LJUSDAL</t>
        </is>
      </c>
      <c r="F8822" t="inlineStr">
        <is>
          <t>Bergvik skog väst AB</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8349-2026</t>
        </is>
      </c>
      <c r="B8823" s="1" t="n">
        <v>46064.64278935185</v>
      </c>
      <c r="C8823" s="1" t="n">
        <v>46086</v>
      </c>
      <c r="D8823" t="inlineStr">
        <is>
          <t>GÄVLEBORGS LÄN</t>
        </is>
      </c>
      <c r="E8823" t="inlineStr">
        <is>
          <t>OCKELBO</t>
        </is>
      </c>
      <c r="G8823" t="n">
        <v>3.3</v>
      </c>
      <c r="H8823" t="n">
        <v>0</v>
      </c>
      <c r="I8823" t="n">
        <v>0</v>
      </c>
      <c r="J8823" t="n">
        <v>0</v>
      </c>
      <c r="K8823" t="n">
        <v>0</v>
      </c>
      <c r="L8823" t="n">
        <v>0</v>
      </c>
      <c r="M8823" t="n">
        <v>0</v>
      </c>
      <c r="N8823" t="n">
        <v>0</v>
      </c>
      <c r="O8823" t="n">
        <v>0</v>
      </c>
      <c r="P8823" t="n">
        <v>0</v>
      </c>
      <c r="Q8823" t="n">
        <v>0</v>
      </c>
      <c r="R8823" s="2" t="inlineStr"/>
    </row>
    <row r="8824" ht="15" customHeight="1">
      <c r="A8824" t="inlineStr">
        <is>
          <t>A 7350-2026</t>
        </is>
      </c>
      <c r="B8824" s="1" t="n">
        <v>46058</v>
      </c>
      <c r="C8824" s="1" t="n">
        <v>46086</v>
      </c>
      <c r="D8824" t="inlineStr">
        <is>
          <t>GÄVLEBORGS LÄN</t>
        </is>
      </c>
      <c r="E8824" t="inlineStr">
        <is>
          <t>SANDVIKEN</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3731-2024</t>
        </is>
      </c>
      <c r="B8825" s="1" t="n">
        <v>45321.48737268519</v>
      </c>
      <c r="C8825" s="1" t="n">
        <v>46086</v>
      </c>
      <c r="D8825" t="inlineStr">
        <is>
          <t>GÄVLEBORGS LÄN</t>
        </is>
      </c>
      <c r="E8825" t="inlineStr">
        <is>
          <t>SANDVIKEN</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8157-2026</t>
        </is>
      </c>
      <c r="B8826" s="1" t="n">
        <v>46064.36305555556</v>
      </c>
      <c r="C8826" s="1" t="n">
        <v>46086</v>
      </c>
      <c r="D8826" t="inlineStr">
        <is>
          <t>GÄVLEBORGS LÄN</t>
        </is>
      </c>
      <c r="E8826" t="inlineStr">
        <is>
          <t>OCKELBO</t>
        </is>
      </c>
      <c r="G8826" t="n">
        <v>4.3</v>
      </c>
      <c r="H8826" t="n">
        <v>0</v>
      </c>
      <c r="I8826" t="n">
        <v>0</v>
      </c>
      <c r="J8826" t="n">
        <v>0</v>
      </c>
      <c r="K8826" t="n">
        <v>0</v>
      </c>
      <c r="L8826" t="n">
        <v>0</v>
      </c>
      <c r="M8826" t="n">
        <v>0</v>
      </c>
      <c r="N8826" t="n">
        <v>0</v>
      </c>
      <c r="O8826" t="n">
        <v>0</v>
      </c>
      <c r="P8826" t="n">
        <v>0</v>
      </c>
      <c r="Q8826" t="n">
        <v>0</v>
      </c>
      <c r="R8826" s="2" t="inlineStr"/>
    </row>
    <row r="8827" ht="15" customHeight="1">
      <c r="A8827" t="inlineStr">
        <is>
          <t>A 8166-2026</t>
        </is>
      </c>
      <c r="B8827" s="1" t="n">
        <v>46064.38925925926</v>
      </c>
      <c r="C8827" s="1" t="n">
        <v>46086</v>
      </c>
      <c r="D8827" t="inlineStr">
        <is>
          <t>GÄVLEBORGS LÄN</t>
        </is>
      </c>
      <c r="E8827" t="inlineStr">
        <is>
          <t>BOLLNÄS</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8180-2026</t>
        </is>
      </c>
      <c r="B8828" s="1" t="n">
        <v>46064.41806712963</v>
      </c>
      <c r="C8828" s="1" t="n">
        <v>46086</v>
      </c>
      <c r="D8828" t="inlineStr">
        <is>
          <t>GÄVLEBORGS LÄN</t>
        </is>
      </c>
      <c r="E8828" t="inlineStr">
        <is>
          <t>LJUSDAL</t>
        </is>
      </c>
      <c r="F8828" t="inlineStr">
        <is>
          <t>Holmen skog AB</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8182-2026</t>
        </is>
      </c>
      <c r="B8829" s="1" t="n">
        <v>46064.41988425926</v>
      </c>
      <c r="C8829" s="1" t="n">
        <v>46086</v>
      </c>
      <c r="D8829" t="inlineStr">
        <is>
          <t>GÄVLEBORGS LÄN</t>
        </is>
      </c>
      <c r="E8829" t="inlineStr">
        <is>
          <t>NORDANSTIG</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8187-2026</t>
        </is>
      </c>
      <c r="B8830" s="1" t="n">
        <v>46064.42210648148</v>
      </c>
      <c r="C8830" s="1" t="n">
        <v>46086</v>
      </c>
      <c r="D8830" t="inlineStr">
        <is>
          <t>GÄVLEBORGS LÄN</t>
        </is>
      </c>
      <c r="E8830" t="inlineStr">
        <is>
          <t>BOLLNÄS</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8279-2026</t>
        </is>
      </c>
      <c r="B8831" s="1" t="n">
        <v>46064.55806712963</v>
      </c>
      <c r="C8831" s="1" t="n">
        <v>46086</v>
      </c>
      <c r="D8831" t="inlineStr">
        <is>
          <t>GÄVLEBORGS LÄN</t>
        </is>
      </c>
      <c r="E8831" t="inlineStr">
        <is>
          <t>HOFORS</t>
        </is>
      </c>
      <c r="F8831" t="inlineStr">
        <is>
          <t>Sveaskog</t>
        </is>
      </c>
      <c r="G8831" t="n">
        <v>4.7</v>
      </c>
      <c r="H8831" t="n">
        <v>0</v>
      </c>
      <c r="I8831" t="n">
        <v>0</v>
      </c>
      <c r="J8831" t="n">
        <v>0</v>
      </c>
      <c r="K8831" t="n">
        <v>0</v>
      </c>
      <c r="L8831" t="n">
        <v>0</v>
      </c>
      <c r="M8831" t="n">
        <v>0</v>
      </c>
      <c r="N8831" t="n">
        <v>0</v>
      </c>
      <c r="O8831" t="n">
        <v>0</v>
      </c>
      <c r="P8831" t="n">
        <v>0</v>
      </c>
      <c r="Q8831" t="n">
        <v>0</v>
      </c>
      <c r="R8831" s="2" t="inlineStr"/>
    </row>
    <row r="8832" ht="15" customHeight="1">
      <c r="A8832" t="inlineStr">
        <is>
          <t>A 7335-2026</t>
        </is>
      </c>
      <c r="B8832" s="1" t="n">
        <v>46058</v>
      </c>
      <c r="C8832" s="1" t="n">
        <v>46086</v>
      </c>
      <c r="D8832" t="inlineStr">
        <is>
          <t>GÄVLEBORGS LÄN</t>
        </is>
      </c>
      <c r="E8832" t="inlineStr">
        <is>
          <t>SANDVIKEN</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10575-2025</t>
        </is>
      </c>
      <c r="B8833" s="1" t="n">
        <v>45721.54357638889</v>
      </c>
      <c r="C8833" s="1" t="n">
        <v>46086</v>
      </c>
      <c r="D8833" t="inlineStr">
        <is>
          <t>GÄVLEBORGS LÄN</t>
        </is>
      </c>
      <c r="E8833" t="inlineStr">
        <is>
          <t>SANDVIKEN</t>
        </is>
      </c>
      <c r="F8833" t="inlineStr">
        <is>
          <t>Sveaskog</t>
        </is>
      </c>
      <c r="G8833" t="n">
        <v>3.7</v>
      </c>
      <c r="H8833" t="n">
        <v>0</v>
      </c>
      <c r="I8833" t="n">
        <v>0</v>
      </c>
      <c r="J8833" t="n">
        <v>0</v>
      </c>
      <c r="K8833" t="n">
        <v>0</v>
      </c>
      <c r="L8833" t="n">
        <v>0</v>
      </c>
      <c r="M8833" t="n">
        <v>0</v>
      </c>
      <c r="N8833" t="n">
        <v>0</v>
      </c>
      <c r="O8833" t="n">
        <v>0</v>
      </c>
      <c r="P8833" t="n">
        <v>0</v>
      </c>
      <c r="Q8833" t="n">
        <v>0</v>
      </c>
      <c r="R8833" s="2" t="inlineStr"/>
    </row>
    <row r="8834" ht="15" customHeight="1">
      <c r="A8834" t="inlineStr">
        <is>
          <t>A 47916-2025</t>
        </is>
      </c>
      <c r="B8834" s="1" t="n">
        <v>45932.5190162037</v>
      </c>
      <c r="C8834" s="1" t="n">
        <v>46086</v>
      </c>
      <c r="D8834" t="inlineStr">
        <is>
          <t>GÄVLEBORGS LÄN</t>
        </is>
      </c>
      <c r="E8834" t="inlineStr">
        <is>
          <t>GÄVLE</t>
        </is>
      </c>
      <c r="G8834" t="n">
        <v>3.1</v>
      </c>
      <c r="H8834" t="n">
        <v>0</v>
      </c>
      <c r="I8834" t="n">
        <v>0</v>
      </c>
      <c r="J8834" t="n">
        <v>0</v>
      </c>
      <c r="K8834" t="n">
        <v>0</v>
      </c>
      <c r="L8834" t="n">
        <v>0</v>
      </c>
      <c r="M8834" t="n">
        <v>0</v>
      </c>
      <c r="N8834" t="n">
        <v>0</v>
      </c>
      <c r="O8834" t="n">
        <v>0</v>
      </c>
      <c r="P8834" t="n">
        <v>0</v>
      </c>
      <c r="Q8834" t="n">
        <v>0</v>
      </c>
      <c r="R8834" s="2" t="inlineStr"/>
    </row>
    <row r="8835" ht="15" customHeight="1">
      <c r="A8835" t="inlineStr">
        <is>
          <t>A 10577-2025</t>
        </is>
      </c>
      <c r="B8835" s="1" t="n">
        <v>45721.54620370371</v>
      </c>
      <c r="C8835" s="1" t="n">
        <v>46086</v>
      </c>
      <c r="D8835" t="inlineStr">
        <is>
          <t>GÄVLEBORGS LÄN</t>
        </is>
      </c>
      <c r="E8835" t="inlineStr">
        <is>
          <t>SANDVIKEN</t>
        </is>
      </c>
      <c r="F8835" t="inlineStr">
        <is>
          <t>Sveaskog</t>
        </is>
      </c>
      <c r="G8835" t="n">
        <v>10.9</v>
      </c>
      <c r="H8835" t="n">
        <v>0</v>
      </c>
      <c r="I8835" t="n">
        <v>0</v>
      </c>
      <c r="J8835" t="n">
        <v>0</v>
      </c>
      <c r="K8835" t="n">
        <v>0</v>
      </c>
      <c r="L8835" t="n">
        <v>0</v>
      </c>
      <c r="M8835" t="n">
        <v>0</v>
      </c>
      <c r="N8835" t="n">
        <v>0</v>
      </c>
      <c r="O8835" t="n">
        <v>0</v>
      </c>
      <c r="P8835" t="n">
        <v>0</v>
      </c>
      <c r="Q8835" t="n">
        <v>0</v>
      </c>
      <c r="R8835" s="2" t="inlineStr"/>
    </row>
    <row r="8836" ht="15" customHeight="1">
      <c r="A8836" t="inlineStr">
        <is>
          <t>A 10580-2025</t>
        </is>
      </c>
      <c r="B8836" s="1" t="n">
        <v>45721.54834490741</v>
      </c>
      <c r="C8836" s="1" t="n">
        <v>46086</v>
      </c>
      <c r="D8836" t="inlineStr">
        <is>
          <t>GÄVLEBORGS LÄN</t>
        </is>
      </c>
      <c r="E8836" t="inlineStr">
        <is>
          <t>SANDVIKEN</t>
        </is>
      </c>
      <c r="F8836" t="inlineStr">
        <is>
          <t>Sveaskog</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5035-2026</t>
        </is>
      </c>
      <c r="B8837" s="1" t="n">
        <v>46049</v>
      </c>
      <c r="C8837" s="1" t="n">
        <v>46086</v>
      </c>
      <c r="D8837" t="inlineStr">
        <is>
          <t>GÄVLEBORGS LÄN</t>
        </is>
      </c>
      <c r="E8837" t="inlineStr">
        <is>
          <t>BOLLNÄS</t>
        </is>
      </c>
      <c r="F8837" t="inlineStr">
        <is>
          <t>Bergvik skog väst AB</t>
        </is>
      </c>
      <c r="G8837" t="n">
        <v>20.5</v>
      </c>
      <c r="H8837" t="n">
        <v>0</v>
      </c>
      <c r="I8837" t="n">
        <v>0</v>
      </c>
      <c r="J8837" t="n">
        <v>0</v>
      </c>
      <c r="K8837" t="n">
        <v>0</v>
      </c>
      <c r="L8837" t="n">
        <v>0</v>
      </c>
      <c r="M8837" t="n">
        <v>0</v>
      </c>
      <c r="N8837" t="n">
        <v>0</v>
      </c>
      <c r="O8837" t="n">
        <v>0</v>
      </c>
      <c r="P8837" t="n">
        <v>0</v>
      </c>
      <c r="Q8837" t="n">
        <v>0</v>
      </c>
      <c r="R8837" s="2" t="inlineStr"/>
    </row>
    <row r="8838" ht="15" customHeight="1">
      <c r="A8838" t="inlineStr">
        <is>
          <t>A 5036-2026</t>
        </is>
      </c>
      <c r="B8838" s="1" t="n">
        <v>46049</v>
      </c>
      <c r="C8838" s="1" t="n">
        <v>46086</v>
      </c>
      <c r="D8838" t="inlineStr">
        <is>
          <t>GÄVLEBORGS LÄN</t>
        </is>
      </c>
      <c r="E8838" t="inlineStr">
        <is>
          <t>BOLLNÄS</t>
        </is>
      </c>
      <c r="F8838" t="inlineStr">
        <is>
          <t>Bergvik skog väst AB</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5083-2026</t>
        </is>
      </c>
      <c r="B8839" s="1" t="n">
        <v>46049</v>
      </c>
      <c r="C8839" s="1" t="n">
        <v>46086</v>
      </c>
      <c r="D8839" t="inlineStr">
        <is>
          <t>GÄVLEBORGS LÄN</t>
        </is>
      </c>
      <c r="E8839" t="inlineStr">
        <is>
          <t>BOLLNÄS</t>
        </is>
      </c>
      <c r="F8839" t="inlineStr">
        <is>
          <t>Bergvik skog väst AB</t>
        </is>
      </c>
      <c r="G8839" t="n">
        <v>31.2</v>
      </c>
      <c r="H8839" t="n">
        <v>0</v>
      </c>
      <c r="I8839" t="n">
        <v>0</v>
      </c>
      <c r="J8839" t="n">
        <v>0</v>
      </c>
      <c r="K8839" t="n">
        <v>0</v>
      </c>
      <c r="L8839" t="n">
        <v>0</v>
      </c>
      <c r="M8839" t="n">
        <v>0</v>
      </c>
      <c r="N8839" t="n">
        <v>0</v>
      </c>
      <c r="O8839" t="n">
        <v>0</v>
      </c>
      <c r="P8839" t="n">
        <v>0</v>
      </c>
      <c r="Q8839" t="n">
        <v>0</v>
      </c>
      <c r="R8839" s="2" t="inlineStr"/>
    </row>
    <row r="8840" ht="15" customHeight="1">
      <c r="A8840" t="inlineStr">
        <is>
          <t>A 6867-2026</t>
        </is>
      </c>
      <c r="B8840" s="1" t="n">
        <v>46057</v>
      </c>
      <c r="C8840" s="1" t="n">
        <v>46086</v>
      </c>
      <c r="D8840" t="inlineStr">
        <is>
          <t>GÄVLEBORGS LÄN</t>
        </is>
      </c>
      <c r="E8840" t="inlineStr">
        <is>
          <t>SÖDERHAMN</t>
        </is>
      </c>
      <c r="F8840" t="inlineStr">
        <is>
          <t>Bergvik skog väst AB</t>
        </is>
      </c>
      <c r="G8840" t="n">
        <v>7.1</v>
      </c>
      <c r="H8840" t="n">
        <v>0</v>
      </c>
      <c r="I8840" t="n">
        <v>0</v>
      </c>
      <c r="J8840" t="n">
        <v>0</v>
      </c>
      <c r="K8840" t="n">
        <v>0</v>
      </c>
      <c r="L8840" t="n">
        <v>0</v>
      </c>
      <c r="M8840" t="n">
        <v>0</v>
      </c>
      <c r="N8840" t="n">
        <v>0</v>
      </c>
      <c r="O8840" t="n">
        <v>0</v>
      </c>
      <c r="P8840" t="n">
        <v>0</v>
      </c>
      <c r="Q8840" t="n">
        <v>0</v>
      </c>
      <c r="R8840" s="2" t="inlineStr"/>
    </row>
    <row r="8841" ht="15" customHeight="1">
      <c r="A8841" t="inlineStr">
        <is>
          <t>A 36048-2024</t>
        </is>
      </c>
      <c r="B8841" s="1" t="n">
        <v>45533.61841435185</v>
      </c>
      <c r="C8841" s="1" t="n">
        <v>46086</v>
      </c>
      <c r="D8841" t="inlineStr">
        <is>
          <t>GÄVLEBORGS LÄN</t>
        </is>
      </c>
      <c r="E8841" t="inlineStr">
        <is>
          <t>OVANÅKER</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8134-2026</t>
        </is>
      </c>
      <c r="B8842" s="1" t="n">
        <v>46064.30798611111</v>
      </c>
      <c r="C8842" s="1" t="n">
        <v>46086</v>
      </c>
      <c r="D8842" t="inlineStr">
        <is>
          <t>GÄVLEBORGS LÄN</t>
        </is>
      </c>
      <c r="E8842" t="inlineStr">
        <is>
          <t>BOLLNÄS</t>
        </is>
      </c>
      <c r="G8842" t="n">
        <v>4.1</v>
      </c>
      <c r="H8842" t="n">
        <v>0</v>
      </c>
      <c r="I8842" t="n">
        <v>0</v>
      </c>
      <c r="J8842" t="n">
        <v>0</v>
      </c>
      <c r="K8842" t="n">
        <v>0</v>
      </c>
      <c r="L8842" t="n">
        <v>0</v>
      </c>
      <c r="M8842" t="n">
        <v>0</v>
      </c>
      <c r="N8842" t="n">
        <v>0</v>
      </c>
      <c r="O8842" t="n">
        <v>0</v>
      </c>
      <c r="P8842" t="n">
        <v>0</v>
      </c>
      <c r="Q8842" t="n">
        <v>0</v>
      </c>
      <c r="R8842" s="2" t="inlineStr"/>
    </row>
    <row r="8843" ht="15" customHeight="1">
      <c r="A8843" t="inlineStr">
        <is>
          <t>A 8148-2026</t>
        </is>
      </c>
      <c r="B8843" s="1" t="n">
        <v>46064.35201388889</v>
      </c>
      <c r="C8843" s="1" t="n">
        <v>46086</v>
      </c>
      <c r="D8843" t="inlineStr">
        <is>
          <t>GÄVLEBORGS LÄN</t>
        </is>
      </c>
      <c r="E8843" t="inlineStr">
        <is>
          <t>BOLLNÄS</t>
        </is>
      </c>
      <c r="G8843" t="n">
        <v>23.9</v>
      </c>
      <c r="H8843" t="n">
        <v>0</v>
      </c>
      <c r="I8843" t="n">
        <v>0</v>
      </c>
      <c r="J8843" t="n">
        <v>0</v>
      </c>
      <c r="K8843" t="n">
        <v>0</v>
      </c>
      <c r="L8843" t="n">
        <v>0</v>
      </c>
      <c r="M8843" t="n">
        <v>0</v>
      </c>
      <c r="N8843" t="n">
        <v>0</v>
      </c>
      <c r="O8843" t="n">
        <v>0</v>
      </c>
      <c r="P8843" t="n">
        <v>0</v>
      </c>
      <c r="Q8843" t="n">
        <v>0</v>
      </c>
      <c r="R8843" s="2" t="inlineStr"/>
    </row>
    <row r="8844" ht="15" customHeight="1">
      <c r="A8844" t="inlineStr">
        <is>
          <t>A 20043-2024</t>
        </is>
      </c>
      <c r="B8844" s="1" t="n">
        <v>45434</v>
      </c>
      <c r="C8844" s="1" t="n">
        <v>46086</v>
      </c>
      <c r="D8844" t="inlineStr">
        <is>
          <t>GÄVLEBORGS LÄN</t>
        </is>
      </c>
      <c r="E8844" t="inlineStr">
        <is>
          <t>LJUSDAL</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64151-2025</t>
        </is>
      </c>
      <c r="B8845" s="1" t="n">
        <v>46022.58253472222</v>
      </c>
      <c r="C8845" s="1" t="n">
        <v>46086</v>
      </c>
      <c r="D8845" t="inlineStr">
        <is>
          <t>GÄVLEBORGS LÄN</t>
        </is>
      </c>
      <c r="E8845" t="inlineStr">
        <is>
          <t>GÄVLE</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37002-2024</t>
        </is>
      </c>
      <c r="B8846" s="1" t="n">
        <v>45539</v>
      </c>
      <c r="C8846" s="1" t="n">
        <v>46086</v>
      </c>
      <c r="D8846" t="inlineStr">
        <is>
          <t>GÄVLEBORGS LÄN</t>
        </is>
      </c>
      <c r="E8846" t="inlineStr">
        <is>
          <t>NORDANSTIG</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8150-2026</t>
        </is>
      </c>
      <c r="B8847" s="1" t="n">
        <v>46064.3554050926</v>
      </c>
      <c r="C8847" s="1" t="n">
        <v>46086</v>
      </c>
      <c r="D8847" t="inlineStr">
        <is>
          <t>GÄVLEBORGS LÄN</t>
        </is>
      </c>
      <c r="E8847" t="inlineStr">
        <is>
          <t>OCKELBO</t>
        </is>
      </c>
      <c r="F8847" t="inlineStr">
        <is>
          <t>Kyrkan</t>
        </is>
      </c>
      <c r="G8847" t="n">
        <v>4.4</v>
      </c>
      <c r="H8847" t="n">
        <v>0</v>
      </c>
      <c r="I8847" t="n">
        <v>0</v>
      </c>
      <c r="J8847" t="n">
        <v>0</v>
      </c>
      <c r="K8847" t="n">
        <v>0</v>
      </c>
      <c r="L8847" t="n">
        <v>0</v>
      </c>
      <c r="M8847" t="n">
        <v>0</v>
      </c>
      <c r="N8847" t="n">
        <v>0</v>
      </c>
      <c r="O8847" t="n">
        <v>0</v>
      </c>
      <c r="P8847" t="n">
        <v>0</v>
      </c>
      <c r="Q8847" t="n">
        <v>0</v>
      </c>
      <c r="R8847" s="2" t="inlineStr"/>
    </row>
    <row r="8848" ht="15" customHeight="1">
      <c r="A8848" t="inlineStr">
        <is>
          <t>A 8151-2026</t>
        </is>
      </c>
      <c r="B8848" s="1" t="n">
        <v>46064.35712962963</v>
      </c>
      <c r="C8848" s="1" t="n">
        <v>46086</v>
      </c>
      <c r="D8848" t="inlineStr">
        <is>
          <t>GÄVLEBORGS LÄN</t>
        </is>
      </c>
      <c r="E8848" t="inlineStr">
        <is>
          <t>BOLLNÄS</t>
        </is>
      </c>
      <c r="F8848" t="inlineStr">
        <is>
          <t>Bergvik skog väst AB</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44938-2022</t>
        </is>
      </c>
      <c r="B8849" s="1" t="n">
        <v>44841</v>
      </c>
      <c r="C8849" s="1" t="n">
        <v>46086</v>
      </c>
      <c r="D8849" t="inlineStr">
        <is>
          <t>GÄVLEBORGS LÄN</t>
        </is>
      </c>
      <c r="E8849" t="inlineStr">
        <is>
          <t>GÄVLE</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64139-2025</t>
        </is>
      </c>
      <c r="B8850" s="1" t="n">
        <v>46022</v>
      </c>
      <c r="C8850" s="1" t="n">
        <v>46086</v>
      </c>
      <c r="D8850" t="inlineStr">
        <is>
          <t>GÄVLEBORGS LÄN</t>
        </is>
      </c>
      <c r="E8850" t="inlineStr">
        <is>
          <t>GÄVLE</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64142-2025</t>
        </is>
      </c>
      <c r="B8851" s="1" t="n">
        <v>46022</v>
      </c>
      <c r="C8851" s="1" t="n">
        <v>46086</v>
      </c>
      <c r="D8851" t="inlineStr">
        <is>
          <t>GÄVLEBORGS LÄN</t>
        </is>
      </c>
      <c r="E8851" t="inlineStr">
        <is>
          <t>GÄVLE</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64148-2025</t>
        </is>
      </c>
      <c r="B8852" s="1" t="n">
        <v>46022</v>
      </c>
      <c r="C8852" s="1" t="n">
        <v>46086</v>
      </c>
      <c r="D8852" t="inlineStr">
        <is>
          <t>GÄVLEBORGS LÄN</t>
        </is>
      </c>
      <c r="E8852" t="inlineStr">
        <is>
          <t>GÄVLE</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9-2026</t>
        </is>
      </c>
      <c r="B8853" s="1" t="n">
        <v>46023</v>
      </c>
      <c r="C8853" s="1" t="n">
        <v>46086</v>
      </c>
      <c r="D8853" t="inlineStr">
        <is>
          <t>GÄVLEBORGS LÄN</t>
        </is>
      </c>
      <c r="E8853" t="inlineStr">
        <is>
          <t>OVANÅKER</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8385-2026</t>
        </is>
      </c>
      <c r="B8854" s="1" t="n">
        <v>46064.83287037037</v>
      </c>
      <c r="C8854" s="1" t="n">
        <v>46086</v>
      </c>
      <c r="D8854" t="inlineStr">
        <is>
          <t>GÄVLEBORGS LÄN</t>
        </is>
      </c>
      <c r="E8854" t="inlineStr">
        <is>
          <t>OVANÅKER</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8568-2026</t>
        </is>
      </c>
      <c r="B8855" s="1" t="n">
        <v>46065.67380787037</v>
      </c>
      <c r="C8855" s="1" t="n">
        <v>46086</v>
      </c>
      <c r="D8855" t="inlineStr">
        <is>
          <t>GÄVLEBORGS LÄN</t>
        </is>
      </c>
      <c r="E8855" t="inlineStr">
        <is>
          <t>GÄVLE</t>
        </is>
      </c>
      <c r="G8855" t="n">
        <v>9.5</v>
      </c>
      <c r="H8855" t="n">
        <v>0</v>
      </c>
      <c r="I8855" t="n">
        <v>0</v>
      </c>
      <c r="J8855" t="n">
        <v>0</v>
      </c>
      <c r="K8855" t="n">
        <v>0</v>
      </c>
      <c r="L8855" t="n">
        <v>0</v>
      </c>
      <c r="M8855" t="n">
        <v>0</v>
      </c>
      <c r="N8855" t="n">
        <v>0</v>
      </c>
      <c r="O8855" t="n">
        <v>0</v>
      </c>
      <c r="P8855" t="n">
        <v>0</v>
      </c>
      <c r="Q8855" t="n">
        <v>0</v>
      </c>
      <c r="R8855" s="2" t="inlineStr"/>
    </row>
    <row r="8856" ht="15" customHeight="1">
      <c r="A8856" t="inlineStr">
        <is>
          <t>A 4631-2026</t>
        </is>
      </c>
      <c r="B8856" s="1" t="n">
        <v>46048</v>
      </c>
      <c r="C8856" s="1" t="n">
        <v>46086</v>
      </c>
      <c r="D8856" t="inlineStr">
        <is>
          <t>GÄVLEBORGS LÄN</t>
        </is>
      </c>
      <c r="E8856" t="inlineStr">
        <is>
          <t>BOLLNÄS</t>
        </is>
      </c>
      <c r="F8856" t="inlineStr">
        <is>
          <t>Bergvik skog väst AB</t>
        </is>
      </c>
      <c r="G8856" t="n">
        <v>14.2</v>
      </c>
      <c r="H8856" t="n">
        <v>0</v>
      </c>
      <c r="I8856" t="n">
        <v>0</v>
      </c>
      <c r="J8856" t="n">
        <v>0</v>
      </c>
      <c r="K8856" t="n">
        <v>0</v>
      </c>
      <c r="L8856" t="n">
        <v>0</v>
      </c>
      <c r="M8856" t="n">
        <v>0</v>
      </c>
      <c r="N8856" t="n">
        <v>0</v>
      </c>
      <c r="O8856" t="n">
        <v>0</v>
      </c>
      <c r="P8856" t="n">
        <v>0</v>
      </c>
      <c r="Q8856" t="n">
        <v>0</v>
      </c>
      <c r="R8856" s="2" t="inlineStr"/>
    </row>
    <row r="8857" ht="15" customHeight="1">
      <c r="A8857" t="inlineStr">
        <is>
          <t>A 22758-2021</t>
        </is>
      </c>
      <c r="B8857" s="1" t="n">
        <v>44327.8400462963</v>
      </c>
      <c r="C8857" s="1" t="n">
        <v>46086</v>
      </c>
      <c r="D8857" t="inlineStr">
        <is>
          <t>GÄVLEBORGS LÄN</t>
        </is>
      </c>
      <c r="E8857" t="inlineStr">
        <is>
          <t>LJUSDAL</t>
        </is>
      </c>
      <c r="F8857" t="inlineStr">
        <is>
          <t>Sveaskog</t>
        </is>
      </c>
      <c r="G8857" t="n">
        <v>3.8</v>
      </c>
      <c r="H8857" t="n">
        <v>0</v>
      </c>
      <c r="I8857" t="n">
        <v>0</v>
      </c>
      <c r="J8857" t="n">
        <v>0</v>
      </c>
      <c r="K8857" t="n">
        <v>0</v>
      </c>
      <c r="L8857" t="n">
        <v>0</v>
      </c>
      <c r="M8857" t="n">
        <v>0</v>
      </c>
      <c r="N8857" t="n">
        <v>0</v>
      </c>
      <c r="O8857" t="n">
        <v>0</v>
      </c>
      <c r="P8857" t="n">
        <v>0</v>
      </c>
      <c r="Q8857" t="n">
        <v>0</v>
      </c>
      <c r="R8857" s="2" t="inlineStr"/>
    </row>
    <row r="8858" ht="15" customHeight="1">
      <c r="A8858" t="inlineStr">
        <is>
          <t>A 147-2024</t>
        </is>
      </c>
      <c r="B8858" s="1" t="n">
        <v>45294.46956018519</v>
      </c>
      <c r="C8858" s="1" t="n">
        <v>46086</v>
      </c>
      <c r="D8858" t="inlineStr">
        <is>
          <t>GÄVLEBORGS LÄN</t>
        </is>
      </c>
      <c r="E8858" t="inlineStr">
        <is>
          <t>LJUSDAL</t>
        </is>
      </c>
      <c r="G8858" t="n">
        <v>9.9</v>
      </c>
      <c r="H8858" t="n">
        <v>0</v>
      </c>
      <c r="I8858" t="n">
        <v>0</v>
      </c>
      <c r="J8858" t="n">
        <v>0</v>
      </c>
      <c r="K8858" t="n">
        <v>0</v>
      </c>
      <c r="L8858" t="n">
        <v>0</v>
      </c>
      <c r="M8858" t="n">
        <v>0</v>
      </c>
      <c r="N8858" t="n">
        <v>0</v>
      </c>
      <c r="O8858" t="n">
        <v>0</v>
      </c>
      <c r="P8858" t="n">
        <v>0</v>
      </c>
      <c r="Q8858" t="n">
        <v>0</v>
      </c>
      <c r="R8858" s="2" t="inlineStr"/>
    </row>
    <row r="8859" ht="15" customHeight="1">
      <c r="A8859" t="inlineStr">
        <is>
          <t>A 5365-2026</t>
        </is>
      </c>
      <c r="B8859" s="1" t="n">
        <v>46050</v>
      </c>
      <c r="C8859" s="1" t="n">
        <v>46086</v>
      </c>
      <c r="D8859" t="inlineStr">
        <is>
          <t>GÄVLEBORGS LÄN</t>
        </is>
      </c>
      <c r="E8859" t="inlineStr">
        <is>
          <t>BOLLNÄS</t>
        </is>
      </c>
      <c r="F8859" t="inlineStr">
        <is>
          <t>Bergvik skog väst AB</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5419-2026</t>
        </is>
      </c>
      <c r="B8860" s="1" t="n">
        <v>46050</v>
      </c>
      <c r="C8860" s="1" t="n">
        <v>46086</v>
      </c>
      <c r="D8860" t="inlineStr">
        <is>
          <t>GÄVLEBORGS LÄN</t>
        </is>
      </c>
      <c r="E8860" t="inlineStr">
        <is>
          <t>BOLLNÄS</t>
        </is>
      </c>
      <c r="F8860" t="inlineStr">
        <is>
          <t>Bergvik skog väst AB</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5431-2026</t>
        </is>
      </c>
      <c r="B8861" s="1" t="n">
        <v>46050</v>
      </c>
      <c r="C8861" s="1" t="n">
        <v>46086</v>
      </c>
      <c r="D8861" t="inlineStr">
        <is>
          <t>GÄVLEBORGS LÄN</t>
        </is>
      </c>
      <c r="E8861" t="inlineStr">
        <is>
          <t>BOLLNÄS</t>
        </is>
      </c>
      <c r="F8861" t="inlineStr">
        <is>
          <t>Bergvik skog väst AB</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5440-2026</t>
        </is>
      </c>
      <c r="B8862" s="1" t="n">
        <v>46050</v>
      </c>
      <c r="C8862" s="1" t="n">
        <v>46086</v>
      </c>
      <c r="D8862" t="inlineStr">
        <is>
          <t>GÄVLEBORGS LÄN</t>
        </is>
      </c>
      <c r="E8862" t="inlineStr">
        <is>
          <t>BOLLNÄS</t>
        </is>
      </c>
      <c r="F8862" t="inlineStr">
        <is>
          <t>Bergvik skog väst AB</t>
        </is>
      </c>
      <c r="G8862" t="n">
        <v>5.9</v>
      </c>
      <c r="H8862" t="n">
        <v>0</v>
      </c>
      <c r="I8862" t="n">
        <v>0</v>
      </c>
      <c r="J8862" t="n">
        <v>0</v>
      </c>
      <c r="K8862" t="n">
        <v>0</v>
      </c>
      <c r="L8862" t="n">
        <v>0</v>
      </c>
      <c r="M8862" t="n">
        <v>0</v>
      </c>
      <c r="N8862" t="n">
        <v>0</v>
      </c>
      <c r="O8862" t="n">
        <v>0</v>
      </c>
      <c r="P8862" t="n">
        <v>0</v>
      </c>
      <c r="Q8862" t="n">
        <v>0</v>
      </c>
      <c r="R8862" s="2" t="inlineStr"/>
    </row>
    <row r="8863" ht="15" customHeight="1">
      <c r="A8863" t="inlineStr">
        <is>
          <t>A 5443-2026</t>
        </is>
      </c>
      <c r="B8863" s="1" t="n">
        <v>46050</v>
      </c>
      <c r="C8863" s="1" t="n">
        <v>46086</v>
      </c>
      <c r="D8863" t="inlineStr">
        <is>
          <t>GÄVLEBORGS LÄN</t>
        </is>
      </c>
      <c r="E8863" t="inlineStr">
        <is>
          <t>BOLLNÄS</t>
        </is>
      </c>
      <c r="F8863" t="inlineStr">
        <is>
          <t>Bergvik skog väst AB</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42350-2022</t>
        </is>
      </c>
      <c r="B8864" s="1" t="n">
        <v>44831.36085648148</v>
      </c>
      <c r="C8864" s="1" t="n">
        <v>46086</v>
      </c>
      <c r="D8864" t="inlineStr">
        <is>
          <t>GÄVLEBORGS LÄN</t>
        </is>
      </c>
      <c r="E8864" t="inlineStr">
        <is>
          <t>BOLLNÄS</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6956-2026</t>
        </is>
      </c>
      <c r="B8865" s="1" t="n">
        <v>46057</v>
      </c>
      <c r="C8865" s="1" t="n">
        <v>46086</v>
      </c>
      <c r="D8865" t="inlineStr">
        <is>
          <t>GÄVLEBORGS LÄN</t>
        </is>
      </c>
      <c r="E8865" t="inlineStr">
        <is>
          <t>SANDVIKEN</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7032-2026</t>
        </is>
      </c>
      <c r="B8866" s="1" t="n">
        <v>46057</v>
      </c>
      <c r="C8866" s="1" t="n">
        <v>46086</v>
      </c>
      <c r="D8866" t="inlineStr">
        <is>
          <t>GÄVLEBORGS LÄN</t>
        </is>
      </c>
      <c r="E8866" t="inlineStr">
        <is>
          <t>BOLLNÄS</t>
        </is>
      </c>
      <c r="F8866" t="inlineStr">
        <is>
          <t>Bergvik skog väst AB</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7078-2026</t>
        </is>
      </c>
      <c r="B8867" s="1" t="n">
        <v>46058</v>
      </c>
      <c r="C8867" s="1" t="n">
        <v>46086</v>
      </c>
      <c r="D8867" t="inlineStr">
        <is>
          <t>GÄVLEBORGS LÄN</t>
        </is>
      </c>
      <c r="E8867" t="inlineStr">
        <is>
          <t>OCKELBO</t>
        </is>
      </c>
      <c r="F8867" t="inlineStr">
        <is>
          <t>Bergvik skog väst AB</t>
        </is>
      </c>
      <c r="G8867" t="n">
        <v>8.4</v>
      </c>
      <c r="H8867" t="n">
        <v>0</v>
      </c>
      <c r="I8867" t="n">
        <v>0</v>
      </c>
      <c r="J8867" t="n">
        <v>0</v>
      </c>
      <c r="K8867" t="n">
        <v>0</v>
      </c>
      <c r="L8867" t="n">
        <v>0</v>
      </c>
      <c r="M8867" t="n">
        <v>0</v>
      </c>
      <c r="N8867" t="n">
        <v>0</v>
      </c>
      <c r="O8867" t="n">
        <v>0</v>
      </c>
      <c r="P8867" t="n">
        <v>0</v>
      </c>
      <c r="Q8867" t="n">
        <v>0</v>
      </c>
      <c r="R8867" s="2" t="inlineStr"/>
    </row>
    <row r="8868" ht="15" customHeight="1">
      <c r="A8868" t="inlineStr">
        <is>
          <t>A 8506-2026</t>
        </is>
      </c>
      <c r="B8868" s="1" t="n">
        <v>46065.52847222222</v>
      </c>
      <c r="C8868" s="1" t="n">
        <v>46086</v>
      </c>
      <c r="D8868" t="inlineStr">
        <is>
          <t>GÄVLEBORGS LÄN</t>
        </is>
      </c>
      <c r="E8868" t="inlineStr">
        <is>
          <t>BOLLNÄS</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8513-2026</t>
        </is>
      </c>
      <c r="B8869" s="1" t="n">
        <v>46065.56185185185</v>
      </c>
      <c r="C8869" s="1" t="n">
        <v>46086</v>
      </c>
      <c r="D8869" t="inlineStr">
        <is>
          <t>GÄVLEBORGS LÄN</t>
        </is>
      </c>
      <c r="E8869" t="inlineStr">
        <is>
          <t>BOLLNÄS</t>
        </is>
      </c>
      <c r="G8869" t="n">
        <v>3.5</v>
      </c>
      <c r="H8869" t="n">
        <v>0</v>
      </c>
      <c r="I8869" t="n">
        <v>0</v>
      </c>
      <c r="J8869" t="n">
        <v>0</v>
      </c>
      <c r="K8869" t="n">
        <v>0</v>
      </c>
      <c r="L8869" t="n">
        <v>0</v>
      </c>
      <c r="M8869" t="n">
        <v>0</v>
      </c>
      <c r="N8869" t="n">
        <v>0</v>
      </c>
      <c r="O8869" t="n">
        <v>0</v>
      </c>
      <c r="P8869" t="n">
        <v>0</v>
      </c>
      <c r="Q8869" t="n">
        <v>0</v>
      </c>
      <c r="R8869" s="2" t="inlineStr"/>
    </row>
    <row r="8870" ht="15" customHeight="1">
      <c r="A8870" t="inlineStr">
        <is>
          <t>A 8369-2026</t>
        </is>
      </c>
      <c r="B8870" s="1" t="n">
        <v>46064.70855324074</v>
      </c>
      <c r="C8870" s="1" t="n">
        <v>46086</v>
      </c>
      <c r="D8870" t="inlineStr">
        <is>
          <t>GÄVLEBORGS LÄN</t>
        </is>
      </c>
      <c r="E8870" t="inlineStr">
        <is>
          <t>HUDIKSVALL</t>
        </is>
      </c>
      <c r="G8870" t="n">
        <v>4.4</v>
      </c>
      <c r="H8870" t="n">
        <v>0</v>
      </c>
      <c r="I8870" t="n">
        <v>0</v>
      </c>
      <c r="J8870" t="n">
        <v>0</v>
      </c>
      <c r="K8870" t="n">
        <v>0</v>
      </c>
      <c r="L8870" t="n">
        <v>0</v>
      </c>
      <c r="M8870" t="n">
        <v>0</v>
      </c>
      <c r="N8870" t="n">
        <v>0</v>
      </c>
      <c r="O8870" t="n">
        <v>0</v>
      </c>
      <c r="P8870" t="n">
        <v>0</v>
      </c>
      <c r="Q8870" t="n">
        <v>0</v>
      </c>
      <c r="R8870" s="2" t="inlineStr"/>
    </row>
    <row r="8871" ht="15" customHeight="1">
      <c r="A8871" t="inlineStr">
        <is>
          <t>A 8370-2026</t>
        </is>
      </c>
      <c r="B8871" s="1" t="n">
        <v>46064.71255787037</v>
      </c>
      <c r="C8871" s="1" t="n">
        <v>46086</v>
      </c>
      <c r="D8871" t="inlineStr">
        <is>
          <t>GÄVLEBORGS LÄN</t>
        </is>
      </c>
      <c r="E8871" t="inlineStr">
        <is>
          <t>HUDIKSVALL</t>
        </is>
      </c>
      <c r="G8871" t="n">
        <v>2.8</v>
      </c>
      <c r="H8871" t="n">
        <v>0</v>
      </c>
      <c r="I8871" t="n">
        <v>0</v>
      </c>
      <c r="J8871" t="n">
        <v>0</v>
      </c>
      <c r="K8871" t="n">
        <v>0</v>
      </c>
      <c r="L8871" t="n">
        <v>0</v>
      </c>
      <c r="M8871" t="n">
        <v>0</v>
      </c>
      <c r="N8871" t="n">
        <v>0</v>
      </c>
      <c r="O8871" t="n">
        <v>0</v>
      </c>
      <c r="P8871" t="n">
        <v>0</v>
      </c>
      <c r="Q8871" t="n">
        <v>0</v>
      </c>
      <c r="R8871" s="2" t="inlineStr"/>
    </row>
    <row r="8872" ht="15" customHeight="1">
      <c r="A8872" t="inlineStr">
        <is>
          <t>A 8371-2026</t>
        </is>
      </c>
      <c r="B8872" s="1" t="n">
        <v>46064.71320601852</v>
      </c>
      <c r="C8872" s="1" t="n">
        <v>46086</v>
      </c>
      <c r="D8872" t="inlineStr">
        <is>
          <t>GÄVLEBORGS LÄN</t>
        </is>
      </c>
      <c r="E8872" t="inlineStr">
        <is>
          <t>HUDIKSVALL</t>
        </is>
      </c>
      <c r="G8872" t="n">
        <v>2.8</v>
      </c>
      <c r="H8872" t="n">
        <v>0</v>
      </c>
      <c r="I8872" t="n">
        <v>0</v>
      </c>
      <c r="J8872" t="n">
        <v>0</v>
      </c>
      <c r="K8872" t="n">
        <v>0</v>
      </c>
      <c r="L8872" t="n">
        <v>0</v>
      </c>
      <c r="M8872" t="n">
        <v>0</v>
      </c>
      <c r="N8872" t="n">
        <v>0</v>
      </c>
      <c r="O8872" t="n">
        <v>0</v>
      </c>
      <c r="P8872" t="n">
        <v>0</v>
      </c>
      <c r="Q8872" t="n">
        <v>0</v>
      </c>
      <c r="R8872" s="2" t="inlineStr"/>
    </row>
    <row r="8873" ht="15" customHeight="1">
      <c r="A8873" t="inlineStr">
        <is>
          <t>A 8512-2026</t>
        </is>
      </c>
      <c r="B8873" s="1" t="n">
        <v>46065.5574537037</v>
      </c>
      <c r="C8873" s="1" t="n">
        <v>46086</v>
      </c>
      <c r="D8873" t="inlineStr">
        <is>
          <t>GÄVLEBORGS LÄN</t>
        </is>
      </c>
      <c r="E8873" t="inlineStr">
        <is>
          <t>HUDIKSVALL</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8515-2026</t>
        </is>
      </c>
      <c r="B8874" s="1" t="n">
        <v>46065.57314814815</v>
      </c>
      <c r="C8874" s="1" t="n">
        <v>46086</v>
      </c>
      <c r="D8874" t="inlineStr">
        <is>
          <t>GÄVLEBORGS LÄN</t>
        </is>
      </c>
      <c r="E8874" t="inlineStr">
        <is>
          <t>BOLLNÄS</t>
        </is>
      </c>
      <c r="G8874" t="n">
        <v>13.9</v>
      </c>
      <c r="H8874" t="n">
        <v>0</v>
      </c>
      <c r="I8874" t="n">
        <v>0</v>
      </c>
      <c r="J8874" t="n">
        <v>0</v>
      </c>
      <c r="K8874" t="n">
        <v>0</v>
      </c>
      <c r="L8874" t="n">
        <v>0</v>
      </c>
      <c r="M8874" t="n">
        <v>0</v>
      </c>
      <c r="N8874" t="n">
        <v>0</v>
      </c>
      <c r="O8874" t="n">
        <v>0</v>
      </c>
      <c r="P8874" t="n">
        <v>0</v>
      </c>
      <c r="Q8874" t="n">
        <v>0</v>
      </c>
      <c r="R8874" s="2" t="inlineStr"/>
    </row>
    <row r="8875" ht="15" customHeight="1">
      <c r="A8875" t="inlineStr">
        <is>
          <t>A 8531-2026</t>
        </is>
      </c>
      <c r="B8875" s="1" t="n">
        <v>46065.60076388889</v>
      </c>
      <c r="C8875" s="1" t="n">
        <v>46086</v>
      </c>
      <c r="D8875" t="inlineStr">
        <is>
          <t>GÄVLEBORGS LÄN</t>
        </is>
      </c>
      <c r="E8875" t="inlineStr">
        <is>
          <t>OVANÅKER</t>
        </is>
      </c>
      <c r="G8875" t="n">
        <v>5.8</v>
      </c>
      <c r="H8875" t="n">
        <v>0</v>
      </c>
      <c r="I8875" t="n">
        <v>0</v>
      </c>
      <c r="J8875" t="n">
        <v>0</v>
      </c>
      <c r="K8875" t="n">
        <v>0</v>
      </c>
      <c r="L8875" t="n">
        <v>0</v>
      </c>
      <c r="M8875" t="n">
        <v>0</v>
      </c>
      <c r="N8875" t="n">
        <v>0</v>
      </c>
      <c r="O8875" t="n">
        <v>0</v>
      </c>
      <c r="P8875" t="n">
        <v>0</v>
      </c>
      <c r="Q8875" t="n">
        <v>0</v>
      </c>
      <c r="R8875" s="2" t="inlineStr"/>
    </row>
    <row r="8876" ht="15" customHeight="1">
      <c r="A8876" t="inlineStr">
        <is>
          <t>A 6853-2026</t>
        </is>
      </c>
      <c r="B8876" s="1" t="n">
        <v>46057</v>
      </c>
      <c r="C8876" s="1" t="n">
        <v>46086</v>
      </c>
      <c r="D8876" t="inlineStr">
        <is>
          <t>GÄVLEBORGS LÄN</t>
        </is>
      </c>
      <c r="E8876" t="inlineStr">
        <is>
          <t>BOLLNÄS</t>
        </is>
      </c>
      <c r="F8876" t="inlineStr">
        <is>
          <t>Bergvik skog väst AB</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7568-2026</t>
        </is>
      </c>
      <c r="B8877" s="1" t="n">
        <v>46060.62287037037</v>
      </c>
      <c r="C8877" s="1" t="n">
        <v>46086</v>
      </c>
      <c r="D8877" t="inlineStr">
        <is>
          <t>GÄVLEBORGS LÄN</t>
        </is>
      </c>
      <c r="E8877" t="inlineStr">
        <is>
          <t>BOLLNÄS</t>
        </is>
      </c>
      <c r="G8877" t="n">
        <v>3.2</v>
      </c>
      <c r="H8877" t="n">
        <v>0</v>
      </c>
      <c r="I8877" t="n">
        <v>0</v>
      </c>
      <c r="J8877" t="n">
        <v>0</v>
      </c>
      <c r="K8877" t="n">
        <v>0</v>
      </c>
      <c r="L8877" t="n">
        <v>0</v>
      </c>
      <c r="M8877" t="n">
        <v>0</v>
      </c>
      <c r="N8877" t="n">
        <v>0</v>
      </c>
      <c r="O8877" t="n">
        <v>0</v>
      </c>
      <c r="P8877" t="n">
        <v>0</v>
      </c>
      <c r="Q8877" t="n">
        <v>0</v>
      </c>
      <c r="R8877" s="2" t="inlineStr"/>
    </row>
    <row r="8878" ht="15" customHeight="1">
      <c r="A8878" t="inlineStr">
        <is>
          <t>A 8396-2026</t>
        </is>
      </c>
      <c r="B8878" s="1" t="n">
        <v>46065.29842592592</v>
      </c>
      <c r="C8878" s="1" t="n">
        <v>46086</v>
      </c>
      <c r="D8878" t="inlineStr">
        <is>
          <t>GÄVLEBORGS LÄN</t>
        </is>
      </c>
      <c r="E8878" t="inlineStr">
        <is>
          <t>BOLLNÄS</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8401-2026</t>
        </is>
      </c>
      <c r="B8879" s="1" t="n">
        <v>46065.31412037037</v>
      </c>
      <c r="C8879" s="1" t="n">
        <v>46086</v>
      </c>
      <c r="D8879" t="inlineStr">
        <is>
          <t>GÄVLEBORGS LÄN</t>
        </is>
      </c>
      <c r="E8879" t="inlineStr">
        <is>
          <t>BOLLNÄS</t>
        </is>
      </c>
      <c r="G8879" t="n">
        <v>8.4</v>
      </c>
      <c r="H8879" t="n">
        <v>0</v>
      </c>
      <c r="I8879" t="n">
        <v>0</v>
      </c>
      <c r="J8879" t="n">
        <v>0</v>
      </c>
      <c r="K8879" t="n">
        <v>0</v>
      </c>
      <c r="L8879" t="n">
        <v>0</v>
      </c>
      <c r="M8879" t="n">
        <v>0</v>
      </c>
      <c r="N8879" t="n">
        <v>0</v>
      </c>
      <c r="O8879" t="n">
        <v>0</v>
      </c>
      <c r="P8879" t="n">
        <v>0</v>
      </c>
      <c r="Q8879" t="n">
        <v>0</v>
      </c>
      <c r="R8879" s="2" t="inlineStr"/>
    </row>
    <row r="8880" ht="15" customHeight="1">
      <c r="A8880" t="inlineStr">
        <is>
          <t>A 8404-2026</t>
        </is>
      </c>
      <c r="B8880" s="1" t="n">
        <v>46065.32443287037</v>
      </c>
      <c r="C8880" s="1" t="n">
        <v>46086</v>
      </c>
      <c r="D8880" t="inlineStr">
        <is>
          <t>GÄVLEBORGS LÄN</t>
        </is>
      </c>
      <c r="E8880" t="inlineStr">
        <is>
          <t>OCKELBO</t>
        </is>
      </c>
      <c r="F8880" t="inlineStr">
        <is>
          <t>Bergvik skog väst AB</t>
        </is>
      </c>
      <c r="G8880" t="n">
        <v>6.2</v>
      </c>
      <c r="H8880" t="n">
        <v>0</v>
      </c>
      <c r="I8880" t="n">
        <v>0</v>
      </c>
      <c r="J8880" t="n">
        <v>0</v>
      </c>
      <c r="K8880" t="n">
        <v>0</v>
      </c>
      <c r="L8880" t="n">
        <v>0</v>
      </c>
      <c r="M8880" t="n">
        <v>0</v>
      </c>
      <c r="N8880" t="n">
        <v>0</v>
      </c>
      <c r="O8880" t="n">
        <v>0</v>
      </c>
      <c r="P8880" t="n">
        <v>0</v>
      </c>
      <c r="Q8880" t="n">
        <v>0</v>
      </c>
      <c r="R8880" s="2" t="inlineStr"/>
    </row>
    <row r="8881" ht="15" customHeight="1">
      <c r="A8881" t="inlineStr">
        <is>
          <t>A 15499-2025</t>
        </is>
      </c>
      <c r="B8881" s="1" t="n">
        <v>45747.58306712963</v>
      </c>
      <c r="C8881" s="1" t="n">
        <v>46086</v>
      </c>
      <c r="D8881" t="inlineStr">
        <is>
          <t>GÄVLEBORGS LÄN</t>
        </is>
      </c>
      <c r="E8881" t="inlineStr">
        <is>
          <t>SÖDERHAMN</t>
        </is>
      </c>
      <c r="G8881" t="n">
        <v>3.5</v>
      </c>
      <c r="H8881" t="n">
        <v>0</v>
      </c>
      <c r="I8881" t="n">
        <v>0</v>
      </c>
      <c r="J8881" t="n">
        <v>0</v>
      </c>
      <c r="K8881" t="n">
        <v>0</v>
      </c>
      <c r="L8881" t="n">
        <v>0</v>
      </c>
      <c r="M8881" t="n">
        <v>0</v>
      </c>
      <c r="N8881" t="n">
        <v>0</v>
      </c>
      <c r="O8881" t="n">
        <v>0</v>
      </c>
      <c r="P8881" t="n">
        <v>0</v>
      </c>
      <c r="Q8881" t="n">
        <v>0</v>
      </c>
      <c r="R8881" s="2" t="inlineStr"/>
    </row>
    <row r="8882" ht="15" customHeight="1">
      <c r="A8882" t="inlineStr">
        <is>
          <t>A 8492-2026</t>
        </is>
      </c>
      <c r="B8882" s="1" t="n">
        <v>46065.48572916666</v>
      </c>
      <c r="C8882" s="1" t="n">
        <v>46086</v>
      </c>
      <c r="D8882" t="inlineStr">
        <is>
          <t>GÄVLEBORGS LÄN</t>
        </is>
      </c>
      <c r="E8882" t="inlineStr">
        <is>
          <t>BOLLNÄS</t>
        </is>
      </c>
      <c r="G8882" t="n">
        <v>5.7</v>
      </c>
      <c r="H8882" t="n">
        <v>0</v>
      </c>
      <c r="I8882" t="n">
        <v>0</v>
      </c>
      <c r="J8882" t="n">
        <v>0</v>
      </c>
      <c r="K8882" t="n">
        <v>0</v>
      </c>
      <c r="L8882" t="n">
        <v>0</v>
      </c>
      <c r="M8882" t="n">
        <v>0</v>
      </c>
      <c r="N8882" t="n">
        <v>0</v>
      </c>
      <c r="O8882" t="n">
        <v>0</v>
      </c>
      <c r="P8882" t="n">
        <v>0</v>
      </c>
      <c r="Q8882" t="n">
        <v>0</v>
      </c>
      <c r="R8882" s="2" t="inlineStr"/>
    </row>
    <row r="8883" ht="15" customHeight="1">
      <c r="A8883" t="inlineStr">
        <is>
          <t>A 8267-2026</t>
        </is>
      </c>
      <c r="B8883" s="1" t="n">
        <v>46064.54449074074</v>
      </c>
      <c r="C8883" s="1" t="n">
        <v>46086</v>
      </c>
      <c r="D8883" t="inlineStr">
        <is>
          <t>GÄVLEBORGS LÄN</t>
        </is>
      </c>
      <c r="E8883" t="inlineStr">
        <is>
          <t>OVANÅKER</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8308-2026</t>
        </is>
      </c>
      <c r="B8884" s="1" t="n">
        <v>46064.58982638889</v>
      </c>
      <c r="C8884" s="1" t="n">
        <v>46086</v>
      </c>
      <c r="D8884" t="inlineStr">
        <is>
          <t>GÄVLEBORGS LÄN</t>
        </is>
      </c>
      <c r="E8884" t="inlineStr">
        <is>
          <t>OVANÅKER</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8316-2026</t>
        </is>
      </c>
      <c r="B8885" s="1" t="n">
        <v>46064.60378472223</v>
      </c>
      <c r="C8885" s="1" t="n">
        <v>46086</v>
      </c>
      <c r="D8885" t="inlineStr">
        <is>
          <t>GÄVLEBORGS LÄN</t>
        </is>
      </c>
      <c r="E8885" t="inlineStr">
        <is>
          <t>OVANÅKER</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8318-2026</t>
        </is>
      </c>
      <c r="B8886" s="1" t="n">
        <v>46064.60451388889</v>
      </c>
      <c r="C8886" s="1" t="n">
        <v>46086</v>
      </c>
      <c r="D8886" t="inlineStr">
        <is>
          <t>GÄVLEBORGS LÄN</t>
        </is>
      </c>
      <c r="E8886" t="inlineStr">
        <is>
          <t>NORDANSTIG</t>
        </is>
      </c>
      <c r="G8886" t="n">
        <v>10.5</v>
      </c>
      <c r="H8886" t="n">
        <v>0</v>
      </c>
      <c r="I8886" t="n">
        <v>0</v>
      </c>
      <c r="J8886" t="n">
        <v>0</v>
      </c>
      <c r="K8886" t="n">
        <v>0</v>
      </c>
      <c r="L8886" t="n">
        <v>0</v>
      </c>
      <c r="M8886" t="n">
        <v>0</v>
      </c>
      <c r="N8886" t="n">
        <v>0</v>
      </c>
      <c r="O8886" t="n">
        <v>0</v>
      </c>
      <c r="P8886" t="n">
        <v>0</v>
      </c>
      <c r="Q8886" t="n">
        <v>0</v>
      </c>
      <c r="R8886" s="2" t="inlineStr"/>
    </row>
    <row r="8887" ht="15" customHeight="1">
      <c r="A8887" t="inlineStr">
        <is>
          <t>A 50740-2023</t>
        </is>
      </c>
      <c r="B8887" s="1" t="n">
        <v>45217.58702546296</v>
      </c>
      <c r="C8887" s="1" t="n">
        <v>46086</v>
      </c>
      <c r="D8887" t="inlineStr">
        <is>
          <t>GÄVLEBORGS LÄN</t>
        </is>
      </c>
      <c r="E8887" t="inlineStr">
        <is>
          <t>OVANÅKER</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58088-2022</t>
        </is>
      </c>
      <c r="B8888" s="1" t="n">
        <v>44900.62633101852</v>
      </c>
      <c r="C8888" s="1" t="n">
        <v>46086</v>
      </c>
      <c r="D8888" t="inlineStr">
        <is>
          <t>GÄVLEBORGS LÄN</t>
        </is>
      </c>
      <c r="E8888" t="inlineStr">
        <is>
          <t>HUDIKSVALL</t>
        </is>
      </c>
      <c r="G8888" t="n">
        <v>7.5</v>
      </c>
      <c r="H8888" t="n">
        <v>0</v>
      </c>
      <c r="I8888" t="n">
        <v>0</v>
      </c>
      <c r="J8888" t="n">
        <v>0</v>
      </c>
      <c r="K8888" t="n">
        <v>0</v>
      </c>
      <c r="L8888" t="n">
        <v>0</v>
      </c>
      <c r="M8888" t="n">
        <v>0</v>
      </c>
      <c r="N8888" t="n">
        <v>0</v>
      </c>
      <c r="O8888" t="n">
        <v>0</v>
      </c>
      <c r="P8888" t="n">
        <v>0</v>
      </c>
      <c r="Q8888" t="n">
        <v>0</v>
      </c>
      <c r="R8888" s="2" t="inlineStr"/>
    </row>
    <row r="8889" ht="15" customHeight="1">
      <c r="A8889" t="inlineStr">
        <is>
          <t>A 8337-2026</t>
        </is>
      </c>
      <c r="B8889" s="1" t="n">
        <v>46064.63451388889</v>
      </c>
      <c r="C8889" s="1" t="n">
        <v>46086</v>
      </c>
      <c r="D8889" t="inlineStr">
        <is>
          <t>GÄVLEBORGS LÄN</t>
        </is>
      </c>
      <c r="E8889" t="inlineStr">
        <is>
          <t>OCKELBO</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7569-2026</t>
        </is>
      </c>
      <c r="B8890" s="1" t="n">
        <v>46060.62847222222</v>
      </c>
      <c r="C8890" s="1" t="n">
        <v>46086</v>
      </c>
      <c r="D8890" t="inlineStr">
        <is>
          <t>GÄVLEBORGS LÄN</t>
        </is>
      </c>
      <c r="E8890" t="inlineStr">
        <is>
          <t>BOLLNÄS</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5277-2026</t>
        </is>
      </c>
      <c r="B8891" s="1" t="n">
        <v>46050</v>
      </c>
      <c r="C8891" s="1" t="n">
        <v>46086</v>
      </c>
      <c r="D8891" t="inlineStr">
        <is>
          <t>GÄVLEBORGS LÄN</t>
        </is>
      </c>
      <c r="E8891" t="inlineStr">
        <is>
          <t>BOLLNÄS</t>
        </is>
      </c>
      <c r="F8891" t="inlineStr">
        <is>
          <t>Bergvik skog väst AB</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5367-2026</t>
        </is>
      </c>
      <c r="B8892" s="1" t="n">
        <v>46050</v>
      </c>
      <c r="C8892" s="1" t="n">
        <v>46086</v>
      </c>
      <c r="D8892" t="inlineStr">
        <is>
          <t>GÄVLEBORGS LÄN</t>
        </is>
      </c>
      <c r="E8892" t="inlineStr">
        <is>
          <t>BOLLNÄS</t>
        </is>
      </c>
      <c r="F8892" t="inlineStr">
        <is>
          <t>Bergvik skog väst AB</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5372-2026</t>
        </is>
      </c>
      <c r="B8893" s="1" t="n">
        <v>46050</v>
      </c>
      <c r="C8893" s="1" t="n">
        <v>46086</v>
      </c>
      <c r="D8893" t="inlineStr">
        <is>
          <t>GÄVLEBORGS LÄN</t>
        </is>
      </c>
      <c r="E8893" t="inlineStr">
        <is>
          <t>BOLLNÄS</t>
        </is>
      </c>
      <c r="F8893" t="inlineStr">
        <is>
          <t>Bergvik skog väst AB</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7351-2026</t>
        </is>
      </c>
      <c r="B8894" s="1" t="n">
        <v>46058</v>
      </c>
      <c r="C8894" s="1" t="n">
        <v>46086</v>
      </c>
      <c r="D8894" t="inlineStr">
        <is>
          <t>GÄVLEBORGS LÄN</t>
        </is>
      </c>
      <c r="E8894" t="inlineStr">
        <is>
          <t>SANDVIKEN</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7352-2026</t>
        </is>
      </c>
      <c r="B8895" s="1" t="n">
        <v>46058</v>
      </c>
      <c r="C8895" s="1" t="n">
        <v>46086</v>
      </c>
      <c r="D8895" t="inlineStr">
        <is>
          <t>GÄVLEBORGS LÄN</t>
        </is>
      </c>
      <c r="E8895" t="inlineStr">
        <is>
          <t>SANDVIKEN</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62361-2025</t>
        </is>
      </c>
      <c r="B8896" s="1" t="n">
        <v>46007.32319444444</v>
      </c>
      <c r="C8896" s="1" t="n">
        <v>46086</v>
      </c>
      <c r="D8896" t="inlineStr">
        <is>
          <t>GÄVLEBORGS LÄN</t>
        </is>
      </c>
      <c r="E8896" t="inlineStr">
        <is>
          <t>LJUSDAL</t>
        </is>
      </c>
      <c r="G8896" t="n">
        <v>4.1</v>
      </c>
      <c r="H8896" t="n">
        <v>0</v>
      </c>
      <c r="I8896" t="n">
        <v>0</v>
      </c>
      <c r="J8896" t="n">
        <v>0</v>
      </c>
      <c r="K8896" t="n">
        <v>0</v>
      </c>
      <c r="L8896" t="n">
        <v>0</v>
      </c>
      <c r="M8896" t="n">
        <v>0</v>
      </c>
      <c r="N8896" t="n">
        <v>0</v>
      </c>
      <c r="O8896" t="n">
        <v>0</v>
      </c>
      <c r="P8896" t="n">
        <v>0</v>
      </c>
      <c r="Q8896" t="n">
        <v>0</v>
      </c>
      <c r="R8896" s="2" t="inlineStr"/>
    </row>
    <row r="8897" ht="15" customHeight="1">
      <c r="A8897" t="inlineStr">
        <is>
          <t>A 6944-2026</t>
        </is>
      </c>
      <c r="B8897" s="1" t="n">
        <v>46057.56758101852</v>
      </c>
      <c r="C8897" s="1" t="n">
        <v>46086</v>
      </c>
      <c r="D8897" t="inlineStr">
        <is>
          <t>GÄVLEBORGS LÄN</t>
        </is>
      </c>
      <c r="E8897" t="inlineStr">
        <is>
          <t>OVANÅKER</t>
        </is>
      </c>
      <c r="G8897" t="n">
        <v>5.5</v>
      </c>
      <c r="H8897" t="n">
        <v>0</v>
      </c>
      <c r="I8897" t="n">
        <v>0</v>
      </c>
      <c r="J8897" t="n">
        <v>0</v>
      </c>
      <c r="K8897" t="n">
        <v>0</v>
      </c>
      <c r="L8897" t="n">
        <v>0</v>
      </c>
      <c r="M8897" t="n">
        <v>0</v>
      </c>
      <c r="N8897" t="n">
        <v>0</v>
      </c>
      <c r="O8897" t="n">
        <v>0</v>
      </c>
      <c r="P8897" t="n">
        <v>0</v>
      </c>
      <c r="Q8897" t="n">
        <v>0</v>
      </c>
      <c r="R8897" s="2" t="inlineStr"/>
    </row>
    <row r="8898" ht="15" customHeight="1">
      <c r="A8898" t="inlineStr">
        <is>
          <t>A 7729-2024</t>
        </is>
      </c>
      <c r="B8898" s="1" t="n">
        <v>45349</v>
      </c>
      <c r="C8898" s="1" t="n">
        <v>46086</v>
      </c>
      <c r="D8898" t="inlineStr">
        <is>
          <t>GÄVLEBORGS LÄN</t>
        </is>
      </c>
      <c r="E8898" t="inlineStr">
        <is>
          <t>LJUSDAL</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8243-2026</t>
        </is>
      </c>
      <c r="B8899" s="1" t="n">
        <v>46064.49043981481</v>
      </c>
      <c r="C8899" s="1" t="n">
        <v>46086</v>
      </c>
      <c r="D8899" t="inlineStr">
        <is>
          <t>GÄVLEBORGS LÄN</t>
        </is>
      </c>
      <c r="E8899" t="inlineStr">
        <is>
          <t>OVANÅKER</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8265-2026</t>
        </is>
      </c>
      <c r="B8900" s="1" t="n">
        <v>46064.53915509259</v>
      </c>
      <c r="C8900" s="1" t="n">
        <v>46086</v>
      </c>
      <c r="D8900" t="inlineStr">
        <is>
          <t>GÄVLEBORGS LÄN</t>
        </is>
      </c>
      <c r="E8900" t="inlineStr">
        <is>
          <t>OVANÅKER</t>
        </is>
      </c>
      <c r="G8900" t="n">
        <v>4.5</v>
      </c>
      <c r="H8900" t="n">
        <v>0</v>
      </c>
      <c r="I8900" t="n">
        <v>0</v>
      </c>
      <c r="J8900" t="n">
        <v>0</v>
      </c>
      <c r="K8900" t="n">
        <v>0</v>
      </c>
      <c r="L8900" t="n">
        <v>0</v>
      </c>
      <c r="M8900" t="n">
        <v>0</v>
      </c>
      <c r="N8900" t="n">
        <v>0</v>
      </c>
      <c r="O8900" t="n">
        <v>0</v>
      </c>
      <c r="P8900" t="n">
        <v>0</v>
      </c>
      <c r="Q8900" t="n">
        <v>0</v>
      </c>
      <c r="R8900" s="2" t="inlineStr"/>
    </row>
    <row r="8901" ht="15" customHeight="1">
      <c r="A8901" t="inlineStr">
        <is>
          <t>A 8268-2026</t>
        </is>
      </c>
      <c r="B8901" s="1" t="n">
        <v>46064.54471064815</v>
      </c>
      <c r="C8901" s="1" t="n">
        <v>46086</v>
      </c>
      <c r="D8901" t="inlineStr">
        <is>
          <t>GÄVLEBORGS LÄN</t>
        </is>
      </c>
      <c r="E8901" t="inlineStr">
        <is>
          <t>BOLLNÄS</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8281-2026</t>
        </is>
      </c>
      <c r="B8902" s="1" t="n">
        <v>46064.55938657407</v>
      </c>
      <c r="C8902" s="1" t="n">
        <v>46086</v>
      </c>
      <c r="D8902" t="inlineStr">
        <is>
          <t>GÄVLEBORGS LÄN</t>
        </is>
      </c>
      <c r="E8902" t="inlineStr">
        <is>
          <t>NORDANSTIG</t>
        </is>
      </c>
      <c r="G8902" t="n">
        <v>38.1</v>
      </c>
      <c r="H8902" t="n">
        <v>0</v>
      </c>
      <c r="I8902" t="n">
        <v>0</v>
      </c>
      <c r="J8902" t="n">
        <v>0</v>
      </c>
      <c r="K8902" t="n">
        <v>0</v>
      </c>
      <c r="L8902" t="n">
        <v>0</v>
      </c>
      <c r="M8902" t="n">
        <v>0</v>
      </c>
      <c r="N8902" t="n">
        <v>0</v>
      </c>
      <c r="O8902" t="n">
        <v>0</v>
      </c>
      <c r="P8902" t="n">
        <v>0</v>
      </c>
      <c r="Q8902" t="n">
        <v>0</v>
      </c>
      <c r="R8902" s="2" t="inlineStr"/>
    </row>
    <row r="8903" ht="15" customHeight="1">
      <c r="A8903" t="inlineStr">
        <is>
          <t>A 8321-2026</t>
        </is>
      </c>
      <c r="B8903" s="1" t="n">
        <v>46064.60894675926</v>
      </c>
      <c r="C8903" s="1" t="n">
        <v>46086</v>
      </c>
      <c r="D8903" t="inlineStr">
        <is>
          <t>GÄVLEBORGS LÄN</t>
        </is>
      </c>
      <c r="E8903" t="inlineStr">
        <is>
          <t>HOFORS</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6421-2026</t>
        </is>
      </c>
      <c r="B8904" s="1" t="n">
        <v>46055</v>
      </c>
      <c r="C8904" s="1" t="n">
        <v>46086</v>
      </c>
      <c r="D8904" t="inlineStr">
        <is>
          <t>GÄVLEBORGS LÄN</t>
        </is>
      </c>
      <c r="E8904" t="inlineStr">
        <is>
          <t>BOLLNÄS</t>
        </is>
      </c>
      <c r="F8904" t="inlineStr">
        <is>
          <t>Bergvik skog väst AB</t>
        </is>
      </c>
      <c r="G8904" t="n">
        <v>3.9</v>
      </c>
      <c r="H8904" t="n">
        <v>0</v>
      </c>
      <c r="I8904" t="n">
        <v>0</v>
      </c>
      <c r="J8904" t="n">
        <v>0</v>
      </c>
      <c r="K8904" t="n">
        <v>0</v>
      </c>
      <c r="L8904" t="n">
        <v>0</v>
      </c>
      <c r="M8904" t="n">
        <v>0</v>
      </c>
      <c r="N8904" t="n">
        <v>0</v>
      </c>
      <c r="O8904" t="n">
        <v>0</v>
      </c>
      <c r="P8904" t="n">
        <v>0</v>
      </c>
      <c r="Q8904" t="n">
        <v>0</v>
      </c>
      <c r="R8904" s="2" t="inlineStr"/>
    </row>
    <row r="8905" ht="15" customHeight="1">
      <c r="A8905" t="inlineStr">
        <is>
          <t>A 6459-2026</t>
        </is>
      </c>
      <c r="B8905" s="1" t="n">
        <v>46056</v>
      </c>
      <c r="C8905" s="1" t="n">
        <v>46086</v>
      </c>
      <c r="D8905" t="inlineStr">
        <is>
          <t>GÄVLEBORGS LÄN</t>
        </is>
      </c>
      <c r="E8905" t="inlineStr">
        <is>
          <t>OCKELBO</t>
        </is>
      </c>
      <c r="F8905" t="inlineStr">
        <is>
          <t>Bergvik skog väst AB</t>
        </is>
      </c>
      <c r="G8905" t="n">
        <v>10.5</v>
      </c>
      <c r="H8905" t="n">
        <v>0</v>
      </c>
      <c r="I8905" t="n">
        <v>0</v>
      </c>
      <c r="J8905" t="n">
        <v>0</v>
      </c>
      <c r="K8905" t="n">
        <v>0</v>
      </c>
      <c r="L8905" t="n">
        <v>0</v>
      </c>
      <c r="M8905" t="n">
        <v>0</v>
      </c>
      <c r="N8905" t="n">
        <v>0</v>
      </c>
      <c r="O8905" t="n">
        <v>0</v>
      </c>
      <c r="P8905" t="n">
        <v>0</v>
      </c>
      <c r="Q8905" t="n">
        <v>0</v>
      </c>
      <c r="R8905" s="2" t="inlineStr"/>
    </row>
    <row r="8906" ht="15" customHeight="1">
      <c r="A8906" t="inlineStr">
        <is>
          <t>A 48063-2024</t>
        </is>
      </c>
      <c r="B8906" s="1" t="n">
        <v>45589.55237268518</v>
      </c>
      <c r="C8906" s="1" t="n">
        <v>46086</v>
      </c>
      <c r="D8906" t="inlineStr">
        <is>
          <t>GÄVLEBORGS LÄN</t>
        </is>
      </c>
      <c r="E8906" t="inlineStr">
        <is>
          <t>HOFORS</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35115-2022</t>
        </is>
      </c>
      <c r="B8907" s="1" t="n">
        <v>44797.45246527778</v>
      </c>
      <c r="C8907" s="1" t="n">
        <v>46086</v>
      </c>
      <c r="D8907" t="inlineStr">
        <is>
          <t>GÄVLEBORGS LÄN</t>
        </is>
      </c>
      <c r="E8907" t="inlineStr">
        <is>
          <t>NORDANSTIG</t>
        </is>
      </c>
      <c r="F8907" t="inlineStr">
        <is>
          <t>Holmen skog AB</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5718-2026</t>
        </is>
      </c>
      <c r="B8908" s="1" t="n">
        <v>46051</v>
      </c>
      <c r="C8908" s="1" t="n">
        <v>46086</v>
      </c>
      <c r="D8908" t="inlineStr">
        <is>
          <t>GÄVLEBORGS LÄN</t>
        </is>
      </c>
      <c r="E8908" t="inlineStr">
        <is>
          <t>LJUSDAL</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6492-2026</t>
        </is>
      </c>
      <c r="B8909" s="1" t="n">
        <v>46056</v>
      </c>
      <c r="C8909" s="1" t="n">
        <v>46086</v>
      </c>
      <c r="D8909" t="inlineStr">
        <is>
          <t>GÄVLEBORGS LÄN</t>
        </is>
      </c>
      <c r="E8909" t="inlineStr">
        <is>
          <t>BOLLNÄS</t>
        </is>
      </c>
      <c r="G8909" t="n">
        <v>3.7</v>
      </c>
      <c r="H8909" t="n">
        <v>0</v>
      </c>
      <c r="I8909" t="n">
        <v>0</v>
      </c>
      <c r="J8909" t="n">
        <v>0</v>
      </c>
      <c r="K8909" t="n">
        <v>0</v>
      </c>
      <c r="L8909" t="n">
        <v>0</v>
      </c>
      <c r="M8909" t="n">
        <v>0</v>
      </c>
      <c r="N8909" t="n">
        <v>0</v>
      </c>
      <c r="O8909" t="n">
        <v>0</v>
      </c>
      <c r="P8909" t="n">
        <v>0</v>
      </c>
      <c r="Q8909" t="n">
        <v>0</v>
      </c>
      <c r="R8909" s="2" t="inlineStr"/>
    </row>
    <row r="8910" ht="15" customHeight="1">
      <c r="A8910" t="inlineStr">
        <is>
          <t>A 5977-2026</t>
        </is>
      </c>
      <c r="B8910" s="1" t="n">
        <v>46052</v>
      </c>
      <c r="C8910" s="1" t="n">
        <v>46086</v>
      </c>
      <c r="D8910" t="inlineStr">
        <is>
          <t>GÄVLEBORGS LÄN</t>
        </is>
      </c>
      <c r="E8910" t="inlineStr">
        <is>
          <t>OCKELBO</t>
        </is>
      </c>
      <c r="F8910" t="inlineStr">
        <is>
          <t>Bergvik skog väst AB</t>
        </is>
      </c>
      <c r="G8910" t="n">
        <v>3.4</v>
      </c>
      <c r="H8910" t="n">
        <v>0</v>
      </c>
      <c r="I8910" t="n">
        <v>0</v>
      </c>
      <c r="J8910" t="n">
        <v>0</v>
      </c>
      <c r="K8910" t="n">
        <v>0</v>
      </c>
      <c r="L8910" t="n">
        <v>0</v>
      </c>
      <c r="M8910" t="n">
        <v>0</v>
      </c>
      <c r="N8910" t="n">
        <v>0</v>
      </c>
      <c r="O8910" t="n">
        <v>0</v>
      </c>
      <c r="P8910" t="n">
        <v>0</v>
      </c>
      <c r="Q8910" t="n">
        <v>0</v>
      </c>
      <c r="R8910" s="2" t="inlineStr"/>
    </row>
    <row r="8911" ht="15" customHeight="1">
      <c r="A8911" t="inlineStr">
        <is>
          <t>A 6746-2026</t>
        </is>
      </c>
      <c r="B8911" s="1" t="n">
        <v>46056</v>
      </c>
      <c r="C8911" s="1" t="n">
        <v>46086</v>
      </c>
      <c r="D8911" t="inlineStr">
        <is>
          <t>GÄVLEBORGS LÄN</t>
        </is>
      </c>
      <c r="E8911" t="inlineStr">
        <is>
          <t>OCKELBO</t>
        </is>
      </c>
      <c r="F8911" t="inlineStr">
        <is>
          <t>Bergvik skog väst AB</t>
        </is>
      </c>
      <c r="G8911" t="n">
        <v>29</v>
      </c>
      <c r="H8911" t="n">
        <v>0</v>
      </c>
      <c r="I8911" t="n">
        <v>0</v>
      </c>
      <c r="J8911" t="n">
        <v>0</v>
      </c>
      <c r="K8911" t="n">
        <v>0</v>
      </c>
      <c r="L8911" t="n">
        <v>0</v>
      </c>
      <c r="M8911" t="n">
        <v>0</v>
      </c>
      <c r="N8911" t="n">
        <v>0</v>
      </c>
      <c r="O8911" t="n">
        <v>0</v>
      </c>
      <c r="P8911" t="n">
        <v>0</v>
      </c>
      <c r="Q8911" t="n">
        <v>0</v>
      </c>
      <c r="R8911" s="2" t="inlineStr"/>
    </row>
    <row r="8912" ht="15" customHeight="1">
      <c r="A8912" t="inlineStr">
        <is>
          <t>A 6849-2026</t>
        </is>
      </c>
      <c r="B8912" s="1" t="n">
        <v>46057</v>
      </c>
      <c r="C8912" s="1" t="n">
        <v>46086</v>
      </c>
      <c r="D8912" t="inlineStr">
        <is>
          <t>GÄVLEBORGS LÄN</t>
        </is>
      </c>
      <c r="E8912" t="inlineStr">
        <is>
          <t>HUDIKSVALL</t>
        </is>
      </c>
      <c r="F8912" t="inlineStr">
        <is>
          <t>Naturvårdsverket</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5286-2026</t>
        </is>
      </c>
      <c r="B8913" s="1" t="n">
        <v>46050</v>
      </c>
      <c r="C8913" s="1" t="n">
        <v>46086</v>
      </c>
      <c r="D8913" t="inlineStr">
        <is>
          <t>GÄVLEBORGS LÄN</t>
        </is>
      </c>
      <c r="E8913" t="inlineStr">
        <is>
          <t>BOLLNÄS</t>
        </is>
      </c>
      <c r="F8913" t="inlineStr">
        <is>
          <t>Bergvik skog väst AB</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5364-2026</t>
        </is>
      </c>
      <c r="B8914" s="1" t="n">
        <v>46050</v>
      </c>
      <c r="C8914" s="1" t="n">
        <v>46086</v>
      </c>
      <c r="D8914" t="inlineStr">
        <is>
          <t>GÄVLEBORGS LÄN</t>
        </is>
      </c>
      <c r="E8914" t="inlineStr">
        <is>
          <t>BOLLNÄS</t>
        </is>
      </c>
      <c r="F8914" t="inlineStr">
        <is>
          <t>Bergvik skog väst AB</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49857-2024</t>
        </is>
      </c>
      <c r="B8915" s="1" t="n">
        <v>45597.46914351852</v>
      </c>
      <c r="C8915" s="1" t="n">
        <v>46086</v>
      </c>
      <c r="D8915" t="inlineStr">
        <is>
          <t>GÄVLEBORGS LÄN</t>
        </is>
      </c>
      <c r="E8915" t="inlineStr">
        <is>
          <t>OVANÅKER</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64144-2025</t>
        </is>
      </c>
      <c r="B8916" s="1" t="n">
        <v>46022</v>
      </c>
      <c r="C8916" s="1" t="n">
        <v>46086</v>
      </c>
      <c r="D8916" t="inlineStr">
        <is>
          <t>GÄVLEBORGS LÄN</t>
        </is>
      </c>
      <c r="E8916" t="inlineStr">
        <is>
          <t>SÖDERHAMN</t>
        </is>
      </c>
      <c r="G8916" t="n">
        <v>3.7</v>
      </c>
      <c r="H8916" t="n">
        <v>0</v>
      </c>
      <c r="I8916" t="n">
        <v>0</v>
      </c>
      <c r="J8916" t="n">
        <v>0</v>
      </c>
      <c r="K8916" t="n">
        <v>0</v>
      </c>
      <c r="L8916" t="n">
        <v>0</v>
      </c>
      <c r="M8916" t="n">
        <v>0</v>
      </c>
      <c r="N8916" t="n">
        <v>0</v>
      </c>
      <c r="O8916" t="n">
        <v>0</v>
      </c>
      <c r="P8916" t="n">
        <v>0</v>
      </c>
      <c r="Q8916" t="n">
        <v>0</v>
      </c>
      <c r="R8916" s="2" t="inlineStr"/>
    </row>
    <row r="8917" ht="15" customHeight="1">
      <c r="A8917" t="inlineStr">
        <is>
          <t>A 64150-2025</t>
        </is>
      </c>
      <c r="B8917" s="1" t="n">
        <v>46022</v>
      </c>
      <c r="C8917" s="1" t="n">
        <v>46086</v>
      </c>
      <c r="D8917" t="inlineStr">
        <is>
          <t>GÄVLEBORGS LÄN</t>
        </is>
      </c>
      <c r="E8917" t="inlineStr">
        <is>
          <t>GÄVLE</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6561-2026</t>
        </is>
      </c>
      <c r="B8918" s="1" t="n">
        <v>46056</v>
      </c>
      <c r="C8918" s="1" t="n">
        <v>46086</v>
      </c>
      <c r="D8918" t="inlineStr">
        <is>
          <t>GÄVLEBORGS LÄN</t>
        </is>
      </c>
      <c r="E8918" t="inlineStr">
        <is>
          <t>OCKELBO</t>
        </is>
      </c>
      <c r="F8918" t="inlineStr">
        <is>
          <t>Bergvik skog väst AB</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7149-2026</t>
        </is>
      </c>
      <c r="B8919" s="1" t="n">
        <v>46058</v>
      </c>
      <c r="C8919" s="1" t="n">
        <v>46086</v>
      </c>
      <c r="D8919" t="inlineStr">
        <is>
          <t>GÄVLEBORGS LÄN</t>
        </is>
      </c>
      <c r="E8919" t="inlineStr">
        <is>
          <t>BOLLNÄS</t>
        </is>
      </c>
      <c r="F8919" t="inlineStr">
        <is>
          <t>Bergvik skog väst AB</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8497-2026</t>
        </is>
      </c>
      <c r="B8920" s="1" t="n">
        <v>46065.49221064815</v>
      </c>
      <c r="C8920" s="1" t="n">
        <v>46086</v>
      </c>
      <c r="D8920" t="inlineStr">
        <is>
          <t>GÄVLEBORGS LÄN</t>
        </is>
      </c>
      <c r="E8920" t="inlineStr">
        <is>
          <t>BOLLNÄS</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8348-2026</t>
        </is>
      </c>
      <c r="B8921" s="1" t="n">
        <v>46064.64170138889</v>
      </c>
      <c r="C8921" s="1" t="n">
        <v>46086</v>
      </c>
      <c r="D8921" t="inlineStr">
        <is>
          <t>GÄVLEBORGS LÄN</t>
        </is>
      </c>
      <c r="E8921" t="inlineStr">
        <is>
          <t>OCKELBO</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8354-2026</t>
        </is>
      </c>
      <c r="B8922" s="1" t="n">
        <v>46064.64571759259</v>
      </c>
      <c r="C8922" s="1" t="n">
        <v>46086</v>
      </c>
      <c r="D8922" t="inlineStr">
        <is>
          <t>GÄVLEBORGS LÄN</t>
        </is>
      </c>
      <c r="E8922" t="inlineStr">
        <is>
          <t>OCKELBO</t>
        </is>
      </c>
      <c r="F8922" t="inlineStr">
        <is>
          <t>Bergvik skog väst AB</t>
        </is>
      </c>
      <c r="G8922" t="n">
        <v>3.3</v>
      </c>
      <c r="H8922" t="n">
        <v>0</v>
      </c>
      <c r="I8922" t="n">
        <v>0</v>
      </c>
      <c r="J8922" t="n">
        <v>0</v>
      </c>
      <c r="K8922" t="n">
        <v>0</v>
      </c>
      <c r="L8922" t="n">
        <v>0</v>
      </c>
      <c r="M8922" t="n">
        <v>0</v>
      </c>
      <c r="N8922" t="n">
        <v>0</v>
      </c>
      <c r="O8922" t="n">
        <v>0</v>
      </c>
      <c r="P8922" t="n">
        <v>0</v>
      </c>
      <c r="Q8922" t="n">
        <v>0</v>
      </c>
      <c r="R8922" s="2" t="inlineStr"/>
    </row>
    <row r="8923" ht="15" customHeight="1">
      <c r="A8923" t="inlineStr">
        <is>
          <t>A 8378-2026</t>
        </is>
      </c>
      <c r="B8923" s="1" t="n">
        <v>46064.81346064815</v>
      </c>
      <c r="C8923" s="1" t="n">
        <v>46086</v>
      </c>
      <c r="D8923" t="inlineStr">
        <is>
          <t>GÄVLEBORGS LÄN</t>
        </is>
      </c>
      <c r="E8923" t="inlineStr">
        <is>
          <t>OVANÅKER</t>
        </is>
      </c>
      <c r="G8923" t="n">
        <v>7.3</v>
      </c>
      <c r="H8923" t="n">
        <v>0</v>
      </c>
      <c r="I8923" t="n">
        <v>0</v>
      </c>
      <c r="J8923" t="n">
        <v>0</v>
      </c>
      <c r="K8923" t="n">
        <v>0</v>
      </c>
      <c r="L8923" t="n">
        <v>0</v>
      </c>
      <c r="M8923" t="n">
        <v>0</v>
      </c>
      <c r="N8923" t="n">
        <v>0</v>
      </c>
      <c r="O8923" t="n">
        <v>0</v>
      </c>
      <c r="P8923" t="n">
        <v>0</v>
      </c>
      <c r="Q8923" t="n">
        <v>0</v>
      </c>
      <c r="R8923" s="2" t="inlineStr"/>
    </row>
    <row r="8924" ht="15" customHeight="1">
      <c r="A8924" t="inlineStr">
        <is>
          <t>A 8152-2026</t>
        </is>
      </c>
      <c r="B8924" s="1" t="n">
        <v>46064.35725694444</v>
      </c>
      <c r="C8924" s="1" t="n">
        <v>46086</v>
      </c>
      <c r="D8924" t="inlineStr">
        <is>
          <t>GÄVLEBORGS LÄN</t>
        </is>
      </c>
      <c r="E8924" t="inlineStr">
        <is>
          <t>BOLLNÄS</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8184-2026</t>
        </is>
      </c>
      <c r="B8925" s="1" t="n">
        <v>46064.42060185185</v>
      </c>
      <c r="C8925" s="1" t="n">
        <v>46086</v>
      </c>
      <c r="D8925" t="inlineStr">
        <is>
          <t>GÄVLEBORGS LÄN</t>
        </is>
      </c>
      <c r="E8925" t="inlineStr">
        <is>
          <t>BOLLNÄS</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8202-2026</t>
        </is>
      </c>
      <c r="B8926" s="1" t="n">
        <v>46064.44456018518</v>
      </c>
      <c r="C8926" s="1" t="n">
        <v>46086</v>
      </c>
      <c r="D8926" t="inlineStr">
        <is>
          <t>GÄVLEBORGS LÄN</t>
        </is>
      </c>
      <c r="E8926" t="inlineStr">
        <is>
          <t>HOFORS</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8203-2026</t>
        </is>
      </c>
      <c r="B8927" s="1" t="n">
        <v>46064.4453587963</v>
      </c>
      <c r="C8927" s="1" t="n">
        <v>46086</v>
      </c>
      <c r="D8927" t="inlineStr">
        <is>
          <t>GÄVLEBORGS LÄN</t>
        </is>
      </c>
      <c r="E8927" t="inlineStr">
        <is>
          <t>BOLLNÄS</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8232-2026</t>
        </is>
      </c>
      <c r="B8928" s="1" t="n">
        <v>46064.48424768518</v>
      </c>
      <c r="C8928" s="1" t="n">
        <v>46086</v>
      </c>
      <c r="D8928" t="inlineStr">
        <is>
          <t>GÄVLEBORGS LÄN</t>
        </is>
      </c>
      <c r="E8928" t="inlineStr">
        <is>
          <t>BOLLNÄS</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8234-2026</t>
        </is>
      </c>
      <c r="B8929" s="1" t="n">
        <v>46064.48517361111</v>
      </c>
      <c r="C8929" s="1" t="n">
        <v>46086</v>
      </c>
      <c r="D8929" t="inlineStr">
        <is>
          <t>GÄVLEBORGS LÄN</t>
        </is>
      </c>
      <c r="E8929" t="inlineStr">
        <is>
          <t>OCKELBO</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8246-2026</t>
        </is>
      </c>
      <c r="B8930" s="1" t="n">
        <v>46064.49247685185</v>
      </c>
      <c r="C8930" s="1" t="n">
        <v>46086</v>
      </c>
      <c r="D8930" t="inlineStr">
        <is>
          <t>GÄVLEBORGS LÄN</t>
        </is>
      </c>
      <c r="E8930" t="inlineStr">
        <is>
          <t>BOLLNÄS</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8351-2026</t>
        </is>
      </c>
      <c r="B8931" s="1" t="n">
        <v>46064.64413194444</v>
      </c>
      <c r="C8931" s="1" t="n">
        <v>46086</v>
      </c>
      <c r="D8931" t="inlineStr">
        <is>
          <t>GÄVLEBORGS LÄN</t>
        </is>
      </c>
      <c r="E8931" t="inlineStr">
        <is>
          <t>OCKELBO</t>
        </is>
      </c>
      <c r="G8931" t="n">
        <v>17.4</v>
      </c>
      <c r="H8931" t="n">
        <v>0</v>
      </c>
      <c r="I8931" t="n">
        <v>0</v>
      </c>
      <c r="J8931" t="n">
        <v>0</v>
      </c>
      <c r="K8931" t="n">
        <v>0</v>
      </c>
      <c r="L8931" t="n">
        <v>0</v>
      </c>
      <c r="M8931" t="n">
        <v>0</v>
      </c>
      <c r="N8931" t="n">
        <v>0</v>
      </c>
      <c r="O8931" t="n">
        <v>0</v>
      </c>
      <c r="P8931" t="n">
        <v>0</v>
      </c>
      <c r="Q8931" t="n">
        <v>0</v>
      </c>
      <c r="R8931" s="2" t="inlineStr"/>
    </row>
    <row r="8932" ht="15" customHeight="1">
      <c r="A8932" t="inlineStr">
        <is>
          <t>A 8395-2026</t>
        </is>
      </c>
      <c r="B8932" s="1" t="n">
        <v>46065.29427083334</v>
      </c>
      <c r="C8932" s="1" t="n">
        <v>46086</v>
      </c>
      <c r="D8932" t="inlineStr">
        <is>
          <t>GÄVLEBORGS LÄN</t>
        </is>
      </c>
      <c r="E8932" t="inlineStr">
        <is>
          <t>BOLLNÄS</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8427-2026</t>
        </is>
      </c>
      <c r="B8933" s="1" t="n">
        <v>46065.38116898148</v>
      </c>
      <c r="C8933" s="1" t="n">
        <v>46086</v>
      </c>
      <c r="D8933" t="inlineStr">
        <is>
          <t>GÄVLEBORGS LÄN</t>
        </is>
      </c>
      <c r="E8933" t="inlineStr">
        <is>
          <t>SÖDERHAMN</t>
        </is>
      </c>
      <c r="G8933" t="n">
        <v>3.8</v>
      </c>
      <c r="H8933" t="n">
        <v>0</v>
      </c>
      <c r="I8933" t="n">
        <v>0</v>
      </c>
      <c r="J8933" t="n">
        <v>0</v>
      </c>
      <c r="K8933" t="n">
        <v>0</v>
      </c>
      <c r="L8933" t="n">
        <v>0</v>
      </c>
      <c r="M8933" t="n">
        <v>0</v>
      </c>
      <c r="N8933" t="n">
        <v>0</v>
      </c>
      <c r="O8933" t="n">
        <v>0</v>
      </c>
      <c r="P8933" t="n">
        <v>0</v>
      </c>
      <c r="Q8933" t="n">
        <v>0</v>
      </c>
      <c r="R8933" s="2" t="inlineStr"/>
    </row>
    <row r="8934" ht="15" customHeight="1">
      <c r="A8934" t="inlineStr">
        <is>
          <t>A 8429-2026</t>
        </is>
      </c>
      <c r="B8934" s="1" t="n">
        <v>46065.3837037037</v>
      </c>
      <c r="C8934" s="1" t="n">
        <v>46086</v>
      </c>
      <c r="D8934" t="inlineStr">
        <is>
          <t>GÄVLEBORGS LÄN</t>
        </is>
      </c>
      <c r="E8934" t="inlineStr">
        <is>
          <t>OCKELBO</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8162-2026</t>
        </is>
      </c>
      <c r="B8935" s="1" t="n">
        <v>46064.3780787037</v>
      </c>
      <c r="C8935" s="1" t="n">
        <v>46086</v>
      </c>
      <c r="D8935" t="inlineStr">
        <is>
          <t>GÄVLEBORGS LÄN</t>
        </is>
      </c>
      <c r="E8935" t="inlineStr">
        <is>
          <t>BOLLNÄS</t>
        </is>
      </c>
      <c r="G8935" t="n">
        <v>9.800000000000001</v>
      </c>
      <c r="H8935" t="n">
        <v>0</v>
      </c>
      <c r="I8935" t="n">
        <v>0</v>
      </c>
      <c r="J8935" t="n">
        <v>0</v>
      </c>
      <c r="K8935" t="n">
        <v>0</v>
      </c>
      <c r="L8935" t="n">
        <v>0</v>
      </c>
      <c r="M8935" t="n">
        <v>0</v>
      </c>
      <c r="N8935" t="n">
        <v>0</v>
      </c>
      <c r="O8935" t="n">
        <v>0</v>
      </c>
      <c r="P8935" t="n">
        <v>0</v>
      </c>
      <c r="Q8935" t="n">
        <v>0</v>
      </c>
      <c r="R8935" s="2" t="inlineStr"/>
    </row>
    <row r="8936" ht="15" customHeight="1">
      <c r="A8936" t="inlineStr">
        <is>
          <t>A 8464-2026</t>
        </is>
      </c>
      <c r="B8936" s="1" t="n">
        <v>46065.43962962963</v>
      </c>
      <c r="C8936" s="1" t="n">
        <v>46086</v>
      </c>
      <c r="D8936" t="inlineStr">
        <is>
          <t>GÄVLEBORGS LÄN</t>
        </is>
      </c>
      <c r="E8936" t="inlineStr">
        <is>
          <t>OCKELBO</t>
        </is>
      </c>
      <c r="F8936" t="inlineStr">
        <is>
          <t>Bergvik skog väst AB</t>
        </is>
      </c>
      <c r="G8936" t="n">
        <v>6.5</v>
      </c>
      <c r="H8936" t="n">
        <v>0</v>
      </c>
      <c r="I8936" t="n">
        <v>0</v>
      </c>
      <c r="J8936" t="n">
        <v>0</v>
      </c>
      <c r="K8936" t="n">
        <v>0</v>
      </c>
      <c r="L8936" t="n">
        <v>0</v>
      </c>
      <c r="M8936" t="n">
        <v>0</v>
      </c>
      <c r="N8936" t="n">
        <v>0</v>
      </c>
      <c r="O8936" t="n">
        <v>0</v>
      </c>
      <c r="P8936" t="n">
        <v>0</v>
      </c>
      <c r="Q8936" t="n">
        <v>0</v>
      </c>
      <c r="R8936" s="2" t="inlineStr"/>
    </row>
    <row r="8937" ht="15" customHeight="1">
      <c r="A8937" t="inlineStr">
        <is>
          <t>A 8480-2026</t>
        </is>
      </c>
      <c r="B8937" s="1" t="n">
        <v>46065.46074074074</v>
      </c>
      <c r="C8937" s="1" t="n">
        <v>46086</v>
      </c>
      <c r="D8937" t="inlineStr">
        <is>
          <t>GÄVLEBORGS LÄN</t>
        </is>
      </c>
      <c r="E8937" t="inlineStr">
        <is>
          <t>HUDIKSVALL</t>
        </is>
      </c>
      <c r="G8937" t="n">
        <v>2.9</v>
      </c>
      <c r="H8937" t="n">
        <v>0</v>
      </c>
      <c r="I8937" t="n">
        <v>0</v>
      </c>
      <c r="J8937" t="n">
        <v>0</v>
      </c>
      <c r="K8937" t="n">
        <v>0</v>
      </c>
      <c r="L8937" t="n">
        <v>0</v>
      </c>
      <c r="M8937" t="n">
        <v>0</v>
      </c>
      <c r="N8937" t="n">
        <v>0</v>
      </c>
      <c r="O8937" t="n">
        <v>0</v>
      </c>
      <c r="P8937" t="n">
        <v>0</v>
      </c>
      <c r="Q8937" t="n">
        <v>0</v>
      </c>
      <c r="R8937" s="2" t="inlineStr"/>
    </row>
    <row r="8938" ht="15" customHeight="1">
      <c r="A8938" t="inlineStr">
        <is>
          <t>A 5515-2026</t>
        </is>
      </c>
      <c r="B8938" s="1" t="n">
        <v>46050</v>
      </c>
      <c r="C8938" s="1" t="n">
        <v>46086</v>
      </c>
      <c r="D8938" t="inlineStr">
        <is>
          <t>GÄVLEBORGS LÄN</t>
        </is>
      </c>
      <c r="E8938" t="inlineStr">
        <is>
          <t>BOLLNÄS</t>
        </is>
      </c>
      <c r="F8938" t="inlineStr">
        <is>
          <t>Bergvik skog väst AB</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5534-2026</t>
        </is>
      </c>
      <c r="B8939" s="1" t="n">
        <v>46050</v>
      </c>
      <c r="C8939" s="1" t="n">
        <v>46086</v>
      </c>
      <c r="D8939" t="inlineStr">
        <is>
          <t>GÄVLEBORGS LÄN</t>
        </is>
      </c>
      <c r="E8939" t="inlineStr">
        <is>
          <t>OCKELBO</t>
        </is>
      </c>
      <c r="F8939" t="inlineStr">
        <is>
          <t>Bergvik skog väst AB</t>
        </is>
      </c>
      <c r="G8939" t="n">
        <v>4</v>
      </c>
      <c r="H8939" t="n">
        <v>0</v>
      </c>
      <c r="I8939" t="n">
        <v>0</v>
      </c>
      <c r="J8939" t="n">
        <v>0</v>
      </c>
      <c r="K8939" t="n">
        <v>0</v>
      </c>
      <c r="L8939" t="n">
        <v>0</v>
      </c>
      <c r="M8939" t="n">
        <v>0</v>
      </c>
      <c r="N8939" t="n">
        <v>0</v>
      </c>
      <c r="O8939" t="n">
        <v>0</v>
      </c>
      <c r="P8939" t="n">
        <v>0</v>
      </c>
      <c r="Q8939" t="n">
        <v>0</v>
      </c>
      <c r="R8939" s="2" t="inlineStr"/>
    </row>
    <row r="8940" ht="15" customHeight="1">
      <c r="A8940" t="inlineStr">
        <is>
          <t>A 5302-2026</t>
        </is>
      </c>
      <c r="B8940" s="1" t="n">
        <v>46050</v>
      </c>
      <c r="C8940" s="1" t="n">
        <v>46086</v>
      </c>
      <c r="D8940" t="inlineStr">
        <is>
          <t>GÄVLEBORGS LÄN</t>
        </is>
      </c>
      <c r="E8940" t="inlineStr">
        <is>
          <t>BOLLNÄS</t>
        </is>
      </c>
      <c r="F8940" t="inlineStr">
        <is>
          <t>Bergvik skog väst AB</t>
        </is>
      </c>
      <c r="G8940" t="n">
        <v>3.9</v>
      </c>
      <c r="H8940" t="n">
        <v>0</v>
      </c>
      <c r="I8940" t="n">
        <v>0</v>
      </c>
      <c r="J8940" t="n">
        <v>0</v>
      </c>
      <c r="K8940" t="n">
        <v>0</v>
      </c>
      <c r="L8940" t="n">
        <v>0</v>
      </c>
      <c r="M8940" t="n">
        <v>0</v>
      </c>
      <c r="N8940" t="n">
        <v>0</v>
      </c>
      <c r="O8940" t="n">
        <v>0</v>
      </c>
      <c r="P8940" t="n">
        <v>0</v>
      </c>
      <c r="Q8940" t="n">
        <v>0</v>
      </c>
      <c r="R8940" s="2" t="inlineStr"/>
    </row>
    <row r="8941" ht="15" customHeight="1">
      <c r="A8941" t="inlineStr">
        <is>
          <t>A 6866-2026</t>
        </is>
      </c>
      <c r="B8941" s="1" t="n">
        <v>46057</v>
      </c>
      <c r="C8941" s="1" t="n">
        <v>46086</v>
      </c>
      <c r="D8941" t="inlineStr">
        <is>
          <t>GÄVLEBORGS LÄN</t>
        </is>
      </c>
      <c r="E8941" t="inlineStr">
        <is>
          <t>BOLLNÄS</t>
        </is>
      </c>
      <c r="F8941" t="inlineStr">
        <is>
          <t>Bergvik skog väst AB</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44457-2024</t>
        </is>
      </c>
      <c r="B8942" s="1" t="n">
        <v>45574.35596064815</v>
      </c>
      <c r="C8942" s="1" t="n">
        <v>46086</v>
      </c>
      <c r="D8942" t="inlineStr">
        <is>
          <t>GÄVLEBORGS LÄN</t>
        </is>
      </c>
      <c r="E8942" t="inlineStr">
        <is>
          <t>OCKELBO</t>
        </is>
      </c>
      <c r="G8942" t="n">
        <v>3.5</v>
      </c>
      <c r="H8942" t="n">
        <v>0</v>
      </c>
      <c r="I8942" t="n">
        <v>0</v>
      </c>
      <c r="J8942" t="n">
        <v>0</v>
      </c>
      <c r="K8942" t="n">
        <v>0</v>
      </c>
      <c r="L8942" t="n">
        <v>0</v>
      </c>
      <c r="M8942" t="n">
        <v>0</v>
      </c>
      <c r="N8942" t="n">
        <v>0</v>
      </c>
      <c r="O8942" t="n">
        <v>0</v>
      </c>
      <c r="P8942" t="n">
        <v>0</v>
      </c>
      <c r="Q8942" t="n">
        <v>0</v>
      </c>
      <c r="R8942" s="2" t="inlineStr"/>
    </row>
    <row r="8943" ht="15" customHeight="1">
      <c r="A8943" t="inlineStr">
        <is>
          <t>A 5339-2026</t>
        </is>
      </c>
      <c r="B8943" s="1" t="n">
        <v>46050</v>
      </c>
      <c r="C8943" s="1" t="n">
        <v>46086</v>
      </c>
      <c r="D8943" t="inlineStr">
        <is>
          <t>GÄVLEBORGS LÄN</t>
        </is>
      </c>
      <c r="E8943" t="inlineStr">
        <is>
          <t>BOLLNÄS</t>
        </is>
      </c>
      <c r="F8943" t="inlineStr">
        <is>
          <t>Bergvik skog väst AB</t>
        </is>
      </c>
      <c r="G8943" t="n">
        <v>3</v>
      </c>
      <c r="H8943" t="n">
        <v>0</v>
      </c>
      <c r="I8943" t="n">
        <v>0</v>
      </c>
      <c r="J8943" t="n">
        <v>0</v>
      </c>
      <c r="K8943" t="n">
        <v>0</v>
      </c>
      <c r="L8943" t="n">
        <v>0</v>
      </c>
      <c r="M8943" t="n">
        <v>0</v>
      </c>
      <c r="N8943" t="n">
        <v>0</v>
      </c>
      <c r="O8943" t="n">
        <v>0</v>
      </c>
      <c r="P8943" t="n">
        <v>0</v>
      </c>
      <c r="Q8943" t="n">
        <v>0</v>
      </c>
      <c r="R8943" s="2" t="inlineStr"/>
    </row>
    <row r="8944" ht="15" customHeight="1">
      <c r="A8944" t="inlineStr">
        <is>
          <t>A 5519-2026</t>
        </is>
      </c>
      <c r="B8944" s="1" t="n">
        <v>46050</v>
      </c>
      <c r="C8944" s="1" t="n">
        <v>46086</v>
      </c>
      <c r="D8944" t="inlineStr">
        <is>
          <t>GÄVLEBORGS LÄN</t>
        </is>
      </c>
      <c r="E8944" t="inlineStr">
        <is>
          <t>BOLLNÄS</t>
        </is>
      </c>
      <c r="F8944" t="inlineStr">
        <is>
          <t>Bergvik skog väst AB</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7103-2026</t>
        </is>
      </c>
      <c r="B8945" s="1" t="n">
        <v>46058</v>
      </c>
      <c r="C8945" s="1" t="n">
        <v>46086</v>
      </c>
      <c r="D8945" t="inlineStr">
        <is>
          <t>GÄVLEBORGS LÄN</t>
        </is>
      </c>
      <c r="E8945" t="inlineStr">
        <is>
          <t>BOLLNÄS</t>
        </is>
      </c>
      <c r="F8945" t="inlineStr">
        <is>
          <t>Bergvik skog väst AB</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8034-2026</t>
        </is>
      </c>
      <c r="B8946" s="1" t="n">
        <v>46063</v>
      </c>
      <c r="C8946" s="1" t="n">
        <v>46086</v>
      </c>
      <c r="D8946" t="inlineStr">
        <is>
          <t>GÄVLEBORGS LÄN</t>
        </is>
      </c>
      <c r="E8946" t="inlineStr">
        <is>
          <t>HUDIKSVALL</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8156-2026</t>
        </is>
      </c>
      <c r="B8947" s="1" t="n">
        <v>46064.36232638889</v>
      </c>
      <c r="C8947" s="1" t="n">
        <v>46086</v>
      </c>
      <c r="D8947" t="inlineStr">
        <is>
          <t>GÄVLEBORGS LÄN</t>
        </is>
      </c>
      <c r="E8947" t="inlineStr">
        <is>
          <t>BOLLNÄS</t>
        </is>
      </c>
      <c r="G8947" t="n">
        <v>6.8</v>
      </c>
      <c r="H8947" t="n">
        <v>0</v>
      </c>
      <c r="I8947" t="n">
        <v>0</v>
      </c>
      <c r="J8947" t="n">
        <v>0</v>
      </c>
      <c r="K8947" t="n">
        <v>0</v>
      </c>
      <c r="L8947" t="n">
        <v>0</v>
      </c>
      <c r="M8947" t="n">
        <v>0</v>
      </c>
      <c r="N8947" t="n">
        <v>0</v>
      </c>
      <c r="O8947" t="n">
        <v>0</v>
      </c>
      <c r="P8947" t="n">
        <v>0</v>
      </c>
      <c r="Q8947" t="n">
        <v>0</v>
      </c>
      <c r="R8947" s="2" t="inlineStr"/>
    </row>
    <row r="8948" ht="15" customHeight="1">
      <c r="A8948" t="inlineStr">
        <is>
          <t>A 8250-2026</t>
        </is>
      </c>
      <c r="B8948" s="1" t="n">
        <v>46064.49732638889</v>
      </c>
      <c r="C8948" s="1" t="n">
        <v>46086</v>
      </c>
      <c r="D8948" t="inlineStr">
        <is>
          <t>GÄVLEBORGS LÄN</t>
        </is>
      </c>
      <c r="E8948" t="inlineStr">
        <is>
          <t>HOFORS</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8253-2026</t>
        </is>
      </c>
      <c r="B8949" s="1" t="n">
        <v>46064.50446759259</v>
      </c>
      <c r="C8949" s="1" t="n">
        <v>46086</v>
      </c>
      <c r="D8949" t="inlineStr">
        <is>
          <t>GÄVLEBORGS LÄN</t>
        </is>
      </c>
      <c r="E8949" t="inlineStr">
        <is>
          <t>OCKELBO</t>
        </is>
      </c>
      <c r="F8949" t="inlineStr">
        <is>
          <t>Bergvik skog väst AB</t>
        </is>
      </c>
      <c r="G8949" t="n">
        <v>3.4</v>
      </c>
      <c r="H8949" t="n">
        <v>0</v>
      </c>
      <c r="I8949" t="n">
        <v>0</v>
      </c>
      <c r="J8949" t="n">
        <v>0</v>
      </c>
      <c r="K8949" t="n">
        <v>0</v>
      </c>
      <c r="L8949" t="n">
        <v>0</v>
      </c>
      <c r="M8949" t="n">
        <v>0</v>
      </c>
      <c r="N8949" t="n">
        <v>0</v>
      </c>
      <c r="O8949" t="n">
        <v>0</v>
      </c>
      <c r="P8949" t="n">
        <v>0</v>
      </c>
      <c r="Q8949" t="n">
        <v>0</v>
      </c>
      <c r="R8949" s="2" t="inlineStr"/>
    </row>
    <row r="8950" ht="15" customHeight="1">
      <c r="A8950" t="inlineStr">
        <is>
          <t>A 8274-2026</t>
        </is>
      </c>
      <c r="B8950" s="1" t="n">
        <v>46064.55339120371</v>
      </c>
      <c r="C8950" s="1" t="n">
        <v>46086</v>
      </c>
      <c r="D8950" t="inlineStr">
        <is>
          <t>GÄVLEBORGS LÄN</t>
        </is>
      </c>
      <c r="E8950" t="inlineStr">
        <is>
          <t>OCKELBO</t>
        </is>
      </c>
      <c r="G8950" t="n">
        <v>4.1</v>
      </c>
      <c r="H8950" t="n">
        <v>0</v>
      </c>
      <c r="I8950" t="n">
        <v>0</v>
      </c>
      <c r="J8950" t="n">
        <v>0</v>
      </c>
      <c r="K8950" t="n">
        <v>0</v>
      </c>
      <c r="L8950" t="n">
        <v>0</v>
      </c>
      <c r="M8950" t="n">
        <v>0</v>
      </c>
      <c r="N8950" t="n">
        <v>0</v>
      </c>
      <c r="O8950" t="n">
        <v>0</v>
      </c>
      <c r="P8950" t="n">
        <v>0</v>
      </c>
      <c r="Q8950" t="n">
        <v>0</v>
      </c>
      <c r="R8950" s="2" t="inlineStr"/>
    </row>
    <row r="8951" ht="15" customHeight="1">
      <c r="A8951" t="inlineStr">
        <is>
          <t>A 8275-2026</t>
        </is>
      </c>
      <c r="B8951" s="1" t="n">
        <v>46064.55445601852</v>
      </c>
      <c r="C8951" s="1" t="n">
        <v>46086</v>
      </c>
      <c r="D8951" t="inlineStr">
        <is>
          <t>GÄVLEBORGS LÄN</t>
        </is>
      </c>
      <c r="E8951" t="inlineStr">
        <is>
          <t>HOFORS</t>
        </is>
      </c>
      <c r="F8951" t="inlineStr">
        <is>
          <t>Sveaskog</t>
        </is>
      </c>
      <c r="G8951" t="n">
        <v>13.6</v>
      </c>
      <c r="H8951" t="n">
        <v>0</v>
      </c>
      <c r="I8951" t="n">
        <v>0</v>
      </c>
      <c r="J8951" t="n">
        <v>0</v>
      </c>
      <c r="K8951" t="n">
        <v>0</v>
      </c>
      <c r="L8951" t="n">
        <v>0</v>
      </c>
      <c r="M8951" t="n">
        <v>0</v>
      </c>
      <c r="N8951" t="n">
        <v>0</v>
      </c>
      <c r="O8951" t="n">
        <v>0</v>
      </c>
      <c r="P8951" t="n">
        <v>0</v>
      </c>
      <c r="Q8951" t="n">
        <v>0</v>
      </c>
      <c r="R8951" s="2" t="inlineStr"/>
    </row>
    <row r="8952" ht="15" customHeight="1">
      <c r="A8952" t="inlineStr">
        <is>
          <t>A 8405-2026</t>
        </is>
      </c>
      <c r="B8952" s="1" t="n">
        <v>46065.32719907408</v>
      </c>
      <c r="C8952" s="1" t="n">
        <v>46086</v>
      </c>
      <c r="D8952" t="inlineStr">
        <is>
          <t>GÄVLEBORGS LÄN</t>
        </is>
      </c>
      <c r="E8952" t="inlineStr">
        <is>
          <t>OCKELBO</t>
        </is>
      </c>
      <c r="F8952" t="inlineStr">
        <is>
          <t>Bergvik skog väst AB</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8406-2026</t>
        </is>
      </c>
      <c r="B8953" s="1" t="n">
        <v>46065.32912037037</v>
      </c>
      <c r="C8953" s="1" t="n">
        <v>46086</v>
      </c>
      <c r="D8953" t="inlineStr">
        <is>
          <t>GÄVLEBORGS LÄN</t>
        </is>
      </c>
      <c r="E8953" t="inlineStr">
        <is>
          <t>BOLLNÄS</t>
        </is>
      </c>
      <c r="G8953" t="n">
        <v>4.7</v>
      </c>
      <c r="H8953" t="n">
        <v>0</v>
      </c>
      <c r="I8953" t="n">
        <v>0</v>
      </c>
      <c r="J8953" t="n">
        <v>0</v>
      </c>
      <c r="K8953" t="n">
        <v>0</v>
      </c>
      <c r="L8953" t="n">
        <v>0</v>
      </c>
      <c r="M8953" t="n">
        <v>0</v>
      </c>
      <c r="N8953" t="n">
        <v>0</v>
      </c>
      <c r="O8953" t="n">
        <v>0</v>
      </c>
      <c r="P8953" t="n">
        <v>0</v>
      </c>
      <c r="Q8953" t="n">
        <v>0</v>
      </c>
      <c r="R8953" s="2" t="inlineStr"/>
    </row>
    <row r="8954" ht="15" customHeight="1">
      <c r="A8954" t="inlineStr">
        <is>
          <t>A 6473-2026</t>
        </is>
      </c>
      <c r="B8954" s="1" t="n">
        <v>46056</v>
      </c>
      <c r="C8954" s="1" t="n">
        <v>46086</v>
      </c>
      <c r="D8954" t="inlineStr">
        <is>
          <t>GÄVLEBORGS LÄN</t>
        </is>
      </c>
      <c r="E8954" t="inlineStr">
        <is>
          <t>BOLLNÄS</t>
        </is>
      </c>
      <c r="G8954" t="n">
        <v>7.3</v>
      </c>
      <c r="H8954" t="n">
        <v>0</v>
      </c>
      <c r="I8954" t="n">
        <v>0</v>
      </c>
      <c r="J8954" t="n">
        <v>0</v>
      </c>
      <c r="K8954" t="n">
        <v>0</v>
      </c>
      <c r="L8954" t="n">
        <v>0</v>
      </c>
      <c r="M8954" t="n">
        <v>0</v>
      </c>
      <c r="N8954" t="n">
        <v>0</v>
      </c>
      <c r="O8954" t="n">
        <v>0</v>
      </c>
      <c r="P8954" t="n">
        <v>0</v>
      </c>
      <c r="Q8954" t="n">
        <v>0</v>
      </c>
      <c r="R8954" s="2" t="inlineStr"/>
    </row>
    <row r="8955" ht="15" customHeight="1">
      <c r="A8955" t="inlineStr">
        <is>
          <t>A 6493-2026</t>
        </is>
      </c>
      <c r="B8955" s="1" t="n">
        <v>46056</v>
      </c>
      <c r="C8955" s="1" t="n">
        <v>46086</v>
      </c>
      <c r="D8955" t="inlineStr">
        <is>
          <t>GÄVLEBORGS LÄN</t>
        </is>
      </c>
      <c r="E8955" t="inlineStr">
        <is>
          <t>OCKELBO</t>
        </is>
      </c>
      <c r="F8955" t="inlineStr">
        <is>
          <t>Bergvik skog väst AB</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5241-2024</t>
        </is>
      </c>
      <c r="B8956" s="1" t="n">
        <v>45330.86684027778</v>
      </c>
      <c r="C8956" s="1" t="n">
        <v>46086</v>
      </c>
      <c r="D8956" t="inlineStr">
        <is>
          <t>GÄVLEBORGS LÄN</t>
        </is>
      </c>
      <c r="E8956" t="inlineStr">
        <is>
          <t>GÄVLE</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18431-2025</t>
        </is>
      </c>
      <c r="B8957" s="1" t="n">
        <v>45762.63586805556</v>
      </c>
      <c r="C8957" s="1" t="n">
        <v>46086</v>
      </c>
      <c r="D8957" t="inlineStr">
        <is>
          <t>GÄVLEBORGS LÄN</t>
        </is>
      </c>
      <c r="E8957" t="inlineStr">
        <is>
          <t>SÖDERHAMN</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8179-2026</t>
        </is>
      </c>
      <c r="B8958" s="1" t="n">
        <v>46064.41709490741</v>
      </c>
      <c r="C8958" s="1" t="n">
        <v>46086</v>
      </c>
      <c r="D8958" t="inlineStr">
        <is>
          <t>GÄVLEBORGS LÄN</t>
        </is>
      </c>
      <c r="E8958" t="inlineStr">
        <is>
          <t>BOLLNÄS</t>
        </is>
      </c>
      <c r="G8958" t="n">
        <v>2.5</v>
      </c>
      <c r="H8958" t="n">
        <v>0</v>
      </c>
      <c r="I8958" t="n">
        <v>0</v>
      </c>
      <c r="J8958" t="n">
        <v>0</v>
      </c>
      <c r="K8958" t="n">
        <v>0</v>
      </c>
      <c r="L8958" t="n">
        <v>0</v>
      </c>
      <c r="M8958" t="n">
        <v>0</v>
      </c>
      <c r="N8958" t="n">
        <v>0</v>
      </c>
      <c r="O8958" t="n">
        <v>0</v>
      </c>
      <c r="P8958" t="n">
        <v>0</v>
      </c>
      <c r="Q8958" t="n">
        <v>0</v>
      </c>
      <c r="R8958" s="2" t="inlineStr"/>
    </row>
    <row r="8959" ht="15" customHeight="1">
      <c r="A8959" t="inlineStr">
        <is>
          <t>A 8185-2026</t>
        </is>
      </c>
      <c r="B8959" s="1" t="n">
        <v>46064.4212962963</v>
      </c>
      <c r="C8959" s="1" t="n">
        <v>46086</v>
      </c>
      <c r="D8959" t="inlineStr">
        <is>
          <t>GÄVLEBORGS LÄN</t>
        </is>
      </c>
      <c r="E8959" t="inlineStr">
        <is>
          <t>BOLLNÄS</t>
        </is>
      </c>
      <c r="G8959" t="n">
        <v>4</v>
      </c>
      <c r="H8959" t="n">
        <v>0</v>
      </c>
      <c r="I8959" t="n">
        <v>0</v>
      </c>
      <c r="J8959" t="n">
        <v>0</v>
      </c>
      <c r="K8959" t="n">
        <v>0</v>
      </c>
      <c r="L8959" t="n">
        <v>0</v>
      </c>
      <c r="M8959" t="n">
        <v>0</v>
      </c>
      <c r="N8959" t="n">
        <v>0</v>
      </c>
      <c r="O8959" t="n">
        <v>0</v>
      </c>
      <c r="P8959" t="n">
        <v>0</v>
      </c>
      <c r="Q8959" t="n">
        <v>0</v>
      </c>
      <c r="R8959" s="2" t="inlineStr"/>
    </row>
    <row r="8960" ht="15" customHeight="1">
      <c r="A8960" t="inlineStr">
        <is>
          <t>A 36233-2022</t>
        </is>
      </c>
      <c r="B8960" s="1" t="n">
        <v>44803.56774305556</v>
      </c>
      <c r="C8960" s="1" t="n">
        <v>46086</v>
      </c>
      <c r="D8960" t="inlineStr">
        <is>
          <t>GÄVLEBORGS LÄN</t>
        </is>
      </c>
      <c r="E8960" t="inlineStr">
        <is>
          <t>LJUSDAL</t>
        </is>
      </c>
      <c r="G8960" t="n">
        <v>4.4</v>
      </c>
      <c r="H8960" t="n">
        <v>0</v>
      </c>
      <c r="I8960" t="n">
        <v>0</v>
      </c>
      <c r="J8960" t="n">
        <v>0</v>
      </c>
      <c r="K8960" t="n">
        <v>0</v>
      </c>
      <c r="L8960" t="n">
        <v>0</v>
      </c>
      <c r="M8960" t="n">
        <v>0</v>
      </c>
      <c r="N8960" t="n">
        <v>0</v>
      </c>
      <c r="O8960" t="n">
        <v>0</v>
      </c>
      <c r="P8960" t="n">
        <v>0</v>
      </c>
      <c r="Q8960" t="n">
        <v>0</v>
      </c>
      <c r="R8960" s="2" t="inlineStr"/>
    </row>
    <row r="8961" ht="15" customHeight="1">
      <c r="A8961" t="inlineStr">
        <is>
          <t>A 8536-2026</t>
        </is>
      </c>
      <c r="B8961" s="1" t="n">
        <v>46065.60672453704</v>
      </c>
      <c r="C8961" s="1" t="n">
        <v>46086</v>
      </c>
      <c r="D8961" t="inlineStr">
        <is>
          <t>GÄVLEBORGS LÄN</t>
        </is>
      </c>
      <c r="E8961" t="inlineStr">
        <is>
          <t>BOLLNÄS</t>
        </is>
      </c>
      <c r="G8961" t="n">
        <v>4.4</v>
      </c>
      <c r="H8961" t="n">
        <v>0</v>
      </c>
      <c r="I8961" t="n">
        <v>0</v>
      </c>
      <c r="J8961" t="n">
        <v>0</v>
      </c>
      <c r="K8961" t="n">
        <v>0</v>
      </c>
      <c r="L8961" t="n">
        <v>0</v>
      </c>
      <c r="M8961" t="n">
        <v>0</v>
      </c>
      <c r="N8961" t="n">
        <v>0</v>
      </c>
      <c r="O8961" t="n">
        <v>0</v>
      </c>
      <c r="P8961" t="n">
        <v>0</v>
      </c>
      <c r="Q8961" t="n">
        <v>0</v>
      </c>
      <c r="R8961" s="2" t="inlineStr"/>
    </row>
    <row r="8962" ht="15" customHeight="1">
      <c r="A8962" t="inlineStr">
        <is>
          <t>A 8550-2026</t>
        </is>
      </c>
      <c r="B8962" s="1" t="n">
        <v>46065.61966435185</v>
      </c>
      <c r="C8962" s="1" t="n">
        <v>46086</v>
      </c>
      <c r="D8962" t="inlineStr">
        <is>
          <t>GÄVLEBORGS LÄN</t>
        </is>
      </c>
      <c r="E8962" t="inlineStr">
        <is>
          <t>OCKELBO</t>
        </is>
      </c>
      <c r="F8962" t="inlineStr">
        <is>
          <t>Bergvik skog väst AB</t>
        </is>
      </c>
      <c r="G8962" t="n">
        <v>15.5</v>
      </c>
      <c r="H8962" t="n">
        <v>0</v>
      </c>
      <c r="I8962" t="n">
        <v>0</v>
      </c>
      <c r="J8962" t="n">
        <v>0</v>
      </c>
      <c r="K8962" t="n">
        <v>0</v>
      </c>
      <c r="L8962" t="n">
        <v>0</v>
      </c>
      <c r="M8962" t="n">
        <v>0</v>
      </c>
      <c r="N8962" t="n">
        <v>0</v>
      </c>
      <c r="O8962" t="n">
        <v>0</v>
      </c>
      <c r="P8962" t="n">
        <v>0</v>
      </c>
      <c r="Q8962" t="n">
        <v>0</v>
      </c>
      <c r="R8962" s="2" t="inlineStr"/>
    </row>
    <row r="8963" ht="15" customHeight="1">
      <c r="A8963" t="inlineStr">
        <is>
          <t>A 8556-2026</t>
        </is>
      </c>
      <c r="B8963" s="1" t="n">
        <v>46065.63668981481</v>
      </c>
      <c r="C8963" s="1" t="n">
        <v>46086</v>
      </c>
      <c r="D8963" t="inlineStr">
        <is>
          <t>GÄVLEBORGS LÄN</t>
        </is>
      </c>
      <c r="E8963" t="inlineStr">
        <is>
          <t>LJUSDAL</t>
        </is>
      </c>
      <c r="F8963" t="inlineStr">
        <is>
          <t>Holmen skog AB</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8558-2026</t>
        </is>
      </c>
      <c r="B8964" s="1" t="n">
        <v>46065.64013888889</v>
      </c>
      <c r="C8964" s="1" t="n">
        <v>46086</v>
      </c>
      <c r="D8964" t="inlineStr">
        <is>
          <t>GÄVLEBORGS LÄN</t>
        </is>
      </c>
      <c r="E8964" t="inlineStr">
        <is>
          <t>GÄVLE</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8379-2026</t>
        </is>
      </c>
      <c r="B8965" s="1" t="n">
        <v>46064.81556712963</v>
      </c>
      <c r="C8965" s="1" t="n">
        <v>46086</v>
      </c>
      <c r="D8965" t="inlineStr">
        <is>
          <t>GÄVLEBORGS LÄN</t>
        </is>
      </c>
      <c r="E8965" t="inlineStr">
        <is>
          <t>OVANÅKER</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8381-2026</t>
        </is>
      </c>
      <c r="B8966" s="1" t="n">
        <v>46064.82207175926</v>
      </c>
      <c r="C8966" s="1" t="n">
        <v>46086</v>
      </c>
      <c r="D8966" t="inlineStr">
        <is>
          <t>GÄVLEBORGS LÄN</t>
        </is>
      </c>
      <c r="E8966" t="inlineStr">
        <is>
          <t>OVANÅKER</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8383-2026</t>
        </is>
      </c>
      <c r="B8967" s="1" t="n">
        <v>46064.82587962963</v>
      </c>
      <c r="C8967" s="1" t="n">
        <v>46086</v>
      </c>
      <c r="D8967" t="inlineStr">
        <is>
          <t>GÄVLEBORGS LÄN</t>
        </is>
      </c>
      <c r="E8967" t="inlineStr">
        <is>
          <t>OVANÅKER</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35765-2024</t>
        </is>
      </c>
      <c r="B8968" s="1" t="n">
        <v>45532.57923611111</v>
      </c>
      <c r="C8968" s="1" t="n">
        <v>46086</v>
      </c>
      <c r="D8968" t="inlineStr">
        <is>
          <t>GÄVLEBORGS LÄN</t>
        </is>
      </c>
      <c r="E8968" t="inlineStr">
        <is>
          <t>NORDANSTIG</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22179-2023</t>
        </is>
      </c>
      <c r="B8969" s="1" t="n">
        <v>45069</v>
      </c>
      <c r="C8969" s="1" t="n">
        <v>46086</v>
      </c>
      <c r="D8969" t="inlineStr">
        <is>
          <t>GÄVLEBORGS LÄN</t>
        </is>
      </c>
      <c r="E8969" t="inlineStr">
        <is>
          <t>OCKELBO</t>
        </is>
      </c>
      <c r="G8969" t="n">
        <v>6.7</v>
      </c>
      <c r="H8969" t="n">
        <v>0</v>
      </c>
      <c r="I8969" t="n">
        <v>0</v>
      </c>
      <c r="J8969" t="n">
        <v>0</v>
      </c>
      <c r="K8969" t="n">
        <v>0</v>
      </c>
      <c r="L8969" t="n">
        <v>0</v>
      </c>
      <c r="M8969" t="n">
        <v>0</v>
      </c>
      <c r="N8969" t="n">
        <v>0</v>
      </c>
      <c r="O8969" t="n">
        <v>0</v>
      </c>
      <c r="P8969" t="n">
        <v>0</v>
      </c>
      <c r="Q8969" t="n">
        <v>0</v>
      </c>
      <c r="R8969" s="2" t="inlineStr"/>
    </row>
    <row r="8970" ht="15" customHeight="1">
      <c r="A8970" t="inlineStr">
        <is>
          <t>A 64149-2025</t>
        </is>
      </c>
      <c r="B8970" s="1" t="n">
        <v>46022</v>
      </c>
      <c r="C8970" s="1" t="n">
        <v>46086</v>
      </c>
      <c r="D8970" t="inlineStr">
        <is>
          <t>GÄVLEBORGS LÄN</t>
        </is>
      </c>
      <c r="E8970" t="inlineStr">
        <is>
          <t>GÄVLE</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17-2026</t>
        </is>
      </c>
      <c r="B8971" s="1" t="n">
        <v>46023.67790509259</v>
      </c>
      <c r="C8971" s="1" t="n">
        <v>46086</v>
      </c>
      <c r="D8971" t="inlineStr">
        <is>
          <t>GÄVLEBORGS LÄN</t>
        </is>
      </c>
      <c r="E8971" t="inlineStr">
        <is>
          <t>OCKELBO</t>
        </is>
      </c>
      <c r="G8971" t="n">
        <v>2.3</v>
      </c>
      <c r="H8971" t="n">
        <v>0</v>
      </c>
      <c r="I8971" t="n">
        <v>0</v>
      </c>
      <c r="J8971" t="n">
        <v>0</v>
      </c>
      <c r="K8971" t="n">
        <v>0</v>
      </c>
      <c r="L8971" t="n">
        <v>0</v>
      </c>
      <c r="M8971" t="n">
        <v>0</v>
      </c>
      <c r="N8971" t="n">
        <v>0</v>
      </c>
      <c r="O8971" t="n">
        <v>0</v>
      </c>
      <c r="P8971" t="n">
        <v>0</v>
      </c>
      <c r="Q8971" t="n">
        <v>0</v>
      </c>
      <c r="R8971" s="2" t="inlineStr"/>
    </row>
    <row r="8972" ht="15" customHeight="1">
      <c r="A8972" t="inlineStr">
        <is>
          <t>A 20-2026</t>
        </is>
      </c>
      <c r="B8972" s="1" t="n">
        <v>46023</v>
      </c>
      <c r="C8972" s="1" t="n">
        <v>46086</v>
      </c>
      <c r="D8972" t="inlineStr">
        <is>
          <t>GÄVLEBORGS LÄN</t>
        </is>
      </c>
      <c r="E8972" t="inlineStr">
        <is>
          <t>HUDIKSVALL</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6914-2026</t>
        </is>
      </c>
      <c r="B8973" s="1" t="n">
        <v>46057</v>
      </c>
      <c r="C8973" s="1" t="n">
        <v>46086</v>
      </c>
      <c r="D8973" t="inlineStr">
        <is>
          <t>GÄVLEBORGS LÄN</t>
        </is>
      </c>
      <c r="E8973" t="inlineStr">
        <is>
          <t>BOLLNÄS</t>
        </is>
      </c>
      <c r="F8973" t="inlineStr">
        <is>
          <t>Bergvik skog väst AB</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32174-2021</t>
        </is>
      </c>
      <c r="B8974" s="1" t="n">
        <v>44371</v>
      </c>
      <c r="C8974" s="1" t="n">
        <v>46086</v>
      </c>
      <c r="D8974" t="inlineStr">
        <is>
          <t>GÄVLEBORGS LÄN</t>
        </is>
      </c>
      <c r="E8974" t="inlineStr">
        <is>
          <t>BOLLNÄS</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7039-2026</t>
        </is>
      </c>
      <c r="B8975" s="1" t="n">
        <v>46057</v>
      </c>
      <c r="C8975" s="1" t="n">
        <v>46086</v>
      </c>
      <c r="D8975" t="inlineStr">
        <is>
          <t>GÄVLEBORGS LÄN</t>
        </is>
      </c>
      <c r="E8975" t="inlineStr">
        <is>
          <t>BOLLNÄS</t>
        </is>
      </c>
      <c r="F8975" t="inlineStr">
        <is>
          <t>Bergvik skog väst AB</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66403-2021</t>
        </is>
      </c>
      <c r="B8976" s="1" t="n">
        <v>44518.65586805555</v>
      </c>
      <c r="C8976" s="1" t="n">
        <v>46086</v>
      </c>
      <c r="D8976" t="inlineStr">
        <is>
          <t>GÄVLEBORGS LÄN</t>
        </is>
      </c>
      <c r="E8976" t="inlineStr">
        <is>
          <t>OVANÅKER</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66418-2021</t>
        </is>
      </c>
      <c r="B8977" s="1" t="n">
        <v>44518</v>
      </c>
      <c r="C8977" s="1" t="n">
        <v>46086</v>
      </c>
      <c r="D8977" t="inlineStr">
        <is>
          <t>GÄVLEBORGS LÄN</t>
        </is>
      </c>
      <c r="E8977" t="inlineStr">
        <is>
          <t>HUDIKSVALL</t>
        </is>
      </c>
      <c r="F8977" t="inlineStr">
        <is>
          <t>Holmen skog AB</t>
        </is>
      </c>
      <c r="G8977" t="n">
        <v>2.3</v>
      </c>
      <c r="H8977" t="n">
        <v>0</v>
      </c>
      <c r="I8977" t="n">
        <v>0</v>
      </c>
      <c r="J8977" t="n">
        <v>0</v>
      </c>
      <c r="K8977" t="n">
        <v>0</v>
      </c>
      <c r="L8977" t="n">
        <v>0</v>
      </c>
      <c r="M8977" t="n">
        <v>0</v>
      </c>
      <c r="N8977" t="n">
        <v>0</v>
      </c>
      <c r="O8977" t="n">
        <v>0</v>
      </c>
      <c r="P8977" t="n">
        <v>0</v>
      </c>
      <c r="Q8977" t="n">
        <v>0</v>
      </c>
      <c r="R8977" s="2" t="inlineStr"/>
    </row>
    <row r="8978" ht="15" customHeight="1">
      <c r="A8978" t="inlineStr">
        <is>
          <t>A 64145-2025</t>
        </is>
      </c>
      <c r="B8978" s="1" t="n">
        <v>46022</v>
      </c>
      <c r="C8978" s="1" t="n">
        <v>46086</v>
      </c>
      <c r="D8978" t="inlineStr">
        <is>
          <t>GÄVLEBORGS LÄN</t>
        </is>
      </c>
      <c r="E8978" t="inlineStr">
        <is>
          <t>GÄVLE</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7567-2026</t>
        </is>
      </c>
      <c r="B8979" s="1" t="n">
        <v>46060.61282407407</v>
      </c>
      <c r="C8979" s="1" t="n">
        <v>46086</v>
      </c>
      <c r="D8979" t="inlineStr">
        <is>
          <t>GÄVLEBORGS LÄN</t>
        </is>
      </c>
      <c r="E8979" t="inlineStr">
        <is>
          <t>BOLLNÄS</t>
        </is>
      </c>
      <c r="G8979" t="n">
        <v>3.8</v>
      </c>
      <c r="H8979" t="n">
        <v>0</v>
      </c>
      <c r="I8979" t="n">
        <v>0</v>
      </c>
      <c r="J8979" t="n">
        <v>0</v>
      </c>
      <c r="K8979" t="n">
        <v>0</v>
      </c>
      <c r="L8979" t="n">
        <v>0</v>
      </c>
      <c r="M8979" t="n">
        <v>0</v>
      </c>
      <c r="N8979" t="n">
        <v>0</v>
      </c>
      <c r="O8979" t="n">
        <v>0</v>
      </c>
      <c r="P8979" t="n">
        <v>0</v>
      </c>
      <c r="Q8979" t="n">
        <v>0</v>
      </c>
      <c r="R8979" s="2" t="inlineStr"/>
    </row>
    <row r="8980" ht="15" customHeight="1">
      <c r="A8980" t="inlineStr">
        <is>
          <t>A 6535-2026</t>
        </is>
      </c>
      <c r="B8980" s="1" t="n">
        <v>46056</v>
      </c>
      <c r="C8980" s="1" t="n">
        <v>46086</v>
      </c>
      <c r="D8980" t="inlineStr">
        <is>
          <t>GÄVLEBORGS LÄN</t>
        </is>
      </c>
      <c r="E8980" t="inlineStr">
        <is>
          <t>OCKELBO</t>
        </is>
      </c>
      <c r="F8980" t="inlineStr">
        <is>
          <t>Bergvik skog väst AB</t>
        </is>
      </c>
      <c r="G8980" t="n">
        <v>3.7</v>
      </c>
      <c r="H8980" t="n">
        <v>0</v>
      </c>
      <c r="I8980" t="n">
        <v>0</v>
      </c>
      <c r="J8980" t="n">
        <v>0</v>
      </c>
      <c r="K8980" t="n">
        <v>0</v>
      </c>
      <c r="L8980" t="n">
        <v>0</v>
      </c>
      <c r="M8980" t="n">
        <v>0</v>
      </c>
      <c r="N8980" t="n">
        <v>0</v>
      </c>
      <c r="O8980" t="n">
        <v>0</v>
      </c>
      <c r="P8980" t="n">
        <v>0</v>
      </c>
      <c r="Q8980" t="n">
        <v>0</v>
      </c>
      <c r="R8980" s="2" t="inlineStr"/>
    </row>
    <row r="8981" ht="15" customHeight="1">
      <c r="A8981" t="inlineStr">
        <is>
          <t>A 6560-2026</t>
        </is>
      </c>
      <c r="B8981" s="1" t="n">
        <v>46056</v>
      </c>
      <c r="C8981" s="1" t="n">
        <v>46086</v>
      </c>
      <c r="D8981" t="inlineStr">
        <is>
          <t>GÄVLEBORGS LÄN</t>
        </is>
      </c>
      <c r="E8981" t="inlineStr">
        <is>
          <t>OCKELBO</t>
        </is>
      </c>
      <c r="F8981" t="inlineStr">
        <is>
          <t>Bergvik skog väst AB</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55681-2023</t>
        </is>
      </c>
      <c r="B8982" s="1" t="n">
        <v>45239.34327546296</v>
      </c>
      <c r="C8982" s="1" t="n">
        <v>46086</v>
      </c>
      <c r="D8982" t="inlineStr">
        <is>
          <t>GÄVLEBORGS LÄN</t>
        </is>
      </c>
      <c r="E8982" t="inlineStr">
        <is>
          <t>LJUSDAL</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6592-2026</t>
        </is>
      </c>
      <c r="B8983" s="1" t="n">
        <v>46056</v>
      </c>
      <c r="C8983" s="1" t="n">
        <v>46086</v>
      </c>
      <c r="D8983" t="inlineStr">
        <is>
          <t>GÄVLEBORGS LÄN</t>
        </is>
      </c>
      <c r="E8983" t="inlineStr">
        <is>
          <t>SÖDERHAMN</t>
        </is>
      </c>
      <c r="F8983" t="inlineStr">
        <is>
          <t>Bergvik skog väst AB</t>
        </is>
      </c>
      <c r="G8983" t="n">
        <v>5.6</v>
      </c>
      <c r="H8983" t="n">
        <v>0</v>
      </c>
      <c r="I8983" t="n">
        <v>0</v>
      </c>
      <c r="J8983" t="n">
        <v>0</v>
      </c>
      <c r="K8983" t="n">
        <v>0</v>
      </c>
      <c r="L8983" t="n">
        <v>0</v>
      </c>
      <c r="M8983" t="n">
        <v>0</v>
      </c>
      <c r="N8983" t="n">
        <v>0</v>
      </c>
      <c r="O8983" t="n">
        <v>0</v>
      </c>
      <c r="P8983" t="n">
        <v>0</v>
      </c>
      <c r="Q8983" t="n">
        <v>0</v>
      </c>
      <c r="R8983" s="2" t="inlineStr"/>
    </row>
    <row r="8984" ht="15" customHeight="1">
      <c r="A8984" t="inlineStr">
        <is>
          <t>A 8353-2026</t>
        </is>
      </c>
      <c r="B8984" s="1" t="n">
        <v>46064.645625</v>
      </c>
      <c r="C8984" s="1" t="n">
        <v>46086</v>
      </c>
      <c r="D8984" t="inlineStr">
        <is>
          <t>GÄVLEBORGS LÄN</t>
        </is>
      </c>
      <c r="E8984" t="inlineStr">
        <is>
          <t>OCKELBO</t>
        </is>
      </c>
      <c r="G8984" t="n">
        <v>5.2</v>
      </c>
      <c r="H8984" t="n">
        <v>0</v>
      </c>
      <c r="I8984" t="n">
        <v>0</v>
      </c>
      <c r="J8984" t="n">
        <v>0</v>
      </c>
      <c r="K8984" t="n">
        <v>0</v>
      </c>
      <c r="L8984" t="n">
        <v>0</v>
      </c>
      <c r="M8984" t="n">
        <v>0</v>
      </c>
      <c r="N8984" t="n">
        <v>0</v>
      </c>
      <c r="O8984" t="n">
        <v>0</v>
      </c>
      <c r="P8984" t="n">
        <v>0</v>
      </c>
      <c r="Q8984" t="n">
        <v>0</v>
      </c>
      <c r="R8984" s="2" t="inlineStr"/>
    </row>
    <row r="8985" ht="15" customHeight="1">
      <c r="A8985" t="inlineStr">
        <is>
          <t>A 8399-2026</t>
        </is>
      </c>
      <c r="B8985" s="1" t="n">
        <v>46065.31300925926</v>
      </c>
      <c r="C8985" s="1" t="n">
        <v>46086</v>
      </c>
      <c r="D8985" t="inlineStr">
        <is>
          <t>GÄVLEBORGS LÄN</t>
        </is>
      </c>
      <c r="E8985" t="inlineStr">
        <is>
          <t>BOLLNÄS</t>
        </is>
      </c>
      <c r="G8985" t="n">
        <v>2.6</v>
      </c>
      <c r="H8985" t="n">
        <v>0</v>
      </c>
      <c r="I8985" t="n">
        <v>0</v>
      </c>
      <c r="J8985" t="n">
        <v>0</v>
      </c>
      <c r="K8985" t="n">
        <v>0</v>
      </c>
      <c r="L8985" t="n">
        <v>0</v>
      </c>
      <c r="M8985" t="n">
        <v>0</v>
      </c>
      <c r="N8985" t="n">
        <v>0</v>
      </c>
      <c r="O8985" t="n">
        <v>0</v>
      </c>
      <c r="P8985" t="n">
        <v>0</v>
      </c>
      <c r="Q8985" t="n">
        <v>0</v>
      </c>
      <c r="R8985" s="2" t="inlineStr"/>
    </row>
    <row r="8986" ht="15" customHeight="1">
      <c r="A8986" t="inlineStr">
        <is>
          <t>A 8402-2026</t>
        </is>
      </c>
      <c r="B8986" s="1" t="n">
        <v>46065.31940972222</v>
      </c>
      <c r="C8986" s="1" t="n">
        <v>46086</v>
      </c>
      <c r="D8986" t="inlineStr">
        <is>
          <t>GÄVLEBORGS LÄN</t>
        </is>
      </c>
      <c r="E8986" t="inlineStr">
        <is>
          <t>OCKELBO</t>
        </is>
      </c>
      <c r="F8986" t="inlineStr">
        <is>
          <t>Bergvik skog väst AB</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8408-2026</t>
        </is>
      </c>
      <c r="B8987" s="1" t="n">
        <v>46065.33519675926</v>
      </c>
      <c r="C8987" s="1" t="n">
        <v>46086</v>
      </c>
      <c r="D8987" t="inlineStr">
        <is>
          <t>GÄVLEBORGS LÄN</t>
        </is>
      </c>
      <c r="E8987" t="inlineStr">
        <is>
          <t>OCKELBO</t>
        </is>
      </c>
      <c r="F8987" t="inlineStr">
        <is>
          <t>Bergvik skog väst AB</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60847-2022</t>
        </is>
      </c>
      <c r="B8988" s="1" t="n">
        <v>44914.50501157407</v>
      </c>
      <c r="C8988" s="1" t="n">
        <v>46086</v>
      </c>
      <c r="D8988" t="inlineStr">
        <is>
          <t>GÄVLEBORGS LÄN</t>
        </is>
      </c>
      <c r="E8988" t="inlineStr">
        <is>
          <t>HUDIKSVALL</t>
        </is>
      </c>
      <c r="G8988" t="n">
        <v>0.4</v>
      </c>
      <c r="H8988" t="n">
        <v>0</v>
      </c>
      <c r="I8988" t="n">
        <v>0</v>
      </c>
      <c r="J8988" t="n">
        <v>0</v>
      </c>
      <c r="K8988" t="n">
        <v>0</v>
      </c>
      <c r="L8988" t="n">
        <v>0</v>
      </c>
      <c r="M8988" t="n">
        <v>0</v>
      </c>
      <c r="N8988" t="n">
        <v>0</v>
      </c>
      <c r="O8988" t="n">
        <v>0</v>
      </c>
      <c r="P8988" t="n">
        <v>0</v>
      </c>
      <c r="Q8988" t="n">
        <v>0</v>
      </c>
      <c r="R8988" s="2" t="inlineStr"/>
    </row>
    <row r="8989" ht="15" customHeight="1">
      <c r="A8989" t="inlineStr">
        <is>
          <t>A 14261-2025</t>
        </is>
      </c>
      <c r="B8989" s="1" t="n">
        <v>45740.629375</v>
      </c>
      <c r="C8989" s="1" t="n">
        <v>46086</v>
      </c>
      <c r="D8989" t="inlineStr">
        <is>
          <t>GÄVLEBORGS LÄN</t>
        </is>
      </c>
      <c r="E8989" t="inlineStr">
        <is>
          <t>BOLLNÄS</t>
        </is>
      </c>
      <c r="G8989" t="n">
        <v>0.1</v>
      </c>
      <c r="H8989" t="n">
        <v>0</v>
      </c>
      <c r="I8989" t="n">
        <v>0</v>
      </c>
      <c r="J8989" t="n">
        <v>0</v>
      </c>
      <c r="K8989" t="n">
        <v>0</v>
      </c>
      <c r="L8989" t="n">
        <v>0</v>
      </c>
      <c r="M8989" t="n">
        <v>0</v>
      </c>
      <c r="N8989" t="n">
        <v>0</v>
      </c>
      <c r="O8989" t="n">
        <v>0</v>
      </c>
      <c r="P8989" t="n">
        <v>0</v>
      </c>
      <c r="Q8989" t="n">
        <v>0</v>
      </c>
      <c r="R8989" s="2" t="inlineStr"/>
    </row>
    <row r="8990" ht="15" customHeight="1">
      <c r="A8990" t="inlineStr">
        <is>
          <t>A 8436-2026</t>
        </is>
      </c>
      <c r="B8990" s="1" t="n">
        <v>46065.39300925926</v>
      </c>
      <c r="C8990" s="1" t="n">
        <v>46086</v>
      </c>
      <c r="D8990" t="inlineStr">
        <is>
          <t>GÄVLEBORGS LÄN</t>
        </is>
      </c>
      <c r="E8990" t="inlineStr">
        <is>
          <t>OCKELBO</t>
        </is>
      </c>
      <c r="F8990" t="inlineStr">
        <is>
          <t>Bergvik skog väst AB</t>
        </is>
      </c>
      <c r="G8990" t="n">
        <v>12.9</v>
      </c>
      <c r="H8990" t="n">
        <v>0</v>
      </c>
      <c r="I8990" t="n">
        <v>0</v>
      </c>
      <c r="J8990" t="n">
        <v>0</v>
      </c>
      <c r="K8990" t="n">
        <v>0</v>
      </c>
      <c r="L8990" t="n">
        <v>0</v>
      </c>
      <c r="M8990" t="n">
        <v>0</v>
      </c>
      <c r="N8990" t="n">
        <v>0</v>
      </c>
      <c r="O8990" t="n">
        <v>0</v>
      </c>
      <c r="P8990" t="n">
        <v>0</v>
      </c>
      <c r="Q8990" t="n">
        <v>0</v>
      </c>
      <c r="R8990" s="2" t="inlineStr"/>
    </row>
    <row r="8991" ht="15" customHeight="1">
      <c r="A8991" t="inlineStr">
        <is>
          <t>A 3606-2025</t>
        </is>
      </c>
      <c r="B8991" s="1" t="n">
        <v>45681.35346064815</v>
      </c>
      <c r="C8991" s="1" t="n">
        <v>46086</v>
      </c>
      <c r="D8991" t="inlineStr">
        <is>
          <t>GÄVLEBORGS LÄN</t>
        </is>
      </c>
      <c r="E8991" t="inlineStr">
        <is>
          <t>NORDANSTIG</t>
        </is>
      </c>
      <c r="F8991" t="inlineStr">
        <is>
          <t>Holmen skog AB</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7051-2026</t>
        </is>
      </c>
      <c r="B8992" s="1" t="n">
        <v>46057</v>
      </c>
      <c r="C8992" s="1" t="n">
        <v>46086</v>
      </c>
      <c r="D8992" t="inlineStr">
        <is>
          <t>GÄVLEBORGS LÄN</t>
        </is>
      </c>
      <c r="E8992" t="inlineStr">
        <is>
          <t>SANDVIKEN</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7606-2022</t>
        </is>
      </c>
      <c r="B8993" s="1" t="n">
        <v>44607.65809027778</v>
      </c>
      <c r="C8993" s="1" t="n">
        <v>46086</v>
      </c>
      <c r="D8993" t="inlineStr">
        <is>
          <t>GÄVLEBORGS LÄN</t>
        </is>
      </c>
      <c r="E8993" t="inlineStr">
        <is>
          <t>LJUSDAL</t>
        </is>
      </c>
      <c r="F8993" t="inlineStr">
        <is>
          <t>Holmen skog AB</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7100-2026</t>
        </is>
      </c>
      <c r="B8994" s="1" t="n">
        <v>46058</v>
      </c>
      <c r="C8994" s="1" t="n">
        <v>46086</v>
      </c>
      <c r="D8994" t="inlineStr">
        <is>
          <t>GÄVLEBORGS LÄN</t>
        </is>
      </c>
      <c r="E8994" t="inlineStr">
        <is>
          <t>BOLLNÄS</t>
        </is>
      </c>
      <c r="F8994" t="inlineStr">
        <is>
          <t>Bergvik skog väst AB</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8583-2026</t>
        </is>
      </c>
      <c r="B8995" s="1" t="n">
        <v>46065.72215277778</v>
      </c>
      <c r="C8995" s="1" t="n">
        <v>46086</v>
      </c>
      <c r="D8995" t="inlineStr">
        <is>
          <t>GÄVLEBORGS LÄN</t>
        </is>
      </c>
      <c r="E8995" t="inlineStr">
        <is>
          <t>SANDVIKEN</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5338-2026</t>
        </is>
      </c>
      <c r="B8996" s="1" t="n">
        <v>46050</v>
      </c>
      <c r="C8996" s="1" t="n">
        <v>46086</v>
      </c>
      <c r="D8996" t="inlineStr">
        <is>
          <t>GÄVLEBORGS LÄN</t>
        </is>
      </c>
      <c r="E8996" t="inlineStr">
        <is>
          <t>BOLLNÄS</t>
        </is>
      </c>
      <c r="F8996" t="inlineStr">
        <is>
          <t>Bergvik skog väst AB</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5970-2026</t>
        </is>
      </c>
      <c r="B8997" s="1" t="n">
        <v>46052</v>
      </c>
      <c r="C8997" s="1" t="n">
        <v>46086</v>
      </c>
      <c r="D8997" t="inlineStr">
        <is>
          <t>GÄVLEBORGS LÄN</t>
        </is>
      </c>
      <c r="E8997" t="inlineStr">
        <is>
          <t>OCKELBO</t>
        </is>
      </c>
      <c r="F8997" t="inlineStr">
        <is>
          <t>Bergvik skog väst AB</t>
        </is>
      </c>
      <c r="G8997" t="n">
        <v>3.2</v>
      </c>
      <c r="H8997" t="n">
        <v>0</v>
      </c>
      <c r="I8997" t="n">
        <v>0</v>
      </c>
      <c r="J8997" t="n">
        <v>0</v>
      </c>
      <c r="K8997" t="n">
        <v>0</v>
      </c>
      <c r="L8997" t="n">
        <v>0</v>
      </c>
      <c r="M8997" t="n">
        <v>0</v>
      </c>
      <c r="N8997" t="n">
        <v>0</v>
      </c>
      <c r="O8997" t="n">
        <v>0</v>
      </c>
      <c r="P8997" t="n">
        <v>0</v>
      </c>
      <c r="Q8997" t="n">
        <v>0</v>
      </c>
      <c r="R8997" s="2" t="inlineStr"/>
    </row>
    <row r="8998" ht="15" customHeight="1">
      <c r="A8998" t="inlineStr">
        <is>
          <t>A 5974-2026</t>
        </is>
      </c>
      <c r="B8998" s="1" t="n">
        <v>46052</v>
      </c>
      <c r="C8998" s="1" t="n">
        <v>46086</v>
      </c>
      <c r="D8998" t="inlineStr">
        <is>
          <t>GÄVLEBORGS LÄN</t>
        </is>
      </c>
      <c r="E8998" t="inlineStr">
        <is>
          <t>OCKELBO</t>
        </is>
      </c>
      <c r="F8998" t="inlineStr">
        <is>
          <t>Bergvik skog väst AB</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5982-2026</t>
        </is>
      </c>
      <c r="B8999" s="1" t="n">
        <v>46052</v>
      </c>
      <c r="C8999" s="1" t="n">
        <v>46086</v>
      </c>
      <c r="D8999" t="inlineStr">
        <is>
          <t>GÄVLEBORGS LÄN</t>
        </is>
      </c>
      <c r="E8999" t="inlineStr">
        <is>
          <t>OCKELBO</t>
        </is>
      </c>
      <c r="F8999" t="inlineStr">
        <is>
          <t>Bergvik skog väst AB</t>
        </is>
      </c>
      <c r="G8999" t="n">
        <v>3.5</v>
      </c>
      <c r="H8999" t="n">
        <v>0</v>
      </c>
      <c r="I8999" t="n">
        <v>0</v>
      </c>
      <c r="J8999" t="n">
        <v>0</v>
      </c>
      <c r="K8999" t="n">
        <v>0</v>
      </c>
      <c r="L8999" t="n">
        <v>0</v>
      </c>
      <c r="M8999" t="n">
        <v>0</v>
      </c>
      <c r="N8999" t="n">
        <v>0</v>
      </c>
      <c r="O8999" t="n">
        <v>0</v>
      </c>
      <c r="P8999" t="n">
        <v>0</v>
      </c>
      <c r="Q8999" t="n">
        <v>0</v>
      </c>
      <c r="R8999" s="2" t="inlineStr"/>
    </row>
    <row r="9000" ht="15" customHeight="1">
      <c r="A9000" t="inlineStr">
        <is>
          <t>A 6842-2026</t>
        </is>
      </c>
      <c r="B9000" s="1" t="n">
        <v>46057</v>
      </c>
      <c r="C9000" s="1" t="n">
        <v>46086</v>
      </c>
      <c r="D9000" t="inlineStr">
        <is>
          <t>GÄVLEBORGS LÄN</t>
        </is>
      </c>
      <c r="E9000" t="inlineStr">
        <is>
          <t>BOLLNÄS</t>
        </is>
      </c>
      <c r="F9000" t="inlineStr">
        <is>
          <t>Bergvik skog väst AB</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7664-2026</t>
        </is>
      </c>
      <c r="B9001" s="1" t="n">
        <v>46062</v>
      </c>
      <c r="C9001" s="1" t="n">
        <v>46086</v>
      </c>
      <c r="D9001" t="inlineStr">
        <is>
          <t>GÄVLEBORGS LÄN</t>
        </is>
      </c>
      <c r="E9001" t="inlineStr">
        <is>
          <t>BOLLNÄS</t>
        </is>
      </c>
      <c r="G9001" t="n">
        <v>6.5</v>
      </c>
      <c r="H9001" t="n">
        <v>0</v>
      </c>
      <c r="I9001" t="n">
        <v>0</v>
      </c>
      <c r="J9001" t="n">
        <v>0</v>
      </c>
      <c r="K9001" t="n">
        <v>0</v>
      </c>
      <c r="L9001" t="n">
        <v>0</v>
      </c>
      <c r="M9001" t="n">
        <v>0</v>
      </c>
      <c r="N9001" t="n">
        <v>0</v>
      </c>
      <c r="O9001" t="n">
        <v>0</v>
      </c>
      <c r="P9001" t="n">
        <v>0</v>
      </c>
      <c r="Q9001" t="n">
        <v>0</v>
      </c>
      <c r="R9001" s="2" t="inlineStr"/>
    </row>
    <row r="9002" ht="15" customHeight="1">
      <c r="A9002" t="inlineStr">
        <is>
          <t>A 8201-2026</t>
        </is>
      </c>
      <c r="B9002" s="1" t="n">
        <v>46064.44166666667</v>
      </c>
      <c r="C9002" s="1" t="n">
        <v>46086</v>
      </c>
      <c r="D9002" t="inlineStr">
        <is>
          <t>GÄVLEBORGS LÄN</t>
        </is>
      </c>
      <c r="E9002" t="inlineStr">
        <is>
          <t>NORDANSTIG</t>
        </is>
      </c>
      <c r="G9002" t="n">
        <v>3.5</v>
      </c>
      <c r="H9002" t="n">
        <v>0</v>
      </c>
      <c r="I9002" t="n">
        <v>0</v>
      </c>
      <c r="J9002" t="n">
        <v>0</v>
      </c>
      <c r="K9002" t="n">
        <v>0</v>
      </c>
      <c r="L9002" t="n">
        <v>0</v>
      </c>
      <c r="M9002" t="n">
        <v>0</v>
      </c>
      <c r="N9002" t="n">
        <v>0</v>
      </c>
      <c r="O9002" t="n">
        <v>0</v>
      </c>
      <c r="P9002" t="n">
        <v>0</v>
      </c>
      <c r="Q9002" t="n">
        <v>0</v>
      </c>
      <c r="R9002" s="2" t="inlineStr"/>
    </row>
    <row r="9003" ht="15" customHeight="1">
      <c r="A9003" t="inlineStr">
        <is>
          <t>A 64010-2023</t>
        </is>
      </c>
      <c r="B9003" s="1" t="n">
        <v>45278.92585648148</v>
      </c>
      <c r="C9003" s="1" t="n">
        <v>46086</v>
      </c>
      <c r="D9003" t="inlineStr">
        <is>
          <t>GÄVLEBORGS LÄN</t>
        </is>
      </c>
      <c r="E9003" t="inlineStr">
        <is>
          <t>HUDIKSVALL</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8204-2026</t>
        </is>
      </c>
      <c r="B9004" s="1" t="n">
        <v>46064.44618055555</v>
      </c>
      <c r="C9004" s="1" t="n">
        <v>46086</v>
      </c>
      <c r="D9004" t="inlineStr">
        <is>
          <t>GÄVLEBORGS LÄN</t>
        </is>
      </c>
      <c r="E9004" t="inlineStr">
        <is>
          <t>BOLLNÄS</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8225-2026</t>
        </is>
      </c>
      <c r="B9005" s="1" t="n">
        <v>46064.47366898148</v>
      </c>
      <c r="C9005" s="1" t="n">
        <v>46086</v>
      </c>
      <c r="D9005" t="inlineStr">
        <is>
          <t>GÄVLEBORGS LÄN</t>
        </is>
      </c>
      <c r="E9005" t="inlineStr">
        <is>
          <t>OVANÅKER</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8226-2026</t>
        </is>
      </c>
      <c r="B9006" s="1" t="n">
        <v>46064.47422453704</v>
      </c>
      <c r="C9006" s="1" t="n">
        <v>46086</v>
      </c>
      <c r="D9006" t="inlineStr">
        <is>
          <t>GÄVLEBORGS LÄN</t>
        </is>
      </c>
      <c r="E9006" t="inlineStr">
        <is>
          <t>OCKELBO</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8288-2026</t>
        </is>
      </c>
      <c r="B9007" s="1" t="n">
        <v>46064.56770833334</v>
      </c>
      <c r="C9007" s="1" t="n">
        <v>46086</v>
      </c>
      <c r="D9007" t="inlineStr">
        <is>
          <t>GÄVLEBORGS LÄN</t>
        </is>
      </c>
      <c r="E9007" t="inlineStr">
        <is>
          <t>NORDANSTIG</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47288-2023</t>
        </is>
      </c>
      <c r="B9008" s="1" t="n">
        <v>45202</v>
      </c>
      <c r="C9008" s="1" t="n">
        <v>46086</v>
      </c>
      <c r="D9008" t="inlineStr">
        <is>
          <t>GÄVLEBORGS LÄN</t>
        </is>
      </c>
      <c r="E9008" t="inlineStr">
        <is>
          <t>SÖDERHAMN</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47320-2023</t>
        </is>
      </c>
      <c r="B9009" s="1" t="n">
        <v>45202.50706018518</v>
      </c>
      <c r="C9009" s="1" t="n">
        <v>46086</v>
      </c>
      <c r="D9009" t="inlineStr">
        <is>
          <t>GÄVLEBORGS LÄN</t>
        </is>
      </c>
      <c r="E9009" t="inlineStr">
        <is>
          <t>HUDIKSVALL</t>
        </is>
      </c>
      <c r="F9009" t="inlineStr">
        <is>
          <t>Holmen skog AB</t>
        </is>
      </c>
      <c r="G9009" t="n">
        <v>6</v>
      </c>
      <c r="H9009" t="n">
        <v>0</v>
      </c>
      <c r="I9009" t="n">
        <v>0</v>
      </c>
      <c r="J9009" t="n">
        <v>0</v>
      </c>
      <c r="K9009" t="n">
        <v>0</v>
      </c>
      <c r="L9009" t="n">
        <v>0</v>
      </c>
      <c r="M9009" t="n">
        <v>0</v>
      </c>
      <c r="N9009" t="n">
        <v>0</v>
      </c>
      <c r="O9009" t="n">
        <v>0</v>
      </c>
      <c r="P9009" t="n">
        <v>0</v>
      </c>
      <c r="Q9009" t="n">
        <v>0</v>
      </c>
      <c r="R9009" s="2" t="inlineStr"/>
    </row>
    <row r="9010" ht="15" customHeight="1">
      <c r="A9010" t="inlineStr">
        <is>
          <t>A 47335-2023</t>
        </is>
      </c>
      <c r="B9010" s="1" t="n">
        <v>45202.53678240741</v>
      </c>
      <c r="C9010" s="1" t="n">
        <v>46086</v>
      </c>
      <c r="D9010" t="inlineStr">
        <is>
          <t>GÄVLEBORGS LÄN</t>
        </is>
      </c>
      <c r="E9010" t="inlineStr">
        <is>
          <t>HUDIKSVALL</t>
        </is>
      </c>
      <c r="F9010" t="inlineStr">
        <is>
          <t>Holmen skog AB</t>
        </is>
      </c>
      <c r="G9010" t="n">
        <v>4.2</v>
      </c>
      <c r="H9010" t="n">
        <v>0</v>
      </c>
      <c r="I9010" t="n">
        <v>0</v>
      </c>
      <c r="J9010" t="n">
        <v>0</v>
      </c>
      <c r="K9010" t="n">
        <v>0</v>
      </c>
      <c r="L9010" t="n">
        <v>0</v>
      </c>
      <c r="M9010" t="n">
        <v>0</v>
      </c>
      <c r="N9010" t="n">
        <v>0</v>
      </c>
      <c r="O9010" t="n">
        <v>0</v>
      </c>
      <c r="P9010" t="n">
        <v>0</v>
      </c>
      <c r="Q9010" t="n">
        <v>0</v>
      </c>
      <c r="R9010" s="2" t="inlineStr"/>
    </row>
    <row r="9011" ht="15" customHeight="1">
      <c r="A9011" t="inlineStr">
        <is>
          <t>A 8292-2026</t>
        </is>
      </c>
      <c r="B9011" s="1" t="n">
        <v>46063</v>
      </c>
      <c r="C9011" s="1" t="n">
        <v>46086</v>
      </c>
      <c r="D9011" t="inlineStr">
        <is>
          <t>GÄVLEBORGS LÄN</t>
        </is>
      </c>
      <c r="E9011" t="inlineStr">
        <is>
          <t>GÄVLE</t>
        </is>
      </c>
      <c r="F9011" t="inlineStr">
        <is>
          <t>Bergvik skog väst AB</t>
        </is>
      </c>
      <c r="G9011" t="n">
        <v>11.6</v>
      </c>
      <c r="H9011" t="n">
        <v>0</v>
      </c>
      <c r="I9011" t="n">
        <v>0</v>
      </c>
      <c r="J9011" t="n">
        <v>0</v>
      </c>
      <c r="K9011" t="n">
        <v>0</v>
      </c>
      <c r="L9011" t="n">
        <v>0</v>
      </c>
      <c r="M9011" t="n">
        <v>0</v>
      </c>
      <c r="N9011" t="n">
        <v>0</v>
      </c>
      <c r="O9011" t="n">
        <v>0</v>
      </c>
      <c r="P9011" t="n">
        <v>0</v>
      </c>
      <c r="Q9011" t="n">
        <v>0</v>
      </c>
      <c r="R9011" s="2" t="inlineStr"/>
    </row>
    <row r="9012" ht="15" customHeight="1">
      <c r="A9012" t="inlineStr">
        <is>
          <t>A 8303-2026</t>
        </is>
      </c>
      <c r="B9012" s="1" t="n">
        <v>46063</v>
      </c>
      <c r="C9012" s="1" t="n">
        <v>46086</v>
      </c>
      <c r="D9012" t="inlineStr">
        <is>
          <t>GÄVLEBORGS LÄN</t>
        </is>
      </c>
      <c r="E9012" t="inlineStr">
        <is>
          <t>GÄVLE</t>
        </is>
      </c>
      <c r="F9012" t="inlineStr">
        <is>
          <t>Bergvik skog väst AB</t>
        </is>
      </c>
      <c r="G9012" t="n">
        <v>4.7</v>
      </c>
      <c r="H9012" t="n">
        <v>0</v>
      </c>
      <c r="I9012" t="n">
        <v>0</v>
      </c>
      <c r="J9012" t="n">
        <v>0</v>
      </c>
      <c r="K9012" t="n">
        <v>0</v>
      </c>
      <c r="L9012" t="n">
        <v>0</v>
      </c>
      <c r="M9012" t="n">
        <v>0</v>
      </c>
      <c r="N9012" t="n">
        <v>0</v>
      </c>
      <c r="O9012" t="n">
        <v>0</v>
      </c>
      <c r="P9012" t="n">
        <v>0</v>
      </c>
      <c r="Q9012" t="n">
        <v>0</v>
      </c>
      <c r="R9012" s="2" t="inlineStr"/>
    </row>
    <row r="9013" ht="15" customHeight="1">
      <c r="A9013" t="inlineStr">
        <is>
          <t>A 8363-2026</t>
        </is>
      </c>
      <c r="B9013" s="1" t="n">
        <v>46064.68269675926</v>
      </c>
      <c r="C9013" s="1" t="n">
        <v>46086</v>
      </c>
      <c r="D9013" t="inlineStr">
        <is>
          <t>GÄVLEBORGS LÄN</t>
        </is>
      </c>
      <c r="E9013" t="inlineStr">
        <is>
          <t>SANDVIKEN</t>
        </is>
      </c>
      <c r="G9013" t="n">
        <v>3.9</v>
      </c>
      <c r="H9013" t="n">
        <v>0</v>
      </c>
      <c r="I9013" t="n">
        <v>0</v>
      </c>
      <c r="J9013" t="n">
        <v>0</v>
      </c>
      <c r="K9013" t="n">
        <v>0</v>
      </c>
      <c r="L9013" t="n">
        <v>0</v>
      </c>
      <c r="M9013" t="n">
        <v>0</v>
      </c>
      <c r="N9013" t="n">
        <v>0</v>
      </c>
      <c r="O9013" t="n">
        <v>0</v>
      </c>
      <c r="P9013" t="n">
        <v>0</v>
      </c>
      <c r="Q9013" t="n">
        <v>0</v>
      </c>
      <c r="R9013" s="2" t="inlineStr"/>
    </row>
    <row r="9014" ht="15" customHeight="1">
      <c r="A9014" t="inlineStr">
        <is>
          <t>A 8397-2026</t>
        </is>
      </c>
      <c r="B9014" s="1" t="n">
        <v>46065.30181712963</v>
      </c>
      <c r="C9014" s="1" t="n">
        <v>46086</v>
      </c>
      <c r="D9014" t="inlineStr">
        <is>
          <t>GÄVLEBORGS LÄN</t>
        </is>
      </c>
      <c r="E9014" t="inlineStr">
        <is>
          <t>BOLLNÄS</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8130-2026</t>
        </is>
      </c>
      <c r="B9015" s="1" t="n">
        <v>46064.29201388889</v>
      </c>
      <c r="C9015" s="1" t="n">
        <v>46086</v>
      </c>
      <c r="D9015" t="inlineStr">
        <is>
          <t>GÄVLEBORGS LÄN</t>
        </is>
      </c>
      <c r="E9015" t="inlineStr">
        <is>
          <t>BOLLNÄS</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8154-2026</t>
        </is>
      </c>
      <c r="B9016" s="1" t="n">
        <v>46064.35946759259</v>
      </c>
      <c r="C9016" s="1" t="n">
        <v>46086</v>
      </c>
      <c r="D9016" t="inlineStr">
        <is>
          <t>GÄVLEBORGS LÄN</t>
        </is>
      </c>
      <c r="E9016" t="inlineStr">
        <is>
          <t>BOLLNÄS</t>
        </is>
      </c>
      <c r="F9016" t="inlineStr">
        <is>
          <t>Bergvik skog väst AB</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8174-2026</t>
        </is>
      </c>
      <c r="B9017" s="1" t="n">
        <v>46064.3990625</v>
      </c>
      <c r="C9017" s="1" t="n">
        <v>46086</v>
      </c>
      <c r="D9017" t="inlineStr">
        <is>
          <t>GÄVLEBORGS LÄN</t>
        </is>
      </c>
      <c r="E9017" t="inlineStr">
        <is>
          <t>BOLLNÄS</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8177-2026</t>
        </is>
      </c>
      <c r="B9018" s="1" t="n">
        <v>46064.41071759259</v>
      </c>
      <c r="C9018" s="1" t="n">
        <v>46086</v>
      </c>
      <c r="D9018" t="inlineStr">
        <is>
          <t>GÄVLEBORGS LÄN</t>
        </is>
      </c>
      <c r="E9018" t="inlineStr">
        <is>
          <t>OVANÅKER</t>
        </is>
      </c>
      <c r="G9018" t="n">
        <v>7.9</v>
      </c>
      <c r="H9018" t="n">
        <v>0</v>
      </c>
      <c r="I9018" t="n">
        <v>0</v>
      </c>
      <c r="J9018" t="n">
        <v>0</v>
      </c>
      <c r="K9018" t="n">
        <v>0</v>
      </c>
      <c r="L9018" t="n">
        <v>0</v>
      </c>
      <c r="M9018" t="n">
        <v>0</v>
      </c>
      <c r="N9018" t="n">
        <v>0</v>
      </c>
      <c r="O9018" t="n">
        <v>0</v>
      </c>
      <c r="P9018" t="n">
        <v>0</v>
      </c>
      <c r="Q9018" t="n">
        <v>0</v>
      </c>
      <c r="R9018" s="2" t="inlineStr"/>
    </row>
    <row r="9019" ht="15" customHeight="1">
      <c r="A9019" t="inlineStr">
        <is>
          <t>A 6766-2022</t>
        </is>
      </c>
      <c r="B9019" s="1" t="n">
        <v>44602.50246527778</v>
      </c>
      <c r="C9019" s="1" t="n">
        <v>46086</v>
      </c>
      <c r="D9019" t="inlineStr">
        <is>
          <t>GÄVLEBORGS LÄN</t>
        </is>
      </c>
      <c r="E9019" t="inlineStr">
        <is>
          <t>OVANÅKER</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8181-2026</t>
        </is>
      </c>
      <c r="B9020" s="1" t="n">
        <v>46064.41965277777</v>
      </c>
      <c r="C9020" s="1" t="n">
        <v>46086</v>
      </c>
      <c r="D9020" t="inlineStr">
        <is>
          <t>GÄVLEBORGS LÄN</t>
        </is>
      </c>
      <c r="E9020" t="inlineStr">
        <is>
          <t>BOLLNÄS</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8213-2026</t>
        </is>
      </c>
      <c r="B9021" s="1" t="n">
        <v>46064.45447916666</v>
      </c>
      <c r="C9021" s="1" t="n">
        <v>46086</v>
      </c>
      <c r="D9021" t="inlineStr">
        <is>
          <t>GÄVLEBORGS LÄN</t>
        </is>
      </c>
      <c r="E9021" t="inlineStr">
        <is>
          <t>OVANÅKER</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8239-2026</t>
        </is>
      </c>
      <c r="B9022" s="1" t="n">
        <v>46064.48892361111</v>
      </c>
      <c r="C9022" s="1" t="n">
        <v>46086</v>
      </c>
      <c r="D9022" t="inlineStr">
        <is>
          <t>GÄVLEBORGS LÄN</t>
        </is>
      </c>
      <c r="E9022" t="inlineStr">
        <is>
          <t>HOFORS</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5985-2026</t>
        </is>
      </c>
      <c r="B9023" s="1" t="n">
        <v>46052</v>
      </c>
      <c r="C9023" s="1" t="n">
        <v>46086</v>
      </c>
      <c r="D9023" t="inlineStr">
        <is>
          <t>GÄVLEBORGS LÄN</t>
        </is>
      </c>
      <c r="E9023" t="inlineStr">
        <is>
          <t>OCKELBO</t>
        </is>
      </c>
      <c r="F9023" t="inlineStr">
        <is>
          <t>Bergvik skog väst AB</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8475-2026</t>
        </is>
      </c>
      <c r="B9024" s="1" t="n">
        <v>46065.45392361111</v>
      </c>
      <c r="C9024" s="1" t="n">
        <v>46086</v>
      </c>
      <c r="D9024" t="inlineStr">
        <is>
          <t>GÄVLEBORGS LÄN</t>
        </is>
      </c>
      <c r="E9024" t="inlineStr">
        <is>
          <t>OCKELBO</t>
        </is>
      </c>
      <c r="F9024" t="inlineStr">
        <is>
          <t>Bergvik skog väst AB</t>
        </is>
      </c>
      <c r="G9024" t="n">
        <v>5.2</v>
      </c>
      <c r="H9024" t="n">
        <v>0</v>
      </c>
      <c r="I9024" t="n">
        <v>0</v>
      </c>
      <c r="J9024" t="n">
        <v>0</v>
      </c>
      <c r="K9024" t="n">
        <v>0</v>
      </c>
      <c r="L9024" t="n">
        <v>0</v>
      </c>
      <c r="M9024" t="n">
        <v>0</v>
      </c>
      <c r="N9024" t="n">
        <v>0</v>
      </c>
      <c r="O9024" t="n">
        <v>0</v>
      </c>
      <c r="P9024" t="n">
        <v>0</v>
      </c>
      <c r="Q9024" t="n">
        <v>0</v>
      </c>
      <c r="R9024" s="2" t="inlineStr"/>
    </row>
    <row r="9025" ht="15" customHeight="1">
      <c r="A9025" t="inlineStr">
        <is>
          <t>A 5537-2026</t>
        </is>
      </c>
      <c r="B9025" s="1" t="n">
        <v>46050</v>
      </c>
      <c r="C9025" s="1" t="n">
        <v>46086</v>
      </c>
      <c r="D9025" t="inlineStr">
        <is>
          <t>GÄVLEBORGS LÄN</t>
        </is>
      </c>
      <c r="E9025" t="inlineStr">
        <is>
          <t>OCKELBO</t>
        </is>
      </c>
      <c r="F9025" t="inlineStr">
        <is>
          <t>Bergvik skog väst AB</t>
        </is>
      </c>
      <c r="G9025" t="n">
        <v>18.1</v>
      </c>
      <c r="H9025" t="n">
        <v>0</v>
      </c>
      <c r="I9025" t="n">
        <v>0</v>
      </c>
      <c r="J9025" t="n">
        <v>0</v>
      </c>
      <c r="K9025" t="n">
        <v>0</v>
      </c>
      <c r="L9025" t="n">
        <v>0</v>
      </c>
      <c r="M9025" t="n">
        <v>0</v>
      </c>
      <c r="N9025" t="n">
        <v>0</v>
      </c>
      <c r="O9025" t="n">
        <v>0</v>
      </c>
      <c r="P9025" t="n">
        <v>0</v>
      </c>
      <c r="Q9025" t="n">
        <v>0</v>
      </c>
      <c r="R9025" s="2" t="inlineStr"/>
    </row>
    <row r="9026" ht="15" customHeight="1">
      <c r="A9026" t="inlineStr">
        <is>
          <t>A 6985-2025</t>
        </is>
      </c>
      <c r="B9026" s="1" t="n">
        <v>45701.56611111111</v>
      </c>
      <c r="C9026" s="1" t="n">
        <v>46086</v>
      </c>
      <c r="D9026" t="inlineStr">
        <is>
          <t>GÄVLEBORGS LÄN</t>
        </is>
      </c>
      <c r="E9026" t="inlineStr">
        <is>
          <t>HUDIKSVALL</t>
        </is>
      </c>
      <c r="G9026" t="n">
        <v>6.7</v>
      </c>
      <c r="H9026" t="n">
        <v>0</v>
      </c>
      <c r="I9026" t="n">
        <v>0</v>
      </c>
      <c r="J9026" t="n">
        <v>0</v>
      </c>
      <c r="K9026" t="n">
        <v>0</v>
      </c>
      <c r="L9026" t="n">
        <v>0</v>
      </c>
      <c r="M9026" t="n">
        <v>0</v>
      </c>
      <c r="N9026" t="n">
        <v>0</v>
      </c>
      <c r="O9026" t="n">
        <v>0</v>
      </c>
      <c r="P9026" t="n">
        <v>0</v>
      </c>
      <c r="Q9026" t="n">
        <v>0</v>
      </c>
      <c r="R9026" s="2" t="inlineStr"/>
    </row>
    <row r="9027" ht="15" customHeight="1">
      <c r="A9027" t="inlineStr">
        <is>
          <t>A 50752-2023</t>
        </is>
      </c>
      <c r="B9027" s="1" t="n">
        <v>45217.6034375</v>
      </c>
      <c r="C9027" s="1" t="n">
        <v>46086</v>
      </c>
      <c r="D9027" t="inlineStr">
        <is>
          <t>GÄVLEBORGS LÄN</t>
        </is>
      </c>
      <c r="E9027" t="inlineStr">
        <is>
          <t>OVANÅKER</t>
        </is>
      </c>
      <c r="F9027" t="inlineStr">
        <is>
          <t>Bergvik skog väst AB</t>
        </is>
      </c>
      <c r="G9027" t="n">
        <v>3.3</v>
      </c>
      <c r="H9027" t="n">
        <v>0</v>
      </c>
      <c r="I9027" t="n">
        <v>0</v>
      </c>
      <c r="J9027" t="n">
        <v>0</v>
      </c>
      <c r="K9027" t="n">
        <v>0</v>
      </c>
      <c r="L9027" t="n">
        <v>0</v>
      </c>
      <c r="M9027" t="n">
        <v>0</v>
      </c>
      <c r="N9027" t="n">
        <v>0</v>
      </c>
      <c r="O9027" t="n">
        <v>0</v>
      </c>
      <c r="P9027" t="n">
        <v>0</v>
      </c>
      <c r="Q9027" t="n">
        <v>0</v>
      </c>
      <c r="R9027" s="2" t="inlineStr"/>
    </row>
    <row r="9028" ht="15" customHeight="1">
      <c r="A9028" t="inlineStr">
        <is>
          <t>A 8528-2026</t>
        </is>
      </c>
      <c r="B9028" s="1" t="n">
        <v>46065.59579861111</v>
      </c>
      <c r="C9028" s="1" t="n">
        <v>46086</v>
      </c>
      <c r="D9028" t="inlineStr">
        <is>
          <t>GÄVLEBORGS LÄN</t>
        </is>
      </c>
      <c r="E9028" t="inlineStr">
        <is>
          <t>BOLLNÄS</t>
        </is>
      </c>
      <c r="G9028" t="n">
        <v>2.5</v>
      </c>
      <c r="H9028" t="n">
        <v>0</v>
      </c>
      <c r="I9028" t="n">
        <v>0</v>
      </c>
      <c r="J9028" t="n">
        <v>0</v>
      </c>
      <c r="K9028" t="n">
        <v>0</v>
      </c>
      <c r="L9028" t="n">
        <v>0</v>
      </c>
      <c r="M9028" t="n">
        <v>0</v>
      </c>
      <c r="N9028" t="n">
        <v>0</v>
      </c>
      <c r="O9028" t="n">
        <v>0</v>
      </c>
      <c r="P9028" t="n">
        <v>0</v>
      </c>
      <c r="Q9028" t="n">
        <v>0</v>
      </c>
      <c r="R9028" s="2" t="inlineStr"/>
    </row>
    <row r="9029" ht="15" customHeight="1">
      <c r="A9029" t="inlineStr">
        <is>
          <t>A 8544-2026</t>
        </is>
      </c>
      <c r="B9029" s="1" t="n">
        <v>46065.61357638889</v>
      </c>
      <c r="C9029" s="1" t="n">
        <v>46086</v>
      </c>
      <c r="D9029" t="inlineStr">
        <is>
          <t>GÄVLEBORGS LÄN</t>
        </is>
      </c>
      <c r="E9029" t="inlineStr">
        <is>
          <t>OCKELBO</t>
        </is>
      </c>
      <c r="F9029" t="inlineStr">
        <is>
          <t>Bergvik skog väst AB</t>
        </is>
      </c>
      <c r="G9029" t="n">
        <v>57.6</v>
      </c>
      <c r="H9029" t="n">
        <v>0</v>
      </c>
      <c r="I9029" t="n">
        <v>0</v>
      </c>
      <c r="J9029" t="n">
        <v>0</v>
      </c>
      <c r="K9029" t="n">
        <v>0</v>
      </c>
      <c r="L9029" t="n">
        <v>0</v>
      </c>
      <c r="M9029" t="n">
        <v>0</v>
      </c>
      <c r="N9029" t="n">
        <v>0</v>
      </c>
      <c r="O9029" t="n">
        <v>0</v>
      </c>
      <c r="P9029" t="n">
        <v>0</v>
      </c>
      <c r="Q9029" t="n">
        <v>0</v>
      </c>
      <c r="R9029" s="2" t="inlineStr"/>
    </row>
    <row r="9030" ht="15" customHeight="1">
      <c r="A9030" t="inlineStr">
        <is>
          <t>A 6648-2026</t>
        </is>
      </c>
      <c r="B9030" s="1" t="n">
        <v>46056</v>
      </c>
      <c r="C9030" s="1" t="n">
        <v>46086</v>
      </c>
      <c r="D9030" t="inlineStr">
        <is>
          <t>GÄVLEBORGS LÄN</t>
        </is>
      </c>
      <c r="E9030" t="inlineStr">
        <is>
          <t>OCKELBO</t>
        </is>
      </c>
      <c r="F9030" t="inlineStr">
        <is>
          <t>Bergvik skog väst AB</t>
        </is>
      </c>
      <c r="G9030" t="n">
        <v>3.7</v>
      </c>
      <c r="H9030" t="n">
        <v>0</v>
      </c>
      <c r="I9030" t="n">
        <v>0</v>
      </c>
      <c r="J9030" t="n">
        <v>0</v>
      </c>
      <c r="K9030" t="n">
        <v>0</v>
      </c>
      <c r="L9030" t="n">
        <v>0</v>
      </c>
      <c r="M9030" t="n">
        <v>0</v>
      </c>
      <c r="N9030" t="n">
        <v>0</v>
      </c>
      <c r="O9030" t="n">
        <v>0</v>
      </c>
      <c r="P9030" t="n">
        <v>0</v>
      </c>
      <c r="Q9030" t="n">
        <v>0</v>
      </c>
      <c r="R9030" s="2" t="inlineStr"/>
    </row>
    <row r="9031" ht="15" customHeight="1">
      <c r="A9031" t="inlineStr">
        <is>
          <t>A 6651-2026</t>
        </is>
      </c>
      <c r="B9031" s="1" t="n">
        <v>46056</v>
      </c>
      <c r="C9031" s="1" t="n">
        <v>46086</v>
      </c>
      <c r="D9031" t="inlineStr">
        <is>
          <t>GÄVLEBORGS LÄN</t>
        </is>
      </c>
      <c r="E9031" t="inlineStr">
        <is>
          <t>SANDVIKEN</t>
        </is>
      </c>
      <c r="G9031" t="n">
        <v>8.800000000000001</v>
      </c>
      <c r="H9031" t="n">
        <v>0</v>
      </c>
      <c r="I9031" t="n">
        <v>0</v>
      </c>
      <c r="J9031" t="n">
        <v>0</v>
      </c>
      <c r="K9031" t="n">
        <v>0</v>
      </c>
      <c r="L9031" t="n">
        <v>0</v>
      </c>
      <c r="M9031" t="n">
        <v>0</v>
      </c>
      <c r="N9031" t="n">
        <v>0</v>
      </c>
      <c r="O9031" t="n">
        <v>0</v>
      </c>
      <c r="P9031" t="n">
        <v>0</v>
      </c>
      <c r="Q9031" t="n">
        <v>0</v>
      </c>
      <c r="R9031" s="2" t="inlineStr"/>
    </row>
    <row r="9032" ht="15" customHeight="1">
      <c r="A9032" t="inlineStr">
        <is>
          <t>A 8511-2026</t>
        </is>
      </c>
      <c r="B9032" s="1" t="n">
        <v>46065.55564814815</v>
      </c>
      <c r="C9032" s="1" t="n">
        <v>46086</v>
      </c>
      <c r="D9032" t="inlineStr">
        <is>
          <t>GÄVLEBORGS LÄN</t>
        </is>
      </c>
      <c r="E9032" t="inlineStr">
        <is>
          <t>BOLLNÄS</t>
        </is>
      </c>
      <c r="G9032" t="n">
        <v>3.3</v>
      </c>
      <c r="H9032" t="n">
        <v>0</v>
      </c>
      <c r="I9032" t="n">
        <v>0</v>
      </c>
      <c r="J9032" t="n">
        <v>0</v>
      </c>
      <c r="K9032" t="n">
        <v>0</v>
      </c>
      <c r="L9032" t="n">
        <v>0</v>
      </c>
      <c r="M9032" t="n">
        <v>0</v>
      </c>
      <c r="N9032" t="n">
        <v>0</v>
      </c>
      <c r="O9032" t="n">
        <v>0</v>
      </c>
      <c r="P9032" t="n">
        <v>0</v>
      </c>
      <c r="Q9032" t="n">
        <v>0</v>
      </c>
      <c r="R9032" s="2" t="inlineStr"/>
    </row>
    <row r="9033" ht="15" customHeight="1">
      <c r="A9033" t="inlineStr">
        <is>
          <t>A 8541-2026</t>
        </is>
      </c>
      <c r="B9033" s="1" t="n">
        <v>46065.6115162037</v>
      </c>
      <c r="C9033" s="1" t="n">
        <v>46086</v>
      </c>
      <c r="D9033" t="inlineStr">
        <is>
          <t>GÄVLEBORGS LÄN</t>
        </is>
      </c>
      <c r="E9033" t="inlineStr">
        <is>
          <t>NORDANSTIG</t>
        </is>
      </c>
      <c r="F9033" t="inlineStr">
        <is>
          <t>Holmen skog AB</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8542-2026</t>
        </is>
      </c>
      <c r="B9034" s="1" t="n">
        <v>46065.61172453704</v>
      </c>
      <c r="C9034" s="1" t="n">
        <v>46086</v>
      </c>
      <c r="D9034" t="inlineStr">
        <is>
          <t>GÄVLEBORGS LÄN</t>
        </is>
      </c>
      <c r="E9034" t="inlineStr">
        <is>
          <t>BOLLNÄS</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14937-2024</t>
        </is>
      </c>
      <c r="B9035" s="1" t="n">
        <v>45398.67929398148</v>
      </c>
      <c r="C9035" s="1" t="n">
        <v>46086</v>
      </c>
      <c r="D9035" t="inlineStr">
        <is>
          <t>GÄVLEBORGS LÄN</t>
        </is>
      </c>
      <c r="E9035" t="inlineStr">
        <is>
          <t>OCKELBO</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8200-2026</t>
        </is>
      </c>
      <c r="B9036" s="1" t="n">
        <v>46064.4416550926</v>
      </c>
      <c r="C9036" s="1" t="n">
        <v>46086</v>
      </c>
      <c r="D9036" t="inlineStr">
        <is>
          <t>GÄVLEBORGS LÄN</t>
        </is>
      </c>
      <c r="E9036" t="inlineStr">
        <is>
          <t>BOLLNÄS</t>
        </is>
      </c>
      <c r="G9036" t="n">
        <v>28.4</v>
      </c>
      <c r="H9036" t="n">
        <v>0</v>
      </c>
      <c r="I9036" t="n">
        <v>0</v>
      </c>
      <c r="J9036" t="n">
        <v>0</v>
      </c>
      <c r="K9036" t="n">
        <v>0</v>
      </c>
      <c r="L9036" t="n">
        <v>0</v>
      </c>
      <c r="M9036" t="n">
        <v>0</v>
      </c>
      <c r="N9036" t="n">
        <v>0</v>
      </c>
      <c r="O9036" t="n">
        <v>0</v>
      </c>
      <c r="P9036" t="n">
        <v>0</v>
      </c>
      <c r="Q9036" t="n">
        <v>0</v>
      </c>
      <c r="R9036" s="2" t="inlineStr"/>
    </row>
    <row r="9037" ht="15" customHeight="1">
      <c r="A9037" t="inlineStr">
        <is>
          <t>A 8298-2026</t>
        </is>
      </c>
      <c r="B9037" s="1" t="n">
        <v>46063</v>
      </c>
      <c r="C9037" s="1" t="n">
        <v>46086</v>
      </c>
      <c r="D9037" t="inlineStr">
        <is>
          <t>GÄVLEBORGS LÄN</t>
        </is>
      </c>
      <c r="E9037" t="inlineStr">
        <is>
          <t>GÄVLE</t>
        </is>
      </c>
      <c r="F9037" t="inlineStr">
        <is>
          <t>Bergvik skog väst AB</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8302-2026</t>
        </is>
      </c>
      <c r="B9038" s="1" t="n">
        <v>46064.5825462963</v>
      </c>
      <c r="C9038" s="1" t="n">
        <v>46086</v>
      </c>
      <c r="D9038" t="inlineStr">
        <is>
          <t>GÄVLEBORGS LÄN</t>
        </is>
      </c>
      <c r="E9038" t="inlineStr">
        <is>
          <t>OVANÅKER</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14960-2024</t>
        </is>
      </c>
      <c r="B9039" s="1" t="n">
        <v>45398</v>
      </c>
      <c r="C9039" s="1" t="n">
        <v>46086</v>
      </c>
      <c r="D9039" t="inlineStr">
        <is>
          <t>GÄVLEBORGS LÄN</t>
        </is>
      </c>
      <c r="E9039" t="inlineStr">
        <is>
          <t>SÖDERHAMN</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8849-2026</t>
        </is>
      </c>
      <c r="B9040" s="1" t="n">
        <v>46066.65311342593</v>
      </c>
      <c r="C9040" s="1" t="n">
        <v>46086</v>
      </c>
      <c r="D9040" t="inlineStr">
        <is>
          <t>GÄVLEBORGS LÄN</t>
        </is>
      </c>
      <c r="E9040" t="inlineStr">
        <is>
          <t>NORDANSTIG</t>
        </is>
      </c>
      <c r="G9040" t="n">
        <v>4.8</v>
      </c>
      <c r="H9040" t="n">
        <v>0</v>
      </c>
      <c r="I9040" t="n">
        <v>0</v>
      </c>
      <c r="J9040" t="n">
        <v>0</v>
      </c>
      <c r="K9040" t="n">
        <v>0</v>
      </c>
      <c r="L9040" t="n">
        <v>0</v>
      </c>
      <c r="M9040" t="n">
        <v>0</v>
      </c>
      <c r="N9040" t="n">
        <v>0</v>
      </c>
      <c r="O9040" t="n">
        <v>0</v>
      </c>
      <c r="P9040" t="n">
        <v>0</v>
      </c>
      <c r="Q9040" t="n">
        <v>0</v>
      </c>
      <c r="R9040" s="2" t="inlineStr"/>
    </row>
    <row r="9041" ht="15" customHeight="1">
      <c r="A9041" t="inlineStr">
        <is>
          <t>A 8881-2026</t>
        </is>
      </c>
      <c r="B9041" s="1" t="n">
        <v>46067.85546296297</v>
      </c>
      <c r="C9041" s="1" t="n">
        <v>46086</v>
      </c>
      <c r="D9041" t="inlineStr">
        <is>
          <t>GÄVLEBORGS LÄN</t>
        </is>
      </c>
      <c r="E9041" t="inlineStr">
        <is>
          <t>BOLLNÄS</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8882-2026</t>
        </is>
      </c>
      <c r="B9042" s="1" t="n">
        <v>46067.87108796297</v>
      </c>
      <c r="C9042" s="1" t="n">
        <v>46086</v>
      </c>
      <c r="D9042" t="inlineStr">
        <is>
          <t>GÄVLEBORGS LÄN</t>
        </is>
      </c>
      <c r="E9042" t="inlineStr">
        <is>
          <t>BOLLNÄS</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8890-2026</t>
        </is>
      </c>
      <c r="B9043" s="1" t="n">
        <v>46068.44395833334</v>
      </c>
      <c r="C9043" s="1" t="n">
        <v>46086</v>
      </c>
      <c r="D9043" t="inlineStr">
        <is>
          <t>GÄVLEBORGS LÄN</t>
        </is>
      </c>
      <c r="E9043" t="inlineStr">
        <is>
          <t>OVANÅKER</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8893-2026</t>
        </is>
      </c>
      <c r="B9044" s="1" t="n">
        <v>46068.44969907407</v>
      </c>
      <c r="C9044" s="1" t="n">
        <v>46086</v>
      </c>
      <c r="D9044" t="inlineStr">
        <is>
          <t>GÄVLEBORGS LÄN</t>
        </is>
      </c>
      <c r="E9044" t="inlineStr">
        <is>
          <t>OVANÅKER</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8895-2026</t>
        </is>
      </c>
      <c r="B9045" s="1" t="n">
        <v>46068.45372685185</v>
      </c>
      <c r="C9045" s="1" t="n">
        <v>46086</v>
      </c>
      <c r="D9045" t="inlineStr">
        <is>
          <t>GÄVLEBORGS LÄN</t>
        </is>
      </c>
      <c r="E9045" t="inlineStr">
        <is>
          <t>OVANÅKER</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8902-2026</t>
        </is>
      </c>
      <c r="B9046" s="1" t="n">
        <v>46068.77114583334</v>
      </c>
      <c r="C9046" s="1" t="n">
        <v>46086</v>
      </c>
      <c r="D9046" t="inlineStr">
        <is>
          <t>GÄVLEBORGS LÄN</t>
        </is>
      </c>
      <c r="E9046" t="inlineStr">
        <is>
          <t>BOLLNÄS</t>
        </is>
      </c>
      <c r="G9046" t="n">
        <v>3.6</v>
      </c>
      <c r="H9046" t="n">
        <v>0</v>
      </c>
      <c r="I9046" t="n">
        <v>0</v>
      </c>
      <c r="J9046" t="n">
        <v>0</v>
      </c>
      <c r="K9046" t="n">
        <v>0</v>
      </c>
      <c r="L9046" t="n">
        <v>0</v>
      </c>
      <c r="M9046" t="n">
        <v>0</v>
      </c>
      <c r="N9046" t="n">
        <v>0</v>
      </c>
      <c r="O9046" t="n">
        <v>0</v>
      </c>
      <c r="P9046" t="n">
        <v>0</v>
      </c>
      <c r="Q9046" t="n">
        <v>0</v>
      </c>
      <c r="R9046" s="2" t="inlineStr"/>
    </row>
    <row r="9047" ht="15" customHeight="1">
      <c r="A9047" t="inlineStr">
        <is>
          <t>A 8917-2026</t>
        </is>
      </c>
      <c r="B9047" s="1" t="n">
        <v>46069.32405092593</v>
      </c>
      <c r="C9047" s="1" t="n">
        <v>46086</v>
      </c>
      <c r="D9047" t="inlineStr">
        <is>
          <t>GÄVLEBORGS LÄN</t>
        </is>
      </c>
      <c r="E9047" t="inlineStr">
        <is>
          <t>OVANÅKER</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23162-2023</t>
        </is>
      </c>
      <c r="B9048" s="1" t="n">
        <v>45075</v>
      </c>
      <c r="C9048" s="1" t="n">
        <v>46086</v>
      </c>
      <c r="D9048" t="inlineStr">
        <is>
          <t>GÄVLEBORGS LÄN</t>
        </is>
      </c>
      <c r="E9048" t="inlineStr">
        <is>
          <t>SANDVIKEN</t>
        </is>
      </c>
      <c r="F9048" t="inlineStr">
        <is>
          <t>Bergvik skog öst AB</t>
        </is>
      </c>
      <c r="G9048" t="n">
        <v>6.3</v>
      </c>
      <c r="H9048" t="n">
        <v>0</v>
      </c>
      <c r="I9048" t="n">
        <v>0</v>
      </c>
      <c r="J9048" t="n">
        <v>0</v>
      </c>
      <c r="K9048" t="n">
        <v>0</v>
      </c>
      <c r="L9048" t="n">
        <v>0</v>
      </c>
      <c r="M9048" t="n">
        <v>0</v>
      </c>
      <c r="N9048" t="n">
        <v>0</v>
      </c>
      <c r="O9048" t="n">
        <v>0</v>
      </c>
      <c r="P9048" t="n">
        <v>0</v>
      </c>
      <c r="Q9048" t="n">
        <v>0</v>
      </c>
      <c r="R9048" s="2" t="inlineStr"/>
    </row>
    <row r="9049" ht="15" customHeight="1">
      <c r="A9049" t="inlineStr">
        <is>
          <t>A 204-2026</t>
        </is>
      </c>
      <c r="B9049" s="1" t="n">
        <v>46026</v>
      </c>
      <c r="C9049" s="1" t="n">
        <v>46086</v>
      </c>
      <c r="D9049" t="inlineStr">
        <is>
          <t>GÄVLEBORGS LÄN</t>
        </is>
      </c>
      <c r="E9049" t="inlineStr">
        <is>
          <t>SÖDERHAMN</t>
        </is>
      </c>
      <c r="G9049" t="n">
        <v>5.2</v>
      </c>
      <c r="H9049" t="n">
        <v>0</v>
      </c>
      <c r="I9049" t="n">
        <v>0</v>
      </c>
      <c r="J9049" t="n">
        <v>0</v>
      </c>
      <c r="K9049" t="n">
        <v>0</v>
      </c>
      <c r="L9049" t="n">
        <v>0</v>
      </c>
      <c r="M9049" t="n">
        <v>0</v>
      </c>
      <c r="N9049" t="n">
        <v>0</v>
      </c>
      <c r="O9049" t="n">
        <v>0</v>
      </c>
      <c r="P9049" t="n">
        <v>0</v>
      </c>
      <c r="Q9049" t="n">
        <v>0</v>
      </c>
      <c r="R9049" s="2" t="inlineStr"/>
    </row>
    <row r="9050" ht="15" customHeight="1">
      <c r="A9050" t="inlineStr">
        <is>
          <t>A 206-2026</t>
        </is>
      </c>
      <c r="B9050" s="1" t="n">
        <v>46026</v>
      </c>
      <c r="C9050" s="1" t="n">
        <v>46086</v>
      </c>
      <c r="D9050" t="inlineStr">
        <is>
          <t>GÄVLEBORGS LÄN</t>
        </is>
      </c>
      <c r="E9050" t="inlineStr">
        <is>
          <t>SÖDERHAMN</t>
        </is>
      </c>
      <c r="G9050" t="n">
        <v>12.9</v>
      </c>
      <c r="H9050" t="n">
        <v>0</v>
      </c>
      <c r="I9050" t="n">
        <v>0</v>
      </c>
      <c r="J9050" t="n">
        <v>0</v>
      </c>
      <c r="K9050" t="n">
        <v>0</v>
      </c>
      <c r="L9050" t="n">
        <v>0</v>
      </c>
      <c r="M9050" t="n">
        <v>0</v>
      </c>
      <c r="N9050" t="n">
        <v>0</v>
      </c>
      <c r="O9050" t="n">
        <v>0</v>
      </c>
      <c r="P9050" t="n">
        <v>0</v>
      </c>
      <c r="Q9050" t="n">
        <v>0</v>
      </c>
      <c r="R9050" s="2" t="inlineStr"/>
    </row>
    <row r="9051" ht="15" customHeight="1">
      <c r="A9051" t="inlineStr">
        <is>
          <t>A 212-2026</t>
        </is>
      </c>
      <c r="B9051" s="1" t="n">
        <v>46026.61809027778</v>
      </c>
      <c r="C9051" s="1" t="n">
        <v>46086</v>
      </c>
      <c r="D9051" t="inlineStr">
        <is>
          <t>GÄVLEBORGS LÄN</t>
        </is>
      </c>
      <c r="E9051" t="inlineStr">
        <is>
          <t>HUDIKSVALL</t>
        </is>
      </c>
      <c r="G9051" t="n">
        <v>4.2</v>
      </c>
      <c r="H9051" t="n">
        <v>0</v>
      </c>
      <c r="I9051" t="n">
        <v>0</v>
      </c>
      <c r="J9051" t="n">
        <v>0</v>
      </c>
      <c r="K9051" t="n">
        <v>0</v>
      </c>
      <c r="L9051" t="n">
        <v>0</v>
      </c>
      <c r="M9051" t="n">
        <v>0</v>
      </c>
      <c r="N9051" t="n">
        <v>0</v>
      </c>
      <c r="O9051" t="n">
        <v>0</v>
      </c>
      <c r="P9051" t="n">
        <v>0</v>
      </c>
      <c r="Q9051" t="n">
        <v>0</v>
      </c>
      <c r="R9051" s="2" t="inlineStr"/>
    </row>
    <row r="9052" ht="15" customHeight="1">
      <c r="A9052" t="inlineStr">
        <is>
          <t>A 218-2026</t>
        </is>
      </c>
      <c r="B9052" s="1" t="n">
        <v>46026.69208333334</v>
      </c>
      <c r="C9052" s="1" t="n">
        <v>46086</v>
      </c>
      <c r="D9052" t="inlineStr">
        <is>
          <t>GÄVLEBORGS LÄN</t>
        </is>
      </c>
      <c r="E9052" t="inlineStr">
        <is>
          <t>HUDIKSVALL</t>
        </is>
      </c>
      <c r="G9052" t="n">
        <v>4</v>
      </c>
      <c r="H9052" t="n">
        <v>0</v>
      </c>
      <c r="I9052" t="n">
        <v>0</v>
      </c>
      <c r="J9052" t="n">
        <v>0</v>
      </c>
      <c r="K9052" t="n">
        <v>0</v>
      </c>
      <c r="L9052" t="n">
        <v>0</v>
      </c>
      <c r="M9052" t="n">
        <v>0</v>
      </c>
      <c r="N9052" t="n">
        <v>0</v>
      </c>
      <c r="O9052" t="n">
        <v>0</v>
      </c>
      <c r="P9052" t="n">
        <v>0</v>
      </c>
      <c r="Q9052" t="n">
        <v>0</v>
      </c>
      <c r="R9052" s="2" t="inlineStr"/>
    </row>
    <row r="9053" ht="15" customHeight="1">
      <c r="A9053" t="inlineStr">
        <is>
          <t>A 252-2026</t>
        </is>
      </c>
      <c r="B9053" s="1" t="n">
        <v>46027</v>
      </c>
      <c r="C9053" s="1" t="n">
        <v>46086</v>
      </c>
      <c r="D9053" t="inlineStr">
        <is>
          <t>GÄVLEBORGS LÄN</t>
        </is>
      </c>
      <c r="E9053" t="inlineStr">
        <is>
          <t>BOLLNÄS</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253-2026</t>
        </is>
      </c>
      <c r="B9054" s="1" t="n">
        <v>46027</v>
      </c>
      <c r="C9054" s="1" t="n">
        <v>46086</v>
      </c>
      <c r="D9054" t="inlineStr">
        <is>
          <t>GÄVLEBORGS LÄN</t>
        </is>
      </c>
      <c r="E9054" t="inlineStr">
        <is>
          <t>BOLLNÄS</t>
        </is>
      </c>
      <c r="G9054" t="n">
        <v>7</v>
      </c>
      <c r="H9054" t="n">
        <v>0</v>
      </c>
      <c r="I9054" t="n">
        <v>0</v>
      </c>
      <c r="J9054" t="n">
        <v>0</v>
      </c>
      <c r="K9054" t="n">
        <v>0</v>
      </c>
      <c r="L9054" t="n">
        <v>0</v>
      </c>
      <c r="M9054" t="n">
        <v>0</v>
      </c>
      <c r="N9054" t="n">
        <v>0</v>
      </c>
      <c r="O9054" t="n">
        <v>0</v>
      </c>
      <c r="P9054" t="n">
        <v>0</v>
      </c>
      <c r="Q9054" t="n">
        <v>0</v>
      </c>
      <c r="R9054" s="2" t="inlineStr"/>
    </row>
    <row r="9055" ht="15" customHeight="1">
      <c r="A9055" t="inlineStr">
        <is>
          <t>A 255-2026</t>
        </is>
      </c>
      <c r="B9055" s="1" t="n">
        <v>46027</v>
      </c>
      <c r="C9055" s="1" t="n">
        <v>46086</v>
      </c>
      <c r="D9055" t="inlineStr">
        <is>
          <t>GÄVLEBORGS LÄN</t>
        </is>
      </c>
      <c r="E9055" t="inlineStr">
        <is>
          <t>BOLLNÄS</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3987-2026</t>
        </is>
      </c>
      <c r="B9056" s="1" t="n">
        <v>46044</v>
      </c>
      <c r="C9056" s="1" t="n">
        <v>46086</v>
      </c>
      <c r="D9056" t="inlineStr">
        <is>
          <t>GÄVLEBORGS LÄN</t>
        </is>
      </c>
      <c r="E9056" t="inlineStr">
        <is>
          <t>OVANÅKER</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3997-2026</t>
        </is>
      </c>
      <c r="B9057" s="1" t="n">
        <v>46044</v>
      </c>
      <c r="C9057" s="1" t="n">
        <v>46086</v>
      </c>
      <c r="D9057" t="inlineStr">
        <is>
          <t>GÄVLEBORGS LÄN</t>
        </is>
      </c>
      <c r="E9057" t="inlineStr">
        <is>
          <t>HOFORS</t>
        </is>
      </c>
      <c r="G9057" t="n">
        <v>2.5</v>
      </c>
      <c r="H9057" t="n">
        <v>0</v>
      </c>
      <c r="I9057" t="n">
        <v>0</v>
      </c>
      <c r="J9057" t="n">
        <v>0</v>
      </c>
      <c r="K9057" t="n">
        <v>0</v>
      </c>
      <c r="L9057" t="n">
        <v>0</v>
      </c>
      <c r="M9057" t="n">
        <v>0</v>
      </c>
      <c r="N9057" t="n">
        <v>0</v>
      </c>
      <c r="O9057" t="n">
        <v>0</v>
      </c>
      <c r="P9057" t="n">
        <v>0</v>
      </c>
      <c r="Q9057" t="n">
        <v>0</v>
      </c>
      <c r="R9057" s="2" t="inlineStr"/>
    </row>
    <row r="9058" ht="15" customHeight="1">
      <c r="A9058" t="inlineStr">
        <is>
          <t>A 3998-2026</t>
        </is>
      </c>
      <c r="B9058" s="1" t="n">
        <v>46044</v>
      </c>
      <c r="C9058" s="1" t="n">
        <v>46086</v>
      </c>
      <c r="D9058" t="inlineStr">
        <is>
          <t>GÄVLEBORGS LÄN</t>
        </is>
      </c>
      <c r="E9058" t="inlineStr">
        <is>
          <t>OVANÅKER</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8844-2026</t>
        </is>
      </c>
      <c r="B9059" s="1" t="n">
        <v>46066.64739583333</v>
      </c>
      <c r="C9059" s="1" t="n">
        <v>46086</v>
      </c>
      <c r="D9059" t="inlineStr">
        <is>
          <t>GÄVLEBORGS LÄN</t>
        </is>
      </c>
      <c r="E9059" t="inlineStr">
        <is>
          <t>BOLLNÄS</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213-2026</t>
        </is>
      </c>
      <c r="B9060" s="1" t="n">
        <v>46026.63628472222</v>
      </c>
      <c r="C9060" s="1" t="n">
        <v>46086</v>
      </c>
      <c r="D9060" t="inlineStr">
        <is>
          <t>GÄVLEBORGS LÄN</t>
        </is>
      </c>
      <c r="E9060" t="inlineStr">
        <is>
          <t>HUDIKSVALL</t>
        </is>
      </c>
      <c r="G9060" t="n">
        <v>3.6</v>
      </c>
      <c r="H9060" t="n">
        <v>0</v>
      </c>
      <c r="I9060" t="n">
        <v>0</v>
      </c>
      <c r="J9060" t="n">
        <v>0</v>
      </c>
      <c r="K9060" t="n">
        <v>0</v>
      </c>
      <c r="L9060" t="n">
        <v>0</v>
      </c>
      <c r="M9060" t="n">
        <v>0</v>
      </c>
      <c r="N9060" t="n">
        <v>0</v>
      </c>
      <c r="O9060" t="n">
        <v>0</v>
      </c>
      <c r="P9060" t="n">
        <v>0</v>
      </c>
      <c r="Q9060" t="n">
        <v>0</v>
      </c>
      <c r="R9060" s="2" t="inlineStr"/>
    </row>
    <row r="9061" ht="15" customHeight="1">
      <c r="A9061" t="inlineStr">
        <is>
          <t>A 215-2026</t>
        </is>
      </c>
      <c r="B9061" s="1" t="n">
        <v>46026</v>
      </c>
      <c r="C9061" s="1" t="n">
        <v>46086</v>
      </c>
      <c r="D9061" t="inlineStr">
        <is>
          <t>GÄVLEBORGS LÄN</t>
        </is>
      </c>
      <c r="E9061" t="inlineStr">
        <is>
          <t>HUDIKSVALL</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226-2026</t>
        </is>
      </c>
      <c r="B9062" s="1" t="n">
        <v>46026</v>
      </c>
      <c r="C9062" s="1" t="n">
        <v>46086</v>
      </c>
      <c r="D9062" t="inlineStr">
        <is>
          <t>GÄVLEBORGS LÄN</t>
        </is>
      </c>
      <c r="E9062" t="inlineStr">
        <is>
          <t>NORDANSTIG</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8775-2026</t>
        </is>
      </c>
      <c r="B9063" s="1" t="n">
        <v>46066.5781712963</v>
      </c>
      <c r="C9063" s="1" t="n">
        <v>46086</v>
      </c>
      <c r="D9063" t="inlineStr">
        <is>
          <t>GÄVLEBORGS LÄN</t>
        </is>
      </c>
      <c r="E9063" t="inlineStr">
        <is>
          <t>HUDIKSVALL</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7099-2026</t>
        </is>
      </c>
      <c r="B9064" s="1" t="n">
        <v>46058</v>
      </c>
      <c r="C9064" s="1" t="n">
        <v>46086</v>
      </c>
      <c r="D9064" t="inlineStr">
        <is>
          <t>GÄVLEBORGS LÄN</t>
        </is>
      </c>
      <c r="E9064" t="inlineStr">
        <is>
          <t>OCKELBO</t>
        </is>
      </c>
      <c r="F9064" t="inlineStr">
        <is>
          <t>Bergvik skog väst AB</t>
        </is>
      </c>
      <c r="G9064" t="n">
        <v>17.8</v>
      </c>
      <c r="H9064" t="n">
        <v>0</v>
      </c>
      <c r="I9064" t="n">
        <v>0</v>
      </c>
      <c r="J9064" t="n">
        <v>0</v>
      </c>
      <c r="K9064" t="n">
        <v>0</v>
      </c>
      <c r="L9064" t="n">
        <v>0</v>
      </c>
      <c r="M9064" t="n">
        <v>0</v>
      </c>
      <c r="N9064" t="n">
        <v>0</v>
      </c>
      <c r="O9064" t="n">
        <v>0</v>
      </c>
      <c r="P9064" t="n">
        <v>0</v>
      </c>
      <c r="Q9064" t="n">
        <v>0</v>
      </c>
      <c r="R9064" s="2" t="inlineStr"/>
    </row>
    <row r="9065" ht="15" customHeight="1">
      <c r="A9065" t="inlineStr">
        <is>
          <t>A 7012-2026</t>
        </is>
      </c>
      <c r="B9065" s="1" t="n">
        <v>46057</v>
      </c>
      <c r="C9065" s="1" t="n">
        <v>46086</v>
      </c>
      <c r="D9065" t="inlineStr">
        <is>
          <t>GÄVLEBORGS LÄN</t>
        </is>
      </c>
      <c r="E9065" t="inlineStr">
        <is>
          <t>SÖDERHAMN</t>
        </is>
      </c>
      <c r="G9065" t="n">
        <v>3.4</v>
      </c>
      <c r="H9065" t="n">
        <v>0</v>
      </c>
      <c r="I9065" t="n">
        <v>0</v>
      </c>
      <c r="J9065" t="n">
        <v>0</v>
      </c>
      <c r="K9065" t="n">
        <v>0</v>
      </c>
      <c r="L9065" t="n">
        <v>0</v>
      </c>
      <c r="M9065" t="n">
        <v>0</v>
      </c>
      <c r="N9065" t="n">
        <v>0</v>
      </c>
      <c r="O9065" t="n">
        <v>0</v>
      </c>
      <c r="P9065" t="n">
        <v>0</v>
      </c>
      <c r="Q9065" t="n">
        <v>0</v>
      </c>
      <c r="R9065" s="2" t="inlineStr"/>
    </row>
    <row r="9066" ht="15" customHeight="1">
      <c r="A9066" t="inlineStr">
        <is>
          <t>A 7048-2026</t>
        </is>
      </c>
      <c r="B9066" s="1" t="n">
        <v>46057.72046296296</v>
      </c>
      <c r="C9066" s="1" t="n">
        <v>46086</v>
      </c>
      <c r="D9066" t="inlineStr">
        <is>
          <t>GÄVLEBORGS LÄN</t>
        </is>
      </c>
      <c r="E9066" t="inlineStr">
        <is>
          <t>HUDIKSVALL</t>
        </is>
      </c>
      <c r="F9066" t="inlineStr">
        <is>
          <t>Holmen skog AB</t>
        </is>
      </c>
      <c r="G9066" t="n">
        <v>7.6</v>
      </c>
      <c r="H9066" t="n">
        <v>0</v>
      </c>
      <c r="I9066" t="n">
        <v>0</v>
      </c>
      <c r="J9066" t="n">
        <v>0</v>
      </c>
      <c r="K9066" t="n">
        <v>0</v>
      </c>
      <c r="L9066" t="n">
        <v>0</v>
      </c>
      <c r="M9066" t="n">
        <v>0</v>
      </c>
      <c r="N9066" t="n">
        <v>0</v>
      </c>
      <c r="O9066" t="n">
        <v>0</v>
      </c>
      <c r="P9066" t="n">
        <v>0</v>
      </c>
      <c r="Q9066" t="n">
        <v>0</v>
      </c>
      <c r="R9066" s="2" t="inlineStr"/>
    </row>
    <row r="9067" ht="15" customHeight="1">
      <c r="A9067" t="inlineStr">
        <is>
          <t>A 6718-2026</t>
        </is>
      </c>
      <c r="B9067" s="1" t="n">
        <v>46056</v>
      </c>
      <c r="C9067" s="1" t="n">
        <v>46086</v>
      </c>
      <c r="D9067" t="inlineStr">
        <is>
          <t>GÄVLEBORGS LÄN</t>
        </is>
      </c>
      <c r="E9067" t="inlineStr">
        <is>
          <t>BOLLNÄS</t>
        </is>
      </c>
      <c r="F9067" t="inlineStr">
        <is>
          <t>Bergvik skog väst AB</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33-2026</t>
        </is>
      </c>
      <c r="B9068" s="1" t="n">
        <v>46024.3759375</v>
      </c>
      <c r="C9068" s="1" t="n">
        <v>46086</v>
      </c>
      <c r="D9068" t="inlineStr">
        <is>
          <t>GÄVLEBORGS LÄN</t>
        </is>
      </c>
      <c r="E9068" t="inlineStr">
        <is>
          <t>NORDANSTIG</t>
        </is>
      </c>
      <c r="G9068" t="n">
        <v>4.1</v>
      </c>
      <c r="H9068" t="n">
        <v>0</v>
      </c>
      <c r="I9068" t="n">
        <v>0</v>
      </c>
      <c r="J9068" t="n">
        <v>0</v>
      </c>
      <c r="K9068" t="n">
        <v>0</v>
      </c>
      <c r="L9068" t="n">
        <v>0</v>
      </c>
      <c r="M9068" t="n">
        <v>0</v>
      </c>
      <c r="N9068" t="n">
        <v>0</v>
      </c>
      <c r="O9068" t="n">
        <v>0</v>
      </c>
      <c r="P9068" t="n">
        <v>0</v>
      </c>
      <c r="Q9068" t="n">
        <v>0</v>
      </c>
      <c r="R9068" s="2" t="inlineStr"/>
    </row>
    <row r="9069" ht="15" customHeight="1">
      <c r="A9069" t="inlineStr">
        <is>
          <t>A 42-2026</t>
        </is>
      </c>
      <c r="B9069" s="1" t="n">
        <v>46024.4025</v>
      </c>
      <c r="C9069" s="1" t="n">
        <v>46086</v>
      </c>
      <c r="D9069" t="inlineStr">
        <is>
          <t>GÄVLEBORGS LÄN</t>
        </is>
      </c>
      <c r="E9069" t="inlineStr">
        <is>
          <t>SÖDERHAMN</t>
        </is>
      </c>
      <c r="G9069" t="n">
        <v>6</v>
      </c>
      <c r="H9069" t="n">
        <v>0</v>
      </c>
      <c r="I9069" t="n">
        <v>0</v>
      </c>
      <c r="J9069" t="n">
        <v>0</v>
      </c>
      <c r="K9069" t="n">
        <v>0</v>
      </c>
      <c r="L9069" t="n">
        <v>0</v>
      </c>
      <c r="M9069" t="n">
        <v>0</v>
      </c>
      <c r="N9069" t="n">
        <v>0</v>
      </c>
      <c r="O9069" t="n">
        <v>0</v>
      </c>
      <c r="P9069" t="n">
        <v>0</v>
      </c>
      <c r="Q9069" t="n">
        <v>0</v>
      </c>
      <c r="R9069" s="2" t="inlineStr"/>
    </row>
    <row r="9070" ht="15" customHeight="1">
      <c r="A9070" t="inlineStr">
        <is>
          <t>A 69-2026</t>
        </is>
      </c>
      <c r="B9070" s="1" t="n">
        <v>46024.45700231481</v>
      </c>
      <c r="C9070" s="1" t="n">
        <v>46086</v>
      </c>
      <c r="D9070" t="inlineStr">
        <is>
          <t>GÄVLEBORGS LÄN</t>
        </is>
      </c>
      <c r="E9070" t="inlineStr">
        <is>
          <t>HUDIKSVALL</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73-2026</t>
        </is>
      </c>
      <c r="B9071" s="1" t="n">
        <v>46024.46342592593</v>
      </c>
      <c r="C9071" s="1" t="n">
        <v>46086</v>
      </c>
      <c r="D9071" t="inlineStr">
        <is>
          <t>GÄVLEBORGS LÄN</t>
        </is>
      </c>
      <c r="E9071" t="inlineStr">
        <is>
          <t>SÖDERHAMN</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95-2026</t>
        </is>
      </c>
      <c r="B9072" s="1" t="n">
        <v>46024.49399305556</v>
      </c>
      <c r="C9072" s="1" t="n">
        <v>46086</v>
      </c>
      <c r="D9072" t="inlineStr">
        <is>
          <t>GÄVLEBORGS LÄN</t>
        </is>
      </c>
      <c r="E9072" t="inlineStr">
        <is>
          <t>HUDIKSVALL</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5463-2026</t>
        </is>
      </c>
      <c r="B9073" s="1" t="n">
        <v>46050</v>
      </c>
      <c r="C9073" s="1" t="n">
        <v>46086</v>
      </c>
      <c r="D9073" t="inlineStr">
        <is>
          <t>GÄVLEBORGS LÄN</t>
        </is>
      </c>
      <c r="E9073" t="inlineStr">
        <is>
          <t>OVANÅKER</t>
        </is>
      </c>
      <c r="G9073" t="n">
        <v>12.4</v>
      </c>
      <c r="H9073" t="n">
        <v>0</v>
      </c>
      <c r="I9073" t="n">
        <v>0</v>
      </c>
      <c r="J9073" t="n">
        <v>0</v>
      </c>
      <c r="K9073" t="n">
        <v>0</v>
      </c>
      <c r="L9073" t="n">
        <v>0</v>
      </c>
      <c r="M9073" t="n">
        <v>0</v>
      </c>
      <c r="N9073" t="n">
        <v>0</v>
      </c>
      <c r="O9073" t="n">
        <v>0</v>
      </c>
      <c r="P9073" t="n">
        <v>0</v>
      </c>
      <c r="Q9073" t="n">
        <v>0</v>
      </c>
      <c r="R9073" s="2" t="inlineStr"/>
    </row>
    <row r="9074" ht="15" customHeight="1">
      <c r="A9074" t="inlineStr">
        <is>
          <t>A 8998-2026</t>
        </is>
      </c>
      <c r="B9074" s="1" t="n">
        <v>46069.47255787037</v>
      </c>
      <c r="C9074" s="1" t="n">
        <v>46086</v>
      </c>
      <c r="D9074" t="inlineStr">
        <is>
          <t>GÄVLEBORGS LÄN</t>
        </is>
      </c>
      <c r="E9074" t="inlineStr">
        <is>
          <t>NORDANSTIG</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8800-2026</t>
        </is>
      </c>
      <c r="B9075" s="1" t="n">
        <v>46066.59800925926</v>
      </c>
      <c r="C9075" s="1" t="n">
        <v>46086</v>
      </c>
      <c r="D9075" t="inlineStr">
        <is>
          <t>GÄVLEBORGS LÄN</t>
        </is>
      </c>
      <c r="E9075" t="inlineStr">
        <is>
          <t>BOLLNÄS</t>
        </is>
      </c>
      <c r="G9075" t="n">
        <v>0.4</v>
      </c>
      <c r="H9075" t="n">
        <v>0</v>
      </c>
      <c r="I9075" t="n">
        <v>0</v>
      </c>
      <c r="J9075" t="n">
        <v>0</v>
      </c>
      <c r="K9075" t="n">
        <v>0</v>
      </c>
      <c r="L9075" t="n">
        <v>0</v>
      </c>
      <c r="M9075" t="n">
        <v>0</v>
      </c>
      <c r="N9075" t="n">
        <v>0</v>
      </c>
      <c r="O9075" t="n">
        <v>0</v>
      </c>
      <c r="P9075" t="n">
        <v>0</v>
      </c>
      <c r="Q9075" t="n">
        <v>0</v>
      </c>
      <c r="R9075" s="2" t="inlineStr"/>
    </row>
    <row r="9076" ht="15" customHeight="1">
      <c r="A9076" t="inlineStr">
        <is>
          <t>A 8801-2026</t>
        </is>
      </c>
      <c r="B9076" s="1" t="n">
        <v>46066.59945601852</v>
      </c>
      <c r="C9076" s="1" t="n">
        <v>46086</v>
      </c>
      <c r="D9076" t="inlineStr">
        <is>
          <t>GÄVLEBORGS LÄN</t>
        </is>
      </c>
      <c r="E9076" t="inlineStr">
        <is>
          <t>LJUSDAL</t>
        </is>
      </c>
      <c r="F9076" t="inlineStr">
        <is>
          <t>Sveaskog</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8036-2026</t>
        </is>
      </c>
      <c r="B9077" s="1" t="n">
        <v>46063</v>
      </c>
      <c r="C9077" s="1" t="n">
        <v>46086</v>
      </c>
      <c r="D9077" t="inlineStr">
        <is>
          <t>GÄVLEBORGS LÄN</t>
        </is>
      </c>
      <c r="E9077" t="inlineStr">
        <is>
          <t>BOLLNÄS</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26547-2024</t>
        </is>
      </c>
      <c r="B9078" s="1" t="n">
        <v>45469.61952546296</v>
      </c>
      <c r="C9078" s="1" t="n">
        <v>46086</v>
      </c>
      <c r="D9078" t="inlineStr">
        <is>
          <t>GÄVLEBORGS LÄN</t>
        </is>
      </c>
      <c r="E9078" t="inlineStr">
        <is>
          <t>HUDIKSVALL</t>
        </is>
      </c>
      <c r="F9078" t="inlineStr">
        <is>
          <t>Holmen skog AB</t>
        </is>
      </c>
      <c r="G9078" t="n">
        <v>4</v>
      </c>
      <c r="H9078" t="n">
        <v>0</v>
      </c>
      <c r="I9078" t="n">
        <v>0</v>
      </c>
      <c r="J9078" t="n">
        <v>0</v>
      </c>
      <c r="K9078" t="n">
        <v>0</v>
      </c>
      <c r="L9078" t="n">
        <v>0</v>
      </c>
      <c r="M9078" t="n">
        <v>0</v>
      </c>
      <c r="N9078" t="n">
        <v>0</v>
      </c>
      <c r="O9078" t="n">
        <v>0</v>
      </c>
      <c r="P9078" t="n">
        <v>0</v>
      </c>
      <c r="Q9078" t="n">
        <v>0</v>
      </c>
      <c r="R9078" s="2" t="inlineStr"/>
    </row>
    <row r="9079" ht="15" customHeight="1">
      <c r="A9079" t="inlineStr">
        <is>
          <t>A 8898-2026</t>
        </is>
      </c>
      <c r="B9079" s="1" t="n">
        <v>46068.50238425926</v>
      </c>
      <c r="C9079" s="1" t="n">
        <v>46086</v>
      </c>
      <c r="D9079" t="inlineStr">
        <is>
          <t>GÄVLEBORGS LÄN</t>
        </is>
      </c>
      <c r="E9079" t="inlineStr">
        <is>
          <t>BOLLNÄS</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8909-2026</t>
        </is>
      </c>
      <c r="B9080" s="1" t="n">
        <v>46069.2705787037</v>
      </c>
      <c r="C9080" s="1" t="n">
        <v>46086</v>
      </c>
      <c r="D9080" t="inlineStr">
        <is>
          <t>GÄVLEBORGS LÄN</t>
        </is>
      </c>
      <c r="E9080" t="inlineStr">
        <is>
          <t>OVANÅKER</t>
        </is>
      </c>
      <c r="G9080" t="n">
        <v>3.9</v>
      </c>
      <c r="H9080" t="n">
        <v>0</v>
      </c>
      <c r="I9080" t="n">
        <v>0</v>
      </c>
      <c r="J9080" t="n">
        <v>0</v>
      </c>
      <c r="K9080" t="n">
        <v>0</v>
      </c>
      <c r="L9080" t="n">
        <v>0</v>
      </c>
      <c r="M9080" t="n">
        <v>0</v>
      </c>
      <c r="N9080" t="n">
        <v>0</v>
      </c>
      <c r="O9080" t="n">
        <v>0</v>
      </c>
      <c r="P9080" t="n">
        <v>0</v>
      </c>
      <c r="Q9080" t="n">
        <v>0</v>
      </c>
      <c r="R9080" s="2" t="inlineStr"/>
    </row>
    <row r="9081" ht="15" customHeight="1">
      <c r="A9081" t="inlineStr">
        <is>
          <t>A 8930-2026</t>
        </is>
      </c>
      <c r="B9081" s="1" t="n">
        <v>46069.345625</v>
      </c>
      <c r="C9081" s="1" t="n">
        <v>46086</v>
      </c>
      <c r="D9081" t="inlineStr">
        <is>
          <t>GÄVLEBORGS LÄN</t>
        </is>
      </c>
      <c r="E9081" t="inlineStr">
        <is>
          <t>LJUSDAL</t>
        </is>
      </c>
      <c r="F9081" t="inlineStr">
        <is>
          <t>Bergvik skog väst AB</t>
        </is>
      </c>
      <c r="G9081" t="n">
        <v>35</v>
      </c>
      <c r="H9081" t="n">
        <v>0</v>
      </c>
      <c r="I9081" t="n">
        <v>0</v>
      </c>
      <c r="J9081" t="n">
        <v>0</v>
      </c>
      <c r="K9081" t="n">
        <v>0</v>
      </c>
      <c r="L9081" t="n">
        <v>0</v>
      </c>
      <c r="M9081" t="n">
        <v>0</v>
      </c>
      <c r="N9081" t="n">
        <v>0</v>
      </c>
      <c r="O9081" t="n">
        <v>0</v>
      </c>
      <c r="P9081" t="n">
        <v>0</v>
      </c>
      <c r="Q9081" t="n">
        <v>0</v>
      </c>
      <c r="R9081" s="2" t="inlineStr"/>
      <c r="U9081">
        <f>HYPERLINK("https://klasma.github.io/Logging_2161/knärot/A 8930-2026 karta knärot.png", "A 8930-2026")</f>
        <v/>
      </c>
      <c r="V9081">
        <f>HYPERLINK("https://klasma.github.io/Logging_2161/klagomål/A 8930-2026 FSC-klagomål.docx", "A 8930-2026")</f>
        <v/>
      </c>
      <c r="W9081">
        <f>HYPERLINK("https://klasma.github.io/Logging_2161/klagomålsmail/A 8930-2026 FSC-klagomål mail.docx", "A 8930-2026")</f>
        <v/>
      </c>
      <c r="X9081">
        <f>HYPERLINK("https://klasma.github.io/Logging_2161/tillsyn/A 8930-2026 tillsynsbegäran.docx", "A 8930-2026")</f>
        <v/>
      </c>
      <c r="Y9081">
        <f>HYPERLINK("https://klasma.github.io/Logging_2161/tillsynsmail/A 8930-2026 tillsynsbegäran mail.docx", "A 8930-2026")</f>
        <v/>
      </c>
    </row>
    <row r="9082" ht="15" customHeight="1">
      <c r="A9082" t="inlineStr">
        <is>
          <t>A 8931-2026</t>
        </is>
      </c>
      <c r="B9082" s="1" t="n">
        <v>46069.34678240741</v>
      </c>
      <c r="C9082" s="1" t="n">
        <v>46086</v>
      </c>
      <c r="D9082" t="inlineStr">
        <is>
          <t>GÄVLEBORGS LÄN</t>
        </is>
      </c>
      <c r="E9082" t="inlineStr">
        <is>
          <t>LJUSDAL</t>
        </is>
      </c>
      <c r="F9082" t="inlineStr">
        <is>
          <t>Holmen skog AB</t>
        </is>
      </c>
      <c r="G9082" t="n">
        <v>9.699999999999999</v>
      </c>
      <c r="H9082" t="n">
        <v>0</v>
      </c>
      <c r="I9082" t="n">
        <v>0</v>
      </c>
      <c r="J9082" t="n">
        <v>0</v>
      </c>
      <c r="K9082" t="n">
        <v>0</v>
      </c>
      <c r="L9082" t="n">
        <v>0</v>
      </c>
      <c r="M9082" t="n">
        <v>0</v>
      </c>
      <c r="N9082" t="n">
        <v>0</v>
      </c>
      <c r="O9082" t="n">
        <v>0</v>
      </c>
      <c r="P9082" t="n">
        <v>0</v>
      </c>
      <c r="Q9082" t="n">
        <v>0</v>
      </c>
      <c r="R9082" s="2" t="inlineStr"/>
    </row>
    <row r="9083" ht="15" customHeight="1">
      <c r="A9083" t="inlineStr">
        <is>
          <t>A 8935-2026</t>
        </is>
      </c>
      <c r="B9083" s="1" t="n">
        <v>46069.35815972222</v>
      </c>
      <c r="C9083" s="1" t="n">
        <v>46086</v>
      </c>
      <c r="D9083" t="inlineStr">
        <is>
          <t>GÄVLEBORGS LÄN</t>
        </is>
      </c>
      <c r="E9083" t="inlineStr">
        <is>
          <t>LJUSDAL</t>
        </is>
      </c>
      <c r="F9083" t="inlineStr">
        <is>
          <t>Holmen skog AB</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33880-2023</t>
        </is>
      </c>
      <c r="B9084" s="1" t="n">
        <v>45134</v>
      </c>
      <c r="C9084" s="1" t="n">
        <v>46086</v>
      </c>
      <c r="D9084" t="inlineStr">
        <is>
          <t>GÄVLEBORGS LÄN</t>
        </is>
      </c>
      <c r="E9084" t="inlineStr">
        <is>
          <t>OCKELBO</t>
        </is>
      </c>
      <c r="F9084" t="inlineStr">
        <is>
          <t>Bergvik skog väst AB</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33881-2023</t>
        </is>
      </c>
      <c r="B9085" s="1" t="n">
        <v>45134</v>
      </c>
      <c r="C9085" s="1" t="n">
        <v>46086</v>
      </c>
      <c r="D9085" t="inlineStr">
        <is>
          <t>GÄVLEBORGS LÄN</t>
        </is>
      </c>
      <c r="E9085" t="inlineStr">
        <is>
          <t>OCKELBO</t>
        </is>
      </c>
      <c r="F9085" t="inlineStr">
        <is>
          <t>Bergvik skog väst AB</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8942-2026</t>
        </is>
      </c>
      <c r="B9086" s="1" t="n">
        <v>46069.37321759259</v>
      </c>
      <c r="C9086" s="1" t="n">
        <v>46086</v>
      </c>
      <c r="D9086" t="inlineStr">
        <is>
          <t>GÄVLEBORGS LÄN</t>
        </is>
      </c>
      <c r="E9086" t="inlineStr">
        <is>
          <t>BOLLNÄS</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8952-2026</t>
        </is>
      </c>
      <c r="B9087" s="1" t="n">
        <v>46069.39135416667</v>
      </c>
      <c r="C9087" s="1" t="n">
        <v>46086</v>
      </c>
      <c r="D9087" t="inlineStr">
        <is>
          <t>GÄVLEBORGS LÄN</t>
        </is>
      </c>
      <c r="E9087" t="inlineStr">
        <is>
          <t>SANDVIKEN</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8660-2026</t>
        </is>
      </c>
      <c r="B9088" s="1" t="n">
        <v>46066.3758912037</v>
      </c>
      <c r="C9088" s="1" t="n">
        <v>46086</v>
      </c>
      <c r="D9088" t="inlineStr">
        <is>
          <t>GÄVLEBORGS LÄN</t>
        </is>
      </c>
      <c r="E9088" t="inlineStr">
        <is>
          <t>BOLLNÄS</t>
        </is>
      </c>
      <c r="G9088" t="n">
        <v>13.7</v>
      </c>
      <c r="H9088" t="n">
        <v>0</v>
      </c>
      <c r="I9088" t="n">
        <v>0</v>
      </c>
      <c r="J9088" t="n">
        <v>0</v>
      </c>
      <c r="K9088" t="n">
        <v>0</v>
      </c>
      <c r="L9088" t="n">
        <v>0</v>
      </c>
      <c r="M9088" t="n">
        <v>0</v>
      </c>
      <c r="N9088" t="n">
        <v>0</v>
      </c>
      <c r="O9088" t="n">
        <v>0</v>
      </c>
      <c r="P9088" t="n">
        <v>0</v>
      </c>
      <c r="Q9088" t="n">
        <v>0</v>
      </c>
      <c r="R9088" s="2" t="inlineStr"/>
    </row>
    <row r="9089" ht="15" customHeight="1">
      <c r="A9089" t="inlineStr">
        <is>
          <t>A 8661-2026</t>
        </is>
      </c>
      <c r="B9089" s="1" t="n">
        <v>46066.37966435185</v>
      </c>
      <c r="C9089" s="1" t="n">
        <v>46086</v>
      </c>
      <c r="D9089" t="inlineStr">
        <is>
          <t>GÄVLEBORGS LÄN</t>
        </is>
      </c>
      <c r="E9089" t="inlineStr">
        <is>
          <t>SÖDERHAMN</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8669-2026</t>
        </is>
      </c>
      <c r="B9090" s="1" t="n">
        <v>46066.39144675926</v>
      </c>
      <c r="C9090" s="1" t="n">
        <v>46086</v>
      </c>
      <c r="D9090" t="inlineStr">
        <is>
          <t>GÄVLEBORGS LÄN</t>
        </is>
      </c>
      <c r="E9090" t="inlineStr">
        <is>
          <t>BOLLNÄS</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8673-2026</t>
        </is>
      </c>
      <c r="B9091" s="1" t="n">
        <v>46066.40208333333</v>
      </c>
      <c r="C9091" s="1" t="n">
        <v>46086</v>
      </c>
      <c r="D9091" t="inlineStr">
        <is>
          <t>GÄVLEBORGS LÄN</t>
        </is>
      </c>
      <c r="E9091" t="inlineStr">
        <is>
          <t>OCKELBO</t>
        </is>
      </c>
      <c r="F9091" t="inlineStr">
        <is>
          <t>Bergvik skog väst AB</t>
        </is>
      </c>
      <c r="G9091" t="n">
        <v>23.5</v>
      </c>
      <c r="H9091" t="n">
        <v>0</v>
      </c>
      <c r="I9091" t="n">
        <v>0</v>
      </c>
      <c r="J9091" t="n">
        <v>0</v>
      </c>
      <c r="K9091" t="n">
        <v>0</v>
      </c>
      <c r="L9091" t="n">
        <v>0</v>
      </c>
      <c r="M9091" t="n">
        <v>0</v>
      </c>
      <c r="N9091" t="n">
        <v>0</v>
      </c>
      <c r="O9091" t="n">
        <v>0</v>
      </c>
      <c r="P9091" t="n">
        <v>0</v>
      </c>
      <c r="Q9091" t="n">
        <v>0</v>
      </c>
      <c r="R9091" s="2" t="inlineStr"/>
    </row>
    <row r="9092" ht="15" customHeight="1">
      <c r="A9092" t="inlineStr">
        <is>
          <t>A 8685-2026</t>
        </is>
      </c>
      <c r="B9092" s="1" t="n">
        <v>46066.43192129629</v>
      </c>
      <c r="C9092" s="1" t="n">
        <v>46086</v>
      </c>
      <c r="D9092" t="inlineStr">
        <is>
          <t>GÄVLEBORGS LÄN</t>
        </is>
      </c>
      <c r="E9092" t="inlineStr">
        <is>
          <t>HUDIKSVALL</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8700-2026</t>
        </is>
      </c>
      <c r="B9093" s="1" t="n">
        <v>46066</v>
      </c>
      <c r="C9093" s="1" t="n">
        <v>46086</v>
      </c>
      <c r="D9093" t="inlineStr">
        <is>
          <t>GÄVLEBORGS LÄN</t>
        </is>
      </c>
      <c r="E9093" t="inlineStr">
        <is>
          <t>BOLLNÄS</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8706-2026</t>
        </is>
      </c>
      <c r="B9094" s="1" t="n">
        <v>46066.47238425926</v>
      </c>
      <c r="C9094" s="1" t="n">
        <v>46086</v>
      </c>
      <c r="D9094" t="inlineStr">
        <is>
          <t>GÄVLEBORGS LÄN</t>
        </is>
      </c>
      <c r="E9094" t="inlineStr">
        <is>
          <t>SANDVIKEN</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71-2026</t>
        </is>
      </c>
      <c r="B9095" s="1" t="n">
        <v>46024.45932870371</v>
      </c>
      <c r="C9095" s="1" t="n">
        <v>46086</v>
      </c>
      <c r="D9095" t="inlineStr">
        <is>
          <t>GÄVLEBORGS LÄN</t>
        </is>
      </c>
      <c r="E9095" t="inlineStr">
        <is>
          <t>SÖDERHAMN</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8006-2026</t>
        </is>
      </c>
      <c r="B9096" s="1" t="n">
        <v>46063</v>
      </c>
      <c r="C9096" s="1" t="n">
        <v>46086</v>
      </c>
      <c r="D9096" t="inlineStr">
        <is>
          <t>GÄVLEBORGS LÄN</t>
        </is>
      </c>
      <c r="E9096" t="inlineStr">
        <is>
          <t>BOLLNÄS</t>
        </is>
      </c>
      <c r="G9096" t="n">
        <v>11.3</v>
      </c>
      <c r="H9096" t="n">
        <v>0</v>
      </c>
      <c r="I9096" t="n">
        <v>0</v>
      </c>
      <c r="J9096" t="n">
        <v>0</v>
      </c>
      <c r="K9096" t="n">
        <v>0</v>
      </c>
      <c r="L9096" t="n">
        <v>0</v>
      </c>
      <c r="M9096" t="n">
        <v>0</v>
      </c>
      <c r="N9096" t="n">
        <v>0</v>
      </c>
      <c r="O9096" t="n">
        <v>0</v>
      </c>
      <c r="P9096" t="n">
        <v>0</v>
      </c>
      <c r="Q9096" t="n">
        <v>0</v>
      </c>
      <c r="R9096" s="2" t="inlineStr"/>
    </row>
    <row r="9097" ht="15" customHeight="1">
      <c r="A9097" t="inlineStr">
        <is>
          <t>A 31023-2023</t>
        </is>
      </c>
      <c r="B9097" s="1" t="n">
        <v>45113.57775462963</v>
      </c>
      <c r="C9097" s="1" t="n">
        <v>46086</v>
      </c>
      <c r="D9097" t="inlineStr">
        <is>
          <t>GÄVLEBORGS LÄN</t>
        </is>
      </c>
      <c r="E9097" t="inlineStr">
        <is>
          <t>OVANÅKER</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8708-2026</t>
        </is>
      </c>
      <c r="B9098" s="1" t="n">
        <v>46066.47422453704</v>
      </c>
      <c r="C9098" s="1" t="n">
        <v>46086</v>
      </c>
      <c r="D9098" t="inlineStr">
        <is>
          <t>GÄVLEBORGS LÄN</t>
        </is>
      </c>
      <c r="E9098" t="inlineStr">
        <is>
          <t>LJUSDAL</t>
        </is>
      </c>
      <c r="F9098" t="inlineStr">
        <is>
          <t>Holmen skog AB</t>
        </is>
      </c>
      <c r="G9098" t="n">
        <v>17.9</v>
      </c>
      <c r="H9098" t="n">
        <v>0</v>
      </c>
      <c r="I9098" t="n">
        <v>0</v>
      </c>
      <c r="J9098" t="n">
        <v>0</v>
      </c>
      <c r="K9098" t="n">
        <v>0</v>
      </c>
      <c r="L9098" t="n">
        <v>0</v>
      </c>
      <c r="M9098" t="n">
        <v>0</v>
      </c>
      <c r="N9098" t="n">
        <v>0</v>
      </c>
      <c r="O9098" t="n">
        <v>0</v>
      </c>
      <c r="P9098" t="n">
        <v>0</v>
      </c>
      <c r="Q9098" t="n">
        <v>0</v>
      </c>
      <c r="R9098" s="2" t="inlineStr"/>
    </row>
    <row r="9099" ht="15" customHeight="1">
      <c r="A9099" t="inlineStr">
        <is>
          <t>A 40653-2023</t>
        </is>
      </c>
      <c r="B9099" s="1" t="n">
        <v>45169</v>
      </c>
      <c r="C9099" s="1" t="n">
        <v>46086</v>
      </c>
      <c r="D9099" t="inlineStr">
        <is>
          <t>GÄVLEBORGS LÄN</t>
        </is>
      </c>
      <c r="E9099" t="inlineStr">
        <is>
          <t>BOLLNÄS</t>
        </is>
      </c>
      <c r="G9099" t="n">
        <v>3.5</v>
      </c>
      <c r="H9099" t="n">
        <v>0</v>
      </c>
      <c r="I9099" t="n">
        <v>0</v>
      </c>
      <c r="J9099" t="n">
        <v>0</v>
      </c>
      <c r="K9099" t="n">
        <v>0</v>
      </c>
      <c r="L9099" t="n">
        <v>0</v>
      </c>
      <c r="M9099" t="n">
        <v>0</v>
      </c>
      <c r="N9099" t="n">
        <v>0</v>
      </c>
      <c r="O9099" t="n">
        <v>0</v>
      </c>
      <c r="P9099" t="n">
        <v>0</v>
      </c>
      <c r="Q9099" t="n">
        <v>0</v>
      </c>
      <c r="R9099" s="2" t="inlineStr"/>
    </row>
    <row r="9100" ht="15" customHeight="1">
      <c r="A9100" t="inlineStr">
        <is>
          <t>A 17762-2022</t>
        </is>
      </c>
      <c r="B9100" s="1" t="n">
        <v>44680</v>
      </c>
      <c r="C9100" s="1" t="n">
        <v>46086</v>
      </c>
      <c r="D9100" t="inlineStr">
        <is>
          <t>GÄVLEBORGS LÄN</t>
        </is>
      </c>
      <c r="E9100" t="inlineStr">
        <is>
          <t>HOFORS</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9076-2026</t>
        </is>
      </c>
      <c r="B9101" s="1" t="n">
        <v>46069.59137731481</v>
      </c>
      <c r="C9101" s="1" t="n">
        <v>46086</v>
      </c>
      <c r="D9101" t="inlineStr">
        <is>
          <t>GÄVLEBORGS LÄN</t>
        </is>
      </c>
      <c r="E9101" t="inlineStr">
        <is>
          <t>OVANÅKER</t>
        </is>
      </c>
      <c r="G9101" t="n">
        <v>35.3</v>
      </c>
      <c r="H9101" t="n">
        <v>0</v>
      </c>
      <c r="I9101" t="n">
        <v>0</v>
      </c>
      <c r="J9101" t="n">
        <v>0</v>
      </c>
      <c r="K9101" t="n">
        <v>0</v>
      </c>
      <c r="L9101" t="n">
        <v>0</v>
      </c>
      <c r="M9101" t="n">
        <v>0</v>
      </c>
      <c r="N9101" t="n">
        <v>0</v>
      </c>
      <c r="O9101" t="n">
        <v>0</v>
      </c>
      <c r="P9101" t="n">
        <v>0</v>
      </c>
      <c r="Q9101" t="n">
        <v>0</v>
      </c>
      <c r="R9101" s="2" t="inlineStr"/>
    </row>
    <row r="9102" ht="15" customHeight="1">
      <c r="A9102" t="inlineStr">
        <is>
          <t>A 9085-2026</t>
        </is>
      </c>
      <c r="B9102" s="1" t="n">
        <v>46069.610625</v>
      </c>
      <c r="C9102" s="1" t="n">
        <v>46086</v>
      </c>
      <c r="D9102" t="inlineStr">
        <is>
          <t>GÄVLEBORGS LÄN</t>
        </is>
      </c>
      <c r="E9102" t="inlineStr">
        <is>
          <t>BOLLNÄS</t>
        </is>
      </c>
      <c r="F9102" t="inlineStr">
        <is>
          <t>Kommuner</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12555-2023</t>
        </is>
      </c>
      <c r="B9103" s="1" t="n">
        <v>45000.354375</v>
      </c>
      <c r="C9103" s="1" t="n">
        <v>46086</v>
      </c>
      <c r="D9103" t="inlineStr">
        <is>
          <t>GÄVLEBORGS LÄN</t>
        </is>
      </c>
      <c r="E9103" t="inlineStr">
        <is>
          <t>LJUSDAL</t>
        </is>
      </c>
      <c r="G9103" t="n">
        <v>8.4</v>
      </c>
      <c r="H9103" t="n">
        <v>0</v>
      </c>
      <c r="I9103" t="n">
        <v>0</v>
      </c>
      <c r="J9103" t="n">
        <v>0</v>
      </c>
      <c r="K9103" t="n">
        <v>0</v>
      </c>
      <c r="L9103" t="n">
        <v>0</v>
      </c>
      <c r="M9103" t="n">
        <v>0</v>
      </c>
      <c r="N9103" t="n">
        <v>0</v>
      </c>
      <c r="O9103" t="n">
        <v>0</v>
      </c>
      <c r="P9103" t="n">
        <v>0</v>
      </c>
      <c r="Q9103" t="n">
        <v>0</v>
      </c>
      <c r="R9103" s="2" t="inlineStr"/>
    </row>
    <row r="9104" ht="15" customHeight="1">
      <c r="A9104" t="inlineStr">
        <is>
          <t>A 51553-2024</t>
        </is>
      </c>
      <c r="B9104" s="1" t="n">
        <v>45604.60453703703</v>
      </c>
      <c r="C9104" s="1" t="n">
        <v>46086</v>
      </c>
      <c r="D9104" t="inlineStr">
        <is>
          <t>GÄVLEBORGS LÄN</t>
        </is>
      </c>
      <c r="E9104" t="inlineStr">
        <is>
          <t>SÖDERHAMN</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8769-2026</t>
        </is>
      </c>
      <c r="B9105" s="1" t="n">
        <v>46066.56991898148</v>
      </c>
      <c r="C9105" s="1" t="n">
        <v>46086</v>
      </c>
      <c r="D9105" t="inlineStr">
        <is>
          <t>GÄVLEBORGS LÄN</t>
        </is>
      </c>
      <c r="E9105" t="inlineStr">
        <is>
          <t>BOLLNÄS</t>
        </is>
      </c>
      <c r="F9105" t="inlineStr">
        <is>
          <t>Sveaskog</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8792-2026</t>
        </is>
      </c>
      <c r="B9106" s="1" t="n">
        <v>46066.58920138889</v>
      </c>
      <c r="C9106" s="1" t="n">
        <v>46086</v>
      </c>
      <c r="D9106" t="inlineStr">
        <is>
          <t>GÄVLEBORGS LÄN</t>
        </is>
      </c>
      <c r="E9106" t="inlineStr">
        <is>
          <t>BOLLNÄS</t>
        </is>
      </c>
      <c r="G9106" t="n">
        <v>5.1</v>
      </c>
      <c r="H9106" t="n">
        <v>0</v>
      </c>
      <c r="I9106" t="n">
        <v>0</v>
      </c>
      <c r="J9106" t="n">
        <v>0</v>
      </c>
      <c r="K9106" t="n">
        <v>0</v>
      </c>
      <c r="L9106" t="n">
        <v>0</v>
      </c>
      <c r="M9106" t="n">
        <v>0</v>
      </c>
      <c r="N9106" t="n">
        <v>0</v>
      </c>
      <c r="O9106" t="n">
        <v>0</v>
      </c>
      <c r="P9106" t="n">
        <v>0</v>
      </c>
      <c r="Q9106" t="n">
        <v>0</v>
      </c>
      <c r="R9106" s="2" t="inlineStr"/>
    </row>
    <row r="9107" ht="15" customHeight="1">
      <c r="A9107" t="inlineStr">
        <is>
          <t>A 8802-2026</t>
        </is>
      </c>
      <c r="B9107" s="1" t="n">
        <v>46066.59980324074</v>
      </c>
      <c r="C9107" s="1" t="n">
        <v>46086</v>
      </c>
      <c r="D9107" t="inlineStr">
        <is>
          <t>GÄVLEBORGS LÄN</t>
        </is>
      </c>
      <c r="E9107" t="inlineStr">
        <is>
          <t>HOFORS</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119-2026</t>
        </is>
      </c>
      <c r="B9108" s="1" t="n">
        <v>46024</v>
      </c>
      <c r="C9108" s="1" t="n">
        <v>46086</v>
      </c>
      <c r="D9108" t="inlineStr">
        <is>
          <t>GÄVLEBORGS LÄN</t>
        </is>
      </c>
      <c r="E9108" t="inlineStr">
        <is>
          <t>LJUSDAL</t>
        </is>
      </c>
      <c r="F9108" t="inlineStr">
        <is>
          <t>Övriga Aktiebolag</t>
        </is>
      </c>
      <c r="G9108" t="n">
        <v>8.300000000000001</v>
      </c>
      <c r="H9108" t="n">
        <v>0</v>
      </c>
      <c r="I9108" t="n">
        <v>0</v>
      </c>
      <c r="J9108" t="n">
        <v>0</v>
      </c>
      <c r="K9108" t="n">
        <v>0</v>
      </c>
      <c r="L9108" t="n">
        <v>0</v>
      </c>
      <c r="M9108" t="n">
        <v>0</v>
      </c>
      <c r="N9108" t="n">
        <v>0</v>
      </c>
      <c r="O9108" t="n">
        <v>0</v>
      </c>
      <c r="P9108" t="n">
        <v>0</v>
      </c>
      <c r="Q9108" t="n">
        <v>0</v>
      </c>
      <c r="R9108" s="2" t="inlineStr"/>
    </row>
    <row r="9109" ht="15" customHeight="1">
      <c r="A9109" t="inlineStr">
        <is>
          <t>A 8911-2026</t>
        </is>
      </c>
      <c r="B9109" s="1" t="n">
        <v>46069.27527777778</v>
      </c>
      <c r="C9109" s="1" t="n">
        <v>46086</v>
      </c>
      <c r="D9109" t="inlineStr">
        <is>
          <t>GÄVLEBORGS LÄN</t>
        </is>
      </c>
      <c r="E9109" t="inlineStr">
        <is>
          <t>OVANÅKER</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9025-2026</t>
        </is>
      </c>
      <c r="B9110" s="1" t="n">
        <v>46069.50070601852</v>
      </c>
      <c r="C9110" s="1" t="n">
        <v>46086</v>
      </c>
      <c r="D9110" t="inlineStr">
        <is>
          <t>GÄVLEBORGS LÄN</t>
        </is>
      </c>
      <c r="E9110" t="inlineStr">
        <is>
          <t>GÄVLE</t>
        </is>
      </c>
      <c r="G9110" t="n">
        <v>12.7</v>
      </c>
      <c r="H9110" t="n">
        <v>0</v>
      </c>
      <c r="I9110" t="n">
        <v>0</v>
      </c>
      <c r="J9110" t="n">
        <v>0</v>
      </c>
      <c r="K9110" t="n">
        <v>0</v>
      </c>
      <c r="L9110" t="n">
        <v>0</v>
      </c>
      <c r="M9110" t="n">
        <v>0</v>
      </c>
      <c r="N9110" t="n">
        <v>0</v>
      </c>
      <c r="O9110" t="n">
        <v>0</v>
      </c>
      <c r="P9110" t="n">
        <v>0</v>
      </c>
      <c r="Q9110" t="n">
        <v>0</v>
      </c>
      <c r="R9110" s="2" t="inlineStr"/>
    </row>
    <row r="9111" ht="15" customHeight="1">
      <c r="A9111" t="inlineStr">
        <is>
          <t>A 50657-2024</t>
        </is>
      </c>
      <c r="B9111" s="1" t="n">
        <v>45601.718125</v>
      </c>
      <c r="C9111" s="1" t="n">
        <v>46086</v>
      </c>
      <c r="D9111" t="inlineStr">
        <is>
          <t>GÄVLEBORGS LÄN</t>
        </is>
      </c>
      <c r="E9111" t="inlineStr">
        <is>
          <t>NORDANSTIG</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9058-2026</t>
        </is>
      </c>
      <c r="B9112" s="1" t="n">
        <v>46069.56327546296</v>
      </c>
      <c r="C9112" s="1" t="n">
        <v>46086</v>
      </c>
      <c r="D9112" t="inlineStr">
        <is>
          <t>GÄVLEBORGS LÄN</t>
        </is>
      </c>
      <c r="E9112" t="inlineStr">
        <is>
          <t>BOLLNÄS</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9063-2026</t>
        </is>
      </c>
      <c r="B9113" s="1" t="n">
        <v>46069.56923611111</v>
      </c>
      <c r="C9113" s="1" t="n">
        <v>46086</v>
      </c>
      <c r="D9113" t="inlineStr">
        <is>
          <t>GÄVLEBORGS LÄN</t>
        </is>
      </c>
      <c r="E9113" t="inlineStr">
        <is>
          <t>BOLLNÄS</t>
        </is>
      </c>
      <c r="G9113" t="n">
        <v>3.4</v>
      </c>
      <c r="H9113" t="n">
        <v>0</v>
      </c>
      <c r="I9113" t="n">
        <v>0</v>
      </c>
      <c r="J9113" t="n">
        <v>0</v>
      </c>
      <c r="K9113" t="n">
        <v>0</v>
      </c>
      <c r="L9113" t="n">
        <v>0</v>
      </c>
      <c r="M9113" t="n">
        <v>0</v>
      </c>
      <c r="N9113" t="n">
        <v>0</v>
      </c>
      <c r="O9113" t="n">
        <v>0</v>
      </c>
      <c r="P9113" t="n">
        <v>0</v>
      </c>
      <c r="Q9113" t="n">
        <v>0</v>
      </c>
      <c r="R9113" s="2" t="inlineStr"/>
    </row>
    <row r="9114" ht="15" customHeight="1">
      <c r="A9114" t="inlineStr">
        <is>
          <t>A 4686-2023</t>
        </is>
      </c>
      <c r="B9114" s="1" t="n">
        <v>44957.46049768518</v>
      </c>
      <c r="C9114" s="1" t="n">
        <v>46086</v>
      </c>
      <c r="D9114" t="inlineStr">
        <is>
          <t>GÄVLEBORGS LÄN</t>
        </is>
      </c>
      <c r="E9114" t="inlineStr">
        <is>
          <t>LJUSDAL</t>
        </is>
      </c>
      <c r="F9114" t="inlineStr">
        <is>
          <t>Holmen skog AB</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8521-2026</t>
        </is>
      </c>
      <c r="B9115" s="1" t="n">
        <v>46065</v>
      </c>
      <c r="C9115" s="1" t="n">
        <v>46086</v>
      </c>
      <c r="D9115" t="inlineStr">
        <is>
          <t>GÄVLEBORGS LÄN</t>
        </is>
      </c>
      <c r="E9115" t="inlineStr">
        <is>
          <t>OCKELBO</t>
        </is>
      </c>
      <c r="F9115" t="inlineStr">
        <is>
          <t>Bergvik skog väst AB</t>
        </is>
      </c>
      <c r="G9115" t="n">
        <v>12.5</v>
      </c>
      <c r="H9115" t="n">
        <v>0</v>
      </c>
      <c r="I9115" t="n">
        <v>0</v>
      </c>
      <c r="J9115" t="n">
        <v>0</v>
      </c>
      <c r="K9115" t="n">
        <v>0</v>
      </c>
      <c r="L9115" t="n">
        <v>0</v>
      </c>
      <c r="M9115" t="n">
        <v>0</v>
      </c>
      <c r="N9115" t="n">
        <v>0</v>
      </c>
      <c r="O9115" t="n">
        <v>0</v>
      </c>
      <c r="P9115" t="n">
        <v>0</v>
      </c>
      <c r="Q9115" t="n">
        <v>0</v>
      </c>
      <c r="R9115" s="2" t="inlineStr"/>
    </row>
    <row r="9116" ht="15" customHeight="1">
      <c r="A9116" t="inlineStr">
        <is>
          <t>A 6921-2026</t>
        </is>
      </c>
      <c r="B9116" s="1" t="n">
        <v>46057</v>
      </c>
      <c r="C9116" s="1" t="n">
        <v>46086</v>
      </c>
      <c r="D9116" t="inlineStr">
        <is>
          <t>GÄVLEBORGS LÄN</t>
        </is>
      </c>
      <c r="E9116" t="inlineStr">
        <is>
          <t>OCKELBO</t>
        </is>
      </c>
      <c r="F9116" t="inlineStr">
        <is>
          <t>Bergvik skog väst AB</t>
        </is>
      </c>
      <c r="G9116" t="n">
        <v>12.4</v>
      </c>
      <c r="H9116" t="n">
        <v>0</v>
      </c>
      <c r="I9116" t="n">
        <v>0</v>
      </c>
      <c r="J9116" t="n">
        <v>0</v>
      </c>
      <c r="K9116" t="n">
        <v>0</v>
      </c>
      <c r="L9116" t="n">
        <v>0</v>
      </c>
      <c r="M9116" t="n">
        <v>0</v>
      </c>
      <c r="N9116" t="n">
        <v>0</v>
      </c>
      <c r="O9116" t="n">
        <v>0</v>
      </c>
      <c r="P9116" t="n">
        <v>0</v>
      </c>
      <c r="Q9116" t="n">
        <v>0</v>
      </c>
      <c r="R9116" s="2" t="inlineStr"/>
    </row>
    <row r="9117" ht="15" customHeight="1">
      <c r="A9117" t="inlineStr">
        <is>
          <t>A 9113-2026</t>
        </is>
      </c>
      <c r="B9117" s="1" t="n">
        <v>46069.66622685185</v>
      </c>
      <c r="C9117" s="1" t="n">
        <v>46086</v>
      </c>
      <c r="D9117" t="inlineStr">
        <is>
          <t>GÄVLEBORGS LÄN</t>
        </is>
      </c>
      <c r="E9117" t="inlineStr">
        <is>
          <t>LJUSDAL</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8943-2026</t>
        </is>
      </c>
      <c r="B9118" s="1" t="n">
        <v>46069.37511574074</v>
      </c>
      <c r="C9118" s="1" t="n">
        <v>46086</v>
      </c>
      <c r="D9118" t="inlineStr">
        <is>
          <t>GÄVLEBORGS LÄN</t>
        </is>
      </c>
      <c r="E9118" t="inlineStr">
        <is>
          <t>SÖDERHAMN</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8950-2026</t>
        </is>
      </c>
      <c r="B9119" s="1" t="n">
        <v>46069.38952546296</v>
      </c>
      <c r="C9119" s="1" t="n">
        <v>46086</v>
      </c>
      <c r="D9119" t="inlineStr">
        <is>
          <t>GÄVLEBORGS LÄN</t>
        </is>
      </c>
      <c r="E9119" t="inlineStr">
        <is>
          <t>BOLLNÄS</t>
        </is>
      </c>
      <c r="G9119" t="n">
        <v>14.9</v>
      </c>
      <c r="H9119" t="n">
        <v>0</v>
      </c>
      <c r="I9119" t="n">
        <v>0</v>
      </c>
      <c r="J9119" t="n">
        <v>0</v>
      </c>
      <c r="K9119" t="n">
        <v>0</v>
      </c>
      <c r="L9119" t="n">
        <v>0</v>
      </c>
      <c r="M9119" t="n">
        <v>0</v>
      </c>
      <c r="N9119" t="n">
        <v>0</v>
      </c>
      <c r="O9119" t="n">
        <v>0</v>
      </c>
      <c r="P9119" t="n">
        <v>0</v>
      </c>
      <c r="Q9119" t="n">
        <v>0</v>
      </c>
      <c r="R9119" s="2" t="inlineStr"/>
    </row>
    <row r="9120" ht="15" customHeight="1">
      <c r="A9120" t="inlineStr">
        <is>
          <t>A 8959-2026</t>
        </is>
      </c>
      <c r="B9120" s="1" t="n">
        <v>46069.41010416667</v>
      </c>
      <c r="C9120" s="1" t="n">
        <v>46086</v>
      </c>
      <c r="D9120" t="inlineStr">
        <is>
          <t>GÄVLEBORGS LÄN</t>
        </is>
      </c>
      <c r="E9120" t="inlineStr">
        <is>
          <t>BOLLNÄS</t>
        </is>
      </c>
      <c r="F9120" t="inlineStr">
        <is>
          <t>Bergvik skog väst AB</t>
        </is>
      </c>
      <c r="G9120" t="n">
        <v>6.5</v>
      </c>
      <c r="H9120" t="n">
        <v>0</v>
      </c>
      <c r="I9120" t="n">
        <v>0</v>
      </c>
      <c r="J9120" t="n">
        <v>0</v>
      </c>
      <c r="K9120" t="n">
        <v>0</v>
      </c>
      <c r="L9120" t="n">
        <v>0</v>
      </c>
      <c r="M9120" t="n">
        <v>0</v>
      </c>
      <c r="N9120" t="n">
        <v>0</v>
      </c>
      <c r="O9120" t="n">
        <v>0</v>
      </c>
      <c r="P9120" t="n">
        <v>0</v>
      </c>
      <c r="Q9120" t="n">
        <v>0</v>
      </c>
      <c r="R9120" s="2" t="inlineStr"/>
    </row>
    <row r="9121" ht="15" customHeight="1">
      <c r="A9121" t="inlineStr">
        <is>
          <t>A 29296-2024</t>
        </is>
      </c>
      <c r="B9121" s="1" t="n">
        <v>45483.33774305556</v>
      </c>
      <c r="C9121" s="1" t="n">
        <v>46086</v>
      </c>
      <c r="D9121" t="inlineStr">
        <is>
          <t>GÄVLEBORGS LÄN</t>
        </is>
      </c>
      <c r="E9121" t="inlineStr">
        <is>
          <t>SANDVIKEN</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8650-2026</t>
        </is>
      </c>
      <c r="B9122" s="1" t="n">
        <v>46066.36740740741</v>
      </c>
      <c r="C9122" s="1" t="n">
        <v>46086</v>
      </c>
      <c r="D9122" t="inlineStr">
        <is>
          <t>GÄVLEBORGS LÄN</t>
        </is>
      </c>
      <c r="E9122" t="inlineStr">
        <is>
          <t>GÄVLE</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8651-2026</t>
        </is>
      </c>
      <c r="B9123" s="1" t="n">
        <v>46066.3674537037</v>
      </c>
      <c r="C9123" s="1" t="n">
        <v>46086</v>
      </c>
      <c r="D9123" t="inlineStr">
        <is>
          <t>GÄVLEBORGS LÄN</t>
        </is>
      </c>
      <c r="E9123" t="inlineStr">
        <is>
          <t>SÖDERHAMN</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110-2026</t>
        </is>
      </c>
      <c r="B9124" s="1" t="n">
        <v>46024</v>
      </c>
      <c r="C9124" s="1" t="n">
        <v>46086</v>
      </c>
      <c r="D9124" t="inlineStr">
        <is>
          <t>GÄVLEBORGS LÄN</t>
        </is>
      </c>
      <c r="E9124" t="inlineStr">
        <is>
          <t>LJUSDAL</t>
        </is>
      </c>
      <c r="F9124" t="inlineStr">
        <is>
          <t>Övriga Aktiebolag</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129-2026</t>
        </is>
      </c>
      <c r="B9125" s="1" t="n">
        <v>46024.59600694444</v>
      </c>
      <c r="C9125" s="1" t="n">
        <v>46086</v>
      </c>
      <c r="D9125" t="inlineStr">
        <is>
          <t>GÄVLEBORGS LÄN</t>
        </is>
      </c>
      <c r="E9125" t="inlineStr">
        <is>
          <t>HOFORS</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189-2026</t>
        </is>
      </c>
      <c r="B9126" s="1" t="n">
        <v>46025</v>
      </c>
      <c r="C9126" s="1" t="n">
        <v>46086</v>
      </c>
      <c r="D9126" t="inlineStr">
        <is>
          <t>GÄVLEBORGS LÄN</t>
        </is>
      </c>
      <c r="E9126" t="inlineStr">
        <is>
          <t>HUDIKSVALL</t>
        </is>
      </c>
      <c r="G9126" t="n">
        <v>6.9</v>
      </c>
      <c r="H9126" t="n">
        <v>0</v>
      </c>
      <c r="I9126" t="n">
        <v>0</v>
      </c>
      <c r="J9126" t="n">
        <v>0</v>
      </c>
      <c r="K9126" t="n">
        <v>0</v>
      </c>
      <c r="L9126" t="n">
        <v>0</v>
      </c>
      <c r="M9126" t="n">
        <v>0</v>
      </c>
      <c r="N9126" t="n">
        <v>0</v>
      </c>
      <c r="O9126" t="n">
        <v>0</v>
      </c>
      <c r="P9126" t="n">
        <v>0</v>
      </c>
      <c r="Q9126" t="n">
        <v>0</v>
      </c>
      <c r="R9126" s="2" t="inlineStr"/>
    </row>
    <row r="9127" ht="15" customHeight="1">
      <c r="A9127" t="inlineStr">
        <is>
          <t>A 8453-2026</t>
        </is>
      </c>
      <c r="B9127" s="1" t="n">
        <v>46065</v>
      </c>
      <c r="C9127" s="1" t="n">
        <v>46086</v>
      </c>
      <c r="D9127" t="inlineStr">
        <is>
          <t>GÄVLEBORGS LÄN</t>
        </is>
      </c>
      <c r="E9127" t="inlineStr">
        <is>
          <t>HUDIKSVALL</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8476-2026</t>
        </is>
      </c>
      <c r="B9128" s="1" t="n">
        <v>46065</v>
      </c>
      <c r="C9128" s="1" t="n">
        <v>46086</v>
      </c>
      <c r="D9128" t="inlineStr">
        <is>
          <t>GÄVLEBORGS LÄN</t>
        </is>
      </c>
      <c r="E9128" t="inlineStr">
        <is>
          <t>BOLLNÄS</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9109-2026</t>
        </is>
      </c>
      <c r="B9129" s="1" t="n">
        <v>46069.66319444445</v>
      </c>
      <c r="C9129" s="1" t="n">
        <v>46086</v>
      </c>
      <c r="D9129" t="inlineStr">
        <is>
          <t>GÄVLEBORGS LÄN</t>
        </is>
      </c>
      <c r="E9129" t="inlineStr">
        <is>
          <t>BOLLNÄS</t>
        </is>
      </c>
      <c r="F9129" t="inlineStr">
        <is>
          <t>Kommuner</t>
        </is>
      </c>
      <c r="G9129" t="n">
        <v>9.800000000000001</v>
      </c>
      <c r="H9129" t="n">
        <v>0</v>
      </c>
      <c r="I9129" t="n">
        <v>0</v>
      </c>
      <c r="J9129" t="n">
        <v>0</v>
      </c>
      <c r="K9129" t="n">
        <v>0</v>
      </c>
      <c r="L9129" t="n">
        <v>0</v>
      </c>
      <c r="M9129" t="n">
        <v>0</v>
      </c>
      <c r="N9129" t="n">
        <v>0</v>
      </c>
      <c r="O9129" t="n">
        <v>0</v>
      </c>
      <c r="P9129" t="n">
        <v>0</v>
      </c>
      <c r="Q9129" t="n">
        <v>0</v>
      </c>
      <c r="R9129" s="2" t="inlineStr"/>
    </row>
    <row r="9130" ht="15" customHeight="1">
      <c r="A9130" t="inlineStr">
        <is>
          <t>A 3955-2026</t>
        </is>
      </c>
      <c r="B9130" s="1" t="n">
        <v>46044</v>
      </c>
      <c r="C9130" s="1" t="n">
        <v>46086</v>
      </c>
      <c r="D9130" t="inlineStr">
        <is>
          <t>GÄVLEBORGS LÄN</t>
        </is>
      </c>
      <c r="E9130" t="inlineStr">
        <is>
          <t>SÖDERHAMN</t>
        </is>
      </c>
      <c r="G9130" t="n">
        <v>5.2</v>
      </c>
      <c r="H9130" t="n">
        <v>0</v>
      </c>
      <c r="I9130" t="n">
        <v>0</v>
      </c>
      <c r="J9130" t="n">
        <v>0</v>
      </c>
      <c r="K9130" t="n">
        <v>0</v>
      </c>
      <c r="L9130" t="n">
        <v>0</v>
      </c>
      <c r="M9130" t="n">
        <v>0</v>
      </c>
      <c r="N9130" t="n">
        <v>0</v>
      </c>
      <c r="O9130" t="n">
        <v>0</v>
      </c>
      <c r="P9130" t="n">
        <v>0</v>
      </c>
      <c r="Q9130" t="n">
        <v>0</v>
      </c>
      <c r="R9130" s="2" t="inlineStr"/>
    </row>
    <row r="9131" ht="15" customHeight="1">
      <c r="A9131" t="inlineStr">
        <is>
          <t>A 3979-2026</t>
        </is>
      </c>
      <c r="B9131" s="1" t="n">
        <v>46044</v>
      </c>
      <c r="C9131" s="1" t="n">
        <v>46086</v>
      </c>
      <c r="D9131" t="inlineStr">
        <is>
          <t>GÄVLEBORGS LÄN</t>
        </is>
      </c>
      <c r="E9131" t="inlineStr">
        <is>
          <t>SÖDERHAMN</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2993-2026</t>
        </is>
      </c>
      <c r="B9132" s="1" t="n">
        <v>46038</v>
      </c>
      <c r="C9132" s="1" t="n">
        <v>46086</v>
      </c>
      <c r="D9132" t="inlineStr">
        <is>
          <t>GÄVLEBORGS LÄN</t>
        </is>
      </c>
      <c r="E9132" t="inlineStr">
        <is>
          <t>BOLLNÄS</t>
        </is>
      </c>
      <c r="G9132" t="n">
        <v>5.2</v>
      </c>
      <c r="H9132" t="n">
        <v>0</v>
      </c>
      <c r="I9132" t="n">
        <v>0</v>
      </c>
      <c r="J9132" t="n">
        <v>0</v>
      </c>
      <c r="K9132" t="n">
        <v>0</v>
      </c>
      <c r="L9132" t="n">
        <v>0</v>
      </c>
      <c r="M9132" t="n">
        <v>0</v>
      </c>
      <c r="N9132" t="n">
        <v>0</v>
      </c>
      <c r="O9132" t="n">
        <v>0</v>
      </c>
      <c r="P9132" t="n">
        <v>0</v>
      </c>
      <c r="Q9132" t="n">
        <v>0</v>
      </c>
      <c r="R9132" s="2" t="inlineStr"/>
    </row>
    <row r="9133" ht="15" customHeight="1">
      <c r="A9133" t="inlineStr">
        <is>
          <t>A 314-2026</t>
        </is>
      </c>
      <c r="B9133" s="1" t="n">
        <v>46027</v>
      </c>
      <c r="C9133" s="1" t="n">
        <v>46086</v>
      </c>
      <c r="D9133" t="inlineStr">
        <is>
          <t>GÄVLEBORGS LÄN</t>
        </is>
      </c>
      <c r="E9133" t="inlineStr">
        <is>
          <t>HUDIKSVALL</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342-2026</t>
        </is>
      </c>
      <c r="B9134" s="1" t="n">
        <v>46027.61108796296</v>
      </c>
      <c r="C9134" s="1" t="n">
        <v>46086</v>
      </c>
      <c r="D9134" t="inlineStr">
        <is>
          <t>GÄVLEBORGS LÄN</t>
        </is>
      </c>
      <c r="E9134" t="inlineStr">
        <is>
          <t>OCKELBO</t>
        </is>
      </c>
      <c r="G9134" t="n">
        <v>9</v>
      </c>
      <c r="H9134" t="n">
        <v>0</v>
      </c>
      <c r="I9134" t="n">
        <v>0</v>
      </c>
      <c r="J9134" t="n">
        <v>0</v>
      </c>
      <c r="K9134" t="n">
        <v>0</v>
      </c>
      <c r="L9134" t="n">
        <v>0</v>
      </c>
      <c r="M9134" t="n">
        <v>0</v>
      </c>
      <c r="N9134" t="n">
        <v>0</v>
      </c>
      <c r="O9134" t="n">
        <v>0</v>
      </c>
      <c r="P9134" t="n">
        <v>0</v>
      </c>
      <c r="Q9134" t="n">
        <v>0</v>
      </c>
      <c r="R9134" s="2" t="inlineStr"/>
    </row>
    <row r="9135" ht="15" customHeight="1">
      <c r="A9135" t="inlineStr">
        <is>
          <t>A 4491-2026</t>
        </is>
      </c>
      <c r="B9135" s="1" t="n">
        <v>46045</v>
      </c>
      <c r="C9135" s="1" t="n">
        <v>46086</v>
      </c>
      <c r="D9135" t="inlineStr">
        <is>
          <t>GÄVLEBORGS LÄN</t>
        </is>
      </c>
      <c r="E9135" t="inlineStr">
        <is>
          <t>HUDIKSVALL</t>
        </is>
      </c>
      <c r="G9135" t="n">
        <v>5.3</v>
      </c>
      <c r="H9135" t="n">
        <v>0</v>
      </c>
      <c r="I9135" t="n">
        <v>0</v>
      </c>
      <c r="J9135" t="n">
        <v>0</v>
      </c>
      <c r="K9135" t="n">
        <v>0</v>
      </c>
      <c r="L9135" t="n">
        <v>0</v>
      </c>
      <c r="M9135" t="n">
        <v>0</v>
      </c>
      <c r="N9135" t="n">
        <v>0</v>
      </c>
      <c r="O9135" t="n">
        <v>0</v>
      </c>
      <c r="P9135" t="n">
        <v>0</v>
      </c>
      <c r="Q9135" t="n">
        <v>0</v>
      </c>
      <c r="R9135" s="2" t="inlineStr"/>
    </row>
    <row r="9136" ht="15" customHeight="1">
      <c r="A9136" t="inlineStr">
        <is>
          <t>A 5825-2025</t>
        </is>
      </c>
      <c r="B9136" s="1" t="n">
        <v>45694</v>
      </c>
      <c r="C9136" s="1" t="n">
        <v>46086</v>
      </c>
      <c r="D9136" t="inlineStr">
        <is>
          <t>GÄVLEBORGS LÄN</t>
        </is>
      </c>
      <c r="E9136" t="inlineStr">
        <is>
          <t>HUDIKSVALL</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4492-2026</t>
        </is>
      </c>
      <c r="B9137" s="1" t="n">
        <v>46045</v>
      </c>
      <c r="C9137" s="1" t="n">
        <v>46086</v>
      </c>
      <c r="D9137" t="inlineStr">
        <is>
          <t>GÄVLEBORGS LÄN</t>
        </is>
      </c>
      <c r="E9137" t="inlineStr">
        <is>
          <t>HUDIKSVALL</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4493-2026</t>
        </is>
      </c>
      <c r="B9138" s="1" t="n">
        <v>46045</v>
      </c>
      <c r="C9138" s="1" t="n">
        <v>46086</v>
      </c>
      <c r="D9138" t="inlineStr">
        <is>
          <t>GÄVLEBORGS LÄN</t>
        </is>
      </c>
      <c r="E9138" t="inlineStr">
        <is>
          <t>HUDIKSVALL</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350-2026</t>
        </is>
      </c>
      <c r="B9139" s="1" t="n">
        <v>46027.63125</v>
      </c>
      <c r="C9139" s="1" t="n">
        <v>46086</v>
      </c>
      <c r="D9139" t="inlineStr">
        <is>
          <t>GÄVLEBORGS LÄN</t>
        </is>
      </c>
      <c r="E9139" t="inlineStr">
        <is>
          <t>OCKELBO</t>
        </is>
      </c>
      <c r="G9139" t="n">
        <v>16.2</v>
      </c>
      <c r="H9139" t="n">
        <v>0</v>
      </c>
      <c r="I9139" t="n">
        <v>0</v>
      </c>
      <c r="J9139" t="n">
        <v>0</v>
      </c>
      <c r="K9139" t="n">
        <v>0</v>
      </c>
      <c r="L9139" t="n">
        <v>0</v>
      </c>
      <c r="M9139" t="n">
        <v>0</v>
      </c>
      <c r="N9139" t="n">
        <v>0</v>
      </c>
      <c r="O9139" t="n">
        <v>0</v>
      </c>
      <c r="P9139" t="n">
        <v>0</v>
      </c>
      <c r="Q9139" t="n">
        <v>0</v>
      </c>
      <c r="R9139" s="2" t="inlineStr"/>
    </row>
    <row r="9140" ht="15" customHeight="1">
      <c r="A9140" t="inlineStr">
        <is>
          <t>A 5901-2025</t>
        </is>
      </c>
      <c r="B9140" s="1" t="n">
        <v>45695.39758101852</v>
      </c>
      <c r="C9140" s="1" t="n">
        <v>46086</v>
      </c>
      <c r="D9140" t="inlineStr">
        <is>
          <t>GÄVLEBORGS LÄN</t>
        </is>
      </c>
      <c r="E9140" t="inlineStr">
        <is>
          <t>HUDIKSVALL</t>
        </is>
      </c>
      <c r="F9140" t="inlineStr">
        <is>
          <t>Holmen skog AB</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5908-2025</t>
        </is>
      </c>
      <c r="B9141" s="1" t="n">
        <v>45695.40526620371</v>
      </c>
      <c r="C9141" s="1" t="n">
        <v>46086</v>
      </c>
      <c r="D9141" t="inlineStr">
        <is>
          <t>GÄVLEBORGS LÄN</t>
        </is>
      </c>
      <c r="E9141" t="inlineStr">
        <is>
          <t>GÄVLE</t>
        </is>
      </c>
      <c r="F9141" t="inlineStr">
        <is>
          <t>Bergvik skog öst AB</t>
        </is>
      </c>
      <c r="G9141" t="n">
        <v>4</v>
      </c>
      <c r="H9141" t="n">
        <v>0</v>
      </c>
      <c r="I9141" t="n">
        <v>0</v>
      </c>
      <c r="J9141" t="n">
        <v>0</v>
      </c>
      <c r="K9141" t="n">
        <v>0</v>
      </c>
      <c r="L9141" t="n">
        <v>0</v>
      </c>
      <c r="M9141" t="n">
        <v>0</v>
      </c>
      <c r="N9141" t="n">
        <v>0</v>
      </c>
      <c r="O9141" t="n">
        <v>0</v>
      </c>
      <c r="P9141" t="n">
        <v>0</v>
      </c>
      <c r="Q9141" t="n">
        <v>0</v>
      </c>
      <c r="R9141" s="2" t="inlineStr"/>
    </row>
    <row r="9142" ht="15" customHeight="1">
      <c r="A9142" t="inlineStr">
        <is>
          <t>A 5912-2025</t>
        </is>
      </c>
      <c r="B9142" s="1" t="n">
        <v>45695</v>
      </c>
      <c r="C9142" s="1" t="n">
        <v>46086</v>
      </c>
      <c r="D9142" t="inlineStr">
        <is>
          <t>GÄVLEBORGS LÄN</t>
        </is>
      </c>
      <c r="E9142" t="inlineStr">
        <is>
          <t>GÄVLE</t>
        </is>
      </c>
      <c r="F9142" t="inlineStr">
        <is>
          <t>Bergvik skog öst AB</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5028-2026</t>
        </is>
      </c>
      <c r="B9143" s="1" t="n">
        <v>46049</v>
      </c>
      <c r="C9143" s="1" t="n">
        <v>46086</v>
      </c>
      <c r="D9143" t="inlineStr">
        <is>
          <t>GÄVLEBORGS LÄN</t>
        </is>
      </c>
      <c r="E9143" t="inlineStr">
        <is>
          <t>BOLLNÄS</t>
        </is>
      </c>
      <c r="F9143" t="inlineStr">
        <is>
          <t>Bergvik skog väst AB</t>
        </is>
      </c>
      <c r="G9143" t="n">
        <v>11.6</v>
      </c>
      <c r="H9143" t="n">
        <v>0</v>
      </c>
      <c r="I9143" t="n">
        <v>0</v>
      </c>
      <c r="J9143" t="n">
        <v>0</v>
      </c>
      <c r="K9143" t="n">
        <v>0</v>
      </c>
      <c r="L9143" t="n">
        <v>0</v>
      </c>
      <c r="M9143" t="n">
        <v>0</v>
      </c>
      <c r="N9143" t="n">
        <v>0</v>
      </c>
      <c r="O9143" t="n">
        <v>0</v>
      </c>
      <c r="P9143" t="n">
        <v>0</v>
      </c>
      <c r="Q9143" t="n">
        <v>0</v>
      </c>
      <c r="R9143" s="2" t="inlineStr"/>
    </row>
    <row r="9144" ht="15" customHeight="1">
      <c r="A9144" t="inlineStr">
        <is>
          <t>A 109-2026</t>
        </is>
      </c>
      <c r="B9144" s="1" t="n">
        <v>46024.54186342593</v>
      </c>
      <c r="C9144" s="1" t="n">
        <v>46086</v>
      </c>
      <c r="D9144" t="inlineStr">
        <is>
          <t>GÄVLEBORGS LÄN</t>
        </is>
      </c>
      <c r="E9144" t="inlineStr">
        <is>
          <t>HUDIKSVALL</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7838-2026</t>
        </is>
      </c>
      <c r="B9145" s="1" t="n">
        <v>46062</v>
      </c>
      <c r="C9145" s="1" t="n">
        <v>46086</v>
      </c>
      <c r="D9145" t="inlineStr">
        <is>
          <t>GÄVLEBORGS LÄN</t>
        </is>
      </c>
      <c r="E9145" t="inlineStr">
        <is>
          <t>BOLLNÄS</t>
        </is>
      </c>
      <c r="G9145" t="n">
        <v>12.7</v>
      </c>
      <c r="H9145" t="n">
        <v>0</v>
      </c>
      <c r="I9145" t="n">
        <v>0</v>
      </c>
      <c r="J9145" t="n">
        <v>0</v>
      </c>
      <c r="K9145" t="n">
        <v>0</v>
      </c>
      <c r="L9145" t="n">
        <v>0</v>
      </c>
      <c r="M9145" t="n">
        <v>0</v>
      </c>
      <c r="N9145" t="n">
        <v>0</v>
      </c>
      <c r="O9145" t="n">
        <v>0</v>
      </c>
      <c r="P9145" t="n">
        <v>0</v>
      </c>
      <c r="Q9145" t="n">
        <v>0</v>
      </c>
      <c r="R9145" s="2" t="inlineStr"/>
    </row>
    <row r="9146" ht="15" customHeight="1">
      <c r="A9146" t="inlineStr">
        <is>
          <t>A 8574-2026</t>
        </is>
      </c>
      <c r="B9146" s="1" t="n">
        <v>46065.69568287037</v>
      </c>
      <c r="C9146" s="1" t="n">
        <v>46086</v>
      </c>
      <c r="D9146" t="inlineStr">
        <is>
          <t>GÄVLEBORGS LÄN</t>
        </is>
      </c>
      <c r="E9146" t="inlineStr">
        <is>
          <t>SANDVIKEN</t>
        </is>
      </c>
      <c r="G9146" t="n">
        <v>4.1</v>
      </c>
      <c r="H9146" t="n">
        <v>0</v>
      </c>
      <c r="I9146" t="n">
        <v>0</v>
      </c>
      <c r="J9146" t="n">
        <v>0</v>
      </c>
      <c r="K9146" t="n">
        <v>0</v>
      </c>
      <c r="L9146" t="n">
        <v>0</v>
      </c>
      <c r="M9146" t="n">
        <v>0</v>
      </c>
      <c r="N9146" t="n">
        <v>0</v>
      </c>
      <c r="O9146" t="n">
        <v>0</v>
      </c>
      <c r="P9146" t="n">
        <v>0</v>
      </c>
      <c r="Q9146" t="n">
        <v>0</v>
      </c>
      <c r="R9146" s="2" t="inlineStr"/>
    </row>
    <row r="9147" ht="15" customHeight="1">
      <c r="A9147" t="inlineStr">
        <is>
          <t>A 5914-2025</t>
        </is>
      </c>
      <c r="B9147" s="1" t="n">
        <v>45695</v>
      </c>
      <c r="C9147" s="1" t="n">
        <v>46086</v>
      </c>
      <c r="D9147" t="inlineStr">
        <is>
          <t>GÄVLEBORGS LÄN</t>
        </is>
      </c>
      <c r="E9147" t="inlineStr">
        <is>
          <t>GÄVLE</t>
        </is>
      </c>
      <c r="F9147" t="inlineStr">
        <is>
          <t>Bergvik skog öst AB</t>
        </is>
      </c>
      <c r="G9147" t="n">
        <v>6.5</v>
      </c>
      <c r="H9147" t="n">
        <v>0</v>
      </c>
      <c r="I9147" t="n">
        <v>0</v>
      </c>
      <c r="J9147" t="n">
        <v>0</v>
      </c>
      <c r="K9147" t="n">
        <v>0</v>
      </c>
      <c r="L9147" t="n">
        <v>0</v>
      </c>
      <c r="M9147" t="n">
        <v>0</v>
      </c>
      <c r="N9147" t="n">
        <v>0</v>
      </c>
      <c r="O9147" t="n">
        <v>0</v>
      </c>
      <c r="P9147" t="n">
        <v>0</v>
      </c>
      <c r="Q9147" t="n">
        <v>0</v>
      </c>
      <c r="R9147" s="2" t="inlineStr"/>
    </row>
    <row r="9148" ht="15" customHeight="1">
      <c r="A9148" t="inlineStr">
        <is>
          <t>A 8896-2026</t>
        </is>
      </c>
      <c r="B9148" s="1" t="n">
        <v>46068.45523148148</v>
      </c>
      <c r="C9148" s="1" t="n">
        <v>46086</v>
      </c>
      <c r="D9148" t="inlineStr">
        <is>
          <t>GÄVLEBORGS LÄN</t>
        </is>
      </c>
      <c r="E9148" t="inlineStr">
        <is>
          <t>OVANÅKER</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8910-2026</t>
        </is>
      </c>
      <c r="B9149" s="1" t="n">
        <v>46069.27225694444</v>
      </c>
      <c r="C9149" s="1" t="n">
        <v>46086</v>
      </c>
      <c r="D9149" t="inlineStr">
        <is>
          <t>GÄVLEBORGS LÄN</t>
        </is>
      </c>
      <c r="E9149" t="inlineStr">
        <is>
          <t>OVANÅKER</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20312-2025</t>
        </is>
      </c>
      <c r="B9150" s="1" t="n">
        <v>45775.30450231482</v>
      </c>
      <c r="C9150" s="1" t="n">
        <v>46086</v>
      </c>
      <c r="D9150" t="inlineStr">
        <is>
          <t>GÄVLEBORGS LÄN</t>
        </is>
      </c>
      <c r="E9150" t="inlineStr">
        <is>
          <t>SÖDERHAMN</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8916-2026</t>
        </is>
      </c>
      <c r="B9151" s="1" t="n">
        <v>46069.31414351852</v>
      </c>
      <c r="C9151" s="1" t="n">
        <v>46086</v>
      </c>
      <c r="D9151" t="inlineStr">
        <is>
          <t>GÄVLEBORGS LÄN</t>
        </is>
      </c>
      <c r="E9151" t="inlineStr">
        <is>
          <t>BOLLNÄS</t>
        </is>
      </c>
      <c r="G9151" t="n">
        <v>3.4</v>
      </c>
      <c r="H9151" t="n">
        <v>0</v>
      </c>
      <c r="I9151" t="n">
        <v>0</v>
      </c>
      <c r="J9151" t="n">
        <v>0</v>
      </c>
      <c r="K9151" t="n">
        <v>0</v>
      </c>
      <c r="L9151" t="n">
        <v>0</v>
      </c>
      <c r="M9151" t="n">
        <v>0</v>
      </c>
      <c r="N9151" t="n">
        <v>0</v>
      </c>
      <c r="O9151" t="n">
        <v>0</v>
      </c>
      <c r="P9151" t="n">
        <v>0</v>
      </c>
      <c r="Q9151" t="n">
        <v>0</v>
      </c>
      <c r="R9151" s="2" t="inlineStr"/>
    </row>
    <row r="9152" ht="15" customHeight="1">
      <c r="A9152" t="inlineStr">
        <is>
          <t>A 61622-2025</t>
        </is>
      </c>
      <c r="B9152" s="1" t="n">
        <v>46002.39645833334</v>
      </c>
      <c r="C9152" s="1" t="n">
        <v>46086</v>
      </c>
      <c r="D9152" t="inlineStr">
        <is>
          <t>GÄVLEBORGS LÄN</t>
        </is>
      </c>
      <c r="E9152" t="inlineStr">
        <is>
          <t>BOLLNÄS</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205-2026</t>
        </is>
      </c>
      <c r="B9153" s="1" t="n">
        <v>46026</v>
      </c>
      <c r="C9153" s="1" t="n">
        <v>46086</v>
      </c>
      <c r="D9153" t="inlineStr">
        <is>
          <t>GÄVLEBORGS LÄN</t>
        </is>
      </c>
      <c r="E9153" t="inlineStr">
        <is>
          <t>BOLLNÄS</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210-2026</t>
        </is>
      </c>
      <c r="B9154" s="1" t="n">
        <v>46026</v>
      </c>
      <c r="C9154" s="1" t="n">
        <v>46086</v>
      </c>
      <c r="D9154" t="inlineStr">
        <is>
          <t>GÄVLEBORGS LÄN</t>
        </is>
      </c>
      <c r="E9154" t="inlineStr">
        <is>
          <t>HUDIKSVALL</t>
        </is>
      </c>
      <c r="G9154" t="n">
        <v>3.7</v>
      </c>
      <c r="H9154" t="n">
        <v>0</v>
      </c>
      <c r="I9154" t="n">
        <v>0</v>
      </c>
      <c r="J9154" t="n">
        <v>0</v>
      </c>
      <c r="K9154" t="n">
        <v>0</v>
      </c>
      <c r="L9154" t="n">
        <v>0</v>
      </c>
      <c r="M9154" t="n">
        <v>0</v>
      </c>
      <c r="N9154" t="n">
        <v>0</v>
      </c>
      <c r="O9154" t="n">
        <v>0</v>
      </c>
      <c r="P9154" t="n">
        <v>0</v>
      </c>
      <c r="Q9154" t="n">
        <v>0</v>
      </c>
      <c r="R9154" s="2" t="inlineStr"/>
    </row>
    <row r="9155" ht="15" customHeight="1">
      <c r="A9155" t="inlineStr">
        <is>
          <t>A 341-2026</t>
        </is>
      </c>
      <c r="B9155" s="1" t="n">
        <v>46027</v>
      </c>
      <c r="C9155" s="1" t="n">
        <v>46086</v>
      </c>
      <c r="D9155" t="inlineStr">
        <is>
          <t>GÄVLEBORGS LÄN</t>
        </is>
      </c>
      <c r="E9155" t="inlineStr">
        <is>
          <t>HOFORS</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346-2026</t>
        </is>
      </c>
      <c r="B9156" s="1" t="n">
        <v>46027.61621527778</v>
      </c>
      <c r="C9156" s="1" t="n">
        <v>46086</v>
      </c>
      <c r="D9156" t="inlineStr">
        <is>
          <t>GÄVLEBORGS LÄN</t>
        </is>
      </c>
      <c r="E9156" t="inlineStr">
        <is>
          <t>OCKELBO</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17137-2024</t>
        </is>
      </c>
      <c r="B9157" s="1" t="n">
        <v>45412.62738425926</v>
      </c>
      <c r="C9157" s="1" t="n">
        <v>46086</v>
      </c>
      <c r="D9157" t="inlineStr">
        <is>
          <t>GÄVLEBORGS LÄN</t>
        </is>
      </c>
      <c r="E9157" t="inlineStr">
        <is>
          <t>OVANÅKER</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8663-2026</t>
        </is>
      </c>
      <c r="B9158" s="1" t="n">
        <v>46066.38159722222</v>
      </c>
      <c r="C9158" s="1" t="n">
        <v>46086</v>
      </c>
      <c r="D9158" t="inlineStr">
        <is>
          <t>GÄVLEBORGS LÄN</t>
        </is>
      </c>
      <c r="E9158" t="inlineStr">
        <is>
          <t>SÖDERHAMN</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8670-2026</t>
        </is>
      </c>
      <c r="B9159" s="1" t="n">
        <v>46066.39653935185</v>
      </c>
      <c r="C9159" s="1" t="n">
        <v>46086</v>
      </c>
      <c r="D9159" t="inlineStr">
        <is>
          <t>GÄVLEBORGS LÄN</t>
        </is>
      </c>
      <c r="E9159" t="inlineStr">
        <is>
          <t>BOLLNÄS</t>
        </is>
      </c>
      <c r="G9159" t="n">
        <v>12.2</v>
      </c>
      <c r="H9159" t="n">
        <v>0</v>
      </c>
      <c r="I9159" t="n">
        <v>0</v>
      </c>
      <c r="J9159" t="n">
        <v>0</v>
      </c>
      <c r="K9159" t="n">
        <v>0</v>
      </c>
      <c r="L9159" t="n">
        <v>0</v>
      </c>
      <c r="M9159" t="n">
        <v>0</v>
      </c>
      <c r="N9159" t="n">
        <v>0</v>
      </c>
      <c r="O9159" t="n">
        <v>0</v>
      </c>
      <c r="P9159" t="n">
        <v>0</v>
      </c>
      <c r="Q9159" t="n">
        <v>0</v>
      </c>
      <c r="R9159" s="2" t="inlineStr"/>
    </row>
    <row r="9160" ht="15" customHeight="1">
      <c r="A9160" t="inlineStr">
        <is>
          <t>A 8671-2026</t>
        </is>
      </c>
      <c r="B9160" s="1" t="n">
        <v>46066.39734953704</v>
      </c>
      <c r="C9160" s="1" t="n">
        <v>46086</v>
      </c>
      <c r="D9160" t="inlineStr">
        <is>
          <t>GÄVLEBORGS LÄN</t>
        </is>
      </c>
      <c r="E9160" t="inlineStr">
        <is>
          <t>OCKELBO</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39597-2024</t>
        </is>
      </c>
      <c r="B9161" s="1" t="n">
        <v>45552.37586805555</v>
      </c>
      <c r="C9161" s="1" t="n">
        <v>46086</v>
      </c>
      <c r="D9161" t="inlineStr">
        <is>
          <t>GÄVLEBORGS LÄN</t>
        </is>
      </c>
      <c r="E9161" t="inlineStr">
        <is>
          <t>LJUSDAL</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61456-2024</t>
        </is>
      </c>
      <c r="B9162" s="1" t="n">
        <v>45646.4966087963</v>
      </c>
      <c r="C9162" s="1" t="n">
        <v>46086</v>
      </c>
      <c r="D9162" t="inlineStr">
        <is>
          <t>GÄVLEBORGS LÄN</t>
        </is>
      </c>
      <c r="E9162" t="inlineStr">
        <is>
          <t>OCKELBO</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8699-2026</t>
        </is>
      </c>
      <c r="B9163" s="1" t="n">
        <v>46066.45918981481</v>
      </c>
      <c r="C9163" s="1" t="n">
        <v>46086</v>
      </c>
      <c r="D9163" t="inlineStr">
        <is>
          <t>GÄVLEBORGS LÄN</t>
        </is>
      </c>
      <c r="E9163" t="inlineStr">
        <is>
          <t>OVANÅKER</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8968-2026</t>
        </is>
      </c>
      <c r="B9164" s="1" t="n">
        <v>46069.43027777778</v>
      </c>
      <c r="C9164" s="1" t="n">
        <v>46086</v>
      </c>
      <c r="D9164" t="inlineStr">
        <is>
          <t>GÄVLEBORGS LÄN</t>
        </is>
      </c>
      <c r="E9164" t="inlineStr">
        <is>
          <t>NORDANSTIG</t>
        </is>
      </c>
      <c r="G9164" t="n">
        <v>3</v>
      </c>
      <c r="H9164" t="n">
        <v>0</v>
      </c>
      <c r="I9164" t="n">
        <v>0</v>
      </c>
      <c r="J9164" t="n">
        <v>0</v>
      </c>
      <c r="K9164" t="n">
        <v>0</v>
      </c>
      <c r="L9164" t="n">
        <v>0</v>
      </c>
      <c r="M9164" t="n">
        <v>0</v>
      </c>
      <c r="N9164" t="n">
        <v>0</v>
      </c>
      <c r="O9164" t="n">
        <v>0</v>
      </c>
      <c r="P9164" t="n">
        <v>0</v>
      </c>
      <c r="Q9164" t="n">
        <v>0</v>
      </c>
      <c r="R9164" s="2" t="inlineStr"/>
    </row>
    <row r="9165" ht="15" customHeight="1">
      <c r="A9165" t="inlineStr">
        <is>
          <t>A 18874-2025</t>
        </is>
      </c>
      <c r="B9165" s="1" t="n">
        <v>45764.43357638889</v>
      </c>
      <c r="C9165" s="1" t="n">
        <v>46086</v>
      </c>
      <c r="D9165" t="inlineStr">
        <is>
          <t>GÄVLEBORGS LÄN</t>
        </is>
      </c>
      <c r="E9165" t="inlineStr">
        <is>
          <t>GÄVLE</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18876-2025</t>
        </is>
      </c>
      <c r="B9166" s="1" t="n">
        <v>45764.43528935185</v>
      </c>
      <c r="C9166" s="1" t="n">
        <v>46086</v>
      </c>
      <c r="D9166" t="inlineStr">
        <is>
          <t>GÄVLEBORGS LÄN</t>
        </is>
      </c>
      <c r="E9166" t="inlineStr">
        <is>
          <t>GÄVLE</t>
        </is>
      </c>
      <c r="G9166" t="n">
        <v>3.5</v>
      </c>
      <c r="H9166" t="n">
        <v>0</v>
      </c>
      <c r="I9166" t="n">
        <v>0</v>
      </c>
      <c r="J9166" t="n">
        <v>0</v>
      </c>
      <c r="K9166" t="n">
        <v>0</v>
      </c>
      <c r="L9166" t="n">
        <v>0</v>
      </c>
      <c r="M9166" t="n">
        <v>0</v>
      </c>
      <c r="N9166" t="n">
        <v>0</v>
      </c>
      <c r="O9166" t="n">
        <v>0</v>
      </c>
      <c r="P9166" t="n">
        <v>0</v>
      </c>
      <c r="Q9166" t="n">
        <v>0</v>
      </c>
      <c r="R9166" s="2" t="inlineStr"/>
    </row>
    <row r="9167" ht="15" customHeight="1">
      <c r="A9167" t="inlineStr">
        <is>
          <t>A 595-2026</t>
        </is>
      </c>
      <c r="B9167" s="1" t="n">
        <v>46027</v>
      </c>
      <c r="C9167" s="1" t="n">
        <v>46086</v>
      </c>
      <c r="D9167" t="inlineStr">
        <is>
          <t>GÄVLEBORGS LÄN</t>
        </is>
      </c>
      <c r="E9167" t="inlineStr">
        <is>
          <t>BOLLNÄS</t>
        </is>
      </c>
      <c r="G9167" t="n">
        <v>3.7</v>
      </c>
      <c r="H9167" t="n">
        <v>0</v>
      </c>
      <c r="I9167" t="n">
        <v>0</v>
      </c>
      <c r="J9167" t="n">
        <v>0</v>
      </c>
      <c r="K9167" t="n">
        <v>0</v>
      </c>
      <c r="L9167" t="n">
        <v>0</v>
      </c>
      <c r="M9167" t="n">
        <v>0</v>
      </c>
      <c r="N9167" t="n">
        <v>0</v>
      </c>
      <c r="O9167" t="n">
        <v>0</v>
      </c>
      <c r="P9167" t="n">
        <v>0</v>
      </c>
      <c r="Q9167" t="n">
        <v>0</v>
      </c>
      <c r="R9167" s="2" t="inlineStr"/>
    </row>
    <row r="9168" ht="15" customHeight="1">
      <c r="A9168" t="inlineStr">
        <is>
          <t>A 18912-2025</t>
        </is>
      </c>
      <c r="B9168" s="1" t="n">
        <v>45764.46554398148</v>
      </c>
      <c r="C9168" s="1" t="n">
        <v>46086</v>
      </c>
      <c r="D9168" t="inlineStr">
        <is>
          <t>GÄVLEBORGS LÄN</t>
        </is>
      </c>
      <c r="E9168" t="inlineStr">
        <is>
          <t>HUDIKSVALL</t>
        </is>
      </c>
      <c r="F9168" t="inlineStr">
        <is>
          <t>Holmen skog AB</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18920-2025</t>
        </is>
      </c>
      <c r="B9169" s="1" t="n">
        <v>45764.47677083333</v>
      </c>
      <c r="C9169" s="1" t="n">
        <v>46086</v>
      </c>
      <c r="D9169" t="inlineStr">
        <is>
          <t>GÄVLEBORGS LÄN</t>
        </is>
      </c>
      <c r="E9169" t="inlineStr">
        <is>
          <t>SÖDERHAMN</t>
        </is>
      </c>
      <c r="F9169" t="inlineStr">
        <is>
          <t>Kommuner</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18971-2025</t>
        </is>
      </c>
      <c r="B9170" s="1" t="n">
        <v>45764.53803240741</v>
      </c>
      <c r="C9170" s="1" t="n">
        <v>46086</v>
      </c>
      <c r="D9170" t="inlineStr">
        <is>
          <t>GÄVLEBORGS LÄN</t>
        </is>
      </c>
      <c r="E9170" t="inlineStr">
        <is>
          <t>LJUSDAL</t>
        </is>
      </c>
      <c r="F9170" t="inlineStr">
        <is>
          <t>Sveaskog</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8918-2026</t>
        </is>
      </c>
      <c r="B9171" s="1" t="n">
        <v>46069.32892361111</v>
      </c>
      <c r="C9171" s="1" t="n">
        <v>46086</v>
      </c>
      <c r="D9171" t="inlineStr">
        <is>
          <t>GÄVLEBORGS LÄN</t>
        </is>
      </c>
      <c r="E9171" t="inlineStr">
        <is>
          <t>BOLLNÄS</t>
        </is>
      </c>
      <c r="G9171" t="n">
        <v>12.1</v>
      </c>
      <c r="H9171" t="n">
        <v>0</v>
      </c>
      <c r="I9171" t="n">
        <v>0</v>
      </c>
      <c r="J9171" t="n">
        <v>0</v>
      </c>
      <c r="K9171" t="n">
        <v>0</v>
      </c>
      <c r="L9171" t="n">
        <v>0</v>
      </c>
      <c r="M9171" t="n">
        <v>0</v>
      </c>
      <c r="N9171" t="n">
        <v>0</v>
      </c>
      <c r="O9171" t="n">
        <v>0</v>
      </c>
      <c r="P9171" t="n">
        <v>0</v>
      </c>
      <c r="Q9171" t="n">
        <v>0</v>
      </c>
      <c r="R9171" s="2" t="inlineStr"/>
    </row>
    <row r="9172" ht="15" customHeight="1">
      <c r="A9172" t="inlineStr">
        <is>
          <t>A 8925-2026</t>
        </is>
      </c>
      <c r="B9172" s="1" t="n">
        <v>46069.34194444444</v>
      </c>
      <c r="C9172" s="1" t="n">
        <v>46086</v>
      </c>
      <c r="D9172" t="inlineStr">
        <is>
          <t>GÄVLEBORGS LÄN</t>
        </is>
      </c>
      <c r="E9172" t="inlineStr">
        <is>
          <t>LJUSDAL</t>
        </is>
      </c>
      <c r="F9172" t="inlineStr">
        <is>
          <t>Övriga Aktiebolag</t>
        </is>
      </c>
      <c r="G9172" t="n">
        <v>3.6</v>
      </c>
      <c r="H9172" t="n">
        <v>0</v>
      </c>
      <c r="I9172" t="n">
        <v>0</v>
      </c>
      <c r="J9172" t="n">
        <v>0</v>
      </c>
      <c r="K9172" t="n">
        <v>0</v>
      </c>
      <c r="L9172" t="n">
        <v>0</v>
      </c>
      <c r="M9172" t="n">
        <v>0</v>
      </c>
      <c r="N9172" t="n">
        <v>0</v>
      </c>
      <c r="O9172" t="n">
        <v>0</v>
      </c>
      <c r="P9172" t="n">
        <v>0</v>
      </c>
      <c r="Q9172" t="n">
        <v>0</v>
      </c>
      <c r="R9172" s="2" t="inlineStr"/>
    </row>
    <row r="9173" ht="15" customHeight="1">
      <c r="A9173" t="inlineStr">
        <is>
          <t>A 246-2026</t>
        </is>
      </c>
      <c r="B9173" s="1" t="n">
        <v>46027</v>
      </c>
      <c r="C9173" s="1" t="n">
        <v>46086</v>
      </c>
      <c r="D9173" t="inlineStr">
        <is>
          <t>GÄVLEBORGS LÄN</t>
        </is>
      </c>
      <c r="E9173" t="inlineStr">
        <is>
          <t>BOLLNÄS</t>
        </is>
      </c>
      <c r="G9173" t="n">
        <v>3.5</v>
      </c>
      <c r="H9173" t="n">
        <v>0</v>
      </c>
      <c r="I9173" t="n">
        <v>0</v>
      </c>
      <c r="J9173" t="n">
        <v>0</v>
      </c>
      <c r="K9173" t="n">
        <v>0</v>
      </c>
      <c r="L9173" t="n">
        <v>0</v>
      </c>
      <c r="M9173" t="n">
        <v>0</v>
      </c>
      <c r="N9173" t="n">
        <v>0</v>
      </c>
      <c r="O9173" t="n">
        <v>0</v>
      </c>
      <c r="P9173" t="n">
        <v>0</v>
      </c>
      <c r="Q9173" t="n">
        <v>0</v>
      </c>
      <c r="R9173" s="2" t="inlineStr"/>
    </row>
    <row r="9174" ht="15" customHeight="1">
      <c r="A9174" t="inlineStr">
        <is>
          <t>A 9018-2026</t>
        </is>
      </c>
      <c r="B9174" s="1" t="n">
        <v>46069.49256944445</v>
      </c>
      <c r="C9174" s="1" t="n">
        <v>46086</v>
      </c>
      <c r="D9174" t="inlineStr">
        <is>
          <t>GÄVLEBORGS LÄN</t>
        </is>
      </c>
      <c r="E9174" t="inlineStr">
        <is>
          <t>GÄVLE</t>
        </is>
      </c>
      <c r="G9174" t="n">
        <v>6.4</v>
      </c>
      <c r="H9174" t="n">
        <v>0</v>
      </c>
      <c r="I9174" t="n">
        <v>0</v>
      </c>
      <c r="J9174" t="n">
        <v>0</v>
      </c>
      <c r="K9174" t="n">
        <v>0</v>
      </c>
      <c r="L9174" t="n">
        <v>0</v>
      </c>
      <c r="M9174" t="n">
        <v>0</v>
      </c>
      <c r="N9174" t="n">
        <v>0</v>
      </c>
      <c r="O9174" t="n">
        <v>0</v>
      </c>
      <c r="P9174" t="n">
        <v>0</v>
      </c>
      <c r="Q9174" t="n">
        <v>0</v>
      </c>
      <c r="R9174" s="2" t="inlineStr"/>
    </row>
    <row r="9175" ht="15" customHeight="1">
      <c r="A9175" t="inlineStr">
        <is>
          <t>A 9032-2026</t>
        </is>
      </c>
      <c r="B9175" s="1" t="n">
        <v>46069.5162037037</v>
      </c>
      <c r="C9175" s="1" t="n">
        <v>46086</v>
      </c>
      <c r="D9175" t="inlineStr">
        <is>
          <t>GÄVLEBORGS LÄN</t>
        </is>
      </c>
      <c r="E9175" t="inlineStr">
        <is>
          <t>NORDANSTIG</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7053-2026</t>
        </is>
      </c>
      <c r="B9176" s="1" t="n">
        <v>46057.7434375</v>
      </c>
      <c r="C9176" s="1" t="n">
        <v>46086</v>
      </c>
      <c r="D9176" t="inlineStr">
        <is>
          <t>GÄVLEBORGS LÄN</t>
        </is>
      </c>
      <c r="E9176" t="inlineStr">
        <is>
          <t>HUDIKSVALL</t>
        </is>
      </c>
      <c r="F9176" t="inlineStr">
        <is>
          <t>Holmen skog AB</t>
        </is>
      </c>
      <c r="G9176" t="n">
        <v>2.5</v>
      </c>
      <c r="H9176" t="n">
        <v>0</v>
      </c>
      <c r="I9176" t="n">
        <v>0</v>
      </c>
      <c r="J9176" t="n">
        <v>0</v>
      </c>
      <c r="K9176" t="n">
        <v>0</v>
      </c>
      <c r="L9176" t="n">
        <v>0</v>
      </c>
      <c r="M9176" t="n">
        <v>0</v>
      </c>
      <c r="N9176" t="n">
        <v>0</v>
      </c>
      <c r="O9176" t="n">
        <v>0</v>
      </c>
      <c r="P9176" t="n">
        <v>0</v>
      </c>
      <c r="Q9176" t="n">
        <v>0</v>
      </c>
      <c r="R9176" s="2" t="inlineStr"/>
    </row>
    <row r="9177" ht="15" customHeight="1">
      <c r="A9177" t="inlineStr">
        <is>
          <t>A 9129-2026</t>
        </is>
      </c>
      <c r="B9177" s="1" t="n">
        <v>46069.70851851852</v>
      </c>
      <c r="C9177" s="1" t="n">
        <v>46086</v>
      </c>
      <c r="D9177" t="inlineStr">
        <is>
          <t>GÄVLEBORGS LÄN</t>
        </is>
      </c>
      <c r="E9177" t="inlineStr">
        <is>
          <t>GÄVLE</t>
        </is>
      </c>
      <c r="G9177" t="n">
        <v>3.8</v>
      </c>
      <c r="H9177" t="n">
        <v>0</v>
      </c>
      <c r="I9177" t="n">
        <v>0</v>
      </c>
      <c r="J9177" t="n">
        <v>0</v>
      </c>
      <c r="K9177" t="n">
        <v>0</v>
      </c>
      <c r="L9177" t="n">
        <v>0</v>
      </c>
      <c r="M9177" t="n">
        <v>0</v>
      </c>
      <c r="N9177" t="n">
        <v>0</v>
      </c>
      <c r="O9177" t="n">
        <v>0</v>
      </c>
      <c r="P9177" t="n">
        <v>0</v>
      </c>
      <c r="Q9177" t="n">
        <v>0</v>
      </c>
      <c r="R9177" s="2" t="inlineStr"/>
    </row>
    <row r="9178" ht="15" customHeight="1">
      <c r="A9178" t="inlineStr">
        <is>
          <t>A 8631-2026</t>
        </is>
      </c>
      <c r="B9178" s="1" t="n">
        <v>46066.34541666666</v>
      </c>
      <c r="C9178" s="1" t="n">
        <v>46086</v>
      </c>
      <c r="D9178" t="inlineStr">
        <is>
          <t>GÄVLEBORGS LÄN</t>
        </is>
      </c>
      <c r="E9178" t="inlineStr">
        <is>
          <t>SÖDERHAMN</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8715-2026</t>
        </is>
      </c>
      <c r="B9179" s="1" t="n">
        <v>46066.48649305556</v>
      </c>
      <c r="C9179" s="1" t="n">
        <v>46086</v>
      </c>
      <c r="D9179" t="inlineStr">
        <is>
          <t>GÄVLEBORGS LÄN</t>
        </is>
      </c>
      <c r="E9179" t="inlineStr">
        <is>
          <t>SÖDERHAMN</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8719-2026</t>
        </is>
      </c>
      <c r="B9180" s="1" t="n">
        <v>46066.48733796296</v>
      </c>
      <c r="C9180" s="1" t="n">
        <v>46086</v>
      </c>
      <c r="D9180" t="inlineStr">
        <is>
          <t>GÄVLEBORGS LÄN</t>
        </is>
      </c>
      <c r="E9180" t="inlineStr">
        <is>
          <t>SANDVIKEN</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8712-2026</t>
        </is>
      </c>
      <c r="B9181" s="1" t="n">
        <v>46066.48236111111</v>
      </c>
      <c r="C9181" s="1" t="n">
        <v>46086</v>
      </c>
      <c r="D9181" t="inlineStr">
        <is>
          <t>GÄVLEBORGS LÄN</t>
        </is>
      </c>
      <c r="E9181" t="inlineStr">
        <is>
          <t>OCKELBO</t>
        </is>
      </c>
      <c r="F9181" t="inlineStr">
        <is>
          <t>Bergvik skog väst AB</t>
        </is>
      </c>
      <c r="G9181" t="n">
        <v>1.9</v>
      </c>
      <c r="H9181" t="n">
        <v>0</v>
      </c>
      <c r="I9181" t="n">
        <v>0</v>
      </c>
      <c r="J9181" t="n">
        <v>0</v>
      </c>
      <c r="K9181" t="n">
        <v>0</v>
      </c>
      <c r="L9181" t="n">
        <v>0</v>
      </c>
      <c r="M9181" t="n">
        <v>0</v>
      </c>
      <c r="N9181" t="n">
        <v>0</v>
      </c>
      <c r="O9181" t="n">
        <v>0</v>
      </c>
      <c r="P9181" t="n">
        <v>0</v>
      </c>
      <c r="Q9181" t="n">
        <v>0</v>
      </c>
      <c r="R9181" s="2" t="inlineStr"/>
    </row>
    <row r="9182" ht="15" customHeight="1">
      <c r="A9182" t="inlineStr">
        <is>
          <t>A 27-2026</t>
        </is>
      </c>
      <c r="B9182" s="1" t="n">
        <v>46024.31964120371</v>
      </c>
      <c r="C9182" s="1" t="n">
        <v>46086</v>
      </c>
      <c r="D9182" t="inlineStr">
        <is>
          <t>GÄVLEBORGS LÄN</t>
        </is>
      </c>
      <c r="E9182" t="inlineStr">
        <is>
          <t>BOLLNÄS</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29-2026</t>
        </is>
      </c>
      <c r="B9183" s="1" t="n">
        <v>46024</v>
      </c>
      <c r="C9183" s="1" t="n">
        <v>46086</v>
      </c>
      <c r="D9183" t="inlineStr">
        <is>
          <t>GÄVLEBORGS LÄN</t>
        </is>
      </c>
      <c r="E9183" t="inlineStr">
        <is>
          <t>LJUSDAL</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25904-2024</t>
        </is>
      </c>
      <c r="B9184" s="1" t="n">
        <v>45467.57811342592</v>
      </c>
      <c r="C9184" s="1" t="n">
        <v>46086</v>
      </c>
      <c r="D9184" t="inlineStr">
        <is>
          <t>GÄVLEBORGS LÄN</t>
        </is>
      </c>
      <c r="E9184" t="inlineStr">
        <is>
          <t>SÖDERHAMN</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8974-2026</t>
        </is>
      </c>
      <c r="B9185" s="1" t="n">
        <v>46069.43674768518</v>
      </c>
      <c r="C9185" s="1" t="n">
        <v>46086</v>
      </c>
      <c r="D9185" t="inlineStr">
        <is>
          <t>GÄVLEBORGS LÄN</t>
        </is>
      </c>
      <c r="E9185" t="inlineStr">
        <is>
          <t>NORDANSTIG</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8652-2026</t>
        </is>
      </c>
      <c r="B9186" s="1" t="n">
        <v>46066.36796296296</v>
      </c>
      <c r="C9186" s="1" t="n">
        <v>46086</v>
      </c>
      <c r="D9186" t="inlineStr">
        <is>
          <t>GÄVLEBORGS LÄN</t>
        </is>
      </c>
      <c r="E9186" t="inlineStr">
        <is>
          <t>OVANÅKER</t>
        </is>
      </c>
      <c r="G9186" t="n">
        <v>9</v>
      </c>
      <c r="H9186" t="n">
        <v>0</v>
      </c>
      <c r="I9186" t="n">
        <v>0</v>
      </c>
      <c r="J9186" t="n">
        <v>0</v>
      </c>
      <c r="K9186" t="n">
        <v>0</v>
      </c>
      <c r="L9186" t="n">
        <v>0</v>
      </c>
      <c r="M9186" t="n">
        <v>0</v>
      </c>
      <c r="N9186" t="n">
        <v>0</v>
      </c>
      <c r="O9186" t="n">
        <v>0</v>
      </c>
      <c r="P9186" t="n">
        <v>0</v>
      </c>
      <c r="Q9186" t="n">
        <v>0</v>
      </c>
      <c r="R9186" s="2" t="inlineStr"/>
    </row>
    <row r="9187" ht="15" customHeight="1">
      <c r="A9187" t="inlineStr">
        <is>
          <t>A 8680-2026</t>
        </is>
      </c>
      <c r="B9187" s="1" t="n">
        <v>46066.41321759259</v>
      </c>
      <c r="C9187" s="1" t="n">
        <v>46086</v>
      </c>
      <c r="D9187" t="inlineStr">
        <is>
          <t>GÄVLEBORGS LÄN</t>
        </is>
      </c>
      <c r="E9187" t="inlineStr">
        <is>
          <t>GÄVLE</t>
        </is>
      </c>
      <c r="F9187" t="inlineStr">
        <is>
          <t>Bergvik skog väst AB</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8683-2026</t>
        </is>
      </c>
      <c r="B9188" s="1" t="n">
        <v>46066.42578703703</v>
      </c>
      <c r="C9188" s="1" t="n">
        <v>46086</v>
      </c>
      <c r="D9188" t="inlineStr">
        <is>
          <t>GÄVLEBORGS LÄN</t>
        </is>
      </c>
      <c r="E9188" t="inlineStr">
        <is>
          <t>OCKELBO</t>
        </is>
      </c>
      <c r="G9188" t="n">
        <v>6.4</v>
      </c>
      <c r="H9188" t="n">
        <v>0</v>
      </c>
      <c r="I9188" t="n">
        <v>0</v>
      </c>
      <c r="J9188" t="n">
        <v>0</v>
      </c>
      <c r="K9188" t="n">
        <v>0</v>
      </c>
      <c r="L9188" t="n">
        <v>0</v>
      </c>
      <c r="M9188" t="n">
        <v>0</v>
      </c>
      <c r="N9188" t="n">
        <v>0</v>
      </c>
      <c r="O9188" t="n">
        <v>0</v>
      </c>
      <c r="P9188" t="n">
        <v>0</v>
      </c>
      <c r="Q9188" t="n">
        <v>0</v>
      </c>
      <c r="R9188" s="2" t="inlineStr"/>
    </row>
    <row r="9189" ht="15" customHeight="1">
      <c r="A9189" t="inlineStr">
        <is>
          <t>A 47403-2024</t>
        </is>
      </c>
      <c r="B9189" s="1" t="n">
        <v>45587.47396990741</v>
      </c>
      <c r="C9189" s="1" t="n">
        <v>46086</v>
      </c>
      <c r="D9189" t="inlineStr">
        <is>
          <t>GÄVLEBORGS LÄN</t>
        </is>
      </c>
      <c r="E9189" t="inlineStr">
        <is>
          <t>LJUSDAL</t>
        </is>
      </c>
      <c r="F9189" t="inlineStr">
        <is>
          <t>Bergvik skog väst AB</t>
        </is>
      </c>
      <c r="G9189" t="n">
        <v>0.4</v>
      </c>
      <c r="H9189" t="n">
        <v>0</v>
      </c>
      <c r="I9189" t="n">
        <v>0</v>
      </c>
      <c r="J9189" t="n">
        <v>0</v>
      </c>
      <c r="K9189" t="n">
        <v>0</v>
      </c>
      <c r="L9189" t="n">
        <v>0</v>
      </c>
      <c r="M9189" t="n">
        <v>0</v>
      </c>
      <c r="N9189" t="n">
        <v>0</v>
      </c>
      <c r="O9189" t="n">
        <v>0</v>
      </c>
      <c r="P9189" t="n">
        <v>0</v>
      </c>
      <c r="Q9189" t="n">
        <v>0</v>
      </c>
      <c r="R9189" s="2" t="inlineStr"/>
    </row>
    <row r="9190" ht="15" customHeight="1">
      <c r="A9190" t="inlineStr">
        <is>
          <t>A 30919-2024</t>
        </is>
      </c>
      <c r="B9190" s="1" t="n">
        <v>45498.67017361111</v>
      </c>
      <c r="C9190" s="1" t="n">
        <v>46086</v>
      </c>
      <c r="D9190" t="inlineStr">
        <is>
          <t>GÄVLEBORGS LÄN</t>
        </is>
      </c>
      <c r="E9190" t="inlineStr">
        <is>
          <t>OVANÅKER</t>
        </is>
      </c>
      <c r="F9190" t="inlineStr">
        <is>
          <t>Bergvik skog öst AB</t>
        </is>
      </c>
      <c r="G9190" t="n">
        <v>4</v>
      </c>
      <c r="H9190" t="n">
        <v>0</v>
      </c>
      <c r="I9190" t="n">
        <v>0</v>
      </c>
      <c r="J9190" t="n">
        <v>0</v>
      </c>
      <c r="K9190" t="n">
        <v>0</v>
      </c>
      <c r="L9190" t="n">
        <v>0</v>
      </c>
      <c r="M9190" t="n">
        <v>0</v>
      </c>
      <c r="N9190" t="n">
        <v>0</v>
      </c>
      <c r="O9190" t="n">
        <v>0</v>
      </c>
      <c r="P9190" t="n">
        <v>0</v>
      </c>
      <c r="Q9190" t="n">
        <v>0</v>
      </c>
      <c r="R9190" s="2" t="inlineStr"/>
    </row>
    <row r="9191" ht="15" customHeight="1">
      <c r="A9191" t="inlineStr">
        <is>
          <t>A 30969-2024</t>
        </is>
      </c>
      <c r="B9191" s="1" t="n">
        <v>45499.45839120371</v>
      </c>
      <c r="C9191" s="1" t="n">
        <v>46086</v>
      </c>
      <c r="D9191" t="inlineStr">
        <is>
          <t>GÄVLEBORGS LÄN</t>
        </is>
      </c>
      <c r="E9191" t="inlineStr">
        <is>
          <t>NORDANSTIG</t>
        </is>
      </c>
      <c r="F9191" t="inlineStr">
        <is>
          <t>Holmen skog AB</t>
        </is>
      </c>
      <c r="G9191" t="n">
        <v>3</v>
      </c>
      <c r="H9191" t="n">
        <v>0</v>
      </c>
      <c r="I9191" t="n">
        <v>0</v>
      </c>
      <c r="J9191" t="n">
        <v>0</v>
      </c>
      <c r="K9191" t="n">
        <v>0</v>
      </c>
      <c r="L9191" t="n">
        <v>0</v>
      </c>
      <c r="M9191" t="n">
        <v>0</v>
      </c>
      <c r="N9191" t="n">
        <v>0</v>
      </c>
      <c r="O9191" t="n">
        <v>0</v>
      </c>
      <c r="P9191" t="n">
        <v>0</v>
      </c>
      <c r="Q9191" t="n">
        <v>0</v>
      </c>
      <c r="R9191" s="2" t="inlineStr"/>
    </row>
    <row r="9192" ht="15" customHeight="1">
      <c r="A9192" t="inlineStr">
        <is>
          <t>A 30978-2024</t>
        </is>
      </c>
      <c r="B9192" s="1" t="n">
        <v>45499.48480324074</v>
      </c>
      <c r="C9192" s="1" t="n">
        <v>46086</v>
      </c>
      <c r="D9192" t="inlineStr">
        <is>
          <t>GÄVLEBORGS LÄN</t>
        </is>
      </c>
      <c r="E9192" t="inlineStr">
        <is>
          <t>NORDANSTIG</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30981-2024</t>
        </is>
      </c>
      <c r="B9193" s="1" t="n">
        <v>45499.49630787037</v>
      </c>
      <c r="C9193" s="1" t="n">
        <v>46086</v>
      </c>
      <c r="D9193" t="inlineStr">
        <is>
          <t>GÄVLEBORGS LÄN</t>
        </is>
      </c>
      <c r="E9193" t="inlineStr">
        <is>
          <t>HUDIKSVALL</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30982-2024</t>
        </is>
      </c>
      <c r="B9194" s="1" t="n">
        <v>45499.50350694444</v>
      </c>
      <c r="C9194" s="1" t="n">
        <v>46086</v>
      </c>
      <c r="D9194" t="inlineStr">
        <is>
          <t>GÄVLEBORGS LÄN</t>
        </is>
      </c>
      <c r="E9194" t="inlineStr">
        <is>
          <t>HUDIKSVALL</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34560-2023</t>
        </is>
      </c>
      <c r="B9195" s="1" t="n">
        <v>45140.51533564815</v>
      </c>
      <c r="C9195" s="1" t="n">
        <v>46086</v>
      </c>
      <c r="D9195" t="inlineStr">
        <is>
          <t>GÄVLEBORGS LÄN</t>
        </is>
      </c>
      <c r="E9195" t="inlineStr">
        <is>
          <t>NORDANSTIG</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311-2026</t>
        </is>
      </c>
      <c r="B9196" s="1" t="n">
        <v>46027</v>
      </c>
      <c r="C9196" s="1" t="n">
        <v>46086</v>
      </c>
      <c r="D9196" t="inlineStr">
        <is>
          <t>GÄVLEBORGS LÄN</t>
        </is>
      </c>
      <c r="E9196" t="inlineStr">
        <is>
          <t>HUDIKSVALL</t>
        </is>
      </c>
      <c r="G9196" t="n">
        <v>4.4</v>
      </c>
      <c r="H9196" t="n">
        <v>0</v>
      </c>
      <c r="I9196" t="n">
        <v>0</v>
      </c>
      <c r="J9196" t="n">
        <v>0</v>
      </c>
      <c r="K9196" t="n">
        <v>0</v>
      </c>
      <c r="L9196" t="n">
        <v>0</v>
      </c>
      <c r="M9196" t="n">
        <v>0</v>
      </c>
      <c r="N9196" t="n">
        <v>0</v>
      </c>
      <c r="O9196" t="n">
        <v>0</v>
      </c>
      <c r="P9196" t="n">
        <v>0</v>
      </c>
      <c r="Q9196" t="n">
        <v>0</v>
      </c>
      <c r="R9196" s="2" t="inlineStr"/>
    </row>
    <row r="9197" ht="15" customHeight="1">
      <c r="A9197" t="inlineStr">
        <is>
          <t>A 16106-2023</t>
        </is>
      </c>
      <c r="B9197" s="1" t="n">
        <v>45027</v>
      </c>
      <c r="C9197" s="1" t="n">
        <v>46086</v>
      </c>
      <c r="D9197" t="inlineStr">
        <is>
          <t>GÄVLEBORGS LÄN</t>
        </is>
      </c>
      <c r="E9197" t="inlineStr">
        <is>
          <t>SÖDERHAMN</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8827-2026</t>
        </is>
      </c>
      <c r="B9198" s="1" t="n">
        <v>46066.63379629629</v>
      </c>
      <c r="C9198" s="1" t="n">
        <v>46086</v>
      </c>
      <c r="D9198" t="inlineStr">
        <is>
          <t>GÄVLEBORGS LÄN</t>
        </is>
      </c>
      <c r="E9198" t="inlineStr">
        <is>
          <t>OVANÅKER</t>
        </is>
      </c>
      <c r="G9198" t="n">
        <v>3.7</v>
      </c>
      <c r="H9198" t="n">
        <v>0</v>
      </c>
      <c r="I9198" t="n">
        <v>0</v>
      </c>
      <c r="J9198" t="n">
        <v>0</v>
      </c>
      <c r="K9198" t="n">
        <v>0</v>
      </c>
      <c r="L9198" t="n">
        <v>0</v>
      </c>
      <c r="M9198" t="n">
        <v>0</v>
      </c>
      <c r="N9198" t="n">
        <v>0</v>
      </c>
      <c r="O9198" t="n">
        <v>0</v>
      </c>
      <c r="P9198" t="n">
        <v>0</v>
      </c>
      <c r="Q9198" t="n">
        <v>0</v>
      </c>
      <c r="R9198" s="2" t="inlineStr"/>
    </row>
    <row r="9199" ht="15" customHeight="1">
      <c r="A9199" t="inlineStr">
        <is>
          <t>A 153-2026</t>
        </is>
      </c>
      <c r="B9199" s="1" t="n">
        <v>46024.68712962963</v>
      </c>
      <c r="C9199" s="1" t="n">
        <v>46086</v>
      </c>
      <c r="D9199" t="inlineStr">
        <is>
          <t>GÄVLEBORGS LÄN</t>
        </is>
      </c>
      <c r="E9199" t="inlineStr">
        <is>
          <t>SANDVIKEN</t>
        </is>
      </c>
      <c r="G9199" t="n">
        <v>3.5</v>
      </c>
      <c r="H9199" t="n">
        <v>0</v>
      </c>
      <c r="I9199" t="n">
        <v>0</v>
      </c>
      <c r="J9199" t="n">
        <v>0</v>
      </c>
      <c r="K9199" t="n">
        <v>0</v>
      </c>
      <c r="L9199" t="n">
        <v>0</v>
      </c>
      <c r="M9199" t="n">
        <v>0</v>
      </c>
      <c r="N9199" t="n">
        <v>0</v>
      </c>
      <c r="O9199" t="n">
        <v>0</v>
      </c>
      <c r="P9199" t="n">
        <v>0</v>
      </c>
      <c r="Q9199" t="n">
        <v>0</v>
      </c>
      <c r="R9199" s="2" t="inlineStr"/>
    </row>
    <row r="9200" ht="15" customHeight="1">
      <c r="A9200" t="inlineStr">
        <is>
          <t>A 207-2026</t>
        </is>
      </c>
      <c r="B9200" s="1" t="n">
        <v>46026</v>
      </c>
      <c r="C9200" s="1" t="n">
        <v>46086</v>
      </c>
      <c r="D9200" t="inlineStr">
        <is>
          <t>GÄVLEBORGS LÄN</t>
        </is>
      </c>
      <c r="E9200" t="inlineStr">
        <is>
          <t>SÖDERHAMN</t>
        </is>
      </c>
      <c r="G9200" t="n">
        <v>9.5</v>
      </c>
      <c r="H9200" t="n">
        <v>0</v>
      </c>
      <c r="I9200" t="n">
        <v>0</v>
      </c>
      <c r="J9200" t="n">
        <v>0</v>
      </c>
      <c r="K9200" t="n">
        <v>0</v>
      </c>
      <c r="L9200" t="n">
        <v>0</v>
      </c>
      <c r="M9200" t="n">
        <v>0</v>
      </c>
      <c r="N9200" t="n">
        <v>0</v>
      </c>
      <c r="O9200" t="n">
        <v>0</v>
      </c>
      <c r="P9200" t="n">
        <v>0</v>
      </c>
      <c r="Q9200" t="n">
        <v>0</v>
      </c>
      <c r="R9200" s="2" t="inlineStr"/>
    </row>
    <row r="9201" ht="15" customHeight="1">
      <c r="A9201" t="inlineStr">
        <is>
          <t>A 244-2026</t>
        </is>
      </c>
      <c r="B9201" s="1" t="n">
        <v>46027.39123842592</v>
      </c>
      <c r="C9201" s="1" t="n">
        <v>46086</v>
      </c>
      <c r="D9201" t="inlineStr">
        <is>
          <t>GÄVLEBORGS LÄN</t>
        </is>
      </c>
      <c r="E9201" t="inlineStr">
        <is>
          <t>OCKELBO</t>
        </is>
      </c>
      <c r="G9201" t="n">
        <v>9.300000000000001</v>
      </c>
      <c r="H9201" t="n">
        <v>0</v>
      </c>
      <c r="I9201" t="n">
        <v>0</v>
      </c>
      <c r="J9201" t="n">
        <v>0</v>
      </c>
      <c r="K9201" t="n">
        <v>0</v>
      </c>
      <c r="L9201" t="n">
        <v>0</v>
      </c>
      <c r="M9201" t="n">
        <v>0</v>
      </c>
      <c r="N9201" t="n">
        <v>0</v>
      </c>
      <c r="O9201" t="n">
        <v>0</v>
      </c>
      <c r="P9201" t="n">
        <v>0</v>
      </c>
      <c r="Q9201" t="n">
        <v>0</v>
      </c>
      <c r="R9201" s="2" t="inlineStr"/>
    </row>
    <row r="9202" ht="15" customHeight="1">
      <c r="A9202" t="inlineStr">
        <is>
          <t>A 250-2026</t>
        </is>
      </c>
      <c r="B9202" s="1" t="n">
        <v>46027</v>
      </c>
      <c r="C9202" s="1" t="n">
        <v>46086</v>
      </c>
      <c r="D9202" t="inlineStr">
        <is>
          <t>GÄVLEBORGS LÄN</t>
        </is>
      </c>
      <c r="E9202" t="inlineStr">
        <is>
          <t>BOLLNÄS</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5810-2026</t>
        </is>
      </c>
      <c r="B9203" s="1" t="n">
        <v>46051</v>
      </c>
      <c r="C9203" s="1" t="n">
        <v>46086</v>
      </c>
      <c r="D9203" t="inlineStr">
        <is>
          <t>GÄVLEBORGS LÄN</t>
        </is>
      </c>
      <c r="E9203" t="inlineStr">
        <is>
          <t>OVANÅKER</t>
        </is>
      </c>
      <c r="G9203" t="n">
        <v>6.2</v>
      </c>
      <c r="H9203" t="n">
        <v>0</v>
      </c>
      <c r="I9203" t="n">
        <v>0</v>
      </c>
      <c r="J9203" t="n">
        <v>0</v>
      </c>
      <c r="K9203" t="n">
        <v>0</v>
      </c>
      <c r="L9203" t="n">
        <v>0</v>
      </c>
      <c r="M9203" t="n">
        <v>0</v>
      </c>
      <c r="N9203" t="n">
        <v>0</v>
      </c>
      <c r="O9203" t="n">
        <v>0</v>
      </c>
      <c r="P9203" t="n">
        <v>0</v>
      </c>
      <c r="Q9203" t="n">
        <v>0</v>
      </c>
      <c r="R9203" s="2" t="inlineStr"/>
    </row>
    <row r="9204" ht="15" customHeight="1">
      <c r="A9204" t="inlineStr">
        <is>
          <t>A 7295-2026</t>
        </is>
      </c>
      <c r="B9204" s="1" t="n">
        <v>46058</v>
      </c>
      <c r="C9204" s="1" t="n">
        <v>46086</v>
      </c>
      <c r="D9204" t="inlineStr">
        <is>
          <t>GÄVLEBORGS LÄN</t>
        </is>
      </c>
      <c r="E9204" t="inlineStr">
        <is>
          <t>HUDIKSVALL</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19718-2025</t>
        </is>
      </c>
      <c r="B9205" s="1" t="n">
        <v>45771.35664351852</v>
      </c>
      <c r="C9205" s="1" t="n">
        <v>46086</v>
      </c>
      <c r="D9205" t="inlineStr">
        <is>
          <t>GÄVLEBORGS LÄN</t>
        </is>
      </c>
      <c r="E9205" t="inlineStr">
        <is>
          <t>LJUSDAL</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6481-2026</t>
        </is>
      </c>
      <c r="B9206" s="1" t="n">
        <v>46056</v>
      </c>
      <c r="C9206" s="1" t="n">
        <v>46086</v>
      </c>
      <c r="D9206" t="inlineStr">
        <is>
          <t>GÄVLEBORGS LÄN</t>
        </is>
      </c>
      <c r="E9206" t="inlineStr">
        <is>
          <t>SANDVIKEN</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21-2026</t>
        </is>
      </c>
      <c r="B9207" s="1" t="n">
        <v>46023.83940972222</v>
      </c>
      <c r="C9207" s="1" t="n">
        <v>46086</v>
      </c>
      <c r="D9207" t="inlineStr">
        <is>
          <t>GÄVLEBORGS LÄN</t>
        </is>
      </c>
      <c r="E9207" t="inlineStr">
        <is>
          <t>HUDIKSVALL</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50-2026</t>
        </is>
      </c>
      <c r="B9208" s="1" t="n">
        <v>46024.41872685185</v>
      </c>
      <c r="C9208" s="1" t="n">
        <v>46086</v>
      </c>
      <c r="D9208" t="inlineStr">
        <is>
          <t>GÄVLEBORGS LÄN</t>
        </is>
      </c>
      <c r="E9208" t="inlineStr">
        <is>
          <t>BOLLNÄS</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3976-2026</t>
        </is>
      </c>
      <c r="B9209" s="1" t="n">
        <v>46044</v>
      </c>
      <c r="C9209" s="1" t="n">
        <v>46086</v>
      </c>
      <c r="D9209" t="inlineStr">
        <is>
          <t>GÄVLEBORGS LÄN</t>
        </is>
      </c>
      <c r="E9209" t="inlineStr">
        <is>
          <t>SÖDERHAMN</t>
        </is>
      </c>
      <c r="G9209" t="n">
        <v>5.3</v>
      </c>
      <c r="H9209" t="n">
        <v>0</v>
      </c>
      <c r="I9209" t="n">
        <v>0</v>
      </c>
      <c r="J9209" t="n">
        <v>0</v>
      </c>
      <c r="K9209" t="n">
        <v>0</v>
      </c>
      <c r="L9209" t="n">
        <v>0</v>
      </c>
      <c r="M9209" t="n">
        <v>0</v>
      </c>
      <c r="N9209" t="n">
        <v>0</v>
      </c>
      <c r="O9209" t="n">
        <v>0</v>
      </c>
      <c r="P9209" t="n">
        <v>0</v>
      </c>
      <c r="Q9209" t="n">
        <v>0</v>
      </c>
      <c r="R9209" s="2" t="inlineStr"/>
    </row>
    <row r="9210" ht="15" customHeight="1">
      <c r="A9210" t="inlineStr">
        <is>
          <t>A 21125-2023</t>
        </is>
      </c>
      <c r="B9210" s="1" t="n">
        <v>45062.29048611111</v>
      </c>
      <c r="C9210" s="1" t="n">
        <v>46086</v>
      </c>
      <c r="D9210" t="inlineStr">
        <is>
          <t>GÄVLEBORGS LÄN</t>
        </is>
      </c>
      <c r="E9210" t="inlineStr">
        <is>
          <t>LJUSDAL</t>
        </is>
      </c>
      <c r="F9210" t="inlineStr">
        <is>
          <t>Holmen skog AB</t>
        </is>
      </c>
      <c r="G9210" t="n">
        <v>5.9</v>
      </c>
      <c r="H9210" t="n">
        <v>0</v>
      </c>
      <c r="I9210" t="n">
        <v>0</v>
      </c>
      <c r="J9210" t="n">
        <v>0</v>
      </c>
      <c r="K9210" t="n">
        <v>0</v>
      </c>
      <c r="L9210" t="n">
        <v>0</v>
      </c>
      <c r="M9210" t="n">
        <v>0</v>
      </c>
      <c r="N9210" t="n">
        <v>0</v>
      </c>
      <c r="O9210" t="n">
        <v>0</v>
      </c>
      <c r="P9210" t="n">
        <v>0</v>
      </c>
      <c r="Q9210" t="n">
        <v>0</v>
      </c>
      <c r="R9210" s="2" t="inlineStr"/>
    </row>
    <row r="9211" ht="15" customHeight="1">
      <c r="A9211" t="inlineStr">
        <is>
          <t>A 6386-2026</t>
        </is>
      </c>
      <c r="B9211" s="1" t="n">
        <v>46055</v>
      </c>
      <c r="C9211" s="1" t="n">
        <v>46086</v>
      </c>
      <c r="D9211" t="inlineStr">
        <is>
          <t>GÄVLEBORGS LÄN</t>
        </is>
      </c>
      <c r="E9211" t="inlineStr">
        <is>
          <t>OCKELBO</t>
        </is>
      </c>
      <c r="F9211" t="inlineStr">
        <is>
          <t>Bergvik skog väst AB</t>
        </is>
      </c>
      <c r="G9211" t="n">
        <v>7.8</v>
      </c>
      <c r="H9211" t="n">
        <v>0</v>
      </c>
      <c r="I9211" t="n">
        <v>0</v>
      </c>
      <c r="J9211" t="n">
        <v>0</v>
      </c>
      <c r="K9211" t="n">
        <v>0</v>
      </c>
      <c r="L9211" t="n">
        <v>0</v>
      </c>
      <c r="M9211" t="n">
        <v>0</v>
      </c>
      <c r="N9211" t="n">
        <v>0</v>
      </c>
      <c r="O9211" t="n">
        <v>0</v>
      </c>
      <c r="P9211" t="n">
        <v>0</v>
      </c>
      <c r="Q9211" t="n">
        <v>0</v>
      </c>
      <c r="R9211" s="2" t="inlineStr"/>
    </row>
    <row r="9212" ht="15" customHeight="1">
      <c r="A9212" t="inlineStr">
        <is>
          <t>A 7791-2026</t>
        </is>
      </c>
      <c r="B9212" s="1" t="n">
        <v>46062</v>
      </c>
      <c r="C9212" s="1" t="n">
        <v>46086</v>
      </c>
      <c r="D9212" t="inlineStr">
        <is>
          <t>GÄVLEBORGS LÄN</t>
        </is>
      </c>
      <c r="E9212" t="inlineStr">
        <is>
          <t>BOLLNÄS</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201-2026</t>
        </is>
      </c>
      <c r="B9213" s="1" t="n">
        <v>46026</v>
      </c>
      <c r="C9213" s="1" t="n">
        <v>46086</v>
      </c>
      <c r="D9213" t="inlineStr">
        <is>
          <t>GÄVLEBORGS LÄN</t>
        </is>
      </c>
      <c r="E9213" t="inlineStr">
        <is>
          <t>SÖDERHAMN</t>
        </is>
      </c>
      <c r="G9213" t="n">
        <v>3.7</v>
      </c>
      <c r="H9213" t="n">
        <v>0</v>
      </c>
      <c r="I9213" t="n">
        <v>0</v>
      </c>
      <c r="J9213" t="n">
        <v>0</v>
      </c>
      <c r="K9213" t="n">
        <v>0</v>
      </c>
      <c r="L9213" t="n">
        <v>0</v>
      </c>
      <c r="M9213" t="n">
        <v>0</v>
      </c>
      <c r="N9213" t="n">
        <v>0</v>
      </c>
      <c r="O9213" t="n">
        <v>0</v>
      </c>
      <c r="P9213" t="n">
        <v>0</v>
      </c>
      <c r="Q9213" t="n">
        <v>0</v>
      </c>
      <c r="R9213" s="2" t="inlineStr"/>
    </row>
    <row r="9214" ht="15" customHeight="1">
      <c r="A9214" t="inlineStr">
        <is>
          <t>A 6405-2026</t>
        </is>
      </c>
      <c r="B9214" s="1" t="n">
        <v>46055</v>
      </c>
      <c r="C9214" s="1" t="n">
        <v>46086</v>
      </c>
      <c r="D9214" t="inlineStr">
        <is>
          <t>GÄVLEBORGS LÄN</t>
        </is>
      </c>
      <c r="E9214" t="inlineStr">
        <is>
          <t>BOLLNÄS</t>
        </is>
      </c>
      <c r="F9214" t="inlineStr">
        <is>
          <t>Bergvik skog väst AB</t>
        </is>
      </c>
      <c r="G9214" t="n">
        <v>9.699999999999999</v>
      </c>
      <c r="H9214" t="n">
        <v>0</v>
      </c>
      <c r="I9214" t="n">
        <v>0</v>
      </c>
      <c r="J9214" t="n">
        <v>0</v>
      </c>
      <c r="K9214" t="n">
        <v>0</v>
      </c>
      <c r="L9214" t="n">
        <v>0</v>
      </c>
      <c r="M9214" t="n">
        <v>0</v>
      </c>
      <c r="N9214" t="n">
        <v>0</v>
      </c>
      <c r="O9214" t="n">
        <v>0</v>
      </c>
      <c r="P9214" t="n">
        <v>0</v>
      </c>
      <c r="Q9214" t="n">
        <v>0</v>
      </c>
      <c r="R9214" s="2" t="inlineStr"/>
    </row>
    <row r="9215" ht="15" customHeight="1">
      <c r="A9215" t="inlineStr">
        <is>
          <t>A 8884-2026</t>
        </is>
      </c>
      <c r="B9215" s="1" t="n">
        <v>46067.89483796297</v>
      </c>
      <c r="C9215" s="1" t="n">
        <v>46086</v>
      </c>
      <c r="D9215" t="inlineStr">
        <is>
          <t>GÄVLEBORGS LÄN</t>
        </is>
      </c>
      <c r="E9215" t="inlineStr">
        <is>
          <t>BOLLNÄS</t>
        </is>
      </c>
      <c r="G9215" t="n">
        <v>7.3</v>
      </c>
      <c r="H9215" t="n">
        <v>0</v>
      </c>
      <c r="I9215" t="n">
        <v>0</v>
      </c>
      <c r="J9215" t="n">
        <v>0</v>
      </c>
      <c r="K9215" t="n">
        <v>0</v>
      </c>
      <c r="L9215" t="n">
        <v>0</v>
      </c>
      <c r="M9215" t="n">
        <v>0</v>
      </c>
      <c r="N9215" t="n">
        <v>0</v>
      </c>
      <c r="O9215" t="n">
        <v>0</v>
      </c>
      <c r="P9215" t="n">
        <v>0</v>
      </c>
      <c r="Q9215" t="n">
        <v>0</v>
      </c>
      <c r="R9215" s="2" t="inlineStr"/>
    </row>
    <row r="9216" ht="15" customHeight="1">
      <c r="A9216" t="inlineStr">
        <is>
          <t>A 8915-2026</t>
        </is>
      </c>
      <c r="B9216" s="1" t="n">
        <v>46069.31325231482</v>
      </c>
      <c r="C9216" s="1" t="n">
        <v>46086</v>
      </c>
      <c r="D9216" t="inlineStr">
        <is>
          <t>GÄVLEBORGS LÄN</t>
        </is>
      </c>
      <c r="E9216" t="inlineStr">
        <is>
          <t>BOLLNÄS</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8713-2026</t>
        </is>
      </c>
      <c r="B9217" s="1" t="n">
        <v>46066.48263888889</v>
      </c>
      <c r="C9217" s="1" t="n">
        <v>46086</v>
      </c>
      <c r="D9217" t="inlineStr">
        <is>
          <t>GÄVLEBORGS LÄN</t>
        </is>
      </c>
      <c r="E9217" t="inlineStr">
        <is>
          <t>SANDVIKEN</t>
        </is>
      </c>
      <c r="G9217" t="n">
        <v>1.8</v>
      </c>
      <c r="H9217" t="n">
        <v>0</v>
      </c>
      <c r="I9217" t="n">
        <v>0</v>
      </c>
      <c r="J9217" t="n">
        <v>0</v>
      </c>
      <c r="K9217" t="n">
        <v>0</v>
      </c>
      <c r="L9217" t="n">
        <v>0</v>
      </c>
      <c r="M9217" t="n">
        <v>0</v>
      </c>
      <c r="N9217" t="n">
        <v>0</v>
      </c>
      <c r="O9217" t="n">
        <v>0</v>
      </c>
      <c r="P9217" t="n">
        <v>0</v>
      </c>
      <c r="Q9217" t="n">
        <v>0</v>
      </c>
      <c r="R9217" s="2" t="inlineStr"/>
    </row>
    <row r="9218" ht="15" customHeight="1">
      <c r="A9218" t="inlineStr">
        <is>
          <t>A 52-2026</t>
        </is>
      </c>
      <c r="B9218" s="1" t="n">
        <v>46024.42641203704</v>
      </c>
      <c r="C9218" s="1" t="n">
        <v>46086</v>
      </c>
      <c r="D9218" t="inlineStr">
        <is>
          <t>GÄVLEBORGS LÄN</t>
        </is>
      </c>
      <c r="E9218" t="inlineStr">
        <is>
          <t>HUDIKSVALL</t>
        </is>
      </c>
      <c r="G9218" t="n">
        <v>7.3</v>
      </c>
      <c r="H9218" t="n">
        <v>0</v>
      </c>
      <c r="I9218" t="n">
        <v>0</v>
      </c>
      <c r="J9218" t="n">
        <v>0</v>
      </c>
      <c r="K9218" t="n">
        <v>0</v>
      </c>
      <c r="L9218" t="n">
        <v>0</v>
      </c>
      <c r="M9218" t="n">
        <v>0</v>
      </c>
      <c r="N9218" t="n">
        <v>0</v>
      </c>
      <c r="O9218" t="n">
        <v>0</v>
      </c>
      <c r="P9218" t="n">
        <v>0</v>
      </c>
      <c r="Q9218" t="n">
        <v>0</v>
      </c>
      <c r="R9218" s="2" t="inlineStr"/>
    </row>
    <row r="9219" ht="15" customHeight="1">
      <c r="A9219" t="inlineStr">
        <is>
          <t>A 33945-2024</t>
        </is>
      </c>
      <c r="B9219" s="1" t="n">
        <v>45523.45549768519</v>
      </c>
      <c r="C9219" s="1" t="n">
        <v>46086</v>
      </c>
      <c r="D9219" t="inlineStr">
        <is>
          <t>GÄVLEBORGS LÄN</t>
        </is>
      </c>
      <c r="E9219" t="inlineStr">
        <is>
          <t>OVANÅKER</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61-2026</t>
        </is>
      </c>
      <c r="B9220" s="1" t="n">
        <v>46024.44462962963</v>
      </c>
      <c r="C9220" s="1" t="n">
        <v>46086</v>
      </c>
      <c r="D9220" t="inlineStr">
        <is>
          <t>GÄVLEBORGS LÄN</t>
        </is>
      </c>
      <c r="E9220" t="inlineStr">
        <is>
          <t>HUDIKSVALL</t>
        </is>
      </c>
      <c r="G9220" t="n">
        <v>3.5</v>
      </c>
      <c r="H9220" t="n">
        <v>0</v>
      </c>
      <c r="I9220" t="n">
        <v>0</v>
      </c>
      <c r="J9220" t="n">
        <v>0</v>
      </c>
      <c r="K9220" t="n">
        <v>0</v>
      </c>
      <c r="L9220" t="n">
        <v>0</v>
      </c>
      <c r="M9220" t="n">
        <v>0</v>
      </c>
      <c r="N9220" t="n">
        <v>0</v>
      </c>
      <c r="O9220" t="n">
        <v>0</v>
      </c>
      <c r="P9220" t="n">
        <v>0</v>
      </c>
      <c r="Q9220" t="n">
        <v>0</v>
      </c>
      <c r="R9220" s="2" t="inlineStr"/>
    </row>
    <row r="9221" ht="15" customHeight="1">
      <c r="A9221" t="inlineStr">
        <is>
          <t>A 66-2026</t>
        </is>
      </c>
      <c r="B9221" s="1" t="n">
        <v>46024.45108796296</v>
      </c>
      <c r="C9221" s="1" t="n">
        <v>46086</v>
      </c>
      <c r="D9221" t="inlineStr">
        <is>
          <t>GÄVLEBORGS LÄN</t>
        </is>
      </c>
      <c r="E9221" t="inlineStr">
        <is>
          <t>SÖDERHAMN</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3984-2026</t>
        </is>
      </c>
      <c r="B9222" s="1" t="n">
        <v>46044</v>
      </c>
      <c r="C9222" s="1" t="n">
        <v>46086</v>
      </c>
      <c r="D9222" t="inlineStr">
        <is>
          <t>GÄVLEBORGS LÄN</t>
        </is>
      </c>
      <c r="E9222" t="inlineStr">
        <is>
          <t>OVANÅKER</t>
        </is>
      </c>
      <c r="G9222" t="n">
        <v>22</v>
      </c>
      <c r="H9222" t="n">
        <v>0</v>
      </c>
      <c r="I9222" t="n">
        <v>0</v>
      </c>
      <c r="J9222" t="n">
        <v>0</v>
      </c>
      <c r="K9222" t="n">
        <v>0</v>
      </c>
      <c r="L9222" t="n">
        <v>0</v>
      </c>
      <c r="M9222" t="n">
        <v>0</v>
      </c>
      <c r="N9222" t="n">
        <v>0</v>
      </c>
      <c r="O9222" t="n">
        <v>0</v>
      </c>
      <c r="P9222" t="n">
        <v>0</v>
      </c>
      <c r="Q9222" t="n">
        <v>0</v>
      </c>
      <c r="R9222" s="2" t="inlineStr"/>
    </row>
    <row r="9223" ht="15" customHeight="1">
      <c r="A9223" t="inlineStr">
        <is>
          <t>A 3994-2026</t>
        </is>
      </c>
      <c r="B9223" s="1" t="n">
        <v>46044</v>
      </c>
      <c r="C9223" s="1" t="n">
        <v>46086</v>
      </c>
      <c r="D9223" t="inlineStr">
        <is>
          <t>GÄVLEBORGS LÄN</t>
        </is>
      </c>
      <c r="E9223" t="inlineStr">
        <is>
          <t>OVANÅKER</t>
        </is>
      </c>
      <c r="G9223" t="n">
        <v>5.4</v>
      </c>
      <c r="H9223" t="n">
        <v>0</v>
      </c>
      <c r="I9223" t="n">
        <v>0</v>
      </c>
      <c r="J9223" t="n">
        <v>0</v>
      </c>
      <c r="K9223" t="n">
        <v>0</v>
      </c>
      <c r="L9223" t="n">
        <v>0</v>
      </c>
      <c r="M9223" t="n">
        <v>0</v>
      </c>
      <c r="N9223" t="n">
        <v>0</v>
      </c>
      <c r="O9223" t="n">
        <v>0</v>
      </c>
      <c r="P9223" t="n">
        <v>0</v>
      </c>
      <c r="Q9223" t="n">
        <v>0</v>
      </c>
      <c r="R9223" s="2" t="inlineStr"/>
    </row>
    <row r="9224" ht="15" customHeight="1">
      <c r="A9224" t="inlineStr">
        <is>
          <t>A 7620-2026</t>
        </is>
      </c>
      <c r="B9224" s="1" t="n">
        <v>46062</v>
      </c>
      <c r="C9224" s="1" t="n">
        <v>46086</v>
      </c>
      <c r="D9224" t="inlineStr">
        <is>
          <t>GÄVLEBORGS LÄN</t>
        </is>
      </c>
      <c r="E9224" t="inlineStr">
        <is>
          <t>BOLLNÄS</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39850-2023</t>
        </is>
      </c>
      <c r="B9225" s="1" t="n">
        <v>45168.3706712963</v>
      </c>
      <c r="C9225" s="1" t="n">
        <v>46086</v>
      </c>
      <c r="D9225" t="inlineStr">
        <is>
          <t>GÄVLEBORGS LÄN</t>
        </is>
      </c>
      <c r="E9225" t="inlineStr">
        <is>
          <t>OVANÅKER</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8756-2026</t>
        </is>
      </c>
      <c r="B9226" s="1" t="n">
        <v>46066.55061342593</v>
      </c>
      <c r="C9226" s="1" t="n">
        <v>46086</v>
      </c>
      <c r="D9226" t="inlineStr">
        <is>
          <t>GÄVLEBORGS LÄN</t>
        </is>
      </c>
      <c r="E9226" t="inlineStr">
        <is>
          <t>SANDVIKEN</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143-2026</t>
        </is>
      </c>
      <c r="B9227" s="1" t="n">
        <v>46024</v>
      </c>
      <c r="C9227" s="1" t="n">
        <v>46086</v>
      </c>
      <c r="D9227" t="inlineStr">
        <is>
          <t>GÄVLEBORGS LÄN</t>
        </is>
      </c>
      <c r="E9227" t="inlineStr">
        <is>
          <t>LJUSDAL</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125-2026</t>
        </is>
      </c>
      <c r="B9228" s="1" t="n">
        <v>46024</v>
      </c>
      <c r="C9228" s="1" t="n">
        <v>46086</v>
      </c>
      <c r="D9228" t="inlineStr">
        <is>
          <t>GÄVLEBORGS LÄN</t>
        </is>
      </c>
      <c r="E9228" t="inlineStr">
        <is>
          <t>SÖDERHAMN</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130-2026</t>
        </is>
      </c>
      <c r="B9229" s="1" t="n">
        <v>46024</v>
      </c>
      <c r="C9229" s="1" t="n">
        <v>46086</v>
      </c>
      <c r="D9229" t="inlineStr">
        <is>
          <t>GÄVLEBORGS LÄN</t>
        </is>
      </c>
      <c r="E9229" t="inlineStr">
        <is>
          <t>SÖDERHAMN</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135-2026</t>
        </is>
      </c>
      <c r="B9230" s="1" t="n">
        <v>46024.60648148148</v>
      </c>
      <c r="C9230" s="1" t="n">
        <v>46086</v>
      </c>
      <c r="D9230" t="inlineStr">
        <is>
          <t>GÄVLEBORGS LÄN</t>
        </is>
      </c>
      <c r="E9230" t="inlineStr">
        <is>
          <t>NORDANSTIG</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8008-2026</t>
        </is>
      </c>
      <c r="B9231" s="1" t="n">
        <v>46063</v>
      </c>
      <c r="C9231" s="1" t="n">
        <v>46086</v>
      </c>
      <c r="D9231" t="inlineStr">
        <is>
          <t>GÄVLEBORGS LÄN</t>
        </is>
      </c>
      <c r="E9231" t="inlineStr">
        <is>
          <t>BOLLNÄS</t>
        </is>
      </c>
      <c r="G9231" t="n">
        <v>14.6</v>
      </c>
      <c r="H9231" t="n">
        <v>0</v>
      </c>
      <c r="I9231" t="n">
        <v>0</v>
      </c>
      <c r="J9231" t="n">
        <v>0</v>
      </c>
      <c r="K9231" t="n">
        <v>0</v>
      </c>
      <c r="L9231" t="n">
        <v>0</v>
      </c>
      <c r="M9231" t="n">
        <v>0</v>
      </c>
      <c r="N9231" t="n">
        <v>0</v>
      </c>
      <c r="O9231" t="n">
        <v>0</v>
      </c>
      <c r="P9231" t="n">
        <v>0</v>
      </c>
      <c r="Q9231" t="n">
        <v>0</v>
      </c>
      <c r="R9231" s="2" t="inlineStr"/>
    </row>
    <row r="9232" ht="15" customHeight="1">
      <c r="A9232" t="inlineStr">
        <is>
          <t>A 8125-2026</t>
        </is>
      </c>
      <c r="B9232" s="1" t="n">
        <v>46064</v>
      </c>
      <c r="C9232" s="1" t="n">
        <v>46086</v>
      </c>
      <c r="D9232" t="inlineStr">
        <is>
          <t>GÄVLEBORGS LÄN</t>
        </is>
      </c>
      <c r="E9232" t="inlineStr">
        <is>
          <t>OVANÅKER</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8707-2026</t>
        </is>
      </c>
      <c r="B9233" s="1" t="n">
        <v>46066.47381944444</v>
      </c>
      <c r="C9233" s="1" t="n">
        <v>46086</v>
      </c>
      <c r="D9233" t="inlineStr">
        <is>
          <t>GÄVLEBORGS LÄN</t>
        </is>
      </c>
      <c r="E9233" t="inlineStr">
        <is>
          <t>OVANÅKER</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8709-2026</t>
        </is>
      </c>
      <c r="B9234" s="1" t="n">
        <v>46066.47655092592</v>
      </c>
      <c r="C9234" s="1" t="n">
        <v>46086</v>
      </c>
      <c r="D9234" t="inlineStr">
        <is>
          <t>GÄVLEBORGS LÄN</t>
        </is>
      </c>
      <c r="E9234" t="inlineStr">
        <is>
          <t>SÖDERHAMN</t>
        </is>
      </c>
      <c r="G9234" t="n">
        <v>3</v>
      </c>
      <c r="H9234" t="n">
        <v>0</v>
      </c>
      <c r="I9234" t="n">
        <v>0</v>
      </c>
      <c r="J9234" t="n">
        <v>0</v>
      </c>
      <c r="K9234" t="n">
        <v>0</v>
      </c>
      <c r="L9234" t="n">
        <v>0</v>
      </c>
      <c r="M9234" t="n">
        <v>0</v>
      </c>
      <c r="N9234" t="n">
        <v>0</v>
      </c>
      <c r="O9234" t="n">
        <v>0</v>
      </c>
      <c r="P9234" t="n">
        <v>0</v>
      </c>
      <c r="Q9234" t="n">
        <v>0</v>
      </c>
      <c r="R9234" s="2" t="inlineStr"/>
    </row>
    <row r="9235" ht="15" customHeight="1">
      <c r="A9235" t="inlineStr">
        <is>
          <t>A 106-2026</t>
        </is>
      </c>
      <c r="B9235" s="1" t="n">
        <v>46024</v>
      </c>
      <c r="C9235" s="1" t="n">
        <v>46086</v>
      </c>
      <c r="D9235" t="inlineStr">
        <is>
          <t>GÄVLEBORGS LÄN</t>
        </is>
      </c>
      <c r="E9235" t="inlineStr">
        <is>
          <t>OVANÅKER</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113-2026</t>
        </is>
      </c>
      <c r="B9236" s="1" t="n">
        <v>46024</v>
      </c>
      <c r="C9236" s="1" t="n">
        <v>46086</v>
      </c>
      <c r="D9236" t="inlineStr">
        <is>
          <t>GÄVLEBORGS LÄN</t>
        </is>
      </c>
      <c r="E9236" t="inlineStr">
        <is>
          <t>LJUSDAL</t>
        </is>
      </c>
      <c r="F9236" t="inlineStr">
        <is>
          <t>Övriga Aktiebolag</t>
        </is>
      </c>
      <c r="G9236" t="n">
        <v>10</v>
      </c>
      <c r="H9236" t="n">
        <v>0</v>
      </c>
      <c r="I9236" t="n">
        <v>0</v>
      </c>
      <c r="J9236" t="n">
        <v>0</v>
      </c>
      <c r="K9236" t="n">
        <v>0</v>
      </c>
      <c r="L9236" t="n">
        <v>0</v>
      </c>
      <c r="M9236" t="n">
        <v>0</v>
      </c>
      <c r="N9236" t="n">
        <v>0</v>
      </c>
      <c r="O9236" t="n">
        <v>0</v>
      </c>
      <c r="P9236" t="n">
        <v>0</v>
      </c>
      <c r="Q9236" t="n">
        <v>0</v>
      </c>
      <c r="R9236" s="2" t="inlineStr"/>
    </row>
    <row r="9237" ht="15" customHeight="1">
      <c r="A9237" t="inlineStr">
        <is>
          <t>A 10064-2025</t>
        </is>
      </c>
      <c r="B9237" s="1" t="n">
        <v>45719.54072916666</v>
      </c>
      <c r="C9237" s="1" t="n">
        <v>46086</v>
      </c>
      <c r="D9237" t="inlineStr">
        <is>
          <t>GÄVLEBORGS LÄN</t>
        </is>
      </c>
      <c r="E9237" t="inlineStr">
        <is>
          <t>GÄVLE</t>
        </is>
      </c>
      <c r="G9237" t="n">
        <v>4.6</v>
      </c>
      <c r="H9237" t="n">
        <v>0</v>
      </c>
      <c r="I9237" t="n">
        <v>0</v>
      </c>
      <c r="J9237" t="n">
        <v>0</v>
      </c>
      <c r="K9237" t="n">
        <v>0</v>
      </c>
      <c r="L9237" t="n">
        <v>0</v>
      </c>
      <c r="M9237" t="n">
        <v>0</v>
      </c>
      <c r="N9237" t="n">
        <v>0</v>
      </c>
      <c r="O9237" t="n">
        <v>0</v>
      </c>
      <c r="P9237" t="n">
        <v>0</v>
      </c>
      <c r="Q9237" t="n">
        <v>0</v>
      </c>
      <c r="R9237" s="2" t="inlineStr"/>
    </row>
    <row r="9238" ht="15" customHeight="1">
      <c r="A9238" t="inlineStr">
        <is>
          <t>A 2906-2025</t>
        </is>
      </c>
      <c r="B9238" s="1" t="n">
        <v>45677.79960648148</v>
      </c>
      <c r="C9238" s="1" t="n">
        <v>46086</v>
      </c>
      <c r="D9238" t="inlineStr">
        <is>
          <t>GÄVLEBORGS LÄN</t>
        </is>
      </c>
      <c r="E9238" t="inlineStr">
        <is>
          <t>HUDIKSVALL</t>
        </is>
      </c>
      <c r="F9238" t="inlineStr">
        <is>
          <t>Holmen skog AB</t>
        </is>
      </c>
      <c r="G9238" t="n">
        <v>22.5</v>
      </c>
      <c r="H9238" t="n">
        <v>0</v>
      </c>
      <c r="I9238" t="n">
        <v>0</v>
      </c>
      <c r="J9238" t="n">
        <v>0</v>
      </c>
      <c r="K9238" t="n">
        <v>0</v>
      </c>
      <c r="L9238" t="n">
        <v>0</v>
      </c>
      <c r="M9238" t="n">
        <v>0</v>
      </c>
      <c r="N9238" t="n">
        <v>0</v>
      </c>
      <c r="O9238" t="n">
        <v>0</v>
      </c>
      <c r="P9238" t="n">
        <v>0</v>
      </c>
      <c r="Q9238" t="n">
        <v>0</v>
      </c>
      <c r="R9238" s="2" t="inlineStr"/>
    </row>
    <row r="9239" ht="15" customHeight="1">
      <c r="A9239" t="inlineStr">
        <is>
          <t>A 2937-2025</t>
        </is>
      </c>
      <c r="B9239" s="1" t="n">
        <v>45678.38020833334</v>
      </c>
      <c r="C9239" s="1" t="n">
        <v>46086</v>
      </c>
      <c r="D9239" t="inlineStr">
        <is>
          <t>GÄVLEBORGS LÄN</t>
        </is>
      </c>
      <c r="E9239" t="inlineStr">
        <is>
          <t>LJUSDAL</t>
        </is>
      </c>
      <c r="F9239" t="inlineStr">
        <is>
          <t>Holmen skog AB</t>
        </is>
      </c>
      <c r="G9239" t="n">
        <v>20.2</v>
      </c>
      <c r="H9239" t="n">
        <v>0</v>
      </c>
      <c r="I9239" t="n">
        <v>0</v>
      </c>
      <c r="J9239" t="n">
        <v>0</v>
      </c>
      <c r="K9239" t="n">
        <v>0</v>
      </c>
      <c r="L9239" t="n">
        <v>0</v>
      </c>
      <c r="M9239" t="n">
        <v>0</v>
      </c>
      <c r="N9239" t="n">
        <v>0</v>
      </c>
      <c r="O9239" t="n">
        <v>0</v>
      </c>
      <c r="P9239" t="n">
        <v>0</v>
      </c>
      <c r="Q9239" t="n">
        <v>0</v>
      </c>
      <c r="R9239" s="2" t="inlineStr"/>
    </row>
    <row r="9240" ht="15" customHeight="1">
      <c r="A9240" t="inlineStr">
        <is>
          <t>A 2962-2025</t>
        </is>
      </c>
      <c r="B9240" s="1" t="n">
        <v>45678.45496527778</v>
      </c>
      <c r="C9240" s="1" t="n">
        <v>46086</v>
      </c>
      <c r="D9240" t="inlineStr">
        <is>
          <t>GÄVLEBORGS LÄN</t>
        </is>
      </c>
      <c r="E9240" t="inlineStr">
        <is>
          <t>NORDANSTIG</t>
        </is>
      </c>
      <c r="F9240" t="inlineStr">
        <is>
          <t>Holmen skog AB</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321-2026</t>
        </is>
      </c>
      <c r="B9241" s="1" t="n">
        <v>46027</v>
      </c>
      <c r="C9241" s="1" t="n">
        <v>46086</v>
      </c>
      <c r="D9241" t="inlineStr">
        <is>
          <t>GÄVLEBORGS LÄN</t>
        </is>
      </c>
      <c r="E9241" t="inlineStr">
        <is>
          <t>LJUSDAL</t>
        </is>
      </c>
      <c r="G9241" t="n">
        <v>6.6</v>
      </c>
      <c r="H9241" t="n">
        <v>0</v>
      </c>
      <c r="I9241" t="n">
        <v>0</v>
      </c>
      <c r="J9241" t="n">
        <v>0</v>
      </c>
      <c r="K9241" t="n">
        <v>0</v>
      </c>
      <c r="L9241" t="n">
        <v>0</v>
      </c>
      <c r="M9241" t="n">
        <v>0</v>
      </c>
      <c r="N9241" t="n">
        <v>0</v>
      </c>
      <c r="O9241" t="n">
        <v>0</v>
      </c>
      <c r="P9241" t="n">
        <v>0</v>
      </c>
      <c r="Q9241" t="n">
        <v>0</v>
      </c>
      <c r="R9241" s="2" t="inlineStr"/>
    </row>
    <row r="9242" ht="15" customHeight="1">
      <c r="A9242" t="inlineStr">
        <is>
          <t>A 333-2026</t>
        </is>
      </c>
      <c r="B9242" s="1" t="n">
        <v>46027</v>
      </c>
      <c r="C9242" s="1" t="n">
        <v>46086</v>
      </c>
      <c r="D9242" t="inlineStr">
        <is>
          <t>GÄVLEBORGS LÄN</t>
        </is>
      </c>
      <c r="E9242" t="inlineStr">
        <is>
          <t>LJUSDAL</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35782-2023</t>
        </is>
      </c>
      <c r="B9243" s="1" t="n">
        <v>45148</v>
      </c>
      <c r="C9243" s="1" t="n">
        <v>46086</v>
      </c>
      <c r="D9243" t="inlineStr">
        <is>
          <t>GÄVLEBORGS LÄN</t>
        </is>
      </c>
      <c r="E9243" t="inlineStr">
        <is>
          <t>LJUSDAL</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4136-2026</t>
        </is>
      </c>
      <c r="B9244" s="1" t="n">
        <v>46044</v>
      </c>
      <c r="C9244" s="1" t="n">
        <v>46086</v>
      </c>
      <c r="D9244" t="inlineStr">
        <is>
          <t>GÄVLEBORGS LÄN</t>
        </is>
      </c>
      <c r="E9244" t="inlineStr">
        <is>
          <t>OVANÅKER</t>
        </is>
      </c>
      <c r="G9244" t="n">
        <v>5.9</v>
      </c>
      <c r="H9244" t="n">
        <v>0</v>
      </c>
      <c r="I9244" t="n">
        <v>0</v>
      </c>
      <c r="J9244" t="n">
        <v>0</v>
      </c>
      <c r="K9244" t="n">
        <v>0</v>
      </c>
      <c r="L9244" t="n">
        <v>0</v>
      </c>
      <c r="M9244" t="n">
        <v>0</v>
      </c>
      <c r="N9244" t="n">
        <v>0</v>
      </c>
      <c r="O9244" t="n">
        <v>0</v>
      </c>
      <c r="P9244" t="n">
        <v>0</v>
      </c>
      <c r="Q9244" t="n">
        <v>0</v>
      </c>
      <c r="R9244" s="2" t="inlineStr"/>
    </row>
    <row r="9245" ht="15" customHeight="1">
      <c r="A9245" t="inlineStr">
        <is>
          <t>A 4148-2026</t>
        </is>
      </c>
      <c r="B9245" s="1" t="n">
        <v>46044</v>
      </c>
      <c r="C9245" s="1" t="n">
        <v>46086</v>
      </c>
      <c r="D9245" t="inlineStr">
        <is>
          <t>GÄVLEBORGS LÄN</t>
        </is>
      </c>
      <c r="E9245" t="inlineStr">
        <is>
          <t>OVANÅKER</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4164-2026</t>
        </is>
      </c>
      <c r="B9246" s="1" t="n">
        <v>46044</v>
      </c>
      <c r="C9246" s="1" t="n">
        <v>46086</v>
      </c>
      <c r="D9246" t="inlineStr">
        <is>
          <t>GÄVLEBORGS LÄN</t>
        </is>
      </c>
      <c r="E9246" t="inlineStr">
        <is>
          <t>OVANÅKER</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8771-2026</t>
        </is>
      </c>
      <c r="B9247" s="1" t="n">
        <v>46066.57212962963</v>
      </c>
      <c r="C9247" s="1" t="n">
        <v>46086</v>
      </c>
      <c r="D9247" t="inlineStr">
        <is>
          <t>GÄVLEBORGS LÄN</t>
        </is>
      </c>
      <c r="E9247" t="inlineStr">
        <is>
          <t>BOLLNÄS</t>
        </is>
      </c>
      <c r="F9247" t="inlineStr">
        <is>
          <t>Sveaskog</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61619-2025</t>
        </is>
      </c>
      <c r="B9248" s="1" t="n">
        <v>46002.39142361111</v>
      </c>
      <c r="C9248" s="1" t="n">
        <v>46086</v>
      </c>
      <c r="D9248" t="inlineStr">
        <is>
          <t>GÄVLEBORGS LÄN</t>
        </is>
      </c>
      <c r="E9248" t="inlineStr">
        <is>
          <t>BOLLNÄS</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62825-2025</t>
        </is>
      </c>
      <c r="B9249" s="1" t="n">
        <v>46008.65835648148</v>
      </c>
      <c r="C9249" s="1" t="n">
        <v>46086</v>
      </c>
      <c r="D9249" t="inlineStr">
        <is>
          <t>GÄVLEBORGS LÄN</t>
        </is>
      </c>
      <c r="E9249" t="inlineStr">
        <is>
          <t>BOLLNÄS</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50582-2023</t>
        </is>
      </c>
      <c r="B9250" s="1" t="n">
        <v>45217.39167824074</v>
      </c>
      <c r="C9250" s="1" t="n">
        <v>46086</v>
      </c>
      <c r="D9250" t="inlineStr">
        <is>
          <t>GÄVLEBORGS LÄN</t>
        </is>
      </c>
      <c r="E9250" t="inlineStr">
        <is>
          <t>GÄVLE</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4611-2026</t>
        </is>
      </c>
      <c r="B9251" s="1" t="n">
        <v>46048</v>
      </c>
      <c r="C9251" s="1" t="n">
        <v>46086</v>
      </c>
      <c r="D9251" t="inlineStr">
        <is>
          <t>GÄVLEBORGS LÄN</t>
        </is>
      </c>
      <c r="E9251" t="inlineStr">
        <is>
          <t>HUDIKSVALL</t>
        </is>
      </c>
      <c r="G9251" t="n">
        <v>4.6</v>
      </c>
      <c r="H9251" t="n">
        <v>0</v>
      </c>
      <c r="I9251" t="n">
        <v>0</v>
      </c>
      <c r="J9251" t="n">
        <v>0</v>
      </c>
      <c r="K9251" t="n">
        <v>0</v>
      </c>
      <c r="L9251" t="n">
        <v>0</v>
      </c>
      <c r="M9251" t="n">
        <v>0</v>
      </c>
      <c r="N9251" t="n">
        <v>0</v>
      </c>
      <c r="O9251" t="n">
        <v>0</v>
      </c>
      <c r="P9251" t="n">
        <v>0</v>
      </c>
      <c r="Q9251" t="n">
        <v>0</v>
      </c>
      <c r="R9251" s="2" t="inlineStr"/>
    </row>
    <row r="9252" ht="15" customHeight="1">
      <c r="A9252" t="inlineStr">
        <is>
          <t>A 5074-2026</t>
        </is>
      </c>
      <c r="B9252" s="1" t="n">
        <v>46049</v>
      </c>
      <c r="C9252" s="1" t="n">
        <v>46086</v>
      </c>
      <c r="D9252" t="inlineStr">
        <is>
          <t>GÄVLEBORGS LÄN</t>
        </is>
      </c>
      <c r="E9252" t="inlineStr">
        <is>
          <t>BOLLNÄS</t>
        </is>
      </c>
      <c r="F9252" t="inlineStr">
        <is>
          <t>Bergvik skog väst AB</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8738-2026</t>
        </is>
      </c>
      <c r="B9253" s="1" t="n">
        <v>46066</v>
      </c>
      <c r="C9253" s="1" t="n">
        <v>46086</v>
      </c>
      <c r="D9253" t="inlineStr">
        <is>
          <t>GÄVLEBORGS LÄN</t>
        </is>
      </c>
      <c r="E9253" t="inlineStr">
        <is>
          <t>OVANÅKER</t>
        </is>
      </c>
      <c r="G9253" t="n">
        <v>3.7</v>
      </c>
      <c r="H9253" t="n">
        <v>0</v>
      </c>
      <c r="I9253" t="n">
        <v>0</v>
      </c>
      <c r="J9253" t="n">
        <v>0</v>
      </c>
      <c r="K9253" t="n">
        <v>0</v>
      </c>
      <c r="L9253" t="n">
        <v>0</v>
      </c>
      <c r="M9253" t="n">
        <v>0</v>
      </c>
      <c r="N9253" t="n">
        <v>0</v>
      </c>
      <c r="O9253" t="n">
        <v>0</v>
      </c>
      <c r="P9253" t="n">
        <v>0</v>
      </c>
      <c r="Q9253" t="n">
        <v>0</v>
      </c>
      <c r="R9253" s="2" t="inlineStr"/>
    </row>
    <row r="9254" ht="15" customHeight="1">
      <c r="A9254" t="inlineStr">
        <is>
          <t>A 3974-2026</t>
        </is>
      </c>
      <c r="B9254" s="1" t="n">
        <v>46044</v>
      </c>
      <c r="C9254" s="1" t="n">
        <v>46086</v>
      </c>
      <c r="D9254" t="inlineStr">
        <is>
          <t>GÄVLEBORGS LÄN</t>
        </is>
      </c>
      <c r="E9254" t="inlineStr">
        <is>
          <t>SÖDERHAMN</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4000-2026</t>
        </is>
      </c>
      <c r="B9255" s="1" t="n">
        <v>46044</v>
      </c>
      <c r="C9255" s="1" t="n">
        <v>46086</v>
      </c>
      <c r="D9255" t="inlineStr">
        <is>
          <t>GÄVLEBORGS LÄN</t>
        </is>
      </c>
      <c r="E9255" t="inlineStr">
        <is>
          <t>OVANÅKER</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4035-2026</t>
        </is>
      </c>
      <c r="B9256" s="1" t="n">
        <v>46044.4485300926</v>
      </c>
      <c r="C9256" s="1" t="n">
        <v>46086</v>
      </c>
      <c r="D9256" t="inlineStr">
        <is>
          <t>GÄVLEBORGS LÄN</t>
        </is>
      </c>
      <c r="E9256" t="inlineStr">
        <is>
          <t>SANDVIKEN</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62196-2023</t>
        </is>
      </c>
      <c r="B9257" s="1" t="n">
        <v>45267.46763888889</v>
      </c>
      <c r="C9257" s="1" t="n">
        <v>46086</v>
      </c>
      <c r="D9257" t="inlineStr">
        <is>
          <t>GÄVLEBORGS LÄN</t>
        </is>
      </c>
      <c r="E9257" t="inlineStr">
        <is>
          <t>OVANÅKER</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4365-2026</t>
        </is>
      </c>
      <c r="B9258" s="1" t="n">
        <v>46045</v>
      </c>
      <c r="C9258" s="1" t="n">
        <v>46086</v>
      </c>
      <c r="D9258" t="inlineStr">
        <is>
          <t>GÄVLEBORGS LÄN</t>
        </is>
      </c>
      <c r="E9258" t="inlineStr">
        <is>
          <t>HUDIKSVALL</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8992-2026</t>
        </is>
      </c>
      <c r="B9259" s="1" t="n">
        <v>46069.46402777778</v>
      </c>
      <c r="C9259" s="1" t="n">
        <v>46086</v>
      </c>
      <c r="D9259" t="inlineStr">
        <is>
          <t>GÄVLEBORGS LÄN</t>
        </is>
      </c>
      <c r="E9259" t="inlineStr">
        <is>
          <t>OCKELBO</t>
        </is>
      </c>
      <c r="G9259" t="n">
        <v>7.9</v>
      </c>
      <c r="H9259" t="n">
        <v>0</v>
      </c>
      <c r="I9259" t="n">
        <v>0</v>
      </c>
      <c r="J9259" t="n">
        <v>0</v>
      </c>
      <c r="K9259" t="n">
        <v>0</v>
      </c>
      <c r="L9259" t="n">
        <v>0</v>
      </c>
      <c r="M9259" t="n">
        <v>0</v>
      </c>
      <c r="N9259" t="n">
        <v>0</v>
      </c>
      <c r="O9259" t="n">
        <v>0</v>
      </c>
      <c r="P9259" t="n">
        <v>0</v>
      </c>
      <c r="Q9259" t="n">
        <v>0</v>
      </c>
      <c r="R9259" s="2" t="inlineStr"/>
    </row>
    <row r="9260" ht="15" customHeight="1">
      <c r="A9260" t="inlineStr">
        <is>
          <t>A 8735-2026</t>
        </is>
      </c>
      <c r="B9260" s="1" t="n">
        <v>46066.49946759259</v>
      </c>
      <c r="C9260" s="1" t="n">
        <v>46086</v>
      </c>
      <c r="D9260" t="inlineStr">
        <is>
          <t>GÄVLEBORGS LÄN</t>
        </is>
      </c>
      <c r="E9260" t="inlineStr">
        <is>
          <t>OCKELBO</t>
        </is>
      </c>
      <c r="F9260" t="inlineStr">
        <is>
          <t>Bergvik skog väst AB</t>
        </is>
      </c>
      <c r="G9260" t="n">
        <v>11.5</v>
      </c>
      <c r="H9260" t="n">
        <v>0</v>
      </c>
      <c r="I9260" t="n">
        <v>0</v>
      </c>
      <c r="J9260" t="n">
        <v>0</v>
      </c>
      <c r="K9260" t="n">
        <v>0</v>
      </c>
      <c r="L9260" t="n">
        <v>0</v>
      </c>
      <c r="M9260" t="n">
        <v>0</v>
      </c>
      <c r="N9260" t="n">
        <v>0</v>
      </c>
      <c r="O9260" t="n">
        <v>0</v>
      </c>
      <c r="P9260" t="n">
        <v>0</v>
      </c>
      <c r="Q9260" t="n">
        <v>0</v>
      </c>
      <c r="R9260" s="2" t="inlineStr"/>
    </row>
    <row r="9261" ht="15" customHeight="1">
      <c r="A9261" t="inlineStr">
        <is>
          <t>A 8966-2026</t>
        </is>
      </c>
      <c r="B9261" s="1" t="n">
        <v>46069.42616898148</v>
      </c>
      <c r="C9261" s="1" t="n">
        <v>46086</v>
      </c>
      <c r="D9261" t="inlineStr">
        <is>
          <t>GÄVLEBORGS LÄN</t>
        </is>
      </c>
      <c r="E9261" t="inlineStr">
        <is>
          <t>BOLLNÄS</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230-2026</t>
        </is>
      </c>
      <c r="B9262" s="1" t="n">
        <v>46027</v>
      </c>
      <c r="C9262" s="1" t="n">
        <v>46086</v>
      </c>
      <c r="D9262" t="inlineStr">
        <is>
          <t>GÄVLEBORGS LÄN</t>
        </is>
      </c>
      <c r="E9262" t="inlineStr">
        <is>
          <t>OVANÅKER</t>
        </is>
      </c>
      <c r="G9262" t="n">
        <v>2.7</v>
      </c>
      <c r="H9262" t="n">
        <v>0</v>
      </c>
      <c r="I9262" t="n">
        <v>0</v>
      </c>
      <c r="J9262" t="n">
        <v>0</v>
      </c>
      <c r="K9262" t="n">
        <v>0</v>
      </c>
      <c r="L9262" t="n">
        <v>0</v>
      </c>
      <c r="M9262" t="n">
        <v>0</v>
      </c>
      <c r="N9262" t="n">
        <v>0</v>
      </c>
      <c r="O9262" t="n">
        <v>0</v>
      </c>
      <c r="P9262" t="n">
        <v>0</v>
      </c>
      <c r="Q9262" t="n">
        <v>0</v>
      </c>
      <c r="R9262" s="2" t="inlineStr"/>
    </row>
    <row r="9263" ht="15" customHeight="1">
      <c r="A9263" t="inlineStr">
        <is>
          <t>A 240-2026</t>
        </is>
      </c>
      <c r="B9263" s="1" t="n">
        <v>46027.37696759259</v>
      </c>
      <c r="C9263" s="1" t="n">
        <v>46086</v>
      </c>
      <c r="D9263" t="inlineStr">
        <is>
          <t>GÄVLEBORGS LÄN</t>
        </is>
      </c>
      <c r="E9263" t="inlineStr">
        <is>
          <t>BOLLNÄS</t>
        </is>
      </c>
      <c r="G9263" t="n">
        <v>4.7</v>
      </c>
      <c r="H9263" t="n">
        <v>0</v>
      </c>
      <c r="I9263" t="n">
        <v>0</v>
      </c>
      <c r="J9263" t="n">
        <v>0</v>
      </c>
      <c r="K9263" t="n">
        <v>0</v>
      </c>
      <c r="L9263" t="n">
        <v>0</v>
      </c>
      <c r="M9263" t="n">
        <v>0</v>
      </c>
      <c r="N9263" t="n">
        <v>0</v>
      </c>
      <c r="O9263" t="n">
        <v>0</v>
      </c>
      <c r="P9263" t="n">
        <v>0</v>
      </c>
      <c r="Q9263" t="n">
        <v>0</v>
      </c>
      <c r="R9263" s="2" t="inlineStr"/>
    </row>
    <row r="9264" ht="15" customHeight="1">
      <c r="A9264" t="inlineStr">
        <is>
          <t>A 267-2026</t>
        </is>
      </c>
      <c r="B9264" s="1" t="n">
        <v>46027</v>
      </c>
      <c r="C9264" s="1" t="n">
        <v>46086</v>
      </c>
      <c r="D9264" t="inlineStr">
        <is>
          <t>GÄVLEBORGS LÄN</t>
        </is>
      </c>
      <c r="E9264" t="inlineStr">
        <is>
          <t>BOLLNÄS</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44281-2022</t>
        </is>
      </c>
      <c r="B9265" s="1" t="n">
        <v>44839</v>
      </c>
      <c r="C9265" s="1" t="n">
        <v>46086</v>
      </c>
      <c r="D9265" t="inlineStr">
        <is>
          <t>GÄVLEBORGS LÄN</t>
        </is>
      </c>
      <c r="E9265" t="inlineStr">
        <is>
          <t>OCKELBO</t>
        </is>
      </c>
      <c r="F9265" t="inlineStr">
        <is>
          <t>Bergvik skog väst AB</t>
        </is>
      </c>
      <c r="G9265" t="n">
        <v>3.2</v>
      </c>
      <c r="H9265" t="n">
        <v>0</v>
      </c>
      <c r="I9265" t="n">
        <v>0</v>
      </c>
      <c r="J9265" t="n">
        <v>0</v>
      </c>
      <c r="K9265" t="n">
        <v>0</v>
      </c>
      <c r="L9265" t="n">
        <v>0</v>
      </c>
      <c r="M9265" t="n">
        <v>0</v>
      </c>
      <c r="N9265" t="n">
        <v>0</v>
      </c>
      <c r="O9265" t="n">
        <v>0</v>
      </c>
      <c r="P9265" t="n">
        <v>0</v>
      </c>
      <c r="Q9265" t="n">
        <v>0</v>
      </c>
      <c r="R9265" s="2" t="inlineStr"/>
    </row>
    <row r="9266" ht="15" customHeight="1">
      <c r="A9266" t="inlineStr">
        <is>
          <t>A 323-2026</t>
        </is>
      </c>
      <c r="B9266" s="1" t="n">
        <v>46027</v>
      </c>
      <c r="C9266" s="1" t="n">
        <v>46086</v>
      </c>
      <c r="D9266" t="inlineStr">
        <is>
          <t>GÄVLEBORGS LÄN</t>
        </is>
      </c>
      <c r="E9266" t="inlineStr">
        <is>
          <t>BOLLNÄS</t>
        </is>
      </c>
      <c r="G9266" t="n">
        <v>5</v>
      </c>
      <c r="H9266" t="n">
        <v>0</v>
      </c>
      <c r="I9266" t="n">
        <v>0</v>
      </c>
      <c r="J9266" t="n">
        <v>0</v>
      </c>
      <c r="K9266" t="n">
        <v>0</v>
      </c>
      <c r="L9266" t="n">
        <v>0</v>
      </c>
      <c r="M9266" t="n">
        <v>0</v>
      </c>
      <c r="N9266" t="n">
        <v>0</v>
      </c>
      <c r="O9266" t="n">
        <v>0</v>
      </c>
      <c r="P9266" t="n">
        <v>0</v>
      </c>
      <c r="Q9266" t="n">
        <v>0</v>
      </c>
      <c r="R9266" s="2" t="inlineStr"/>
    </row>
    <row r="9267" ht="15" customHeight="1">
      <c r="A9267" t="inlineStr">
        <is>
          <t>A 326-2026</t>
        </is>
      </c>
      <c r="B9267" s="1" t="n">
        <v>46027</v>
      </c>
      <c r="C9267" s="1" t="n">
        <v>46086</v>
      </c>
      <c r="D9267" t="inlineStr">
        <is>
          <t>GÄVLEBORGS LÄN</t>
        </is>
      </c>
      <c r="E9267" t="inlineStr">
        <is>
          <t>LJUSDAL</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335-2026</t>
        </is>
      </c>
      <c r="B9268" s="1" t="n">
        <v>46027.59798611111</v>
      </c>
      <c r="C9268" s="1" t="n">
        <v>46086</v>
      </c>
      <c r="D9268" t="inlineStr">
        <is>
          <t>GÄVLEBORGS LÄN</t>
        </is>
      </c>
      <c r="E9268" t="inlineStr">
        <is>
          <t>OCKELBO</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357-2026</t>
        </is>
      </c>
      <c r="B9269" s="1" t="n">
        <v>46027.65784722222</v>
      </c>
      <c r="C9269" s="1" t="n">
        <v>46086</v>
      </c>
      <c r="D9269" t="inlineStr">
        <is>
          <t>GÄVLEBORGS LÄN</t>
        </is>
      </c>
      <c r="E9269" t="inlineStr">
        <is>
          <t>SÖDERHAMN</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372-2026</t>
        </is>
      </c>
      <c r="B9270" s="1" t="n">
        <v>46027.69054398148</v>
      </c>
      <c r="C9270" s="1" t="n">
        <v>46086</v>
      </c>
      <c r="D9270" t="inlineStr">
        <is>
          <t>GÄVLEBORGS LÄN</t>
        </is>
      </c>
      <c r="E9270" t="inlineStr">
        <is>
          <t>SÖDERHAMN</t>
        </is>
      </c>
      <c r="G9270" t="n">
        <v>5.9</v>
      </c>
      <c r="H9270" t="n">
        <v>0</v>
      </c>
      <c r="I9270" t="n">
        <v>0</v>
      </c>
      <c r="J9270" t="n">
        <v>0</v>
      </c>
      <c r="K9270" t="n">
        <v>0</v>
      </c>
      <c r="L9270" t="n">
        <v>0</v>
      </c>
      <c r="M9270" t="n">
        <v>0</v>
      </c>
      <c r="N9270" t="n">
        <v>0</v>
      </c>
      <c r="O9270" t="n">
        <v>0</v>
      </c>
      <c r="P9270" t="n">
        <v>0</v>
      </c>
      <c r="Q9270" t="n">
        <v>0</v>
      </c>
      <c r="R9270" s="2" t="inlineStr"/>
    </row>
    <row r="9271" ht="15" customHeight="1">
      <c r="A9271" t="inlineStr">
        <is>
          <t>A 18-2026</t>
        </is>
      </c>
      <c r="B9271" s="1" t="n">
        <v>46023.68649305555</v>
      </c>
      <c r="C9271" s="1" t="n">
        <v>46086</v>
      </c>
      <c r="D9271" t="inlineStr">
        <is>
          <t>GÄVLEBORGS LÄN</t>
        </is>
      </c>
      <c r="E9271" t="inlineStr">
        <is>
          <t>OCKELBO</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25-2026</t>
        </is>
      </c>
      <c r="B9272" s="1" t="n">
        <v>46024.04291666667</v>
      </c>
      <c r="C9272" s="1" t="n">
        <v>46086</v>
      </c>
      <c r="D9272" t="inlineStr">
        <is>
          <t>GÄVLEBORGS LÄN</t>
        </is>
      </c>
      <c r="E9272" t="inlineStr">
        <is>
          <t>BOLLNÄS</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45-2026</t>
        </is>
      </c>
      <c r="B9273" s="1" t="n">
        <v>46024</v>
      </c>
      <c r="C9273" s="1" t="n">
        <v>46086</v>
      </c>
      <c r="D9273" t="inlineStr">
        <is>
          <t>GÄVLEBORGS LÄN</t>
        </is>
      </c>
      <c r="E9273" t="inlineStr">
        <is>
          <t>NORDANSTIG</t>
        </is>
      </c>
      <c r="G9273" t="n">
        <v>4.9</v>
      </c>
      <c r="H9273" t="n">
        <v>0</v>
      </c>
      <c r="I9273" t="n">
        <v>0</v>
      </c>
      <c r="J9273" t="n">
        <v>0</v>
      </c>
      <c r="K9273" t="n">
        <v>0</v>
      </c>
      <c r="L9273" t="n">
        <v>0</v>
      </c>
      <c r="M9273" t="n">
        <v>0</v>
      </c>
      <c r="N9273" t="n">
        <v>0</v>
      </c>
      <c r="O9273" t="n">
        <v>0</v>
      </c>
      <c r="P9273" t="n">
        <v>0</v>
      </c>
      <c r="Q9273" t="n">
        <v>0</v>
      </c>
      <c r="R9273" s="2" t="inlineStr"/>
    </row>
    <row r="9274" ht="15" customHeight="1">
      <c r="A9274" t="inlineStr">
        <is>
          <t>A 86-2026</t>
        </is>
      </c>
      <c r="B9274" s="1" t="n">
        <v>46024.4765625</v>
      </c>
      <c r="C9274" s="1" t="n">
        <v>46086</v>
      </c>
      <c r="D9274" t="inlineStr">
        <is>
          <t>GÄVLEBORGS LÄN</t>
        </is>
      </c>
      <c r="E9274" t="inlineStr">
        <is>
          <t>SÖDERHAMN</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8927-2026</t>
        </is>
      </c>
      <c r="B9275" s="1" t="n">
        <v>46069.34452546296</v>
      </c>
      <c r="C9275" s="1" t="n">
        <v>46086</v>
      </c>
      <c r="D9275" t="inlineStr">
        <is>
          <t>GÄVLEBORGS LÄN</t>
        </is>
      </c>
      <c r="E9275" t="inlineStr">
        <is>
          <t>LJUSDAL</t>
        </is>
      </c>
      <c r="F9275" t="inlineStr">
        <is>
          <t>Bergvik skog väst AB</t>
        </is>
      </c>
      <c r="G9275" t="n">
        <v>11.6</v>
      </c>
      <c r="H9275" t="n">
        <v>0</v>
      </c>
      <c r="I9275" t="n">
        <v>0</v>
      </c>
      <c r="J9275" t="n">
        <v>0</v>
      </c>
      <c r="K9275" t="n">
        <v>0</v>
      </c>
      <c r="L9275" t="n">
        <v>0</v>
      </c>
      <c r="M9275" t="n">
        <v>0</v>
      </c>
      <c r="N9275" t="n">
        <v>0</v>
      </c>
      <c r="O9275" t="n">
        <v>0</v>
      </c>
      <c r="P9275" t="n">
        <v>0</v>
      </c>
      <c r="Q9275" t="n">
        <v>0</v>
      </c>
      <c r="R9275" s="2" t="inlineStr"/>
    </row>
    <row r="9276" ht="15" customHeight="1">
      <c r="A9276" t="inlineStr">
        <is>
          <t>A 8933-2026</t>
        </is>
      </c>
      <c r="B9276" s="1" t="n">
        <v>46069.35165509259</v>
      </c>
      <c r="C9276" s="1" t="n">
        <v>46086</v>
      </c>
      <c r="D9276" t="inlineStr">
        <is>
          <t>GÄVLEBORGS LÄN</t>
        </is>
      </c>
      <c r="E9276" t="inlineStr">
        <is>
          <t>OCKELBO</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8940-2026</t>
        </is>
      </c>
      <c r="B9277" s="1" t="n">
        <v>46069.36844907407</v>
      </c>
      <c r="C9277" s="1" t="n">
        <v>46086</v>
      </c>
      <c r="D9277" t="inlineStr">
        <is>
          <t>GÄVLEBORGS LÄN</t>
        </is>
      </c>
      <c r="E9277" t="inlineStr">
        <is>
          <t>SANDVIKEN</t>
        </is>
      </c>
      <c r="G9277" t="n">
        <v>6.3</v>
      </c>
      <c r="H9277" t="n">
        <v>0</v>
      </c>
      <c r="I9277" t="n">
        <v>0</v>
      </c>
      <c r="J9277" t="n">
        <v>0</v>
      </c>
      <c r="K9277" t="n">
        <v>0</v>
      </c>
      <c r="L9277" t="n">
        <v>0</v>
      </c>
      <c r="M9277" t="n">
        <v>0</v>
      </c>
      <c r="N9277" t="n">
        <v>0</v>
      </c>
      <c r="O9277" t="n">
        <v>0</v>
      </c>
      <c r="P9277" t="n">
        <v>0</v>
      </c>
      <c r="Q9277" t="n">
        <v>0</v>
      </c>
      <c r="R9277" s="2" t="inlineStr"/>
    </row>
    <row r="9278" ht="15" customHeight="1">
      <c r="A9278" t="inlineStr">
        <is>
          <t>A 8944-2026</t>
        </is>
      </c>
      <c r="B9278" s="1" t="n">
        <v>46069.37597222222</v>
      </c>
      <c r="C9278" s="1" t="n">
        <v>46086</v>
      </c>
      <c r="D9278" t="inlineStr">
        <is>
          <t>GÄVLEBORGS LÄN</t>
        </is>
      </c>
      <c r="E9278" t="inlineStr">
        <is>
          <t>SÖDERHAMN</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8975-2026</t>
        </is>
      </c>
      <c r="B9279" s="1" t="n">
        <v>46069.43813657408</v>
      </c>
      <c r="C9279" s="1" t="n">
        <v>46086</v>
      </c>
      <c r="D9279" t="inlineStr">
        <is>
          <t>GÄVLEBORGS LÄN</t>
        </is>
      </c>
      <c r="E9279" t="inlineStr">
        <is>
          <t>NORDANSTIG</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8993-2026</t>
        </is>
      </c>
      <c r="B9280" s="1" t="n">
        <v>46069.4649074074</v>
      </c>
      <c r="C9280" s="1" t="n">
        <v>46086</v>
      </c>
      <c r="D9280" t="inlineStr">
        <is>
          <t>GÄVLEBORGS LÄN</t>
        </is>
      </c>
      <c r="E9280" t="inlineStr">
        <is>
          <t>NORDANSTIG</t>
        </is>
      </c>
      <c r="G9280" t="n">
        <v>7.3</v>
      </c>
      <c r="H9280" t="n">
        <v>0</v>
      </c>
      <c r="I9280" t="n">
        <v>0</v>
      </c>
      <c r="J9280" t="n">
        <v>0</v>
      </c>
      <c r="K9280" t="n">
        <v>0</v>
      </c>
      <c r="L9280" t="n">
        <v>0</v>
      </c>
      <c r="M9280" t="n">
        <v>0</v>
      </c>
      <c r="N9280" t="n">
        <v>0</v>
      </c>
      <c r="O9280" t="n">
        <v>0</v>
      </c>
      <c r="P9280" t="n">
        <v>0</v>
      </c>
      <c r="Q9280" t="n">
        <v>0</v>
      </c>
      <c r="R9280" s="2" t="inlineStr"/>
    </row>
    <row r="9281" ht="15" customHeight="1">
      <c r="A9281" t="inlineStr">
        <is>
          <t>A 8711-2026</t>
        </is>
      </c>
      <c r="B9281" s="1" t="n">
        <v>46066.48010416667</v>
      </c>
      <c r="C9281" s="1" t="n">
        <v>46086</v>
      </c>
      <c r="D9281" t="inlineStr">
        <is>
          <t>GÄVLEBORGS LÄN</t>
        </is>
      </c>
      <c r="E9281" t="inlineStr">
        <is>
          <t>NORDANSTIG</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8742-2026</t>
        </is>
      </c>
      <c r="B9282" s="1" t="n">
        <v>46066</v>
      </c>
      <c r="C9282" s="1" t="n">
        <v>46086</v>
      </c>
      <c r="D9282" t="inlineStr">
        <is>
          <t>GÄVLEBORGS LÄN</t>
        </is>
      </c>
      <c r="E9282" t="inlineStr">
        <is>
          <t>OVANÅKER</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7011-2026</t>
        </is>
      </c>
      <c r="B9283" s="1" t="n">
        <v>46057</v>
      </c>
      <c r="C9283" s="1" t="n">
        <v>46086</v>
      </c>
      <c r="D9283" t="inlineStr">
        <is>
          <t>GÄVLEBORGS LÄN</t>
        </is>
      </c>
      <c r="E9283" t="inlineStr">
        <is>
          <t>SÖDERHAMN</t>
        </is>
      </c>
      <c r="G9283" t="n">
        <v>3.8</v>
      </c>
      <c r="H9283" t="n">
        <v>0</v>
      </c>
      <c r="I9283" t="n">
        <v>0</v>
      </c>
      <c r="J9283" t="n">
        <v>0</v>
      </c>
      <c r="K9283" t="n">
        <v>0</v>
      </c>
      <c r="L9283" t="n">
        <v>0</v>
      </c>
      <c r="M9283" t="n">
        <v>0</v>
      </c>
      <c r="N9283" t="n">
        <v>0</v>
      </c>
      <c r="O9283" t="n">
        <v>0</v>
      </c>
      <c r="P9283" t="n">
        <v>0</v>
      </c>
      <c r="Q9283" t="n">
        <v>0</v>
      </c>
      <c r="R9283" s="2" t="inlineStr"/>
    </row>
    <row r="9284" ht="15" customHeight="1">
      <c r="A9284" t="inlineStr">
        <is>
          <t>A 7083-2026</t>
        </is>
      </c>
      <c r="B9284" s="1" t="n">
        <v>46058</v>
      </c>
      <c r="C9284" s="1" t="n">
        <v>46086</v>
      </c>
      <c r="D9284" t="inlineStr">
        <is>
          <t>GÄVLEBORGS LÄN</t>
        </is>
      </c>
      <c r="E9284" t="inlineStr">
        <is>
          <t>OCKELBO</t>
        </is>
      </c>
      <c r="F9284" t="inlineStr">
        <is>
          <t>Bergvik skog väst AB</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8341-2026</t>
        </is>
      </c>
      <c r="B9285" s="1" t="n">
        <v>46064</v>
      </c>
      <c r="C9285" s="1" t="n">
        <v>46086</v>
      </c>
      <c r="D9285" t="inlineStr">
        <is>
          <t>GÄVLEBORGS LÄN</t>
        </is>
      </c>
      <c r="E9285" t="inlineStr">
        <is>
          <t>OCKELBO</t>
        </is>
      </c>
      <c r="G9285" t="n">
        <v>9.6</v>
      </c>
      <c r="H9285" t="n">
        <v>0</v>
      </c>
      <c r="I9285" t="n">
        <v>0</v>
      </c>
      <c r="J9285" t="n">
        <v>0</v>
      </c>
      <c r="K9285" t="n">
        <v>0</v>
      </c>
      <c r="L9285" t="n">
        <v>0</v>
      </c>
      <c r="M9285" t="n">
        <v>0</v>
      </c>
      <c r="N9285" t="n">
        <v>0</v>
      </c>
      <c r="O9285" t="n">
        <v>0</v>
      </c>
      <c r="P9285" t="n">
        <v>0</v>
      </c>
      <c r="Q9285" t="n">
        <v>0</v>
      </c>
      <c r="R9285" s="2" t="inlineStr"/>
    </row>
    <row r="9286" ht="15" customHeight="1">
      <c r="A9286" t="inlineStr">
        <is>
          <t>A 51277-2022</t>
        </is>
      </c>
      <c r="B9286" s="1" t="n">
        <v>44868.7127662037</v>
      </c>
      <c r="C9286" s="1" t="n">
        <v>46086</v>
      </c>
      <c r="D9286" t="inlineStr">
        <is>
          <t>GÄVLEBORGS LÄN</t>
        </is>
      </c>
      <c r="E9286" t="inlineStr">
        <is>
          <t>HOFORS</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361-2026</t>
        </is>
      </c>
      <c r="B9287" s="1" t="n">
        <v>46027</v>
      </c>
      <c r="C9287" s="1" t="n">
        <v>46086</v>
      </c>
      <c r="D9287" t="inlineStr">
        <is>
          <t>GÄVLEBORGS LÄN</t>
        </is>
      </c>
      <c r="E9287" t="inlineStr">
        <is>
          <t>OVANÅKER</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375-2026</t>
        </is>
      </c>
      <c r="B9288" s="1" t="n">
        <v>46027.71767361111</v>
      </c>
      <c r="C9288" s="1" t="n">
        <v>46086</v>
      </c>
      <c r="D9288" t="inlineStr">
        <is>
          <t>GÄVLEBORGS LÄN</t>
        </is>
      </c>
      <c r="E9288" t="inlineStr">
        <is>
          <t>SÖDERHAMN</t>
        </is>
      </c>
      <c r="G9288" t="n">
        <v>6.8</v>
      </c>
      <c r="H9288" t="n">
        <v>0</v>
      </c>
      <c r="I9288" t="n">
        <v>0</v>
      </c>
      <c r="J9288" t="n">
        <v>0</v>
      </c>
      <c r="K9288" t="n">
        <v>0</v>
      </c>
      <c r="L9288" t="n">
        <v>0</v>
      </c>
      <c r="M9288" t="n">
        <v>0</v>
      </c>
      <c r="N9288" t="n">
        <v>0</v>
      </c>
      <c r="O9288" t="n">
        <v>0</v>
      </c>
      <c r="P9288" t="n">
        <v>0</v>
      </c>
      <c r="Q9288" t="n">
        <v>0</v>
      </c>
      <c r="R9288" s="2" t="inlineStr"/>
    </row>
    <row r="9289" ht="15" customHeight="1">
      <c r="A9289" t="inlineStr">
        <is>
          <t>A 5450-2026</t>
        </is>
      </c>
      <c r="B9289" s="1" t="n">
        <v>46050</v>
      </c>
      <c r="C9289" s="1" t="n">
        <v>46086</v>
      </c>
      <c r="D9289" t="inlineStr">
        <is>
          <t>GÄVLEBORGS LÄN</t>
        </is>
      </c>
      <c r="E9289" t="inlineStr">
        <is>
          <t>LJUSDAL</t>
        </is>
      </c>
      <c r="G9289" t="n">
        <v>7.2</v>
      </c>
      <c r="H9289" t="n">
        <v>0</v>
      </c>
      <c r="I9289" t="n">
        <v>0</v>
      </c>
      <c r="J9289" t="n">
        <v>0</v>
      </c>
      <c r="K9289" t="n">
        <v>0</v>
      </c>
      <c r="L9289" t="n">
        <v>0</v>
      </c>
      <c r="M9289" t="n">
        <v>0</v>
      </c>
      <c r="N9289" t="n">
        <v>0</v>
      </c>
      <c r="O9289" t="n">
        <v>0</v>
      </c>
      <c r="P9289" t="n">
        <v>0</v>
      </c>
      <c r="Q9289" t="n">
        <v>0</v>
      </c>
      <c r="R9289" s="2" t="inlineStr"/>
    </row>
    <row r="9290" ht="15" customHeight="1">
      <c r="A9290" t="inlineStr">
        <is>
          <t>A 5085-2026</t>
        </is>
      </c>
      <c r="B9290" s="1" t="n">
        <v>46049</v>
      </c>
      <c r="C9290" s="1" t="n">
        <v>46086</v>
      </c>
      <c r="D9290" t="inlineStr">
        <is>
          <t>GÄVLEBORGS LÄN</t>
        </is>
      </c>
      <c r="E9290" t="inlineStr">
        <is>
          <t>BOLLNÄS</t>
        </is>
      </c>
      <c r="F9290" t="inlineStr">
        <is>
          <t>Bergvik skog väst AB</t>
        </is>
      </c>
      <c r="G9290" t="n">
        <v>5.1</v>
      </c>
      <c r="H9290" t="n">
        <v>0</v>
      </c>
      <c r="I9290" t="n">
        <v>0</v>
      </c>
      <c r="J9290" t="n">
        <v>0</v>
      </c>
      <c r="K9290" t="n">
        <v>0</v>
      </c>
      <c r="L9290" t="n">
        <v>0</v>
      </c>
      <c r="M9290" t="n">
        <v>0</v>
      </c>
      <c r="N9290" t="n">
        <v>0</v>
      </c>
      <c r="O9290" t="n">
        <v>0</v>
      </c>
      <c r="P9290" t="n">
        <v>0</v>
      </c>
      <c r="Q9290" t="n">
        <v>0</v>
      </c>
      <c r="R9290" s="2" t="inlineStr"/>
    </row>
    <row r="9291" ht="15" customHeight="1">
      <c r="A9291" t="inlineStr">
        <is>
          <t>A 6891-2026</t>
        </is>
      </c>
      <c r="B9291" s="1" t="n">
        <v>46057</v>
      </c>
      <c r="C9291" s="1" t="n">
        <v>46086</v>
      </c>
      <c r="D9291" t="inlineStr">
        <is>
          <t>GÄVLEBORGS LÄN</t>
        </is>
      </c>
      <c r="E9291" t="inlineStr">
        <is>
          <t>OCKELBO</t>
        </is>
      </c>
      <c r="F9291" t="inlineStr">
        <is>
          <t>Bergvik skog väst AB</t>
        </is>
      </c>
      <c r="G9291" t="n">
        <v>6.9</v>
      </c>
      <c r="H9291" t="n">
        <v>0</v>
      </c>
      <c r="I9291" t="n">
        <v>0</v>
      </c>
      <c r="J9291" t="n">
        <v>0</v>
      </c>
      <c r="K9291" t="n">
        <v>0</v>
      </c>
      <c r="L9291" t="n">
        <v>0</v>
      </c>
      <c r="M9291" t="n">
        <v>0</v>
      </c>
      <c r="N9291" t="n">
        <v>0</v>
      </c>
      <c r="O9291" t="n">
        <v>0</v>
      </c>
      <c r="P9291" t="n">
        <v>0</v>
      </c>
      <c r="Q9291" t="n">
        <v>0</v>
      </c>
      <c r="R9291" s="2" t="inlineStr"/>
    </row>
    <row r="9292" ht="15" customHeight="1">
      <c r="A9292" t="inlineStr">
        <is>
          <t>A 7018-2026</t>
        </is>
      </c>
      <c r="B9292" s="1" t="n">
        <v>46057</v>
      </c>
      <c r="C9292" s="1" t="n">
        <v>46086</v>
      </c>
      <c r="D9292" t="inlineStr">
        <is>
          <t>GÄVLEBORGS LÄN</t>
        </is>
      </c>
      <c r="E9292" t="inlineStr">
        <is>
          <t>SÖDERHAMN</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7054-2026</t>
        </is>
      </c>
      <c r="B9293" s="1" t="n">
        <v>46057.74969907408</v>
      </c>
      <c r="C9293" s="1" t="n">
        <v>46086</v>
      </c>
      <c r="D9293" t="inlineStr">
        <is>
          <t>GÄVLEBORGS LÄN</t>
        </is>
      </c>
      <c r="E9293" t="inlineStr">
        <is>
          <t>HUDIKSVALL</t>
        </is>
      </c>
      <c r="F9293" t="inlineStr">
        <is>
          <t>Holmen skog AB</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7086-2026</t>
        </is>
      </c>
      <c r="B9294" s="1" t="n">
        <v>46058</v>
      </c>
      <c r="C9294" s="1" t="n">
        <v>46086</v>
      </c>
      <c r="D9294" t="inlineStr">
        <is>
          <t>GÄVLEBORGS LÄN</t>
        </is>
      </c>
      <c r="E9294" t="inlineStr">
        <is>
          <t>OCKELBO</t>
        </is>
      </c>
      <c r="F9294" t="inlineStr">
        <is>
          <t>Bergvik skog väst AB</t>
        </is>
      </c>
      <c r="G9294" t="n">
        <v>4.4</v>
      </c>
      <c r="H9294" t="n">
        <v>0</v>
      </c>
      <c r="I9294" t="n">
        <v>0</v>
      </c>
      <c r="J9294" t="n">
        <v>0</v>
      </c>
      <c r="K9294" t="n">
        <v>0</v>
      </c>
      <c r="L9294" t="n">
        <v>0</v>
      </c>
      <c r="M9294" t="n">
        <v>0</v>
      </c>
      <c r="N9294" t="n">
        <v>0</v>
      </c>
      <c r="O9294" t="n">
        <v>0</v>
      </c>
      <c r="P9294" t="n">
        <v>0</v>
      </c>
      <c r="Q9294" t="n">
        <v>0</v>
      </c>
      <c r="R9294" s="2" t="inlineStr"/>
    </row>
    <row r="9295" ht="15" customHeight="1">
      <c r="A9295" t="inlineStr">
        <is>
          <t>A 8010-2026</t>
        </is>
      </c>
      <c r="B9295" s="1" t="n">
        <v>46063</v>
      </c>
      <c r="C9295" s="1" t="n">
        <v>46086</v>
      </c>
      <c r="D9295" t="inlineStr">
        <is>
          <t>GÄVLEBORGS LÄN</t>
        </is>
      </c>
      <c r="E9295" t="inlineStr">
        <is>
          <t>BOLLNÄS</t>
        </is>
      </c>
      <c r="G9295" t="n">
        <v>4.2</v>
      </c>
      <c r="H9295" t="n">
        <v>0</v>
      </c>
      <c r="I9295" t="n">
        <v>0</v>
      </c>
      <c r="J9295" t="n">
        <v>0</v>
      </c>
      <c r="K9295" t="n">
        <v>0</v>
      </c>
      <c r="L9295" t="n">
        <v>0</v>
      </c>
      <c r="M9295" t="n">
        <v>0</v>
      </c>
      <c r="N9295" t="n">
        <v>0</v>
      </c>
      <c r="O9295" t="n">
        <v>0</v>
      </c>
      <c r="P9295" t="n">
        <v>0</v>
      </c>
      <c r="Q9295" t="n">
        <v>0</v>
      </c>
      <c r="R9295" s="2" t="inlineStr"/>
    </row>
    <row r="9296" ht="15" customHeight="1">
      <c r="A9296" t="inlineStr">
        <is>
          <t>A 9059-2026</t>
        </is>
      </c>
      <c r="B9296" s="1" t="n">
        <v>46069.56408564815</v>
      </c>
      <c r="C9296" s="1" t="n">
        <v>46086</v>
      </c>
      <c r="D9296" t="inlineStr">
        <is>
          <t>GÄVLEBORGS LÄN</t>
        </is>
      </c>
      <c r="E9296" t="inlineStr">
        <is>
          <t>BOLLNÄS</t>
        </is>
      </c>
      <c r="G9296" t="n">
        <v>2.5</v>
      </c>
      <c r="H9296" t="n">
        <v>0</v>
      </c>
      <c r="I9296" t="n">
        <v>0</v>
      </c>
      <c r="J9296" t="n">
        <v>0</v>
      </c>
      <c r="K9296" t="n">
        <v>0</v>
      </c>
      <c r="L9296" t="n">
        <v>0</v>
      </c>
      <c r="M9296" t="n">
        <v>0</v>
      </c>
      <c r="N9296" t="n">
        <v>0</v>
      </c>
      <c r="O9296" t="n">
        <v>0</v>
      </c>
      <c r="P9296" t="n">
        <v>0</v>
      </c>
      <c r="Q9296" t="n">
        <v>0</v>
      </c>
      <c r="R9296" s="2" t="inlineStr"/>
    </row>
    <row r="9297" ht="15" customHeight="1">
      <c r="A9297" t="inlineStr">
        <is>
          <t>A 6267-2026</t>
        </is>
      </c>
      <c r="B9297" s="1" t="n">
        <v>46055</v>
      </c>
      <c r="C9297" s="1" t="n">
        <v>46086</v>
      </c>
      <c r="D9297" t="inlineStr">
        <is>
          <t>GÄVLEBORGS LÄN</t>
        </is>
      </c>
      <c r="E9297" t="inlineStr">
        <is>
          <t>SÖDERHAMN</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6268-2026</t>
        </is>
      </c>
      <c r="B9298" s="1" t="n">
        <v>46055</v>
      </c>
      <c r="C9298" s="1" t="n">
        <v>46086</v>
      </c>
      <c r="D9298" t="inlineStr">
        <is>
          <t>GÄVLEBORGS LÄN</t>
        </is>
      </c>
      <c r="E9298" t="inlineStr">
        <is>
          <t>SÖDERHAMN</t>
        </is>
      </c>
      <c r="G9298" t="n">
        <v>9.300000000000001</v>
      </c>
      <c r="H9298" t="n">
        <v>0</v>
      </c>
      <c r="I9298" t="n">
        <v>0</v>
      </c>
      <c r="J9298" t="n">
        <v>0</v>
      </c>
      <c r="K9298" t="n">
        <v>0</v>
      </c>
      <c r="L9298" t="n">
        <v>0</v>
      </c>
      <c r="M9298" t="n">
        <v>0</v>
      </c>
      <c r="N9298" t="n">
        <v>0</v>
      </c>
      <c r="O9298" t="n">
        <v>0</v>
      </c>
      <c r="P9298" t="n">
        <v>0</v>
      </c>
      <c r="Q9298" t="n">
        <v>0</v>
      </c>
      <c r="R9298" s="2" t="inlineStr"/>
    </row>
    <row r="9299" ht="15" customHeight="1">
      <c r="A9299" t="inlineStr">
        <is>
          <t>A 9003-2026</t>
        </is>
      </c>
      <c r="B9299" s="1" t="n">
        <v>46069.47755787037</v>
      </c>
      <c r="C9299" s="1" t="n">
        <v>46086</v>
      </c>
      <c r="D9299" t="inlineStr">
        <is>
          <t>GÄVLEBORGS LÄN</t>
        </is>
      </c>
      <c r="E9299" t="inlineStr">
        <is>
          <t>OCKELBO</t>
        </is>
      </c>
      <c r="G9299" t="n">
        <v>6</v>
      </c>
      <c r="H9299" t="n">
        <v>0</v>
      </c>
      <c r="I9299" t="n">
        <v>0</v>
      </c>
      <c r="J9299" t="n">
        <v>0</v>
      </c>
      <c r="K9299" t="n">
        <v>0</v>
      </c>
      <c r="L9299" t="n">
        <v>0</v>
      </c>
      <c r="M9299" t="n">
        <v>0</v>
      </c>
      <c r="N9299" t="n">
        <v>0</v>
      </c>
      <c r="O9299" t="n">
        <v>0</v>
      </c>
      <c r="P9299" t="n">
        <v>0</v>
      </c>
      <c r="Q9299" t="n">
        <v>0</v>
      </c>
      <c r="R9299" s="2" t="inlineStr"/>
    </row>
    <row r="9300" ht="15" customHeight="1">
      <c r="A9300" t="inlineStr">
        <is>
          <t>A 9026-2023</t>
        </is>
      </c>
      <c r="B9300" s="1" t="n">
        <v>44979.62972222222</v>
      </c>
      <c r="C9300" s="1" t="n">
        <v>46086</v>
      </c>
      <c r="D9300" t="inlineStr">
        <is>
          <t>GÄVLEBORGS LÄN</t>
        </is>
      </c>
      <c r="E9300" t="inlineStr">
        <is>
          <t>HUDIKSVALL</t>
        </is>
      </c>
      <c r="F9300" t="inlineStr">
        <is>
          <t>Holmen skog AB</t>
        </is>
      </c>
      <c r="G9300" t="n">
        <v>10</v>
      </c>
      <c r="H9300" t="n">
        <v>0</v>
      </c>
      <c r="I9300" t="n">
        <v>0</v>
      </c>
      <c r="J9300" t="n">
        <v>0</v>
      </c>
      <c r="K9300" t="n">
        <v>0</v>
      </c>
      <c r="L9300" t="n">
        <v>0</v>
      </c>
      <c r="M9300" t="n">
        <v>0</v>
      </c>
      <c r="N9300" t="n">
        <v>0</v>
      </c>
      <c r="O9300" t="n">
        <v>0</v>
      </c>
      <c r="P9300" t="n">
        <v>0</v>
      </c>
      <c r="Q9300" t="n">
        <v>0</v>
      </c>
      <c r="R9300" s="2" t="inlineStr"/>
    </row>
    <row r="9301" ht="15" customHeight="1">
      <c r="A9301" t="inlineStr">
        <is>
          <t>A 8798-2026</t>
        </is>
      </c>
      <c r="B9301" s="1" t="n">
        <v>46066.59548611111</v>
      </c>
      <c r="C9301" s="1" t="n">
        <v>46086</v>
      </c>
      <c r="D9301" t="inlineStr">
        <is>
          <t>GÄVLEBORGS LÄN</t>
        </is>
      </c>
      <c r="E9301" t="inlineStr">
        <is>
          <t>BOLLNÄS</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8814-2026</t>
        </is>
      </c>
      <c r="B9302" s="1" t="n">
        <v>46066.61831018519</v>
      </c>
      <c r="C9302" s="1" t="n">
        <v>46086</v>
      </c>
      <c r="D9302" t="inlineStr">
        <is>
          <t>GÄVLEBORGS LÄN</t>
        </is>
      </c>
      <c r="E9302" t="inlineStr">
        <is>
          <t>OVANÅKER</t>
        </is>
      </c>
      <c r="G9302" t="n">
        <v>5.4</v>
      </c>
      <c r="H9302" t="n">
        <v>0</v>
      </c>
      <c r="I9302" t="n">
        <v>0</v>
      </c>
      <c r="J9302" t="n">
        <v>0</v>
      </c>
      <c r="K9302" t="n">
        <v>0</v>
      </c>
      <c r="L9302" t="n">
        <v>0</v>
      </c>
      <c r="M9302" t="n">
        <v>0</v>
      </c>
      <c r="N9302" t="n">
        <v>0</v>
      </c>
      <c r="O9302" t="n">
        <v>0</v>
      </c>
      <c r="P9302" t="n">
        <v>0</v>
      </c>
      <c r="Q9302" t="n">
        <v>0</v>
      </c>
      <c r="R9302" s="2" t="inlineStr"/>
    </row>
    <row r="9303" ht="15" customHeight="1">
      <c r="A9303" t="inlineStr">
        <is>
          <t>A 4516-2026</t>
        </is>
      </c>
      <c r="B9303" s="1" t="n">
        <v>46045</v>
      </c>
      <c r="C9303" s="1" t="n">
        <v>46086</v>
      </c>
      <c r="D9303" t="inlineStr">
        <is>
          <t>GÄVLEBORGS LÄN</t>
        </is>
      </c>
      <c r="E9303" t="inlineStr">
        <is>
          <t>OVANÅKER</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6862-2026</t>
        </is>
      </c>
      <c r="B9304" s="1" t="n">
        <v>46057</v>
      </c>
      <c r="C9304" s="1" t="n">
        <v>46086</v>
      </c>
      <c r="D9304" t="inlineStr">
        <is>
          <t>GÄVLEBORGS LÄN</t>
        </is>
      </c>
      <c r="E9304" t="inlineStr">
        <is>
          <t>OCKELBO</t>
        </is>
      </c>
      <c r="F9304" t="inlineStr">
        <is>
          <t>Bergvik skog väst AB</t>
        </is>
      </c>
      <c r="G9304" t="n">
        <v>4.2</v>
      </c>
      <c r="H9304" t="n">
        <v>0</v>
      </c>
      <c r="I9304" t="n">
        <v>0</v>
      </c>
      <c r="J9304" t="n">
        <v>0</v>
      </c>
      <c r="K9304" t="n">
        <v>0</v>
      </c>
      <c r="L9304" t="n">
        <v>0</v>
      </c>
      <c r="M9304" t="n">
        <v>0</v>
      </c>
      <c r="N9304" t="n">
        <v>0</v>
      </c>
      <c r="O9304" t="n">
        <v>0</v>
      </c>
      <c r="P9304" t="n">
        <v>0</v>
      </c>
      <c r="Q9304" t="n">
        <v>0</v>
      </c>
      <c r="R9304" s="2" t="inlineStr"/>
    </row>
    <row r="9305" ht="15" customHeight="1">
      <c r="A9305" t="inlineStr">
        <is>
          <t>A 7624-2026</t>
        </is>
      </c>
      <c r="B9305" s="1" t="n">
        <v>46062</v>
      </c>
      <c r="C9305" s="1" t="n">
        <v>46086</v>
      </c>
      <c r="D9305" t="inlineStr">
        <is>
          <t>GÄVLEBORGS LÄN</t>
        </is>
      </c>
      <c r="E9305" t="inlineStr">
        <is>
          <t>BOLLNÄS</t>
        </is>
      </c>
      <c r="G9305" t="n">
        <v>3.9</v>
      </c>
      <c r="H9305" t="n">
        <v>0</v>
      </c>
      <c r="I9305" t="n">
        <v>0</v>
      </c>
      <c r="J9305" t="n">
        <v>0</v>
      </c>
      <c r="K9305" t="n">
        <v>0</v>
      </c>
      <c r="L9305" t="n">
        <v>0</v>
      </c>
      <c r="M9305" t="n">
        <v>0</v>
      </c>
      <c r="N9305" t="n">
        <v>0</v>
      </c>
      <c r="O9305" t="n">
        <v>0</v>
      </c>
      <c r="P9305" t="n">
        <v>0</v>
      </c>
      <c r="Q9305" t="n">
        <v>0</v>
      </c>
      <c r="R9305" s="2" t="inlineStr"/>
    </row>
    <row r="9306" ht="15" customHeight="1">
      <c r="A9306" t="inlineStr">
        <is>
          <t>A 4127-2026</t>
        </is>
      </c>
      <c r="B9306" s="1" t="n">
        <v>46044</v>
      </c>
      <c r="C9306" s="1" t="n">
        <v>46086</v>
      </c>
      <c r="D9306" t="inlineStr">
        <is>
          <t>GÄVLEBORGS LÄN</t>
        </is>
      </c>
      <c r="E9306" t="inlineStr">
        <is>
          <t>BOLLNÄS</t>
        </is>
      </c>
      <c r="G9306" t="n">
        <v>6.1</v>
      </c>
      <c r="H9306" t="n">
        <v>0</v>
      </c>
      <c r="I9306" t="n">
        <v>0</v>
      </c>
      <c r="J9306" t="n">
        <v>0</v>
      </c>
      <c r="K9306" t="n">
        <v>0</v>
      </c>
      <c r="L9306" t="n">
        <v>0</v>
      </c>
      <c r="M9306" t="n">
        <v>0</v>
      </c>
      <c r="N9306" t="n">
        <v>0</v>
      </c>
      <c r="O9306" t="n">
        <v>0</v>
      </c>
      <c r="P9306" t="n">
        <v>0</v>
      </c>
      <c r="Q9306" t="n">
        <v>0</v>
      </c>
      <c r="R9306" s="2" t="inlineStr"/>
    </row>
    <row r="9307" ht="15" customHeight="1">
      <c r="A9307" t="inlineStr">
        <is>
          <t>A 4158-2026</t>
        </is>
      </c>
      <c r="B9307" s="1" t="n">
        <v>46044</v>
      </c>
      <c r="C9307" s="1" t="n">
        <v>46086</v>
      </c>
      <c r="D9307" t="inlineStr">
        <is>
          <t>GÄVLEBORGS LÄN</t>
        </is>
      </c>
      <c r="E9307" t="inlineStr">
        <is>
          <t>BOLLNÄS</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4160-2026</t>
        </is>
      </c>
      <c r="B9308" s="1" t="n">
        <v>46044</v>
      </c>
      <c r="C9308" s="1" t="n">
        <v>46086</v>
      </c>
      <c r="D9308" t="inlineStr">
        <is>
          <t>GÄVLEBORGS LÄN</t>
        </is>
      </c>
      <c r="E9308" t="inlineStr">
        <is>
          <t>BOLLNÄS</t>
        </is>
      </c>
      <c r="G9308" t="n">
        <v>2.7</v>
      </c>
      <c r="H9308" t="n">
        <v>0</v>
      </c>
      <c r="I9308" t="n">
        <v>0</v>
      </c>
      <c r="J9308" t="n">
        <v>0</v>
      </c>
      <c r="K9308" t="n">
        <v>0</v>
      </c>
      <c r="L9308" t="n">
        <v>0</v>
      </c>
      <c r="M9308" t="n">
        <v>0</v>
      </c>
      <c r="N9308" t="n">
        <v>0</v>
      </c>
      <c r="O9308" t="n">
        <v>0</v>
      </c>
      <c r="P9308" t="n">
        <v>0</v>
      </c>
      <c r="Q9308" t="n">
        <v>0</v>
      </c>
      <c r="R9308" s="2" t="inlineStr"/>
    </row>
    <row r="9309" ht="15" customHeight="1">
      <c r="A9309" t="inlineStr">
        <is>
          <t>A 4951-2026</t>
        </is>
      </c>
      <c r="B9309" s="1" t="n">
        <v>46049</v>
      </c>
      <c r="C9309" s="1" t="n">
        <v>46086</v>
      </c>
      <c r="D9309" t="inlineStr">
        <is>
          <t>GÄVLEBORGS LÄN</t>
        </is>
      </c>
      <c r="E9309" t="inlineStr">
        <is>
          <t>BOLLNÄS</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142-2026</t>
        </is>
      </c>
      <c r="B9310" s="1" t="n">
        <v>46024</v>
      </c>
      <c r="C9310" s="1" t="n">
        <v>46086</v>
      </c>
      <c r="D9310" t="inlineStr">
        <is>
          <t>GÄVLEBORGS LÄN</t>
        </is>
      </c>
      <c r="E9310" t="inlineStr">
        <is>
          <t>OCKELBO</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4630-2026</t>
        </is>
      </c>
      <c r="B9311" s="1" t="n">
        <v>46048</v>
      </c>
      <c r="C9311" s="1" t="n">
        <v>46086</v>
      </c>
      <c r="D9311" t="inlineStr">
        <is>
          <t>GÄVLEBORGS LÄN</t>
        </is>
      </c>
      <c r="E9311" t="inlineStr">
        <is>
          <t>NORDANSTIG</t>
        </is>
      </c>
      <c r="F9311" t="inlineStr">
        <is>
          <t>Holmen skog AB</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96-2026</t>
        </is>
      </c>
      <c r="B9312" s="1" t="n">
        <v>46024.49420138889</v>
      </c>
      <c r="C9312" s="1" t="n">
        <v>46086</v>
      </c>
      <c r="D9312" t="inlineStr">
        <is>
          <t>GÄVLEBORGS LÄN</t>
        </is>
      </c>
      <c r="E9312" t="inlineStr">
        <is>
          <t>OVANÅKER</t>
        </is>
      </c>
      <c r="G9312" t="n">
        <v>4.4</v>
      </c>
      <c r="H9312" t="n">
        <v>0</v>
      </c>
      <c r="I9312" t="n">
        <v>0</v>
      </c>
      <c r="J9312" t="n">
        <v>0</v>
      </c>
      <c r="K9312" t="n">
        <v>0</v>
      </c>
      <c r="L9312" t="n">
        <v>0</v>
      </c>
      <c r="M9312" t="n">
        <v>0</v>
      </c>
      <c r="N9312" t="n">
        <v>0</v>
      </c>
      <c r="O9312" t="n">
        <v>0</v>
      </c>
      <c r="P9312" t="n">
        <v>0</v>
      </c>
      <c r="Q9312" t="n">
        <v>0</v>
      </c>
      <c r="R9312" s="2" t="inlineStr"/>
    </row>
    <row r="9313" ht="15" customHeight="1">
      <c r="A9313" t="inlineStr">
        <is>
          <t>A 103-2026</t>
        </is>
      </c>
      <c r="B9313" s="1" t="n">
        <v>46024.51869212963</v>
      </c>
      <c r="C9313" s="1" t="n">
        <v>46086</v>
      </c>
      <c r="D9313" t="inlineStr">
        <is>
          <t>GÄVLEBORGS LÄN</t>
        </is>
      </c>
      <c r="E9313" t="inlineStr">
        <is>
          <t>OVANÅKER</t>
        </is>
      </c>
      <c r="G9313" t="n">
        <v>6.5</v>
      </c>
      <c r="H9313" t="n">
        <v>0</v>
      </c>
      <c r="I9313" t="n">
        <v>0</v>
      </c>
      <c r="J9313" t="n">
        <v>0</v>
      </c>
      <c r="K9313" t="n">
        <v>0</v>
      </c>
      <c r="L9313" t="n">
        <v>0</v>
      </c>
      <c r="M9313" t="n">
        <v>0</v>
      </c>
      <c r="N9313" t="n">
        <v>0</v>
      </c>
      <c r="O9313" t="n">
        <v>0</v>
      </c>
      <c r="P9313" t="n">
        <v>0</v>
      </c>
      <c r="Q9313" t="n">
        <v>0</v>
      </c>
      <c r="R9313" s="2" t="inlineStr"/>
    </row>
    <row r="9314" ht="15" customHeight="1">
      <c r="A9314" t="inlineStr">
        <is>
          <t>A 154-2026</t>
        </is>
      </c>
      <c r="B9314" s="1" t="n">
        <v>46024</v>
      </c>
      <c r="C9314" s="1" t="n">
        <v>46086</v>
      </c>
      <c r="D9314" t="inlineStr">
        <is>
          <t>GÄVLEBORGS LÄN</t>
        </is>
      </c>
      <c r="E9314" t="inlineStr">
        <is>
          <t>BOLLNÄS</t>
        </is>
      </c>
      <c r="G9314" t="n">
        <v>2.6</v>
      </c>
      <c r="H9314" t="n">
        <v>0</v>
      </c>
      <c r="I9314" t="n">
        <v>0</v>
      </c>
      <c r="J9314" t="n">
        <v>0</v>
      </c>
      <c r="K9314" t="n">
        <v>0</v>
      </c>
      <c r="L9314" t="n">
        <v>0</v>
      </c>
      <c r="M9314" t="n">
        <v>0</v>
      </c>
      <c r="N9314" t="n">
        <v>0</v>
      </c>
      <c r="O9314" t="n">
        <v>0</v>
      </c>
      <c r="P9314" t="n">
        <v>0</v>
      </c>
      <c r="Q9314" t="n">
        <v>0</v>
      </c>
      <c r="R9314" s="2" t="inlineStr"/>
    </row>
    <row r="9315" ht="15" customHeight="1">
      <c r="A9315" t="inlineStr">
        <is>
          <t>A 596-2026</t>
        </is>
      </c>
      <c r="B9315" s="1" t="n">
        <v>46027</v>
      </c>
      <c r="C9315" s="1" t="n">
        <v>46086</v>
      </c>
      <c r="D9315" t="inlineStr">
        <is>
          <t>GÄVLEBORGS LÄN</t>
        </is>
      </c>
      <c r="E9315" t="inlineStr">
        <is>
          <t>BOLLNÄS</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288-2026</t>
        </is>
      </c>
      <c r="B9316" s="1" t="n">
        <v>46027.49688657407</v>
      </c>
      <c r="C9316" s="1" t="n">
        <v>46086</v>
      </c>
      <c r="D9316" t="inlineStr">
        <is>
          <t>GÄVLEBORGS LÄN</t>
        </is>
      </c>
      <c r="E9316" t="inlineStr">
        <is>
          <t>OCKELBO</t>
        </is>
      </c>
      <c r="G9316" t="n">
        <v>11.8</v>
      </c>
      <c r="H9316" t="n">
        <v>0</v>
      </c>
      <c r="I9316" t="n">
        <v>0</v>
      </c>
      <c r="J9316" t="n">
        <v>0</v>
      </c>
      <c r="K9316" t="n">
        <v>0</v>
      </c>
      <c r="L9316" t="n">
        <v>0</v>
      </c>
      <c r="M9316" t="n">
        <v>0</v>
      </c>
      <c r="N9316" t="n">
        <v>0</v>
      </c>
      <c r="O9316" t="n">
        <v>0</v>
      </c>
      <c r="P9316" t="n">
        <v>0</v>
      </c>
      <c r="Q9316" t="n">
        <v>0</v>
      </c>
      <c r="R9316" s="2" t="inlineStr"/>
    </row>
    <row r="9317" ht="15" customHeight="1">
      <c r="A9317" t="inlineStr">
        <is>
          <t>A 292-2026</t>
        </is>
      </c>
      <c r="B9317" s="1" t="n">
        <v>46027.50319444444</v>
      </c>
      <c r="C9317" s="1" t="n">
        <v>46086</v>
      </c>
      <c r="D9317" t="inlineStr">
        <is>
          <t>GÄVLEBORGS LÄN</t>
        </is>
      </c>
      <c r="E9317" t="inlineStr">
        <is>
          <t>OCKELBO</t>
        </is>
      </c>
      <c r="F9317" t="inlineStr">
        <is>
          <t>Bergvik skog väst AB</t>
        </is>
      </c>
      <c r="G9317" t="n">
        <v>6.6</v>
      </c>
      <c r="H9317" t="n">
        <v>0</v>
      </c>
      <c r="I9317" t="n">
        <v>0</v>
      </c>
      <c r="J9317" t="n">
        <v>0</v>
      </c>
      <c r="K9317" t="n">
        <v>0</v>
      </c>
      <c r="L9317" t="n">
        <v>0</v>
      </c>
      <c r="M9317" t="n">
        <v>0</v>
      </c>
      <c r="N9317" t="n">
        <v>0</v>
      </c>
      <c r="O9317" t="n">
        <v>0</v>
      </c>
      <c r="P9317" t="n">
        <v>0</v>
      </c>
      <c r="Q9317" t="n">
        <v>0</v>
      </c>
      <c r="R9317" s="2" t="inlineStr"/>
    </row>
    <row r="9318" ht="15" customHeight="1">
      <c r="A9318" t="inlineStr">
        <is>
          <t>A 299-2026</t>
        </is>
      </c>
      <c r="B9318" s="1" t="n">
        <v>46027.51408564814</v>
      </c>
      <c r="C9318" s="1" t="n">
        <v>46086</v>
      </c>
      <c r="D9318" t="inlineStr">
        <is>
          <t>GÄVLEBORGS LÄN</t>
        </is>
      </c>
      <c r="E9318" t="inlineStr">
        <is>
          <t>OCKELBO</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304-2026</t>
        </is>
      </c>
      <c r="B9319" s="1" t="n">
        <v>46027.53659722222</v>
      </c>
      <c r="C9319" s="1" t="n">
        <v>46086</v>
      </c>
      <c r="D9319" t="inlineStr">
        <is>
          <t>GÄVLEBORGS LÄN</t>
        </is>
      </c>
      <c r="E9319" t="inlineStr">
        <is>
          <t>LJUSDAL</t>
        </is>
      </c>
      <c r="G9319" t="n">
        <v>4.9</v>
      </c>
      <c r="H9319" t="n">
        <v>0</v>
      </c>
      <c r="I9319" t="n">
        <v>0</v>
      </c>
      <c r="J9319" t="n">
        <v>0</v>
      </c>
      <c r="K9319" t="n">
        <v>0</v>
      </c>
      <c r="L9319" t="n">
        <v>0</v>
      </c>
      <c r="M9319" t="n">
        <v>0</v>
      </c>
      <c r="N9319" t="n">
        <v>0</v>
      </c>
      <c r="O9319" t="n">
        <v>0</v>
      </c>
      <c r="P9319" t="n">
        <v>0</v>
      </c>
      <c r="Q9319" t="n">
        <v>0</v>
      </c>
      <c r="R9319" s="2" t="inlineStr"/>
    </row>
    <row r="9320" ht="15" customHeight="1">
      <c r="A9320" t="inlineStr">
        <is>
          <t>A 328-2026</t>
        </is>
      </c>
      <c r="B9320" s="1" t="n">
        <v>46027</v>
      </c>
      <c r="C9320" s="1" t="n">
        <v>46086</v>
      </c>
      <c r="D9320" t="inlineStr">
        <is>
          <t>GÄVLEBORGS LÄN</t>
        </is>
      </c>
      <c r="E9320" t="inlineStr">
        <is>
          <t>LJUSDAL</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8729-2026</t>
        </is>
      </c>
      <c r="B9321" s="1" t="n">
        <v>46066.49512731482</v>
      </c>
      <c r="C9321" s="1" t="n">
        <v>46086</v>
      </c>
      <c r="D9321" t="inlineStr">
        <is>
          <t>GÄVLEBORGS LÄN</t>
        </is>
      </c>
      <c r="E9321" t="inlineStr">
        <is>
          <t>OCKELBO</t>
        </is>
      </c>
      <c r="F9321" t="inlineStr">
        <is>
          <t>Bergvik skog väst AB</t>
        </is>
      </c>
      <c r="G9321" t="n">
        <v>12.3</v>
      </c>
      <c r="H9321" t="n">
        <v>0</v>
      </c>
      <c r="I9321" t="n">
        <v>0</v>
      </c>
      <c r="J9321" t="n">
        <v>0</v>
      </c>
      <c r="K9321" t="n">
        <v>0</v>
      </c>
      <c r="L9321" t="n">
        <v>0</v>
      </c>
      <c r="M9321" t="n">
        <v>0</v>
      </c>
      <c r="N9321" t="n">
        <v>0</v>
      </c>
      <c r="O9321" t="n">
        <v>0</v>
      </c>
      <c r="P9321" t="n">
        <v>0</v>
      </c>
      <c r="Q9321" t="n">
        <v>0</v>
      </c>
      <c r="R9321" s="2" t="inlineStr"/>
    </row>
    <row r="9322" ht="15" customHeight="1">
      <c r="A9322" t="inlineStr">
        <is>
          <t>A 8953-2026</t>
        </is>
      </c>
      <c r="B9322" s="1" t="n">
        <v>46069</v>
      </c>
      <c r="C9322" s="1" t="n">
        <v>46086</v>
      </c>
      <c r="D9322" t="inlineStr">
        <is>
          <t>GÄVLEBORGS LÄN</t>
        </is>
      </c>
      <c r="E9322" t="inlineStr">
        <is>
          <t>OVANÅKER</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9235-2022</t>
        </is>
      </c>
      <c r="B9323" s="1" t="n">
        <v>44616.3750462963</v>
      </c>
      <c r="C9323" s="1" t="n">
        <v>46086</v>
      </c>
      <c r="D9323" t="inlineStr">
        <is>
          <t>GÄVLEBORGS LÄN</t>
        </is>
      </c>
      <c r="E9323" t="inlineStr">
        <is>
          <t>GÄVLE</t>
        </is>
      </c>
      <c r="G9323" t="n">
        <v>4.2</v>
      </c>
      <c r="H9323" t="n">
        <v>0</v>
      </c>
      <c r="I9323" t="n">
        <v>0</v>
      </c>
      <c r="J9323" t="n">
        <v>0</v>
      </c>
      <c r="K9323" t="n">
        <v>0</v>
      </c>
      <c r="L9323" t="n">
        <v>0</v>
      </c>
      <c r="M9323" t="n">
        <v>0</v>
      </c>
      <c r="N9323" t="n">
        <v>0</v>
      </c>
      <c r="O9323" t="n">
        <v>0</v>
      </c>
      <c r="P9323" t="n">
        <v>0</v>
      </c>
      <c r="Q9323" t="n">
        <v>0</v>
      </c>
      <c r="R9323" s="2" t="inlineStr"/>
    </row>
    <row r="9324" ht="15" customHeight="1">
      <c r="A9324" t="inlineStr">
        <is>
          <t>A 9027-2026</t>
        </is>
      </c>
      <c r="B9324" s="1" t="n">
        <v>46069.510625</v>
      </c>
      <c r="C9324" s="1" t="n">
        <v>46086</v>
      </c>
      <c r="D9324" t="inlineStr">
        <is>
          <t>GÄVLEBORGS LÄN</t>
        </is>
      </c>
      <c r="E9324" t="inlineStr">
        <is>
          <t>GÄVLE</t>
        </is>
      </c>
      <c r="G9324" t="n">
        <v>3.6</v>
      </c>
      <c r="H9324" t="n">
        <v>0</v>
      </c>
      <c r="I9324" t="n">
        <v>0</v>
      </c>
      <c r="J9324" t="n">
        <v>0</v>
      </c>
      <c r="K9324" t="n">
        <v>0</v>
      </c>
      <c r="L9324" t="n">
        <v>0</v>
      </c>
      <c r="M9324" t="n">
        <v>0</v>
      </c>
      <c r="N9324" t="n">
        <v>0</v>
      </c>
      <c r="O9324" t="n">
        <v>0</v>
      </c>
      <c r="P9324" t="n">
        <v>0</v>
      </c>
      <c r="Q9324" t="n">
        <v>0</v>
      </c>
      <c r="R9324" s="2" t="inlineStr"/>
    </row>
    <row r="9325" ht="15" customHeight="1">
      <c r="A9325" t="inlineStr">
        <is>
          <t>A 9093-2026</t>
        </is>
      </c>
      <c r="B9325" s="1" t="n">
        <v>46069.6334375</v>
      </c>
      <c r="C9325" s="1" t="n">
        <v>46086</v>
      </c>
      <c r="D9325" t="inlineStr">
        <is>
          <t>GÄVLEBORGS LÄN</t>
        </is>
      </c>
      <c r="E9325" t="inlineStr">
        <is>
          <t>SANDVIKEN</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8773-2026</t>
        </is>
      </c>
      <c r="B9326" s="1" t="n">
        <v>46066.57621527778</v>
      </c>
      <c r="C9326" s="1" t="n">
        <v>46086</v>
      </c>
      <c r="D9326" t="inlineStr">
        <is>
          <t>GÄVLEBORGS LÄN</t>
        </is>
      </c>
      <c r="E9326" t="inlineStr">
        <is>
          <t>BOLLNÄS</t>
        </is>
      </c>
      <c r="F9326" t="inlineStr">
        <is>
          <t>Sveaskog</t>
        </is>
      </c>
      <c r="G9326" t="n">
        <v>4.6</v>
      </c>
      <c r="H9326" t="n">
        <v>0</v>
      </c>
      <c r="I9326" t="n">
        <v>0</v>
      </c>
      <c r="J9326" t="n">
        <v>0</v>
      </c>
      <c r="K9326" t="n">
        <v>0</v>
      </c>
      <c r="L9326" t="n">
        <v>0</v>
      </c>
      <c r="M9326" t="n">
        <v>0</v>
      </c>
      <c r="N9326" t="n">
        <v>0</v>
      </c>
      <c r="O9326" t="n">
        <v>0</v>
      </c>
      <c r="P9326" t="n">
        <v>0</v>
      </c>
      <c r="Q9326" t="n">
        <v>0</v>
      </c>
      <c r="R9326" s="2" t="inlineStr"/>
    </row>
    <row r="9327" ht="15" customHeight="1">
      <c r="A9327" t="inlineStr">
        <is>
          <t>A 8778-2026</t>
        </is>
      </c>
      <c r="B9327" s="1" t="n">
        <v>46066.58045138889</v>
      </c>
      <c r="C9327" s="1" t="n">
        <v>46086</v>
      </c>
      <c r="D9327" t="inlineStr">
        <is>
          <t>GÄVLEBORGS LÄN</t>
        </is>
      </c>
      <c r="E9327" t="inlineStr">
        <is>
          <t>HUDIKSVALL</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8799-2026</t>
        </is>
      </c>
      <c r="B9328" s="1" t="n">
        <v>46066.59578703704</v>
      </c>
      <c r="C9328" s="1" t="n">
        <v>46086</v>
      </c>
      <c r="D9328" t="inlineStr">
        <is>
          <t>GÄVLEBORGS LÄN</t>
        </is>
      </c>
      <c r="E9328" t="inlineStr">
        <is>
          <t>BOLLNÄS</t>
        </is>
      </c>
      <c r="F9328" t="inlineStr">
        <is>
          <t>Sveaskog</t>
        </is>
      </c>
      <c r="G9328" t="n">
        <v>3.8</v>
      </c>
      <c r="H9328" t="n">
        <v>0</v>
      </c>
      <c r="I9328" t="n">
        <v>0</v>
      </c>
      <c r="J9328" t="n">
        <v>0</v>
      </c>
      <c r="K9328" t="n">
        <v>0</v>
      </c>
      <c r="L9328" t="n">
        <v>0</v>
      </c>
      <c r="M9328" t="n">
        <v>0</v>
      </c>
      <c r="N9328" t="n">
        <v>0</v>
      </c>
      <c r="O9328" t="n">
        <v>0</v>
      </c>
      <c r="P9328" t="n">
        <v>0</v>
      </c>
      <c r="Q9328" t="n">
        <v>0</v>
      </c>
      <c r="R9328" s="2" t="inlineStr"/>
    </row>
    <row r="9329" ht="15" customHeight="1">
      <c r="A9329" t="inlineStr">
        <is>
          <t>A 8595-2023</t>
        </is>
      </c>
      <c r="B9329" s="1" t="n">
        <v>44977</v>
      </c>
      <c r="C9329" s="1" t="n">
        <v>46086</v>
      </c>
      <c r="D9329" t="inlineStr">
        <is>
          <t>GÄVLEBORGS LÄN</t>
        </is>
      </c>
      <c r="E9329" t="inlineStr">
        <is>
          <t>HUDIKSVALL</t>
        </is>
      </c>
      <c r="G9329" t="n">
        <v>0.4</v>
      </c>
      <c r="H9329" t="n">
        <v>0</v>
      </c>
      <c r="I9329" t="n">
        <v>0</v>
      </c>
      <c r="J9329" t="n">
        <v>0</v>
      </c>
      <c r="K9329" t="n">
        <v>0</v>
      </c>
      <c r="L9329" t="n">
        <v>0</v>
      </c>
      <c r="M9329" t="n">
        <v>0</v>
      </c>
      <c r="N9329" t="n">
        <v>0</v>
      </c>
      <c r="O9329" t="n">
        <v>0</v>
      </c>
      <c r="P9329" t="n">
        <v>0</v>
      </c>
      <c r="Q9329" t="n">
        <v>0</v>
      </c>
      <c r="R9329" s="2" t="inlineStr"/>
    </row>
    <row r="9330" ht="15" customHeight="1">
      <c r="A9330" t="inlineStr">
        <is>
          <t>A 9068-2026</t>
        </is>
      </c>
      <c r="B9330" s="1" t="n">
        <v>46069.57314814815</v>
      </c>
      <c r="C9330" s="1" t="n">
        <v>46086</v>
      </c>
      <c r="D9330" t="inlineStr">
        <is>
          <t>GÄVLEBORGS LÄN</t>
        </is>
      </c>
      <c r="E9330" t="inlineStr">
        <is>
          <t>LJUSDAL</t>
        </is>
      </c>
      <c r="F9330" t="inlineStr">
        <is>
          <t>Sveaskog</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8908-2026</t>
        </is>
      </c>
      <c r="B9331" s="1" t="n">
        <v>46069.26480324074</v>
      </c>
      <c r="C9331" s="1" t="n">
        <v>46086</v>
      </c>
      <c r="D9331" t="inlineStr">
        <is>
          <t>GÄVLEBORGS LÄN</t>
        </is>
      </c>
      <c r="E9331" t="inlineStr">
        <is>
          <t>BOLLNÄS</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8913-2026</t>
        </is>
      </c>
      <c r="B9332" s="1" t="n">
        <v>46069.281875</v>
      </c>
      <c r="C9332" s="1" t="n">
        <v>46086</v>
      </c>
      <c r="D9332" t="inlineStr">
        <is>
          <t>GÄVLEBORGS LÄN</t>
        </is>
      </c>
      <c r="E9332" t="inlineStr">
        <is>
          <t>OVANÅKER</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19066-2025</t>
        </is>
      </c>
      <c r="B9333" s="1" t="n">
        <v>45765.42739583334</v>
      </c>
      <c r="C9333" s="1" t="n">
        <v>46086</v>
      </c>
      <c r="D9333" t="inlineStr">
        <is>
          <t>GÄVLEBORGS LÄN</t>
        </is>
      </c>
      <c r="E9333" t="inlineStr">
        <is>
          <t>LJUSDAL</t>
        </is>
      </c>
      <c r="F9333" t="inlineStr">
        <is>
          <t>SCA</t>
        </is>
      </c>
      <c r="G9333" t="n">
        <v>3.5</v>
      </c>
      <c r="H9333" t="n">
        <v>0</v>
      </c>
      <c r="I9333" t="n">
        <v>0</v>
      </c>
      <c r="J9333" t="n">
        <v>0</v>
      </c>
      <c r="K9333" t="n">
        <v>0</v>
      </c>
      <c r="L9333" t="n">
        <v>0</v>
      </c>
      <c r="M9333" t="n">
        <v>0</v>
      </c>
      <c r="N9333" t="n">
        <v>0</v>
      </c>
      <c r="O9333" t="n">
        <v>0</v>
      </c>
      <c r="P9333" t="n">
        <v>0</v>
      </c>
      <c r="Q9333" t="n">
        <v>0</v>
      </c>
      <c r="R9333" s="2" t="inlineStr"/>
    </row>
    <row r="9334" ht="15" customHeight="1">
      <c r="A9334" t="inlineStr">
        <is>
          <t>A 8891-2026</t>
        </is>
      </c>
      <c r="B9334" s="1" t="n">
        <v>46068.44702546296</v>
      </c>
      <c r="C9334" s="1" t="n">
        <v>46086</v>
      </c>
      <c r="D9334" t="inlineStr">
        <is>
          <t>GÄVLEBORGS LÄN</t>
        </is>
      </c>
      <c r="E9334" t="inlineStr">
        <is>
          <t>OVANÅKER</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8894-2026</t>
        </is>
      </c>
      <c r="B9335" s="1" t="n">
        <v>46068.45121527778</v>
      </c>
      <c r="C9335" s="1" t="n">
        <v>46086</v>
      </c>
      <c r="D9335" t="inlineStr">
        <is>
          <t>GÄVLEBORGS LÄN</t>
        </is>
      </c>
      <c r="E9335" t="inlineStr">
        <is>
          <t>OVANÅKER</t>
        </is>
      </c>
      <c r="G9335" t="n">
        <v>3.9</v>
      </c>
      <c r="H9335" t="n">
        <v>0</v>
      </c>
      <c r="I9335" t="n">
        <v>0</v>
      </c>
      <c r="J9335" t="n">
        <v>0</v>
      </c>
      <c r="K9335" t="n">
        <v>0</v>
      </c>
      <c r="L9335" t="n">
        <v>0</v>
      </c>
      <c r="M9335" t="n">
        <v>0</v>
      </c>
      <c r="N9335" t="n">
        <v>0</v>
      </c>
      <c r="O9335" t="n">
        <v>0</v>
      </c>
      <c r="P9335" t="n">
        <v>0</v>
      </c>
      <c r="Q9335" t="n">
        <v>0</v>
      </c>
      <c r="R9335" s="2" t="inlineStr"/>
    </row>
    <row r="9336" ht="15" customHeight="1">
      <c r="A9336" t="inlineStr">
        <is>
          <t>A 200-2026</t>
        </is>
      </c>
      <c r="B9336" s="1" t="n">
        <v>46026</v>
      </c>
      <c r="C9336" s="1" t="n">
        <v>46086</v>
      </c>
      <c r="D9336" t="inlineStr">
        <is>
          <t>GÄVLEBORGS LÄN</t>
        </is>
      </c>
      <c r="E9336" t="inlineStr">
        <is>
          <t>SÖDERHAMN</t>
        </is>
      </c>
      <c r="G9336" t="n">
        <v>3</v>
      </c>
      <c r="H9336" t="n">
        <v>0</v>
      </c>
      <c r="I9336" t="n">
        <v>0</v>
      </c>
      <c r="J9336" t="n">
        <v>0</v>
      </c>
      <c r="K9336" t="n">
        <v>0</v>
      </c>
      <c r="L9336" t="n">
        <v>0</v>
      </c>
      <c r="M9336" t="n">
        <v>0</v>
      </c>
      <c r="N9336" t="n">
        <v>0</v>
      </c>
      <c r="O9336" t="n">
        <v>0</v>
      </c>
      <c r="P9336" t="n">
        <v>0</v>
      </c>
      <c r="Q9336" t="n">
        <v>0</v>
      </c>
      <c r="R9336" s="2" t="inlineStr"/>
    </row>
    <row r="9337" ht="15" customHeight="1">
      <c r="A9337" t="inlineStr">
        <is>
          <t>A 202-2026</t>
        </is>
      </c>
      <c r="B9337" s="1" t="n">
        <v>46026</v>
      </c>
      <c r="C9337" s="1" t="n">
        <v>46086</v>
      </c>
      <c r="D9337" t="inlineStr">
        <is>
          <t>GÄVLEBORGS LÄN</t>
        </is>
      </c>
      <c r="E9337" t="inlineStr">
        <is>
          <t>SÖDERHAMN</t>
        </is>
      </c>
      <c r="G9337" t="n">
        <v>10.8</v>
      </c>
      <c r="H9337" t="n">
        <v>0</v>
      </c>
      <c r="I9337" t="n">
        <v>0</v>
      </c>
      <c r="J9337" t="n">
        <v>0</v>
      </c>
      <c r="K9337" t="n">
        <v>0</v>
      </c>
      <c r="L9337" t="n">
        <v>0</v>
      </c>
      <c r="M9337" t="n">
        <v>0</v>
      </c>
      <c r="N9337" t="n">
        <v>0</v>
      </c>
      <c r="O9337" t="n">
        <v>0</v>
      </c>
      <c r="P9337" t="n">
        <v>0</v>
      </c>
      <c r="Q9337" t="n">
        <v>0</v>
      </c>
      <c r="R9337" s="2" t="inlineStr"/>
    </row>
    <row r="9338" ht="15" customHeight="1">
      <c r="A9338" t="inlineStr">
        <is>
          <t>A 219-2026</t>
        </is>
      </c>
      <c r="B9338" s="1" t="n">
        <v>46026.70193287037</v>
      </c>
      <c r="C9338" s="1" t="n">
        <v>46086</v>
      </c>
      <c r="D9338" t="inlineStr">
        <is>
          <t>GÄVLEBORGS LÄN</t>
        </is>
      </c>
      <c r="E9338" t="inlineStr">
        <is>
          <t>HUDIKSVALL</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224-2026</t>
        </is>
      </c>
      <c r="B9339" s="1" t="n">
        <v>46026</v>
      </c>
      <c r="C9339" s="1" t="n">
        <v>46086</v>
      </c>
      <c r="D9339" t="inlineStr">
        <is>
          <t>GÄVLEBORGS LÄN</t>
        </is>
      </c>
      <c r="E9339" t="inlineStr">
        <is>
          <t>NORDANSTIG</t>
        </is>
      </c>
      <c r="G9339" t="n">
        <v>7.5</v>
      </c>
      <c r="H9339" t="n">
        <v>0</v>
      </c>
      <c r="I9339" t="n">
        <v>0</v>
      </c>
      <c r="J9339" t="n">
        <v>0</v>
      </c>
      <c r="K9339" t="n">
        <v>0</v>
      </c>
      <c r="L9339" t="n">
        <v>0</v>
      </c>
      <c r="M9339" t="n">
        <v>0</v>
      </c>
      <c r="N9339" t="n">
        <v>0</v>
      </c>
      <c r="O9339" t="n">
        <v>0</v>
      </c>
      <c r="P9339" t="n">
        <v>0</v>
      </c>
      <c r="Q9339" t="n">
        <v>0</v>
      </c>
      <c r="R9339" s="2" t="inlineStr"/>
    </row>
    <row r="9340" ht="15" customHeight="1">
      <c r="A9340" t="inlineStr">
        <is>
          <t>A 6314-2026</t>
        </is>
      </c>
      <c r="B9340" s="1" t="n">
        <v>46055</v>
      </c>
      <c r="C9340" s="1" t="n">
        <v>46086</v>
      </c>
      <c r="D9340" t="inlineStr">
        <is>
          <t>GÄVLEBORGS LÄN</t>
        </is>
      </c>
      <c r="E9340" t="inlineStr">
        <is>
          <t>HUDIKSVALL</t>
        </is>
      </c>
      <c r="F9340" t="inlineStr">
        <is>
          <t>Kommuner</t>
        </is>
      </c>
      <c r="G9340" t="n">
        <v>5.5</v>
      </c>
      <c r="H9340" t="n">
        <v>0</v>
      </c>
      <c r="I9340" t="n">
        <v>0</v>
      </c>
      <c r="J9340" t="n">
        <v>0</v>
      </c>
      <c r="K9340" t="n">
        <v>0</v>
      </c>
      <c r="L9340" t="n">
        <v>0</v>
      </c>
      <c r="M9340" t="n">
        <v>0</v>
      </c>
      <c r="N9340" t="n">
        <v>0</v>
      </c>
      <c r="O9340" t="n">
        <v>0</v>
      </c>
      <c r="P9340" t="n">
        <v>0</v>
      </c>
      <c r="Q9340" t="n">
        <v>0</v>
      </c>
      <c r="R9340" s="2" t="inlineStr"/>
    </row>
    <row r="9341" ht="15" customHeight="1">
      <c r="A9341" t="inlineStr">
        <is>
          <t>A 271-2026</t>
        </is>
      </c>
      <c r="B9341" s="1" t="n">
        <v>46027.46079861111</v>
      </c>
      <c r="C9341" s="1" t="n">
        <v>46086</v>
      </c>
      <c r="D9341" t="inlineStr">
        <is>
          <t>GÄVLEBORGS LÄN</t>
        </is>
      </c>
      <c r="E9341" t="inlineStr">
        <is>
          <t>BOLLNÄS</t>
        </is>
      </c>
      <c r="G9341" t="n">
        <v>5.4</v>
      </c>
      <c r="H9341" t="n">
        <v>0</v>
      </c>
      <c r="I9341" t="n">
        <v>0</v>
      </c>
      <c r="J9341" t="n">
        <v>0</v>
      </c>
      <c r="K9341" t="n">
        <v>0</v>
      </c>
      <c r="L9341" t="n">
        <v>0</v>
      </c>
      <c r="M9341" t="n">
        <v>0</v>
      </c>
      <c r="N9341" t="n">
        <v>0</v>
      </c>
      <c r="O9341" t="n">
        <v>0</v>
      </c>
      <c r="P9341" t="n">
        <v>0</v>
      </c>
      <c r="Q9341" t="n">
        <v>0</v>
      </c>
      <c r="R9341" s="2" t="inlineStr"/>
    </row>
    <row r="9342" ht="15" customHeight="1">
      <c r="A9342" t="inlineStr">
        <is>
          <t>A 221-2026</t>
        </is>
      </c>
      <c r="B9342" s="1" t="n">
        <v>46026.81859953704</v>
      </c>
      <c r="C9342" s="1" t="n">
        <v>46086</v>
      </c>
      <c r="D9342" t="inlineStr">
        <is>
          <t>GÄVLEBORGS LÄN</t>
        </is>
      </c>
      <c r="E9342" t="inlineStr">
        <is>
          <t>OVANÅKER</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227-2026</t>
        </is>
      </c>
      <c r="B9343" s="1" t="n">
        <v>46026</v>
      </c>
      <c r="C9343" s="1" t="n">
        <v>46086</v>
      </c>
      <c r="D9343" t="inlineStr">
        <is>
          <t>GÄVLEBORGS LÄN</t>
        </is>
      </c>
      <c r="E9343" t="inlineStr">
        <is>
          <t>NORDANSTIG</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48-2026</t>
        </is>
      </c>
      <c r="B9344" s="1" t="n">
        <v>46024</v>
      </c>
      <c r="C9344" s="1" t="n">
        <v>46086</v>
      </c>
      <c r="D9344" t="inlineStr">
        <is>
          <t>GÄVLEBORGS LÄN</t>
        </is>
      </c>
      <c r="E9344" t="inlineStr">
        <is>
          <t>LJUSDAL</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324-2026</t>
        </is>
      </c>
      <c r="B9345" s="1" t="n">
        <v>46027</v>
      </c>
      <c r="C9345" s="1" t="n">
        <v>46086</v>
      </c>
      <c r="D9345" t="inlineStr">
        <is>
          <t>GÄVLEBORGS LÄN</t>
        </is>
      </c>
      <c r="E9345" t="inlineStr">
        <is>
          <t>LJUSDAL</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327-2026</t>
        </is>
      </c>
      <c r="B9346" s="1" t="n">
        <v>46027.59274305555</v>
      </c>
      <c r="C9346" s="1" t="n">
        <v>46086</v>
      </c>
      <c r="D9346" t="inlineStr">
        <is>
          <t>GÄVLEBORGS LÄN</t>
        </is>
      </c>
      <c r="E9346" t="inlineStr">
        <is>
          <t>OCKELBO</t>
        </is>
      </c>
      <c r="G9346" t="n">
        <v>3.5</v>
      </c>
      <c r="H9346" t="n">
        <v>0</v>
      </c>
      <c r="I9346" t="n">
        <v>0</v>
      </c>
      <c r="J9346" t="n">
        <v>0</v>
      </c>
      <c r="K9346" t="n">
        <v>0</v>
      </c>
      <c r="L9346" t="n">
        <v>0</v>
      </c>
      <c r="M9346" t="n">
        <v>0</v>
      </c>
      <c r="N9346" t="n">
        <v>0</v>
      </c>
      <c r="O9346" t="n">
        <v>0</v>
      </c>
      <c r="P9346" t="n">
        <v>0</v>
      </c>
      <c r="Q9346" t="n">
        <v>0</v>
      </c>
      <c r="R9346" s="2" t="inlineStr"/>
    </row>
    <row r="9347" ht="15" customHeight="1">
      <c r="A9347" t="inlineStr">
        <is>
          <t>A 9463-2026</t>
        </is>
      </c>
      <c r="B9347" s="1" t="n">
        <v>46071.49969907408</v>
      </c>
      <c r="C9347" s="1" t="n">
        <v>46086</v>
      </c>
      <c r="D9347" t="inlineStr">
        <is>
          <t>GÄVLEBORGS LÄN</t>
        </is>
      </c>
      <c r="E9347" t="inlineStr">
        <is>
          <t>OCKELBO</t>
        </is>
      </c>
      <c r="F9347" t="inlineStr">
        <is>
          <t>Bergvik skog väst AB</t>
        </is>
      </c>
      <c r="G9347" t="n">
        <v>15.1</v>
      </c>
      <c r="H9347" t="n">
        <v>0</v>
      </c>
      <c r="I9347" t="n">
        <v>0</v>
      </c>
      <c r="J9347" t="n">
        <v>0</v>
      </c>
      <c r="K9347" t="n">
        <v>0</v>
      </c>
      <c r="L9347" t="n">
        <v>0</v>
      </c>
      <c r="M9347" t="n">
        <v>0</v>
      </c>
      <c r="N9347" t="n">
        <v>0</v>
      </c>
      <c r="O9347" t="n">
        <v>0</v>
      </c>
      <c r="P9347" t="n">
        <v>0</v>
      </c>
      <c r="Q9347" t="n">
        <v>0</v>
      </c>
      <c r="R9347" s="2" t="inlineStr"/>
    </row>
    <row r="9348" ht="15" customHeight="1">
      <c r="A9348" t="inlineStr">
        <is>
          <t>A 9470-2026</t>
        </is>
      </c>
      <c r="B9348" s="1" t="n">
        <v>46071.51452546296</v>
      </c>
      <c r="C9348" s="1" t="n">
        <v>46086</v>
      </c>
      <c r="D9348" t="inlineStr">
        <is>
          <t>GÄVLEBORGS LÄN</t>
        </is>
      </c>
      <c r="E9348" t="inlineStr">
        <is>
          <t>OCKELBO</t>
        </is>
      </c>
      <c r="F9348" t="inlineStr">
        <is>
          <t>Bergvik skog väst AB</t>
        </is>
      </c>
      <c r="G9348" t="n">
        <v>5.1</v>
      </c>
      <c r="H9348" t="n">
        <v>0</v>
      </c>
      <c r="I9348" t="n">
        <v>0</v>
      </c>
      <c r="J9348" t="n">
        <v>0</v>
      </c>
      <c r="K9348" t="n">
        <v>0</v>
      </c>
      <c r="L9348" t="n">
        <v>0</v>
      </c>
      <c r="M9348" t="n">
        <v>0</v>
      </c>
      <c r="N9348" t="n">
        <v>0</v>
      </c>
      <c r="O9348" t="n">
        <v>0</v>
      </c>
      <c r="P9348" t="n">
        <v>0</v>
      </c>
      <c r="Q9348" t="n">
        <v>0</v>
      </c>
      <c r="R9348" s="2" t="inlineStr"/>
    </row>
    <row r="9349" ht="15" customHeight="1">
      <c r="A9349" t="inlineStr">
        <is>
          <t>A 9494-2026</t>
        </is>
      </c>
      <c r="B9349" s="1" t="n">
        <v>46071.5603125</v>
      </c>
      <c r="C9349" s="1" t="n">
        <v>46086</v>
      </c>
      <c r="D9349" t="inlineStr">
        <is>
          <t>GÄVLEBORGS LÄN</t>
        </is>
      </c>
      <c r="E9349" t="inlineStr">
        <is>
          <t>NORDANSTIG</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9500-2026</t>
        </is>
      </c>
      <c r="B9350" s="1" t="n">
        <v>46071.57277777778</v>
      </c>
      <c r="C9350" s="1" t="n">
        <v>46086</v>
      </c>
      <c r="D9350" t="inlineStr">
        <is>
          <t>GÄVLEBORGS LÄN</t>
        </is>
      </c>
      <c r="E9350" t="inlineStr">
        <is>
          <t>NORDANSTIG</t>
        </is>
      </c>
      <c r="G9350" t="n">
        <v>3.5</v>
      </c>
      <c r="H9350" t="n">
        <v>0</v>
      </c>
      <c r="I9350" t="n">
        <v>0</v>
      </c>
      <c r="J9350" t="n">
        <v>0</v>
      </c>
      <c r="K9350" t="n">
        <v>0</v>
      </c>
      <c r="L9350" t="n">
        <v>0</v>
      </c>
      <c r="M9350" t="n">
        <v>0</v>
      </c>
      <c r="N9350" t="n">
        <v>0</v>
      </c>
      <c r="O9350" t="n">
        <v>0</v>
      </c>
      <c r="P9350" t="n">
        <v>0</v>
      </c>
      <c r="Q9350" t="n">
        <v>0</v>
      </c>
      <c r="R9350" s="2" t="inlineStr"/>
    </row>
    <row r="9351" ht="15" customHeight="1">
      <c r="A9351" t="inlineStr">
        <is>
          <t>A 9507-2026</t>
        </is>
      </c>
      <c r="B9351" s="1" t="n">
        <v>46071.57961805556</v>
      </c>
      <c r="C9351" s="1" t="n">
        <v>46086</v>
      </c>
      <c r="D9351" t="inlineStr">
        <is>
          <t>GÄVLEBORGS LÄN</t>
        </is>
      </c>
      <c r="E9351" t="inlineStr">
        <is>
          <t>OCKELBO</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9528-2026</t>
        </is>
      </c>
      <c r="B9352" s="1" t="n">
        <v>46071.60604166667</v>
      </c>
      <c r="C9352" s="1" t="n">
        <v>46086</v>
      </c>
      <c r="D9352" t="inlineStr">
        <is>
          <t>GÄVLEBORGS LÄN</t>
        </is>
      </c>
      <c r="E9352" t="inlineStr">
        <is>
          <t>BOLLNÄS</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26456-2023</t>
        </is>
      </c>
      <c r="B9353" s="1" t="n">
        <v>45092.46173611111</v>
      </c>
      <c r="C9353" s="1" t="n">
        <v>46086</v>
      </c>
      <c r="D9353" t="inlineStr">
        <is>
          <t>GÄVLEBORGS LÄN</t>
        </is>
      </c>
      <c r="E9353" t="inlineStr">
        <is>
          <t>HUDIKSVALL</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533-2026</t>
        </is>
      </c>
      <c r="B9354" s="1" t="n">
        <v>46029</v>
      </c>
      <c r="C9354" s="1" t="n">
        <v>46086</v>
      </c>
      <c r="D9354" t="inlineStr">
        <is>
          <t>GÄVLEBORGS LÄN</t>
        </is>
      </c>
      <c r="E9354" t="inlineStr">
        <is>
          <t>BOLLNÄS</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551-2026</t>
        </is>
      </c>
      <c r="B9355" s="1" t="n">
        <v>46029.46196759259</v>
      </c>
      <c r="C9355" s="1" t="n">
        <v>46086</v>
      </c>
      <c r="D9355" t="inlineStr">
        <is>
          <t>GÄVLEBORGS LÄN</t>
        </is>
      </c>
      <c r="E9355" t="inlineStr">
        <is>
          <t>BOLLNÄS</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576-2026</t>
        </is>
      </c>
      <c r="B9356" s="1" t="n">
        <v>46029</v>
      </c>
      <c r="C9356" s="1" t="n">
        <v>46086</v>
      </c>
      <c r="D9356" t="inlineStr">
        <is>
          <t>GÄVLEBORGS LÄN</t>
        </is>
      </c>
      <c r="E9356" t="inlineStr">
        <is>
          <t>BOLLNÄS</t>
        </is>
      </c>
      <c r="G9356" t="n">
        <v>25.2</v>
      </c>
      <c r="H9356" t="n">
        <v>0</v>
      </c>
      <c r="I9356" t="n">
        <v>0</v>
      </c>
      <c r="J9356" t="n">
        <v>0</v>
      </c>
      <c r="K9356" t="n">
        <v>0</v>
      </c>
      <c r="L9356" t="n">
        <v>0</v>
      </c>
      <c r="M9356" t="n">
        <v>0</v>
      </c>
      <c r="N9356" t="n">
        <v>0</v>
      </c>
      <c r="O9356" t="n">
        <v>0</v>
      </c>
      <c r="P9356" t="n">
        <v>0</v>
      </c>
      <c r="Q9356" t="n">
        <v>0</v>
      </c>
      <c r="R9356" s="2" t="inlineStr"/>
    </row>
    <row r="9357" ht="15" customHeight="1">
      <c r="A9357" t="inlineStr">
        <is>
          <t>A 14796-2023</t>
        </is>
      </c>
      <c r="B9357" s="1" t="n">
        <v>45014</v>
      </c>
      <c r="C9357" s="1" t="n">
        <v>46086</v>
      </c>
      <c r="D9357" t="inlineStr">
        <is>
          <t>GÄVLEBORGS LÄN</t>
        </is>
      </c>
      <c r="E9357" t="inlineStr">
        <is>
          <t>HUDIKSVALL</t>
        </is>
      </c>
      <c r="F9357" t="inlineStr">
        <is>
          <t>Holmen skog AB</t>
        </is>
      </c>
      <c r="G9357" t="n">
        <v>10.4</v>
      </c>
      <c r="H9357" t="n">
        <v>0</v>
      </c>
      <c r="I9357" t="n">
        <v>0</v>
      </c>
      <c r="J9357" t="n">
        <v>0</v>
      </c>
      <c r="K9357" t="n">
        <v>0</v>
      </c>
      <c r="L9357" t="n">
        <v>0</v>
      </c>
      <c r="M9357" t="n">
        <v>0</v>
      </c>
      <c r="N9357" t="n">
        <v>0</v>
      </c>
      <c r="O9357" t="n">
        <v>0</v>
      </c>
      <c r="P9357" t="n">
        <v>0</v>
      </c>
      <c r="Q9357" t="n">
        <v>0</v>
      </c>
      <c r="R9357" s="2" t="inlineStr"/>
    </row>
    <row r="9358" ht="15" customHeight="1">
      <c r="A9358" t="inlineStr">
        <is>
          <t>A 607-2026</t>
        </is>
      </c>
      <c r="B9358" s="1" t="n">
        <v>46029</v>
      </c>
      <c r="C9358" s="1" t="n">
        <v>46086</v>
      </c>
      <c r="D9358" t="inlineStr">
        <is>
          <t>GÄVLEBORGS LÄN</t>
        </is>
      </c>
      <c r="E9358" t="inlineStr">
        <is>
          <t>LJUSDAL</t>
        </is>
      </c>
      <c r="G9358" t="n">
        <v>6.9</v>
      </c>
      <c r="H9358" t="n">
        <v>0</v>
      </c>
      <c r="I9358" t="n">
        <v>0</v>
      </c>
      <c r="J9358" t="n">
        <v>0</v>
      </c>
      <c r="K9358" t="n">
        <v>0</v>
      </c>
      <c r="L9358" t="n">
        <v>0</v>
      </c>
      <c r="M9358" t="n">
        <v>0</v>
      </c>
      <c r="N9358" t="n">
        <v>0</v>
      </c>
      <c r="O9358" t="n">
        <v>0</v>
      </c>
      <c r="P9358" t="n">
        <v>0</v>
      </c>
      <c r="Q9358" t="n">
        <v>0</v>
      </c>
      <c r="R9358" s="2" t="inlineStr"/>
    </row>
    <row r="9359" ht="15" customHeight="1">
      <c r="A9359" t="inlineStr">
        <is>
          <t>A 6179-2026</t>
        </is>
      </c>
      <c r="B9359" s="1" t="n">
        <v>46055</v>
      </c>
      <c r="C9359" s="1" t="n">
        <v>46086</v>
      </c>
      <c r="D9359" t="inlineStr">
        <is>
          <t>GÄVLEBORGS LÄN</t>
        </is>
      </c>
      <c r="E9359" t="inlineStr">
        <is>
          <t>NORDANSTIG</t>
        </is>
      </c>
      <c r="F9359" t="inlineStr">
        <is>
          <t>Holmen skog AB</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6917-2026</t>
        </is>
      </c>
      <c r="B9360" s="1" t="n">
        <v>46057</v>
      </c>
      <c r="C9360" s="1" t="n">
        <v>46086</v>
      </c>
      <c r="D9360" t="inlineStr">
        <is>
          <t>GÄVLEBORGS LÄN</t>
        </is>
      </c>
      <c r="E9360" t="inlineStr">
        <is>
          <t>BOLLNÄS</t>
        </is>
      </c>
      <c r="G9360" t="n">
        <v>3</v>
      </c>
      <c r="H9360" t="n">
        <v>0</v>
      </c>
      <c r="I9360" t="n">
        <v>0</v>
      </c>
      <c r="J9360" t="n">
        <v>0</v>
      </c>
      <c r="K9360" t="n">
        <v>0</v>
      </c>
      <c r="L9360" t="n">
        <v>0</v>
      </c>
      <c r="M9360" t="n">
        <v>0</v>
      </c>
      <c r="N9360" t="n">
        <v>0</v>
      </c>
      <c r="O9360" t="n">
        <v>0</v>
      </c>
      <c r="P9360" t="n">
        <v>0</v>
      </c>
      <c r="Q9360" t="n">
        <v>0</v>
      </c>
      <c r="R9360" s="2" t="inlineStr"/>
    </row>
    <row r="9361" ht="15" customHeight="1">
      <c r="A9361" t="inlineStr">
        <is>
          <t>A 7307-2026</t>
        </is>
      </c>
      <c r="B9361" s="1" t="n">
        <v>46058</v>
      </c>
      <c r="C9361" s="1" t="n">
        <v>46086</v>
      </c>
      <c r="D9361" t="inlineStr">
        <is>
          <t>GÄVLEBORGS LÄN</t>
        </is>
      </c>
      <c r="E9361" t="inlineStr">
        <is>
          <t>OVANÅKER</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7341-2026</t>
        </is>
      </c>
      <c r="B9362" s="1" t="n">
        <v>46058</v>
      </c>
      <c r="C9362" s="1" t="n">
        <v>46086</v>
      </c>
      <c r="D9362" t="inlineStr">
        <is>
          <t>GÄVLEBORGS LÄN</t>
        </is>
      </c>
      <c r="E9362" t="inlineStr">
        <is>
          <t>SÖDERHAMN</t>
        </is>
      </c>
      <c r="G9362" t="n">
        <v>3.3</v>
      </c>
      <c r="H9362" t="n">
        <v>0</v>
      </c>
      <c r="I9362" t="n">
        <v>0</v>
      </c>
      <c r="J9362" t="n">
        <v>0</v>
      </c>
      <c r="K9362" t="n">
        <v>0</v>
      </c>
      <c r="L9362" t="n">
        <v>0</v>
      </c>
      <c r="M9362" t="n">
        <v>0</v>
      </c>
      <c r="N9362" t="n">
        <v>0</v>
      </c>
      <c r="O9362" t="n">
        <v>0</v>
      </c>
      <c r="P9362" t="n">
        <v>0</v>
      </c>
      <c r="Q9362" t="n">
        <v>0</v>
      </c>
      <c r="R9362" s="2" t="inlineStr"/>
    </row>
    <row r="9363" ht="15" customHeight="1">
      <c r="A9363" t="inlineStr">
        <is>
          <t>A 7349-2026</t>
        </is>
      </c>
      <c r="B9363" s="1" t="n">
        <v>46058</v>
      </c>
      <c r="C9363" s="1" t="n">
        <v>46086</v>
      </c>
      <c r="D9363" t="inlineStr">
        <is>
          <t>GÄVLEBORGS LÄN</t>
        </is>
      </c>
      <c r="E9363" t="inlineStr">
        <is>
          <t>SANDVIKEN</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9546-2026</t>
        </is>
      </c>
      <c r="B9364" s="1" t="n">
        <v>46071.62763888889</v>
      </c>
      <c r="C9364" s="1" t="n">
        <v>46086</v>
      </c>
      <c r="D9364" t="inlineStr">
        <is>
          <t>GÄVLEBORGS LÄN</t>
        </is>
      </c>
      <c r="E9364" t="inlineStr">
        <is>
          <t>HUDIKSVALL</t>
        </is>
      </c>
      <c r="F9364" t="inlineStr">
        <is>
          <t>Sveaskog</t>
        </is>
      </c>
      <c r="G9364" t="n">
        <v>3.5</v>
      </c>
      <c r="H9364" t="n">
        <v>0</v>
      </c>
      <c r="I9364" t="n">
        <v>0</v>
      </c>
      <c r="J9364" t="n">
        <v>0</v>
      </c>
      <c r="K9364" t="n">
        <v>0</v>
      </c>
      <c r="L9364" t="n">
        <v>0</v>
      </c>
      <c r="M9364" t="n">
        <v>0</v>
      </c>
      <c r="N9364" t="n">
        <v>0</v>
      </c>
      <c r="O9364" t="n">
        <v>0</v>
      </c>
      <c r="P9364" t="n">
        <v>0</v>
      </c>
      <c r="Q9364" t="n">
        <v>0</v>
      </c>
      <c r="R9364" s="2" t="inlineStr"/>
    </row>
    <row r="9365" ht="15" customHeight="1">
      <c r="A9365" t="inlineStr">
        <is>
          <t>A 9556-2026</t>
        </is>
      </c>
      <c r="B9365" s="1" t="n">
        <v>46071.64425925926</v>
      </c>
      <c r="C9365" s="1" t="n">
        <v>46086</v>
      </c>
      <c r="D9365" t="inlineStr">
        <is>
          <t>GÄVLEBORGS LÄN</t>
        </is>
      </c>
      <c r="E9365" t="inlineStr">
        <is>
          <t>OCKELBO</t>
        </is>
      </c>
      <c r="G9365" t="n">
        <v>11.9</v>
      </c>
      <c r="H9365" t="n">
        <v>0</v>
      </c>
      <c r="I9365" t="n">
        <v>0</v>
      </c>
      <c r="J9365" t="n">
        <v>0</v>
      </c>
      <c r="K9365" t="n">
        <v>0</v>
      </c>
      <c r="L9365" t="n">
        <v>0</v>
      </c>
      <c r="M9365" t="n">
        <v>0</v>
      </c>
      <c r="N9365" t="n">
        <v>0</v>
      </c>
      <c r="O9365" t="n">
        <v>0</v>
      </c>
      <c r="P9365" t="n">
        <v>0</v>
      </c>
      <c r="Q9365" t="n">
        <v>0</v>
      </c>
      <c r="R9365" s="2" t="inlineStr"/>
    </row>
    <row r="9366" ht="15" customHeight="1">
      <c r="A9366" t="inlineStr">
        <is>
          <t>A 53082-2022</t>
        </is>
      </c>
      <c r="B9366" s="1" t="n">
        <v>44876.38916666667</v>
      </c>
      <c r="C9366" s="1" t="n">
        <v>46086</v>
      </c>
      <c r="D9366" t="inlineStr">
        <is>
          <t>GÄVLEBORGS LÄN</t>
        </is>
      </c>
      <c r="E9366" t="inlineStr">
        <is>
          <t>GÄVLE</t>
        </is>
      </c>
      <c r="G9366" t="n">
        <v>4.1</v>
      </c>
      <c r="H9366" t="n">
        <v>0</v>
      </c>
      <c r="I9366" t="n">
        <v>0</v>
      </c>
      <c r="J9366" t="n">
        <v>0</v>
      </c>
      <c r="K9366" t="n">
        <v>0</v>
      </c>
      <c r="L9366" t="n">
        <v>0</v>
      </c>
      <c r="M9366" t="n">
        <v>0</v>
      </c>
      <c r="N9366" t="n">
        <v>0</v>
      </c>
      <c r="O9366" t="n">
        <v>0</v>
      </c>
      <c r="P9366" t="n">
        <v>0</v>
      </c>
      <c r="Q9366" t="n">
        <v>0</v>
      </c>
      <c r="R9366" s="2" t="inlineStr"/>
    </row>
    <row r="9367" ht="15" customHeight="1">
      <c r="A9367" t="inlineStr">
        <is>
          <t>A 5448-2026</t>
        </is>
      </c>
      <c r="B9367" s="1" t="n">
        <v>46050.57653935185</v>
      </c>
      <c r="C9367" s="1" t="n">
        <v>46086</v>
      </c>
      <c r="D9367" t="inlineStr">
        <is>
          <t>GÄVLEBORGS LÄN</t>
        </is>
      </c>
      <c r="E9367" t="inlineStr">
        <is>
          <t>OVANÅKER</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5451-2026</t>
        </is>
      </c>
      <c r="B9368" s="1" t="n">
        <v>46050.5778125</v>
      </c>
      <c r="C9368" s="1" t="n">
        <v>46086</v>
      </c>
      <c r="D9368" t="inlineStr">
        <is>
          <t>GÄVLEBORGS LÄN</t>
        </is>
      </c>
      <c r="E9368" t="inlineStr">
        <is>
          <t>HUDIKSVALL</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5488-2026</t>
        </is>
      </c>
      <c r="B9369" s="1" t="n">
        <v>46050</v>
      </c>
      <c r="C9369" s="1" t="n">
        <v>46086</v>
      </c>
      <c r="D9369" t="inlineStr">
        <is>
          <t>GÄVLEBORGS LÄN</t>
        </is>
      </c>
      <c r="E9369" t="inlineStr">
        <is>
          <t>LJUSDAL</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9181-2026</t>
        </is>
      </c>
      <c r="B9370" s="1" t="n">
        <v>46070.3703125</v>
      </c>
      <c r="C9370" s="1" t="n">
        <v>46086</v>
      </c>
      <c r="D9370" t="inlineStr">
        <is>
          <t>GÄVLEBORGS LÄN</t>
        </is>
      </c>
      <c r="E9370" t="inlineStr">
        <is>
          <t>BOLLNÄS</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9187-2026</t>
        </is>
      </c>
      <c r="B9371" s="1" t="n">
        <v>46070.37931712963</v>
      </c>
      <c r="C9371" s="1" t="n">
        <v>46086</v>
      </c>
      <c r="D9371" t="inlineStr">
        <is>
          <t>GÄVLEBORGS LÄN</t>
        </is>
      </c>
      <c r="E9371" t="inlineStr">
        <is>
          <t>BOLLNÄS</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49102-2025</t>
        </is>
      </c>
      <c r="B9372" s="1" t="n">
        <v>45937.7228125</v>
      </c>
      <c r="C9372" s="1" t="n">
        <v>46086</v>
      </c>
      <c r="D9372" t="inlineStr">
        <is>
          <t>GÄVLEBORGS LÄN</t>
        </is>
      </c>
      <c r="E9372" t="inlineStr">
        <is>
          <t>HUDIKSVALL</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49104-2025</t>
        </is>
      </c>
      <c r="B9373" s="1" t="n">
        <v>45937.72550925926</v>
      </c>
      <c r="C9373" s="1" t="n">
        <v>46086</v>
      </c>
      <c r="D9373" t="inlineStr">
        <is>
          <t>GÄVLEBORGS LÄN</t>
        </is>
      </c>
      <c r="E9373" t="inlineStr">
        <is>
          <t>HUDIKSVALL</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9401-2026</t>
        </is>
      </c>
      <c r="B9374" s="1" t="n">
        <v>46071.39347222223</v>
      </c>
      <c r="C9374" s="1" t="n">
        <v>46086</v>
      </c>
      <c r="D9374" t="inlineStr">
        <is>
          <t>GÄVLEBORGS LÄN</t>
        </is>
      </c>
      <c r="E9374" t="inlineStr">
        <is>
          <t>OCKELBO</t>
        </is>
      </c>
      <c r="F9374" t="inlineStr">
        <is>
          <t>Bergvik skog väst AB</t>
        </is>
      </c>
      <c r="G9374" t="n">
        <v>8.300000000000001</v>
      </c>
      <c r="H9374" t="n">
        <v>0</v>
      </c>
      <c r="I9374" t="n">
        <v>0</v>
      </c>
      <c r="J9374" t="n">
        <v>0</v>
      </c>
      <c r="K9374" t="n">
        <v>0</v>
      </c>
      <c r="L9374" t="n">
        <v>0</v>
      </c>
      <c r="M9374" t="n">
        <v>0</v>
      </c>
      <c r="N9374" t="n">
        <v>0</v>
      </c>
      <c r="O9374" t="n">
        <v>0</v>
      </c>
      <c r="P9374" t="n">
        <v>0</v>
      </c>
      <c r="Q9374" t="n">
        <v>0</v>
      </c>
      <c r="R9374" s="2" t="inlineStr"/>
    </row>
    <row r="9375" ht="15" customHeight="1">
      <c r="A9375" t="inlineStr">
        <is>
          <t>A 9414-2026</t>
        </is>
      </c>
      <c r="B9375" s="1" t="n">
        <v>46071.42561342593</v>
      </c>
      <c r="C9375" s="1" t="n">
        <v>46086</v>
      </c>
      <c r="D9375" t="inlineStr">
        <is>
          <t>GÄVLEBORGS LÄN</t>
        </is>
      </c>
      <c r="E9375" t="inlineStr">
        <is>
          <t>OCKELBO</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9435-2026</t>
        </is>
      </c>
      <c r="B9376" s="1" t="n">
        <v>46071.46271990741</v>
      </c>
      <c r="C9376" s="1" t="n">
        <v>46086</v>
      </c>
      <c r="D9376" t="inlineStr">
        <is>
          <t>GÄVLEBORGS LÄN</t>
        </is>
      </c>
      <c r="E9376" t="inlineStr">
        <is>
          <t>OVANÅKER</t>
        </is>
      </c>
      <c r="F9376" t="inlineStr">
        <is>
          <t>Kyrkan</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9440-2026</t>
        </is>
      </c>
      <c r="B9377" s="1" t="n">
        <v>46071.46555555556</v>
      </c>
      <c r="C9377" s="1" t="n">
        <v>46086</v>
      </c>
      <c r="D9377" t="inlineStr">
        <is>
          <t>GÄVLEBORGS LÄN</t>
        </is>
      </c>
      <c r="E9377" t="inlineStr">
        <is>
          <t>HOFORS</t>
        </is>
      </c>
      <c r="F9377" t="inlineStr">
        <is>
          <t>Sveaskog</t>
        </is>
      </c>
      <c r="G9377" t="n">
        <v>6.8</v>
      </c>
      <c r="H9377" t="n">
        <v>0</v>
      </c>
      <c r="I9377" t="n">
        <v>0</v>
      </c>
      <c r="J9377" t="n">
        <v>0</v>
      </c>
      <c r="K9377" t="n">
        <v>0</v>
      </c>
      <c r="L9377" t="n">
        <v>0</v>
      </c>
      <c r="M9377" t="n">
        <v>0</v>
      </c>
      <c r="N9377" t="n">
        <v>0</v>
      </c>
      <c r="O9377" t="n">
        <v>0</v>
      </c>
      <c r="P9377" t="n">
        <v>0</v>
      </c>
      <c r="Q9377" t="n">
        <v>0</v>
      </c>
      <c r="R9377" s="2" t="inlineStr"/>
    </row>
    <row r="9378" ht="15" customHeight="1">
      <c r="A9378" t="inlineStr">
        <is>
          <t>A 5209-2026</t>
        </is>
      </c>
      <c r="B9378" s="1" t="n">
        <v>46049</v>
      </c>
      <c r="C9378" s="1" t="n">
        <v>46086</v>
      </c>
      <c r="D9378" t="inlineStr">
        <is>
          <t>GÄVLEBORGS LÄN</t>
        </is>
      </c>
      <c r="E9378" t="inlineStr">
        <is>
          <t>OCKELBO</t>
        </is>
      </c>
      <c r="F9378" t="inlineStr">
        <is>
          <t>Bergvik skog väst AB</t>
        </is>
      </c>
      <c r="G9378" t="n">
        <v>24.2</v>
      </c>
      <c r="H9378" t="n">
        <v>0</v>
      </c>
      <c r="I9378" t="n">
        <v>0</v>
      </c>
      <c r="J9378" t="n">
        <v>0</v>
      </c>
      <c r="K9378" t="n">
        <v>0</v>
      </c>
      <c r="L9378" t="n">
        <v>0</v>
      </c>
      <c r="M9378" t="n">
        <v>0</v>
      </c>
      <c r="N9378" t="n">
        <v>0</v>
      </c>
      <c r="O9378" t="n">
        <v>0</v>
      </c>
      <c r="P9378" t="n">
        <v>0</v>
      </c>
      <c r="Q9378" t="n">
        <v>0</v>
      </c>
      <c r="R9378" s="2" t="inlineStr"/>
    </row>
    <row r="9379" ht="15" customHeight="1">
      <c r="A9379" t="inlineStr">
        <is>
          <t>A 19942-2025</t>
        </is>
      </c>
      <c r="B9379" s="1" t="n">
        <v>45771.64755787037</v>
      </c>
      <c r="C9379" s="1" t="n">
        <v>46086</v>
      </c>
      <c r="D9379" t="inlineStr">
        <is>
          <t>GÄVLEBORGS LÄN</t>
        </is>
      </c>
      <c r="E9379" t="inlineStr">
        <is>
          <t>HUDIKSVALL</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30224-2023</t>
        </is>
      </c>
      <c r="B9380" s="1" t="n">
        <v>45110</v>
      </c>
      <c r="C9380" s="1" t="n">
        <v>46086</v>
      </c>
      <c r="D9380" t="inlineStr">
        <is>
          <t>GÄVLEBORGS LÄN</t>
        </is>
      </c>
      <c r="E9380" t="inlineStr">
        <is>
          <t>BOLLNÄS</t>
        </is>
      </c>
      <c r="G9380" t="n">
        <v>5.2</v>
      </c>
      <c r="H9380" t="n">
        <v>0</v>
      </c>
      <c r="I9380" t="n">
        <v>0</v>
      </c>
      <c r="J9380" t="n">
        <v>0</v>
      </c>
      <c r="K9380" t="n">
        <v>0</v>
      </c>
      <c r="L9380" t="n">
        <v>0</v>
      </c>
      <c r="M9380" t="n">
        <v>0</v>
      </c>
      <c r="N9380" t="n">
        <v>0</v>
      </c>
      <c r="O9380" t="n">
        <v>0</v>
      </c>
      <c r="P9380" t="n">
        <v>0</v>
      </c>
      <c r="Q9380" t="n">
        <v>0</v>
      </c>
      <c r="R9380" s="2" t="inlineStr"/>
    </row>
    <row r="9381" ht="15" customHeight="1">
      <c r="A9381" t="inlineStr">
        <is>
          <t>A 5315-2026</t>
        </is>
      </c>
      <c r="B9381" s="1" t="n">
        <v>46050.37143518519</v>
      </c>
      <c r="C9381" s="1" t="n">
        <v>46086</v>
      </c>
      <c r="D9381" t="inlineStr">
        <is>
          <t>GÄVLEBORGS LÄN</t>
        </is>
      </c>
      <c r="E9381" t="inlineStr">
        <is>
          <t>NORDANSTIG</t>
        </is>
      </c>
      <c r="F9381" t="inlineStr">
        <is>
          <t>Holmen skog AB</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5353-2026</t>
        </is>
      </c>
      <c r="B9382" s="1" t="n">
        <v>46050</v>
      </c>
      <c r="C9382" s="1" t="n">
        <v>46086</v>
      </c>
      <c r="D9382" t="inlineStr">
        <is>
          <t>GÄVLEBORGS LÄN</t>
        </is>
      </c>
      <c r="E9382" t="inlineStr">
        <is>
          <t>LJUSDAL</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6024-2026</t>
        </is>
      </c>
      <c r="B9383" s="1" t="n">
        <v>46052</v>
      </c>
      <c r="C9383" s="1" t="n">
        <v>46086</v>
      </c>
      <c r="D9383" t="inlineStr">
        <is>
          <t>GÄVLEBORGS LÄN</t>
        </is>
      </c>
      <c r="E9383" t="inlineStr">
        <is>
          <t>BOLLNÄS</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7410-2026</t>
        </is>
      </c>
      <c r="B9384" s="1" t="n">
        <v>46059</v>
      </c>
      <c r="C9384" s="1" t="n">
        <v>46086</v>
      </c>
      <c r="D9384" t="inlineStr">
        <is>
          <t>GÄVLEBORGS LÄN</t>
        </is>
      </c>
      <c r="E9384" t="inlineStr">
        <is>
          <t>HUDIKSVALL</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784-2026</t>
        </is>
      </c>
      <c r="B9385" s="1" t="n">
        <v>46029</v>
      </c>
      <c r="C9385" s="1" t="n">
        <v>46086</v>
      </c>
      <c r="D9385" t="inlineStr">
        <is>
          <t>GÄVLEBORGS LÄN</t>
        </is>
      </c>
      <c r="E9385" t="inlineStr">
        <is>
          <t>OVANÅKER</t>
        </is>
      </c>
      <c r="G9385" t="n">
        <v>34.7</v>
      </c>
      <c r="H9385" t="n">
        <v>0</v>
      </c>
      <c r="I9385" t="n">
        <v>0</v>
      </c>
      <c r="J9385" t="n">
        <v>0</v>
      </c>
      <c r="K9385" t="n">
        <v>0</v>
      </c>
      <c r="L9385" t="n">
        <v>0</v>
      </c>
      <c r="M9385" t="n">
        <v>0</v>
      </c>
      <c r="N9385" t="n">
        <v>0</v>
      </c>
      <c r="O9385" t="n">
        <v>0</v>
      </c>
      <c r="P9385" t="n">
        <v>0</v>
      </c>
      <c r="Q9385" t="n">
        <v>0</v>
      </c>
      <c r="R9385" s="2" t="inlineStr"/>
    </row>
    <row r="9386" ht="15" customHeight="1">
      <c r="A9386" t="inlineStr">
        <is>
          <t>A 4288-2026</t>
        </is>
      </c>
      <c r="B9386" s="1" t="n">
        <v>46045</v>
      </c>
      <c r="C9386" s="1" t="n">
        <v>46086</v>
      </c>
      <c r="D9386" t="inlineStr">
        <is>
          <t>GÄVLEBORGS LÄN</t>
        </is>
      </c>
      <c r="E9386" t="inlineStr">
        <is>
          <t>BOLLNÄS</t>
        </is>
      </c>
      <c r="G9386" t="n">
        <v>5.9</v>
      </c>
      <c r="H9386" t="n">
        <v>0</v>
      </c>
      <c r="I9386" t="n">
        <v>0</v>
      </c>
      <c r="J9386" t="n">
        <v>0</v>
      </c>
      <c r="K9386" t="n">
        <v>0</v>
      </c>
      <c r="L9386" t="n">
        <v>0</v>
      </c>
      <c r="M9386" t="n">
        <v>0</v>
      </c>
      <c r="N9386" t="n">
        <v>0</v>
      </c>
      <c r="O9386" t="n">
        <v>0</v>
      </c>
      <c r="P9386" t="n">
        <v>0</v>
      </c>
      <c r="Q9386" t="n">
        <v>0</v>
      </c>
      <c r="R9386" s="2" t="inlineStr"/>
    </row>
    <row r="9387" ht="15" customHeight="1">
      <c r="A9387" t="inlineStr">
        <is>
          <t>A 6634-2026</t>
        </is>
      </c>
      <c r="B9387" s="1" t="n">
        <v>46056</v>
      </c>
      <c r="C9387" s="1" t="n">
        <v>46086</v>
      </c>
      <c r="D9387" t="inlineStr">
        <is>
          <t>GÄVLEBORGS LÄN</t>
        </is>
      </c>
      <c r="E9387" t="inlineStr">
        <is>
          <t>NORDANSTIG</t>
        </is>
      </c>
      <c r="F9387" t="inlineStr">
        <is>
          <t>Holmen skog AB</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7411-2026</t>
        </is>
      </c>
      <c r="B9388" s="1" t="n">
        <v>46059</v>
      </c>
      <c r="C9388" s="1" t="n">
        <v>46086</v>
      </c>
      <c r="D9388" t="inlineStr">
        <is>
          <t>GÄVLEBORGS LÄN</t>
        </is>
      </c>
      <c r="E9388" t="inlineStr">
        <is>
          <t>BOLLNÄS</t>
        </is>
      </c>
      <c r="G9388" t="n">
        <v>3.8</v>
      </c>
      <c r="H9388" t="n">
        <v>0</v>
      </c>
      <c r="I9388" t="n">
        <v>0</v>
      </c>
      <c r="J9388" t="n">
        <v>0</v>
      </c>
      <c r="K9388" t="n">
        <v>0</v>
      </c>
      <c r="L9388" t="n">
        <v>0</v>
      </c>
      <c r="M9388" t="n">
        <v>0</v>
      </c>
      <c r="N9388" t="n">
        <v>0</v>
      </c>
      <c r="O9388" t="n">
        <v>0</v>
      </c>
      <c r="P9388" t="n">
        <v>0</v>
      </c>
      <c r="Q9388" t="n">
        <v>0</v>
      </c>
      <c r="R9388" s="2" t="inlineStr"/>
    </row>
    <row r="9389" ht="15" customHeight="1">
      <c r="A9389" t="inlineStr">
        <is>
          <t>A 7609-2026</t>
        </is>
      </c>
      <c r="B9389" s="1" t="n">
        <v>46062</v>
      </c>
      <c r="C9389" s="1" t="n">
        <v>46086</v>
      </c>
      <c r="D9389" t="inlineStr">
        <is>
          <t>GÄVLEBORGS LÄN</t>
        </is>
      </c>
      <c r="E9389" t="inlineStr">
        <is>
          <t>BOLLNÄS</t>
        </is>
      </c>
      <c r="G9389" t="n">
        <v>4.9</v>
      </c>
      <c r="H9389" t="n">
        <v>0</v>
      </c>
      <c r="I9389" t="n">
        <v>0</v>
      </c>
      <c r="J9389" t="n">
        <v>0</v>
      </c>
      <c r="K9389" t="n">
        <v>0</v>
      </c>
      <c r="L9389" t="n">
        <v>0</v>
      </c>
      <c r="M9389" t="n">
        <v>0</v>
      </c>
      <c r="N9389" t="n">
        <v>0</v>
      </c>
      <c r="O9389" t="n">
        <v>0</v>
      </c>
      <c r="P9389" t="n">
        <v>0</v>
      </c>
      <c r="Q9389" t="n">
        <v>0</v>
      </c>
      <c r="R9389" s="2" t="inlineStr"/>
    </row>
    <row r="9390" ht="15" customHeight="1">
      <c r="A9390" t="inlineStr">
        <is>
          <t>A 8093-2026</t>
        </is>
      </c>
      <c r="B9390" s="1" t="n">
        <v>46063</v>
      </c>
      <c r="C9390" s="1" t="n">
        <v>46086</v>
      </c>
      <c r="D9390" t="inlineStr">
        <is>
          <t>GÄVLEBORGS LÄN</t>
        </is>
      </c>
      <c r="E9390" t="inlineStr">
        <is>
          <t>SANDVIKEN</t>
        </is>
      </c>
      <c r="G9390" t="n">
        <v>9.6</v>
      </c>
      <c r="H9390" t="n">
        <v>0</v>
      </c>
      <c r="I9390" t="n">
        <v>0</v>
      </c>
      <c r="J9390" t="n">
        <v>0</v>
      </c>
      <c r="K9390" t="n">
        <v>0</v>
      </c>
      <c r="L9390" t="n">
        <v>0</v>
      </c>
      <c r="M9390" t="n">
        <v>0</v>
      </c>
      <c r="N9390" t="n">
        <v>0</v>
      </c>
      <c r="O9390" t="n">
        <v>0</v>
      </c>
      <c r="P9390" t="n">
        <v>0</v>
      </c>
      <c r="Q9390" t="n">
        <v>0</v>
      </c>
      <c r="R9390" s="2" t="inlineStr"/>
    </row>
    <row r="9391" ht="15" customHeight="1">
      <c r="A9391" t="inlineStr">
        <is>
          <t>A 53988-2023</t>
        </is>
      </c>
      <c r="B9391" s="1" t="n">
        <v>45231.66075231481</v>
      </c>
      <c r="C9391" s="1" t="n">
        <v>46086</v>
      </c>
      <c r="D9391" t="inlineStr">
        <is>
          <t>GÄVLEBORGS LÄN</t>
        </is>
      </c>
      <c r="E9391" t="inlineStr">
        <is>
          <t>NORDANSTIG</t>
        </is>
      </c>
      <c r="G9391" t="n">
        <v>6.2</v>
      </c>
      <c r="H9391" t="n">
        <v>0</v>
      </c>
      <c r="I9391" t="n">
        <v>0</v>
      </c>
      <c r="J9391" t="n">
        <v>0</v>
      </c>
      <c r="K9391" t="n">
        <v>0</v>
      </c>
      <c r="L9391" t="n">
        <v>0</v>
      </c>
      <c r="M9391" t="n">
        <v>0</v>
      </c>
      <c r="N9391" t="n">
        <v>0</v>
      </c>
      <c r="O9391" t="n">
        <v>0</v>
      </c>
      <c r="P9391" t="n">
        <v>0</v>
      </c>
      <c r="Q9391" t="n">
        <v>0</v>
      </c>
      <c r="R9391" s="2" t="inlineStr"/>
    </row>
    <row r="9392" ht="15" customHeight="1">
      <c r="A9392" t="inlineStr">
        <is>
          <t>A 19973-2021</t>
        </is>
      </c>
      <c r="B9392" s="1" t="n">
        <v>44313</v>
      </c>
      <c r="C9392" s="1" t="n">
        <v>46086</v>
      </c>
      <c r="D9392" t="inlineStr">
        <is>
          <t>GÄVLEBORGS LÄN</t>
        </is>
      </c>
      <c r="E9392" t="inlineStr">
        <is>
          <t>LJUSDAL</t>
        </is>
      </c>
      <c r="F9392" t="inlineStr">
        <is>
          <t>Sveaskog</t>
        </is>
      </c>
      <c r="G9392" t="n">
        <v>38.9</v>
      </c>
      <c r="H9392" t="n">
        <v>0</v>
      </c>
      <c r="I9392" t="n">
        <v>0</v>
      </c>
      <c r="J9392" t="n">
        <v>0</v>
      </c>
      <c r="K9392" t="n">
        <v>0</v>
      </c>
      <c r="L9392" t="n">
        <v>0</v>
      </c>
      <c r="M9392" t="n">
        <v>0</v>
      </c>
      <c r="N9392" t="n">
        <v>0</v>
      </c>
      <c r="O9392" t="n">
        <v>0</v>
      </c>
      <c r="P9392" t="n">
        <v>0</v>
      </c>
      <c r="Q9392" t="n">
        <v>0</v>
      </c>
      <c r="R9392" s="2" t="inlineStr"/>
    </row>
    <row r="9393" ht="15" customHeight="1">
      <c r="A9393" t="inlineStr">
        <is>
          <t>A 8190-2026</t>
        </is>
      </c>
      <c r="B9393" s="1" t="n">
        <v>46064</v>
      </c>
      <c r="C9393" s="1" t="n">
        <v>46086</v>
      </c>
      <c r="D9393" t="inlineStr">
        <is>
          <t>GÄVLEBORGS LÄN</t>
        </is>
      </c>
      <c r="E9393" t="inlineStr">
        <is>
          <t>GÄVLE</t>
        </is>
      </c>
      <c r="F9393" t="inlineStr">
        <is>
          <t>Bergvik skog väst AB</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4450-2026</t>
        </is>
      </c>
      <c r="B9394" s="1" t="n">
        <v>46045</v>
      </c>
      <c r="C9394" s="1" t="n">
        <v>46086</v>
      </c>
      <c r="D9394" t="inlineStr">
        <is>
          <t>GÄVLEBORGS LÄN</t>
        </is>
      </c>
      <c r="E9394" t="inlineStr">
        <is>
          <t>OVANÅKER</t>
        </is>
      </c>
      <c r="G9394" t="n">
        <v>3.5</v>
      </c>
      <c r="H9394" t="n">
        <v>0</v>
      </c>
      <c r="I9394" t="n">
        <v>0</v>
      </c>
      <c r="J9394" t="n">
        <v>0</v>
      </c>
      <c r="K9394" t="n">
        <v>0</v>
      </c>
      <c r="L9394" t="n">
        <v>0</v>
      </c>
      <c r="M9394" t="n">
        <v>0</v>
      </c>
      <c r="N9394" t="n">
        <v>0</v>
      </c>
      <c r="O9394" t="n">
        <v>0</v>
      </c>
      <c r="P9394" t="n">
        <v>0</v>
      </c>
      <c r="Q9394" t="n">
        <v>0</v>
      </c>
      <c r="R9394" s="2" t="inlineStr"/>
    </row>
    <row r="9395" ht="15" customHeight="1">
      <c r="A9395" t="inlineStr">
        <is>
          <t>A 4515-2026</t>
        </is>
      </c>
      <c r="B9395" s="1" t="n">
        <v>46045</v>
      </c>
      <c r="C9395" s="1" t="n">
        <v>46086</v>
      </c>
      <c r="D9395" t="inlineStr">
        <is>
          <t>GÄVLEBORGS LÄN</t>
        </is>
      </c>
      <c r="E9395" t="inlineStr">
        <is>
          <t>OVANÅKER</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4548-2026</t>
        </is>
      </c>
      <c r="B9396" s="1" t="n">
        <v>46047.46320601852</v>
      </c>
      <c r="C9396" s="1" t="n">
        <v>46086</v>
      </c>
      <c r="D9396" t="inlineStr">
        <is>
          <t>GÄVLEBORGS LÄN</t>
        </is>
      </c>
      <c r="E9396" t="inlineStr">
        <is>
          <t>OVANÅKER</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9236-2026</t>
        </is>
      </c>
      <c r="B9397" s="1" t="n">
        <v>46070.47366898148</v>
      </c>
      <c r="C9397" s="1" t="n">
        <v>46086</v>
      </c>
      <c r="D9397" t="inlineStr">
        <is>
          <t>GÄVLEBORGS LÄN</t>
        </is>
      </c>
      <c r="E9397" t="inlineStr">
        <is>
          <t>BOLLNÄS</t>
        </is>
      </c>
      <c r="G9397" t="n">
        <v>13.6</v>
      </c>
      <c r="H9397" t="n">
        <v>0</v>
      </c>
      <c r="I9397" t="n">
        <v>0</v>
      </c>
      <c r="J9397" t="n">
        <v>0</v>
      </c>
      <c r="K9397" t="n">
        <v>0</v>
      </c>
      <c r="L9397" t="n">
        <v>0</v>
      </c>
      <c r="M9397" t="n">
        <v>0</v>
      </c>
      <c r="N9397" t="n">
        <v>0</v>
      </c>
      <c r="O9397" t="n">
        <v>0</v>
      </c>
      <c r="P9397" t="n">
        <v>0</v>
      </c>
      <c r="Q9397" t="n">
        <v>0</v>
      </c>
      <c r="R9397" s="2" t="inlineStr"/>
    </row>
    <row r="9398" ht="15" customHeight="1">
      <c r="A9398" t="inlineStr">
        <is>
          <t>A 4295-2026</t>
        </is>
      </c>
      <c r="B9398" s="1" t="n">
        <v>46045</v>
      </c>
      <c r="C9398" s="1" t="n">
        <v>46086</v>
      </c>
      <c r="D9398" t="inlineStr">
        <is>
          <t>GÄVLEBORGS LÄN</t>
        </is>
      </c>
      <c r="E9398" t="inlineStr">
        <is>
          <t>BOLLNÄS</t>
        </is>
      </c>
      <c r="G9398" t="n">
        <v>6</v>
      </c>
      <c r="H9398" t="n">
        <v>0</v>
      </c>
      <c r="I9398" t="n">
        <v>0</v>
      </c>
      <c r="J9398" t="n">
        <v>0</v>
      </c>
      <c r="K9398" t="n">
        <v>0</v>
      </c>
      <c r="L9398" t="n">
        <v>0</v>
      </c>
      <c r="M9398" t="n">
        <v>0</v>
      </c>
      <c r="N9398" t="n">
        <v>0</v>
      </c>
      <c r="O9398" t="n">
        <v>0</v>
      </c>
      <c r="P9398" t="n">
        <v>0</v>
      </c>
      <c r="Q9398" t="n">
        <v>0</v>
      </c>
      <c r="R9398" s="2" t="inlineStr"/>
    </row>
    <row r="9399" ht="15" customHeight="1">
      <c r="A9399" t="inlineStr">
        <is>
          <t>A 4604-2026</t>
        </is>
      </c>
      <c r="B9399" s="1" t="n">
        <v>46048</v>
      </c>
      <c r="C9399" s="1" t="n">
        <v>46086</v>
      </c>
      <c r="D9399" t="inlineStr">
        <is>
          <t>GÄVLEBORGS LÄN</t>
        </is>
      </c>
      <c r="E9399" t="inlineStr">
        <is>
          <t>HUDIKSVALL</t>
        </is>
      </c>
      <c r="G9399" t="n">
        <v>5.1</v>
      </c>
      <c r="H9399" t="n">
        <v>0</v>
      </c>
      <c r="I9399" t="n">
        <v>0</v>
      </c>
      <c r="J9399" t="n">
        <v>0</v>
      </c>
      <c r="K9399" t="n">
        <v>0</v>
      </c>
      <c r="L9399" t="n">
        <v>0</v>
      </c>
      <c r="M9399" t="n">
        <v>0</v>
      </c>
      <c r="N9399" t="n">
        <v>0</v>
      </c>
      <c r="O9399" t="n">
        <v>0</v>
      </c>
      <c r="P9399" t="n">
        <v>0</v>
      </c>
      <c r="Q9399" t="n">
        <v>0</v>
      </c>
      <c r="R9399" s="2" t="inlineStr"/>
    </row>
    <row r="9400" ht="15" customHeight="1">
      <c r="A9400" t="inlineStr">
        <is>
          <t>A 6061-2026</t>
        </is>
      </c>
      <c r="B9400" s="1" t="n">
        <v>46052</v>
      </c>
      <c r="C9400" s="1" t="n">
        <v>46086</v>
      </c>
      <c r="D9400" t="inlineStr">
        <is>
          <t>GÄVLEBORGS LÄN</t>
        </is>
      </c>
      <c r="E9400" t="inlineStr">
        <is>
          <t>HUDIKSVALL</t>
        </is>
      </c>
      <c r="G9400" t="n">
        <v>2.9</v>
      </c>
      <c r="H9400" t="n">
        <v>0</v>
      </c>
      <c r="I9400" t="n">
        <v>0</v>
      </c>
      <c r="J9400" t="n">
        <v>0</v>
      </c>
      <c r="K9400" t="n">
        <v>0</v>
      </c>
      <c r="L9400" t="n">
        <v>0</v>
      </c>
      <c r="M9400" t="n">
        <v>0</v>
      </c>
      <c r="N9400" t="n">
        <v>0</v>
      </c>
      <c r="O9400" t="n">
        <v>0</v>
      </c>
      <c r="P9400" t="n">
        <v>0</v>
      </c>
      <c r="Q9400" t="n">
        <v>0</v>
      </c>
      <c r="R9400" s="2" t="inlineStr"/>
    </row>
    <row r="9401" ht="15" customHeight="1">
      <c r="A9401" t="inlineStr">
        <is>
          <t>A 49305-2023</t>
        </is>
      </c>
      <c r="B9401" s="1" t="n">
        <v>45210</v>
      </c>
      <c r="C9401" s="1" t="n">
        <v>46086</v>
      </c>
      <c r="D9401" t="inlineStr">
        <is>
          <t>GÄVLEBORGS LÄN</t>
        </is>
      </c>
      <c r="E9401" t="inlineStr">
        <is>
          <t>SÖDERHAMN</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6090-2026</t>
        </is>
      </c>
      <c r="B9402" s="1" t="n">
        <v>46052</v>
      </c>
      <c r="C9402" s="1" t="n">
        <v>46086</v>
      </c>
      <c r="D9402" t="inlineStr">
        <is>
          <t>GÄVLEBORGS LÄN</t>
        </is>
      </c>
      <c r="E9402" t="inlineStr">
        <is>
          <t>LJUSDAL</t>
        </is>
      </c>
      <c r="G9402" t="n">
        <v>3</v>
      </c>
      <c r="H9402" t="n">
        <v>0</v>
      </c>
      <c r="I9402" t="n">
        <v>0</v>
      </c>
      <c r="J9402" t="n">
        <v>0</v>
      </c>
      <c r="K9402" t="n">
        <v>0</v>
      </c>
      <c r="L9402" t="n">
        <v>0</v>
      </c>
      <c r="M9402" t="n">
        <v>0</v>
      </c>
      <c r="N9402" t="n">
        <v>0</v>
      </c>
      <c r="O9402" t="n">
        <v>0</v>
      </c>
      <c r="P9402" t="n">
        <v>0</v>
      </c>
      <c r="Q9402" t="n">
        <v>0</v>
      </c>
      <c r="R9402" s="2" t="inlineStr"/>
    </row>
    <row r="9403" ht="15" customHeight="1">
      <c r="A9403" t="inlineStr">
        <is>
          <t>A 7888-2026</t>
        </is>
      </c>
      <c r="B9403" s="1" t="n">
        <v>46063</v>
      </c>
      <c r="C9403" s="1" t="n">
        <v>46086</v>
      </c>
      <c r="D9403" t="inlineStr">
        <is>
          <t>GÄVLEBORGS LÄN</t>
        </is>
      </c>
      <c r="E9403" t="inlineStr">
        <is>
          <t>SANDVIKEN</t>
        </is>
      </c>
      <c r="G9403" t="n">
        <v>4</v>
      </c>
      <c r="H9403" t="n">
        <v>0</v>
      </c>
      <c r="I9403" t="n">
        <v>0</v>
      </c>
      <c r="J9403" t="n">
        <v>0</v>
      </c>
      <c r="K9403" t="n">
        <v>0</v>
      </c>
      <c r="L9403" t="n">
        <v>0</v>
      </c>
      <c r="M9403" t="n">
        <v>0</v>
      </c>
      <c r="N9403" t="n">
        <v>0</v>
      </c>
      <c r="O9403" t="n">
        <v>0</v>
      </c>
      <c r="P9403" t="n">
        <v>0</v>
      </c>
      <c r="Q9403" t="n">
        <v>0</v>
      </c>
      <c r="R9403" s="2" t="inlineStr"/>
    </row>
    <row r="9404" ht="15" customHeight="1">
      <c r="A9404" t="inlineStr">
        <is>
          <t>A 9355-2026</t>
        </is>
      </c>
      <c r="B9404" s="1" t="n">
        <v>46070.70881944444</v>
      </c>
      <c r="C9404" s="1" t="n">
        <v>46086</v>
      </c>
      <c r="D9404" t="inlineStr">
        <is>
          <t>GÄVLEBORGS LÄN</t>
        </is>
      </c>
      <c r="E9404" t="inlineStr">
        <is>
          <t>BOLLNÄS</t>
        </is>
      </c>
      <c r="G9404" t="n">
        <v>7.7</v>
      </c>
      <c r="H9404" t="n">
        <v>0</v>
      </c>
      <c r="I9404" t="n">
        <v>0</v>
      </c>
      <c r="J9404" t="n">
        <v>0</v>
      </c>
      <c r="K9404" t="n">
        <v>0</v>
      </c>
      <c r="L9404" t="n">
        <v>0</v>
      </c>
      <c r="M9404" t="n">
        <v>0</v>
      </c>
      <c r="N9404" t="n">
        <v>0</v>
      </c>
      <c r="O9404" t="n">
        <v>0</v>
      </c>
      <c r="P9404" t="n">
        <v>0</v>
      </c>
      <c r="Q9404" t="n">
        <v>0</v>
      </c>
      <c r="R9404" s="2" t="inlineStr"/>
    </row>
    <row r="9405" ht="15" customHeight="1">
      <c r="A9405" t="inlineStr">
        <is>
          <t>A 49306-2023</t>
        </is>
      </c>
      <c r="B9405" s="1" t="n">
        <v>45210</v>
      </c>
      <c r="C9405" s="1" t="n">
        <v>46086</v>
      </c>
      <c r="D9405" t="inlineStr">
        <is>
          <t>GÄVLEBORGS LÄN</t>
        </is>
      </c>
      <c r="E9405" t="inlineStr">
        <is>
          <t>SÖDERHAMN</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9373-2026</t>
        </is>
      </c>
      <c r="B9406" s="1" t="n">
        <v>46070.88240740741</v>
      </c>
      <c r="C9406" s="1" t="n">
        <v>46086</v>
      </c>
      <c r="D9406" t="inlineStr">
        <is>
          <t>GÄVLEBORGS LÄN</t>
        </is>
      </c>
      <c r="E9406" t="inlineStr">
        <is>
          <t>NORDANSTIG</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9510-2026</t>
        </is>
      </c>
      <c r="B9407" s="1" t="n">
        <v>46071.58712962963</v>
      </c>
      <c r="C9407" s="1" t="n">
        <v>46086</v>
      </c>
      <c r="D9407" t="inlineStr">
        <is>
          <t>GÄVLEBORGS LÄN</t>
        </is>
      </c>
      <c r="E9407" t="inlineStr">
        <is>
          <t>SÖDERHAMN</t>
        </is>
      </c>
      <c r="G9407" t="n">
        <v>5</v>
      </c>
      <c r="H9407" t="n">
        <v>0</v>
      </c>
      <c r="I9407" t="n">
        <v>0</v>
      </c>
      <c r="J9407" t="n">
        <v>0</v>
      </c>
      <c r="K9407" t="n">
        <v>0</v>
      </c>
      <c r="L9407" t="n">
        <v>0</v>
      </c>
      <c r="M9407" t="n">
        <v>0</v>
      </c>
      <c r="N9407" t="n">
        <v>0</v>
      </c>
      <c r="O9407" t="n">
        <v>0</v>
      </c>
      <c r="P9407" t="n">
        <v>0</v>
      </c>
      <c r="Q9407" t="n">
        <v>0</v>
      </c>
      <c r="R9407" s="2" t="inlineStr"/>
    </row>
    <row r="9408" ht="15" customHeight="1">
      <c r="A9408" t="inlineStr">
        <is>
          <t>A 9523-2026</t>
        </is>
      </c>
      <c r="B9408" s="1" t="n">
        <v>46071.60055555555</v>
      </c>
      <c r="C9408" s="1" t="n">
        <v>46086</v>
      </c>
      <c r="D9408" t="inlineStr">
        <is>
          <t>GÄVLEBORGS LÄN</t>
        </is>
      </c>
      <c r="E9408" t="inlineStr">
        <is>
          <t>BOLLNÄS</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27718-2023</t>
        </is>
      </c>
      <c r="B9409" s="1" t="n">
        <v>45098</v>
      </c>
      <c r="C9409" s="1" t="n">
        <v>46086</v>
      </c>
      <c r="D9409" t="inlineStr">
        <is>
          <t>GÄVLEBORGS LÄN</t>
        </is>
      </c>
      <c r="E9409" t="inlineStr">
        <is>
          <t>LJUSDAL</t>
        </is>
      </c>
      <c r="F9409" t="inlineStr">
        <is>
          <t>Holmen skog AB</t>
        </is>
      </c>
      <c r="G9409" t="n">
        <v>23.3</v>
      </c>
      <c r="H9409" t="n">
        <v>0</v>
      </c>
      <c r="I9409" t="n">
        <v>0</v>
      </c>
      <c r="J9409" t="n">
        <v>0</v>
      </c>
      <c r="K9409" t="n">
        <v>0</v>
      </c>
      <c r="L9409" t="n">
        <v>0</v>
      </c>
      <c r="M9409" t="n">
        <v>0</v>
      </c>
      <c r="N9409" t="n">
        <v>0</v>
      </c>
      <c r="O9409" t="n">
        <v>0</v>
      </c>
      <c r="P9409" t="n">
        <v>0</v>
      </c>
      <c r="Q9409" t="n">
        <v>0</v>
      </c>
      <c r="R9409" s="2" t="inlineStr"/>
    </row>
    <row r="9410" ht="15" customHeight="1">
      <c r="A9410" t="inlineStr">
        <is>
          <t>A 9241-2026</t>
        </is>
      </c>
      <c r="B9410" s="1" t="n">
        <v>46070.48048611111</v>
      </c>
      <c r="C9410" s="1" t="n">
        <v>46086</v>
      </c>
      <c r="D9410" t="inlineStr">
        <is>
          <t>GÄVLEBORGS LÄN</t>
        </is>
      </c>
      <c r="E9410" t="inlineStr">
        <is>
          <t>BOLLNÄS</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9242-2026</t>
        </is>
      </c>
      <c r="B9411" s="1" t="n">
        <v>46070.48130787037</v>
      </c>
      <c r="C9411" s="1" t="n">
        <v>46086</v>
      </c>
      <c r="D9411" t="inlineStr">
        <is>
          <t>GÄVLEBORGS LÄN</t>
        </is>
      </c>
      <c r="E9411" t="inlineStr">
        <is>
          <t>BOLLNÄS</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43090-2023</t>
        </is>
      </c>
      <c r="B9412" s="1" t="n">
        <v>45182.90457175926</v>
      </c>
      <c r="C9412" s="1" t="n">
        <v>46086</v>
      </c>
      <c r="D9412" t="inlineStr">
        <is>
          <t>GÄVLEBORGS LÄN</t>
        </is>
      </c>
      <c r="E9412" t="inlineStr">
        <is>
          <t>SANDVIKEN</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4444-2026</t>
        </is>
      </c>
      <c r="B9413" s="1" t="n">
        <v>46045</v>
      </c>
      <c r="C9413" s="1" t="n">
        <v>46086</v>
      </c>
      <c r="D9413" t="inlineStr">
        <is>
          <t>GÄVLEBORGS LÄN</t>
        </is>
      </c>
      <c r="E9413" t="inlineStr">
        <is>
          <t>GÄVLE</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5265-2026</t>
        </is>
      </c>
      <c r="B9414" s="1" t="n">
        <v>46050</v>
      </c>
      <c r="C9414" s="1" t="n">
        <v>46086</v>
      </c>
      <c r="D9414" t="inlineStr">
        <is>
          <t>GÄVLEBORGS LÄN</t>
        </is>
      </c>
      <c r="E9414" t="inlineStr">
        <is>
          <t>OVANÅKER</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9559-2026</t>
        </is>
      </c>
      <c r="B9415" s="1" t="n">
        <v>46071.64606481481</v>
      </c>
      <c r="C9415" s="1" t="n">
        <v>46086</v>
      </c>
      <c r="D9415" t="inlineStr">
        <is>
          <t>GÄVLEBORGS LÄN</t>
        </is>
      </c>
      <c r="E9415" t="inlineStr">
        <is>
          <t>OCKELBO</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9560-2026</t>
        </is>
      </c>
      <c r="B9416" s="1" t="n">
        <v>46071.64643518518</v>
      </c>
      <c r="C9416" s="1" t="n">
        <v>46086</v>
      </c>
      <c r="D9416" t="inlineStr">
        <is>
          <t>GÄVLEBORGS LÄN</t>
        </is>
      </c>
      <c r="E9416" t="inlineStr">
        <is>
          <t>HUDIKSVALL</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9480-2026</t>
        </is>
      </c>
      <c r="B9417" s="1" t="n">
        <v>46071.52795138889</v>
      </c>
      <c r="C9417" s="1" t="n">
        <v>46086</v>
      </c>
      <c r="D9417" t="inlineStr">
        <is>
          <t>GÄVLEBORGS LÄN</t>
        </is>
      </c>
      <c r="E9417" t="inlineStr">
        <is>
          <t>SANDVIKEN</t>
        </is>
      </c>
      <c r="F9417" t="inlineStr">
        <is>
          <t>Naturvårdsverket</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9211-2026</t>
        </is>
      </c>
      <c r="B9418" s="1" t="n">
        <v>46070.428125</v>
      </c>
      <c r="C9418" s="1" t="n">
        <v>46086</v>
      </c>
      <c r="D9418" t="inlineStr">
        <is>
          <t>GÄVLEBORGS LÄN</t>
        </is>
      </c>
      <c r="E9418" t="inlineStr">
        <is>
          <t>BOLLNÄS</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19014-2024</t>
        </is>
      </c>
      <c r="B9419" s="1" t="n">
        <v>45427</v>
      </c>
      <c r="C9419" s="1" t="n">
        <v>46086</v>
      </c>
      <c r="D9419" t="inlineStr">
        <is>
          <t>GÄVLEBORGS LÄN</t>
        </is>
      </c>
      <c r="E9419" t="inlineStr">
        <is>
          <t>HUDIKSVALL</t>
        </is>
      </c>
      <c r="F9419" t="inlineStr">
        <is>
          <t>Holmen skog AB</t>
        </is>
      </c>
      <c r="G9419" t="n">
        <v>17.7</v>
      </c>
      <c r="H9419" t="n">
        <v>0</v>
      </c>
      <c r="I9419" t="n">
        <v>0</v>
      </c>
      <c r="J9419" t="n">
        <v>0</v>
      </c>
      <c r="K9419" t="n">
        <v>0</v>
      </c>
      <c r="L9419" t="n">
        <v>0</v>
      </c>
      <c r="M9419" t="n">
        <v>0</v>
      </c>
      <c r="N9419" t="n">
        <v>0</v>
      </c>
      <c r="O9419" t="n">
        <v>0</v>
      </c>
      <c r="P9419" t="n">
        <v>0</v>
      </c>
      <c r="Q9419" t="n">
        <v>0</v>
      </c>
      <c r="R9419" s="2" t="inlineStr"/>
    </row>
    <row r="9420" ht="15" customHeight="1">
      <c r="A9420" t="inlineStr">
        <is>
          <t>A 8045-2026</t>
        </is>
      </c>
      <c r="B9420" s="1" t="n">
        <v>46063</v>
      </c>
      <c r="C9420" s="1" t="n">
        <v>46086</v>
      </c>
      <c r="D9420" t="inlineStr">
        <is>
          <t>GÄVLEBORGS LÄN</t>
        </is>
      </c>
      <c r="E9420" t="inlineStr">
        <is>
          <t>BOLLNÄS</t>
        </is>
      </c>
      <c r="G9420" t="n">
        <v>25.1</v>
      </c>
      <c r="H9420" t="n">
        <v>0</v>
      </c>
      <c r="I9420" t="n">
        <v>0</v>
      </c>
      <c r="J9420" t="n">
        <v>0</v>
      </c>
      <c r="K9420" t="n">
        <v>0</v>
      </c>
      <c r="L9420" t="n">
        <v>0</v>
      </c>
      <c r="M9420" t="n">
        <v>0</v>
      </c>
      <c r="N9420" t="n">
        <v>0</v>
      </c>
      <c r="O9420" t="n">
        <v>0</v>
      </c>
      <c r="P9420" t="n">
        <v>0</v>
      </c>
      <c r="Q9420" t="n">
        <v>0</v>
      </c>
      <c r="R9420" s="2" t="inlineStr"/>
    </row>
    <row r="9421" ht="15" customHeight="1">
      <c r="A9421" t="inlineStr">
        <is>
          <t>A 465-2026</t>
        </is>
      </c>
      <c r="B9421" s="1" t="n">
        <v>46029.38519675926</v>
      </c>
      <c r="C9421" s="1" t="n">
        <v>46086</v>
      </c>
      <c r="D9421" t="inlineStr">
        <is>
          <t>GÄVLEBORGS LÄN</t>
        </is>
      </c>
      <c r="E9421" t="inlineStr">
        <is>
          <t>OCKELBO</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497-2026</t>
        </is>
      </c>
      <c r="B9422" s="1" t="n">
        <v>46029.43116898148</v>
      </c>
      <c r="C9422" s="1" t="n">
        <v>46086</v>
      </c>
      <c r="D9422" t="inlineStr">
        <is>
          <t>GÄVLEBORGS LÄN</t>
        </is>
      </c>
      <c r="E9422" t="inlineStr">
        <is>
          <t>GÄVLE</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9184-2026</t>
        </is>
      </c>
      <c r="B9423" s="1" t="n">
        <v>46070.37256944444</v>
      </c>
      <c r="C9423" s="1" t="n">
        <v>46086</v>
      </c>
      <c r="D9423" t="inlineStr">
        <is>
          <t>GÄVLEBORGS LÄN</t>
        </is>
      </c>
      <c r="E9423" t="inlineStr">
        <is>
          <t>BOLLNÄS</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9188-2026</t>
        </is>
      </c>
      <c r="B9424" s="1" t="n">
        <v>46070.38043981481</v>
      </c>
      <c r="C9424" s="1" t="n">
        <v>46086</v>
      </c>
      <c r="D9424" t="inlineStr">
        <is>
          <t>GÄVLEBORGS LÄN</t>
        </is>
      </c>
      <c r="E9424" t="inlineStr">
        <is>
          <t>BOLLNÄS</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9526-2026</t>
        </is>
      </c>
      <c r="B9425" s="1" t="n">
        <v>46071.60168981482</v>
      </c>
      <c r="C9425" s="1" t="n">
        <v>46086</v>
      </c>
      <c r="D9425" t="inlineStr">
        <is>
          <t>GÄVLEBORGS LÄN</t>
        </is>
      </c>
      <c r="E9425" t="inlineStr">
        <is>
          <t>BOLLNÄS</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6153-2026</t>
        </is>
      </c>
      <c r="B9426" s="1" t="n">
        <v>46055.2467824074</v>
      </c>
      <c r="C9426" s="1" t="n">
        <v>46086</v>
      </c>
      <c r="D9426" t="inlineStr">
        <is>
          <t>GÄVLEBORGS LÄN</t>
        </is>
      </c>
      <c r="E9426" t="inlineStr">
        <is>
          <t>BOLLNÄS</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6857-2026</t>
        </is>
      </c>
      <c r="B9427" s="1" t="n">
        <v>46057</v>
      </c>
      <c r="C9427" s="1" t="n">
        <v>46086</v>
      </c>
      <c r="D9427" t="inlineStr">
        <is>
          <t>GÄVLEBORGS LÄN</t>
        </is>
      </c>
      <c r="E9427" t="inlineStr">
        <is>
          <t>BOLLNÄS</t>
        </is>
      </c>
      <c r="F9427" t="inlineStr">
        <is>
          <t>Bergvik skog väst AB</t>
        </is>
      </c>
      <c r="G9427" t="n">
        <v>3.4</v>
      </c>
      <c r="H9427" t="n">
        <v>0</v>
      </c>
      <c r="I9427" t="n">
        <v>0</v>
      </c>
      <c r="J9427" t="n">
        <v>0</v>
      </c>
      <c r="K9427" t="n">
        <v>0</v>
      </c>
      <c r="L9427" t="n">
        <v>0</v>
      </c>
      <c r="M9427" t="n">
        <v>0</v>
      </c>
      <c r="N9427" t="n">
        <v>0</v>
      </c>
      <c r="O9427" t="n">
        <v>0</v>
      </c>
      <c r="P9427" t="n">
        <v>0</v>
      </c>
      <c r="Q9427" t="n">
        <v>0</v>
      </c>
      <c r="R9427" s="2" t="inlineStr"/>
    </row>
    <row r="9428" ht="15" customHeight="1">
      <c r="A9428" t="inlineStr">
        <is>
          <t>A 9461-2026</t>
        </is>
      </c>
      <c r="B9428" s="1" t="n">
        <v>46071.49243055555</v>
      </c>
      <c r="C9428" s="1" t="n">
        <v>46086</v>
      </c>
      <c r="D9428" t="inlineStr">
        <is>
          <t>GÄVLEBORGS LÄN</t>
        </is>
      </c>
      <c r="E9428" t="inlineStr">
        <is>
          <t>OCKELBO</t>
        </is>
      </c>
      <c r="F9428" t="inlineStr">
        <is>
          <t>Bergvik skog väst AB</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9471-2026</t>
        </is>
      </c>
      <c r="B9429" s="1" t="n">
        <v>46071.51644675926</v>
      </c>
      <c r="C9429" s="1" t="n">
        <v>46086</v>
      </c>
      <c r="D9429" t="inlineStr">
        <is>
          <t>GÄVLEBORGS LÄN</t>
        </is>
      </c>
      <c r="E9429" t="inlineStr">
        <is>
          <t>OCKELBO</t>
        </is>
      </c>
      <c r="F9429" t="inlineStr">
        <is>
          <t>Bergvik skog väst AB</t>
        </is>
      </c>
      <c r="G9429" t="n">
        <v>3.6</v>
      </c>
      <c r="H9429" t="n">
        <v>0</v>
      </c>
      <c r="I9429" t="n">
        <v>0</v>
      </c>
      <c r="J9429" t="n">
        <v>0</v>
      </c>
      <c r="K9429" t="n">
        <v>0</v>
      </c>
      <c r="L9429" t="n">
        <v>0</v>
      </c>
      <c r="M9429" t="n">
        <v>0</v>
      </c>
      <c r="N9429" t="n">
        <v>0</v>
      </c>
      <c r="O9429" t="n">
        <v>0</v>
      </c>
      <c r="P9429" t="n">
        <v>0</v>
      </c>
      <c r="Q9429" t="n">
        <v>0</v>
      </c>
      <c r="R9429" s="2" t="inlineStr"/>
    </row>
    <row r="9430" ht="15" customHeight="1">
      <c r="A9430" t="inlineStr">
        <is>
          <t>A 43131-2024</t>
        </is>
      </c>
      <c r="B9430" s="1" t="n">
        <v>45567.60054398148</v>
      </c>
      <c r="C9430" s="1" t="n">
        <v>46086</v>
      </c>
      <c r="D9430" t="inlineStr">
        <is>
          <t>GÄVLEBORGS LÄN</t>
        </is>
      </c>
      <c r="E9430" t="inlineStr">
        <is>
          <t>BOLLNÄS</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10890-2025</t>
        </is>
      </c>
      <c r="B9431" s="1" t="n">
        <v>45722.67138888889</v>
      </c>
      <c r="C9431" s="1" t="n">
        <v>46086</v>
      </c>
      <c r="D9431" t="inlineStr">
        <is>
          <t>GÄVLEBORGS LÄN</t>
        </is>
      </c>
      <c r="E9431" t="inlineStr">
        <is>
          <t>HUDIKSVALL</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72734-2021</t>
        </is>
      </c>
      <c r="B9432" s="1" t="n">
        <v>44546</v>
      </c>
      <c r="C9432" s="1" t="n">
        <v>46086</v>
      </c>
      <c r="D9432" t="inlineStr">
        <is>
          <t>GÄVLEBORGS LÄN</t>
        </is>
      </c>
      <c r="E9432" t="inlineStr">
        <is>
          <t>GÄVLE</t>
        </is>
      </c>
      <c r="F9432" t="inlineStr">
        <is>
          <t>Kommuner</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38598-2022</t>
        </is>
      </c>
      <c r="B9433" s="1" t="n">
        <v>44813</v>
      </c>
      <c r="C9433" s="1" t="n">
        <v>46086</v>
      </c>
      <c r="D9433" t="inlineStr">
        <is>
          <t>GÄVLEBORGS LÄN</t>
        </is>
      </c>
      <c r="E9433" t="inlineStr">
        <is>
          <t>LJUSDAL</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714-2026</t>
        </is>
      </c>
      <c r="B9434" s="1" t="n">
        <v>46029.62575231482</v>
      </c>
      <c r="C9434" s="1" t="n">
        <v>46086</v>
      </c>
      <c r="D9434" t="inlineStr">
        <is>
          <t>GÄVLEBORGS LÄN</t>
        </is>
      </c>
      <c r="E9434" t="inlineStr">
        <is>
          <t>LJUSDAL</t>
        </is>
      </c>
      <c r="G9434" t="n">
        <v>23.3</v>
      </c>
      <c r="H9434" t="n">
        <v>0</v>
      </c>
      <c r="I9434" t="n">
        <v>0</v>
      </c>
      <c r="J9434" t="n">
        <v>0</v>
      </c>
      <c r="K9434" t="n">
        <v>0</v>
      </c>
      <c r="L9434" t="n">
        <v>0</v>
      </c>
      <c r="M9434" t="n">
        <v>0</v>
      </c>
      <c r="N9434" t="n">
        <v>0</v>
      </c>
      <c r="O9434" t="n">
        <v>0</v>
      </c>
      <c r="P9434" t="n">
        <v>0</v>
      </c>
      <c r="Q9434" t="n">
        <v>0</v>
      </c>
      <c r="R9434" s="2" t="inlineStr"/>
    </row>
    <row r="9435" ht="15" customHeight="1">
      <c r="A9435" t="inlineStr">
        <is>
          <t>A 9413-2026</t>
        </is>
      </c>
      <c r="B9435" s="1" t="n">
        <v>46071.42413194444</v>
      </c>
      <c r="C9435" s="1" t="n">
        <v>46086</v>
      </c>
      <c r="D9435" t="inlineStr">
        <is>
          <t>GÄVLEBORGS LÄN</t>
        </is>
      </c>
      <c r="E9435" t="inlineStr">
        <is>
          <t>OCKELBO</t>
        </is>
      </c>
      <c r="F9435" t="inlineStr">
        <is>
          <t>Bergvik skog väst AB</t>
        </is>
      </c>
      <c r="G9435" t="n">
        <v>9.1</v>
      </c>
      <c r="H9435" t="n">
        <v>0</v>
      </c>
      <c r="I9435" t="n">
        <v>0</v>
      </c>
      <c r="J9435" t="n">
        <v>0</v>
      </c>
      <c r="K9435" t="n">
        <v>0</v>
      </c>
      <c r="L9435" t="n">
        <v>0</v>
      </c>
      <c r="M9435" t="n">
        <v>0</v>
      </c>
      <c r="N9435" t="n">
        <v>0</v>
      </c>
      <c r="O9435" t="n">
        <v>0</v>
      </c>
      <c r="P9435" t="n">
        <v>0</v>
      </c>
      <c r="Q9435" t="n">
        <v>0</v>
      </c>
      <c r="R9435" s="2" t="inlineStr"/>
    </row>
    <row r="9436" ht="15" customHeight="1">
      <c r="A9436" t="inlineStr">
        <is>
          <t>A 9415-2026</t>
        </is>
      </c>
      <c r="B9436" s="1" t="n">
        <v>46071.42650462963</v>
      </c>
      <c r="C9436" s="1" t="n">
        <v>46086</v>
      </c>
      <c r="D9436" t="inlineStr">
        <is>
          <t>GÄVLEBORGS LÄN</t>
        </is>
      </c>
      <c r="E9436" t="inlineStr">
        <is>
          <t>LJUSDAL</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9416-2026</t>
        </is>
      </c>
      <c r="B9437" s="1" t="n">
        <v>46071.4294212963</v>
      </c>
      <c r="C9437" s="1" t="n">
        <v>46086</v>
      </c>
      <c r="D9437" t="inlineStr">
        <is>
          <t>GÄVLEBORGS LÄN</t>
        </is>
      </c>
      <c r="E9437" t="inlineStr">
        <is>
          <t>OCKELBO</t>
        </is>
      </c>
      <c r="F9437" t="inlineStr">
        <is>
          <t>Bergvik skog väst AB</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9204-2026</t>
        </is>
      </c>
      <c r="B9438" s="1" t="n">
        <v>46070.41575231482</v>
      </c>
      <c r="C9438" s="1" t="n">
        <v>46086</v>
      </c>
      <c r="D9438" t="inlineStr">
        <is>
          <t>GÄVLEBORGS LÄN</t>
        </is>
      </c>
      <c r="E9438" t="inlineStr">
        <is>
          <t>NORDANSTIG</t>
        </is>
      </c>
      <c r="G9438" t="n">
        <v>15.6</v>
      </c>
      <c r="H9438" t="n">
        <v>0</v>
      </c>
      <c r="I9438" t="n">
        <v>0</v>
      </c>
      <c r="J9438" t="n">
        <v>0</v>
      </c>
      <c r="K9438" t="n">
        <v>0</v>
      </c>
      <c r="L9438" t="n">
        <v>0</v>
      </c>
      <c r="M9438" t="n">
        <v>0</v>
      </c>
      <c r="N9438" t="n">
        <v>0</v>
      </c>
      <c r="O9438" t="n">
        <v>0</v>
      </c>
      <c r="P9438" t="n">
        <v>0</v>
      </c>
      <c r="Q9438" t="n">
        <v>0</v>
      </c>
      <c r="R9438" s="2" t="inlineStr"/>
    </row>
    <row r="9439" ht="15" customHeight="1">
      <c r="A9439" t="inlineStr">
        <is>
          <t>A 7182-2023</t>
        </is>
      </c>
      <c r="B9439" s="1" t="n">
        <v>44970</v>
      </c>
      <c r="C9439" s="1" t="n">
        <v>46086</v>
      </c>
      <c r="D9439" t="inlineStr">
        <is>
          <t>GÄVLEBORGS LÄN</t>
        </is>
      </c>
      <c r="E9439" t="inlineStr">
        <is>
          <t>LJUSDAL</t>
        </is>
      </c>
      <c r="G9439" t="n">
        <v>7</v>
      </c>
      <c r="H9439" t="n">
        <v>0</v>
      </c>
      <c r="I9439" t="n">
        <v>0</v>
      </c>
      <c r="J9439" t="n">
        <v>0</v>
      </c>
      <c r="K9439" t="n">
        <v>0</v>
      </c>
      <c r="L9439" t="n">
        <v>0</v>
      </c>
      <c r="M9439" t="n">
        <v>0</v>
      </c>
      <c r="N9439" t="n">
        <v>0</v>
      </c>
      <c r="O9439" t="n">
        <v>0</v>
      </c>
      <c r="P9439" t="n">
        <v>0</v>
      </c>
      <c r="Q9439" t="n">
        <v>0</v>
      </c>
      <c r="R9439" s="2" t="inlineStr"/>
    </row>
    <row r="9440" ht="15" customHeight="1">
      <c r="A9440" t="inlineStr">
        <is>
          <t>A 9237-2026</t>
        </is>
      </c>
      <c r="B9440" s="1" t="n">
        <v>46070.47622685185</v>
      </c>
      <c r="C9440" s="1" t="n">
        <v>46086</v>
      </c>
      <c r="D9440" t="inlineStr">
        <is>
          <t>GÄVLEBORGS LÄN</t>
        </is>
      </c>
      <c r="E9440" t="inlineStr">
        <is>
          <t>BOLLNÄS</t>
        </is>
      </c>
      <c r="G9440" t="n">
        <v>0.4</v>
      </c>
      <c r="H9440" t="n">
        <v>0</v>
      </c>
      <c r="I9440" t="n">
        <v>0</v>
      </c>
      <c r="J9440" t="n">
        <v>0</v>
      </c>
      <c r="K9440" t="n">
        <v>0</v>
      </c>
      <c r="L9440" t="n">
        <v>0</v>
      </c>
      <c r="M9440" t="n">
        <v>0</v>
      </c>
      <c r="N9440" t="n">
        <v>0</v>
      </c>
      <c r="O9440" t="n">
        <v>0</v>
      </c>
      <c r="P9440" t="n">
        <v>0</v>
      </c>
      <c r="Q9440" t="n">
        <v>0</v>
      </c>
      <c r="R9440" s="2" t="inlineStr"/>
    </row>
    <row r="9441" ht="15" customHeight="1">
      <c r="A9441" t="inlineStr">
        <is>
          <t>A 4354-2026</t>
        </is>
      </c>
      <c r="B9441" s="1" t="n">
        <v>46045</v>
      </c>
      <c r="C9441" s="1" t="n">
        <v>46086</v>
      </c>
      <c r="D9441" t="inlineStr">
        <is>
          <t>GÄVLEBORGS LÄN</t>
        </is>
      </c>
      <c r="E9441" t="inlineStr">
        <is>
          <t>OVANÅKER</t>
        </is>
      </c>
      <c r="G9441" t="n">
        <v>3.7</v>
      </c>
      <c r="H9441" t="n">
        <v>0</v>
      </c>
      <c r="I9441" t="n">
        <v>0</v>
      </c>
      <c r="J9441" t="n">
        <v>0</v>
      </c>
      <c r="K9441" t="n">
        <v>0</v>
      </c>
      <c r="L9441" t="n">
        <v>0</v>
      </c>
      <c r="M9441" t="n">
        <v>0</v>
      </c>
      <c r="N9441" t="n">
        <v>0</v>
      </c>
      <c r="O9441" t="n">
        <v>0</v>
      </c>
      <c r="P9441" t="n">
        <v>0</v>
      </c>
      <c r="Q9441" t="n">
        <v>0</v>
      </c>
      <c r="R9441" s="2" t="inlineStr"/>
    </row>
    <row r="9442" ht="15" customHeight="1">
      <c r="A9442" t="inlineStr">
        <is>
          <t>A 4440-2026</t>
        </is>
      </c>
      <c r="B9442" s="1" t="n">
        <v>46045</v>
      </c>
      <c r="C9442" s="1" t="n">
        <v>46086</v>
      </c>
      <c r="D9442" t="inlineStr">
        <is>
          <t>GÄVLEBORGS LÄN</t>
        </is>
      </c>
      <c r="E9442" t="inlineStr">
        <is>
          <t>OVANÅKER</t>
        </is>
      </c>
      <c r="G9442" t="n">
        <v>5</v>
      </c>
      <c r="H9442" t="n">
        <v>0</v>
      </c>
      <c r="I9442" t="n">
        <v>0</v>
      </c>
      <c r="J9442" t="n">
        <v>0</v>
      </c>
      <c r="K9442" t="n">
        <v>0</v>
      </c>
      <c r="L9442" t="n">
        <v>0</v>
      </c>
      <c r="M9442" t="n">
        <v>0</v>
      </c>
      <c r="N9442" t="n">
        <v>0</v>
      </c>
      <c r="O9442" t="n">
        <v>0</v>
      </c>
      <c r="P9442" t="n">
        <v>0</v>
      </c>
      <c r="Q9442" t="n">
        <v>0</v>
      </c>
      <c r="R9442" s="2" t="inlineStr"/>
    </row>
    <row r="9443" ht="15" customHeight="1">
      <c r="A9443" t="inlineStr">
        <is>
          <t>A 46034-2024</t>
        </is>
      </c>
      <c r="B9443" s="1" t="n">
        <v>45580.72083333333</v>
      </c>
      <c r="C9443" s="1" t="n">
        <v>46086</v>
      </c>
      <c r="D9443" t="inlineStr">
        <is>
          <t>GÄVLEBORGS LÄN</t>
        </is>
      </c>
      <c r="E9443" t="inlineStr">
        <is>
          <t>OVANÅKER</t>
        </is>
      </c>
      <c r="G9443" t="n">
        <v>2.5</v>
      </c>
      <c r="H9443" t="n">
        <v>0</v>
      </c>
      <c r="I9443" t="n">
        <v>0</v>
      </c>
      <c r="J9443" t="n">
        <v>0</v>
      </c>
      <c r="K9443" t="n">
        <v>0</v>
      </c>
      <c r="L9443" t="n">
        <v>0</v>
      </c>
      <c r="M9443" t="n">
        <v>0</v>
      </c>
      <c r="N9443" t="n">
        <v>0</v>
      </c>
      <c r="O9443" t="n">
        <v>0</v>
      </c>
      <c r="P9443" t="n">
        <v>0</v>
      </c>
      <c r="Q9443" t="n">
        <v>0</v>
      </c>
      <c r="R9443" s="2" t="inlineStr"/>
    </row>
    <row r="9444" ht="15" customHeight="1">
      <c r="A9444" t="inlineStr">
        <is>
          <t>A 7694-2026</t>
        </is>
      </c>
      <c r="B9444" s="1" t="n">
        <v>46062</v>
      </c>
      <c r="C9444" s="1" t="n">
        <v>46086</v>
      </c>
      <c r="D9444" t="inlineStr">
        <is>
          <t>GÄVLEBORGS LÄN</t>
        </is>
      </c>
      <c r="E9444" t="inlineStr">
        <is>
          <t>SANDVIKEN</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8573-2026</t>
        </is>
      </c>
      <c r="B9445" s="1" t="n">
        <v>46065</v>
      </c>
      <c r="C9445" s="1" t="n">
        <v>46086</v>
      </c>
      <c r="D9445" t="inlineStr">
        <is>
          <t>GÄVLEBORGS LÄN</t>
        </is>
      </c>
      <c r="E9445" t="inlineStr">
        <is>
          <t>SANDVIKEN</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9186-2026</t>
        </is>
      </c>
      <c r="B9446" s="1" t="n">
        <v>46070.37762731482</v>
      </c>
      <c r="C9446" s="1" t="n">
        <v>46086</v>
      </c>
      <c r="D9446" t="inlineStr">
        <is>
          <t>GÄVLEBORGS LÄN</t>
        </is>
      </c>
      <c r="E9446" t="inlineStr">
        <is>
          <t>OCKELBO</t>
        </is>
      </c>
      <c r="F9446" t="inlineStr">
        <is>
          <t>Bergvik skog väst AB</t>
        </is>
      </c>
      <c r="G9446" t="n">
        <v>5.6</v>
      </c>
      <c r="H9446" t="n">
        <v>0</v>
      </c>
      <c r="I9446" t="n">
        <v>0</v>
      </c>
      <c r="J9446" t="n">
        <v>0</v>
      </c>
      <c r="K9446" t="n">
        <v>0</v>
      </c>
      <c r="L9446" t="n">
        <v>0</v>
      </c>
      <c r="M9446" t="n">
        <v>0</v>
      </c>
      <c r="N9446" t="n">
        <v>0</v>
      </c>
      <c r="O9446" t="n">
        <v>0</v>
      </c>
      <c r="P9446" t="n">
        <v>0</v>
      </c>
      <c r="Q9446" t="n">
        <v>0</v>
      </c>
      <c r="R9446" s="2" t="inlineStr"/>
    </row>
    <row r="9447" ht="15" customHeight="1">
      <c r="A9447" t="inlineStr">
        <is>
          <t>A 9410-2026</t>
        </is>
      </c>
      <c r="B9447" s="1" t="n">
        <v>46071.41292824074</v>
      </c>
      <c r="C9447" s="1" t="n">
        <v>46086</v>
      </c>
      <c r="D9447" t="inlineStr">
        <is>
          <t>GÄVLEBORGS LÄN</t>
        </is>
      </c>
      <c r="E9447" t="inlineStr">
        <is>
          <t>OCKELBO</t>
        </is>
      </c>
      <c r="F9447" t="inlineStr">
        <is>
          <t>Bergvik skog väst AB</t>
        </is>
      </c>
      <c r="G9447" t="n">
        <v>6.5</v>
      </c>
      <c r="H9447" t="n">
        <v>0</v>
      </c>
      <c r="I9447" t="n">
        <v>0</v>
      </c>
      <c r="J9447" t="n">
        <v>0</v>
      </c>
      <c r="K9447" t="n">
        <v>0</v>
      </c>
      <c r="L9447" t="n">
        <v>0</v>
      </c>
      <c r="M9447" t="n">
        <v>0</v>
      </c>
      <c r="N9447" t="n">
        <v>0</v>
      </c>
      <c r="O9447" t="n">
        <v>0</v>
      </c>
      <c r="P9447" t="n">
        <v>0</v>
      </c>
      <c r="Q9447" t="n">
        <v>0</v>
      </c>
      <c r="R9447" s="2" t="inlineStr"/>
    </row>
    <row r="9448" ht="15" customHeight="1">
      <c r="A9448" t="inlineStr">
        <is>
          <t>A 6000-2026</t>
        </is>
      </c>
      <c r="B9448" s="1" t="n">
        <v>46052.5828125</v>
      </c>
      <c r="C9448" s="1" t="n">
        <v>46086</v>
      </c>
      <c r="D9448" t="inlineStr">
        <is>
          <t>GÄVLEBORGS LÄN</t>
        </is>
      </c>
      <c r="E9448" t="inlineStr">
        <is>
          <t>BOLLNÄS</t>
        </is>
      </c>
      <c r="G9448" t="n">
        <v>4.8</v>
      </c>
      <c r="H9448" t="n">
        <v>0</v>
      </c>
      <c r="I9448" t="n">
        <v>0</v>
      </c>
      <c r="J9448" t="n">
        <v>0</v>
      </c>
      <c r="K9448" t="n">
        <v>0</v>
      </c>
      <c r="L9448" t="n">
        <v>0</v>
      </c>
      <c r="M9448" t="n">
        <v>0</v>
      </c>
      <c r="N9448" t="n">
        <v>0</v>
      </c>
      <c r="O9448" t="n">
        <v>0</v>
      </c>
      <c r="P9448" t="n">
        <v>0</v>
      </c>
      <c r="Q9448" t="n">
        <v>0</v>
      </c>
      <c r="R9448" s="2" t="inlineStr"/>
    </row>
    <row r="9449" ht="15" customHeight="1">
      <c r="A9449" t="inlineStr">
        <is>
          <t>A 9323-2026</t>
        </is>
      </c>
      <c r="B9449" s="1" t="n">
        <v>46070.63743055556</v>
      </c>
      <c r="C9449" s="1" t="n">
        <v>46086</v>
      </c>
      <c r="D9449" t="inlineStr">
        <is>
          <t>GÄVLEBORGS LÄN</t>
        </is>
      </c>
      <c r="E9449" t="inlineStr">
        <is>
          <t>BOLLNÄS</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9331-2026</t>
        </is>
      </c>
      <c r="B9450" s="1" t="n">
        <v>46070.65717592592</v>
      </c>
      <c r="C9450" s="1" t="n">
        <v>46086</v>
      </c>
      <c r="D9450" t="inlineStr">
        <is>
          <t>GÄVLEBORGS LÄN</t>
        </is>
      </c>
      <c r="E9450" t="inlineStr">
        <is>
          <t>GÄVLE</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9384-2026</t>
        </is>
      </c>
      <c r="B9451" s="1" t="n">
        <v>46071.32976851852</v>
      </c>
      <c r="C9451" s="1" t="n">
        <v>46086</v>
      </c>
      <c r="D9451" t="inlineStr">
        <is>
          <t>GÄVLEBORGS LÄN</t>
        </is>
      </c>
      <c r="E9451" t="inlineStr">
        <is>
          <t>GÄVLE</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430-2026</t>
        </is>
      </c>
      <c r="B9452" s="1" t="n">
        <v>46029</v>
      </c>
      <c r="C9452" s="1" t="n">
        <v>46086</v>
      </c>
      <c r="D9452" t="inlineStr">
        <is>
          <t>GÄVLEBORGS LÄN</t>
        </is>
      </c>
      <c r="E9452" t="inlineStr">
        <is>
          <t>OVANÅKER</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432-2026</t>
        </is>
      </c>
      <c r="B9453" s="1" t="n">
        <v>46029.32423611111</v>
      </c>
      <c r="C9453" s="1" t="n">
        <v>46086</v>
      </c>
      <c r="D9453" t="inlineStr">
        <is>
          <t>GÄVLEBORGS LÄN</t>
        </is>
      </c>
      <c r="E9453" t="inlineStr">
        <is>
          <t>BOLLNÄS</t>
        </is>
      </c>
      <c r="G9453" t="n">
        <v>3.2</v>
      </c>
      <c r="H9453" t="n">
        <v>0</v>
      </c>
      <c r="I9453" t="n">
        <v>0</v>
      </c>
      <c r="J9453" t="n">
        <v>0</v>
      </c>
      <c r="K9453" t="n">
        <v>0</v>
      </c>
      <c r="L9453" t="n">
        <v>0</v>
      </c>
      <c r="M9453" t="n">
        <v>0</v>
      </c>
      <c r="N9453" t="n">
        <v>0</v>
      </c>
      <c r="O9453" t="n">
        <v>0</v>
      </c>
      <c r="P9453" t="n">
        <v>0</v>
      </c>
      <c r="Q9453" t="n">
        <v>0</v>
      </c>
      <c r="R9453" s="2" t="inlineStr"/>
    </row>
    <row r="9454" ht="15" customHeight="1">
      <c r="A9454" t="inlineStr">
        <is>
          <t>A 9174-2026</t>
        </is>
      </c>
      <c r="B9454" s="1" t="n">
        <v>46070.36658564815</v>
      </c>
      <c r="C9454" s="1" t="n">
        <v>46086</v>
      </c>
      <c r="D9454" t="inlineStr">
        <is>
          <t>GÄVLEBORGS LÄN</t>
        </is>
      </c>
      <c r="E9454" t="inlineStr">
        <is>
          <t>BOLLNÄS</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4807-2026</t>
        </is>
      </c>
      <c r="B9455" s="1" t="n">
        <v>46048.58056712963</v>
      </c>
      <c r="C9455" s="1" t="n">
        <v>46086</v>
      </c>
      <c r="D9455" t="inlineStr">
        <is>
          <t>GÄVLEBORGS LÄN</t>
        </is>
      </c>
      <c r="E9455" t="inlineStr">
        <is>
          <t>LJUSDAL</t>
        </is>
      </c>
      <c r="G9455" t="n">
        <v>2.9</v>
      </c>
      <c r="H9455" t="n">
        <v>0</v>
      </c>
      <c r="I9455" t="n">
        <v>0</v>
      </c>
      <c r="J9455" t="n">
        <v>0</v>
      </c>
      <c r="K9455" t="n">
        <v>0</v>
      </c>
      <c r="L9455" t="n">
        <v>0</v>
      </c>
      <c r="M9455" t="n">
        <v>0</v>
      </c>
      <c r="N9455" t="n">
        <v>0</v>
      </c>
      <c r="O9455" t="n">
        <v>0</v>
      </c>
      <c r="P9455" t="n">
        <v>0</v>
      </c>
      <c r="Q9455" t="n">
        <v>0</v>
      </c>
      <c r="R9455" s="2" t="inlineStr"/>
    </row>
    <row r="9456" ht="15" customHeight="1">
      <c r="A9456" t="inlineStr">
        <is>
          <t>A 5685-2026</t>
        </is>
      </c>
      <c r="B9456" s="1" t="n">
        <v>46051</v>
      </c>
      <c r="C9456" s="1" t="n">
        <v>46086</v>
      </c>
      <c r="D9456" t="inlineStr">
        <is>
          <t>GÄVLEBORGS LÄN</t>
        </is>
      </c>
      <c r="E9456" t="inlineStr">
        <is>
          <t>NORDANSTIG</t>
        </is>
      </c>
      <c r="F9456" t="inlineStr">
        <is>
          <t>Holmen skog AB</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9169-2026</t>
        </is>
      </c>
      <c r="B9457" s="1" t="n">
        <v>46070.36159722223</v>
      </c>
      <c r="C9457" s="1" t="n">
        <v>46086</v>
      </c>
      <c r="D9457" t="inlineStr">
        <is>
          <t>GÄVLEBORGS LÄN</t>
        </is>
      </c>
      <c r="E9457" t="inlineStr">
        <is>
          <t>OCKELBO</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58108-2025</t>
        </is>
      </c>
      <c r="B9458" s="1" t="n">
        <v>45982.59606481482</v>
      </c>
      <c r="C9458" s="1" t="n">
        <v>46086</v>
      </c>
      <c r="D9458" t="inlineStr">
        <is>
          <t>GÄVLEBORGS LÄN</t>
        </is>
      </c>
      <c r="E9458" t="inlineStr">
        <is>
          <t>BOLLNÄS</t>
        </is>
      </c>
      <c r="G9458" t="n">
        <v>4.4</v>
      </c>
      <c r="H9458" t="n">
        <v>0</v>
      </c>
      <c r="I9458" t="n">
        <v>0</v>
      </c>
      <c r="J9458" t="n">
        <v>0</v>
      </c>
      <c r="K9458" t="n">
        <v>0</v>
      </c>
      <c r="L9458" t="n">
        <v>0</v>
      </c>
      <c r="M9458" t="n">
        <v>0</v>
      </c>
      <c r="N9458" t="n">
        <v>0</v>
      </c>
      <c r="O9458" t="n">
        <v>0</v>
      </c>
      <c r="P9458" t="n">
        <v>0</v>
      </c>
      <c r="Q9458" t="n">
        <v>0</v>
      </c>
      <c r="R9458" s="2" t="inlineStr"/>
    </row>
    <row r="9459" ht="15" customHeight="1">
      <c r="A9459" t="inlineStr">
        <is>
          <t>A 4632-2026</t>
        </is>
      </c>
      <c r="B9459" s="1" t="n">
        <v>46048</v>
      </c>
      <c r="C9459" s="1" t="n">
        <v>46086</v>
      </c>
      <c r="D9459" t="inlineStr">
        <is>
          <t>GÄVLEBORGS LÄN</t>
        </is>
      </c>
      <c r="E9459" t="inlineStr">
        <is>
          <t>OVANÅKER</t>
        </is>
      </c>
      <c r="G9459" t="n">
        <v>2.9</v>
      </c>
      <c r="H9459" t="n">
        <v>0</v>
      </c>
      <c r="I9459" t="n">
        <v>0</v>
      </c>
      <c r="J9459" t="n">
        <v>0</v>
      </c>
      <c r="K9459" t="n">
        <v>0</v>
      </c>
      <c r="L9459" t="n">
        <v>0</v>
      </c>
      <c r="M9459" t="n">
        <v>0</v>
      </c>
      <c r="N9459" t="n">
        <v>0</v>
      </c>
      <c r="O9459" t="n">
        <v>0</v>
      </c>
      <c r="P9459" t="n">
        <v>0</v>
      </c>
      <c r="Q9459" t="n">
        <v>0</v>
      </c>
      <c r="R9459" s="2" t="inlineStr"/>
    </row>
    <row r="9460" ht="15" customHeight="1">
      <c r="A9460" t="inlineStr">
        <is>
          <t>A 412-2026</t>
        </is>
      </c>
      <c r="B9460" s="1" t="n">
        <v>46028.74957175926</v>
      </c>
      <c r="C9460" s="1" t="n">
        <v>46086</v>
      </c>
      <c r="D9460" t="inlineStr">
        <is>
          <t>GÄVLEBORGS LÄN</t>
        </is>
      </c>
      <c r="E9460" t="inlineStr">
        <is>
          <t>OVANÅKER</t>
        </is>
      </c>
      <c r="G9460" t="n">
        <v>13.8</v>
      </c>
      <c r="H9460" t="n">
        <v>0</v>
      </c>
      <c r="I9460" t="n">
        <v>0</v>
      </c>
      <c r="J9460" t="n">
        <v>0</v>
      </c>
      <c r="K9460" t="n">
        <v>0</v>
      </c>
      <c r="L9460" t="n">
        <v>0</v>
      </c>
      <c r="M9460" t="n">
        <v>0</v>
      </c>
      <c r="N9460" t="n">
        <v>0</v>
      </c>
      <c r="O9460" t="n">
        <v>0</v>
      </c>
      <c r="P9460" t="n">
        <v>0</v>
      </c>
      <c r="Q9460" t="n">
        <v>0</v>
      </c>
      <c r="R9460" s="2" t="inlineStr"/>
    </row>
    <row r="9461" ht="15" customHeight="1">
      <c r="A9461" t="inlineStr">
        <is>
          <t>A 419-2026</t>
        </is>
      </c>
      <c r="B9461" s="1" t="n">
        <v>46028.81819444444</v>
      </c>
      <c r="C9461" s="1" t="n">
        <v>46086</v>
      </c>
      <c r="D9461" t="inlineStr">
        <is>
          <t>GÄVLEBORGS LÄN</t>
        </is>
      </c>
      <c r="E9461" t="inlineStr">
        <is>
          <t>OCKELBO</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428-2026</t>
        </is>
      </c>
      <c r="B9462" s="1" t="n">
        <v>46029.29848379629</v>
      </c>
      <c r="C9462" s="1" t="n">
        <v>46086</v>
      </c>
      <c r="D9462" t="inlineStr">
        <is>
          <t>GÄVLEBORGS LÄN</t>
        </is>
      </c>
      <c r="E9462" t="inlineStr">
        <is>
          <t>HUDIKSVALL</t>
        </is>
      </c>
      <c r="G9462" t="n">
        <v>4.2</v>
      </c>
      <c r="H9462" t="n">
        <v>0</v>
      </c>
      <c r="I9462" t="n">
        <v>0</v>
      </c>
      <c r="J9462" t="n">
        <v>0</v>
      </c>
      <c r="K9462" t="n">
        <v>0</v>
      </c>
      <c r="L9462" t="n">
        <v>0</v>
      </c>
      <c r="M9462" t="n">
        <v>0</v>
      </c>
      <c r="N9462" t="n">
        <v>0</v>
      </c>
      <c r="O9462" t="n">
        <v>0</v>
      </c>
      <c r="P9462" t="n">
        <v>0</v>
      </c>
      <c r="Q9462" t="n">
        <v>0</v>
      </c>
      <c r="R9462" s="2" t="inlineStr"/>
    </row>
    <row r="9463" ht="15" customHeight="1">
      <c r="A9463" t="inlineStr">
        <is>
          <t>A 429-2026</t>
        </is>
      </c>
      <c r="B9463" s="1" t="n">
        <v>46029</v>
      </c>
      <c r="C9463" s="1" t="n">
        <v>46086</v>
      </c>
      <c r="D9463" t="inlineStr">
        <is>
          <t>GÄVLEBORGS LÄN</t>
        </is>
      </c>
      <c r="E9463" t="inlineStr">
        <is>
          <t>SÖDERHAMN</t>
        </is>
      </c>
      <c r="G9463" t="n">
        <v>7</v>
      </c>
      <c r="H9463" t="n">
        <v>0</v>
      </c>
      <c r="I9463" t="n">
        <v>0</v>
      </c>
      <c r="J9463" t="n">
        <v>0</v>
      </c>
      <c r="K9463" t="n">
        <v>0</v>
      </c>
      <c r="L9463" t="n">
        <v>0</v>
      </c>
      <c r="M9463" t="n">
        <v>0</v>
      </c>
      <c r="N9463" t="n">
        <v>0</v>
      </c>
      <c r="O9463" t="n">
        <v>0</v>
      </c>
      <c r="P9463" t="n">
        <v>0</v>
      </c>
      <c r="Q9463" t="n">
        <v>0</v>
      </c>
      <c r="R9463" s="2" t="inlineStr"/>
    </row>
    <row r="9464" ht="15" customHeight="1">
      <c r="A9464" t="inlineStr">
        <is>
          <t>A 437-2026</t>
        </is>
      </c>
      <c r="B9464" s="1" t="n">
        <v>46029.34428240741</v>
      </c>
      <c r="C9464" s="1" t="n">
        <v>46086</v>
      </c>
      <c r="D9464" t="inlineStr">
        <is>
          <t>GÄVLEBORGS LÄN</t>
        </is>
      </c>
      <c r="E9464" t="inlineStr">
        <is>
          <t>SÖDERHAMN</t>
        </is>
      </c>
      <c r="G9464" t="n">
        <v>13.8</v>
      </c>
      <c r="H9464" t="n">
        <v>0</v>
      </c>
      <c r="I9464" t="n">
        <v>0</v>
      </c>
      <c r="J9464" t="n">
        <v>0</v>
      </c>
      <c r="K9464" t="n">
        <v>0</v>
      </c>
      <c r="L9464" t="n">
        <v>0</v>
      </c>
      <c r="M9464" t="n">
        <v>0</v>
      </c>
      <c r="N9464" t="n">
        <v>0</v>
      </c>
      <c r="O9464" t="n">
        <v>0</v>
      </c>
      <c r="P9464" t="n">
        <v>0</v>
      </c>
      <c r="Q9464" t="n">
        <v>0</v>
      </c>
      <c r="R9464" s="2" t="inlineStr"/>
    </row>
    <row r="9465" ht="15" customHeight="1">
      <c r="A9465" t="inlineStr">
        <is>
          <t>A 471-2026</t>
        </is>
      </c>
      <c r="B9465" s="1" t="n">
        <v>46029.39164351852</v>
      </c>
      <c r="C9465" s="1" t="n">
        <v>46086</v>
      </c>
      <c r="D9465" t="inlineStr">
        <is>
          <t>GÄVLEBORGS LÄN</t>
        </is>
      </c>
      <c r="E9465" t="inlineStr">
        <is>
          <t>LJUSDAL</t>
        </is>
      </c>
      <c r="G9465" t="n">
        <v>7.6</v>
      </c>
      <c r="H9465" t="n">
        <v>0</v>
      </c>
      <c r="I9465" t="n">
        <v>0</v>
      </c>
      <c r="J9465" t="n">
        <v>0</v>
      </c>
      <c r="K9465" t="n">
        <v>0</v>
      </c>
      <c r="L9465" t="n">
        <v>0</v>
      </c>
      <c r="M9465" t="n">
        <v>0</v>
      </c>
      <c r="N9465" t="n">
        <v>0</v>
      </c>
      <c r="O9465" t="n">
        <v>0</v>
      </c>
      <c r="P9465" t="n">
        <v>0</v>
      </c>
      <c r="Q9465" t="n">
        <v>0</v>
      </c>
      <c r="R9465" s="2" t="inlineStr"/>
    </row>
    <row r="9466" ht="15" customHeight="1">
      <c r="A9466" t="inlineStr">
        <is>
          <t>A 9396-2026</t>
        </is>
      </c>
      <c r="B9466" s="1" t="n">
        <v>46071.36818287037</v>
      </c>
      <c r="C9466" s="1" t="n">
        <v>46086</v>
      </c>
      <c r="D9466" t="inlineStr">
        <is>
          <t>GÄVLEBORGS LÄN</t>
        </is>
      </c>
      <c r="E9466" t="inlineStr">
        <is>
          <t>HUDIKSVALL</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9433-2026</t>
        </is>
      </c>
      <c r="B9467" s="1" t="n">
        <v>46071.45630787037</v>
      </c>
      <c r="C9467" s="1" t="n">
        <v>46086</v>
      </c>
      <c r="D9467" t="inlineStr">
        <is>
          <t>GÄVLEBORGS LÄN</t>
        </is>
      </c>
      <c r="E9467" t="inlineStr">
        <is>
          <t>OVANÅKER</t>
        </is>
      </c>
      <c r="F9467" t="inlineStr">
        <is>
          <t>Kyrkan</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16914-2025</t>
        </is>
      </c>
      <c r="B9468" s="1" t="n">
        <v>45755.36678240741</v>
      </c>
      <c r="C9468" s="1" t="n">
        <v>46086</v>
      </c>
      <c r="D9468" t="inlineStr">
        <is>
          <t>GÄVLEBORGS LÄN</t>
        </is>
      </c>
      <c r="E9468" t="inlineStr">
        <is>
          <t>BOLLNÄS</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543-2026</t>
        </is>
      </c>
      <c r="B9469" s="1" t="n">
        <v>46029.45841435185</v>
      </c>
      <c r="C9469" s="1" t="n">
        <v>46086</v>
      </c>
      <c r="D9469" t="inlineStr">
        <is>
          <t>GÄVLEBORGS LÄN</t>
        </is>
      </c>
      <c r="E9469" t="inlineStr">
        <is>
          <t>BOLLNÄS</t>
        </is>
      </c>
      <c r="G9469" t="n">
        <v>2.7</v>
      </c>
      <c r="H9469" t="n">
        <v>0</v>
      </c>
      <c r="I9469" t="n">
        <v>0</v>
      </c>
      <c r="J9469" t="n">
        <v>0</v>
      </c>
      <c r="K9469" t="n">
        <v>0</v>
      </c>
      <c r="L9469" t="n">
        <v>0</v>
      </c>
      <c r="M9469" t="n">
        <v>0</v>
      </c>
      <c r="N9469" t="n">
        <v>0</v>
      </c>
      <c r="O9469" t="n">
        <v>0</v>
      </c>
      <c r="P9469" t="n">
        <v>0</v>
      </c>
      <c r="Q9469" t="n">
        <v>0</v>
      </c>
      <c r="R9469" s="2" t="inlineStr"/>
    </row>
    <row r="9470" ht="15" customHeight="1">
      <c r="A9470" t="inlineStr">
        <is>
          <t>A 552-2026</t>
        </is>
      </c>
      <c r="B9470" s="1" t="n">
        <v>46029.46327546296</v>
      </c>
      <c r="C9470" s="1" t="n">
        <v>46086</v>
      </c>
      <c r="D9470" t="inlineStr">
        <is>
          <t>GÄVLEBORGS LÄN</t>
        </is>
      </c>
      <c r="E9470" t="inlineStr">
        <is>
          <t>BOLLNÄS</t>
        </is>
      </c>
      <c r="G9470" t="n">
        <v>2.7</v>
      </c>
      <c r="H9470" t="n">
        <v>0</v>
      </c>
      <c r="I9470" t="n">
        <v>0</v>
      </c>
      <c r="J9470" t="n">
        <v>0</v>
      </c>
      <c r="K9470" t="n">
        <v>0</v>
      </c>
      <c r="L9470" t="n">
        <v>0</v>
      </c>
      <c r="M9470" t="n">
        <v>0</v>
      </c>
      <c r="N9470" t="n">
        <v>0</v>
      </c>
      <c r="O9470" t="n">
        <v>0</v>
      </c>
      <c r="P9470" t="n">
        <v>0</v>
      </c>
      <c r="Q9470" t="n">
        <v>0</v>
      </c>
      <c r="R9470" s="2" t="inlineStr"/>
    </row>
    <row r="9471" ht="15" customHeight="1">
      <c r="A9471" t="inlineStr">
        <is>
          <t>A 63937-2025</t>
        </is>
      </c>
      <c r="B9471" s="1" t="n">
        <v>46020</v>
      </c>
      <c r="C9471" s="1" t="n">
        <v>46086</v>
      </c>
      <c r="D9471" t="inlineStr">
        <is>
          <t>GÄVLEBORGS LÄN</t>
        </is>
      </c>
      <c r="E9471" t="inlineStr">
        <is>
          <t>BOLLNÄS</t>
        </is>
      </c>
      <c r="G9471" t="n">
        <v>6.6</v>
      </c>
      <c r="H9471" t="n">
        <v>0</v>
      </c>
      <c r="I9471" t="n">
        <v>0</v>
      </c>
      <c r="J9471" t="n">
        <v>0</v>
      </c>
      <c r="K9471" t="n">
        <v>0</v>
      </c>
      <c r="L9471" t="n">
        <v>0</v>
      </c>
      <c r="M9471" t="n">
        <v>0</v>
      </c>
      <c r="N9471" t="n">
        <v>0</v>
      </c>
      <c r="O9471" t="n">
        <v>0</v>
      </c>
      <c r="P9471" t="n">
        <v>0</v>
      </c>
      <c r="Q9471" t="n">
        <v>0</v>
      </c>
      <c r="R9471" s="2" t="inlineStr"/>
    </row>
    <row r="9472" ht="15" customHeight="1">
      <c r="A9472" t="inlineStr">
        <is>
          <t>A 9563-2025</t>
        </is>
      </c>
      <c r="B9472" s="1" t="n">
        <v>45715.613125</v>
      </c>
      <c r="C9472" s="1" t="n">
        <v>46086</v>
      </c>
      <c r="D9472" t="inlineStr">
        <is>
          <t>GÄVLEBORGS LÄN</t>
        </is>
      </c>
      <c r="E9472" t="inlineStr">
        <is>
          <t>HUDIKSVALL</t>
        </is>
      </c>
      <c r="G9472" t="n">
        <v>2.2</v>
      </c>
      <c r="H9472" t="n">
        <v>0</v>
      </c>
      <c r="I9472" t="n">
        <v>0</v>
      </c>
      <c r="J9472" t="n">
        <v>0</v>
      </c>
      <c r="K9472" t="n">
        <v>0</v>
      </c>
      <c r="L9472" t="n">
        <v>0</v>
      </c>
      <c r="M9472" t="n">
        <v>0</v>
      </c>
      <c r="N9472" t="n">
        <v>0</v>
      </c>
      <c r="O9472" t="n">
        <v>0</v>
      </c>
      <c r="P9472" t="n">
        <v>0</v>
      </c>
      <c r="Q9472" t="n">
        <v>0</v>
      </c>
      <c r="R9472" s="2" t="inlineStr"/>
    </row>
    <row r="9473" ht="15" customHeight="1">
      <c r="A9473" t="inlineStr">
        <is>
          <t>A 35735-2025</t>
        </is>
      </c>
      <c r="B9473" s="1" t="n">
        <v>45860.48112268518</v>
      </c>
      <c r="C9473" s="1" t="n">
        <v>46086</v>
      </c>
      <c r="D9473" t="inlineStr">
        <is>
          <t>GÄVLEBORGS LÄN</t>
        </is>
      </c>
      <c r="E9473" t="inlineStr">
        <is>
          <t>HUDIKSVALL</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20819-2025</t>
        </is>
      </c>
      <c r="B9474" s="1" t="n">
        <v>45776.70995370371</v>
      </c>
      <c r="C9474" s="1" t="n">
        <v>46086</v>
      </c>
      <c r="D9474" t="inlineStr">
        <is>
          <t>GÄVLEBORGS LÄN</t>
        </is>
      </c>
      <c r="E9474" t="inlineStr">
        <is>
          <t>HUDIKSVALL</t>
        </is>
      </c>
      <c r="G9474" t="n">
        <v>10.3</v>
      </c>
      <c r="H9474" t="n">
        <v>0</v>
      </c>
      <c r="I9474" t="n">
        <v>0</v>
      </c>
      <c r="J9474" t="n">
        <v>0</v>
      </c>
      <c r="K9474" t="n">
        <v>0</v>
      </c>
      <c r="L9474" t="n">
        <v>0</v>
      </c>
      <c r="M9474" t="n">
        <v>0</v>
      </c>
      <c r="N9474" t="n">
        <v>0</v>
      </c>
      <c r="O9474" t="n">
        <v>0</v>
      </c>
      <c r="P9474" t="n">
        <v>0</v>
      </c>
      <c r="Q9474" t="n">
        <v>0</v>
      </c>
      <c r="R9474" s="2" t="inlineStr"/>
    </row>
    <row r="9475" ht="15" customHeight="1">
      <c r="A9475" t="inlineStr">
        <is>
          <t>A 8628-2026</t>
        </is>
      </c>
      <c r="B9475" s="1" t="n">
        <v>46066</v>
      </c>
      <c r="C9475" s="1" t="n">
        <v>46086</v>
      </c>
      <c r="D9475" t="inlineStr">
        <is>
          <t>GÄVLEBORGS LÄN</t>
        </is>
      </c>
      <c r="E9475" t="inlineStr">
        <is>
          <t>NORDANSTIG</t>
        </is>
      </c>
      <c r="F9475" t="inlineStr">
        <is>
          <t>Holmen skog AB</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9287-2026</t>
        </is>
      </c>
      <c r="B9476" s="1" t="n">
        <v>46070.58484953704</v>
      </c>
      <c r="C9476" s="1" t="n">
        <v>46086</v>
      </c>
      <c r="D9476" t="inlineStr">
        <is>
          <t>GÄVLEBORGS LÄN</t>
        </is>
      </c>
      <c r="E9476" t="inlineStr">
        <is>
          <t>BOLLNÄS</t>
        </is>
      </c>
      <c r="G9476" t="n">
        <v>4.2</v>
      </c>
      <c r="H9476" t="n">
        <v>0</v>
      </c>
      <c r="I9476" t="n">
        <v>0</v>
      </c>
      <c r="J9476" t="n">
        <v>0</v>
      </c>
      <c r="K9476" t="n">
        <v>0</v>
      </c>
      <c r="L9476" t="n">
        <v>0</v>
      </c>
      <c r="M9476" t="n">
        <v>0</v>
      </c>
      <c r="N9476" t="n">
        <v>0</v>
      </c>
      <c r="O9476" t="n">
        <v>0</v>
      </c>
      <c r="P9476" t="n">
        <v>0</v>
      </c>
      <c r="Q9476" t="n">
        <v>0</v>
      </c>
      <c r="R9476" s="2" t="inlineStr"/>
    </row>
    <row r="9477" ht="15" customHeight="1">
      <c r="A9477" t="inlineStr">
        <is>
          <t>A 9290-2026</t>
        </is>
      </c>
      <c r="B9477" s="1" t="n">
        <v>46070.58806712963</v>
      </c>
      <c r="C9477" s="1" t="n">
        <v>46086</v>
      </c>
      <c r="D9477" t="inlineStr">
        <is>
          <t>GÄVLEBORGS LÄN</t>
        </is>
      </c>
      <c r="E9477" t="inlineStr">
        <is>
          <t>SÖDERHAMN</t>
        </is>
      </c>
      <c r="G9477" t="n">
        <v>3.4</v>
      </c>
      <c r="H9477" t="n">
        <v>0</v>
      </c>
      <c r="I9477" t="n">
        <v>0</v>
      </c>
      <c r="J9477" t="n">
        <v>0</v>
      </c>
      <c r="K9477" t="n">
        <v>0</v>
      </c>
      <c r="L9477" t="n">
        <v>0</v>
      </c>
      <c r="M9477" t="n">
        <v>0</v>
      </c>
      <c r="N9477" t="n">
        <v>0</v>
      </c>
      <c r="O9477" t="n">
        <v>0</v>
      </c>
      <c r="P9477" t="n">
        <v>0</v>
      </c>
      <c r="Q9477" t="n">
        <v>0</v>
      </c>
      <c r="R9477" s="2" t="inlineStr"/>
    </row>
    <row r="9478" ht="15" customHeight="1">
      <c r="A9478" t="inlineStr">
        <is>
          <t>A 9312-2026</t>
        </is>
      </c>
      <c r="B9478" s="1" t="n">
        <v>46070.61300925926</v>
      </c>
      <c r="C9478" s="1" t="n">
        <v>46086</v>
      </c>
      <c r="D9478" t="inlineStr">
        <is>
          <t>GÄVLEBORGS LÄN</t>
        </is>
      </c>
      <c r="E9478" t="inlineStr">
        <is>
          <t>OCKELBO</t>
        </is>
      </c>
      <c r="G9478" t="n">
        <v>8.4</v>
      </c>
      <c r="H9478" t="n">
        <v>0</v>
      </c>
      <c r="I9478" t="n">
        <v>0</v>
      </c>
      <c r="J9478" t="n">
        <v>0</v>
      </c>
      <c r="K9478" t="n">
        <v>0</v>
      </c>
      <c r="L9478" t="n">
        <v>0</v>
      </c>
      <c r="M9478" t="n">
        <v>0</v>
      </c>
      <c r="N9478" t="n">
        <v>0</v>
      </c>
      <c r="O9478" t="n">
        <v>0</v>
      </c>
      <c r="P9478" t="n">
        <v>0</v>
      </c>
      <c r="Q9478" t="n">
        <v>0</v>
      </c>
      <c r="R9478" s="2" t="inlineStr"/>
    </row>
    <row r="9479" ht="15" customHeight="1">
      <c r="A9479" t="inlineStr">
        <is>
          <t>A 9353-2026</t>
        </is>
      </c>
      <c r="B9479" s="1" t="n">
        <v>46070.70153935185</v>
      </c>
      <c r="C9479" s="1" t="n">
        <v>46086</v>
      </c>
      <c r="D9479" t="inlineStr">
        <is>
          <t>GÄVLEBORGS LÄN</t>
        </is>
      </c>
      <c r="E9479" t="inlineStr">
        <is>
          <t>BOLLNÄS</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9385-2026</t>
        </is>
      </c>
      <c r="B9480" s="1" t="n">
        <v>46071.33189814815</v>
      </c>
      <c r="C9480" s="1" t="n">
        <v>46086</v>
      </c>
      <c r="D9480" t="inlineStr">
        <is>
          <t>GÄVLEBORGS LÄN</t>
        </is>
      </c>
      <c r="E9480" t="inlineStr">
        <is>
          <t>BOLLNÄS</t>
        </is>
      </c>
      <c r="F9480" t="inlineStr">
        <is>
          <t>Kyrkan</t>
        </is>
      </c>
      <c r="G9480" t="n">
        <v>4.5</v>
      </c>
      <c r="H9480" t="n">
        <v>0</v>
      </c>
      <c r="I9480" t="n">
        <v>0</v>
      </c>
      <c r="J9480" t="n">
        <v>0</v>
      </c>
      <c r="K9480" t="n">
        <v>0</v>
      </c>
      <c r="L9480" t="n">
        <v>0</v>
      </c>
      <c r="M9480" t="n">
        <v>0</v>
      </c>
      <c r="N9480" t="n">
        <v>0</v>
      </c>
      <c r="O9480" t="n">
        <v>0</v>
      </c>
      <c r="P9480" t="n">
        <v>0</v>
      </c>
      <c r="Q9480" t="n">
        <v>0</v>
      </c>
      <c r="R9480" s="2" t="inlineStr"/>
    </row>
    <row r="9481" ht="15" customHeight="1">
      <c r="A9481" t="inlineStr">
        <is>
          <t>A 9386-2026</t>
        </is>
      </c>
      <c r="B9481" s="1" t="n">
        <v>46071.34921296296</v>
      </c>
      <c r="C9481" s="1" t="n">
        <v>46086</v>
      </c>
      <c r="D9481" t="inlineStr">
        <is>
          <t>GÄVLEBORGS LÄN</t>
        </is>
      </c>
      <c r="E9481" t="inlineStr">
        <is>
          <t>BOLLNÄS</t>
        </is>
      </c>
      <c r="F9481" t="inlineStr">
        <is>
          <t>Kyrkan</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7496-2026</t>
        </is>
      </c>
      <c r="B9482" s="1" t="n">
        <v>46059</v>
      </c>
      <c r="C9482" s="1" t="n">
        <v>46086</v>
      </c>
      <c r="D9482" t="inlineStr">
        <is>
          <t>GÄVLEBORGS LÄN</t>
        </is>
      </c>
      <c r="E9482" t="inlineStr">
        <is>
          <t>NORDANSTIG</t>
        </is>
      </c>
      <c r="F9482" t="inlineStr">
        <is>
          <t>Holmen skog AB</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4165-2026</t>
        </is>
      </c>
      <c r="B9483" s="1" t="n">
        <v>46044</v>
      </c>
      <c r="C9483" s="1" t="n">
        <v>46086</v>
      </c>
      <c r="D9483" t="inlineStr">
        <is>
          <t>GÄVLEBORGS LÄN</t>
        </is>
      </c>
      <c r="E9483" t="inlineStr">
        <is>
          <t>OVANÅKER</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4909-2026</t>
        </is>
      </c>
      <c r="B9484" s="1" t="n">
        <v>46048</v>
      </c>
      <c r="C9484" s="1" t="n">
        <v>46086</v>
      </c>
      <c r="D9484" t="inlineStr">
        <is>
          <t>GÄVLEBORGS LÄN</t>
        </is>
      </c>
      <c r="E9484" t="inlineStr">
        <is>
          <t>OVANÅKER</t>
        </is>
      </c>
      <c r="G9484" t="n">
        <v>5.1</v>
      </c>
      <c r="H9484" t="n">
        <v>0</v>
      </c>
      <c r="I9484" t="n">
        <v>0</v>
      </c>
      <c r="J9484" t="n">
        <v>0</v>
      </c>
      <c r="K9484" t="n">
        <v>0</v>
      </c>
      <c r="L9484" t="n">
        <v>0</v>
      </c>
      <c r="M9484" t="n">
        <v>0</v>
      </c>
      <c r="N9484" t="n">
        <v>0</v>
      </c>
      <c r="O9484" t="n">
        <v>0</v>
      </c>
      <c r="P9484" t="n">
        <v>0</v>
      </c>
      <c r="Q9484" t="n">
        <v>0</v>
      </c>
      <c r="R9484" s="2" t="inlineStr"/>
    </row>
    <row r="9485" ht="15" customHeight="1">
      <c r="A9485" t="inlineStr">
        <is>
          <t>A 8907-2026</t>
        </is>
      </c>
      <c r="B9485" s="1" t="n">
        <v>46069</v>
      </c>
      <c r="C9485" s="1" t="n">
        <v>46086</v>
      </c>
      <c r="D9485" t="inlineStr">
        <is>
          <t>GÄVLEBORGS LÄN</t>
        </is>
      </c>
      <c r="E9485" t="inlineStr">
        <is>
          <t>BOLLNÄS</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9505-2026</t>
        </is>
      </c>
      <c r="B9486" s="1" t="n">
        <v>46071.57877314815</v>
      </c>
      <c r="C9486" s="1" t="n">
        <v>46086</v>
      </c>
      <c r="D9486" t="inlineStr">
        <is>
          <t>GÄVLEBORGS LÄN</t>
        </is>
      </c>
      <c r="E9486" t="inlineStr">
        <is>
          <t>OCKELBO</t>
        </is>
      </c>
      <c r="G9486" t="n">
        <v>8.1</v>
      </c>
      <c r="H9486" t="n">
        <v>0</v>
      </c>
      <c r="I9486" t="n">
        <v>0</v>
      </c>
      <c r="J9486" t="n">
        <v>0</v>
      </c>
      <c r="K9486" t="n">
        <v>0</v>
      </c>
      <c r="L9486" t="n">
        <v>0</v>
      </c>
      <c r="M9486" t="n">
        <v>0</v>
      </c>
      <c r="N9486" t="n">
        <v>0</v>
      </c>
      <c r="O9486" t="n">
        <v>0</v>
      </c>
      <c r="P9486" t="n">
        <v>0</v>
      </c>
      <c r="Q9486" t="n">
        <v>0</v>
      </c>
      <c r="R9486" s="2" t="inlineStr"/>
    </row>
    <row r="9487" ht="15" customHeight="1">
      <c r="A9487" t="inlineStr">
        <is>
          <t>A 9522-2026</t>
        </is>
      </c>
      <c r="B9487" s="1" t="n">
        <v>46071.5997337963</v>
      </c>
      <c r="C9487" s="1" t="n">
        <v>46086</v>
      </c>
      <c r="D9487" t="inlineStr">
        <is>
          <t>GÄVLEBORGS LÄN</t>
        </is>
      </c>
      <c r="E9487" t="inlineStr">
        <is>
          <t>BOLLNÄS</t>
        </is>
      </c>
      <c r="G9487" t="n">
        <v>3.3</v>
      </c>
      <c r="H9487" t="n">
        <v>0</v>
      </c>
      <c r="I9487" t="n">
        <v>0</v>
      </c>
      <c r="J9487" t="n">
        <v>0</v>
      </c>
      <c r="K9487" t="n">
        <v>0</v>
      </c>
      <c r="L9487" t="n">
        <v>0</v>
      </c>
      <c r="M9487" t="n">
        <v>0</v>
      </c>
      <c r="N9487" t="n">
        <v>0</v>
      </c>
      <c r="O9487" t="n">
        <v>0</v>
      </c>
      <c r="P9487" t="n">
        <v>0</v>
      </c>
      <c r="Q9487" t="n">
        <v>0</v>
      </c>
      <c r="R9487" s="2" t="inlineStr"/>
    </row>
    <row r="9488" ht="15" customHeight="1">
      <c r="A9488" t="inlineStr">
        <is>
          <t>A 508-2026</t>
        </is>
      </c>
      <c r="B9488" s="1" t="n">
        <v>46029</v>
      </c>
      <c r="C9488" s="1" t="n">
        <v>46086</v>
      </c>
      <c r="D9488" t="inlineStr">
        <is>
          <t>GÄVLEBORGS LÄN</t>
        </is>
      </c>
      <c r="E9488" t="inlineStr">
        <is>
          <t>OVANÅKER</t>
        </is>
      </c>
      <c r="G9488" t="n">
        <v>2.9</v>
      </c>
      <c r="H9488" t="n">
        <v>0</v>
      </c>
      <c r="I9488" t="n">
        <v>0</v>
      </c>
      <c r="J9488" t="n">
        <v>0</v>
      </c>
      <c r="K9488" t="n">
        <v>0</v>
      </c>
      <c r="L9488" t="n">
        <v>0</v>
      </c>
      <c r="M9488" t="n">
        <v>0</v>
      </c>
      <c r="N9488" t="n">
        <v>0</v>
      </c>
      <c r="O9488" t="n">
        <v>0</v>
      </c>
      <c r="P9488" t="n">
        <v>0</v>
      </c>
      <c r="Q9488" t="n">
        <v>0</v>
      </c>
      <c r="R9488" s="2" t="inlineStr"/>
    </row>
    <row r="9489" ht="15" customHeight="1">
      <c r="A9489" t="inlineStr">
        <is>
          <t>A 510-2026</t>
        </is>
      </c>
      <c r="B9489" s="1" t="n">
        <v>46029</v>
      </c>
      <c r="C9489" s="1" t="n">
        <v>46086</v>
      </c>
      <c r="D9489" t="inlineStr">
        <is>
          <t>GÄVLEBORGS LÄN</t>
        </is>
      </c>
      <c r="E9489" t="inlineStr">
        <is>
          <t>BOLLNÄS</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514-2026</t>
        </is>
      </c>
      <c r="B9490" s="1" t="n">
        <v>46029</v>
      </c>
      <c r="C9490" s="1" t="n">
        <v>46086</v>
      </c>
      <c r="D9490" t="inlineStr">
        <is>
          <t>GÄVLEBORGS LÄN</t>
        </is>
      </c>
      <c r="E9490" t="inlineStr">
        <is>
          <t>NORDANSTIG</t>
        </is>
      </c>
      <c r="G9490" t="n">
        <v>30.2</v>
      </c>
      <c r="H9490" t="n">
        <v>0</v>
      </c>
      <c r="I9490" t="n">
        <v>0</v>
      </c>
      <c r="J9490" t="n">
        <v>0</v>
      </c>
      <c r="K9490" t="n">
        <v>0</v>
      </c>
      <c r="L9490" t="n">
        <v>0</v>
      </c>
      <c r="M9490" t="n">
        <v>0</v>
      </c>
      <c r="N9490" t="n">
        <v>0</v>
      </c>
      <c r="O9490" t="n">
        <v>0</v>
      </c>
      <c r="P9490" t="n">
        <v>0</v>
      </c>
      <c r="Q9490" t="n">
        <v>0</v>
      </c>
      <c r="R9490" s="2" t="inlineStr"/>
    </row>
    <row r="9491" ht="15" customHeight="1">
      <c r="A9491" t="inlineStr">
        <is>
          <t>A 659-2026</t>
        </is>
      </c>
      <c r="B9491" s="1" t="n">
        <v>46029.58206018519</v>
      </c>
      <c r="C9491" s="1" t="n">
        <v>46086</v>
      </c>
      <c r="D9491" t="inlineStr">
        <is>
          <t>GÄVLEBORGS LÄN</t>
        </is>
      </c>
      <c r="E9491" t="inlineStr">
        <is>
          <t>HOFORS</t>
        </is>
      </c>
      <c r="G9491" t="n">
        <v>9.199999999999999</v>
      </c>
      <c r="H9491" t="n">
        <v>0</v>
      </c>
      <c r="I9491" t="n">
        <v>0</v>
      </c>
      <c r="J9491" t="n">
        <v>0</v>
      </c>
      <c r="K9491" t="n">
        <v>0</v>
      </c>
      <c r="L9491" t="n">
        <v>0</v>
      </c>
      <c r="M9491" t="n">
        <v>0</v>
      </c>
      <c r="N9491" t="n">
        <v>0</v>
      </c>
      <c r="O9491" t="n">
        <v>0</v>
      </c>
      <c r="P9491" t="n">
        <v>0</v>
      </c>
      <c r="Q9491" t="n">
        <v>0</v>
      </c>
      <c r="R9491" s="2" t="inlineStr"/>
    </row>
    <row r="9492" ht="15" customHeight="1">
      <c r="A9492" t="inlineStr">
        <is>
          <t>A 692-2026</t>
        </is>
      </c>
      <c r="B9492" s="1" t="n">
        <v>46029</v>
      </c>
      <c r="C9492" s="1" t="n">
        <v>46086</v>
      </c>
      <c r="D9492" t="inlineStr">
        <is>
          <t>GÄVLEBORGS LÄN</t>
        </is>
      </c>
      <c r="E9492" t="inlineStr">
        <is>
          <t>HOFORS</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16070-2025</t>
        </is>
      </c>
      <c r="B9493" s="1" t="n">
        <v>45749.67291666667</v>
      </c>
      <c r="C9493" s="1" t="n">
        <v>46086</v>
      </c>
      <c r="D9493" t="inlineStr">
        <is>
          <t>GÄVLEBORGS LÄN</t>
        </is>
      </c>
      <c r="E9493" t="inlineStr">
        <is>
          <t>HUDIKSVALL</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82-2026</t>
        </is>
      </c>
      <c r="B9494" s="1" t="n">
        <v>46024.47092592593</v>
      </c>
      <c r="C9494" s="1" t="n">
        <v>46086</v>
      </c>
      <c r="D9494" t="inlineStr">
        <is>
          <t>GÄVLEBORGS LÄN</t>
        </is>
      </c>
      <c r="E9494" t="inlineStr">
        <is>
          <t>BOLLNÄS</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5447-2026</t>
        </is>
      </c>
      <c r="B9495" s="1" t="n">
        <v>46050.57510416667</v>
      </c>
      <c r="C9495" s="1" t="n">
        <v>46086</v>
      </c>
      <c r="D9495" t="inlineStr">
        <is>
          <t>GÄVLEBORGS LÄN</t>
        </is>
      </c>
      <c r="E9495" t="inlineStr">
        <is>
          <t>HUDIKSVALL</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5480-2026</t>
        </is>
      </c>
      <c r="B9496" s="1" t="n">
        <v>46050</v>
      </c>
      <c r="C9496" s="1" t="n">
        <v>46086</v>
      </c>
      <c r="D9496" t="inlineStr">
        <is>
          <t>GÄVLEBORGS LÄN</t>
        </is>
      </c>
      <c r="E9496" t="inlineStr">
        <is>
          <t>OVANÅKER</t>
        </is>
      </c>
      <c r="G9496" t="n">
        <v>6.5</v>
      </c>
      <c r="H9496" t="n">
        <v>0</v>
      </c>
      <c r="I9496" t="n">
        <v>0</v>
      </c>
      <c r="J9496" t="n">
        <v>0</v>
      </c>
      <c r="K9496" t="n">
        <v>0</v>
      </c>
      <c r="L9496" t="n">
        <v>0</v>
      </c>
      <c r="M9496" t="n">
        <v>0</v>
      </c>
      <c r="N9496" t="n">
        <v>0</v>
      </c>
      <c r="O9496" t="n">
        <v>0</v>
      </c>
      <c r="P9496" t="n">
        <v>0</v>
      </c>
      <c r="Q9496" t="n">
        <v>0</v>
      </c>
      <c r="R9496" s="2" t="inlineStr"/>
    </row>
    <row r="9497" ht="15" customHeight="1">
      <c r="A9497" t="inlineStr">
        <is>
          <t>A 6354-2026</t>
        </is>
      </c>
      <c r="B9497" s="1" t="n">
        <v>46055</v>
      </c>
      <c r="C9497" s="1" t="n">
        <v>46086</v>
      </c>
      <c r="D9497" t="inlineStr">
        <is>
          <t>GÄVLEBORGS LÄN</t>
        </is>
      </c>
      <c r="E9497" t="inlineStr">
        <is>
          <t>NORDANSTIG</t>
        </is>
      </c>
      <c r="F9497" t="inlineStr">
        <is>
          <t>Holmen skog AB</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5420-2026</t>
        </is>
      </c>
      <c r="B9498" s="1" t="n">
        <v>46050</v>
      </c>
      <c r="C9498" s="1" t="n">
        <v>46086</v>
      </c>
      <c r="D9498" t="inlineStr">
        <is>
          <t>GÄVLEBORGS LÄN</t>
        </is>
      </c>
      <c r="E9498" t="inlineStr">
        <is>
          <t>HUDIKSVALL</t>
        </is>
      </c>
      <c r="G9498" t="n">
        <v>3.2</v>
      </c>
      <c r="H9498" t="n">
        <v>0</v>
      </c>
      <c r="I9498" t="n">
        <v>0</v>
      </c>
      <c r="J9498" t="n">
        <v>0</v>
      </c>
      <c r="K9498" t="n">
        <v>0</v>
      </c>
      <c r="L9498" t="n">
        <v>0</v>
      </c>
      <c r="M9498" t="n">
        <v>0</v>
      </c>
      <c r="N9498" t="n">
        <v>0</v>
      </c>
      <c r="O9498" t="n">
        <v>0</v>
      </c>
      <c r="P9498" t="n">
        <v>0</v>
      </c>
      <c r="Q9498" t="n">
        <v>0</v>
      </c>
      <c r="R9498" s="2" t="inlineStr"/>
    </row>
    <row r="9499" ht="15" customHeight="1">
      <c r="A9499" t="inlineStr">
        <is>
          <t>A 5981-2026</t>
        </is>
      </c>
      <c r="B9499" s="1" t="n">
        <v>46052</v>
      </c>
      <c r="C9499" s="1" t="n">
        <v>46086</v>
      </c>
      <c r="D9499" t="inlineStr">
        <is>
          <t>GÄVLEBORGS LÄN</t>
        </is>
      </c>
      <c r="E9499" t="inlineStr">
        <is>
          <t>NORDANSTIG</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22863-2023</t>
        </is>
      </c>
      <c r="B9500" s="1" t="n">
        <v>45072</v>
      </c>
      <c r="C9500" s="1" t="n">
        <v>46086</v>
      </c>
      <c r="D9500" t="inlineStr">
        <is>
          <t>GÄVLEBORGS LÄN</t>
        </is>
      </c>
      <c r="E9500" t="inlineStr">
        <is>
          <t>NORDANSTIG</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9208-2026</t>
        </is>
      </c>
      <c r="B9501" s="1" t="n">
        <v>46070.42679398148</v>
      </c>
      <c r="C9501" s="1" t="n">
        <v>46086</v>
      </c>
      <c r="D9501" t="inlineStr">
        <is>
          <t>GÄVLEBORGS LÄN</t>
        </is>
      </c>
      <c r="E9501" t="inlineStr">
        <is>
          <t>BOLLNÄS</t>
        </is>
      </c>
      <c r="G9501" t="n">
        <v>3.9</v>
      </c>
      <c r="H9501" t="n">
        <v>0</v>
      </c>
      <c r="I9501" t="n">
        <v>0</v>
      </c>
      <c r="J9501" t="n">
        <v>0</v>
      </c>
      <c r="K9501" t="n">
        <v>0</v>
      </c>
      <c r="L9501" t="n">
        <v>0</v>
      </c>
      <c r="M9501" t="n">
        <v>0</v>
      </c>
      <c r="N9501" t="n">
        <v>0</v>
      </c>
      <c r="O9501" t="n">
        <v>0</v>
      </c>
      <c r="P9501" t="n">
        <v>0</v>
      </c>
      <c r="Q9501" t="n">
        <v>0</v>
      </c>
      <c r="R9501" s="2" t="inlineStr"/>
    </row>
    <row r="9502" ht="15" customHeight="1">
      <c r="A9502" t="inlineStr">
        <is>
          <t>A 9213-2026</t>
        </is>
      </c>
      <c r="B9502" s="1" t="n">
        <v>46070.43201388889</v>
      </c>
      <c r="C9502" s="1" t="n">
        <v>46086</v>
      </c>
      <c r="D9502" t="inlineStr">
        <is>
          <t>GÄVLEBORGS LÄN</t>
        </is>
      </c>
      <c r="E9502" t="inlineStr">
        <is>
          <t>BOLLNÄS</t>
        </is>
      </c>
      <c r="G9502" t="n">
        <v>4.5</v>
      </c>
      <c r="H9502" t="n">
        <v>0</v>
      </c>
      <c r="I9502" t="n">
        <v>0</v>
      </c>
      <c r="J9502" t="n">
        <v>0</v>
      </c>
      <c r="K9502" t="n">
        <v>0</v>
      </c>
      <c r="L9502" t="n">
        <v>0</v>
      </c>
      <c r="M9502" t="n">
        <v>0</v>
      </c>
      <c r="N9502" t="n">
        <v>0</v>
      </c>
      <c r="O9502" t="n">
        <v>0</v>
      </c>
      <c r="P9502" t="n">
        <v>0</v>
      </c>
      <c r="Q9502" t="n">
        <v>0</v>
      </c>
      <c r="R9502" s="2" t="inlineStr"/>
    </row>
    <row r="9503" ht="15" customHeight="1">
      <c r="A9503" t="inlineStr">
        <is>
          <t>A 5134-2026</t>
        </is>
      </c>
      <c r="B9503" s="1" t="n">
        <v>46049.59403935185</v>
      </c>
      <c r="C9503" s="1" t="n">
        <v>46086</v>
      </c>
      <c r="D9503" t="inlineStr">
        <is>
          <t>GÄVLEBORGS LÄN</t>
        </is>
      </c>
      <c r="E9503" t="inlineStr">
        <is>
          <t>BOLLNÄS</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5170-2026</t>
        </is>
      </c>
      <c r="B9504" s="1" t="n">
        <v>46049</v>
      </c>
      <c r="C9504" s="1" t="n">
        <v>46086</v>
      </c>
      <c r="D9504" t="inlineStr">
        <is>
          <t>GÄVLEBORGS LÄN</t>
        </is>
      </c>
      <c r="E9504" t="inlineStr">
        <is>
          <t>BOLLNÄS</t>
        </is>
      </c>
      <c r="G9504" t="n">
        <v>8.1</v>
      </c>
      <c r="H9504" t="n">
        <v>0</v>
      </c>
      <c r="I9504" t="n">
        <v>0</v>
      </c>
      <c r="J9504" t="n">
        <v>0</v>
      </c>
      <c r="K9504" t="n">
        <v>0</v>
      </c>
      <c r="L9504" t="n">
        <v>0</v>
      </c>
      <c r="M9504" t="n">
        <v>0</v>
      </c>
      <c r="N9504" t="n">
        <v>0</v>
      </c>
      <c r="O9504" t="n">
        <v>0</v>
      </c>
      <c r="P9504" t="n">
        <v>0</v>
      </c>
      <c r="Q9504" t="n">
        <v>0</v>
      </c>
      <c r="R9504" s="2" t="inlineStr"/>
    </row>
    <row r="9505" ht="15" customHeight="1">
      <c r="A9505" t="inlineStr">
        <is>
          <t>A 10130-2025</t>
        </is>
      </c>
      <c r="B9505" s="1" t="n">
        <v>45719.60837962963</v>
      </c>
      <c r="C9505" s="1" t="n">
        <v>46086</v>
      </c>
      <c r="D9505" t="inlineStr">
        <is>
          <t>GÄVLEBORGS LÄN</t>
        </is>
      </c>
      <c r="E9505" t="inlineStr">
        <is>
          <t>HUDIKSVALL</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624-2026</t>
        </is>
      </c>
      <c r="B9506" s="1" t="n">
        <v>46029</v>
      </c>
      <c r="C9506" s="1" t="n">
        <v>46086</v>
      </c>
      <c r="D9506" t="inlineStr">
        <is>
          <t>GÄVLEBORGS LÄN</t>
        </is>
      </c>
      <c r="E9506" t="inlineStr">
        <is>
          <t>SÖDERHAMN</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646-2026</t>
        </is>
      </c>
      <c r="B9507" s="1" t="n">
        <v>46029.57254629629</v>
      </c>
      <c r="C9507" s="1" t="n">
        <v>46086</v>
      </c>
      <c r="D9507" t="inlineStr">
        <is>
          <t>GÄVLEBORGS LÄN</t>
        </is>
      </c>
      <c r="E9507" t="inlineStr">
        <is>
          <t>BOLLNÄS</t>
        </is>
      </c>
      <c r="G9507" t="n">
        <v>4.7</v>
      </c>
      <c r="H9507" t="n">
        <v>0</v>
      </c>
      <c r="I9507" t="n">
        <v>0</v>
      </c>
      <c r="J9507" t="n">
        <v>0</v>
      </c>
      <c r="K9507" t="n">
        <v>0</v>
      </c>
      <c r="L9507" t="n">
        <v>0</v>
      </c>
      <c r="M9507" t="n">
        <v>0</v>
      </c>
      <c r="N9507" t="n">
        <v>0</v>
      </c>
      <c r="O9507" t="n">
        <v>0</v>
      </c>
      <c r="P9507" t="n">
        <v>0</v>
      </c>
      <c r="Q9507" t="n">
        <v>0</v>
      </c>
      <c r="R9507" s="2" t="inlineStr"/>
    </row>
    <row r="9508" ht="15" customHeight="1">
      <c r="A9508" t="inlineStr">
        <is>
          <t>A 44681-2024</t>
        </is>
      </c>
      <c r="B9508" s="1" t="n">
        <v>45574.54585648148</v>
      </c>
      <c r="C9508" s="1" t="n">
        <v>46086</v>
      </c>
      <c r="D9508" t="inlineStr">
        <is>
          <t>GÄVLEBORGS LÄN</t>
        </is>
      </c>
      <c r="E9508" t="inlineStr">
        <is>
          <t>SÖDERHAMN</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44682-2024</t>
        </is>
      </c>
      <c r="B9509" s="1" t="n">
        <v>45574.54673611111</v>
      </c>
      <c r="C9509" s="1" t="n">
        <v>46086</v>
      </c>
      <c r="D9509" t="inlineStr">
        <is>
          <t>GÄVLEBORGS LÄN</t>
        </is>
      </c>
      <c r="E9509" t="inlineStr">
        <is>
          <t>BOLLNÄS</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5552-2026</t>
        </is>
      </c>
      <c r="B9510" s="1" t="n">
        <v>46050</v>
      </c>
      <c r="C9510" s="1" t="n">
        <v>46086</v>
      </c>
      <c r="D9510" t="inlineStr">
        <is>
          <t>GÄVLEBORGS LÄN</t>
        </is>
      </c>
      <c r="E9510" t="inlineStr">
        <is>
          <t>SANDVIKEN</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5561-2026</t>
        </is>
      </c>
      <c r="B9511" s="1" t="n">
        <v>46050.79282407407</v>
      </c>
      <c r="C9511" s="1" t="n">
        <v>46086</v>
      </c>
      <c r="D9511" t="inlineStr">
        <is>
          <t>GÄVLEBORGS LÄN</t>
        </is>
      </c>
      <c r="E9511" t="inlineStr">
        <is>
          <t>BOLLNÄS</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391-2026</t>
        </is>
      </c>
      <c r="B9512" s="1" t="n">
        <v>46028.42581018519</v>
      </c>
      <c r="C9512" s="1" t="n">
        <v>46086</v>
      </c>
      <c r="D9512" t="inlineStr">
        <is>
          <t>GÄVLEBORGS LÄN</t>
        </is>
      </c>
      <c r="E9512" t="inlineStr">
        <is>
          <t>OVANÅKER</t>
        </is>
      </c>
      <c r="G9512" t="n">
        <v>4.8</v>
      </c>
      <c r="H9512" t="n">
        <v>0</v>
      </c>
      <c r="I9512" t="n">
        <v>0</v>
      </c>
      <c r="J9512" t="n">
        <v>0</v>
      </c>
      <c r="K9512" t="n">
        <v>0</v>
      </c>
      <c r="L9512" t="n">
        <v>0</v>
      </c>
      <c r="M9512" t="n">
        <v>0</v>
      </c>
      <c r="N9512" t="n">
        <v>0</v>
      </c>
      <c r="O9512" t="n">
        <v>0</v>
      </c>
      <c r="P9512" t="n">
        <v>0</v>
      </c>
      <c r="Q9512" t="n">
        <v>0</v>
      </c>
      <c r="R9512" s="2" t="inlineStr"/>
    </row>
    <row r="9513" ht="15" customHeight="1">
      <c r="A9513" t="inlineStr">
        <is>
          <t>A 415-2026</t>
        </is>
      </c>
      <c r="B9513" s="1" t="n">
        <v>46028.78721064814</v>
      </c>
      <c r="C9513" s="1" t="n">
        <v>46086</v>
      </c>
      <c r="D9513" t="inlineStr">
        <is>
          <t>GÄVLEBORGS LÄN</t>
        </is>
      </c>
      <c r="E9513" t="inlineStr">
        <is>
          <t>HUDIKSVALL</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417-2026</t>
        </is>
      </c>
      <c r="B9514" s="1" t="n">
        <v>46028.80164351852</v>
      </c>
      <c r="C9514" s="1" t="n">
        <v>46086</v>
      </c>
      <c r="D9514" t="inlineStr">
        <is>
          <t>GÄVLEBORGS LÄN</t>
        </is>
      </c>
      <c r="E9514" t="inlineStr">
        <is>
          <t>OCKELBO</t>
        </is>
      </c>
      <c r="G9514" t="n">
        <v>4</v>
      </c>
      <c r="H9514" t="n">
        <v>0</v>
      </c>
      <c r="I9514" t="n">
        <v>0</v>
      </c>
      <c r="J9514" t="n">
        <v>0</v>
      </c>
      <c r="K9514" t="n">
        <v>0</v>
      </c>
      <c r="L9514" t="n">
        <v>0</v>
      </c>
      <c r="M9514" t="n">
        <v>0</v>
      </c>
      <c r="N9514" t="n">
        <v>0</v>
      </c>
      <c r="O9514" t="n">
        <v>0</v>
      </c>
      <c r="P9514" t="n">
        <v>0</v>
      </c>
      <c r="Q9514" t="n">
        <v>0</v>
      </c>
      <c r="R9514" s="2" t="inlineStr"/>
    </row>
    <row r="9515" ht="15" customHeight="1">
      <c r="A9515" t="inlineStr">
        <is>
          <t>A 420-2026</t>
        </is>
      </c>
      <c r="B9515" s="1" t="n">
        <v>46028.84642361111</v>
      </c>
      <c r="C9515" s="1" t="n">
        <v>46086</v>
      </c>
      <c r="D9515" t="inlineStr">
        <is>
          <t>GÄVLEBORGS LÄN</t>
        </is>
      </c>
      <c r="E9515" t="inlineStr">
        <is>
          <t>HUDIKSVALL</t>
        </is>
      </c>
      <c r="G9515" t="n">
        <v>3</v>
      </c>
      <c r="H9515" t="n">
        <v>0</v>
      </c>
      <c r="I9515" t="n">
        <v>0</v>
      </c>
      <c r="J9515" t="n">
        <v>0</v>
      </c>
      <c r="K9515" t="n">
        <v>0</v>
      </c>
      <c r="L9515" t="n">
        <v>0</v>
      </c>
      <c r="M9515" t="n">
        <v>0</v>
      </c>
      <c r="N9515" t="n">
        <v>0</v>
      </c>
      <c r="O9515" t="n">
        <v>0</v>
      </c>
      <c r="P9515" t="n">
        <v>0</v>
      </c>
      <c r="Q9515" t="n">
        <v>0</v>
      </c>
      <c r="R9515" s="2" t="inlineStr"/>
    </row>
    <row r="9516" ht="15" customHeight="1">
      <c r="A9516" t="inlineStr">
        <is>
          <t>A 5815-2026</t>
        </is>
      </c>
      <c r="B9516" s="1" t="n">
        <v>46051</v>
      </c>
      <c r="C9516" s="1" t="n">
        <v>46086</v>
      </c>
      <c r="D9516" t="inlineStr">
        <is>
          <t>GÄVLEBORGS LÄN</t>
        </is>
      </c>
      <c r="E9516" t="inlineStr">
        <is>
          <t>OVANÅKER</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4291-2026</t>
        </is>
      </c>
      <c r="B9517" s="1" t="n">
        <v>46045</v>
      </c>
      <c r="C9517" s="1" t="n">
        <v>46086</v>
      </c>
      <c r="D9517" t="inlineStr">
        <is>
          <t>GÄVLEBORGS LÄN</t>
        </is>
      </c>
      <c r="E9517" t="inlineStr">
        <is>
          <t>BOLLNÄS</t>
        </is>
      </c>
      <c r="G9517" t="n">
        <v>14.4</v>
      </c>
      <c r="H9517" t="n">
        <v>0</v>
      </c>
      <c r="I9517" t="n">
        <v>0</v>
      </c>
      <c r="J9517" t="n">
        <v>0</v>
      </c>
      <c r="K9517" t="n">
        <v>0</v>
      </c>
      <c r="L9517" t="n">
        <v>0</v>
      </c>
      <c r="M9517" t="n">
        <v>0</v>
      </c>
      <c r="N9517" t="n">
        <v>0</v>
      </c>
      <c r="O9517" t="n">
        <v>0</v>
      </c>
      <c r="P9517" t="n">
        <v>0</v>
      </c>
      <c r="Q9517" t="n">
        <v>0</v>
      </c>
      <c r="R9517" s="2" t="inlineStr"/>
    </row>
    <row r="9518" ht="15" customHeight="1">
      <c r="A9518" t="inlineStr">
        <is>
          <t>A 421-2026</t>
        </is>
      </c>
      <c r="B9518" s="1" t="n">
        <v>46028.85481481482</v>
      </c>
      <c r="C9518" s="1" t="n">
        <v>46086</v>
      </c>
      <c r="D9518" t="inlineStr">
        <is>
          <t>GÄVLEBORGS LÄN</t>
        </is>
      </c>
      <c r="E9518" t="inlineStr">
        <is>
          <t>OCKELBO</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423-2026</t>
        </is>
      </c>
      <c r="B9519" s="1" t="n">
        <v>46028.86578703704</v>
      </c>
      <c r="C9519" s="1" t="n">
        <v>46086</v>
      </c>
      <c r="D9519" t="inlineStr">
        <is>
          <t>GÄVLEBORGS LÄN</t>
        </is>
      </c>
      <c r="E9519" t="inlineStr">
        <is>
          <t>OCKELBO</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6377-2026</t>
        </is>
      </c>
      <c r="B9520" s="1" t="n">
        <v>46055</v>
      </c>
      <c r="C9520" s="1" t="n">
        <v>46086</v>
      </c>
      <c r="D9520" t="inlineStr">
        <is>
          <t>GÄVLEBORGS LÄN</t>
        </is>
      </c>
      <c r="E9520" t="inlineStr">
        <is>
          <t>OCKELBO</t>
        </is>
      </c>
      <c r="F9520" t="inlineStr">
        <is>
          <t>Bergvik skog väst AB</t>
        </is>
      </c>
      <c r="G9520" t="n">
        <v>5.6</v>
      </c>
      <c r="H9520" t="n">
        <v>0</v>
      </c>
      <c r="I9520" t="n">
        <v>0</v>
      </c>
      <c r="J9520" t="n">
        <v>0</v>
      </c>
      <c r="K9520" t="n">
        <v>0</v>
      </c>
      <c r="L9520" t="n">
        <v>0</v>
      </c>
      <c r="M9520" t="n">
        <v>0</v>
      </c>
      <c r="N9520" t="n">
        <v>0</v>
      </c>
      <c r="O9520" t="n">
        <v>0</v>
      </c>
      <c r="P9520" t="n">
        <v>0</v>
      </c>
      <c r="Q9520" t="n">
        <v>0</v>
      </c>
      <c r="R9520" s="2" t="inlineStr"/>
    </row>
    <row r="9521" ht="15" customHeight="1">
      <c r="A9521" t="inlineStr">
        <is>
          <t>A 6487-2026</t>
        </is>
      </c>
      <c r="B9521" s="1" t="n">
        <v>46056</v>
      </c>
      <c r="C9521" s="1" t="n">
        <v>46086</v>
      </c>
      <c r="D9521" t="inlineStr">
        <is>
          <t>GÄVLEBORGS LÄN</t>
        </is>
      </c>
      <c r="E9521" t="inlineStr">
        <is>
          <t>HUDIKSVALL</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45102-2022</t>
        </is>
      </c>
      <c r="B9522" s="1" t="n">
        <v>44843.47506944444</v>
      </c>
      <c r="C9522" s="1" t="n">
        <v>46086</v>
      </c>
      <c r="D9522" t="inlineStr">
        <is>
          <t>GÄVLEBORGS LÄN</t>
        </is>
      </c>
      <c r="E9522" t="inlineStr">
        <is>
          <t>SANDVIKEN</t>
        </is>
      </c>
      <c r="G9522" t="n">
        <v>3.6</v>
      </c>
      <c r="H9522" t="n">
        <v>0</v>
      </c>
      <c r="I9522" t="n">
        <v>0</v>
      </c>
      <c r="J9522" t="n">
        <v>0</v>
      </c>
      <c r="K9522" t="n">
        <v>0</v>
      </c>
      <c r="L9522" t="n">
        <v>0</v>
      </c>
      <c r="M9522" t="n">
        <v>0</v>
      </c>
      <c r="N9522" t="n">
        <v>0</v>
      </c>
      <c r="O9522" t="n">
        <v>0</v>
      </c>
      <c r="P9522" t="n">
        <v>0</v>
      </c>
      <c r="Q9522" t="n">
        <v>0</v>
      </c>
      <c r="R9522" s="2" t="inlineStr"/>
    </row>
    <row r="9523" ht="15" customHeight="1">
      <c r="A9523" t="inlineStr">
        <is>
          <t>A 1860-2025</t>
        </is>
      </c>
      <c r="B9523" s="1" t="n">
        <v>45671.60770833334</v>
      </c>
      <c r="C9523" s="1" t="n">
        <v>46086</v>
      </c>
      <c r="D9523" t="inlineStr">
        <is>
          <t>GÄVLEBORGS LÄN</t>
        </is>
      </c>
      <c r="E9523" t="inlineStr">
        <is>
          <t>NORDANSTIG</t>
        </is>
      </c>
      <c r="F9523" t="inlineStr">
        <is>
          <t>Holmen skog AB</t>
        </is>
      </c>
      <c r="G9523" t="n">
        <v>5.2</v>
      </c>
      <c r="H9523" t="n">
        <v>0</v>
      </c>
      <c r="I9523" t="n">
        <v>0</v>
      </c>
      <c r="J9523" t="n">
        <v>0</v>
      </c>
      <c r="K9523" t="n">
        <v>0</v>
      </c>
      <c r="L9523" t="n">
        <v>0</v>
      </c>
      <c r="M9523" t="n">
        <v>0</v>
      </c>
      <c r="N9523" t="n">
        <v>0</v>
      </c>
      <c r="O9523" t="n">
        <v>0</v>
      </c>
      <c r="P9523" t="n">
        <v>0</v>
      </c>
      <c r="Q9523" t="n">
        <v>0</v>
      </c>
      <c r="R9523" s="2" t="inlineStr"/>
    </row>
    <row r="9524" ht="15" customHeight="1">
      <c r="A9524" t="inlineStr">
        <is>
          <t>A 7206-2026</t>
        </is>
      </c>
      <c r="B9524" s="1" t="n">
        <v>46058</v>
      </c>
      <c r="C9524" s="1" t="n">
        <v>46086</v>
      </c>
      <c r="D9524" t="inlineStr">
        <is>
          <t>GÄVLEBORGS LÄN</t>
        </is>
      </c>
      <c r="E9524" t="inlineStr">
        <is>
          <t>HUDIKSVALL</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7781-2026</t>
        </is>
      </c>
      <c r="B9525" s="1" t="n">
        <v>46062</v>
      </c>
      <c r="C9525" s="1" t="n">
        <v>46086</v>
      </c>
      <c r="D9525" t="inlineStr">
        <is>
          <t>GÄVLEBORGS LÄN</t>
        </is>
      </c>
      <c r="E9525" t="inlineStr">
        <is>
          <t>HUDIKSVALL</t>
        </is>
      </c>
      <c r="G9525" t="n">
        <v>10.9</v>
      </c>
      <c r="H9525" t="n">
        <v>0</v>
      </c>
      <c r="I9525" t="n">
        <v>0</v>
      </c>
      <c r="J9525" t="n">
        <v>0</v>
      </c>
      <c r="K9525" t="n">
        <v>0</v>
      </c>
      <c r="L9525" t="n">
        <v>0</v>
      </c>
      <c r="M9525" t="n">
        <v>0</v>
      </c>
      <c r="N9525" t="n">
        <v>0</v>
      </c>
      <c r="O9525" t="n">
        <v>0</v>
      </c>
      <c r="P9525" t="n">
        <v>0</v>
      </c>
      <c r="Q9525" t="n">
        <v>0</v>
      </c>
      <c r="R9525" s="2" t="inlineStr"/>
    </row>
    <row r="9526" ht="15" customHeight="1">
      <c r="A9526" t="inlineStr">
        <is>
          <t>A 4507-2026</t>
        </is>
      </c>
      <c r="B9526" s="1" t="n">
        <v>46045</v>
      </c>
      <c r="C9526" s="1" t="n">
        <v>46086</v>
      </c>
      <c r="D9526" t="inlineStr">
        <is>
          <t>GÄVLEBORGS LÄN</t>
        </is>
      </c>
      <c r="E9526" t="inlineStr">
        <is>
          <t>OVANÅKER</t>
        </is>
      </c>
      <c r="G9526" t="n">
        <v>4.3</v>
      </c>
      <c r="H9526" t="n">
        <v>0</v>
      </c>
      <c r="I9526" t="n">
        <v>0</v>
      </c>
      <c r="J9526" t="n">
        <v>0</v>
      </c>
      <c r="K9526" t="n">
        <v>0</v>
      </c>
      <c r="L9526" t="n">
        <v>0</v>
      </c>
      <c r="M9526" t="n">
        <v>0</v>
      </c>
      <c r="N9526" t="n">
        <v>0</v>
      </c>
      <c r="O9526" t="n">
        <v>0</v>
      </c>
      <c r="P9526" t="n">
        <v>0</v>
      </c>
      <c r="Q9526" t="n">
        <v>0</v>
      </c>
      <c r="R9526" s="2" t="inlineStr"/>
    </row>
    <row r="9527" ht="15" customHeight="1">
      <c r="A9527" t="inlineStr">
        <is>
          <t>A 9143-2026</t>
        </is>
      </c>
      <c r="B9527" s="1" t="n">
        <v>46069.93722222222</v>
      </c>
      <c r="C9527" s="1" t="n">
        <v>46086</v>
      </c>
      <c r="D9527" t="inlineStr">
        <is>
          <t>GÄVLEBORGS LÄN</t>
        </is>
      </c>
      <c r="E9527" t="inlineStr">
        <is>
          <t>SANDVIKEN</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9146-2026</t>
        </is>
      </c>
      <c r="B9528" s="1" t="n">
        <v>46070.27447916667</v>
      </c>
      <c r="C9528" s="1" t="n">
        <v>46086</v>
      </c>
      <c r="D9528" t="inlineStr">
        <is>
          <t>GÄVLEBORGS LÄN</t>
        </is>
      </c>
      <c r="E9528" t="inlineStr">
        <is>
          <t>OVANÅKER</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9167-2026</t>
        </is>
      </c>
      <c r="B9529" s="1" t="n">
        <v>46070.36003472222</v>
      </c>
      <c r="C9529" s="1" t="n">
        <v>46086</v>
      </c>
      <c r="D9529" t="inlineStr">
        <is>
          <t>GÄVLEBORGS LÄN</t>
        </is>
      </c>
      <c r="E9529" t="inlineStr">
        <is>
          <t>OCKELBO</t>
        </is>
      </c>
      <c r="F9529" t="inlineStr">
        <is>
          <t>Bergvik skog väst AB</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9172-2026</t>
        </is>
      </c>
      <c r="B9530" s="1" t="n">
        <v>46070.36434027777</v>
      </c>
      <c r="C9530" s="1" t="n">
        <v>46086</v>
      </c>
      <c r="D9530" t="inlineStr">
        <is>
          <t>GÄVLEBORGS LÄN</t>
        </is>
      </c>
      <c r="E9530" t="inlineStr">
        <is>
          <t>BOLLNÄS</t>
        </is>
      </c>
      <c r="G9530" t="n">
        <v>5.2</v>
      </c>
      <c r="H9530" t="n">
        <v>0</v>
      </c>
      <c r="I9530" t="n">
        <v>0</v>
      </c>
      <c r="J9530" t="n">
        <v>0</v>
      </c>
      <c r="K9530" t="n">
        <v>0</v>
      </c>
      <c r="L9530" t="n">
        <v>0</v>
      </c>
      <c r="M9530" t="n">
        <v>0</v>
      </c>
      <c r="N9530" t="n">
        <v>0</v>
      </c>
      <c r="O9530" t="n">
        <v>0</v>
      </c>
      <c r="P9530" t="n">
        <v>0</v>
      </c>
      <c r="Q9530" t="n">
        <v>0</v>
      </c>
      <c r="R9530" s="2" t="inlineStr"/>
    </row>
    <row r="9531" ht="15" customHeight="1">
      <c r="A9531" t="inlineStr">
        <is>
          <t>A 9177-2026</t>
        </is>
      </c>
      <c r="B9531" s="1" t="n">
        <v>46070.36740740741</v>
      </c>
      <c r="C9531" s="1" t="n">
        <v>46086</v>
      </c>
      <c r="D9531" t="inlineStr">
        <is>
          <t>GÄVLEBORGS LÄN</t>
        </is>
      </c>
      <c r="E9531" t="inlineStr">
        <is>
          <t>BOLLNÄS</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9178-2026</t>
        </is>
      </c>
      <c r="B9532" s="1" t="n">
        <v>46070.36805555555</v>
      </c>
      <c r="C9532" s="1" t="n">
        <v>46086</v>
      </c>
      <c r="D9532" t="inlineStr">
        <is>
          <t>GÄVLEBORGS LÄN</t>
        </is>
      </c>
      <c r="E9532" t="inlineStr">
        <is>
          <t>BOLLNÄS</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9182-2026</t>
        </is>
      </c>
      <c r="B9533" s="1" t="n">
        <v>46070.37048611111</v>
      </c>
      <c r="C9533" s="1" t="n">
        <v>46086</v>
      </c>
      <c r="D9533" t="inlineStr">
        <is>
          <t>GÄVLEBORGS LÄN</t>
        </is>
      </c>
      <c r="E9533" t="inlineStr">
        <is>
          <t>LJUSDAL</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9189-2026</t>
        </is>
      </c>
      <c r="B9534" s="1" t="n">
        <v>46070.38061342593</v>
      </c>
      <c r="C9534" s="1" t="n">
        <v>46086</v>
      </c>
      <c r="D9534" t="inlineStr">
        <is>
          <t>GÄVLEBORGS LÄN</t>
        </is>
      </c>
      <c r="E9534" t="inlineStr">
        <is>
          <t>SÖDERHAMN</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9196-2026</t>
        </is>
      </c>
      <c r="B9535" s="1" t="n">
        <v>46070.40189814815</v>
      </c>
      <c r="C9535" s="1" t="n">
        <v>46086</v>
      </c>
      <c r="D9535" t="inlineStr">
        <is>
          <t>GÄVLEBORGS LÄN</t>
        </is>
      </c>
      <c r="E9535" t="inlineStr">
        <is>
          <t>OCKELBO</t>
        </is>
      </c>
      <c r="F9535" t="inlineStr">
        <is>
          <t>Bergvik skog väst AB</t>
        </is>
      </c>
      <c r="G9535" t="n">
        <v>10.9</v>
      </c>
      <c r="H9535" t="n">
        <v>0</v>
      </c>
      <c r="I9535" t="n">
        <v>0</v>
      </c>
      <c r="J9535" t="n">
        <v>0</v>
      </c>
      <c r="K9535" t="n">
        <v>0</v>
      </c>
      <c r="L9535" t="n">
        <v>0</v>
      </c>
      <c r="M9535" t="n">
        <v>0</v>
      </c>
      <c r="N9535" t="n">
        <v>0</v>
      </c>
      <c r="O9535" t="n">
        <v>0</v>
      </c>
      <c r="P9535" t="n">
        <v>0</v>
      </c>
      <c r="Q9535" t="n">
        <v>0</v>
      </c>
      <c r="R9535" s="2" t="inlineStr"/>
    </row>
    <row r="9536" ht="15" customHeight="1">
      <c r="A9536" t="inlineStr">
        <is>
          <t>A 51560-2023</t>
        </is>
      </c>
      <c r="B9536" s="1" t="n">
        <v>45222.44016203703</v>
      </c>
      <c r="C9536" s="1" t="n">
        <v>46086</v>
      </c>
      <c r="D9536" t="inlineStr">
        <is>
          <t>GÄVLEBORGS LÄN</t>
        </is>
      </c>
      <c r="E9536" t="inlineStr">
        <is>
          <t>NORDANSTIG</t>
        </is>
      </c>
      <c r="G9536" t="n">
        <v>26.9</v>
      </c>
      <c r="H9536" t="n">
        <v>0</v>
      </c>
      <c r="I9536" t="n">
        <v>0</v>
      </c>
      <c r="J9536" t="n">
        <v>0</v>
      </c>
      <c r="K9536" t="n">
        <v>0</v>
      </c>
      <c r="L9536" t="n">
        <v>0</v>
      </c>
      <c r="M9536" t="n">
        <v>0</v>
      </c>
      <c r="N9536" t="n">
        <v>0</v>
      </c>
      <c r="O9536" t="n">
        <v>0</v>
      </c>
      <c r="P9536" t="n">
        <v>0</v>
      </c>
      <c r="Q9536" t="n">
        <v>0</v>
      </c>
      <c r="R9536" s="2" t="inlineStr"/>
    </row>
    <row r="9537" ht="15" customHeight="1">
      <c r="A9537" t="inlineStr">
        <is>
          <t>A 439-2026</t>
        </is>
      </c>
      <c r="B9537" s="1" t="n">
        <v>46029.34439814815</v>
      </c>
      <c r="C9537" s="1" t="n">
        <v>46086</v>
      </c>
      <c r="D9537" t="inlineStr">
        <is>
          <t>GÄVLEBORGS LÄN</t>
        </is>
      </c>
      <c r="E9537" t="inlineStr">
        <is>
          <t>BOLLNÄS</t>
        </is>
      </c>
      <c r="G9537" t="n">
        <v>0.3</v>
      </c>
      <c r="H9537" t="n">
        <v>0</v>
      </c>
      <c r="I9537" t="n">
        <v>0</v>
      </c>
      <c r="J9537" t="n">
        <v>0</v>
      </c>
      <c r="K9537" t="n">
        <v>0</v>
      </c>
      <c r="L9537" t="n">
        <v>0</v>
      </c>
      <c r="M9537" t="n">
        <v>0</v>
      </c>
      <c r="N9537" t="n">
        <v>0</v>
      </c>
      <c r="O9537" t="n">
        <v>0</v>
      </c>
      <c r="P9537" t="n">
        <v>0</v>
      </c>
      <c r="Q9537" t="n">
        <v>0</v>
      </c>
      <c r="R9537" s="2" t="inlineStr"/>
    </row>
    <row r="9538" ht="15" customHeight="1">
      <c r="A9538" t="inlineStr">
        <is>
          <t>A 36503-2025</t>
        </is>
      </c>
      <c r="B9538" s="1" t="n">
        <v>45869.56767361111</v>
      </c>
      <c r="C9538" s="1" t="n">
        <v>46086</v>
      </c>
      <c r="D9538" t="inlineStr">
        <is>
          <t>GÄVLEBORGS LÄN</t>
        </is>
      </c>
      <c r="E9538" t="inlineStr">
        <is>
          <t>HUDIKSVALL</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9246-2026</t>
        </is>
      </c>
      <c r="B9539" s="1" t="n">
        <v>46070.49</v>
      </c>
      <c r="C9539" s="1" t="n">
        <v>46086</v>
      </c>
      <c r="D9539" t="inlineStr">
        <is>
          <t>GÄVLEBORGS LÄN</t>
        </is>
      </c>
      <c r="E9539" t="inlineStr">
        <is>
          <t>SANDVIKEN</t>
        </is>
      </c>
      <c r="F9539" t="inlineStr">
        <is>
          <t>Kommuner</t>
        </is>
      </c>
      <c r="G9539" t="n">
        <v>3.7</v>
      </c>
      <c r="H9539" t="n">
        <v>0</v>
      </c>
      <c r="I9539" t="n">
        <v>0</v>
      </c>
      <c r="J9539" t="n">
        <v>0</v>
      </c>
      <c r="K9539" t="n">
        <v>0</v>
      </c>
      <c r="L9539" t="n">
        <v>0</v>
      </c>
      <c r="M9539" t="n">
        <v>0</v>
      </c>
      <c r="N9539" t="n">
        <v>0</v>
      </c>
      <c r="O9539" t="n">
        <v>0</v>
      </c>
      <c r="P9539" t="n">
        <v>0</v>
      </c>
      <c r="Q9539" t="n">
        <v>0</v>
      </c>
      <c r="R9539" s="2" t="inlineStr"/>
    </row>
    <row r="9540" ht="15" customHeight="1">
      <c r="A9540" t="inlineStr">
        <is>
          <t>A 9284-2026</t>
        </is>
      </c>
      <c r="B9540" s="1" t="n">
        <v>46070.58158564815</v>
      </c>
      <c r="C9540" s="1" t="n">
        <v>46086</v>
      </c>
      <c r="D9540" t="inlineStr">
        <is>
          <t>GÄVLEBORGS LÄN</t>
        </is>
      </c>
      <c r="E9540" t="inlineStr">
        <is>
          <t>SÖDERHAMN</t>
        </is>
      </c>
      <c r="G9540" t="n">
        <v>0.2</v>
      </c>
      <c r="H9540" t="n">
        <v>0</v>
      </c>
      <c r="I9540" t="n">
        <v>0</v>
      </c>
      <c r="J9540" t="n">
        <v>0</v>
      </c>
      <c r="K9540" t="n">
        <v>0</v>
      </c>
      <c r="L9540" t="n">
        <v>0</v>
      </c>
      <c r="M9540" t="n">
        <v>0</v>
      </c>
      <c r="N9540" t="n">
        <v>0</v>
      </c>
      <c r="O9540" t="n">
        <v>0</v>
      </c>
      <c r="P9540" t="n">
        <v>0</v>
      </c>
      <c r="Q9540" t="n">
        <v>0</v>
      </c>
      <c r="R9540" s="2" t="inlineStr"/>
      <c r="U9540">
        <f>HYPERLINK("https://klasma.github.io/Logging_2182/knärot/A 9284-2026 karta knärot.png", "A 9284-2026")</f>
        <v/>
      </c>
      <c r="V9540">
        <f>HYPERLINK("https://klasma.github.io/Logging_2182/klagomål/A 9284-2026 FSC-klagomål.docx", "A 9284-2026")</f>
        <v/>
      </c>
      <c r="W9540">
        <f>HYPERLINK("https://klasma.github.io/Logging_2182/klagomålsmail/A 9284-2026 FSC-klagomål mail.docx", "A 9284-2026")</f>
        <v/>
      </c>
      <c r="X9540">
        <f>HYPERLINK("https://klasma.github.io/Logging_2182/tillsyn/A 9284-2026 tillsynsbegäran.docx", "A 9284-2026")</f>
        <v/>
      </c>
      <c r="Y9540">
        <f>HYPERLINK("https://klasma.github.io/Logging_2182/tillsynsmail/A 9284-2026 tillsynsbegäran mail.docx", "A 9284-2026")</f>
        <v/>
      </c>
    </row>
    <row r="9541" ht="15" customHeight="1">
      <c r="A9541" t="inlineStr">
        <is>
          <t>A 710-2026</t>
        </is>
      </c>
      <c r="B9541" s="1" t="n">
        <v>46029.6222337963</v>
      </c>
      <c r="C9541" s="1" t="n">
        <v>46086</v>
      </c>
      <c r="D9541" t="inlineStr">
        <is>
          <t>GÄVLEBORGS LÄN</t>
        </is>
      </c>
      <c r="E9541" t="inlineStr">
        <is>
          <t>OCKELBO</t>
        </is>
      </c>
      <c r="G9541" t="n">
        <v>7</v>
      </c>
      <c r="H9541" t="n">
        <v>0</v>
      </c>
      <c r="I9541" t="n">
        <v>0</v>
      </c>
      <c r="J9541" t="n">
        <v>0</v>
      </c>
      <c r="K9541" t="n">
        <v>0</v>
      </c>
      <c r="L9541" t="n">
        <v>0</v>
      </c>
      <c r="M9541" t="n">
        <v>0</v>
      </c>
      <c r="N9541" t="n">
        <v>0</v>
      </c>
      <c r="O9541" t="n">
        <v>0</v>
      </c>
      <c r="P9541" t="n">
        <v>0</v>
      </c>
      <c r="Q9541" t="n">
        <v>0</v>
      </c>
      <c r="R9541" s="2" t="inlineStr"/>
    </row>
    <row r="9542" ht="15" customHeight="1">
      <c r="A9542" t="inlineStr">
        <is>
          <t>A 715-2026</t>
        </is>
      </c>
      <c r="B9542" s="1" t="n">
        <v>46029</v>
      </c>
      <c r="C9542" s="1" t="n">
        <v>46086</v>
      </c>
      <c r="D9542" t="inlineStr">
        <is>
          <t>GÄVLEBORGS LÄN</t>
        </is>
      </c>
      <c r="E9542" t="inlineStr">
        <is>
          <t>BOLLNÄS</t>
        </is>
      </c>
      <c r="G9542" t="n">
        <v>2.2</v>
      </c>
      <c r="H9542" t="n">
        <v>0</v>
      </c>
      <c r="I9542" t="n">
        <v>0</v>
      </c>
      <c r="J9542" t="n">
        <v>0</v>
      </c>
      <c r="K9542" t="n">
        <v>0</v>
      </c>
      <c r="L9542" t="n">
        <v>0</v>
      </c>
      <c r="M9542" t="n">
        <v>0</v>
      </c>
      <c r="N9542" t="n">
        <v>0</v>
      </c>
      <c r="O9542" t="n">
        <v>0</v>
      </c>
      <c r="P9542" t="n">
        <v>0</v>
      </c>
      <c r="Q9542" t="n">
        <v>0</v>
      </c>
      <c r="R9542" s="2" t="inlineStr"/>
    </row>
    <row r="9543" ht="15" customHeight="1">
      <c r="A9543" t="inlineStr">
        <is>
          <t>A 7827-2025</t>
        </is>
      </c>
      <c r="B9543" s="1" t="n">
        <v>45706.64928240741</v>
      </c>
      <c r="C9543" s="1" t="n">
        <v>46086</v>
      </c>
      <c r="D9543" t="inlineStr">
        <is>
          <t>GÄVLEBORGS LÄN</t>
        </is>
      </c>
      <c r="E9543" t="inlineStr">
        <is>
          <t>OCKELBO</t>
        </is>
      </c>
      <c r="G9543" t="n">
        <v>2.6</v>
      </c>
      <c r="H9543" t="n">
        <v>0</v>
      </c>
      <c r="I9543" t="n">
        <v>0</v>
      </c>
      <c r="J9543" t="n">
        <v>0</v>
      </c>
      <c r="K9543" t="n">
        <v>0</v>
      </c>
      <c r="L9543" t="n">
        <v>0</v>
      </c>
      <c r="M9543" t="n">
        <v>0</v>
      </c>
      <c r="N9543" t="n">
        <v>0</v>
      </c>
      <c r="O9543" t="n">
        <v>0</v>
      </c>
      <c r="P9543" t="n">
        <v>0</v>
      </c>
      <c r="Q9543" t="n">
        <v>0</v>
      </c>
      <c r="R9543" s="2" t="inlineStr"/>
    </row>
    <row r="9544" ht="15" customHeight="1">
      <c r="A9544" t="inlineStr">
        <is>
          <t>A 727-2026</t>
        </is>
      </c>
      <c r="B9544" s="1" t="n">
        <v>46029.64394675926</v>
      </c>
      <c r="C9544" s="1" t="n">
        <v>46086</v>
      </c>
      <c r="D9544" t="inlineStr">
        <is>
          <t>GÄVLEBORGS LÄN</t>
        </is>
      </c>
      <c r="E9544" t="inlineStr">
        <is>
          <t>LJUSDAL</t>
        </is>
      </c>
      <c r="G9544" t="n">
        <v>11.6</v>
      </c>
      <c r="H9544" t="n">
        <v>0</v>
      </c>
      <c r="I9544" t="n">
        <v>0</v>
      </c>
      <c r="J9544" t="n">
        <v>0</v>
      </c>
      <c r="K9544" t="n">
        <v>0</v>
      </c>
      <c r="L9544" t="n">
        <v>0</v>
      </c>
      <c r="M9544" t="n">
        <v>0</v>
      </c>
      <c r="N9544" t="n">
        <v>0</v>
      </c>
      <c r="O9544" t="n">
        <v>0</v>
      </c>
      <c r="P9544" t="n">
        <v>0</v>
      </c>
      <c r="Q9544" t="n">
        <v>0</v>
      </c>
      <c r="R9544" s="2" t="inlineStr"/>
    </row>
    <row r="9545" ht="15" customHeight="1">
      <c r="A9545" t="inlineStr">
        <is>
          <t>A 9176-2026</t>
        </is>
      </c>
      <c r="B9545" s="1" t="n">
        <v>46070.36697916667</v>
      </c>
      <c r="C9545" s="1" t="n">
        <v>46086</v>
      </c>
      <c r="D9545" t="inlineStr">
        <is>
          <t>GÄVLEBORGS LÄN</t>
        </is>
      </c>
      <c r="E9545" t="inlineStr">
        <is>
          <t>SÖDERHAMN</t>
        </is>
      </c>
      <c r="G9545" t="n">
        <v>3.4</v>
      </c>
      <c r="H9545" t="n">
        <v>0</v>
      </c>
      <c r="I9545" t="n">
        <v>0</v>
      </c>
      <c r="J9545" t="n">
        <v>0</v>
      </c>
      <c r="K9545" t="n">
        <v>0</v>
      </c>
      <c r="L9545" t="n">
        <v>0</v>
      </c>
      <c r="M9545" t="n">
        <v>0</v>
      </c>
      <c r="N9545" t="n">
        <v>0</v>
      </c>
      <c r="O9545" t="n">
        <v>0</v>
      </c>
      <c r="P9545" t="n">
        <v>0</v>
      </c>
      <c r="Q9545" t="n">
        <v>0</v>
      </c>
      <c r="R9545" s="2" t="inlineStr"/>
    </row>
    <row r="9546" ht="15" customHeight="1">
      <c r="A9546" t="inlineStr">
        <is>
          <t>A 2206-2025</t>
        </is>
      </c>
      <c r="B9546" s="1" t="n">
        <v>45673.42638888889</v>
      </c>
      <c r="C9546" s="1" t="n">
        <v>46086</v>
      </c>
      <c r="D9546" t="inlineStr">
        <is>
          <t>GÄVLEBORGS LÄN</t>
        </is>
      </c>
      <c r="E9546" t="inlineStr">
        <is>
          <t>BOLLNÄS</t>
        </is>
      </c>
      <c r="G9546" t="n">
        <v>4.6</v>
      </c>
      <c r="H9546" t="n">
        <v>0</v>
      </c>
      <c r="I9546" t="n">
        <v>0</v>
      </c>
      <c r="J9546" t="n">
        <v>0</v>
      </c>
      <c r="K9546" t="n">
        <v>0</v>
      </c>
      <c r="L9546" t="n">
        <v>0</v>
      </c>
      <c r="M9546" t="n">
        <v>0</v>
      </c>
      <c r="N9546" t="n">
        <v>0</v>
      </c>
      <c r="O9546" t="n">
        <v>0</v>
      </c>
      <c r="P9546" t="n">
        <v>0</v>
      </c>
      <c r="Q9546" t="n">
        <v>0</v>
      </c>
      <c r="R9546" s="2" t="inlineStr"/>
    </row>
    <row r="9547" ht="15" customHeight="1">
      <c r="A9547" t="inlineStr">
        <is>
          <t>A 2211-2025</t>
        </is>
      </c>
      <c r="B9547" s="1" t="n">
        <v>45673.43484953704</v>
      </c>
      <c r="C9547" s="1" t="n">
        <v>46086</v>
      </c>
      <c r="D9547" t="inlineStr">
        <is>
          <t>GÄVLEBORGS LÄN</t>
        </is>
      </c>
      <c r="E9547" t="inlineStr">
        <is>
          <t>BOLLNÄS</t>
        </is>
      </c>
      <c r="G9547" t="n">
        <v>3.9</v>
      </c>
      <c r="H9547" t="n">
        <v>0</v>
      </c>
      <c r="I9547" t="n">
        <v>0</v>
      </c>
      <c r="J9547" t="n">
        <v>0</v>
      </c>
      <c r="K9547" t="n">
        <v>0</v>
      </c>
      <c r="L9547" t="n">
        <v>0</v>
      </c>
      <c r="M9547" t="n">
        <v>0</v>
      </c>
      <c r="N9547" t="n">
        <v>0</v>
      </c>
      <c r="O9547" t="n">
        <v>0</v>
      </c>
      <c r="P9547" t="n">
        <v>0</v>
      </c>
      <c r="Q9547" t="n">
        <v>0</v>
      </c>
      <c r="R9547" s="2" t="inlineStr"/>
    </row>
    <row r="9548" ht="15" customHeight="1">
      <c r="A9548" t="inlineStr">
        <is>
          <t>A 4584-2026</t>
        </is>
      </c>
      <c r="B9548" s="1" t="n">
        <v>46048</v>
      </c>
      <c r="C9548" s="1" t="n">
        <v>46086</v>
      </c>
      <c r="D9548" t="inlineStr">
        <is>
          <t>GÄVLEBORGS LÄN</t>
        </is>
      </c>
      <c r="E9548" t="inlineStr">
        <is>
          <t>NORDANSTIG</t>
        </is>
      </c>
      <c r="F9548" t="inlineStr">
        <is>
          <t>Holmen skog AB</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9140-2026</t>
        </is>
      </c>
      <c r="B9549" s="1" t="n">
        <v>46069.92490740741</v>
      </c>
      <c r="C9549" s="1" t="n">
        <v>46086</v>
      </c>
      <c r="D9549" t="inlineStr">
        <is>
          <t>GÄVLEBORGS LÄN</t>
        </is>
      </c>
      <c r="E9549" t="inlineStr">
        <is>
          <t>SANDVIKEN</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60497-2021</t>
        </is>
      </c>
      <c r="B9550" s="1" t="n">
        <v>44496.48552083333</v>
      </c>
      <c r="C9550" s="1" t="n">
        <v>46086</v>
      </c>
      <c r="D9550" t="inlineStr">
        <is>
          <t>GÄVLEBORGS LÄN</t>
        </is>
      </c>
      <c r="E9550" t="inlineStr">
        <is>
          <t>OCKELBO</t>
        </is>
      </c>
      <c r="F9550" t="inlineStr">
        <is>
          <t>Bergvik skog väst AB</t>
        </is>
      </c>
      <c r="G9550" t="n">
        <v>3.7</v>
      </c>
      <c r="H9550" t="n">
        <v>0</v>
      </c>
      <c r="I9550" t="n">
        <v>0</v>
      </c>
      <c r="J9550" t="n">
        <v>0</v>
      </c>
      <c r="K9550" t="n">
        <v>0</v>
      </c>
      <c r="L9550" t="n">
        <v>0</v>
      </c>
      <c r="M9550" t="n">
        <v>0</v>
      </c>
      <c r="N9550" t="n">
        <v>0</v>
      </c>
      <c r="O9550" t="n">
        <v>0</v>
      </c>
      <c r="P9550" t="n">
        <v>0</v>
      </c>
      <c r="Q9550" t="n">
        <v>0</v>
      </c>
      <c r="R9550" s="2" t="inlineStr"/>
    </row>
    <row r="9551" ht="15" customHeight="1">
      <c r="A9551" t="inlineStr">
        <is>
          <t>A 12381-2023</t>
        </is>
      </c>
      <c r="B9551" s="1" t="n">
        <v>44999.46983796296</v>
      </c>
      <c r="C9551" s="1" t="n">
        <v>46086</v>
      </c>
      <c r="D9551" t="inlineStr">
        <is>
          <t>GÄVLEBORGS LÄN</t>
        </is>
      </c>
      <c r="E9551" t="inlineStr">
        <is>
          <t>GÄVLE</t>
        </is>
      </c>
      <c r="G9551" t="n">
        <v>4</v>
      </c>
      <c r="H9551" t="n">
        <v>0</v>
      </c>
      <c r="I9551" t="n">
        <v>0</v>
      </c>
      <c r="J9551" t="n">
        <v>0</v>
      </c>
      <c r="K9551" t="n">
        <v>0</v>
      </c>
      <c r="L9551" t="n">
        <v>0</v>
      </c>
      <c r="M9551" t="n">
        <v>0</v>
      </c>
      <c r="N9551" t="n">
        <v>0</v>
      </c>
      <c r="O9551" t="n">
        <v>0</v>
      </c>
      <c r="P9551" t="n">
        <v>0</v>
      </c>
      <c r="Q9551" t="n">
        <v>0</v>
      </c>
      <c r="R9551" s="2" t="inlineStr"/>
    </row>
    <row r="9552" ht="15" customHeight="1">
      <c r="A9552" t="inlineStr">
        <is>
          <t>A 4462-2026</t>
        </is>
      </c>
      <c r="B9552" s="1" t="n">
        <v>46045</v>
      </c>
      <c r="C9552" s="1" t="n">
        <v>46086</v>
      </c>
      <c r="D9552" t="inlineStr">
        <is>
          <t>GÄVLEBORGS LÄN</t>
        </is>
      </c>
      <c r="E9552" t="inlineStr">
        <is>
          <t>OVANÅKER</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5444-2026</t>
        </is>
      </c>
      <c r="B9553" s="1" t="n">
        <v>46050.57188657407</v>
      </c>
      <c r="C9553" s="1" t="n">
        <v>46086</v>
      </c>
      <c r="D9553" t="inlineStr">
        <is>
          <t>GÄVLEBORGS LÄN</t>
        </is>
      </c>
      <c r="E9553" t="inlineStr">
        <is>
          <t>OVANÅKER</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775-2026</t>
        </is>
      </c>
      <c r="B9554" s="1" t="n">
        <v>46029</v>
      </c>
      <c r="C9554" s="1" t="n">
        <v>46086</v>
      </c>
      <c r="D9554" t="inlineStr">
        <is>
          <t>GÄVLEBORGS LÄN</t>
        </is>
      </c>
      <c r="E9554" t="inlineStr">
        <is>
          <t>BOLLNÄS</t>
        </is>
      </c>
      <c r="G9554" t="n">
        <v>7.7</v>
      </c>
      <c r="H9554" t="n">
        <v>0</v>
      </c>
      <c r="I9554" t="n">
        <v>0</v>
      </c>
      <c r="J9554" t="n">
        <v>0</v>
      </c>
      <c r="K9554" t="n">
        <v>0</v>
      </c>
      <c r="L9554" t="n">
        <v>0</v>
      </c>
      <c r="M9554" t="n">
        <v>0</v>
      </c>
      <c r="N9554" t="n">
        <v>0</v>
      </c>
      <c r="O9554" t="n">
        <v>0</v>
      </c>
      <c r="P9554" t="n">
        <v>0</v>
      </c>
      <c r="Q9554" t="n">
        <v>0</v>
      </c>
      <c r="R9554" s="2" t="inlineStr"/>
    </row>
    <row r="9555" ht="15" customHeight="1">
      <c r="A9555" t="inlineStr">
        <is>
          <t>A 9006-2026</t>
        </is>
      </c>
      <c r="B9555" s="1" t="n">
        <v>46069</v>
      </c>
      <c r="C9555" s="1" t="n">
        <v>46086</v>
      </c>
      <c r="D9555" t="inlineStr">
        <is>
          <t>GÄVLEBORGS LÄN</t>
        </is>
      </c>
      <c r="E9555" t="inlineStr">
        <is>
          <t>OVANÅKER</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4161-2026</t>
        </is>
      </c>
      <c r="B9556" s="1" t="n">
        <v>46044</v>
      </c>
      <c r="C9556" s="1" t="n">
        <v>46086</v>
      </c>
      <c r="D9556" t="inlineStr">
        <is>
          <t>GÄVLEBORGS LÄN</t>
        </is>
      </c>
      <c r="E9556" t="inlineStr">
        <is>
          <t>BOLLNÄS</t>
        </is>
      </c>
      <c r="G9556" t="n">
        <v>19.7</v>
      </c>
      <c r="H9556" t="n">
        <v>0</v>
      </c>
      <c r="I9556" t="n">
        <v>0</v>
      </c>
      <c r="J9556" t="n">
        <v>0</v>
      </c>
      <c r="K9556" t="n">
        <v>0</v>
      </c>
      <c r="L9556" t="n">
        <v>0</v>
      </c>
      <c r="M9556" t="n">
        <v>0</v>
      </c>
      <c r="N9556" t="n">
        <v>0</v>
      </c>
      <c r="O9556" t="n">
        <v>0</v>
      </c>
      <c r="P9556" t="n">
        <v>0</v>
      </c>
      <c r="Q9556" t="n">
        <v>0</v>
      </c>
      <c r="R9556" s="2" t="inlineStr"/>
    </row>
    <row r="9557" ht="15" customHeight="1">
      <c r="A9557" t="inlineStr">
        <is>
          <t>A 4794-2026</t>
        </is>
      </c>
      <c r="B9557" s="1" t="n">
        <v>46048.56616898148</v>
      </c>
      <c r="C9557" s="1" t="n">
        <v>46086</v>
      </c>
      <c r="D9557" t="inlineStr">
        <is>
          <t>GÄVLEBORGS LÄN</t>
        </is>
      </c>
      <c r="E9557" t="inlineStr">
        <is>
          <t>NORDANSTIG</t>
        </is>
      </c>
      <c r="G9557" t="n">
        <v>15.3</v>
      </c>
      <c r="H9557" t="n">
        <v>0</v>
      </c>
      <c r="I9557" t="n">
        <v>0</v>
      </c>
      <c r="J9557" t="n">
        <v>0</v>
      </c>
      <c r="K9557" t="n">
        <v>0</v>
      </c>
      <c r="L9557" t="n">
        <v>0</v>
      </c>
      <c r="M9557" t="n">
        <v>0</v>
      </c>
      <c r="N9557" t="n">
        <v>0</v>
      </c>
      <c r="O9557" t="n">
        <v>0</v>
      </c>
      <c r="P9557" t="n">
        <v>0</v>
      </c>
      <c r="Q9557" t="n">
        <v>0</v>
      </c>
      <c r="R9557" s="2" t="inlineStr"/>
    </row>
    <row r="9558" ht="15" customHeight="1">
      <c r="A9558" t="inlineStr">
        <is>
          <t>A 4872-2026</t>
        </is>
      </c>
      <c r="B9558" s="1" t="n">
        <v>46048</v>
      </c>
      <c r="C9558" s="1" t="n">
        <v>46086</v>
      </c>
      <c r="D9558" t="inlineStr">
        <is>
          <t>GÄVLEBORGS LÄN</t>
        </is>
      </c>
      <c r="E9558" t="inlineStr">
        <is>
          <t>BOLLNÄS</t>
        </is>
      </c>
      <c r="G9558" t="n">
        <v>5.8</v>
      </c>
      <c r="H9558" t="n">
        <v>0</v>
      </c>
      <c r="I9558" t="n">
        <v>0</v>
      </c>
      <c r="J9558" t="n">
        <v>0</v>
      </c>
      <c r="K9558" t="n">
        <v>0</v>
      </c>
      <c r="L9558" t="n">
        <v>0</v>
      </c>
      <c r="M9558" t="n">
        <v>0</v>
      </c>
      <c r="N9558" t="n">
        <v>0</v>
      </c>
      <c r="O9558" t="n">
        <v>0</v>
      </c>
      <c r="P9558" t="n">
        <v>0</v>
      </c>
      <c r="Q9558" t="n">
        <v>0</v>
      </c>
      <c r="R9558" s="2" t="inlineStr"/>
    </row>
    <row r="9559" ht="15" customHeight="1">
      <c r="A9559" t="inlineStr">
        <is>
          <t>A 9017-2026</t>
        </is>
      </c>
      <c r="B9559" s="1" t="n">
        <v>46069</v>
      </c>
      <c r="C9559" s="1" t="n">
        <v>46086</v>
      </c>
      <c r="D9559" t="inlineStr">
        <is>
          <t>GÄVLEBORGS LÄN</t>
        </is>
      </c>
      <c r="E9559" t="inlineStr">
        <is>
          <t>OVANÅKER</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4272-2026</t>
        </is>
      </c>
      <c r="B9560" s="1" t="n">
        <v>46045</v>
      </c>
      <c r="C9560" s="1" t="n">
        <v>46086</v>
      </c>
      <c r="D9560" t="inlineStr">
        <is>
          <t>GÄVLEBORGS LÄN</t>
        </is>
      </c>
      <c r="E9560" t="inlineStr">
        <is>
          <t>HUDIKSVALL</t>
        </is>
      </c>
      <c r="G9560" t="n">
        <v>9.4</v>
      </c>
      <c r="H9560" t="n">
        <v>0</v>
      </c>
      <c r="I9560" t="n">
        <v>0</v>
      </c>
      <c r="J9560" t="n">
        <v>0</v>
      </c>
      <c r="K9560" t="n">
        <v>0</v>
      </c>
      <c r="L9560" t="n">
        <v>0</v>
      </c>
      <c r="M9560" t="n">
        <v>0</v>
      </c>
      <c r="N9560" t="n">
        <v>0</v>
      </c>
      <c r="O9560" t="n">
        <v>0</v>
      </c>
      <c r="P9560" t="n">
        <v>0</v>
      </c>
      <c r="Q9560" t="n">
        <v>0</v>
      </c>
      <c r="R9560" s="2" t="inlineStr"/>
    </row>
    <row r="9561" ht="15" customHeight="1">
      <c r="A9561" t="inlineStr">
        <is>
          <t>A 4892-2026</t>
        </is>
      </c>
      <c r="B9561" s="1" t="n">
        <v>46048.6734375</v>
      </c>
      <c r="C9561" s="1" t="n">
        <v>46086</v>
      </c>
      <c r="D9561" t="inlineStr">
        <is>
          <t>GÄVLEBORGS LÄN</t>
        </is>
      </c>
      <c r="E9561" t="inlineStr">
        <is>
          <t>HUDIKSVALL</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4369-2026</t>
        </is>
      </c>
      <c r="B9562" s="1" t="n">
        <v>46045.54717592592</v>
      </c>
      <c r="C9562" s="1" t="n">
        <v>46086</v>
      </c>
      <c r="D9562" t="inlineStr">
        <is>
          <t>GÄVLEBORGS LÄN</t>
        </is>
      </c>
      <c r="E9562" t="inlineStr">
        <is>
          <t>BOLLNÄS</t>
        </is>
      </c>
      <c r="G9562" t="n">
        <v>4.6</v>
      </c>
      <c r="H9562" t="n">
        <v>0</v>
      </c>
      <c r="I9562" t="n">
        <v>0</v>
      </c>
      <c r="J9562" t="n">
        <v>0</v>
      </c>
      <c r="K9562" t="n">
        <v>0</v>
      </c>
      <c r="L9562" t="n">
        <v>0</v>
      </c>
      <c r="M9562" t="n">
        <v>0</v>
      </c>
      <c r="N9562" t="n">
        <v>0</v>
      </c>
      <c r="O9562" t="n">
        <v>0</v>
      </c>
      <c r="P9562" t="n">
        <v>0</v>
      </c>
      <c r="Q9562" t="n">
        <v>0</v>
      </c>
      <c r="R9562" s="2" t="inlineStr"/>
    </row>
    <row r="9563" ht="15" customHeight="1">
      <c r="A9563" t="inlineStr">
        <is>
          <t>A 4372-2026</t>
        </is>
      </c>
      <c r="B9563" s="1" t="n">
        <v>46045.54936342593</v>
      </c>
      <c r="C9563" s="1" t="n">
        <v>46086</v>
      </c>
      <c r="D9563" t="inlineStr">
        <is>
          <t>GÄVLEBORGS LÄN</t>
        </is>
      </c>
      <c r="E9563" t="inlineStr">
        <is>
          <t>BOLLNÄS</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5150-2026</t>
        </is>
      </c>
      <c r="B9564" s="1" t="n">
        <v>46049</v>
      </c>
      <c r="C9564" s="1" t="n">
        <v>46086</v>
      </c>
      <c r="D9564" t="inlineStr">
        <is>
          <t>GÄVLEBORGS LÄN</t>
        </is>
      </c>
      <c r="E9564" t="inlineStr">
        <is>
          <t>BOLLNÄS</t>
        </is>
      </c>
      <c r="G9564" t="n">
        <v>1.9</v>
      </c>
      <c r="H9564" t="n">
        <v>0</v>
      </c>
      <c r="I9564" t="n">
        <v>0</v>
      </c>
      <c r="J9564" t="n">
        <v>0</v>
      </c>
      <c r="K9564" t="n">
        <v>0</v>
      </c>
      <c r="L9564" t="n">
        <v>0</v>
      </c>
      <c r="M9564" t="n">
        <v>0</v>
      </c>
      <c r="N9564" t="n">
        <v>0</v>
      </c>
      <c r="O9564" t="n">
        <v>0</v>
      </c>
      <c r="P9564" t="n">
        <v>0</v>
      </c>
      <c r="Q9564" t="n">
        <v>0</v>
      </c>
      <c r="R9564" s="2" t="inlineStr"/>
    </row>
    <row r="9565" ht="15" customHeight="1">
      <c r="A9565" t="inlineStr">
        <is>
          <t>A 5177-2026</t>
        </is>
      </c>
      <c r="B9565" s="1" t="n">
        <v>46049</v>
      </c>
      <c r="C9565" s="1" t="n">
        <v>46086</v>
      </c>
      <c r="D9565" t="inlineStr">
        <is>
          <t>GÄVLEBORGS LÄN</t>
        </is>
      </c>
      <c r="E9565" t="inlineStr">
        <is>
          <t>HOFORS</t>
        </is>
      </c>
      <c r="G9565" t="n">
        <v>6.7</v>
      </c>
      <c r="H9565" t="n">
        <v>0</v>
      </c>
      <c r="I9565" t="n">
        <v>0</v>
      </c>
      <c r="J9565" t="n">
        <v>0</v>
      </c>
      <c r="K9565" t="n">
        <v>0</v>
      </c>
      <c r="L9565" t="n">
        <v>0</v>
      </c>
      <c r="M9565" t="n">
        <v>0</v>
      </c>
      <c r="N9565" t="n">
        <v>0</v>
      </c>
      <c r="O9565" t="n">
        <v>0</v>
      </c>
      <c r="P9565" t="n">
        <v>0</v>
      </c>
      <c r="Q9565" t="n">
        <v>0</v>
      </c>
      <c r="R9565" s="2" t="inlineStr"/>
    </row>
    <row r="9566" ht="15" customHeight="1">
      <c r="A9566" t="inlineStr">
        <is>
          <t>A 35826-2023</t>
        </is>
      </c>
      <c r="B9566" s="1" t="n">
        <v>45148.46752314815</v>
      </c>
      <c r="C9566" s="1" t="n">
        <v>46086</v>
      </c>
      <c r="D9566" t="inlineStr">
        <is>
          <t>GÄVLEBORGS LÄN</t>
        </is>
      </c>
      <c r="E9566" t="inlineStr">
        <is>
          <t>LJUSDAL</t>
        </is>
      </c>
      <c r="F9566" t="inlineStr">
        <is>
          <t>Kommuner</t>
        </is>
      </c>
      <c r="G9566" t="n">
        <v>4.2</v>
      </c>
      <c r="H9566" t="n">
        <v>0</v>
      </c>
      <c r="I9566" t="n">
        <v>0</v>
      </c>
      <c r="J9566" t="n">
        <v>0</v>
      </c>
      <c r="K9566" t="n">
        <v>0</v>
      </c>
      <c r="L9566" t="n">
        <v>0</v>
      </c>
      <c r="M9566" t="n">
        <v>0</v>
      </c>
      <c r="N9566" t="n">
        <v>0</v>
      </c>
      <c r="O9566" t="n">
        <v>0</v>
      </c>
      <c r="P9566" t="n">
        <v>0</v>
      </c>
      <c r="Q9566" t="n">
        <v>0</v>
      </c>
      <c r="R9566" s="2" t="inlineStr"/>
    </row>
    <row r="9567" ht="15" customHeight="1">
      <c r="A9567" t="inlineStr">
        <is>
          <t>A 31890-2022</t>
        </is>
      </c>
      <c r="B9567" s="1" t="n">
        <v>44777</v>
      </c>
      <c r="C9567" s="1" t="n">
        <v>46086</v>
      </c>
      <c r="D9567" t="inlineStr">
        <is>
          <t>GÄVLEBORGS LÄN</t>
        </is>
      </c>
      <c r="E9567" t="inlineStr">
        <is>
          <t>LJUSDAL</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57478-2024</t>
        </is>
      </c>
      <c r="B9568" s="1" t="n">
        <v>45630.34912037037</v>
      </c>
      <c r="C9568" s="1" t="n">
        <v>46086</v>
      </c>
      <c r="D9568" t="inlineStr">
        <is>
          <t>GÄVLEBORGS LÄN</t>
        </is>
      </c>
      <c r="E9568" t="inlineStr">
        <is>
          <t>OVANÅKER</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6990-2025</t>
        </is>
      </c>
      <c r="B9569" s="1" t="n">
        <v>45701</v>
      </c>
      <c r="C9569" s="1" t="n">
        <v>46086</v>
      </c>
      <c r="D9569" t="inlineStr">
        <is>
          <t>GÄVLEBORGS LÄN</t>
        </is>
      </c>
      <c r="E9569" t="inlineStr">
        <is>
          <t>HUDIKSVALL</t>
        </is>
      </c>
      <c r="G9569" t="n">
        <v>7.2</v>
      </c>
      <c r="H9569" t="n">
        <v>0</v>
      </c>
      <c r="I9569" t="n">
        <v>0</v>
      </c>
      <c r="J9569" t="n">
        <v>0</v>
      </c>
      <c r="K9569" t="n">
        <v>0</v>
      </c>
      <c r="L9569" t="n">
        <v>0</v>
      </c>
      <c r="M9569" t="n">
        <v>0</v>
      </c>
      <c r="N9569" t="n">
        <v>0</v>
      </c>
      <c r="O9569" t="n">
        <v>0</v>
      </c>
      <c r="P9569" t="n">
        <v>0</v>
      </c>
      <c r="Q9569" t="n">
        <v>0</v>
      </c>
      <c r="R9569" s="2" t="inlineStr"/>
    </row>
    <row r="9570" ht="15" customHeight="1">
      <c r="A9570" t="inlineStr">
        <is>
          <t>A 4700-2026</t>
        </is>
      </c>
      <c r="B9570" s="1" t="n">
        <v>46048</v>
      </c>
      <c r="C9570" s="1" t="n">
        <v>46086</v>
      </c>
      <c r="D9570" t="inlineStr">
        <is>
          <t>GÄVLEBORGS LÄN</t>
        </is>
      </c>
      <c r="E9570" t="inlineStr">
        <is>
          <t>SÖDERHAMN</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4708-2026</t>
        </is>
      </c>
      <c r="B9571" s="1" t="n">
        <v>46048.4578587963</v>
      </c>
      <c r="C9571" s="1" t="n">
        <v>46086</v>
      </c>
      <c r="D9571" t="inlineStr">
        <is>
          <t>GÄVLEBORGS LÄN</t>
        </is>
      </c>
      <c r="E9571" t="inlineStr">
        <is>
          <t>OVANÅKER</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6013-2025</t>
        </is>
      </c>
      <c r="B9572" s="1" t="n">
        <v>45695</v>
      </c>
      <c r="C9572" s="1" t="n">
        <v>46086</v>
      </c>
      <c r="D9572" t="inlineStr">
        <is>
          <t>GÄVLEBORGS LÄN</t>
        </is>
      </c>
      <c r="E9572" t="inlineStr">
        <is>
          <t>LJUSDAL</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36388-2025</t>
        </is>
      </c>
      <c r="B9573" s="1" t="n">
        <v>45868.59954861111</v>
      </c>
      <c r="C9573" s="1" t="n">
        <v>46086</v>
      </c>
      <c r="D9573" t="inlineStr">
        <is>
          <t>GÄVLEBORGS LÄN</t>
        </is>
      </c>
      <c r="E9573" t="inlineStr">
        <is>
          <t>HUDIKSVALL</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36394-2025</t>
        </is>
      </c>
      <c r="B9574" s="1" t="n">
        <v>45868.61902777778</v>
      </c>
      <c r="C9574" s="1" t="n">
        <v>46086</v>
      </c>
      <c r="D9574" t="inlineStr">
        <is>
          <t>GÄVLEBORGS LÄN</t>
        </is>
      </c>
      <c r="E9574" t="inlineStr">
        <is>
          <t>HUDIKSVALL</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55615-2025</t>
        </is>
      </c>
      <c r="B9575" s="1" t="n">
        <v>45971.85916666667</v>
      </c>
      <c r="C9575" s="1" t="n">
        <v>46086</v>
      </c>
      <c r="D9575" t="inlineStr">
        <is>
          <t>GÄVLEBORGS LÄN</t>
        </is>
      </c>
      <c r="E9575" t="inlineStr">
        <is>
          <t>HUDIKSVALL</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4710-2026</t>
        </is>
      </c>
      <c r="B9576" s="1" t="n">
        <v>46048.46040509259</v>
      </c>
      <c r="C9576" s="1" t="n">
        <v>46086</v>
      </c>
      <c r="D9576" t="inlineStr">
        <is>
          <t>GÄVLEBORGS LÄN</t>
        </is>
      </c>
      <c r="E9576" t="inlineStr">
        <is>
          <t>OVANÅKER</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4816-2026</t>
        </is>
      </c>
      <c r="B9577" s="1" t="n">
        <v>46048.58548611111</v>
      </c>
      <c r="C9577" s="1" t="n">
        <v>46086</v>
      </c>
      <c r="D9577" t="inlineStr">
        <is>
          <t>GÄVLEBORGS LÄN</t>
        </is>
      </c>
      <c r="E9577" t="inlineStr">
        <is>
          <t>LJUSDAL</t>
        </is>
      </c>
      <c r="G9577" t="n">
        <v>6.8</v>
      </c>
      <c r="H9577" t="n">
        <v>0</v>
      </c>
      <c r="I9577" t="n">
        <v>0</v>
      </c>
      <c r="J9577" t="n">
        <v>0</v>
      </c>
      <c r="K9577" t="n">
        <v>0</v>
      </c>
      <c r="L9577" t="n">
        <v>0</v>
      </c>
      <c r="M9577" t="n">
        <v>0</v>
      </c>
      <c r="N9577" t="n">
        <v>0</v>
      </c>
      <c r="O9577" t="n">
        <v>0</v>
      </c>
      <c r="P9577" t="n">
        <v>0</v>
      </c>
      <c r="Q9577" t="n">
        <v>0</v>
      </c>
      <c r="R9577" s="2" t="inlineStr"/>
    </row>
    <row r="9578" ht="15" customHeight="1">
      <c r="A9578" t="inlineStr">
        <is>
          <t>A 9308-2026</t>
        </is>
      </c>
      <c r="B9578" s="1" t="n">
        <v>46070.60763888889</v>
      </c>
      <c r="C9578" s="1" t="n">
        <v>46086</v>
      </c>
      <c r="D9578" t="inlineStr">
        <is>
          <t>GÄVLEBORGS LÄN</t>
        </is>
      </c>
      <c r="E9578" t="inlineStr">
        <is>
          <t>BOLLNÄS</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58322-2024</t>
        </is>
      </c>
      <c r="B9579" s="1" t="n">
        <v>45632.62454861111</v>
      </c>
      <c r="C9579" s="1" t="n">
        <v>46086</v>
      </c>
      <c r="D9579" t="inlineStr">
        <is>
          <t>GÄVLEBORGS LÄN</t>
        </is>
      </c>
      <c r="E9579" t="inlineStr">
        <is>
          <t>LJUSDAL</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757-2026</t>
        </is>
      </c>
      <c r="B9580" s="1" t="n">
        <v>46029</v>
      </c>
      <c r="C9580" s="1" t="n">
        <v>46086</v>
      </c>
      <c r="D9580" t="inlineStr">
        <is>
          <t>GÄVLEBORGS LÄN</t>
        </is>
      </c>
      <c r="E9580" t="inlineStr">
        <is>
          <t>HUDIKSVALL</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767-2026</t>
        </is>
      </c>
      <c r="B9581" s="1" t="n">
        <v>46029</v>
      </c>
      <c r="C9581" s="1" t="n">
        <v>46086</v>
      </c>
      <c r="D9581" t="inlineStr">
        <is>
          <t>GÄVLEBORGS LÄN</t>
        </is>
      </c>
      <c r="E9581" t="inlineStr">
        <is>
          <t>BOLLNÄS</t>
        </is>
      </c>
      <c r="G9581" t="n">
        <v>2.2</v>
      </c>
      <c r="H9581" t="n">
        <v>0</v>
      </c>
      <c r="I9581" t="n">
        <v>0</v>
      </c>
      <c r="J9581" t="n">
        <v>0</v>
      </c>
      <c r="K9581" t="n">
        <v>0</v>
      </c>
      <c r="L9581" t="n">
        <v>0</v>
      </c>
      <c r="M9581" t="n">
        <v>0</v>
      </c>
      <c r="N9581" t="n">
        <v>0</v>
      </c>
      <c r="O9581" t="n">
        <v>0</v>
      </c>
      <c r="P9581" t="n">
        <v>0</v>
      </c>
      <c r="Q9581" t="n">
        <v>0</v>
      </c>
      <c r="R9581" s="2" t="inlineStr"/>
    </row>
    <row r="9582" ht="15" customHeight="1">
      <c r="A9582" t="inlineStr">
        <is>
          <t>A 6488-2026</t>
        </is>
      </c>
      <c r="B9582" s="1" t="n">
        <v>46056</v>
      </c>
      <c r="C9582" s="1" t="n">
        <v>46086</v>
      </c>
      <c r="D9582" t="inlineStr">
        <is>
          <t>GÄVLEBORGS LÄN</t>
        </is>
      </c>
      <c r="E9582" t="inlineStr">
        <is>
          <t>HUDIKSVALL</t>
        </is>
      </c>
      <c r="G9582" t="n">
        <v>0.3</v>
      </c>
      <c r="H9582" t="n">
        <v>0</v>
      </c>
      <c r="I9582" t="n">
        <v>0</v>
      </c>
      <c r="J9582" t="n">
        <v>0</v>
      </c>
      <c r="K9582" t="n">
        <v>0</v>
      </c>
      <c r="L9582" t="n">
        <v>0</v>
      </c>
      <c r="M9582" t="n">
        <v>0</v>
      </c>
      <c r="N9582" t="n">
        <v>0</v>
      </c>
      <c r="O9582" t="n">
        <v>0</v>
      </c>
      <c r="P9582" t="n">
        <v>0</v>
      </c>
      <c r="Q9582" t="n">
        <v>0</v>
      </c>
      <c r="R9582" s="2" t="inlineStr"/>
    </row>
    <row r="9583" ht="15" customHeight="1">
      <c r="A9583" t="inlineStr">
        <is>
          <t>A 9137-2026</t>
        </is>
      </c>
      <c r="B9583" s="1" t="n">
        <v>46069.92002314814</v>
      </c>
      <c r="C9583" s="1" t="n">
        <v>46086</v>
      </c>
      <c r="D9583" t="inlineStr">
        <is>
          <t>GÄVLEBORGS LÄN</t>
        </is>
      </c>
      <c r="E9583" t="inlineStr">
        <is>
          <t>SANDVIKEN</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9139-2026</t>
        </is>
      </c>
      <c r="B9584" s="1" t="n">
        <v>46069.92164351852</v>
      </c>
      <c r="C9584" s="1" t="n">
        <v>46086</v>
      </c>
      <c r="D9584" t="inlineStr">
        <is>
          <t>GÄVLEBORGS LÄN</t>
        </is>
      </c>
      <c r="E9584" t="inlineStr">
        <is>
          <t>SANDVIKEN</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9142-2026</t>
        </is>
      </c>
      <c r="B9585" s="1" t="n">
        <v>46069.93122685186</v>
      </c>
      <c r="C9585" s="1" t="n">
        <v>46086</v>
      </c>
      <c r="D9585" t="inlineStr">
        <is>
          <t>GÄVLEBORGS LÄN</t>
        </is>
      </c>
      <c r="E9585" t="inlineStr">
        <is>
          <t>SANDVIKEN</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9144-2026</t>
        </is>
      </c>
      <c r="B9586" s="1" t="n">
        <v>46070.27074074074</v>
      </c>
      <c r="C9586" s="1" t="n">
        <v>46086</v>
      </c>
      <c r="D9586" t="inlineStr">
        <is>
          <t>GÄVLEBORGS LÄN</t>
        </is>
      </c>
      <c r="E9586" t="inlineStr">
        <is>
          <t>OVANÅKER</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4312-2026</t>
        </is>
      </c>
      <c r="B9587" s="1" t="n">
        <v>46045.44402777778</v>
      </c>
      <c r="C9587" s="1" t="n">
        <v>46086</v>
      </c>
      <c r="D9587" t="inlineStr">
        <is>
          <t>GÄVLEBORGS LÄN</t>
        </is>
      </c>
      <c r="E9587" t="inlineStr">
        <is>
          <t>HUDIKSVALL</t>
        </is>
      </c>
      <c r="F9587" t="inlineStr">
        <is>
          <t>Holmen skog AB</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4394-2026</t>
        </is>
      </c>
      <c r="B9588" s="1" t="n">
        <v>46045</v>
      </c>
      <c r="C9588" s="1" t="n">
        <v>46086</v>
      </c>
      <c r="D9588" t="inlineStr">
        <is>
          <t>GÄVLEBORGS LÄN</t>
        </is>
      </c>
      <c r="E9588" t="inlineStr">
        <is>
          <t>OVANÅKER</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4403-2026</t>
        </is>
      </c>
      <c r="B9589" s="1" t="n">
        <v>46045</v>
      </c>
      <c r="C9589" s="1" t="n">
        <v>46086</v>
      </c>
      <c r="D9589" t="inlineStr">
        <is>
          <t>GÄVLEBORGS LÄN</t>
        </is>
      </c>
      <c r="E9589" t="inlineStr">
        <is>
          <t>LJUSDAL</t>
        </is>
      </c>
      <c r="F9589" t="inlineStr">
        <is>
          <t>Holmen skog AB</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4419-2026</t>
        </is>
      </c>
      <c r="B9590" s="1" t="n">
        <v>46045.60791666667</v>
      </c>
      <c r="C9590" s="1" t="n">
        <v>46086</v>
      </c>
      <c r="D9590" t="inlineStr">
        <is>
          <t>GÄVLEBORGS LÄN</t>
        </is>
      </c>
      <c r="E9590" t="inlineStr">
        <is>
          <t>HOFORS</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5042-2026</t>
        </is>
      </c>
      <c r="B9591" s="1" t="n">
        <v>46049.4659837963</v>
      </c>
      <c r="C9591" s="1" t="n">
        <v>46086</v>
      </c>
      <c r="D9591" t="inlineStr">
        <is>
          <t>GÄVLEBORGS LÄN</t>
        </is>
      </c>
      <c r="E9591" t="inlineStr">
        <is>
          <t>BOLLNÄS</t>
        </is>
      </c>
      <c r="G9591" t="n">
        <v>3.7</v>
      </c>
      <c r="H9591" t="n">
        <v>0</v>
      </c>
      <c r="I9591" t="n">
        <v>0</v>
      </c>
      <c r="J9591" t="n">
        <v>0</v>
      </c>
      <c r="K9591" t="n">
        <v>0</v>
      </c>
      <c r="L9591" t="n">
        <v>0</v>
      </c>
      <c r="M9591" t="n">
        <v>0</v>
      </c>
      <c r="N9591" t="n">
        <v>0</v>
      </c>
      <c r="O9591" t="n">
        <v>0</v>
      </c>
      <c r="P9591" t="n">
        <v>0</v>
      </c>
      <c r="Q9591" t="n">
        <v>0</v>
      </c>
      <c r="R9591" s="2" t="inlineStr"/>
    </row>
    <row r="9592" ht="15" customHeight="1">
      <c r="A9592" t="inlineStr">
        <is>
          <t>A 5066-2026</t>
        </is>
      </c>
      <c r="B9592" s="1" t="n">
        <v>46049</v>
      </c>
      <c r="C9592" s="1" t="n">
        <v>46086</v>
      </c>
      <c r="D9592" t="inlineStr">
        <is>
          <t>GÄVLEBORGS LÄN</t>
        </is>
      </c>
      <c r="E9592" t="inlineStr">
        <is>
          <t>OVANÅKER</t>
        </is>
      </c>
      <c r="G9592" t="n">
        <v>5.9</v>
      </c>
      <c r="H9592" t="n">
        <v>0</v>
      </c>
      <c r="I9592" t="n">
        <v>0</v>
      </c>
      <c r="J9592" t="n">
        <v>0</v>
      </c>
      <c r="K9592" t="n">
        <v>0</v>
      </c>
      <c r="L9592" t="n">
        <v>0</v>
      </c>
      <c r="M9592" t="n">
        <v>0</v>
      </c>
      <c r="N9592" t="n">
        <v>0</v>
      </c>
      <c r="O9592" t="n">
        <v>0</v>
      </c>
      <c r="P9592" t="n">
        <v>0</v>
      </c>
      <c r="Q9592" t="n">
        <v>0</v>
      </c>
      <c r="R9592" s="2" t="inlineStr"/>
    </row>
    <row r="9593" ht="15" customHeight="1">
      <c r="A9593" t="inlineStr">
        <is>
          <t>A 4039-2026</t>
        </is>
      </c>
      <c r="B9593" s="1" t="n">
        <v>46044</v>
      </c>
      <c r="C9593" s="1" t="n">
        <v>46086</v>
      </c>
      <c r="D9593" t="inlineStr">
        <is>
          <t>GÄVLEBORGS LÄN</t>
        </is>
      </c>
      <c r="E9593" t="inlineStr">
        <is>
          <t>BOLLNÄS</t>
        </is>
      </c>
      <c r="G9593" t="n">
        <v>8.9</v>
      </c>
      <c r="H9593" t="n">
        <v>0</v>
      </c>
      <c r="I9593" t="n">
        <v>0</v>
      </c>
      <c r="J9593" t="n">
        <v>0</v>
      </c>
      <c r="K9593" t="n">
        <v>0</v>
      </c>
      <c r="L9593" t="n">
        <v>0</v>
      </c>
      <c r="M9593" t="n">
        <v>0</v>
      </c>
      <c r="N9593" t="n">
        <v>0</v>
      </c>
      <c r="O9593" t="n">
        <v>0</v>
      </c>
      <c r="P9593" t="n">
        <v>0</v>
      </c>
      <c r="Q9593" t="n">
        <v>0</v>
      </c>
      <c r="R9593" s="2" t="inlineStr"/>
    </row>
    <row r="9594" ht="15" customHeight="1">
      <c r="A9594" t="inlineStr">
        <is>
          <t>A 4078-2026</t>
        </is>
      </c>
      <c r="B9594" s="1" t="n">
        <v>46044</v>
      </c>
      <c r="C9594" s="1" t="n">
        <v>46086</v>
      </c>
      <c r="D9594" t="inlineStr">
        <is>
          <t>GÄVLEBORGS LÄN</t>
        </is>
      </c>
      <c r="E9594" t="inlineStr">
        <is>
          <t>BOLLNÄS</t>
        </is>
      </c>
      <c r="F9594" t="inlineStr">
        <is>
          <t>Bergvik skog väst AB</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4176-2026</t>
        </is>
      </c>
      <c r="B9595" s="1" t="n">
        <v>46044</v>
      </c>
      <c r="C9595" s="1" t="n">
        <v>46086</v>
      </c>
      <c r="D9595" t="inlineStr">
        <is>
          <t>GÄVLEBORGS LÄN</t>
        </is>
      </c>
      <c r="E9595" t="inlineStr">
        <is>
          <t>BOLLNÄS</t>
        </is>
      </c>
      <c r="G9595" t="n">
        <v>4.6</v>
      </c>
      <c r="H9595" t="n">
        <v>0</v>
      </c>
      <c r="I9595" t="n">
        <v>0</v>
      </c>
      <c r="J9595" t="n">
        <v>0</v>
      </c>
      <c r="K9595" t="n">
        <v>0</v>
      </c>
      <c r="L9595" t="n">
        <v>0</v>
      </c>
      <c r="M9595" t="n">
        <v>0</v>
      </c>
      <c r="N9595" t="n">
        <v>0</v>
      </c>
      <c r="O9595" t="n">
        <v>0</v>
      </c>
      <c r="P9595" t="n">
        <v>0</v>
      </c>
      <c r="Q9595" t="n">
        <v>0</v>
      </c>
      <c r="R9595" s="2" t="inlineStr"/>
    </row>
    <row r="9596" ht="15" customHeight="1">
      <c r="A9596" t="inlineStr">
        <is>
          <t>A 4814-2026</t>
        </is>
      </c>
      <c r="B9596" s="1" t="n">
        <v>46048.58304398148</v>
      </c>
      <c r="C9596" s="1" t="n">
        <v>46086</v>
      </c>
      <c r="D9596" t="inlineStr">
        <is>
          <t>GÄVLEBORGS LÄN</t>
        </is>
      </c>
      <c r="E9596" t="inlineStr">
        <is>
          <t>LJUSDAL</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4874-2026</t>
        </is>
      </c>
      <c r="B9597" s="1" t="n">
        <v>46048</v>
      </c>
      <c r="C9597" s="1" t="n">
        <v>46086</v>
      </c>
      <c r="D9597" t="inlineStr">
        <is>
          <t>GÄVLEBORGS LÄN</t>
        </is>
      </c>
      <c r="E9597" t="inlineStr">
        <is>
          <t>BOLLNÄS</t>
        </is>
      </c>
      <c r="G9597" t="n">
        <v>4.1</v>
      </c>
      <c r="H9597" t="n">
        <v>0</v>
      </c>
      <c r="I9597" t="n">
        <v>0</v>
      </c>
      <c r="J9597" t="n">
        <v>0</v>
      </c>
      <c r="K9597" t="n">
        <v>0</v>
      </c>
      <c r="L9597" t="n">
        <v>0</v>
      </c>
      <c r="M9597" t="n">
        <v>0</v>
      </c>
      <c r="N9597" t="n">
        <v>0</v>
      </c>
      <c r="O9597" t="n">
        <v>0</v>
      </c>
      <c r="P9597" t="n">
        <v>0</v>
      </c>
      <c r="Q9597" t="n">
        <v>0</v>
      </c>
      <c r="R9597" s="2" t="inlineStr"/>
    </row>
    <row r="9598" ht="15" customHeight="1">
      <c r="A9598" t="inlineStr">
        <is>
          <t>A 5725-2026</t>
        </is>
      </c>
      <c r="B9598" s="1" t="n">
        <v>46051</v>
      </c>
      <c r="C9598" s="1" t="n">
        <v>46086</v>
      </c>
      <c r="D9598" t="inlineStr">
        <is>
          <t>GÄVLEBORGS LÄN</t>
        </is>
      </c>
      <c r="E9598" t="inlineStr">
        <is>
          <t>GÄVLE</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29290-2021</t>
        </is>
      </c>
      <c r="B9599" s="1" t="n">
        <v>44361.38045138889</v>
      </c>
      <c r="C9599" s="1" t="n">
        <v>46086</v>
      </c>
      <c r="D9599" t="inlineStr">
        <is>
          <t>GÄVLEBORGS LÄN</t>
        </is>
      </c>
      <c r="E9599" t="inlineStr">
        <is>
          <t>LJUSDAL</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427-2026</t>
        </is>
      </c>
      <c r="B9600" s="1" t="n">
        <v>46029</v>
      </c>
      <c r="C9600" s="1" t="n">
        <v>46086</v>
      </c>
      <c r="D9600" t="inlineStr">
        <is>
          <t>GÄVLEBORGS LÄN</t>
        </is>
      </c>
      <c r="E9600" t="inlineStr">
        <is>
          <t>OVANÅKER</t>
        </is>
      </c>
      <c r="G9600" t="n">
        <v>3.5</v>
      </c>
      <c r="H9600" t="n">
        <v>0</v>
      </c>
      <c r="I9600" t="n">
        <v>0</v>
      </c>
      <c r="J9600" t="n">
        <v>0</v>
      </c>
      <c r="K9600" t="n">
        <v>0</v>
      </c>
      <c r="L9600" t="n">
        <v>0</v>
      </c>
      <c r="M9600" t="n">
        <v>0</v>
      </c>
      <c r="N9600" t="n">
        <v>0</v>
      </c>
      <c r="O9600" t="n">
        <v>0</v>
      </c>
      <c r="P9600" t="n">
        <v>0</v>
      </c>
      <c r="Q9600" t="n">
        <v>0</v>
      </c>
      <c r="R9600" s="2" t="inlineStr"/>
    </row>
    <row r="9601" ht="15" customHeight="1">
      <c r="A9601" t="inlineStr">
        <is>
          <t>A 477-2026</t>
        </is>
      </c>
      <c r="B9601" s="1" t="n">
        <v>46029.39880787037</v>
      </c>
      <c r="C9601" s="1" t="n">
        <v>46086</v>
      </c>
      <c r="D9601" t="inlineStr">
        <is>
          <t>GÄVLEBORGS LÄN</t>
        </is>
      </c>
      <c r="E9601" t="inlineStr">
        <is>
          <t>HUDIKSVALL</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479-2026</t>
        </is>
      </c>
      <c r="B9602" s="1" t="n">
        <v>46029.40497685185</v>
      </c>
      <c r="C9602" s="1" t="n">
        <v>46086</v>
      </c>
      <c r="D9602" t="inlineStr">
        <is>
          <t>GÄVLEBORGS LÄN</t>
        </is>
      </c>
      <c r="E9602" t="inlineStr">
        <is>
          <t>OCKELBO</t>
        </is>
      </c>
      <c r="G9602" t="n">
        <v>4.7</v>
      </c>
      <c r="H9602" t="n">
        <v>0</v>
      </c>
      <c r="I9602" t="n">
        <v>0</v>
      </c>
      <c r="J9602" t="n">
        <v>0</v>
      </c>
      <c r="K9602" t="n">
        <v>0</v>
      </c>
      <c r="L9602" t="n">
        <v>0</v>
      </c>
      <c r="M9602" t="n">
        <v>0</v>
      </c>
      <c r="N9602" t="n">
        <v>0</v>
      </c>
      <c r="O9602" t="n">
        <v>0</v>
      </c>
      <c r="P9602" t="n">
        <v>0</v>
      </c>
      <c r="Q9602" t="n">
        <v>0</v>
      </c>
      <c r="R9602" s="2" t="inlineStr"/>
    </row>
    <row r="9603" ht="15" customHeight="1">
      <c r="A9603" t="inlineStr">
        <is>
          <t>A 681-2026</t>
        </is>
      </c>
      <c r="B9603" s="1" t="n">
        <v>46029</v>
      </c>
      <c r="C9603" s="1" t="n">
        <v>46086</v>
      </c>
      <c r="D9603" t="inlineStr">
        <is>
          <t>GÄVLEBORGS LÄN</t>
        </is>
      </c>
      <c r="E9603" t="inlineStr">
        <is>
          <t>HOFORS</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682-2026</t>
        </is>
      </c>
      <c r="B9604" s="1" t="n">
        <v>46029</v>
      </c>
      <c r="C9604" s="1" t="n">
        <v>46086</v>
      </c>
      <c r="D9604" t="inlineStr">
        <is>
          <t>GÄVLEBORGS LÄN</t>
        </is>
      </c>
      <c r="E9604" t="inlineStr">
        <is>
          <t>BOLLNÄS</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683-2026</t>
        </is>
      </c>
      <c r="B9605" s="1" t="n">
        <v>46029</v>
      </c>
      <c r="C9605" s="1" t="n">
        <v>46086</v>
      </c>
      <c r="D9605" t="inlineStr">
        <is>
          <t>GÄVLEBORGS LÄN</t>
        </is>
      </c>
      <c r="E9605" t="inlineStr">
        <is>
          <t>HOFORS</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507-2026</t>
        </is>
      </c>
      <c r="B9606" s="1" t="n">
        <v>46029</v>
      </c>
      <c r="C9606" s="1" t="n">
        <v>46086</v>
      </c>
      <c r="D9606" t="inlineStr">
        <is>
          <t>GÄVLEBORGS LÄN</t>
        </is>
      </c>
      <c r="E9606" t="inlineStr">
        <is>
          <t>BOLLNÄS</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35997-2023</t>
        </is>
      </c>
      <c r="B9607" s="1" t="n">
        <v>45149.33300925926</v>
      </c>
      <c r="C9607" s="1" t="n">
        <v>46086</v>
      </c>
      <c r="D9607" t="inlineStr">
        <is>
          <t>GÄVLEBORGS LÄN</t>
        </is>
      </c>
      <c r="E9607" t="inlineStr">
        <is>
          <t>LJUSDAL</t>
        </is>
      </c>
      <c r="F9607" t="inlineStr">
        <is>
          <t>Holmen skog AB</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615-2026</t>
        </is>
      </c>
      <c r="B9608" s="1" t="n">
        <v>46029.5419212963</v>
      </c>
      <c r="C9608" s="1" t="n">
        <v>46086</v>
      </c>
      <c r="D9608" t="inlineStr">
        <is>
          <t>GÄVLEBORGS LÄN</t>
        </is>
      </c>
      <c r="E9608" t="inlineStr">
        <is>
          <t>NORDANSTIG</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62469-2025</t>
        </is>
      </c>
      <c r="B9609" s="1" t="n">
        <v>46007.51998842593</v>
      </c>
      <c r="C9609" s="1" t="n">
        <v>46086</v>
      </c>
      <c r="D9609" t="inlineStr">
        <is>
          <t>GÄVLEBORGS LÄN</t>
        </is>
      </c>
      <c r="E9609" t="inlineStr">
        <is>
          <t>HUDIKSVALL</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9989-2025</t>
        </is>
      </c>
      <c r="B9610" s="1" t="n">
        <v>45719.42958333333</v>
      </c>
      <c r="C9610" s="1" t="n">
        <v>46086</v>
      </c>
      <c r="D9610" t="inlineStr">
        <is>
          <t>GÄVLEBORGS LÄN</t>
        </is>
      </c>
      <c r="E9610" t="inlineStr">
        <is>
          <t>HUDIKSVALL</t>
        </is>
      </c>
      <c r="G9610" t="n">
        <v>5</v>
      </c>
      <c r="H9610" t="n">
        <v>0</v>
      </c>
      <c r="I9610" t="n">
        <v>0</v>
      </c>
      <c r="J9610" t="n">
        <v>0</v>
      </c>
      <c r="K9610" t="n">
        <v>0</v>
      </c>
      <c r="L9610" t="n">
        <v>0</v>
      </c>
      <c r="M9610" t="n">
        <v>0</v>
      </c>
      <c r="N9610" t="n">
        <v>0</v>
      </c>
      <c r="O9610" t="n">
        <v>0</v>
      </c>
      <c r="P9610" t="n">
        <v>0</v>
      </c>
      <c r="Q9610" t="n">
        <v>0</v>
      </c>
      <c r="R9610" s="2" t="inlineStr"/>
    </row>
    <row r="9611" ht="15" customHeight="1">
      <c r="A9611" t="inlineStr">
        <is>
          <t>A 8914-2026</t>
        </is>
      </c>
      <c r="B9611" s="1" t="n">
        <v>46069</v>
      </c>
      <c r="C9611" s="1" t="n">
        <v>46086</v>
      </c>
      <c r="D9611" t="inlineStr">
        <is>
          <t>GÄVLEBORGS LÄN</t>
        </is>
      </c>
      <c r="E9611" t="inlineStr">
        <is>
          <t>BOLLNÄS</t>
        </is>
      </c>
      <c r="G9611" t="n">
        <v>37.3</v>
      </c>
      <c r="H9611" t="n">
        <v>0</v>
      </c>
      <c r="I9611" t="n">
        <v>0</v>
      </c>
      <c r="J9611" t="n">
        <v>0</v>
      </c>
      <c r="K9611" t="n">
        <v>0</v>
      </c>
      <c r="L9611" t="n">
        <v>0</v>
      </c>
      <c r="M9611" t="n">
        <v>0</v>
      </c>
      <c r="N9611" t="n">
        <v>0</v>
      </c>
      <c r="O9611" t="n">
        <v>0</v>
      </c>
      <c r="P9611" t="n">
        <v>0</v>
      </c>
      <c r="Q9611" t="n">
        <v>0</v>
      </c>
      <c r="R9611" s="2" t="inlineStr"/>
    </row>
    <row r="9612" ht="15" customHeight="1">
      <c r="A9612" t="inlineStr">
        <is>
          <t>A 136-2026</t>
        </is>
      </c>
      <c r="B9612" s="1" t="n">
        <v>46024</v>
      </c>
      <c r="C9612" s="1" t="n">
        <v>46086</v>
      </c>
      <c r="D9612" t="inlineStr">
        <is>
          <t>GÄVLEBORGS LÄN</t>
        </is>
      </c>
      <c r="E9612" t="inlineStr">
        <is>
          <t>OCKELBO</t>
        </is>
      </c>
      <c r="G9612" t="n">
        <v>12.9</v>
      </c>
      <c r="H9612" t="n">
        <v>0</v>
      </c>
      <c r="I9612" t="n">
        <v>0</v>
      </c>
      <c r="J9612" t="n">
        <v>0</v>
      </c>
      <c r="K9612" t="n">
        <v>0</v>
      </c>
      <c r="L9612" t="n">
        <v>0</v>
      </c>
      <c r="M9612" t="n">
        <v>0</v>
      </c>
      <c r="N9612" t="n">
        <v>0</v>
      </c>
      <c r="O9612" t="n">
        <v>0</v>
      </c>
      <c r="P9612" t="n">
        <v>0</v>
      </c>
      <c r="Q9612" t="n">
        <v>0</v>
      </c>
      <c r="R9612" s="2" t="inlineStr"/>
    </row>
    <row r="9613" ht="15" customHeight="1">
      <c r="A9613" t="inlineStr">
        <is>
          <t>A 8954-2026</t>
        </is>
      </c>
      <c r="B9613" s="1" t="n">
        <v>46069</v>
      </c>
      <c r="C9613" s="1" t="n">
        <v>46086</v>
      </c>
      <c r="D9613" t="inlineStr">
        <is>
          <t>GÄVLEBORGS LÄN</t>
        </is>
      </c>
      <c r="E9613" t="inlineStr">
        <is>
          <t>GÄVLE</t>
        </is>
      </c>
      <c r="F9613" t="inlineStr">
        <is>
          <t>Bergvik skog väst AB</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9554-2026</t>
        </is>
      </c>
      <c r="B9614" s="1" t="n">
        <v>46071.64109953704</v>
      </c>
      <c r="C9614" s="1" t="n">
        <v>46086</v>
      </c>
      <c r="D9614" t="inlineStr">
        <is>
          <t>GÄVLEBORGS LÄN</t>
        </is>
      </c>
      <c r="E9614" t="inlineStr">
        <is>
          <t>OCKELBO</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9557-2026</t>
        </is>
      </c>
      <c r="B9615" s="1" t="n">
        <v>46071.64506944444</v>
      </c>
      <c r="C9615" s="1" t="n">
        <v>46086</v>
      </c>
      <c r="D9615" t="inlineStr">
        <is>
          <t>GÄVLEBORGS LÄN</t>
        </is>
      </c>
      <c r="E9615" t="inlineStr">
        <is>
          <t>OCKELBO</t>
        </is>
      </c>
      <c r="G9615" t="n">
        <v>10.4</v>
      </c>
      <c r="H9615" t="n">
        <v>0</v>
      </c>
      <c r="I9615" t="n">
        <v>0</v>
      </c>
      <c r="J9615" t="n">
        <v>0</v>
      </c>
      <c r="K9615" t="n">
        <v>0</v>
      </c>
      <c r="L9615" t="n">
        <v>0</v>
      </c>
      <c r="M9615" t="n">
        <v>0</v>
      </c>
      <c r="N9615" t="n">
        <v>0</v>
      </c>
      <c r="O9615" t="n">
        <v>0</v>
      </c>
      <c r="P9615" t="n">
        <v>0</v>
      </c>
      <c r="Q9615" t="n">
        <v>0</v>
      </c>
      <c r="R9615" s="2" t="inlineStr"/>
    </row>
    <row r="9616" ht="15" customHeight="1">
      <c r="A9616" t="inlineStr">
        <is>
          <t>A 690-2026</t>
        </is>
      </c>
      <c r="B9616" s="1" t="n">
        <v>46029</v>
      </c>
      <c r="C9616" s="1" t="n">
        <v>46086</v>
      </c>
      <c r="D9616" t="inlineStr">
        <is>
          <t>GÄVLEBORGS LÄN</t>
        </is>
      </c>
      <c r="E9616" t="inlineStr">
        <is>
          <t>OVANÅKER</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756-2026</t>
        </is>
      </c>
      <c r="B9617" s="1" t="n">
        <v>46029</v>
      </c>
      <c r="C9617" s="1" t="n">
        <v>46086</v>
      </c>
      <c r="D9617" t="inlineStr">
        <is>
          <t>GÄVLEBORGS LÄN</t>
        </is>
      </c>
      <c r="E9617" t="inlineStr">
        <is>
          <t>HUDIKSVALL</t>
        </is>
      </c>
      <c r="G9617" t="n">
        <v>3.2</v>
      </c>
      <c r="H9617" t="n">
        <v>0</v>
      </c>
      <c r="I9617" t="n">
        <v>0</v>
      </c>
      <c r="J9617" t="n">
        <v>0</v>
      </c>
      <c r="K9617" t="n">
        <v>0</v>
      </c>
      <c r="L9617" t="n">
        <v>0</v>
      </c>
      <c r="M9617" t="n">
        <v>0</v>
      </c>
      <c r="N9617" t="n">
        <v>0</v>
      </c>
      <c r="O9617" t="n">
        <v>0</v>
      </c>
      <c r="P9617" t="n">
        <v>0</v>
      </c>
      <c r="Q9617" t="n">
        <v>0</v>
      </c>
      <c r="R9617" s="2" t="inlineStr"/>
    </row>
    <row r="9618" ht="15" customHeight="1">
      <c r="A9618" t="inlineStr">
        <is>
          <t>A 761-2026</t>
        </is>
      </c>
      <c r="B9618" s="1" t="n">
        <v>46029</v>
      </c>
      <c r="C9618" s="1" t="n">
        <v>46086</v>
      </c>
      <c r="D9618" t="inlineStr">
        <is>
          <t>GÄVLEBORGS LÄN</t>
        </is>
      </c>
      <c r="E9618" t="inlineStr">
        <is>
          <t>BOLLNÄS</t>
        </is>
      </c>
      <c r="G9618" t="n">
        <v>2.7</v>
      </c>
      <c r="H9618" t="n">
        <v>0</v>
      </c>
      <c r="I9618" t="n">
        <v>0</v>
      </c>
      <c r="J9618" t="n">
        <v>0</v>
      </c>
      <c r="K9618" t="n">
        <v>0</v>
      </c>
      <c r="L9618" t="n">
        <v>0</v>
      </c>
      <c r="M9618" t="n">
        <v>0</v>
      </c>
      <c r="N9618" t="n">
        <v>0</v>
      </c>
      <c r="O9618" t="n">
        <v>0</v>
      </c>
      <c r="P9618" t="n">
        <v>0</v>
      </c>
      <c r="Q9618" t="n">
        <v>0</v>
      </c>
      <c r="R9618" s="2" t="inlineStr"/>
    </row>
    <row r="9619" ht="15" customHeight="1">
      <c r="A9619" t="inlineStr">
        <is>
          <t>A 36083-2025</t>
        </is>
      </c>
      <c r="B9619" s="1" t="n">
        <v>45866.45572916666</v>
      </c>
      <c r="C9619" s="1" t="n">
        <v>46086</v>
      </c>
      <c r="D9619" t="inlineStr">
        <is>
          <t>GÄVLEBORGS LÄN</t>
        </is>
      </c>
      <c r="E9619" t="inlineStr">
        <is>
          <t>HUDIKSVALL</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4323-2026</t>
        </is>
      </c>
      <c r="B9620" s="1" t="n">
        <v>46045.45657407407</v>
      </c>
      <c r="C9620" s="1" t="n">
        <v>46086</v>
      </c>
      <c r="D9620" t="inlineStr">
        <is>
          <t>GÄVLEBORGS LÄN</t>
        </is>
      </c>
      <c r="E9620" t="inlineStr">
        <is>
          <t>HUDIKSVALL</t>
        </is>
      </c>
      <c r="F9620" t="inlineStr">
        <is>
          <t>Holmen skog AB</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5010-2026</t>
        </is>
      </c>
      <c r="B9621" s="1" t="n">
        <v>46049</v>
      </c>
      <c r="C9621" s="1" t="n">
        <v>46086</v>
      </c>
      <c r="D9621" t="inlineStr">
        <is>
          <t>GÄVLEBORGS LÄN</t>
        </is>
      </c>
      <c r="E9621" t="inlineStr">
        <is>
          <t>LJUSDAL</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4502-2024</t>
        </is>
      </c>
      <c r="B9622" s="1" t="n">
        <v>45327</v>
      </c>
      <c r="C9622" s="1" t="n">
        <v>46086</v>
      </c>
      <c r="D9622" t="inlineStr">
        <is>
          <t>GÄVLEBORGS LÄN</t>
        </is>
      </c>
      <c r="E9622" t="inlineStr">
        <is>
          <t>SANDVIKEN</t>
        </is>
      </c>
      <c r="G9622" t="n">
        <v>0.2</v>
      </c>
      <c r="H9622" t="n">
        <v>0</v>
      </c>
      <c r="I9622" t="n">
        <v>0</v>
      </c>
      <c r="J9622" t="n">
        <v>0</v>
      </c>
      <c r="K9622" t="n">
        <v>0</v>
      </c>
      <c r="L9622" t="n">
        <v>0</v>
      </c>
      <c r="M9622" t="n">
        <v>0</v>
      </c>
      <c r="N9622" t="n">
        <v>0</v>
      </c>
      <c r="O9622" t="n">
        <v>0</v>
      </c>
      <c r="P9622" t="n">
        <v>0</v>
      </c>
      <c r="Q9622" t="n">
        <v>0</v>
      </c>
      <c r="R9622" s="2" t="inlineStr"/>
    </row>
    <row r="9623" ht="15" customHeight="1">
      <c r="A9623" t="inlineStr">
        <is>
          <t>A 4505-2024</t>
        </is>
      </c>
      <c r="B9623" s="1" t="n">
        <v>45327</v>
      </c>
      <c r="C9623" s="1" t="n">
        <v>46086</v>
      </c>
      <c r="D9623" t="inlineStr">
        <is>
          <t>GÄVLEBORGS LÄN</t>
        </is>
      </c>
      <c r="E9623" t="inlineStr">
        <is>
          <t>HUDIKSVALL</t>
        </is>
      </c>
      <c r="G9623" t="n">
        <v>0.1</v>
      </c>
      <c r="H9623" t="n">
        <v>0</v>
      </c>
      <c r="I9623" t="n">
        <v>0</v>
      </c>
      <c r="J9623" t="n">
        <v>0</v>
      </c>
      <c r="K9623" t="n">
        <v>0</v>
      </c>
      <c r="L9623" t="n">
        <v>0</v>
      </c>
      <c r="M9623" t="n">
        <v>0</v>
      </c>
      <c r="N9623" t="n">
        <v>0</v>
      </c>
      <c r="O9623" t="n">
        <v>0</v>
      </c>
      <c r="P9623" t="n">
        <v>0</v>
      </c>
      <c r="Q9623" t="n">
        <v>0</v>
      </c>
      <c r="R9623" s="2" t="inlineStr"/>
    </row>
    <row r="9624" ht="15" customHeight="1">
      <c r="A9624" t="inlineStr">
        <is>
          <t>A 5848-2026</t>
        </is>
      </c>
      <c r="B9624" s="1" t="n">
        <v>46052</v>
      </c>
      <c r="C9624" s="1" t="n">
        <v>46086</v>
      </c>
      <c r="D9624" t="inlineStr">
        <is>
          <t>GÄVLEBORGS LÄN</t>
        </is>
      </c>
      <c r="E9624" t="inlineStr">
        <is>
          <t>OVANÅKER</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8999-2026</t>
        </is>
      </c>
      <c r="B9625" s="1" t="n">
        <v>46069</v>
      </c>
      <c r="C9625" s="1" t="n">
        <v>46086</v>
      </c>
      <c r="D9625" t="inlineStr">
        <is>
          <t>GÄVLEBORGS LÄN</t>
        </is>
      </c>
      <c r="E9625" t="inlineStr">
        <is>
          <t>OVANÅKER</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688-2026</t>
        </is>
      </c>
      <c r="B9626" s="1" t="n">
        <v>46029</v>
      </c>
      <c r="C9626" s="1" t="n">
        <v>46086</v>
      </c>
      <c r="D9626" t="inlineStr">
        <is>
          <t>GÄVLEBORGS LÄN</t>
        </is>
      </c>
      <c r="E9626" t="inlineStr">
        <is>
          <t>HOFORS</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53432-2021</t>
        </is>
      </c>
      <c r="B9627" s="1" t="n">
        <v>44468.65246527778</v>
      </c>
      <c r="C9627" s="1" t="n">
        <v>46086</v>
      </c>
      <c r="D9627" t="inlineStr">
        <is>
          <t>GÄVLEBORGS LÄN</t>
        </is>
      </c>
      <c r="E9627" t="inlineStr">
        <is>
          <t>GÄVLE</t>
        </is>
      </c>
      <c r="F9627" t="inlineStr">
        <is>
          <t>Bergvik skog öst AB</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6491-2026</t>
        </is>
      </c>
      <c r="B9628" s="1" t="n">
        <v>46056</v>
      </c>
      <c r="C9628" s="1" t="n">
        <v>46086</v>
      </c>
      <c r="D9628" t="inlineStr">
        <is>
          <t>GÄVLEBORGS LÄN</t>
        </is>
      </c>
      <c r="E9628" t="inlineStr">
        <is>
          <t>BOLLNÄS</t>
        </is>
      </c>
      <c r="G9628" t="n">
        <v>2.1</v>
      </c>
      <c r="H9628" t="n">
        <v>0</v>
      </c>
      <c r="I9628" t="n">
        <v>0</v>
      </c>
      <c r="J9628" t="n">
        <v>0</v>
      </c>
      <c r="K9628" t="n">
        <v>0</v>
      </c>
      <c r="L9628" t="n">
        <v>0</v>
      </c>
      <c r="M9628" t="n">
        <v>0</v>
      </c>
      <c r="N9628" t="n">
        <v>0</v>
      </c>
      <c r="O9628" t="n">
        <v>0</v>
      </c>
      <c r="P9628" t="n">
        <v>0</v>
      </c>
      <c r="Q9628" t="n">
        <v>0</v>
      </c>
      <c r="R9628" s="2" t="inlineStr"/>
    </row>
    <row r="9629" ht="15" customHeight="1">
      <c r="A9629" t="inlineStr">
        <is>
          <t>A 7858-2026</t>
        </is>
      </c>
      <c r="B9629" s="1" t="n">
        <v>46062</v>
      </c>
      <c r="C9629" s="1" t="n">
        <v>46086</v>
      </c>
      <c r="D9629" t="inlineStr">
        <is>
          <t>GÄVLEBORGS LÄN</t>
        </is>
      </c>
      <c r="E9629" t="inlineStr">
        <is>
          <t>OVANÅKER</t>
        </is>
      </c>
      <c r="G9629" t="n">
        <v>6.4</v>
      </c>
      <c r="H9629" t="n">
        <v>0</v>
      </c>
      <c r="I9629" t="n">
        <v>0</v>
      </c>
      <c r="J9629" t="n">
        <v>0</v>
      </c>
      <c r="K9629" t="n">
        <v>0</v>
      </c>
      <c r="L9629" t="n">
        <v>0</v>
      </c>
      <c r="M9629" t="n">
        <v>0</v>
      </c>
      <c r="N9629" t="n">
        <v>0</v>
      </c>
      <c r="O9629" t="n">
        <v>0</v>
      </c>
      <c r="P9629" t="n">
        <v>0</v>
      </c>
      <c r="Q9629" t="n">
        <v>0</v>
      </c>
      <c r="R9629" s="2" t="inlineStr"/>
    </row>
    <row r="9630" ht="15" customHeight="1">
      <c r="A9630" t="inlineStr">
        <is>
          <t>A 9307-2026</t>
        </is>
      </c>
      <c r="B9630" s="1" t="n">
        <v>46070.60666666667</v>
      </c>
      <c r="C9630" s="1" t="n">
        <v>46086</v>
      </c>
      <c r="D9630" t="inlineStr">
        <is>
          <t>GÄVLEBORGS LÄN</t>
        </is>
      </c>
      <c r="E9630" t="inlineStr">
        <is>
          <t>BOLLNÄS</t>
        </is>
      </c>
      <c r="G9630" t="n">
        <v>2.9</v>
      </c>
      <c r="H9630" t="n">
        <v>0</v>
      </c>
      <c r="I9630" t="n">
        <v>0</v>
      </c>
      <c r="J9630" t="n">
        <v>0</v>
      </c>
      <c r="K9630" t="n">
        <v>0</v>
      </c>
      <c r="L9630" t="n">
        <v>0</v>
      </c>
      <c r="M9630" t="n">
        <v>0</v>
      </c>
      <c r="N9630" t="n">
        <v>0</v>
      </c>
      <c r="O9630" t="n">
        <v>0</v>
      </c>
      <c r="P9630" t="n">
        <v>0</v>
      </c>
      <c r="Q9630" t="n">
        <v>0</v>
      </c>
      <c r="R9630" s="2" t="inlineStr"/>
    </row>
    <row r="9631" ht="15" customHeight="1">
      <c r="A9631" t="inlineStr">
        <is>
          <t>A 9464-2026</t>
        </is>
      </c>
      <c r="B9631" s="1" t="n">
        <v>46071.50152777778</v>
      </c>
      <c r="C9631" s="1" t="n">
        <v>46086</v>
      </c>
      <c r="D9631" t="inlineStr">
        <is>
          <t>GÄVLEBORGS LÄN</t>
        </is>
      </c>
      <c r="E9631" t="inlineStr">
        <is>
          <t>OCKELBO</t>
        </is>
      </c>
      <c r="F9631" t="inlineStr">
        <is>
          <t>Bergvik skog väst AB</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36615-2025</t>
        </is>
      </c>
      <c r="B9632" s="1" t="n">
        <v>45870.62204861111</v>
      </c>
      <c r="C9632" s="1" t="n">
        <v>46086</v>
      </c>
      <c r="D9632" t="inlineStr">
        <is>
          <t>GÄVLEBORGS LÄN</t>
        </is>
      </c>
      <c r="E9632" t="inlineStr">
        <is>
          <t>HUDIKSVALL</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45380-2024</t>
        </is>
      </c>
      <c r="B9633" s="1" t="n">
        <v>45576.5243287037</v>
      </c>
      <c r="C9633" s="1" t="n">
        <v>46086</v>
      </c>
      <c r="D9633" t="inlineStr">
        <is>
          <t>GÄVLEBORGS LÄN</t>
        </is>
      </c>
      <c r="E9633" t="inlineStr">
        <is>
          <t>HUDIKSVALL</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9202-2026</t>
        </is>
      </c>
      <c r="B9634" s="1" t="n">
        <v>46070.40954861111</v>
      </c>
      <c r="C9634" s="1" t="n">
        <v>46086</v>
      </c>
      <c r="D9634" t="inlineStr">
        <is>
          <t>GÄVLEBORGS LÄN</t>
        </is>
      </c>
      <c r="E9634" t="inlineStr">
        <is>
          <t>NORDANSTIG</t>
        </is>
      </c>
      <c r="G9634" t="n">
        <v>41</v>
      </c>
      <c r="H9634" t="n">
        <v>0</v>
      </c>
      <c r="I9634" t="n">
        <v>0</v>
      </c>
      <c r="J9634" t="n">
        <v>0</v>
      </c>
      <c r="K9634" t="n">
        <v>0</v>
      </c>
      <c r="L9634" t="n">
        <v>0</v>
      </c>
      <c r="M9634" t="n">
        <v>0</v>
      </c>
      <c r="N9634" t="n">
        <v>0</v>
      </c>
      <c r="O9634" t="n">
        <v>0</v>
      </c>
      <c r="P9634" t="n">
        <v>0</v>
      </c>
      <c r="Q9634" t="n">
        <v>0</v>
      </c>
      <c r="R9634" s="2" t="inlineStr"/>
    </row>
    <row r="9635" ht="15" customHeight="1">
      <c r="A9635" t="inlineStr">
        <is>
          <t>A 9220-2026</t>
        </is>
      </c>
      <c r="B9635" s="1" t="n">
        <v>46070.44583333333</v>
      </c>
      <c r="C9635" s="1" t="n">
        <v>46086</v>
      </c>
      <c r="D9635" t="inlineStr">
        <is>
          <t>GÄVLEBORGS LÄN</t>
        </is>
      </c>
      <c r="E9635" t="inlineStr">
        <is>
          <t>SÖDERHAMN</t>
        </is>
      </c>
      <c r="G9635" t="n">
        <v>3.7</v>
      </c>
      <c r="H9635" t="n">
        <v>0</v>
      </c>
      <c r="I9635" t="n">
        <v>0</v>
      </c>
      <c r="J9635" t="n">
        <v>0</v>
      </c>
      <c r="K9635" t="n">
        <v>0</v>
      </c>
      <c r="L9635" t="n">
        <v>0</v>
      </c>
      <c r="M9635" t="n">
        <v>0</v>
      </c>
      <c r="N9635" t="n">
        <v>0</v>
      </c>
      <c r="O9635" t="n">
        <v>0</v>
      </c>
      <c r="P9635" t="n">
        <v>0</v>
      </c>
      <c r="Q9635" t="n">
        <v>0</v>
      </c>
      <c r="R9635" s="2" t="inlineStr"/>
    </row>
    <row r="9636" ht="15" customHeight="1">
      <c r="A9636" t="inlineStr">
        <is>
          <t>A 50739-2021</t>
        </is>
      </c>
      <c r="B9636" s="1" t="n">
        <v>44460.39326388889</v>
      </c>
      <c r="C9636" s="1" t="n">
        <v>46086</v>
      </c>
      <c r="D9636" t="inlineStr">
        <is>
          <t>GÄVLEBORGS LÄN</t>
        </is>
      </c>
      <c r="E9636" t="inlineStr">
        <is>
          <t>OCKELBO</t>
        </is>
      </c>
      <c r="G9636" t="n">
        <v>2.4</v>
      </c>
      <c r="H9636" t="n">
        <v>0</v>
      </c>
      <c r="I9636" t="n">
        <v>0</v>
      </c>
      <c r="J9636" t="n">
        <v>0</v>
      </c>
      <c r="K9636" t="n">
        <v>0</v>
      </c>
      <c r="L9636" t="n">
        <v>0</v>
      </c>
      <c r="M9636" t="n">
        <v>0</v>
      </c>
      <c r="N9636" t="n">
        <v>0</v>
      </c>
      <c r="O9636" t="n">
        <v>0</v>
      </c>
      <c r="P9636" t="n">
        <v>0</v>
      </c>
      <c r="Q9636" t="n">
        <v>0</v>
      </c>
      <c r="R9636" s="2" t="inlineStr"/>
    </row>
    <row r="9637" ht="15" customHeight="1">
      <c r="A9637" t="inlineStr">
        <is>
          <t>A 9252-2026</t>
        </is>
      </c>
      <c r="B9637" s="1" t="n">
        <v>46070.50712962963</v>
      </c>
      <c r="C9637" s="1" t="n">
        <v>46086</v>
      </c>
      <c r="D9637" t="inlineStr">
        <is>
          <t>GÄVLEBORGS LÄN</t>
        </is>
      </c>
      <c r="E9637" t="inlineStr">
        <is>
          <t>SANDVIKEN</t>
        </is>
      </c>
      <c r="F9637" t="inlineStr">
        <is>
          <t>Kommuner</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9267-2026</t>
        </is>
      </c>
      <c r="B9638" s="1" t="n">
        <v>46069</v>
      </c>
      <c r="C9638" s="1" t="n">
        <v>46086</v>
      </c>
      <c r="D9638" t="inlineStr">
        <is>
          <t>GÄVLEBORGS LÄN</t>
        </is>
      </c>
      <c r="E9638" t="inlineStr">
        <is>
          <t>SANDVIKEN</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9275-2026</t>
        </is>
      </c>
      <c r="B9639" s="1" t="n">
        <v>46070.56564814815</v>
      </c>
      <c r="C9639" s="1" t="n">
        <v>46086</v>
      </c>
      <c r="D9639" t="inlineStr">
        <is>
          <t>GÄVLEBORGS LÄN</t>
        </is>
      </c>
      <c r="E9639" t="inlineStr">
        <is>
          <t>NORDANSTIG</t>
        </is>
      </c>
      <c r="F9639" t="inlineStr">
        <is>
          <t>Holmen skog AB</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591-2026</t>
        </is>
      </c>
      <c r="B9640" s="1" t="n">
        <v>46029</v>
      </c>
      <c r="C9640" s="1" t="n">
        <v>46086</v>
      </c>
      <c r="D9640" t="inlineStr">
        <is>
          <t>GÄVLEBORGS LÄN</t>
        </is>
      </c>
      <c r="E9640" t="inlineStr">
        <is>
          <t>OVANÅKER</t>
        </is>
      </c>
      <c r="G9640" t="n">
        <v>15.8</v>
      </c>
      <c r="H9640" t="n">
        <v>0</v>
      </c>
      <c r="I9640" t="n">
        <v>0</v>
      </c>
      <c r="J9640" t="n">
        <v>0</v>
      </c>
      <c r="K9640" t="n">
        <v>0</v>
      </c>
      <c r="L9640" t="n">
        <v>0</v>
      </c>
      <c r="M9640" t="n">
        <v>0</v>
      </c>
      <c r="N9640" t="n">
        <v>0</v>
      </c>
      <c r="O9640" t="n">
        <v>0</v>
      </c>
      <c r="P9640" t="n">
        <v>0</v>
      </c>
      <c r="Q9640" t="n">
        <v>0</v>
      </c>
      <c r="R9640" s="2" t="inlineStr"/>
    </row>
    <row r="9641" ht="15" customHeight="1">
      <c r="A9641" t="inlineStr">
        <is>
          <t>A 632-2026</t>
        </is>
      </c>
      <c r="B9641" s="1" t="n">
        <v>46029.55716435185</v>
      </c>
      <c r="C9641" s="1" t="n">
        <v>46086</v>
      </c>
      <c r="D9641" t="inlineStr">
        <is>
          <t>GÄVLEBORGS LÄN</t>
        </is>
      </c>
      <c r="E9641" t="inlineStr">
        <is>
          <t>BOLLNÄS</t>
        </is>
      </c>
      <c r="G9641" t="n">
        <v>10.8</v>
      </c>
      <c r="H9641" t="n">
        <v>0</v>
      </c>
      <c r="I9641" t="n">
        <v>0</v>
      </c>
      <c r="J9641" t="n">
        <v>0</v>
      </c>
      <c r="K9641" t="n">
        <v>0</v>
      </c>
      <c r="L9641" t="n">
        <v>0</v>
      </c>
      <c r="M9641" t="n">
        <v>0</v>
      </c>
      <c r="N9641" t="n">
        <v>0</v>
      </c>
      <c r="O9641" t="n">
        <v>0</v>
      </c>
      <c r="P9641" t="n">
        <v>0</v>
      </c>
      <c r="Q9641" t="n">
        <v>0</v>
      </c>
      <c r="R9641" s="2" t="inlineStr"/>
    </row>
    <row r="9642" ht="15" customHeight="1">
      <c r="A9642" t="inlineStr">
        <is>
          <t>A 443-2026</t>
        </is>
      </c>
      <c r="B9642" s="1" t="n">
        <v>46029.34457175926</v>
      </c>
      <c r="C9642" s="1" t="n">
        <v>46086</v>
      </c>
      <c r="D9642" t="inlineStr">
        <is>
          <t>GÄVLEBORGS LÄN</t>
        </is>
      </c>
      <c r="E9642" t="inlineStr">
        <is>
          <t>OCKELBO</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57-2024</t>
        </is>
      </c>
      <c r="B9643" s="1" t="n">
        <v>45293.60358796296</v>
      </c>
      <c r="C9643" s="1" t="n">
        <v>46086</v>
      </c>
      <c r="D9643" t="inlineStr">
        <is>
          <t>GÄVLEBORGS LÄN</t>
        </is>
      </c>
      <c r="E9643" t="inlineStr">
        <is>
          <t>LJUSDAL</t>
        </is>
      </c>
      <c r="F9643" t="inlineStr">
        <is>
          <t>Holmen skog AB</t>
        </is>
      </c>
      <c r="G9643" t="n">
        <v>5.8</v>
      </c>
      <c r="H9643" t="n">
        <v>0</v>
      </c>
      <c r="I9643" t="n">
        <v>0</v>
      </c>
      <c r="J9643" t="n">
        <v>0</v>
      </c>
      <c r="K9643" t="n">
        <v>0</v>
      </c>
      <c r="L9643" t="n">
        <v>0</v>
      </c>
      <c r="M9643" t="n">
        <v>0</v>
      </c>
      <c r="N9643" t="n">
        <v>0</v>
      </c>
      <c r="O9643" t="n">
        <v>0</v>
      </c>
      <c r="P9643" t="n">
        <v>0</v>
      </c>
      <c r="Q9643" t="n">
        <v>0</v>
      </c>
      <c r="R9643" s="2" t="inlineStr"/>
    </row>
    <row r="9644" ht="15" customHeight="1">
      <c r="A9644" t="inlineStr">
        <is>
          <t>A 7496-2025</t>
        </is>
      </c>
      <c r="B9644" s="1" t="n">
        <v>45702</v>
      </c>
      <c r="C9644" s="1" t="n">
        <v>46086</v>
      </c>
      <c r="D9644" t="inlineStr">
        <is>
          <t>GÄVLEBORGS LÄN</t>
        </is>
      </c>
      <c r="E9644" t="inlineStr">
        <is>
          <t>HUDIKSVALL</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9529-2026</t>
        </is>
      </c>
      <c r="B9645" s="1" t="n">
        <v>46071.60730324074</v>
      </c>
      <c r="C9645" s="1" t="n">
        <v>46086</v>
      </c>
      <c r="D9645" t="inlineStr">
        <is>
          <t>GÄVLEBORGS LÄN</t>
        </is>
      </c>
      <c r="E9645" t="inlineStr">
        <is>
          <t>BOLLNÄS</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9402-2026</t>
        </is>
      </c>
      <c r="B9646" s="1" t="n">
        <v>46071.39571759259</v>
      </c>
      <c r="C9646" s="1" t="n">
        <v>46086</v>
      </c>
      <c r="D9646" t="inlineStr">
        <is>
          <t>GÄVLEBORGS LÄN</t>
        </is>
      </c>
      <c r="E9646" t="inlineStr">
        <is>
          <t>OCKELBO</t>
        </is>
      </c>
      <c r="F9646" t="inlineStr">
        <is>
          <t>Bergvik skog väst AB</t>
        </is>
      </c>
      <c r="G9646" t="n">
        <v>6.2</v>
      </c>
      <c r="H9646" t="n">
        <v>0</v>
      </c>
      <c r="I9646" t="n">
        <v>0</v>
      </c>
      <c r="J9646" t="n">
        <v>0</v>
      </c>
      <c r="K9646" t="n">
        <v>0</v>
      </c>
      <c r="L9646" t="n">
        <v>0</v>
      </c>
      <c r="M9646" t="n">
        <v>0</v>
      </c>
      <c r="N9646" t="n">
        <v>0</v>
      </c>
      <c r="O9646" t="n">
        <v>0</v>
      </c>
      <c r="P9646" t="n">
        <v>0</v>
      </c>
      <c r="Q9646" t="n">
        <v>0</v>
      </c>
      <c r="R9646" s="2" t="inlineStr"/>
    </row>
    <row r="9647" ht="15" customHeight="1">
      <c r="A9647" t="inlineStr">
        <is>
          <t>A 9404-2026</t>
        </is>
      </c>
      <c r="B9647" s="1" t="n">
        <v>46071.39912037037</v>
      </c>
      <c r="C9647" s="1" t="n">
        <v>46086</v>
      </c>
      <c r="D9647" t="inlineStr">
        <is>
          <t>GÄVLEBORGS LÄN</t>
        </is>
      </c>
      <c r="E9647" t="inlineStr">
        <is>
          <t>OVANÅKER</t>
        </is>
      </c>
      <c r="F9647" t="inlineStr">
        <is>
          <t>Kyrkan</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652-2026</t>
        </is>
      </c>
      <c r="B9648" s="1" t="n">
        <v>46029.57582175926</v>
      </c>
      <c r="C9648" s="1" t="n">
        <v>46086</v>
      </c>
      <c r="D9648" t="inlineStr">
        <is>
          <t>GÄVLEBORGS LÄN</t>
        </is>
      </c>
      <c r="E9648" t="inlineStr">
        <is>
          <t>BOLLNÄS</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7147-2026</t>
        </is>
      </c>
      <c r="B9649" s="1" t="n">
        <v>46058</v>
      </c>
      <c r="C9649" s="1" t="n">
        <v>46086</v>
      </c>
      <c r="D9649" t="inlineStr">
        <is>
          <t>GÄVLEBORGS LÄN</t>
        </is>
      </c>
      <c r="E9649" t="inlineStr">
        <is>
          <t>LJUSDAL</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8570-2026</t>
        </is>
      </c>
      <c r="B9650" s="1" t="n">
        <v>46065</v>
      </c>
      <c r="C9650" s="1" t="n">
        <v>46086</v>
      </c>
      <c r="D9650" t="inlineStr">
        <is>
          <t>GÄVLEBORGS LÄN</t>
        </is>
      </c>
      <c r="E9650" t="inlineStr">
        <is>
          <t>SANDVIKEN</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39173-2024</t>
        </is>
      </c>
      <c r="B9651" s="1" t="n">
        <v>45548.65622685185</v>
      </c>
      <c r="C9651" s="1" t="n">
        <v>46086</v>
      </c>
      <c r="D9651" t="inlineStr">
        <is>
          <t>GÄVLEBORGS LÄN</t>
        </is>
      </c>
      <c r="E9651" t="inlineStr">
        <is>
          <t>OVANÅKER</t>
        </is>
      </c>
      <c r="G9651" t="n">
        <v>3.2</v>
      </c>
      <c r="H9651" t="n">
        <v>0</v>
      </c>
      <c r="I9651" t="n">
        <v>0</v>
      </c>
      <c r="J9651" t="n">
        <v>0</v>
      </c>
      <c r="K9651" t="n">
        <v>0</v>
      </c>
      <c r="L9651" t="n">
        <v>0</v>
      </c>
      <c r="M9651" t="n">
        <v>0</v>
      </c>
      <c r="N9651" t="n">
        <v>0</v>
      </c>
      <c r="O9651" t="n">
        <v>0</v>
      </c>
      <c r="P9651" t="n">
        <v>0</v>
      </c>
      <c r="Q9651" t="n">
        <v>0</v>
      </c>
      <c r="R9651" s="2" t="inlineStr"/>
    </row>
    <row r="9652" ht="15" customHeight="1">
      <c r="A9652" t="inlineStr">
        <is>
          <t>A 9496-2026</t>
        </is>
      </c>
      <c r="B9652" s="1" t="n">
        <v>46071.56358796296</v>
      </c>
      <c r="C9652" s="1" t="n">
        <v>46086</v>
      </c>
      <c r="D9652" t="inlineStr">
        <is>
          <t>GÄVLEBORGS LÄN</t>
        </is>
      </c>
      <c r="E9652" t="inlineStr">
        <is>
          <t>NORDANSTIG</t>
        </is>
      </c>
      <c r="G9652" t="n">
        <v>4.3</v>
      </c>
      <c r="H9652" t="n">
        <v>0</v>
      </c>
      <c r="I9652" t="n">
        <v>0</v>
      </c>
      <c r="J9652" t="n">
        <v>0</v>
      </c>
      <c r="K9652" t="n">
        <v>0</v>
      </c>
      <c r="L9652" t="n">
        <v>0</v>
      </c>
      <c r="M9652" t="n">
        <v>0</v>
      </c>
      <c r="N9652" t="n">
        <v>0</v>
      </c>
      <c r="O9652" t="n">
        <v>0</v>
      </c>
      <c r="P9652" t="n">
        <v>0</v>
      </c>
      <c r="Q9652" t="n">
        <v>0</v>
      </c>
      <c r="R9652" s="2" t="inlineStr"/>
    </row>
    <row r="9653" ht="15" customHeight="1">
      <c r="A9653" t="inlineStr">
        <is>
          <t>A 9516-2026</t>
        </is>
      </c>
      <c r="B9653" s="1" t="n">
        <v>46071.59585648148</v>
      </c>
      <c r="C9653" s="1" t="n">
        <v>46086</v>
      </c>
      <c r="D9653" t="inlineStr">
        <is>
          <t>GÄVLEBORGS LÄN</t>
        </is>
      </c>
      <c r="E9653" t="inlineStr">
        <is>
          <t>NORDANSTIG</t>
        </is>
      </c>
      <c r="G9653" t="n">
        <v>12.2</v>
      </c>
      <c r="H9653" t="n">
        <v>0</v>
      </c>
      <c r="I9653" t="n">
        <v>0</v>
      </c>
      <c r="J9653" t="n">
        <v>0</v>
      </c>
      <c r="K9653" t="n">
        <v>0</v>
      </c>
      <c r="L9653" t="n">
        <v>0</v>
      </c>
      <c r="M9653" t="n">
        <v>0</v>
      </c>
      <c r="N9653" t="n">
        <v>0</v>
      </c>
      <c r="O9653" t="n">
        <v>0</v>
      </c>
      <c r="P9653" t="n">
        <v>0</v>
      </c>
      <c r="Q9653" t="n">
        <v>0</v>
      </c>
      <c r="R9653" s="2" t="inlineStr"/>
    </row>
    <row r="9654" ht="15" customHeight="1">
      <c r="A9654" t="inlineStr">
        <is>
          <t>A 9517-2026</t>
        </is>
      </c>
      <c r="B9654" s="1" t="n">
        <v>46071.59618055556</v>
      </c>
      <c r="C9654" s="1" t="n">
        <v>46086</v>
      </c>
      <c r="D9654" t="inlineStr">
        <is>
          <t>GÄVLEBORGS LÄN</t>
        </is>
      </c>
      <c r="E9654" t="inlineStr">
        <is>
          <t>BOLLNÄS</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9520-2026</t>
        </is>
      </c>
      <c r="B9655" s="1" t="n">
        <v>46071.59895833334</v>
      </c>
      <c r="C9655" s="1" t="n">
        <v>46086</v>
      </c>
      <c r="D9655" t="inlineStr">
        <is>
          <t>GÄVLEBORGS LÄN</t>
        </is>
      </c>
      <c r="E9655" t="inlineStr">
        <is>
          <t>BOLLNÄS</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13603-2025</t>
        </is>
      </c>
      <c r="B9656" s="1" t="n">
        <v>45736</v>
      </c>
      <c r="C9656" s="1" t="n">
        <v>46086</v>
      </c>
      <c r="D9656" t="inlineStr">
        <is>
          <t>GÄVLEBORGS LÄN</t>
        </is>
      </c>
      <c r="E9656" t="inlineStr">
        <is>
          <t>HUDIKSVALL</t>
        </is>
      </c>
      <c r="G9656" t="n">
        <v>3.1</v>
      </c>
      <c r="H9656" t="n">
        <v>0</v>
      </c>
      <c r="I9656" t="n">
        <v>0</v>
      </c>
      <c r="J9656" t="n">
        <v>0</v>
      </c>
      <c r="K9656" t="n">
        <v>0</v>
      </c>
      <c r="L9656" t="n">
        <v>0</v>
      </c>
      <c r="M9656" t="n">
        <v>0</v>
      </c>
      <c r="N9656" t="n">
        <v>0</v>
      </c>
      <c r="O9656" t="n">
        <v>0</v>
      </c>
      <c r="P9656" t="n">
        <v>0</v>
      </c>
      <c r="Q9656" t="n">
        <v>0</v>
      </c>
      <c r="R9656" s="2" t="inlineStr"/>
    </row>
    <row r="9657" ht="15" customHeight="1">
      <c r="A9657" t="inlineStr">
        <is>
          <t>A 16713-2021</t>
        </is>
      </c>
      <c r="B9657" s="1" t="n">
        <v>44294.64568287037</v>
      </c>
      <c r="C9657" s="1" t="n">
        <v>46086</v>
      </c>
      <c r="D9657" t="inlineStr">
        <is>
          <t>GÄVLEBORGS LÄN</t>
        </is>
      </c>
      <c r="E9657" t="inlineStr">
        <is>
          <t>GÄVLE</t>
        </is>
      </c>
      <c r="F9657" t="inlineStr">
        <is>
          <t>Bergvik skog öst AB</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7473-2025</t>
        </is>
      </c>
      <c r="B9658" s="1" t="n">
        <v>45702</v>
      </c>
      <c r="C9658" s="1" t="n">
        <v>46086</v>
      </c>
      <c r="D9658" t="inlineStr">
        <is>
          <t>GÄVLEBORGS LÄN</t>
        </is>
      </c>
      <c r="E9658" t="inlineStr">
        <is>
          <t>HUDIKSVALL</t>
        </is>
      </c>
      <c r="G9658" t="n">
        <v>3.1</v>
      </c>
      <c r="H9658" t="n">
        <v>0</v>
      </c>
      <c r="I9658" t="n">
        <v>0</v>
      </c>
      <c r="J9658" t="n">
        <v>0</v>
      </c>
      <c r="K9658" t="n">
        <v>0</v>
      </c>
      <c r="L9658" t="n">
        <v>0</v>
      </c>
      <c r="M9658" t="n">
        <v>0</v>
      </c>
      <c r="N9658" t="n">
        <v>0</v>
      </c>
      <c r="O9658" t="n">
        <v>0</v>
      </c>
      <c r="P9658" t="n">
        <v>0</v>
      </c>
      <c r="Q9658" t="n">
        <v>0</v>
      </c>
      <c r="R9658" s="2" t="inlineStr"/>
    </row>
    <row r="9659" ht="15" customHeight="1">
      <c r="A9659" t="inlineStr">
        <is>
          <t>A 438-2026</t>
        </is>
      </c>
      <c r="B9659" s="1" t="n">
        <v>46029.344375</v>
      </c>
      <c r="C9659" s="1" t="n">
        <v>46086</v>
      </c>
      <c r="D9659" t="inlineStr">
        <is>
          <t>GÄVLEBORGS LÄN</t>
        </is>
      </c>
      <c r="E9659" t="inlineStr">
        <is>
          <t>BOLLNÄS</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469-2026</t>
        </is>
      </c>
      <c r="B9660" s="1" t="n">
        <v>46029.38788194444</v>
      </c>
      <c r="C9660" s="1" t="n">
        <v>46086</v>
      </c>
      <c r="D9660" t="inlineStr">
        <is>
          <t>GÄVLEBORGS LÄN</t>
        </is>
      </c>
      <c r="E9660" t="inlineStr">
        <is>
          <t>OCKELBO</t>
        </is>
      </c>
      <c r="G9660" t="n">
        <v>5.1</v>
      </c>
      <c r="H9660" t="n">
        <v>0</v>
      </c>
      <c r="I9660" t="n">
        <v>0</v>
      </c>
      <c r="J9660" t="n">
        <v>0</v>
      </c>
      <c r="K9660" t="n">
        <v>0</v>
      </c>
      <c r="L9660" t="n">
        <v>0</v>
      </c>
      <c r="M9660" t="n">
        <v>0</v>
      </c>
      <c r="N9660" t="n">
        <v>0</v>
      </c>
      <c r="O9660" t="n">
        <v>0</v>
      </c>
      <c r="P9660" t="n">
        <v>0</v>
      </c>
      <c r="Q9660" t="n">
        <v>0</v>
      </c>
      <c r="R9660" s="2" t="inlineStr"/>
    </row>
    <row r="9661" ht="15" customHeight="1">
      <c r="A9661" t="inlineStr">
        <is>
          <t>A 472-2026</t>
        </is>
      </c>
      <c r="B9661" s="1" t="n">
        <v>46029.39192129629</v>
      </c>
      <c r="C9661" s="1" t="n">
        <v>46086</v>
      </c>
      <c r="D9661" t="inlineStr">
        <is>
          <t>GÄVLEBORGS LÄN</t>
        </is>
      </c>
      <c r="E9661" t="inlineStr">
        <is>
          <t>HUDIKSVALL</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36102-2025</t>
        </is>
      </c>
      <c r="B9662" s="1" t="n">
        <v>45866.54546296296</v>
      </c>
      <c r="C9662" s="1" t="n">
        <v>46086</v>
      </c>
      <c r="D9662" t="inlineStr">
        <is>
          <t>GÄVLEBORGS LÄN</t>
        </is>
      </c>
      <c r="E9662" t="inlineStr">
        <is>
          <t>HUDIKSVALL</t>
        </is>
      </c>
      <c r="G9662" t="n">
        <v>3.2</v>
      </c>
      <c r="H9662" t="n">
        <v>0</v>
      </c>
      <c r="I9662" t="n">
        <v>0</v>
      </c>
      <c r="J9662" t="n">
        <v>0</v>
      </c>
      <c r="K9662" t="n">
        <v>0</v>
      </c>
      <c r="L9662" t="n">
        <v>0</v>
      </c>
      <c r="M9662" t="n">
        <v>0</v>
      </c>
      <c r="N9662" t="n">
        <v>0</v>
      </c>
      <c r="O9662" t="n">
        <v>0</v>
      </c>
      <c r="P9662" t="n">
        <v>0</v>
      </c>
      <c r="Q9662" t="n">
        <v>0</v>
      </c>
      <c r="R9662" s="2" t="inlineStr"/>
    </row>
    <row r="9663" ht="15" customHeight="1">
      <c r="A9663" t="inlineStr">
        <is>
          <t>A 64036-2025</t>
        </is>
      </c>
      <c r="B9663" s="1" t="n">
        <v>46021</v>
      </c>
      <c r="C9663" s="1" t="n">
        <v>46086</v>
      </c>
      <c r="D9663" t="inlineStr">
        <is>
          <t>GÄVLEBORGS LÄN</t>
        </is>
      </c>
      <c r="E9663" t="inlineStr">
        <is>
          <t>HOFORS</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4399-2026</t>
        </is>
      </c>
      <c r="B9664" s="1" t="n">
        <v>46045</v>
      </c>
      <c r="C9664" s="1" t="n">
        <v>46086</v>
      </c>
      <c r="D9664" t="inlineStr">
        <is>
          <t>GÄVLEBORGS LÄN</t>
        </is>
      </c>
      <c r="E9664" t="inlineStr">
        <is>
          <t>NORDANSTIG</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4438-2026</t>
        </is>
      </c>
      <c r="B9665" s="1" t="n">
        <v>46045</v>
      </c>
      <c r="C9665" s="1" t="n">
        <v>46086</v>
      </c>
      <c r="D9665" t="inlineStr">
        <is>
          <t>GÄVLEBORGS LÄN</t>
        </is>
      </c>
      <c r="E9665" t="inlineStr">
        <is>
          <t>OVANÅKER</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450-2026</t>
        </is>
      </c>
      <c r="B9666" s="1" t="n">
        <v>46029.35219907408</v>
      </c>
      <c r="C9666" s="1" t="n">
        <v>46086</v>
      </c>
      <c r="D9666" t="inlineStr">
        <is>
          <t>GÄVLEBORGS LÄN</t>
        </is>
      </c>
      <c r="E9666" t="inlineStr">
        <is>
          <t>SANDVIKEN</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461-2026</t>
        </is>
      </c>
      <c r="B9667" s="1" t="n">
        <v>46029.38126157408</v>
      </c>
      <c r="C9667" s="1" t="n">
        <v>46086</v>
      </c>
      <c r="D9667" t="inlineStr">
        <is>
          <t>GÄVLEBORGS LÄN</t>
        </is>
      </c>
      <c r="E9667" t="inlineStr">
        <is>
          <t>OCKELBO</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9228-2026</t>
        </is>
      </c>
      <c r="B9668" s="1" t="n">
        <v>46070.45606481482</v>
      </c>
      <c r="C9668" s="1" t="n">
        <v>46086</v>
      </c>
      <c r="D9668" t="inlineStr">
        <is>
          <t>GÄVLEBORGS LÄN</t>
        </is>
      </c>
      <c r="E9668" t="inlineStr">
        <is>
          <t>OCKELBO</t>
        </is>
      </c>
      <c r="F9668" t="inlineStr">
        <is>
          <t>Bergvik skog väst AB</t>
        </is>
      </c>
      <c r="G9668" t="n">
        <v>41.3</v>
      </c>
      <c r="H9668" t="n">
        <v>0</v>
      </c>
      <c r="I9668" t="n">
        <v>0</v>
      </c>
      <c r="J9668" t="n">
        <v>0</v>
      </c>
      <c r="K9668" t="n">
        <v>0</v>
      </c>
      <c r="L9668" t="n">
        <v>0</v>
      </c>
      <c r="M9668" t="n">
        <v>0</v>
      </c>
      <c r="N9668" t="n">
        <v>0</v>
      </c>
      <c r="O9668" t="n">
        <v>0</v>
      </c>
      <c r="P9668" t="n">
        <v>0</v>
      </c>
      <c r="Q9668" t="n">
        <v>0</v>
      </c>
      <c r="R9668" s="2" t="inlineStr"/>
    </row>
    <row r="9669" ht="15" customHeight="1">
      <c r="A9669" t="inlineStr">
        <is>
          <t>A 9230-2026</t>
        </is>
      </c>
      <c r="B9669" s="1" t="n">
        <v>46070.46476851852</v>
      </c>
      <c r="C9669" s="1" t="n">
        <v>46086</v>
      </c>
      <c r="D9669" t="inlineStr">
        <is>
          <t>GÄVLEBORGS LÄN</t>
        </is>
      </c>
      <c r="E9669" t="inlineStr">
        <is>
          <t>BOLLNÄS</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9239-2026</t>
        </is>
      </c>
      <c r="B9670" s="1" t="n">
        <v>46070.47952546296</v>
      </c>
      <c r="C9670" s="1" t="n">
        <v>46086</v>
      </c>
      <c r="D9670" t="inlineStr">
        <is>
          <t>GÄVLEBORGS LÄN</t>
        </is>
      </c>
      <c r="E9670" t="inlineStr">
        <is>
          <t>BOLLNÄS</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707-2026</t>
        </is>
      </c>
      <c r="B9671" s="1" t="n">
        <v>46029</v>
      </c>
      <c r="C9671" s="1" t="n">
        <v>46086</v>
      </c>
      <c r="D9671" t="inlineStr">
        <is>
          <t>GÄVLEBORGS LÄN</t>
        </is>
      </c>
      <c r="E9671" t="inlineStr">
        <is>
          <t>OVANÅKER</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743-2026</t>
        </is>
      </c>
      <c r="B9672" s="1" t="n">
        <v>46029.66542824074</v>
      </c>
      <c r="C9672" s="1" t="n">
        <v>46086</v>
      </c>
      <c r="D9672" t="inlineStr">
        <is>
          <t>GÄVLEBORGS LÄN</t>
        </is>
      </c>
      <c r="E9672" t="inlineStr">
        <is>
          <t>OVANÅKER</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5426-2026</t>
        </is>
      </c>
      <c r="B9673" s="1" t="n">
        <v>46050</v>
      </c>
      <c r="C9673" s="1" t="n">
        <v>46086</v>
      </c>
      <c r="D9673" t="inlineStr">
        <is>
          <t>GÄVLEBORGS LÄN</t>
        </is>
      </c>
      <c r="E9673" t="inlineStr">
        <is>
          <t>OVANÅKER</t>
        </is>
      </c>
      <c r="G9673" t="n">
        <v>2.8</v>
      </c>
      <c r="H9673" t="n">
        <v>0</v>
      </c>
      <c r="I9673" t="n">
        <v>0</v>
      </c>
      <c r="J9673" t="n">
        <v>0</v>
      </c>
      <c r="K9673" t="n">
        <v>0</v>
      </c>
      <c r="L9673" t="n">
        <v>0</v>
      </c>
      <c r="M9673" t="n">
        <v>0</v>
      </c>
      <c r="N9673" t="n">
        <v>0</v>
      </c>
      <c r="O9673" t="n">
        <v>0</v>
      </c>
      <c r="P9673" t="n">
        <v>0</v>
      </c>
      <c r="Q9673" t="n">
        <v>0</v>
      </c>
      <c r="R9673" s="2" t="inlineStr"/>
    </row>
    <row r="9674" ht="15" customHeight="1">
      <c r="A9674" t="inlineStr">
        <is>
          <t>A 5600-2026</t>
        </is>
      </c>
      <c r="B9674" s="1" t="n">
        <v>46051</v>
      </c>
      <c r="C9674" s="1" t="n">
        <v>46086</v>
      </c>
      <c r="D9674" t="inlineStr">
        <is>
          <t>GÄVLEBORGS LÄN</t>
        </is>
      </c>
      <c r="E9674" t="inlineStr">
        <is>
          <t>NORDANSTIG</t>
        </is>
      </c>
      <c r="F9674" t="inlineStr">
        <is>
          <t>Holmen skog AB</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762-2026</t>
        </is>
      </c>
      <c r="B9675" s="1" t="n">
        <v>46029</v>
      </c>
      <c r="C9675" s="1" t="n">
        <v>46086</v>
      </c>
      <c r="D9675" t="inlineStr">
        <is>
          <t>GÄVLEBORGS LÄN</t>
        </is>
      </c>
      <c r="E9675" t="inlineStr">
        <is>
          <t>BOLLNÄS</t>
        </is>
      </c>
      <c r="G9675" t="n">
        <v>3.9</v>
      </c>
      <c r="H9675" t="n">
        <v>0</v>
      </c>
      <c r="I9675" t="n">
        <v>0</v>
      </c>
      <c r="J9675" t="n">
        <v>0</v>
      </c>
      <c r="K9675" t="n">
        <v>0</v>
      </c>
      <c r="L9675" t="n">
        <v>0</v>
      </c>
      <c r="M9675" t="n">
        <v>0</v>
      </c>
      <c r="N9675" t="n">
        <v>0</v>
      </c>
      <c r="O9675" t="n">
        <v>0</v>
      </c>
      <c r="P9675" t="n">
        <v>0</v>
      </c>
      <c r="Q9675" t="n">
        <v>0</v>
      </c>
      <c r="R9675" s="2" t="inlineStr"/>
    </row>
    <row r="9676" ht="15" customHeight="1">
      <c r="A9676" t="inlineStr">
        <is>
          <t>A 487-2026</t>
        </is>
      </c>
      <c r="B9676" s="1" t="n">
        <v>46029</v>
      </c>
      <c r="C9676" s="1" t="n">
        <v>46086</v>
      </c>
      <c r="D9676" t="inlineStr">
        <is>
          <t>GÄVLEBORGS LÄN</t>
        </is>
      </c>
      <c r="E9676" t="inlineStr">
        <is>
          <t>BOLLNÄS</t>
        </is>
      </c>
      <c r="G9676" t="n">
        <v>15.6</v>
      </c>
      <c r="H9676" t="n">
        <v>0</v>
      </c>
      <c r="I9676" t="n">
        <v>0</v>
      </c>
      <c r="J9676" t="n">
        <v>0</v>
      </c>
      <c r="K9676" t="n">
        <v>0</v>
      </c>
      <c r="L9676" t="n">
        <v>0</v>
      </c>
      <c r="M9676" t="n">
        <v>0</v>
      </c>
      <c r="N9676" t="n">
        <v>0</v>
      </c>
      <c r="O9676" t="n">
        <v>0</v>
      </c>
      <c r="P9676" t="n">
        <v>0</v>
      </c>
      <c r="Q9676" t="n">
        <v>0</v>
      </c>
      <c r="R9676" s="2" t="inlineStr"/>
    </row>
    <row r="9677" ht="15" customHeight="1">
      <c r="A9677" t="inlineStr">
        <is>
          <t>A 490-2026</t>
        </is>
      </c>
      <c r="B9677" s="1" t="n">
        <v>46029.42516203703</v>
      </c>
      <c r="C9677" s="1" t="n">
        <v>46086</v>
      </c>
      <c r="D9677" t="inlineStr">
        <is>
          <t>GÄVLEBORGS LÄN</t>
        </is>
      </c>
      <c r="E9677" t="inlineStr">
        <is>
          <t>OVANÅKER</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733-2026</t>
        </is>
      </c>
      <c r="B9678" s="1" t="n">
        <v>46029</v>
      </c>
      <c r="C9678" s="1" t="n">
        <v>46086</v>
      </c>
      <c r="D9678" t="inlineStr">
        <is>
          <t>GÄVLEBORGS LÄN</t>
        </is>
      </c>
      <c r="E9678" t="inlineStr">
        <is>
          <t>OVANÅKER</t>
        </is>
      </c>
      <c r="G9678" t="n">
        <v>18.1</v>
      </c>
      <c r="H9678" t="n">
        <v>0</v>
      </c>
      <c r="I9678" t="n">
        <v>0</v>
      </c>
      <c r="J9678" t="n">
        <v>0</v>
      </c>
      <c r="K9678" t="n">
        <v>0</v>
      </c>
      <c r="L9678" t="n">
        <v>0</v>
      </c>
      <c r="M9678" t="n">
        <v>0</v>
      </c>
      <c r="N9678" t="n">
        <v>0</v>
      </c>
      <c r="O9678" t="n">
        <v>0</v>
      </c>
      <c r="P9678" t="n">
        <v>0</v>
      </c>
      <c r="Q9678" t="n">
        <v>0</v>
      </c>
      <c r="R9678" s="2" t="inlineStr"/>
    </row>
    <row r="9679" ht="15" customHeight="1">
      <c r="A9679" t="inlineStr">
        <is>
          <t>A 735-2026</t>
        </is>
      </c>
      <c r="B9679" s="1" t="n">
        <v>46029.65177083333</v>
      </c>
      <c r="C9679" s="1" t="n">
        <v>46086</v>
      </c>
      <c r="D9679" t="inlineStr">
        <is>
          <t>GÄVLEBORGS LÄN</t>
        </is>
      </c>
      <c r="E9679" t="inlineStr">
        <is>
          <t>OVANÅKER</t>
        </is>
      </c>
      <c r="G9679" t="n">
        <v>6.2</v>
      </c>
      <c r="H9679" t="n">
        <v>0</v>
      </c>
      <c r="I9679" t="n">
        <v>0</v>
      </c>
      <c r="J9679" t="n">
        <v>0</v>
      </c>
      <c r="K9679" t="n">
        <v>0</v>
      </c>
      <c r="L9679" t="n">
        <v>0</v>
      </c>
      <c r="M9679" t="n">
        <v>0</v>
      </c>
      <c r="N9679" t="n">
        <v>0</v>
      </c>
      <c r="O9679" t="n">
        <v>0</v>
      </c>
      <c r="P9679" t="n">
        <v>0</v>
      </c>
      <c r="Q9679" t="n">
        <v>0</v>
      </c>
      <c r="R9679" s="2" t="inlineStr"/>
    </row>
    <row r="9680" ht="15" customHeight="1">
      <c r="A9680" t="inlineStr">
        <is>
          <t>A 36749-2025</t>
        </is>
      </c>
      <c r="B9680" s="1" t="n">
        <v>45873.55201388889</v>
      </c>
      <c r="C9680" s="1" t="n">
        <v>46086</v>
      </c>
      <c r="D9680" t="inlineStr">
        <is>
          <t>GÄVLEBORGS LÄN</t>
        </is>
      </c>
      <c r="E9680" t="inlineStr">
        <is>
          <t>HUDIKSVALL</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20639-2025</t>
        </is>
      </c>
      <c r="B9681" s="1" t="n">
        <v>45776</v>
      </c>
      <c r="C9681" s="1" t="n">
        <v>46086</v>
      </c>
      <c r="D9681" t="inlineStr">
        <is>
          <t>GÄVLEBORGS LÄN</t>
        </is>
      </c>
      <c r="E9681" t="inlineStr">
        <is>
          <t>HUDIKSVALL</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10193-2023</t>
        </is>
      </c>
      <c r="B9682" s="1" t="n">
        <v>44986</v>
      </c>
      <c r="C9682" s="1" t="n">
        <v>46086</v>
      </c>
      <c r="D9682" t="inlineStr">
        <is>
          <t>GÄVLEBORGS LÄN</t>
        </is>
      </c>
      <c r="E9682" t="inlineStr">
        <is>
          <t>HUDIKSVALL</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9335-2026</t>
        </is>
      </c>
      <c r="B9683" s="1" t="n">
        <v>46070.66290509259</v>
      </c>
      <c r="C9683" s="1" t="n">
        <v>46086</v>
      </c>
      <c r="D9683" t="inlineStr">
        <is>
          <t>GÄVLEBORGS LÄN</t>
        </is>
      </c>
      <c r="E9683" t="inlineStr">
        <is>
          <t>BOLLNÄS</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9365-2026</t>
        </is>
      </c>
      <c r="B9684" s="1" t="n">
        <v>46070.771875</v>
      </c>
      <c r="C9684" s="1" t="n">
        <v>46086</v>
      </c>
      <c r="D9684" t="inlineStr">
        <is>
          <t>GÄVLEBORGS LÄN</t>
        </is>
      </c>
      <c r="E9684" t="inlineStr">
        <is>
          <t>BOLLNÄS</t>
        </is>
      </c>
      <c r="F9684" t="inlineStr">
        <is>
          <t>Kyrkan</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9399-2026</t>
        </is>
      </c>
      <c r="B9685" s="1" t="n">
        <v>46071</v>
      </c>
      <c r="C9685" s="1" t="n">
        <v>46086</v>
      </c>
      <c r="D9685" t="inlineStr">
        <is>
          <t>GÄVLEBORGS LÄN</t>
        </is>
      </c>
      <c r="E9685" t="inlineStr">
        <is>
          <t>SÖDERHAMN</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9359-2026</t>
        </is>
      </c>
      <c r="B9686" s="1" t="n">
        <v>46070.72490740741</v>
      </c>
      <c r="C9686" s="1" t="n">
        <v>46086</v>
      </c>
      <c r="D9686" t="inlineStr">
        <is>
          <t>GÄVLEBORGS LÄN</t>
        </is>
      </c>
      <c r="E9686" t="inlineStr">
        <is>
          <t>BOLLNÄS</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32722-2023</t>
        </is>
      </c>
      <c r="B9687" s="1" t="n">
        <v>45121.92335648148</v>
      </c>
      <c r="C9687" s="1" t="n">
        <v>46086</v>
      </c>
      <c r="D9687" t="inlineStr">
        <is>
          <t>GÄVLEBORGS LÄN</t>
        </is>
      </c>
      <c r="E9687" t="inlineStr">
        <is>
          <t>NORDANSTIG</t>
        </is>
      </c>
      <c r="G9687" t="n">
        <v>3.9</v>
      </c>
      <c r="H9687" t="n">
        <v>0</v>
      </c>
      <c r="I9687" t="n">
        <v>0</v>
      </c>
      <c r="J9687" t="n">
        <v>0</v>
      </c>
      <c r="K9687" t="n">
        <v>0</v>
      </c>
      <c r="L9687" t="n">
        <v>0</v>
      </c>
      <c r="M9687" t="n">
        <v>0</v>
      </c>
      <c r="N9687" t="n">
        <v>0</v>
      </c>
      <c r="O9687" t="n">
        <v>0</v>
      </c>
      <c r="P9687" t="n">
        <v>0</v>
      </c>
      <c r="Q9687" t="n">
        <v>0</v>
      </c>
      <c r="R9687" s="2" t="inlineStr"/>
    </row>
    <row r="9688" ht="15" customHeight="1">
      <c r="A9688" t="inlineStr">
        <is>
          <t>A 7303-2026</t>
        </is>
      </c>
      <c r="B9688" s="1" t="n">
        <v>46058</v>
      </c>
      <c r="C9688" s="1" t="n">
        <v>46086</v>
      </c>
      <c r="D9688" t="inlineStr">
        <is>
          <t>GÄVLEBORGS LÄN</t>
        </is>
      </c>
      <c r="E9688" t="inlineStr">
        <is>
          <t>OVANÅKER</t>
        </is>
      </c>
      <c r="G9688" t="n">
        <v>4.5</v>
      </c>
      <c r="H9688" t="n">
        <v>0</v>
      </c>
      <c r="I9688" t="n">
        <v>0</v>
      </c>
      <c r="J9688" t="n">
        <v>0</v>
      </c>
      <c r="K9688" t="n">
        <v>0</v>
      </c>
      <c r="L9688" t="n">
        <v>0</v>
      </c>
      <c r="M9688" t="n">
        <v>0</v>
      </c>
      <c r="N9688" t="n">
        <v>0</v>
      </c>
      <c r="O9688" t="n">
        <v>0</v>
      </c>
      <c r="P9688" t="n">
        <v>0</v>
      </c>
      <c r="Q9688" t="n">
        <v>0</v>
      </c>
      <c r="R9688" s="2" t="inlineStr"/>
    </row>
    <row r="9689" ht="15" customHeight="1">
      <c r="A9689" t="inlineStr">
        <is>
          <t>A 8612-2026</t>
        </is>
      </c>
      <c r="B9689" s="1" t="n">
        <v>46065</v>
      </c>
      <c r="C9689" s="1" t="n">
        <v>46086</v>
      </c>
      <c r="D9689" t="inlineStr">
        <is>
          <t>GÄVLEBORGS LÄN</t>
        </is>
      </c>
      <c r="E9689" t="inlineStr">
        <is>
          <t>SANDVIKEN</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9383-2026</t>
        </is>
      </c>
      <c r="B9690" s="1" t="n">
        <v>46071.32445601852</v>
      </c>
      <c r="C9690" s="1" t="n">
        <v>46086</v>
      </c>
      <c r="D9690" t="inlineStr">
        <is>
          <t>GÄVLEBORGS LÄN</t>
        </is>
      </c>
      <c r="E9690" t="inlineStr">
        <is>
          <t>HUDIKSVALL</t>
        </is>
      </c>
      <c r="F9690" t="inlineStr">
        <is>
          <t>Sveaskog</t>
        </is>
      </c>
      <c r="G9690" t="n">
        <v>15.3</v>
      </c>
      <c r="H9690" t="n">
        <v>0</v>
      </c>
      <c r="I9690" t="n">
        <v>0</v>
      </c>
      <c r="J9690" t="n">
        <v>0</v>
      </c>
      <c r="K9690" t="n">
        <v>0</v>
      </c>
      <c r="L9690" t="n">
        <v>0</v>
      </c>
      <c r="M9690" t="n">
        <v>0</v>
      </c>
      <c r="N9690" t="n">
        <v>0</v>
      </c>
      <c r="O9690" t="n">
        <v>0</v>
      </c>
      <c r="P9690" t="n">
        <v>0</v>
      </c>
      <c r="Q9690" t="n">
        <v>0</v>
      </c>
      <c r="R9690" s="2" t="inlineStr"/>
    </row>
    <row r="9691" ht="15" customHeight="1">
      <c r="A9691" t="inlineStr">
        <is>
          <t>A 9336-2026</t>
        </is>
      </c>
      <c r="B9691" s="1" t="n">
        <v>46070.66629629629</v>
      </c>
      <c r="C9691" s="1" t="n">
        <v>46086</v>
      </c>
      <c r="D9691" t="inlineStr">
        <is>
          <t>GÄVLEBORGS LÄN</t>
        </is>
      </c>
      <c r="E9691" t="inlineStr">
        <is>
          <t>BOLLNÄS</t>
        </is>
      </c>
      <c r="G9691" t="n">
        <v>6.2</v>
      </c>
      <c r="H9691" t="n">
        <v>0</v>
      </c>
      <c r="I9691" t="n">
        <v>0</v>
      </c>
      <c r="J9691" t="n">
        <v>0</v>
      </c>
      <c r="K9691" t="n">
        <v>0</v>
      </c>
      <c r="L9691" t="n">
        <v>0</v>
      </c>
      <c r="M9691" t="n">
        <v>0</v>
      </c>
      <c r="N9691" t="n">
        <v>0</v>
      </c>
      <c r="O9691" t="n">
        <v>0</v>
      </c>
      <c r="P9691" t="n">
        <v>0</v>
      </c>
      <c r="Q9691" t="n">
        <v>0</v>
      </c>
      <c r="R9691" s="2" t="inlineStr"/>
    </row>
    <row r="9692" ht="15" customHeight="1">
      <c r="A9692" t="inlineStr">
        <is>
          <t>A 9340-2026</t>
        </is>
      </c>
      <c r="B9692" s="1" t="n">
        <v>46070.67569444444</v>
      </c>
      <c r="C9692" s="1" t="n">
        <v>46086</v>
      </c>
      <c r="D9692" t="inlineStr">
        <is>
          <t>GÄVLEBORGS LÄN</t>
        </is>
      </c>
      <c r="E9692" t="inlineStr">
        <is>
          <t>NORDANSTIG</t>
        </is>
      </c>
      <c r="G9692" t="n">
        <v>3.7</v>
      </c>
      <c r="H9692" t="n">
        <v>0</v>
      </c>
      <c r="I9692" t="n">
        <v>0</v>
      </c>
      <c r="J9692" t="n">
        <v>0</v>
      </c>
      <c r="K9692" t="n">
        <v>0</v>
      </c>
      <c r="L9692" t="n">
        <v>0</v>
      </c>
      <c r="M9692" t="n">
        <v>0</v>
      </c>
      <c r="N9692" t="n">
        <v>0</v>
      </c>
      <c r="O9692" t="n">
        <v>0</v>
      </c>
      <c r="P9692" t="n">
        <v>0</v>
      </c>
      <c r="Q9692" t="n">
        <v>0</v>
      </c>
      <c r="R9692" s="2" t="inlineStr"/>
    </row>
    <row r="9693" ht="15" customHeight="1">
      <c r="A9693" t="inlineStr">
        <is>
          <t>A 7113-2026</t>
        </is>
      </c>
      <c r="B9693" s="1" t="n">
        <v>46058</v>
      </c>
      <c r="C9693" s="1" t="n">
        <v>46086</v>
      </c>
      <c r="D9693" t="inlineStr">
        <is>
          <t>GÄVLEBORGS LÄN</t>
        </is>
      </c>
      <c r="E9693" t="inlineStr">
        <is>
          <t>OCKELBO</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7137-2026</t>
        </is>
      </c>
      <c r="B9694" s="1" t="n">
        <v>46058</v>
      </c>
      <c r="C9694" s="1" t="n">
        <v>46086</v>
      </c>
      <c r="D9694" t="inlineStr">
        <is>
          <t>GÄVLEBORGS LÄN</t>
        </is>
      </c>
      <c r="E9694" t="inlineStr">
        <is>
          <t>HUDIKSVALL</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9542-2026</t>
        </is>
      </c>
      <c r="B9695" s="1" t="n">
        <v>46071.62350694444</v>
      </c>
      <c r="C9695" s="1" t="n">
        <v>46086</v>
      </c>
      <c r="D9695" t="inlineStr">
        <is>
          <t>GÄVLEBORGS LÄN</t>
        </is>
      </c>
      <c r="E9695" t="inlineStr">
        <is>
          <t>OCKELBO</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9545-2026</t>
        </is>
      </c>
      <c r="B9696" s="1" t="n">
        <v>46071.62637731482</v>
      </c>
      <c r="C9696" s="1" t="n">
        <v>46086</v>
      </c>
      <c r="D9696" t="inlineStr">
        <is>
          <t>GÄVLEBORGS LÄN</t>
        </is>
      </c>
      <c r="E9696" t="inlineStr">
        <is>
          <t>BOLLNÄS</t>
        </is>
      </c>
      <c r="F9696" t="inlineStr">
        <is>
          <t>Sveaskog</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9553-2026</t>
        </is>
      </c>
      <c r="B9697" s="1" t="n">
        <v>46071.64030092592</v>
      </c>
      <c r="C9697" s="1" t="n">
        <v>46086</v>
      </c>
      <c r="D9697" t="inlineStr">
        <is>
          <t>GÄVLEBORGS LÄN</t>
        </is>
      </c>
      <c r="E9697" t="inlineStr">
        <is>
          <t>OCKELBO</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634-2026</t>
        </is>
      </c>
      <c r="B9698" s="1" t="n">
        <v>46029.55809027778</v>
      </c>
      <c r="C9698" s="1" t="n">
        <v>46086</v>
      </c>
      <c r="D9698" t="inlineStr">
        <is>
          <t>GÄVLEBORGS LÄN</t>
        </is>
      </c>
      <c r="E9698" t="inlineStr">
        <is>
          <t>HUDIKSVALL</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4054-2026</t>
        </is>
      </c>
      <c r="B9699" s="1" t="n">
        <v>46044</v>
      </c>
      <c r="C9699" s="1" t="n">
        <v>46086</v>
      </c>
      <c r="D9699" t="inlineStr">
        <is>
          <t>GÄVLEBORGS LÄN</t>
        </is>
      </c>
      <c r="E9699" t="inlineStr">
        <is>
          <t>BOLLNÄS</t>
        </is>
      </c>
      <c r="G9699" t="n">
        <v>26.1</v>
      </c>
      <c r="H9699" t="n">
        <v>0</v>
      </c>
      <c r="I9699" t="n">
        <v>0</v>
      </c>
      <c r="J9699" t="n">
        <v>0</v>
      </c>
      <c r="K9699" t="n">
        <v>0</v>
      </c>
      <c r="L9699" t="n">
        <v>0</v>
      </c>
      <c r="M9699" t="n">
        <v>0</v>
      </c>
      <c r="N9699" t="n">
        <v>0</v>
      </c>
      <c r="O9699" t="n">
        <v>0</v>
      </c>
      <c r="P9699" t="n">
        <v>0</v>
      </c>
      <c r="Q9699" t="n">
        <v>0</v>
      </c>
      <c r="R9699" s="2" t="inlineStr"/>
    </row>
    <row r="9700" ht="15" customHeight="1">
      <c r="A9700" t="inlineStr">
        <is>
          <t>A 5726-2026</t>
        </is>
      </c>
      <c r="B9700" s="1" t="n">
        <v>46051</v>
      </c>
      <c r="C9700" s="1" t="n">
        <v>46086</v>
      </c>
      <c r="D9700" t="inlineStr">
        <is>
          <t>GÄVLEBORGS LÄN</t>
        </is>
      </c>
      <c r="E9700" t="inlineStr">
        <is>
          <t>NORDANSTIG</t>
        </is>
      </c>
      <c r="F9700" t="inlineStr">
        <is>
          <t>Holmen skog AB</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4096-2026</t>
        </is>
      </c>
      <c r="B9701" s="1" t="n">
        <v>46044.56945601852</v>
      </c>
      <c r="C9701" s="1" t="n">
        <v>46086</v>
      </c>
      <c r="D9701" t="inlineStr">
        <is>
          <t>GÄVLEBORGS LÄN</t>
        </is>
      </c>
      <c r="E9701" t="inlineStr">
        <is>
          <t>SANDVIKEN</t>
        </is>
      </c>
      <c r="G9701" t="n">
        <v>8.800000000000001</v>
      </c>
      <c r="H9701" t="n">
        <v>0</v>
      </c>
      <c r="I9701" t="n">
        <v>0</v>
      </c>
      <c r="J9701" t="n">
        <v>0</v>
      </c>
      <c r="K9701" t="n">
        <v>0</v>
      </c>
      <c r="L9701" t="n">
        <v>0</v>
      </c>
      <c r="M9701" t="n">
        <v>0</v>
      </c>
      <c r="N9701" t="n">
        <v>0</v>
      </c>
      <c r="O9701" t="n">
        <v>0</v>
      </c>
      <c r="P9701" t="n">
        <v>0</v>
      </c>
      <c r="Q9701" t="n">
        <v>0</v>
      </c>
      <c r="R9701" s="2" t="inlineStr"/>
    </row>
    <row r="9702" ht="15" customHeight="1">
      <c r="A9702" t="inlineStr">
        <is>
          <t>A 5808-2026</t>
        </is>
      </c>
      <c r="B9702" s="1" t="n">
        <v>46051.82923611111</v>
      </c>
      <c r="C9702" s="1" t="n">
        <v>46086</v>
      </c>
      <c r="D9702" t="inlineStr">
        <is>
          <t>GÄVLEBORGS LÄN</t>
        </is>
      </c>
      <c r="E9702" t="inlineStr">
        <is>
          <t>BOLLNÄS</t>
        </is>
      </c>
      <c r="F9702" t="inlineStr">
        <is>
          <t>Kommuner</t>
        </is>
      </c>
      <c r="G9702" t="n">
        <v>8.9</v>
      </c>
      <c r="H9702" t="n">
        <v>0</v>
      </c>
      <c r="I9702" t="n">
        <v>0</v>
      </c>
      <c r="J9702" t="n">
        <v>0</v>
      </c>
      <c r="K9702" t="n">
        <v>0</v>
      </c>
      <c r="L9702" t="n">
        <v>0</v>
      </c>
      <c r="M9702" t="n">
        <v>0</v>
      </c>
      <c r="N9702" t="n">
        <v>0</v>
      </c>
      <c r="O9702" t="n">
        <v>0</v>
      </c>
      <c r="P9702" t="n">
        <v>0</v>
      </c>
      <c r="Q9702" t="n">
        <v>0</v>
      </c>
      <c r="R9702" s="2" t="inlineStr"/>
    </row>
    <row r="9703" ht="15" customHeight="1">
      <c r="A9703" t="inlineStr">
        <is>
          <t>A 5823-2026</t>
        </is>
      </c>
      <c r="B9703" s="1" t="n">
        <v>46052</v>
      </c>
      <c r="C9703" s="1" t="n">
        <v>46086</v>
      </c>
      <c r="D9703" t="inlineStr">
        <is>
          <t>GÄVLEBORGS LÄN</t>
        </is>
      </c>
      <c r="E9703" t="inlineStr">
        <is>
          <t>OVANÅKER</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9296-2026</t>
        </is>
      </c>
      <c r="B9704" s="1" t="n">
        <v>46070.59552083333</v>
      </c>
      <c r="C9704" s="1" t="n">
        <v>46086</v>
      </c>
      <c r="D9704" t="inlineStr">
        <is>
          <t>GÄVLEBORGS LÄN</t>
        </is>
      </c>
      <c r="E9704" t="inlineStr">
        <is>
          <t>HUDIKSVALL</t>
        </is>
      </c>
      <c r="F9704" t="inlineStr">
        <is>
          <t>Sveaskog</t>
        </is>
      </c>
      <c r="G9704" t="n">
        <v>5.3</v>
      </c>
      <c r="H9704" t="n">
        <v>0</v>
      </c>
      <c r="I9704" t="n">
        <v>0</v>
      </c>
      <c r="J9704" t="n">
        <v>0</v>
      </c>
      <c r="K9704" t="n">
        <v>0</v>
      </c>
      <c r="L9704" t="n">
        <v>0</v>
      </c>
      <c r="M9704" t="n">
        <v>0</v>
      </c>
      <c r="N9704" t="n">
        <v>0</v>
      </c>
      <c r="O9704" t="n">
        <v>0</v>
      </c>
      <c r="P9704" t="n">
        <v>0</v>
      </c>
      <c r="Q9704" t="n">
        <v>0</v>
      </c>
      <c r="R9704" s="2" t="inlineStr"/>
    </row>
    <row r="9705" ht="15" customHeight="1">
      <c r="A9705" t="inlineStr">
        <is>
          <t>A 9338-2026</t>
        </is>
      </c>
      <c r="B9705" s="1" t="n">
        <v>46070.67081018518</v>
      </c>
      <c r="C9705" s="1" t="n">
        <v>46086</v>
      </c>
      <c r="D9705" t="inlineStr">
        <is>
          <t>GÄVLEBORGS LÄN</t>
        </is>
      </c>
      <c r="E9705" t="inlineStr">
        <is>
          <t>OCKELBO</t>
        </is>
      </c>
      <c r="F9705" t="inlineStr">
        <is>
          <t>Bergvik skog väst AB</t>
        </is>
      </c>
      <c r="G9705" t="n">
        <v>6.1</v>
      </c>
      <c r="H9705" t="n">
        <v>0</v>
      </c>
      <c r="I9705" t="n">
        <v>0</v>
      </c>
      <c r="J9705" t="n">
        <v>0</v>
      </c>
      <c r="K9705" t="n">
        <v>0</v>
      </c>
      <c r="L9705" t="n">
        <v>0</v>
      </c>
      <c r="M9705" t="n">
        <v>0</v>
      </c>
      <c r="N9705" t="n">
        <v>0</v>
      </c>
      <c r="O9705" t="n">
        <v>0</v>
      </c>
      <c r="P9705" t="n">
        <v>0</v>
      </c>
      <c r="Q9705" t="n">
        <v>0</v>
      </c>
      <c r="R9705" s="2" t="inlineStr"/>
    </row>
    <row r="9706" ht="15" customHeight="1">
      <c r="A9706" t="inlineStr">
        <is>
          <t>A 9339-2026</t>
        </is>
      </c>
      <c r="B9706" s="1" t="n">
        <v>46070.67456018519</v>
      </c>
      <c r="C9706" s="1" t="n">
        <v>46086</v>
      </c>
      <c r="D9706" t="inlineStr">
        <is>
          <t>GÄVLEBORGS LÄN</t>
        </is>
      </c>
      <c r="E9706" t="inlineStr">
        <is>
          <t>HUDIKSVALL</t>
        </is>
      </c>
      <c r="F9706" t="inlineStr">
        <is>
          <t>Sveaskog</t>
        </is>
      </c>
      <c r="G9706" t="n">
        <v>2.9</v>
      </c>
      <c r="H9706" t="n">
        <v>0</v>
      </c>
      <c r="I9706" t="n">
        <v>0</v>
      </c>
      <c r="J9706" t="n">
        <v>0</v>
      </c>
      <c r="K9706" t="n">
        <v>0</v>
      </c>
      <c r="L9706" t="n">
        <v>0</v>
      </c>
      <c r="M9706" t="n">
        <v>0</v>
      </c>
      <c r="N9706" t="n">
        <v>0</v>
      </c>
      <c r="O9706" t="n">
        <v>0</v>
      </c>
      <c r="P9706" t="n">
        <v>0</v>
      </c>
      <c r="Q9706" t="n">
        <v>0</v>
      </c>
      <c r="R9706" s="2" t="inlineStr"/>
    </row>
    <row r="9707" ht="15" customHeight="1">
      <c r="A9707" t="inlineStr">
        <is>
          <t>A 9341-2026</t>
        </is>
      </c>
      <c r="B9707" s="1" t="n">
        <v>46070.67636574074</v>
      </c>
      <c r="C9707" s="1" t="n">
        <v>46086</v>
      </c>
      <c r="D9707" t="inlineStr">
        <is>
          <t>GÄVLEBORGS LÄN</t>
        </is>
      </c>
      <c r="E9707" t="inlineStr">
        <is>
          <t>BOLLNÄS</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9351-2026</t>
        </is>
      </c>
      <c r="B9708" s="1" t="n">
        <v>46070.69398148148</v>
      </c>
      <c r="C9708" s="1" t="n">
        <v>46086</v>
      </c>
      <c r="D9708" t="inlineStr">
        <is>
          <t>GÄVLEBORGS LÄN</t>
        </is>
      </c>
      <c r="E9708" t="inlineStr">
        <is>
          <t>BOLLNÄS</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20286-2023</t>
        </is>
      </c>
      <c r="B9709" s="1" t="n">
        <v>45056</v>
      </c>
      <c r="C9709" s="1" t="n">
        <v>46086</v>
      </c>
      <c r="D9709" t="inlineStr">
        <is>
          <t>GÄVLEBORGS LÄN</t>
        </is>
      </c>
      <c r="E9709" t="inlineStr">
        <is>
          <t>SÖDERHAMN</t>
        </is>
      </c>
      <c r="F9709" t="inlineStr">
        <is>
          <t>Bergvik skog väst AB</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9390-2026</t>
        </is>
      </c>
      <c r="B9710" s="1" t="n">
        <v>46071</v>
      </c>
      <c r="C9710" s="1" t="n">
        <v>46086</v>
      </c>
      <c r="D9710" t="inlineStr">
        <is>
          <t>GÄVLEBORGS LÄN</t>
        </is>
      </c>
      <c r="E9710" t="inlineStr">
        <is>
          <t>HUDIKSVALL</t>
        </is>
      </c>
      <c r="G9710" t="n">
        <v>10</v>
      </c>
      <c r="H9710" t="n">
        <v>0</v>
      </c>
      <c r="I9710" t="n">
        <v>0</v>
      </c>
      <c r="J9710" t="n">
        <v>0</v>
      </c>
      <c r="K9710" t="n">
        <v>0</v>
      </c>
      <c r="L9710" t="n">
        <v>0</v>
      </c>
      <c r="M9710" t="n">
        <v>0</v>
      </c>
      <c r="N9710" t="n">
        <v>0</v>
      </c>
      <c r="O9710" t="n">
        <v>0</v>
      </c>
      <c r="P9710" t="n">
        <v>0</v>
      </c>
      <c r="Q9710" t="n">
        <v>0</v>
      </c>
      <c r="R9710" s="2" t="inlineStr"/>
    </row>
    <row r="9711" ht="15" customHeight="1">
      <c r="A9711" t="inlineStr">
        <is>
          <t>A 5459-2026</t>
        </is>
      </c>
      <c r="B9711" s="1" t="n">
        <v>46050</v>
      </c>
      <c r="C9711" s="1" t="n">
        <v>46086</v>
      </c>
      <c r="D9711" t="inlineStr">
        <is>
          <t>GÄVLEBORGS LÄN</t>
        </is>
      </c>
      <c r="E9711" t="inlineStr">
        <is>
          <t>NORDANSTIG</t>
        </is>
      </c>
      <c r="G9711" t="n">
        <v>6.3</v>
      </c>
      <c r="H9711" t="n">
        <v>0</v>
      </c>
      <c r="I9711" t="n">
        <v>0</v>
      </c>
      <c r="J9711" t="n">
        <v>0</v>
      </c>
      <c r="K9711" t="n">
        <v>0</v>
      </c>
      <c r="L9711" t="n">
        <v>0</v>
      </c>
      <c r="M9711" t="n">
        <v>0</v>
      </c>
      <c r="N9711" t="n">
        <v>0</v>
      </c>
      <c r="O9711" t="n">
        <v>0</v>
      </c>
      <c r="P9711" t="n">
        <v>0</v>
      </c>
      <c r="Q9711" t="n">
        <v>0</v>
      </c>
      <c r="R9711" s="2" t="inlineStr"/>
    </row>
    <row r="9712" ht="15" customHeight="1">
      <c r="A9712" t="inlineStr">
        <is>
          <t>A 5572-2026</t>
        </is>
      </c>
      <c r="B9712" s="1" t="n">
        <v>46050</v>
      </c>
      <c r="C9712" s="1" t="n">
        <v>46086</v>
      </c>
      <c r="D9712" t="inlineStr">
        <is>
          <t>GÄVLEBORGS LÄN</t>
        </is>
      </c>
      <c r="E9712" t="inlineStr">
        <is>
          <t>BOLLNÄS</t>
        </is>
      </c>
      <c r="G9712" t="n">
        <v>3.8</v>
      </c>
      <c r="H9712" t="n">
        <v>0</v>
      </c>
      <c r="I9712" t="n">
        <v>0</v>
      </c>
      <c r="J9712" t="n">
        <v>0</v>
      </c>
      <c r="K9712" t="n">
        <v>0</v>
      </c>
      <c r="L9712" t="n">
        <v>0</v>
      </c>
      <c r="M9712" t="n">
        <v>0</v>
      </c>
      <c r="N9712" t="n">
        <v>0</v>
      </c>
      <c r="O9712" t="n">
        <v>0</v>
      </c>
      <c r="P9712" t="n">
        <v>0</v>
      </c>
      <c r="Q9712" t="n">
        <v>0</v>
      </c>
      <c r="R9712" s="2" t="inlineStr"/>
    </row>
    <row r="9713" ht="15" customHeight="1">
      <c r="A9713" t="inlineStr">
        <is>
          <t>A 20331-2023</t>
        </is>
      </c>
      <c r="B9713" s="1" t="n">
        <v>45056.4747337963</v>
      </c>
      <c r="C9713" s="1" t="n">
        <v>46086</v>
      </c>
      <c r="D9713" t="inlineStr">
        <is>
          <t>GÄVLEBORGS LÄN</t>
        </is>
      </c>
      <c r="E9713" t="inlineStr">
        <is>
          <t>OVANÅKER</t>
        </is>
      </c>
      <c r="G9713" t="n">
        <v>5.1</v>
      </c>
      <c r="H9713" t="n">
        <v>0</v>
      </c>
      <c r="I9713" t="n">
        <v>0</v>
      </c>
      <c r="J9713" t="n">
        <v>0</v>
      </c>
      <c r="K9713" t="n">
        <v>0</v>
      </c>
      <c r="L9713" t="n">
        <v>0</v>
      </c>
      <c r="M9713" t="n">
        <v>0</v>
      </c>
      <c r="N9713" t="n">
        <v>0</v>
      </c>
      <c r="O9713" t="n">
        <v>0</v>
      </c>
      <c r="P9713" t="n">
        <v>0</v>
      </c>
      <c r="Q9713" t="n">
        <v>0</v>
      </c>
      <c r="R9713" s="2" t="inlineStr"/>
    </row>
    <row r="9714" ht="15" customHeight="1">
      <c r="A9714" t="inlineStr">
        <is>
          <t>A 5610-2026</t>
        </is>
      </c>
      <c r="B9714" s="1" t="n">
        <v>46051</v>
      </c>
      <c r="C9714" s="1" t="n">
        <v>46086</v>
      </c>
      <c r="D9714" t="inlineStr">
        <is>
          <t>GÄVLEBORGS LÄN</t>
        </is>
      </c>
      <c r="E9714" t="inlineStr">
        <is>
          <t>HUDIKSVALL</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39335-2025</t>
        </is>
      </c>
      <c r="B9715" s="1" t="n">
        <v>45889</v>
      </c>
      <c r="C9715" s="1" t="n">
        <v>46086</v>
      </c>
      <c r="D9715" t="inlineStr">
        <is>
          <t>GÄVLEBORGS LÄN</t>
        </is>
      </c>
      <c r="E9715" t="inlineStr">
        <is>
          <t>HUDIKSVALL</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6148-2026</t>
        </is>
      </c>
      <c r="B9716" s="1" t="n">
        <v>46054</v>
      </c>
      <c r="C9716" s="1" t="n">
        <v>46086</v>
      </c>
      <c r="D9716" t="inlineStr">
        <is>
          <t>GÄVLEBORGS LÄN</t>
        </is>
      </c>
      <c r="E9716" t="inlineStr">
        <is>
          <t>OVANÅKER</t>
        </is>
      </c>
      <c r="G9716" t="n">
        <v>3.9</v>
      </c>
      <c r="H9716" t="n">
        <v>0</v>
      </c>
      <c r="I9716" t="n">
        <v>0</v>
      </c>
      <c r="J9716" t="n">
        <v>0</v>
      </c>
      <c r="K9716" t="n">
        <v>0</v>
      </c>
      <c r="L9716" t="n">
        <v>0</v>
      </c>
      <c r="M9716" t="n">
        <v>0</v>
      </c>
      <c r="N9716" t="n">
        <v>0</v>
      </c>
      <c r="O9716" t="n">
        <v>0</v>
      </c>
      <c r="P9716" t="n">
        <v>0</v>
      </c>
      <c r="Q9716" t="n">
        <v>0</v>
      </c>
      <c r="R9716" s="2" t="inlineStr"/>
    </row>
    <row r="9717" ht="15" customHeight="1">
      <c r="A9717" t="inlineStr">
        <is>
          <t>A 6175-2026</t>
        </is>
      </c>
      <c r="B9717" s="1" t="n">
        <v>46055</v>
      </c>
      <c r="C9717" s="1" t="n">
        <v>46086</v>
      </c>
      <c r="D9717" t="inlineStr">
        <is>
          <t>GÄVLEBORGS LÄN</t>
        </is>
      </c>
      <c r="E9717" t="inlineStr">
        <is>
          <t>OVANÅKER</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9266-2026</t>
        </is>
      </c>
      <c r="B9718" s="1" t="n">
        <v>46070.53936342592</v>
      </c>
      <c r="C9718" s="1" t="n">
        <v>46086</v>
      </c>
      <c r="D9718" t="inlineStr">
        <is>
          <t>GÄVLEBORGS LÄN</t>
        </is>
      </c>
      <c r="E9718" t="inlineStr">
        <is>
          <t>BOLLNÄS</t>
        </is>
      </c>
      <c r="G9718" t="n">
        <v>7.9</v>
      </c>
      <c r="H9718" t="n">
        <v>0</v>
      </c>
      <c r="I9718" t="n">
        <v>0</v>
      </c>
      <c r="J9718" t="n">
        <v>0</v>
      </c>
      <c r="K9718" t="n">
        <v>0</v>
      </c>
      <c r="L9718" t="n">
        <v>0</v>
      </c>
      <c r="M9718" t="n">
        <v>0</v>
      </c>
      <c r="N9718" t="n">
        <v>0</v>
      </c>
      <c r="O9718" t="n">
        <v>0</v>
      </c>
      <c r="P9718" t="n">
        <v>0</v>
      </c>
      <c r="Q9718" t="n">
        <v>0</v>
      </c>
      <c r="R9718" s="2" t="inlineStr"/>
    </row>
    <row r="9719" ht="15" customHeight="1">
      <c r="A9719" t="inlineStr">
        <is>
          <t>A 9271-2026</t>
        </is>
      </c>
      <c r="B9719" s="1" t="n">
        <v>46070.55806712963</v>
      </c>
      <c r="C9719" s="1" t="n">
        <v>46086</v>
      </c>
      <c r="D9719" t="inlineStr">
        <is>
          <t>GÄVLEBORGS LÄN</t>
        </is>
      </c>
      <c r="E9719" t="inlineStr">
        <is>
          <t>NORDANSTIG</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9548-2026</t>
        </is>
      </c>
      <c r="B9720" s="1" t="n">
        <v>46071.63234953704</v>
      </c>
      <c r="C9720" s="1" t="n">
        <v>46086</v>
      </c>
      <c r="D9720" t="inlineStr">
        <is>
          <t>GÄVLEBORGS LÄN</t>
        </is>
      </c>
      <c r="E9720" t="inlineStr">
        <is>
          <t>HUDIKSVALL</t>
        </is>
      </c>
      <c r="F9720" t="inlineStr">
        <is>
          <t>Sveaskog</t>
        </is>
      </c>
      <c r="G9720" t="n">
        <v>5.2</v>
      </c>
      <c r="H9720" t="n">
        <v>0</v>
      </c>
      <c r="I9720" t="n">
        <v>0</v>
      </c>
      <c r="J9720" t="n">
        <v>0</v>
      </c>
      <c r="K9720" t="n">
        <v>0</v>
      </c>
      <c r="L9720" t="n">
        <v>0</v>
      </c>
      <c r="M9720" t="n">
        <v>0</v>
      </c>
      <c r="N9720" t="n">
        <v>0</v>
      </c>
      <c r="O9720" t="n">
        <v>0</v>
      </c>
      <c r="P9720" t="n">
        <v>0</v>
      </c>
      <c r="Q9720" t="n">
        <v>0</v>
      </c>
      <c r="R9720" s="2" t="inlineStr"/>
    </row>
    <row r="9721" ht="15" customHeight="1">
      <c r="A9721" t="inlineStr">
        <is>
          <t>A 4080-2026</t>
        </is>
      </c>
      <c r="B9721" s="1" t="n">
        <v>46044</v>
      </c>
      <c r="C9721" s="1" t="n">
        <v>46086</v>
      </c>
      <c r="D9721" t="inlineStr">
        <is>
          <t>GÄVLEBORGS LÄN</t>
        </is>
      </c>
      <c r="E9721" t="inlineStr">
        <is>
          <t>BOLLNÄS</t>
        </is>
      </c>
      <c r="F9721" t="inlineStr">
        <is>
          <t>Bergvik skog väst AB</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4115-2026</t>
        </is>
      </c>
      <c r="B9722" s="1" t="n">
        <v>46044</v>
      </c>
      <c r="C9722" s="1" t="n">
        <v>46086</v>
      </c>
      <c r="D9722" t="inlineStr">
        <is>
          <t>GÄVLEBORGS LÄN</t>
        </is>
      </c>
      <c r="E9722" t="inlineStr">
        <is>
          <t>SANDVIKEN</t>
        </is>
      </c>
      <c r="G9722" t="n">
        <v>5.7</v>
      </c>
      <c r="H9722" t="n">
        <v>0</v>
      </c>
      <c r="I9722" t="n">
        <v>0</v>
      </c>
      <c r="J9722" t="n">
        <v>0</v>
      </c>
      <c r="K9722" t="n">
        <v>0</v>
      </c>
      <c r="L9722" t="n">
        <v>0</v>
      </c>
      <c r="M9722" t="n">
        <v>0</v>
      </c>
      <c r="N9722" t="n">
        <v>0</v>
      </c>
      <c r="O9722" t="n">
        <v>0</v>
      </c>
      <c r="P9722" t="n">
        <v>0</v>
      </c>
      <c r="Q9722" t="n">
        <v>0</v>
      </c>
      <c r="R9722" s="2" t="inlineStr"/>
    </row>
    <row r="9723" ht="15" customHeight="1">
      <c r="A9723" t="inlineStr">
        <is>
          <t>A 4145-2026</t>
        </is>
      </c>
      <c r="B9723" s="1" t="n">
        <v>46044</v>
      </c>
      <c r="C9723" s="1" t="n">
        <v>46086</v>
      </c>
      <c r="D9723" t="inlineStr">
        <is>
          <t>GÄVLEBORGS LÄN</t>
        </is>
      </c>
      <c r="E9723" t="inlineStr">
        <is>
          <t>HUDIKSVALL</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9533-2026</t>
        </is>
      </c>
      <c r="B9724" s="1" t="n">
        <v>46071.61076388889</v>
      </c>
      <c r="C9724" s="1" t="n">
        <v>46086</v>
      </c>
      <c r="D9724" t="inlineStr">
        <is>
          <t>GÄVLEBORGS LÄN</t>
        </is>
      </c>
      <c r="E9724" t="inlineStr">
        <is>
          <t>BOLLNÄS</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9534-2026</t>
        </is>
      </c>
      <c r="B9725" s="1" t="n">
        <v>46071.61324074074</v>
      </c>
      <c r="C9725" s="1" t="n">
        <v>46086</v>
      </c>
      <c r="D9725" t="inlineStr">
        <is>
          <t>GÄVLEBORGS LÄN</t>
        </is>
      </c>
      <c r="E9725" t="inlineStr">
        <is>
          <t>GÄVLE</t>
        </is>
      </c>
      <c r="F9725" t="inlineStr">
        <is>
          <t>Bergvik skog väst AB</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8430-2026</t>
        </is>
      </c>
      <c r="B9726" s="1" t="n">
        <v>46065</v>
      </c>
      <c r="C9726" s="1" t="n">
        <v>46086</v>
      </c>
      <c r="D9726" t="inlineStr">
        <is>
          <t>GÄVLEBORGS LÄN</t>
        </is>
      </c>
      <c r="E9726" t="inlineStr">
        <is>
          <t>NORDANSTIG</t>
        </is>
      </c>
      <c r="F9726" t="inlineStr">
        <is>
          <t>Holmen skog AB</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9141-2026</t>
        </is>
      </c>
      <c r="B9727" s="1" t="n">
        <v>46069.92771990741</v>
      </c>
      <c r="C9727" s="1" t="n">
        <v>46086</v>
      </c>
      <c r="D9727" t="inlineStr">
        <is>
          <t>GÄVLEBORGS LÄN</t>
        </is>
      </c>
      <c r="E9727" t="inlineStr">
        <is>
          <t>SANDVIKEN</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1075-2026</t>
        </is>
      </c>
      <c r="B9728" s="1" t="n">
        <v>46030</v>
      </c>
      <c r="C9728" s="1" t="n">
        <v>46086</v>
      </c>
      <c r="D9728" t="inlineStr">
        <is>
          <t>GÄVLEBORGS LÄN</t>
        </is>
      </c>
      <c r="E9728" t="inlineStr">
        <is>
          <t>SÖDERHAMN</t>
        </is>
      </c>
      <c r="G9728" t="n">
        <v>3.3</v>
      </c>
      <c r="H9728" t="n">
        <v>0</v>
      </c>
      <c r="I9728" t="n">
        <v>0</v>
      </c>
      <c r="J9728" t="n">
        <v>0</v>
      </c>
      <c r="K9728" t="n">
        <v>0</v>
      </c>
      <c r="L9728" t="n">
        <v>0</v>
      </c>
      <c r="M9728" t="n">
        <v>0</v>
      </c>
      <c r="N9728" t="n">
        <v>0</v>
      </c>
      <c r="O9728" t="n">
        <v>0</v>
      </c>
      <c r="P9728" t="n">
        <v>0</v>
      </c>
      <c r="Q9728" t="n">
        <v>0</v>
      </c>
      <c r="R9728" s="2" t="inlineStr"/>
    </row>
    <row r="9729" ht="15" customHeight="1">
      <c r="A9729" t="inlineStr">
        <is>
          <t>A 608-2026</t>
        </is>
      </c>
      <c r="B9729" s="1" t="n">
        <v>46029.5127199074</v>
      </c>
      <c r="C9729" s="1" t="n">
        <v>46086</v>
      </c>
      <c r="D9729" t="inlineStr">
        <is>
          <t>GÄVLEBORGS LÄN</t>
        </is>
      </c>
      <c r="E9729" t="inlineStr">
        <is>
          <t>BOLLNÄS</t>
        </is>
      </c>
      <c r="G9729" t="n">
        <v>3.4</v>
      </c>
      <c r="H9729" t="n">
        <v>0</v>
      </c>
      <c r="I9729" t="n">
        <v>0</v>
      </c>
      <c r="J9729" t="n">
        <v>0</v>
      </c>
      <c r="K9729" t="n">
        <v>0</v>
      </c>
      <c r="L9729" t="n">
        <v>0</v>
      </c>
      <c r="M9729" t="n">
        <v>0</v>
      </c>
      <c r="N9729" t="n">
        <v>0</v>
      </c>
      <c r="O9729" t="n">
        <v>0</v>
      </c>
      <c r="P9729" t="n">
        <v>0</v>
      </c>
      <c r="Q9729" t="n">
        <v>0</v>
      </c>
      <c r="R9729" s="2" t="inlineStr"/>
    </row>
    <row r="9730" ht="15" customHeight="1">
      <c r="A9730" t="inlineStr">
        <is>
          <t>A 6066-2026</t>
        </is>
      </c>
      <c r="B9730" s="1" t="n">
        <v>46052</v>
      </c>
      <c r="C9730" s="1" t="n">
        <v>46086</v>
      </c>
      <c r="D9730" t="inlineStr">
        <is>
          <t>GÄVLEBORGS LÄN</t>
        </is>
      </c>
      <c r="E9730" t="inlineStr">
        <is>
          <t>HUDIKSVALL</t>
        </is>
      </c>
      <c r="G9730" t="n">
        <v>2.5</v>
      </c>
      <c r="H9730" t="n">
        <v>0</v>
      </c>
      <c r="I9730" t="n">
        <v>0</v>
      </c>
      <c r="J9730" t="n">
        <v>0</v>
      </c>
      <c r="K9730" t="n">
        <v>0</v>
      </c>
      <c r="L9730" t="n">
        <v>0</v>
      </c>
      <c r="M9730" t="n">
        <v>0</v>
      </c>
      <c r="N9730" t="n">
        <v>0</v>
      </c>
      <c r="O9730" t="n">
        <v>0</v>
      </c>
      <c r="P9730" t="n">
        <v>0</v>
      </c>
      <c r="Q9730" t="n">
        <v>0</v>
      </c>
      <c r="R9730" s="2" t="inlineStr"/>
    </row>
    <row r="9731" ht="15" customHeight="1">
      <c r="A9731" t="inlineStr">
        <is>
          <t>A 460-2026</t>
        </is>
      </c>
      <c r="B9731" s="1" t="n">
        <v>46029.37524305555</v>
      </c>
      <c r="C9731" s="1" t="n">
        <v>46086</v>
      </c>
      <c r="D9731" t="inlineStr">
        <is>
          <t>GÄVLEBORGS LÄN</t>
        </is>
      </c>
      <c r="E9731" t="inlineStr">
        <is>
          <t>HUDIKSVALL</t>
        </is>
      </c>
      <c r="G9731" t="n">
        <v>2.5</v>
      </c>
      <c r="H9731" t="n">
        <v>0</v>
      </c>
      <c r="I9731" t="n">
        <v>0</v>
      </c>
      <c r="J9731" t="n">
        <v>0</v>
      </c>
      <c r="K9731" t="n">
        <v>0</v>
      </c>
      <c r="L9731" t="n">
        <v>0</v>
      </c>
      <c r="M9731" t="n">
        <v>0</v>
      </c>
      <c r="N9731" t="n">
        <v>0</v>
      </c>
      <c r="O9731" t="n">
        <v>0</v>
      </c>
      <c r="P9731" t="n">
        <v>0</v>
      </c>
      <c r="Q9731" t="n">
        <v>0</v>
      </c>
      <c r="R9731" s="2" t="inlineStr"/>
    </row>
    <row r="9732" ht="15" customHeight="1">
      <c r="A9732" t="inlineStr">
        <is>
          <t>A 463-2026</t>
        </is>
      </c>
      <c r="B9732" s="1" t="n">
        <v>46029.38326388889</v>
      </c>
      <c r="C9732" s="1" t="n">
        <v>46086</v>
      </c>
      <c r="D9732" t="inlineStr">
        <is>
          <t>GÄVLEBORGS LÄN</t>
        </is>
      </c>
      <c r="E9732" t="inlineStr">
        <is>
          <t>OCKELBO</t>
        </is>
      </c>
      <c r="G9732" t="n">
        <v>6.6</v>
      </c>
      <c r="H9732" t="n">
        <v>0</v>
      </c>
      <c r="I9732" t="n">
        <v>0</v>
      </c>
      <c r="J9732" t="n">
        <v>0</v>
      </c>
      <c r="K9732" t="n">
        <v>0</v>
      </c>
      <c r="L9732" t="n">
        <v>0</v>
      </c>
      <c r="M9732" t="n">
        <v>0</v>
      </c>
      <c r="N9732" t="n">
        <v>0</v>
      </c>
      <c r="O9732" t="n">
        <v>0</v>
      </c>
      <c r="P9732" t="n">
        <v>0</v>
      </c>
      <c r="Q9732" t="n">
        <v>0</v>
      </c>
      <c r="R9732" s="2" t="inlineStr"/>
    </row>
    <row r="9733" ht="15" customHeight="1">
      <c r="A9733" t="inlineStr">
        <is>
          <t>A 10060-2026</t>
        </is>
      </c>
      <c r="B9733" s="1" t="n">
        <v>46073.62484953704</v>
      </c>
      <c r="C9733" s="1" t="n">
        <v>46086</v>
      </c>
      <c r="D9733" t="inlineStr">
        <is>
          <t>GÄVLEBORGS LÄN</t>
        </is>
      </c>
      <c r="E9733" t="inlineStr">
        <is>
          <t>OVANÅKER</t>
        </is>
      </c>
      <c r="G9733" t="n">
        <v>11.8</v>
      </c>
      <c r="H9733" t="n">
        <v>0</v>
      </c>
      <c r="I9733" t="n">
        <v>0</v>
      </c>
      <c r="J9733" t="n">
        <v>0</v>
      </c>
      <c r="K9733" t="n">
        <v>0</v>
      </c>
      <c r="L9733" t="n">
        <v>0</v>
      </c>
      <c r="M9733" t="n">
        <v>0</v>
      </c>
      <c r="N9733" t="n">
        <v>0</v>
      </c>
      <c r="O9733" t="n">
        <v>0</v>
      </c>
      <c r="P9733" t="n">
        <v>0</v>
      </c>
      <c r="Q9733" t="n">
        <v>0</v>
      </c>
      <c r="R9733" s="2" t="inlineStr"/>
    </row>
    <row r="9734" ht="15" customHeight="1">
      <c r="A9734" t="inlineStr">
        <is>
          <t>A 58445-2021</t>
        </is>
      </c>
      <c r="B9734" s="1" t="n">
        <v>44488.57009259259</v>
      </c>
      <c r="C9734" s="1" t="n">
        <v>46086</v>
      </c>
      <c r="D9734" t="inlineStr">
        <is>
          <t>GÄVLEBORGS LÄN</t>
        </is>
      </c>
      <c r="E9734" t="inlineStr">
        <is>
          <t>GÄVLE</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9653-2026</t>
        </is>
      </c>
      <c r="B9735" s="1" t="n">
        <v>46072.36167824074</v>
      </c>
      <c r="C9735" s="1" t="n">
        <v>46086</v>
      </c>
      <c r="D9735" t="inlineStr">
        <is>
          <t>GÄVLEBORGS LÄN</t>
        </is>
      </c>
      <c r="E9735" t="inlineStr">
        <is>
          <t>SANDVIKEN</t>
        </is>
      </c>
      <c r="G9735" t="n">
        <v>5</v>
      </c>
      <c r="H9735" t="n">
        <v>0</v>
      </c>
      <c r="I9735" t="n">
        <v>0</v>
      </c>
      <c r="J9735" t="n">
        <v>0</v>
      </c>
      <c r="K9735" t="n">
        <v>0</v>
      </c>
      <c r="L9735" t="n">
        <v>0</v>
      </c>
      <c r="M9735" t="n">
        <v>0</v>
      </c>
      <c r="N9735" t="n">
        <v>0</v>
      </c>
      <c r="O9735" t="n">
        <v>0</v>
      </c>
      <c r="P9735" t="n">
        <v>0</v>
      </c>
      <c r="Q9735" t="n">
        <v>0</v>
      </c>
      <c r="R9735" s="2" t="inlineStr"/>
    </row>
    <row r="9736" ht="15" customHeight="1">
      <c r="A9736" t="inlineStr">
        <is>
          <t>A 9678-2026</t>
        </is>
      </c>
      <c r="B9736" s="1" t="n">
        <v>46072.38375</v>
      </c>
      <c r="C9736" s="1" t="n">
        <v>46086</v>
      </c>
      <c r="D9736" t="inlineStr">
        <is>
          <t>GÄVLEBORGS LÄN</t>
        </is>
      </c>
      <c r="E9736" t="inlineStr">
        <is>
          <t>BOLLNÄS</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10068-2026</t>
        </is>
      </c>
      <c r="B9737" s="1" t="n">
        <v>46073.63795138889</v>
      </c>
      <c r="C9737" s="1" t="n">
        <v>46086</v>
      </c>
      <c r="D9737" t="inlineStr">
        <is>
          <t>GÄVLEBORGS LÄN</t>
        </is>
      </c>
      <c r="E9737" t="inlineStr">
        <is>
          <t>OVANÅKER</t>
        </is>
      </c>
      <c r="G9737" t="n">
        <v>7.8</v>
      </c>
      <c r="H9737" t="n">
        <v>0</v>
      </c>
      <c r="I9737" t="n">
        <v>0</v>
      </c>
      <c r="J9737" t="n">
        <v>0</v>
      </c>
      <c r="K9737" t="n">
        <v>0</v>
      </c>
      <c r="L9737" t="n">
        <v>0</v>
      </c>
      <c r="M9737" t="n">
        <v>0</v>
      </c>
      <c r="N9737" t="n">
        <v>0</v>
      </c>
      <c r="O9737" t="n">
        <v>0</v>
      </c>
      <c r="P9737" t="n">
        <v>0</v>
      </c>
      <c r="Q9737" t="n">
        <v>0</v>
      </c>
      <c r="R9737" s="2" t="inlineStr"/>
    </row>
    <row r="9738" ht="15" customHeight="1">
      <c r="A9738" t="inlineStr">
        <is>
          <t>A 13745-2023</t>
        </is>
      </c>
      <c r="B9738" s="1" t="n">
        <v>45007</v>
      </c>
      <c r="C9738" s="1" t="n">
        <v>46086</v>
      </c>
      <c r="D9738" t="inlineStr">
        <is>
          <t>GÄVLEBORGS LÄN</t>
        </is>
      </c>
      <c r="E9738" t="inlineStr">
        <is>
          <t>HOFORS</t>
        </is>
      </c>
      <c r="F9738" t="inlineStr">
        <is>
          <t>Övriga statliga verk och myndigheter</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10073-2026</t>
        </is>
      </c>
      <c r="B9739" s="1" t="n">
        <v>46073.64445601852</v>
      </c>
      <c r="C9739" s="1" t="n">
        <v>46086</v>
      </c>
      <c r="D9739" t="inlineStr">
        <is>
          <t>GÄVLEBORGS LÄN</t>
        </is>
      </c>
      <c r="E9739" t="inlineStr">
        <is>
          <t>HUDIKSVALL</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10003-2026</t>
        </is>
      </c>
      <c r="B9740" s="1" t="n">
        <v>46073.56353009259</v>
      </c>
      <c r="C9740" s="1" t="n">
        <v>46086</v>
      </c>
      <c r="D9740" t="inlineStr">
        <is>
          <t>GÄVLEBORGS LÄN</t>
        </is>
      </c>
      <c r="E9740" t="inlineStr">
        <is>
          <t>BOLLNÄS</t>
        </is>
      </c>
      <c r="G9740" t="n">
        <v>8.5</v>
      </c>
      <c r="H9740" t="n">
        <v>0</v>
      </c>
      <c r="I9740" t="n">
        <v>0</v>
      </c>
      <c r="J9740" t="n">
        <v>0</v>
      </c>
      <c r="K9740" t="n">
        <v>0</v>
      </c>
      <c r="L9740" t="n">
        <v>0</v>
      </c>
      <c r="M9740" t="n">
        <v>0</v>
      </c>
      <c r="N9740" t="n">
        <v>0</v>
      </c>
      <c r="O9740" t="n">
        <v>0</v>
      </c>
      <c r="P9740" t="n">
        <v>0</v>
      </c>
      <c r="Q9740" t="n">
        <v>0</v>
      </c>
      <c r="R9740" s="2" t="inlineStr"/>
    </row>
    <row r="9741" ht="15" customHeight="1">
      <c r="A9741" t="inlineStr">
        <is>
          <t>A 10006-2026</t>
        </is>
      </c>
      <c r="B9741" s="1" t="n">
        <v>46073.56648148148</v>
      </c>
      <c r="C9741" s="1" t="n">
        <v>46086</v>
      </c>
      <c r="D9741" t="inlineStr">
        <is>
          <t>GÄVLEBORGS LÄN</t>
        </is>
      </c>
      <c r="E9741" t="inlineStr">
        <is>
          <t>BOLLNÄS</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10007-2026</t>
        </is>
      </c>
      <c r="B9742" s="1" t="n">
        <v>46073.56710648148</v>
      </c>
      <c r="C9742" s="1" t="n">
        <v>46086</v>
      </c>
      <c r="D9742" t="inlineStr">
        <is>
          <t>GÄVLEBORGS LÄN</t>
        </is>
      </c>
      <c r="E9742" t="inlineStr">
        <is>
          <t>BOLLNÄS</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10009-2026</t>
        </is>
      </c>
      <c r="B9743" s="1" t="n">
        <v>46073.56841435185</v>
      </c>
      <c r="C9743" s="1" t="n">
        <v>46086</v>
      </c>
      <c r="D9743" t="inlineStr">
        <is>
          <t>GÄVLEBORGS LÄN</t>
        </is>
      </c>
      <c r="E9743" t="inlineStr">
        <is>
          <t>BOLLNÄS</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10022-2026</t>
        </is>
      </c>
      <c r="B9744" s="1" t="n">
        <v>46073.58239583333</v>
      </c>
      <c r="C9744" s="1" t="n">
        <v>46086</v>
      </c>
      <c r="D9744" t="inlineStr">
        <is>
          <t>GÄVLEBORGS LÄN</t>
        </is>
      </c>
      <c r="E9744" t="inlineStr">
        <is>
          <t>SANDVIKEN</t>
        </is>
      </c>
      <c r="F9744" t="inlineStr">
        <is>
          <t>Sveaskog</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10024-2026</t>
        </is>
      </c>
      <c r="B9745" s="1" t="n">
        <v>46073.58351851852</v>
      </c>
      <c r="C9745" s="1" t="n">
        <v>46086</v>
      </c>
      <c r="D9745" t="inlineStr">
        <is>
          <t>GÄVLEBORGS LÄN</t>
        </is>
      </c>
      <c r="E9745" t="inlineStr">
        <is>
          <t>SANDVIKEN</t>
        </is>
      </c>
      <c r="F9745" t="inlineStr">
        <is>
          <t>Sveaskog</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10039-2026</t>
        </is>
      </c>
      <c r="B9746" s="1" t="n">
        <v>46073.59763888889</v>
      </c>
      <c r="C9746" s="1" t="n">
        <v>46086</v>
      </c>
      <c r="D9746" t="inlineStr">
        <is>
          <t>GÄVLEBORGS LÄN</t>
        </is>
      </c>
      <c r="E9746" t="inlineStr">
        <is>
          <t>BOLLNÄS</t>
        </is>
      </c>
      <c r="G9746" t="n">
        <v>2.4</v>
      </c>
      <c r="H9746" t="n">
        <v>0</v>
      </c>
      <c r="I9746" t="n">
        <v>0</v>
      </c>
      <c r="J9746" t="n">
        <v>0</v>
      </c>
      <c r="K9746" t="n">
        <v>0</v>
      </c>
      <c r="L9746" t="n">
        <v>0</v>
      </c>
      <c r="M9746" t="n">
        <v>0</v>
      </c>
      <c r="N9746" t="n">
        <v>0</v>
      </c>
      <c r="O9746" t="n">
        <v>0</v>
      </c>
      <c r="P9746" t="n">
        <v>0</v>
      </c>
      <c r="Q9746" t="n">
        <v>0</v>
      </c>
      <c r="R9746" s="2" t="inlineStr"/>
    </row>
    <row r="9747" ht="15" customHeight="1">
      <c r="A9747" t="inlineStr">
        <is>
          <t>A 1213-2026</t>
        </is>
      </c>
      <c r="B9747" s="1" t="n">
        <v>46031</v>
      </c>
      <c r="C9747" s="1" t="n">
        <v>46086</v>
      </c>
      <c r="D9747" t="inlineStr">
        <is>
          <t>GÄVLEBORGS LÄN</t>
        </is>
      </c>
      <c r="E9747" t="inlineStr">
        <is>
          <t>BOLLNÄS</t>
        </is>
      </c>
      <c r="G9747" t="n">
        <v>15.2</v>
      </c>
      <c r="H9747" t="n">
        <v>0</v>
      </c>
      <c r="I9747" t="n">
        <v>0</v>
      </c>
      <c r="J9747" t="n">
        <v>0</v>
      </c>
      <c r="K9747" t="n">
        <v>0</v>
      </c>
      <c r="L9747" t="n">
        <v>0</v>
      </c>
      <c r="M9747" t="n">
        <v>0</v>
      </c>
      <c r="N9747" t="n">
        <v>0</v>
      </c>
      <c r="O9747" t="n">
        <v>0</v>
      </c>
      <c r="P9747" t="n">
        <v>0</v>
      </c>
      <c r="Q9747" t="n">
        <v>0</v>
      </c>
      <c r="R9747" s="2" t="inlineStr"/>
    </row>
    <row r="9748" ht="15" customHeight="1">
      <c r="A9748" t="inlineStr">
        <is>
          <t>A 34094-2023</t>
        </is>
      </c>
      <c r="B9748" s="1" t="n">
        <v>45135.5841087963</v>
      </c>
      <c r="C9748" s="1" t="n">
        <v>46086</v>
      </c>
      <c r="D9748" t="inlineStr">
        <is>
          <t>GÄVLEBORGS LÄN</t>
        </is>
      </c>
      <c r="E9748" t="inlineStr">
        <is>
          <t>LJUSDAL</t>
        </is>
      </c>
      <c r="F9748" t="inlineStr">
        <is>
          <t>Holmen skog AB</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1245-2026</t>
        </is>
      </c>
      <c r="B9749" s="1" t="n">
        <v>46031.42657407407</v>
      </c>
      <c r="C9749" s="1" t="n">
        <v>46086</v>
      </c>
      <c r="D9749" t="inlineStr">
        <is>
          <t>GÄVLEBORGS LÄN</t>
        </is>
      </c>
      <c r="E9749" t="inlineStr">
        <is>
          <t>LJUSDAL</t>
        </is>
      </c>
      <c r="G9749" t="n">
        <v>3.4</v>
      </c>
      <c r="H9749" t="n">
        <v>0</v>
      </c>
      <c r="I9749" t="n">
        <v>0</v>
      </c>
      <c r="J9749" t="n">
        <v>0</v>
      </c>
      <c r="K9749" t="n">
        <v>0</v>
      </c>
      <c r="L9749" t="n">
        <v>0</v>
      </c>
      <c r="M9749" t="n">
        <v>0</v>
      </c>
      <c r="N9749" t="n">
        <v>0</v>
      </c>
      <c r="O9749" t="n">
        <v>0</v>
      </c>
      <c r="P9749" t="n">
        <v>0</v>
      </c>
      <c r="Q9749" t="n">
        <v>0</v>
      </c>
      <c r="R9749" s="2" t="inlineStr"/>
    </row>
    <row r="9750" ht="15" customHeight="1">
      <c r="A9750" t="inlineStr">
        <is>
          <t>A 55216-2024</t>
        </is>
      </c>
      <c r="B9750" s="1" t="n">
        <v>45621.57118055555</v>
      </c>
      <c r="C9750" s="1" t="n">
        <v>46086</v>
      </c>
      <c r="D9750" t="inlineStr">
        <is>
          <t>GÄVLEBORGS LÄN</t>
        </is>
      </c>
      <c r="E9750" t="inlineStr">
        <is>
          <t>OCKELBO</t>
        </is>
      </c>
      <c r="F9750" t="inlineStr">
        <is>
          <t>Bergvik skog väst AB</t>
        </is>
      </c>
      <c r="G9750" t="n">
        <v>2.6</v>
      </c>
      <c r="H9750" t="n">
        <v>0</v>
      </c>
      <c r="I9750" t="n">
        <v>0</v>
      </c>
      <c r="J9750" t="n">
        <v>0</v>
      </c>
      <c r="K9750" t="n">
        <v>0</v>
      </c>
      <c r="L9750" t="n">
        <v>0</v>
      </c>
      <c r="M9750" t="n">
        <v>0</v>
      </c>
      <c r="N9750" t="n">
        <v>0</v>
      </c>
      <c r="O9750" t="n">
        <v>0</v>
      </c>
      <c r="P9750" t="n">
        <v>0</v>
      </c>
      <c r="Q9750" t="n">
        <v>0</v>
      </c>
      <c r="R9750" s="2" t="inlineStr"/>
    </row>
    <row r="9751" ht="15" customHeight="1">
      <c r="A9751" t="inlineStr">
        <is>
          <t>A 1292-2026</t>
        </is>
      </c>
      <c r="B9751" s="1" t="n">
        <v>46031.50594907408</v>
      </c>
      <c r="C9751" s="1" t="n">
        <v>46086</v>
      </c>
      <c r="D9751" t="inlineStr">
        <is>
          <t>GÄVLEBORGS LÄN</t>
        </is>
      </c>
      <c r="E9751" t="inlineStr">
        <is>
          <t>OVANÅKER</t>
        </is>
      </c>
      <c r="G9751" t="n">
        <v>7.8</v>
      </c>
      <c r="H9751" t="n">
        <v>0</v>
      </c>
      <c r="I9751" t="n">
        <v>0</v>
      </c>
      <c r="J9751" t="n">
        <v>0</v>
      </c>
      <c r="K9751" t="n">
        <v>0</v>
      </c>
      <c r="L9751" t="n">
        <v>0</v>
      </c>
      <c r="M9751" t="n">
        <v>0</v>
      </c>
      <c r="N9751" t="n">
        <v>0</v>
      </c>
      <c r="O9751" t="n">
        <v>0</v>
      </c>
      <c r="P9751" t="n">
        <v>0</v>
      </c>
      <c r="Q9751" t="n">
        <v>0</v>
      </c>
      <c r="R9751" s="2" t="inlineStr"/>
    </row>
    <row r="9752" ht="15" customHeight="1">
      <c r="A9752" t="inlineStr">
        <is>
          <t>A 55240-2024</t>
        </is>
      </c>
      <c r="B9752" s="1" t="n">
        <v>45621</v>
      </c>
      <c r="C9752" s="1" t="n">
        <v>46086</v>
      </c>
      <c r="D9752" t="inlineStr">
        <is>
          <t>GÄVLEBORGS LÄN</t>
        </is>
      </c>
      <c r="E9752" t="inlineStr">
        <is>
          <t>SÖDERHAMN</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1376-2026</t>
        </is>
      </c>
      <c r="B9753" s="1" t="n">
        <v>46031.61568287037</v>
      </c>
      <c r="C9753" s="1" t="n">
        <v>46086</v>
      </c>
      <c r="D9753" t="inlineStr">
        <is>
          <t>GÄVLEBORGS LÄN</t>
        </is>
      </c>
      <c r="E9753" t="inlineStr">
        <is>
          <t>BOLLNÄS</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1377-2026</t>
        </is>
      </c>
      <c r="B9754" s="1" t="n">
        <v>46031.61709490741</v>
      </c>
      <c r="C9754" s="1" t="n">
        <v>46086</v>
      </c>
      <c r="D9754" t="inlineStr">
        <is>
          <t>GÄVLEBORGS LÄN</t>
        </is>
      </c>
      <c r="E9754" t="inlineStr">
        <is>
          <t>BOLLNÄS</t>
        </is>
      </c>
      <c r="G9754" t="n">
        <v>6.7</v>
      </c>
      <c r="H9754" t="n">
        <v>0</v>
      </c>
      <c r="I9754" t="n">
        <v>0</v>
      </c>
      <c r="J9754" t="n">
        <v>0</v>
      </c>
      <c r="K9754" t="n">
        <v>0</v>
      </c>
      <c r="L9754" t="n">
        <v>0</v>
      </c>
      <c r="M9754" t="n">
        <v>0</v>
      </c>
      <c r="N9754" t="n">
        <v>0</v>
      </c>
      <c r="O9754" t="n">
        <v>0</v>
      </c>
      <c r="P9754" t="n">
        <v>0</v>
      </c>
      <c r="Q9754" t="n">
        <v>0</v>
      </c>
      <c r="R9754" s="2" t="inlineStr"/>
    </row>
    <row r="9755" ht="15" customHeight="1">
      <c r="A9755" t="inlineStr">
        <is>
          <t>A 57189-2024</t>
        </is>
      </c>
      <c r="B9755" s="1" t="n">
        <v>45629</v>
      </c>
      <c r="C9755" s="1" t="n">
        <v>46086</v>
      </c>
      <c r="D9755" t="inlineStr">
        <is>
          <t>GÄVLEBORGS LÄN</t>
        </is>
      </c>
      <c r="E9755" t="inlineStr">
        <is>
          <t>LJUSDAL</t>
        </is>
      </c>
      <c r="F9755" t="inlineStr">
        <is>
          <t>Holmen skog AB</t>
        </is>
      </c>
      <c r="G9755" t="n">
        <v>0.3</v>
      </c>
      <c r="H9755" t="n">
        <v>0</v>
      </c>
      <c r="I9755" t="n">
        <v>0</v>
      </c>
      <c r="J9755" t="n">
        <v>0</v>
      </c>
      <c r="K9755" t="n">
        <v>0</v>
      </c>
      <c r="L9755" t="n">
        <v>0</v>
      </c>
      <c r="M9755" t="n">
        <v>0</v>
      </c>
      <c r="N9755" t="n">
        <v>0</v>
      </c>
      <c r="O9755" t="n">
        <v>0</v>
      </c>
      <c r="P9755" t="n">
        <v>0</v>
      </c>
      <c r="Q9755" t="n">
        <v>0</v>
      </c>
      <c r="R9755" s="2" t="inlineStr"/>
    </row>
    <row r="9756" ht="15" customHeight="1">
      <c r="A9756" t="inlineStr">
        <is>
          <t>A 1395-2026</t>
        </is>
      </c>
      <c r="B9756" s="1" t="n">
        <v>46031.63818287037</v>
      </c>
      <c r="C9756" s="1" t="n">
        <v>46086</v>
      </c>
      <c r="D9756" t="inlineStr">
        <is>
          <t>GÄVLEBORGS LÄN</t>
        </is>
      </c>
      <c r="E9756" t="inlineStr">
        <is>
          <t>OVANÅKER</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1402-2026</t>
        </is>
      </c>
      <c r="B9757" s="1" t="n">
        <v>46031.64355324074</v>
      </c>
      <c r="C9757" s="1" t="n">
        <v>46086</v>
      </c>
      <c r="D9757" t="inlineStr">
        <is>
          <t>GÄVLEBORGS LÄN</t>
        </is>
      </c>
      <c r="E9757" t="inlineStr">
        <is>
          <t>SÖDERHAMN</t>
        </is>
      </c>
      <c r="G9757" t="n">
        <v>3.3</v>
      </c>
      <c r="H9757" t="n">
        <v>0</v>
      </c>
      <c r="I9757" t="n">
        <v>0</v>
      </c>
      <c r="J9757" t="n">
        <v>0</v>
      </c>
      <c r="K9757" t="n">
        <v>0</v>
      </c>
      <c r="L9757" t="n">
        <v>0</v>
      </c>
      <c r="M9757" t="n">
        <v>0</v>
      </c>
      <c r="N9757" t="n">
        <v>0</v>
      </c>
      <c r="O9757" t="n">
        <v>0</v>
      </c>
      <c r="P9757" t="n">
        <v>0</v>
      </c>
      <c r="Q9757" t="n">
        <v>0</v>
      </c>
      <c r="R9757" s="2" t="inlineStr"/>
    </row>
    <row r="9758" ht="15" customHeight="1">
      <c r="A9758" t="inlineStr">
        <is>
          <t>A 872-2026</t>
        </is>
      </c>
      <c r="B9758" s="1" t="n">
        <v>46030.43628472222</v>
      </c>
      <c r="C9758" s="1" t="n">
        <v>46086</v>
      </c>
      <c r="D9758" t="inlineStr">
        <is>
          <t>GÄVLEBORGS LÄN</t>
        </is>
      </c>
      <c r="E9758" t="inlineStr">
        <is>
          <t>GÄVLE</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904-2026</t>
        </is>
      </c>
      <c r="B9759" s="1" t="n">
        <v>46030.47097222223</v>
      </c>
      <c r="C9759" s="1" t="n">
        <v>46086</v>
      </c>
      <c r="D9759" t="inlineStr">
        <is>
          <t>GÄVLEBORGS LÄN</t>
        </is>
      </c>
      <c r="E9759" t="inlineStr">
        <is>
          <t>LJUSDAL</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52002-2024</t>
        </is>
      </c>
      <c r="B9760" s="1" t="n">
        <v>45607.75846064815</v>
      </c>
      <c r="C9760" s="1" t="n">
        <v>46086</v>
      </c>
      <c r="D9760" t="inlineStr">
        <is>
          <t>GÄVLEBORGS LÄN</t>
        </is>
      </c>
      <c r="E9760" t="inlineStr">
        <is>
          <t>NORDANSTIG</t>
        </is>
      </c>
      <c r="G9760" t="n">
        <v>5</v>
      </c>
      <c r="H9760" t="n">
        <v>0</v>
      </c>
      <c r="I9760" t="n">
        <v>0</v>
      </c>
      <c r="J9760" t="n">
        <v>0</v>
      </c>
      <c r="K9760" t="n">
        <v>0</v>
      </c>
      <c r="L9760" t="n">
        <v>0</v>
      </c>
      <c r="M9760" t="n">
        <v>0</v>
      </c>
      <c r="N9760" t="n">
        <v>0</v>
      </c>
      <c r="O9760" t="n">
        <v>0</v>
      </c>
      <c r="P9760" t="n">
        <v>0</v>
      </c>
      <c r="Q9760" t="n">
        <v>0</v>
      </c>
      <c r="R9760" s="2" t="inlineStr"/>
    </row>
    <row r="9761" ht="15" customHeight="1">
      <c r="A9761" t="inlineStr">
        <is>
          <t>A 4499-2026</t>
        </is>
      </c>
      <c r="B9761" s="1" t="n">
        <v>46045</v>
      </c>
      <c r="C9761" s="1" t="n">
        <v>46086</v>
      </c>
      <c r="D9761" t="inlineStr">
        <is>
          <t>GÄVLEBORGS LÄN</t>
        </is>
      </c>
      <c r="E9761" t="inlineStr">
        <is>
          <t>HUDIKSVALL</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802-2026</t>
        </is>
      </c>
      <c r="B9762" s="1" t="n">
        <v>46030</v>
      </c>
      <c r="C9762" s="1" t="n">
        <v>46086</v>
      </c>
      <c r="D9762" t="inlineStr">
        <is>
          <t>GÄVLEBORGS LÄN</t>
        </is>
      </c>
      <c r="E9762" t="inlineStr">
        <is>
          <t>HOFORS</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844-2026</t>
        </is>
      </c>
      <c r="B9763" s="1" t="n">
        <v>46030</v>
      </c>
      <c r="C9763" s="1" t="n">
        <v>46086</v>
      </c>
      <c r="D9763" t="inlineStr">
        <is>
          <t>GÄVLEBORGS LÄN</t>
        </is>
      </c>
      <c r="E9763" t="inlineStr">
        <is>
          <t>BOLLNÄS</t>
        </is>
      </c>
      <c r="G9763" t="n">
        <v>3.3</v>
      </c>
      <c r="H9763" t="n">
        <v>0</v>
      </c>
      <c r="I9763" t="n">
        <v>0</v>
      </c>
      <c r="J9763" t="n">
        <v>0</v>
      </c>
      <c r="K9763" t="n">
        <v>0</v>
      </c>
      <c r="L9763" t="n">
        <v>0</v>
      </c>
      <c r="M9763" t="n">
        <v>0</v>
      </c>
      <c r="N9763" t="n">
        <v>0</v>
      </c>
      <c r="O9763" t="n">
        <v>0</v>
      </c>
      <c r="P9763" t="n">
        <v>0</v>
      </c>
      <c r="Q9763" t="n">
        <v>0</v>
      </c>
      <c r="R9763" s="2" t="inlineStr"/>
    </row>
    <row r="9764" ht="15" customHeight="1">
      <c r="A9764" t="inlineStr">
        <is>
          <t>A 881-2026</t>
        </is>
      </c>
      <c r="B9764" s="1" t="n">
        <v>46030.44432870371</v>
      </c>
      <c r="C9764" s="1" t="n">
        <v>46086</v>
      </c>
      <c r="D9764" t="inlineStr">
        <is>
          <t>GÄVLEBORGS LÄN</t>
        </is>
      </c>
      <c r="E9764" t="inlineStr">
        <is>
          <t>LJUSDAL</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25946-2023</t>
        </is>
      </c>
      <c r="B9765" s="1" t="n">
        <v>45090.7058912037</v>
      </c>
      <c r="C9765" s="1" t="n">
        <v>46086</v>
      </c>
      <c r="D9765" t="inlineStr">
        <is>
          <t>GÄVLEBORGS LÄN</t>
        </is>
      </c>
      <c r="E9765" t="inlineStr">
        <is>
          <t>NORDANSTIG</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1349-2026</t>
        </is>
      </c>
      <c r="B9766" s="1" t="n">
        <v>46031.59362268518</v>
      </c>
      <c r="C9766" s="1" t="n">
        <v>46086</v>
      </c>
      <c r="D9766" t="inlineStr">
        <is>
          <t>GÄVLEBORGS LÄN</t>
        </is>
      </c>
      <c r="E9766" t="inlineStr">
        <is>
          <t>OCKELBO</t>
        </is>
      </c>
      <c r="G9766" t="n">
        <v>5</v>
      </c>
      <c r="H9766" t="n">
        <v>0</v>
      </c>
      <c r="I9766" t="n">
        <v>0</v>
      </c>
      <c r="J9766" t="n">
        <v>0</v>
      </c>
      <c r="K9766" t="n">
        <v>0</v>
      </c>
      <c r="L9766" t="n">
        <v>0</v>
      </c>
      <c r="M9766" t="n">
        <v>0</v>
      </c>
      <c r="N9766" t="n">
        <v>0</v>
      </c>
      <c r="O9766" t="n">
        <v>0</v>
      </c>
      <c r="P9766" t="n">
        <v>0</v>
      </c>
      <c r="Q9766" t="n">
        <v>0</v>
      </c>
      <c r="R9766" s="2" t="inlineStr"/>
    </row>
    <row r="9767" ht="15" customHeight="1">
      <c r="A9767" t="inlineStr">
        <is>
          <t>A 1366-2026</t>
        </is>
      </c>
      <c r="B9767" s="1" t="n">
        <v>46031</v>
      </c>
      <c r="C9767" s="1" t="n">
        <v>46086</v>
      </c>
      <c r="D9767" t="inlineStr">
        <is>
          <t>GÄVLEBORGS LÄN</t>
        </is>
      </c>
      <c r="E9767" t="inlineStr">
        <is>
          <t>BOLLNÄS</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1369-2026</t>
        </is>
      </c>
      <c r="B9768" s="1" t="n">
        <v>46031</v>
      </c>
      <c r="C9768" s="1" t="n">
        <v>46086</v>
      </c>
      <c r="D9768" t="inlineStr">
        <is>
          <t>GÄVLEBORGS LÄN</t>
        </is>
      </c>
      <c r="E9768" t="inlineStr">
        <is>
          <t>BOLLNÄS</t>
        </is>
      </c>
      <c r="G9768" t="n">
        <v>5.1</v>
      </c>
      <c r="H9768" t="n">
        <v>0</v>
      </c>
      <c r="I9768" t="n">
        <v>0</v>
      </c>
      <c r="J9768" t="n">
        <v>0</v>
      </c>
      <c r="K9768" t="n">
        <v>0</v>
      </c>
      <c r="L9768" t="n">
        <v>0</v>
      </c>
      <c r="M9768" t="n">
        <v>0</v>
      </c>
      <c r="N9768" t="n">
        <v>0</v>
      </c>
      <c r="O9768" t="n">
        <v>0</v>
      </c>
      <c r="P9768" t="n">
        <v>0</v>
      </c>
      <c r="Q9768" t="n">
        <v>0</v>
      </c>
      <c r="R9768" s="2" t="inlineStr"/>
    </row>
    <row r="9769" ht="15" customHeight="1">
      <c r="A9769" t="inlineStr">
        <is>
          <t>A 1396-2026</t>
        </is>
      </c>
      <c r="B9769" s="1" t="n">
        <v>46031.64010416667</v>
      </c>
      <c r="C9769" s="1" t="n">
        <v>46086</v>
      </c>
      <c r="D9769" t="inlineStr">
        <is>
          <t>GÄVLEBORGS LÄN</t>
        </is>
      </c>
      <c r="E9769" t="inlineStr">
        <is>
          <t>LJUSDAL</t>
        </is>
      </c>
      <c r="G9769" t="n">
        <v>4.7</v>
      </c>
      <c r="H9769" t="n">
        <v>0</v>
      </c>
      <c r="I9769" t="n">
        <v>0</v>
      </c>
      <c r="J9769" t="n">
        <v>0</v>
      </c>
      <c r="K9769" t="n">
        <v>0</v>
      </c>
      <c r="L9769" t="n">
        <v>0</v>
      </c>
      <c r="M9769" t="n">
        <v>0</v>
      </c>
      <c r="N9769" t="n">
        <v>0</v>
      </c>
      <c r="O9769" t="n">
        <v>0</v>
      </c>
      <c r="P9769" t="n">
        <v>0</v>
      </c>
      <c r="Q9769" t="n">
        <v>0</v>
      </c>
      <c r="R9769" s="2" t="inlineStr"/>
    </row>
    <row r="9770" ht="15" customHeight="1">
      <c r="A9770" t="inlineStr">
        <is>
          <t>A 27862-2023</t>
        </is>
      </c>
      <c r="B9770" s="1" t="n">
        <v>45098</v>
      </c>
      <c r="C9770" s="1" t="n">
        <v>46086</v>
      </c>
      <c r="D9770" t="inlineStr">
        <is>
          <t>GÄVLEBORGS LÄN</t>
        </is>
      </c>
      <c r="E9770" t="inlineStr">
        <is>
          <t>SÖDERHAMN</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1416-2026</t>
        </is>
      </c>
      <c r="B9771" s="1" t="n">
        <v>46031.72472222222</v>
      </c>
      <c r="C9771" s="1" t="n">
        <v>46086</v>
      </c>
      <c r="D9771" t="inlineStr">
        <is>
          <t>GÄVLEBORGS LÄN</t>
        </is>
      </c>
      <c r="E9771" t="inlineStr">
        <is>
          <t>SANDVIKEN</t>
        </is>
      </c>
      <c r="G9771" t="n">
        <v>3.9</v>
      </c>
      <c r="H9771" t="n">
        <v>0</v>
      </c>
      <c r="I9771" t="n">
        <v>0</v>
      </c>
      <c r="J9771" t="n">
        <v>0</v>
      </c>
      <c r="K9771" t="n">
        <v>0</v>
      </c>
      <c r="L9771" t="n">
        <v>0</v>
      </c>
      <c r="M9771" t="n">
        <v>0</v>
      </c>
      <c r="N9771" t="n">
        <v>0</v>
      </c>
      <c r="O9771" t="n">
        <v>0</v>
      </c>
      <c r="P9771" t="n">
        <v>0</v>
      </c>
      <c r="Q9771" t="n">
        <v>0</v>
      </c>
      <c r="R9771" s="2" t="inlineStr"/>
    </row>
    <row r="9772" ht="15" customHeight="1">
      <c r="A9772" t="inlineStr">
        <is>
          <t>A 5238-2026</t>
        </is>
      </c>
      <c r="B9772" s="1" t="n">
        <v>46049</v>
      </c>
      <c r="C9772" s="1" t="n">
        <v>46086</v>
      </c>
      <c r="D9772" t="inlineStr">
        <is>
          <t>GÄVLEBORGS LÄN</t>
        </is>
      </c>
      <c r="E9772" t="inlineStr">
        <is>
          <t>OCKELBO</t>
        </is>
      </c>
      <c r="G9772" t="n">
        <v>4.9</v>
      </c>
      <c r="H9772" t="n">
        <v>0</v>
      </c>
      <c r="I9772" t="n">
        <v>0</v>
      </c>
      <c r="J9772" t="n">
        <v>0</v>
      </c>
      <c r="K9772" t="n">
        <v>0</v>
      </c>
      <c r="L9772" t="n">
        <v>0</v>
      </c>
      <c r="M9772" t="n">
        <v>0</v>
      </c>
      <c r="N9772" t="n">
        <v>0</v>
      </c>
      <c r="O9772" t="n">
        <v>0</v>
      </c>
      <c r="P9772" t="n">
        <v>0</v>
      </c>
      <c r="Q9772" t="n">
        <v>0</v>
      </c>
      <c r="R9772" s="2" t="inlineStr"/>
    </row>
    <row r="9773" ht="15" customHeight="1">
      <c r="A9773" t="inlineStr">
        <is>
          <t>A 35070-2022</t>
        </is>
      </c>
      <c r="B9773" s="1" t="n">
        <v>44797.36980324074</v>
      </c>
      <c r="C9773" s="1" t="n">
        <v>46086</v>
      </c>
      <c r="D9773" t="inlineStr">
        <is>
          <t>GÄVLEBORGS LÄN</t>
        </is>
      </c>
      <c r="E9773" t="inlineStr">
        <is>
          <t>NORDANSTIG</t>
        </is>
      </c>
      <c r="F9773" t="inlineStr">
        <is>
          <t>Holmen skog AB</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1368-2026</t>
        </is>
      </c>
      <c r="B9774" s="1" t="n">
        <v>46031</v>
      </c>
      <c r="C9774" s="1" t="n">
        <v>46086</v>
      </c>
      <c r="D9774" t="inlineStr">
        <is>
          <t>GÄVLEBORGS LÄN</t>
        </is>
      </c>
      <c r="E9774" t="inlineStr">
        <is>
          <t>OVANÅKER</t>
        </is>
      </c>
      <c r="G9774" t="n">
        <v>4.6</v>
      </c>
      <c r="H9774" t="n">
        <v>0</v>
      </c>
      <c r="I9774" t="n">
        <v>0</v>
      </c>
      <c r="J9774" t="n">
        <v>0</v>
      </c>
      <c r="K9774" t="n">
        <v>0</v>
      </c>
      <c r="L9774" t="n">
        <v>0</v>
      </c>
      <c r="M9774" t="n">
        <v>0</v>
      </c>
      <c r="N9774" t="n">
        <v>0</v>
      </c>
      <c r="O9774" t="n">
        <v>0</v>
      </c>
      <c r="P9774" t="n">
        <v>0</v>
      </c>
      <c r="Q9774" t="n">
        <v>0</v>
      </c>
      <c r="R9774" s="2" t="inlineStr"/>
    </row>
    <row r="9775" ht="15" customHeight="1">
      <c r="A9775" t="inlineStr">
        <is>
          <t>A 1370-2026</t>
        </is>
      </c>
      <c r="B9775" s="1" t="n">
        <v>46031.61216435185</v>
      </c>
      <c r="C9775" s="1" t="n">
        <v>46086</v>
      </c>
      <c r="D9775" t="inlineStr">
        <is>
          <t>GÄVLEBORGS LÄN</t>
        </is>
      </c>
      <c r="E9775" t="inlineStr">
        <is>
          <t>BOLLNÄS</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1371-2026</t>
        </is>
      </c>
      <c r="B9776" s="1" t="n">
        <v>46031.61240740741</v>
      </c>
      <c r="C9776" s="1" t="n">
        <v>46086</v>
      </c>
      <c r="D9776" t="inlineStr">
        <is>
          <t>GÄVLEBORGS LÄN</t>
        </is>
      </c>
      <c r="E9776" t="inlineStr">
        <is>
          <t>LJUSDAL</t>
        </is>
      </c>
      <c r="F9776" t="inlineStr">
        <is>
          <t>Bergvik skog väst AB</t>
        </is>
      </c>
      <c r="G9776" t="n">
        <v>6.3</v>
      </c>
      <c r="H9776" t="n">
        <v>0</v>
      </c>
      <c r="I9776" t="n">
        <v>0</v>
      </c>
      <c r="J9776" t="n">
        <v>0</v>
      </c>
      <c r="K9776" t="n">
        <v>0</v>
      </c>
      <c r="L9776" t="n">
        <v>0</v>
      </c>
      <c r="M9776" t="n">
        <v>0</v>
      </c>
      <c r="N9776" t="n">
        <v>0</v>
      </c>
      <c r="O9776" t="n">
        <v>0</v>
      </c>
      <c r="P9776" t="n">
        <v>0</v>
      </c>
      <c r="Q9776" t="n">
        <v>0</v>
      </c>
      <c r="R9776" s="2" t="inlineStr"/>
    </row>
    <row r="9777" ht="15" customHeight="1">
      <c r="A9777" t="inlineStr">
        <is>
          <t>A 9617-2026</t>
        </is>
      </c>
      <c r="B9777" s="1" t="n">
        <v>46072.32355324074</v>
      </c>
      <c r="C9777" s="1" t="n">
        <v>46086</v>
      </c>
      <c r="D9777" t="inlineStr">
        <is>
          <t>GÄVLEBORGS LÄN</t>
        </is>
      </c>
      <c r="E9777" t="inlineStr">
        <is>
          <t>BOLLNÄS</t>
        </is>
      </c>
      <c r="G9777" t="n">
        <v>3.9</v>
      </c>
      <c r="H9777" t="n">
        <v>0</v>
      </c>
      <c r="I9777" t="n">
        <v>0</v>
      </c>
      <c r="J9777" t="n">
        <v>0</v>
      </c>
      <c r="K9777" t="n">
        <v>0</v>
      </c>
      <c r="L9777" t="n">
        <v>0</v>
      </c>
      <c r="M9777" t="n">
        <v>0</v>
      </c>
      <c r="N9777" t="n">
        <v>0</v>
      </c>
      <c r="O9777" t="n">
        <v>0</v>
      </c>
      <c r="P9777" t="n">
        <v>0</v>
      </c>
      <c r="Q9777" t="n">
        <v>0</v>
      </c>
      <c r="R9777" s="2" t="inlineStr"/>
    </row>
    <row r="9778" ht="15" customHeight="1">
      <c r="A9778" t="inlineStr">
        <is>
          <t>A 9660-2026</t>
        </is>
      </c>
      <c r="B9778" s="1" t="n">
        <v>46072.36513888889</v>
      </c>
      <c r="C9778" s="1" t="n">
        <v>46086</v>
      </c>
      <c r="D9778" t="inlineStr">
        <is>
          <t>GÄVLEBORGS LÄN</t>
        </is>
      </c>
      <c r="E9778" t="inlineStr">
        <is>
          <t>HUDIKSVALL</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9685-2026</t>
        </is>
      </c>
      <c r="B9779" s="1" t="n">
        <v>46072.39894675926</v>
      </c>
      <c r="C9779" s="1" t="n">
        <v>46086</v>
      </c>
      <c r="D9779" t="inlineStr">
        <is>
          <t>GÄVLEBORGS LÄN</t>
        </is>
      </c>
      <c r="E9779" t="inlineStr">
        <is>
          <t>NORDANSTIG</t>
        </is>
      </c>
      <c r="G9779" t="n">
        <v>4.5</v>
      </c>
      <c r="H9779" t="n">
        <v>0</v>
      </c>
      <c r="I9779" t="n">
        <v>0</v>
      </c>
      <c r="J9779" t="n">
        <v>0</v>
      </c>
      <c r="K9779" t="n">
        <v>0</v>
      </c>
      <c r="L9779" t="n">
        <v>0</v>
      </c>
      <c r="M9779" t="n">
        <v>0</v>
      </c>
      <c r="N9779" t="n">
        <v>0</v>
      </c>
      <c r="O9779" t="n">
        <v>0</v>
      </c>
      <c r="P9779" t="n">
        <v>0</v>
      </c>
      <c r="Q9779" t="n">
        <v>0</v>
      </c>
      <c r="R9779" s="2" t="inlineStr"/>
    </row>
    <row r="9780" ht="15" customHeight="1">
      <c r="A9780" t="inlineStr">
        <is>
          <t>A 9694-2026</t>
        </is>
      </c>
      <c r="B9780" s="1" t="n">
        <v>46072.40773148148</v>
      </c>
      <c r="C9780" s="1" t="n">
        <v>46086</v>
      </c>
      <c r="D9780" t="inlineStr">
        <is>
          <t>GÄVLEBORGS LÄN</t>
        </is>
      </c>
      <c r="E9780" t="inlineStr">
        <is>
          <t>SANDVIKEN</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1001-2026</t>
        </is>
      </c>
      <c r="B9781" s="1" t="n">
        <v>46030.59501157407</v>
      </c>
      <c r="C9781" s="1" t="n">
        <v>46086</v>
      </c>
      <c r="D9781" t="inlineStr">
        <is>
          <t>GÄVLEBORGS LÄN</t>
        </is>
      </c>
      <c r="E9781" t="inlineStr">
        <is>
          <t>SÖDERHAMN</t>
        </is>
      </c>
      <c r="G9781" t="n">
        <v>9.1</v>
      </c>
      <c r="H9781" t="n">
        <v>0</v>
      </c>
      <c r="I9781" t="n">
        <v>0</v>
      </c>
      <c r="J9781" t="n">
        <v>0</v>
      </c>
      <c r="K9781" t="n">
        <v>0</v>
      </c>
      <c r="L9781" t="n">
        <v>0</v>
      </c>
      <c r="M9781" t="n">
        <v>0</v>
      </c>
      <c r="N9781" t="n">
        <v>0</v>
      </c>
      <c r="O9781" t="n">
        <v>0</v>
      </c>
      <c r="P9781" t="n">
        <v>0</v>
      </c>
      <c r="Q9781" t="n">
        <v>0</v>
      </c>
      <c r="R9781" s="2" t="inlineStr"/>
    </row>
    <row r="9782" ht="15" customHeight="1">
      <c r="A9782" t="inlineStr">
        <is>
          <t>A 24328-2024</t>
        </is>
      </c>
      <c r="B9782" s="1" t="n">
        <v>45457.53640046297</v>
      </c>
      <c r="C9782" s="1" t="n">
        <v>46086</v>
      </c>
      <c r="D9782" t="inlineStr">
        <is>
          <t>GÄVLEBORGS LÄN</t>
        </is>
      </c>
      <c r="E9782" t="inlineStr">
        <is>
          <t>BOLLNÄS</t>
        </is>
      </c>
      <c r="G9782" t="n">
        <v>5.1</v>
      </c>
      <c r="H9782" t="n">
        <v>0</v>
      </c>
      <c r="I9782" t="n">
        <v>0</v>
      </c>
      <c r="J9782" t="n">
        <v>0</v>
      </c>
      <c r="K9782" t="n">
        <v>0</v>
      </c>
      <c r="L9782" t="n">
        <v>0</v>
      </c>
      <c r="M9782" t="n">
        <v>0</v>
      </c>
      <c r="N9782" t="n">
        <v>0</v>
      </c>
      <c r="O9782" t="n">
        <v>0</v>
      </c>
      <c r="P9782" t="n">
        <v>0</v>
      </c>
      <c r="Q9782" t="n">
        <v>0</v>
      </c>
      <c r="R9782" s="2" t="inlineStr"/>
    </row>
    <row r="9783" ht="15" customHeight="1">
      <c r="A9783" t="inlineStr">
        <is>
          <t>A 1040-2026</t>
        </is>
      </c>
      <c r="B9783" s="1" t="n">
        <v>46030.61988425926</v>
      </c>
      <c r="C9783" s="1" t="n">
        <v>46086</v>
      </c>
      <c r="D9783" t="inlineStr">
        <is>
          <t>GÄVLEBORGS LÄN</t>
        </is>
      </c>
      <c r="E9783" t="inlineStr">
        <is>
          <t>OVANÅKER</t>
        </is>
      </c>
      <c r="G9783" t="n">
        <v>4.3</v>
      </c>
      <c r="H9783" t="n">
        <v>0</v>
      </c>
      <c r="I9783" t="n">
        <v>0</v>
      </c>
      <c r="J9783" t="n">
        <v>0</v>
      </c>
      <c r="K9783" t="n">
        <v>0</v>
      </c>
      <c r="L9783" t="n">
        <v>0</v>
      </c>
      <c r="M9783" t="n">
        <v>0</v>
      </c>
      <c r="N9783" t="n">
        <v>0</v>
      </c>
      <c r="O9783" t="n">
        <v>0</v>
      </c>
      <c r="P9783" t="n">
        <v>0</v>
      </c>
      <c r="Q9783" t="n">
        <v>0</v>
      </c>
      <c r="R9783" s="2" t="inlineStr"/>
    </row>
    <row r="9784" ht="15" customHeight="1">
      <c r="A9784" t="inlineStr">
        <is>
          <t>A 1059-2026</t>
        </is>
      </c>
      <c r="B9784" s="1" t="n">
        <v>46030</v>
      </c>
      <c r="C9784" s="1" t="n">
        <v>46086</v>
      </c>
      <c r="D9784" t="inlineStr">
        <is>
          <t>GÄVLEBORGS LÄN</t>
        </is>
      </c>
      <c r="E9784" t="inlineStr">
        <is>
          <t>NORDANSTIG</t>
        </is>
      </c>
      <c r="G9784" t="n">
        <v>3.5</v>
      </c>
      <c r="H9784" t="n">
        <v>0</v>
      </c>
      <c r="I9784" t="n">
        <v>0</v>
      </c>
      <c r="J9784" t="n">
        <v>0</v>
      </c>
      <c r="K9784" t="n">
        <v>0</v>
      </c>
      <c r="L9784" t="n">
        <v>0</v>
      </c>
      <c r="M9784" t="n">
        <v>0</v>
      </c>
      <c r="N9784" t="n">
        <v>0</v>
      </c>
      <c r="O9784" t="n">
        <v>0</v>
      </c>
      <c r="P9784" t="n">
        <v>0</v>
      </c>
      <c r="Q9784" t="n">
        <v>0</v>
      </c>
      <c r="R9784" s="2" t="inlineStr"/>
    </row>
    <row r="9785" ht="15" customHeight="1">
      <c r="A9785" t="inlineStr">
        <is>
          <t>A 1065-2026</t>
        </is>
      </c>
      <c r="B9785" s="1" t="n">
        <v>46030.64280092593</v>
      </c>
      <c r="C9785" s="1" t="n">
        <v>46086</v>
      </c>
      <c r="D9785" t="inlineStr">
        <is>
          <t>GÄVLEBORGS LÄN</t>
        </is>
      </c>
      <c r="E9785" t="inlineStr">
        <is>
          <t>BOLLNÄS</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1147-2026</t>
        </is>
      </c>
      <c r="B9786" s="1" t="n">
        <v>46030.90633101852</v>
      </c>
      <c r="C9786" s="1" t="n">
        <v>46086</v>
      </c>
      <c r="D9786" t="inlineStr">
        <is>
          <t>GÄVLEBORGS LÄN</t>
        </is>
      </c>
      <c r="E9786" t="inlineStr">
        <is>
          <t>OVANÅKER</t>
        </is>
      </c>
      <c r="G9786" t="n">
        <v>6.3</v>
      </c>
      <c r="H9786" t="n">
        <v>0</v>
      </c>
      <c r="I9786" t="n">
        <v>0</v>
      </c>
      <c r="J9786" t="n">
        <v>0</v>
      </c>
      <c r="K9786" t="n">
        <v>0</v>
      </c>
      <c r="L9786" t="n">
        <v>0</v>
      </c>
      <c r="M9786" t="n">
        <v>0</v>
      </c>
      <c r="N9786" t="n">
        <v>0</v>
      </c>
      <c r="O9786" t="n">
        <v>0</v>
      </c>
      <c r="P9786" t="n">
        <v>0</v>
      </c>
      <c r="Q9786" t="n">
        <v>0</v>
      </c>
      <c r="R9786" s="2" t="inlineStr"/>
    </row>
    <row r="9787" ht="15" customHeight="1">
      <c r="A9787" t="inlineStr">
        <is>
          <t>A 1328-2026</t>
        </is>
      </c>
      <c r="B9787" s="1" t="n">
        <v>46031</v>
      </c>
      <c r="C9787" s="1" t="n">
        <v>46086</v>
      </c>
      <c r="D9787" t="inlineStr">
        <is>
          <t>GÄVLEBORGS LÄN</t>
        </is>
      </c>
      <c r="E9787" t="inlineStr">
        <is>
          <t>GÄVLE</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967-2026</t>
        </is>
      </c>
      <c r="B9788" s="1" t="n">
        <v>46030.56107638889</v>
      </c>
      <c r="C9788" s="1" t="n">
        <v>46086</v>
      </c>
      <c r="D9788" t="inlineStr">
        <is>
          <t>GÄVLEBORGS LÄN</t>
        </is>
      </c>
      <c r="E9788" t="inlineStr">
        <is>
          <t>SÖDERHAMN</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37338-2024</t>
        </is>
      </c>
      <c r="B9789" s="1" t="n">
        <v>45540</v>
      </c>
      <c r="C9789" s="1" t="n">
        <v>46086</v>
      </c>
      <c r="D9789" t="inlineStr">
        <is>
          <t>GÄVLEBORGS LÄN</t>
        </is>
      </c>
      <c r="E9789" t="inlineStr">
        <is>
          <t>OVANÅKER</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6001-2026</t>
        </is>
      </c>
      <c r="B9790" s="1" t="n">
        <v>46052</v>
      </c>
      <c r="C9790" s="1" t="n">
        <v>46086</v>
      </c>
      <c r="D9790" t="inlineStr">
        <is>
          <t>GÄVLEBORGS LÄN</t>
        </is>
      </c>
      <c r="E9790" t="inlineStr">
        <is>
          <t>BOLLNÄS</t>
        </is>
      </c>
      <c r="G9790" t="n">
        <v>6.3</v>
      </c>
      <c r="H9790" t="n">
        <v>0</v>
      </c>
      <c r="I9790" t="n">
        <v>0</v>
      </c>
      <c r="J9790" t="n">
        <v>0</v>
      </c>
      <c r="K9790" t="n">
        <v>0</v>
      </c>
      <c r="L9790" t="n">
        <v>0</v>
      </c>
      <c r="M9790" t="n">
        <v>0</v>
      </c>
      <c r="N9790" t="n">
        <v>0</v>
      </c>
      <c r="O9790" t="n">
        <v>0</v>
      </c>
      <c r="P9790" t="n">
        <v>0</v>
      </c>
      <c r="Q9790" t="n">
        <v>0</v>
      </c>
      <c r="R9790" s="2" t="inlineStr"/>
    </row>
    <row r="9791" ht="15" customHeight="1">
      <c r="A9791" t="inlineStr">
        <is>
          <t>A 9727-2026</t>
        </is>
      </c>
      <c r="B9791" s="1" t="n">
        <v>46072.47118055556</v>
      </c>
      <c r="C9791" s="1" t="n">
        <v>46086</v>
      </c>
      <c r="D9791" t="inlineStr">
        <is>
          <t>GÄVLEBORGS LÄN</t>
        </is>
      </c>
      <c r="E9791" t="inlineStr">
        <is>
          <t>OCKELBO</t>
        </is>
      </c>
      <c r="F9791" t="inlineStr">
        <is>
          <t>Bergvik skog väst AB</t>
        </is>
      </c>
      <c r="G9791" t="n">
        <v>3.7</v>
      </c>
      <c r="H9791" t="n">
        <v>0</v>
      </c>
      <c r="I9791" t="n">
        <v>0</v>
      </c>
      <c r="J9791" t="n">
        <v>0</v>
      </c>
      <c r="K9791" t="n">
        <v>0</v>
      </c>
      <c r="L9791" t="n">
        <v>0</v>
      </c>
      <c r="M9791" t="n">
        <v>0</v>
      </c>
      <c r="N9791" t="n">
        <v>0</v>
      </c>
      <c r="O9791" t="n">
        <v>0</v>
      </c>
      <c r="P9791" t="n">
        <v>0</v>
      </c>
      <c r="Q9791" t="n">
        <v>0</v>
      </c>
      <c r="R9791" s="2" t="inlineStr"/>
    </row>
    <row r="9792" ht="15" customHeight="1">
      <c r="A9792" t="inlineStr">
        <is>
          <t>A 9731-2026</t>
        </is>
      </c>
      <c r="B9792" s="1" t="n">
        <v>46072</v>
      </c>
      <c r="C9792" s="1" t="n">
        <v>46086</v>
      </c>
      <c r="D9792" t="inlineStr">
        <is>
          <t>GÄVLEBORGS LÄN</t>
        </is>
      </c>
      <c r="E9792" t="inlineStr">
        <is>
          <t>BOLLNÄS</t>
        </is>
      </c>
      <c r="G9792" t="n">
        <v>13.7</v>
      </c>
      <c r="H9792" t="n">
        <v>0</v>
      </c>
      <c r="I9792" t="n">
        <v>0</v>
      </c>
      <c r="J9792" t="n">
        <v>0</v>
      </c>
      <c r="K9792" t="n">
        <v>0</v>
      </c>
      <c r="L9792" t="n">
        <v>0</v>
      </c>
      <c r="M9792" t="n">
        <v>0</v>
      </c>
      <c r="N9792" t="n">
        <v>0</v>
      </c>
      <c r="O9792" t="n">
        <v>0</v>
      </c>
      <c r="P9792" t="n">
        <v>0</v>
      </c>
      <c r="Q9792" t="n">
        <v>0</v>
      </c>
      <c r="R9792" s="2" t="inlineStr"/>
    </row>
    <row r="9793" ht="15" customHeight="1">
      <c r="A9793" t="inlineStr">
        <is>
          <t>A 9732-2026</t>
        </is>
      </c>
      <c r="B9793" s="1" t="n">
        <v>46072.47872685185</v>
      </c>
      <c r="C9793" s="1" t="n">
        <v>46086</v>
      </c>
      <c r="D9793" t="inlineStr">
        <is>
          <t>GÄVLEBORGS LÄN</t>
        </is>
      </c>
      <c r="E9793" t="inlineStr">
        <is>
          <t>OCKELBO</t>
        </is>
      </c>
      <c r="F9793" t="inlineStr">
        <is>
          <t>Bergvik skog väst AB</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9779-2026</t>
        </is>
      </c>
      <c r="B9794" s="1" t="n">
        <v>46072.58086805556</v>
      </c>
      <c r="C9794" s="1" t="n">
        <v>46086</v>
      </c>
      <c r="D9794" t="inlineStr">
        <is>
          <t>GÄVLEBORGS LÄN</t>
        </is>
      </c>
      <c r="E9794" t="inlineStr">
        <is>
          <t>GÄVLE</t>
        </is>
      </c>
      <c r="F9794" t="inlineStr">
        <is>
          <t>Bergvik skog öst AB</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5889-2026</t>
        </is>
      </c>
      <c r="B9795" s="1" t="n">
        <v>46052</v>
      </c>
      <c r="C9795" s="1" t="n">
        <v>46086</v>
      </c>
      <c r="D9795" t="inlineStr">
        <is>
          <t>GÄVLEBORGS LÄN</t>
        </is>
      </c>
      <c r="E9795" t="inlineStr">
        <is>
          <t>OVANÅKER</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6742-2026</t>
        </is>
      </c>
      <c r="B9796" s="1" t="n">
        <v>46056</v>
      </c>
      <c r="C9796" s="1" t="n">
        <v>46086</v>
      </c>
      <c r="D9796" t="inlineStr">
        <is>
          <t>GÄVLEBORGS LÄN</t>
        </is>
      </c>
      <c r="E9796" t="inlineStr">
        <is>
          <t>OCKELBO</t>
        </is>
      </c>
      <c r="F9796" t="inlineStr">
        <is>
          <t>Bergvik skog väst AB</t>
        </is>
      </c>
      <c r="G9796" t="n">
        <v>1.8</v>
      </c>
      <c r="H9796" t="n">
        <v>0</v>
      </c>
      <c r="I9796" t="n">
        <v>0</v>
      </c>
      <c r="J9796" t="n">
        <v>0</v>
      </c>
      <c r="K9796" t="n">
        <v>0</v>
      </c>
      <c r="L9796" t="n">
        <v>0</v>
      </c>
      <c r="M9796" t="n">
        <v>0</v>
      </c>
      <c r="N9796" t="n">
        <v>0</v>
      </c>
      <c r="O9796" t="n">
        <v>0</v>
      </c>
      <c r="P9796" t="n">
        <v>0</v>
      </c>
      <c r="Q9796" t="n">
        <v>0</v>
      </c>
      <c r="R9796" s="2" t="inlineStr"/>
    </row>
    <row r="9797" ht="15" customHeight="1">
      <c r="A9797" t="inlineStr">
        <is>
          <t>A 42629-2024</t>
        </is>
      </c>
      <c r="B9797" s="1" t="n">
        <v>45565.87759259259</v>
      </c>
      <c r="C9797" s="1" t="n">
        <v>46086</v>
      </c>
      <c r="D9797" t="inlineStr">
        <is>
          <t>GÄVLEBORGS LÄN</t>
        </is>
      </c>
      <c r="E9797" t="inlineStr">
        <is>
          <t>HUDIKSVALL</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7281-2026</t>
        </is>
      </c>
      <c r="B9798" s="1" t="n">
        <v>46058</v>
      </c>
      <c r="C9798" s="1" t="n">
        <v>46086</v>
      </c>
      <c r="D9798" t="inlineStr">
        <is>
          <t>GÄVLEBORGS LÄN</t>
        </is>
      </c>
      <c r="E9798" t="inlineStr">
        <is>
          <t>LJUSDAL</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9669-2026</t>
        </is>
      </c>
      <c r="B9799" s="1" t="n">
        <v>46072.37006944444</v>
      </c>
      <c r="C9799" s="1" t="n">
        <v>46086</v>
      </c>
      <c r="D9799" t="inlineStr">
        <is>
          <t>GÄVLEBORGS LÄN</t>
        </is>
      </c>
      <c r="E9799" t="inlineStr">
        <is>
          <t>OVANÅKER</t>
        </is>
      </c>
      <c r="G9799" t="n">
        <v>3</v>
      </c>
      <c r="H9799" t="n">
        <v>0</v>
      </c>
      <c r="I9799" t="n">
        <v>0</v>
      </c>
      <c r="J9799" t="n">
        <v>0</v>
      </c>
      <c r="K9799" t="n">
        <v>0</v>
      </c>
      <c r="L9799" t="n">
        <v>0</v>
      </c>
      <c r="M9799" t="n">
        <v>0</v>
      </c>
      <c r="N9799" t="n">
        <v>0</v>
      </c>
      <c r="O9799" t="n">
        <v>0</v>
      </c>
      <c r="P9799" t="n">
        <v>0</v>
      </c>
      <c r="Q9799" t="n">
        <v>0</v>
      </c>
      <c r="R9799" s="2" t="inlineStr"/>
    </row>
    <row r="9800" ht="15" customHeight="1">
      <c r="A9800" t="inlineStr">
        <is>
          <t>A 9673-2026</t>
        </is>
      </c>
      <c r="B9800" s="1" t="n">
        <v>46072.37966435185</v>
      </c>
      <c r="C9800" s="1" t="n">
        <v>46086</v>
      </c>
      <c r="D9800" t="inlineStr">
        <is>
          <t>GÄVLEBORGS LÄN</t>
        </is>
      </c>
      <c r="E9800" t="inlineStr">
        <is>
          <t>GÄVLE</t>
        </is>
      </c>
      <c r="F9800" t="inlineStr">
        <is>
          <t>Bergvik skog öst AB</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1345-2026</t>
        </is>
      </c>
      <c r="B9801" s="1" t="n">
        <v>46031.58291666667</v>
      </c>
      <c r="C9801" s="1" t="n">
        <v>46086</v>
      </c>
      <c r="D9801" t="inlineStr">
        <is>
          <t>GÄVLEBORGS LÄN</t>
        </is>
      </c>
      <c r="E9801" t="inlineStr">
        <is>
          <t>HUDIKSVALL</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1006-2026</t>
        </is>
      </c>
      <c r="B9802" s="1" t="n">
        <v>46030.5975462963</v>
      </c>
      <c r="C9802" s="1" t="n">
        <v>46086</v>
      </c>
      <c r="D9802" t="inlineStr">
        <is>
          <t>GÄVLEBORGS LÄN</t>
        </is>
      </c>
      <c r="E9802" t="inlineStr">
        <is>
          <t>HUDIKSVALL</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1010-2026</t>
        </is>
      </c>
      <c r="B9803" s="1" t="n">
        <v>46030.60059027778</v>
      </c>
      <c r="C9803" s="1" t="n">
        <v>46086</v>
      </c>
      <c r="D9803" t="inlineStr">
        <is>
          <t>GÄVLEBORGS LÄN</t>
        </is>
      </c>
      <c r="E9803" t="inlineStr">
        <is>
          <t>SÖDERHAMN</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1017-2026</t>
        </is>
      </c>
      <c r="B9804" s="1" t="n">
        <v>46030</v>
      </c>
      <c r="C9804" s="1" t="n">
        <v>46086</v>
      </c>
      <c r="D9804" t="inlineStr">
        <is>
          <t>GÄVLEBORGS LÄN</t>
        </is>
      </c>
      <c r="E9804" t="inlineStr">
        <is>
          <t>HUDIKSVALL</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9619-2026</t>
        </is>
      </c>
      <c r="B9805" s="1" t="n">
        <v>46072.32505787037</v>
      </c>
      <c r="C9805" s="1" t="n">
        <v>46086</v>
      </c>
      <c r="D9805" t="inlineStr">
        <is>
          <t>GÄVLEBORGS LÄN</t>
        </is>
      </c>
      <c r="E9805" t="inlineStr">
        <is>
          <t>BOLLNÄS</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8903-2026</t>
        </is>
      </c>
      <c r="B9806" s="1" t="n">
        <v>46068</v>
      </c>
      <c r="C9806" s="1" t="n">
        <v>46086</v>
      </c>
      <c r="D9806" t="inlineStr">
        <is>
          <t>GÄVLEBORGS LÄN</t>
        </is>
      </c>
      <c r="E9806" t="inlineStr">
        <is>
          <t>LJUSDAL</t>
        </is>
      </c>
      <c r="G9806" t="n">
        <v>8.1</v>
      </c>
      <c r="H9806" t="n">
        <v>0</v>
      </c>
      <c r="I9806" t="n">
        <v>0</v>
      </c>
      <c r="J9806" t="n">
        <v>0</v>
      </c>
      <c r="K9806" t="n">
        <v>0</v>
      </c>
      <c r="L9806" t="n">
        <v>0</v>
      </c>
      <c r="M9806" t="n">
        <v>0</v>
      </c>
      <c r="N9806" t="n">
        <v>0</v>
      </c>
      <c r="O9806" t="n">
        <v>0</v>
      </c>
      <c r="P9806" t="n">
        <v>0</v>
      </c>
      <c r="Q9806" t="n">
        <v>0</v>
      </c>
      <c r="R9806" s="2" t="inlineStr"/>
    </row>
    <row r="9807" ht="15" customHeight="1">
      <c r="A9807" t="inlineStr">
        <is>
          <t>A 47116-2024</t>
        </is>
      </c>
      <c r="B9807" s="1" t="n">
        <v>45586.56028935185</v>
      </c>
      <c r="C9807" s="1" t="n">
        <v>46086</v>
      </c>
      <c r="D9807" t="inlineStr">
        <is>
          <t>GÄVLEBORGS LÄN</t>
        </is>
      </c>
      <c r="E9807" t="inlineStr">
        <is>
          <t>HUDIKSVALL</t>
        </is>
      </c>
      <c r="F9807" t="inlineStr">
        <is>
          <t>Holmen skog AB</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10092-2026</t>
        </is>
      </c>
      <c r="B9808" s="1" t="n">
        <v>46073.71295138889</v>
      </c>
      <c r="C9808" s="1" t="n">
        <v>46086</v>
      </c>
      <c r="D9808" t="inlineStr">
        <is>
          <t>GÄVLEBORGS LÄN</t>
        </is>
      </c>
      <c r="E9808" t="inlineStr">
        <is>
          <t>BOLLNÄS</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6150-2026</t>
        </is>
      </c>
      <c r="B9809" s="1" t="n">
        <v>46054</v>
      </c>
      <c r="C9809" s="1" t="n">
        <v>46086</v>
      </c>
      <c r="D9809" t="inlineStr">
        <is>
          <t>GÄVLEBORGS LÄN</t>
        </is>
      </c>
      <c r="E9809" t="inlineStr">
        <is>
          <t>OVANÅKER</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6928-2026</t>
        </is>
      </c>
      <c r="B9810" s="1" t="n">
        <v>46057</v>
      </c>
      <c r="C9810" s="1" t="n">
        <v>46086</v>
      </c>
      <c r="D9810" t="inlineStr">
        <is>
          <t>GÄVLEBORGS LÄN</t>
        </is>
      </c>
      <c r="E9810" t="inlineStr">
        <is>
          <t>LJUSDAL</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6941-2026</t>
        </is>
      </c>
      <c r="B9811" s="1" t="n">
        <v>46057.56506944444</v>
      </c>
      <c r="C9811" s="1" t="n">
        <v>46086</v>
      </c>
      <c r="D9811" t="inlineStr">
        <is>
          <t>GÄVLEBORGS LÄN</t>
        </is>
      </c>
      <c r="E9811" t="inlineStr">
        <is>
          <t>GÄVLE</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9725-2026</t>
        </is>
      </c>
      <c r="B9812" s="1" t="n">
        <v>46072.46815972222</v>
      </c>
      <c r="C9812" s="1" t="n">
        <v>46086</v>
      </c>
      <c r="D9812" t="inlineStr">
        <is>
          <t>GÄVLEBORGS LÄN</t>
        </is>
      </c>
      <c r="E9812" t="inlineStr">
        <is>
          <t>OVANÅKER</t>
        </is>
      </c>
      <c r="G9812" t="n">
        <v>9</v>
      </c>
      <c r="H9812" t="n">
        <v>0</v>
      </c>
      <c r="I9812" t="n">
        <v>0</v>
      </c>
      <c r="J9812" t="n">
        <v>0</v>
      </c>
      <c r="K9812" t="n">
        <v>0</v>
      </c>
      <c r="L9812" t="n">
        <v>0</v>
      </c>
      <c r="M9812" t="n">
        <v>0</v>
      </c>
      <c r="N9812" t="n">
        <v>0</v>
      </c>
      <c r="O9812" t="n">
        <v>0</v>
      </c>
      <c r="P9812" t="n">
        <v>0</v>
      </c>
      <c r="Q9812" t="n">
        <v>0</v>
      </c>
      <c r="R9812" s="2" t="inlineStr"/>
    </row>
    <row r="9813" ht="15" customHeight="1">
      <c r="A9813" t="inlineStr">
        <is>
          <t>A 6396-2025</t>
        </is>
      </c>
      <c r="B9813" s="1" t="n">
        <v>45699.43766203704</v>
      </c>
      <c r="C9813" s="1" t="n">
        <v>46086</v>
      </c>
      <c r="D9813" t="inlineStr">
        <is>
          <t>GÄVLEBORGS LÄN</t>
        </is>
      </c>
      <c r="E9813" t="inlineStr">
        <is>
          <t>OCKELBO</t>
        </is>
      </c>
      <c r="F9813" t="inlineStr">
        <is>
          <t>Bergvik skog väst AB</t>
        </is>
      </c>
      <c r="G9813" t="n">
        <v>4.1</v>
      </c>
      <c r="H9813" t="n">
        <v>0</v>
      </c>
      <c r="I9813" t="n">
        <v>0</v>
      </c>
      <c r="J9813" t="n">
        <v>0</v>
      </c>
      <c r="K9813" t="n">
        <v>0</v>
      </c>
      <c r="L9813" t="n">
        <v>0</v>
      </c>
      <c r="M9813" t="n">
        <v>0</v>
      </c>
      <c r="N9813" t="n">
        <v>0</v>
      </c>
      <c r="O9813" t="n">
        <v>0</v>
      </c>
      <c r="P9813" t="n">
        <v>0</v>
      </c>
      <c r="Q9813" t="n">
        <v>0</v>
      </c>
      <c r="R9813" s="2" t="inlineStr"/>
    </row>
    <row r="9814" ht="15" customHeight="1">
      <c r="A9814" t="inlineStr">
        <is>
          <t>A 14661-2025</t>
        </is>
      </c>
      <c r="B9814" s="1" t="n">
        <v>45742.53079861111</v>
      </c>
      <c r="C9814" s="1" t="n">
        <v>46086</v>
      </c>
      <c r="D9814" t="inlineStr">
        <is>
          <t>GÄVLEBORGS LÄN</t>
        </is>
      </c>
      <c r="E9814" t="inlineStr">
        <is>
          <t>OCKELBO</t>
        </is>
      </c>
      <c r="F9814" t="inlineStr">
        <is>
          <t>Bergvik skog väst AB</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9616-2026</t>
        </is>
      </c>
      <c r="B9815" s="1" t="n">
        <v>46072.32277777778</v>
      </c>
      <c r="C9815" s="1" t="n">
        <v>46086</v>
      </c>
      <c r="D9815" t="inlineStr">
        <is>
          <t>GÄVLEBORGS LÄN</t>
        </is>
      </c>
      <c r="E9815" t="inlineStr">
        <is>
          <t>BOLLNÄS</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9625-2026</t>
        </is>
      </c>
      <c r="B9816" s="1" t="n">
        <v>46072.33829861111</v>
      </c>
      <c r="C9816" s="1" t="n">
        <v>46086</v>
      </c>
      <c r="D9816" t="inlineStr">
        <is>
          <t>GÄVLEBORGS LÄN</t>
        </is>
      </c>
      <c r="E9816" t="inlineStr">
        <is>
          <t>BOLLNÄS</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9628-2026</t>
        </is>
      </c>
      <c r="B9817" s="1" t="n">
        <v>46072.34386574074</v>
      </c>
      <c r="C9817" s="1" t="n">
        <v>46086</v>
      </c>
      <c r="D9817" t="inlineStr">
        <is>
          <t>GÄVLEBORGS LÄN</t>
        </is>
      </c>
      <c r="E9817" t="inlineStr">
        <is>
          <t>NORDANSTIG</t>
        </is>
      </c>
      <c r="F9817" t="inlineStr">
        <is>
          <t>Holmen skog AB</t>
        </is>
      </c>
      <c r="G9817" t="n">
        <v>5</v>
      </c>
      <c r="H9817" t="n">
        <v>0</v>
      </c>
      <c r="I9817" t="n">
        <v>0</v>
      </c>
      <c r="J9817" t="n">
        <v>0</v>
      </c>
      <c r="K9817" t="n">
        <v>0</v>
      </c>
      <c r="L9817" t="n">
        <v>0</v>
      </c>
      <c r="M9817" t="n">
        <v>0</v>
      </c>
      <c r="N9817" t="n">
        <v>0</v>
      </c>
      <c r="O9817" t="n">
        <v>0</v>
      </c>
      <c r="P9817" t="n">
        <v>0</v>
      </c>
      <c r="Q9817" t="n">
        <v>0</v>
      </c>
      <c r="R9817" s="2" t="inlineStr"/>
    </row>
    <row r="9818" ht="15" customHeight="1">
      <c r="A9818" t="inlineStr">
        <is>
          <t>A 6476-2026</t>
        </is>
      </c>
      <c r="B9818" s="1" t="n">
        <v>46056</v>
      </c>
      <c r="C9818" s="1" t="n">
        <v>46086</v>
      </c>
      <c r="D9818" t="inlineStr">
        <is>
          <t>GÄVLEBORGS LÄN</t>
        </is>
      </c>
      <c r="E9818" t="inlineStr">
        <is>
          <t>BOLLNÄS</t>
        </is>
      </c>
      <c r="G9818" t="n">
        <v>5.3</v>
      </c>
      <c r="H9818" t="n">
        <v>0</v>
      </c>
      <c r="I9818" t="n">
        <v>0</v>
      </c>
      <c r="J9818" t="n">
        <v>0</v>
      </c>
      <c r="K9818" t="n">
        <v>0</v>
      </c>
      <c r="L9818" t="n">
        <v>0</v>
      </c>
      <c r="M9818" t="n">
        <v>0</v>
      </c>
      <c r="N9818" t="n">
        <v>0</v>
      </c>
      <c r="O9818" t="n">
        <v>0</v>
      </c>
      <c r="P9818" t="n">
        <v>0</v>
      </c>
      <c r="Q9818" t="n">
        <v>0</v>
      </c>
      <c r="R9818" s="2" t="inlineStr"/>
    </row>
    <row r="9819" ht="15" customHeight="1">
      <c r="A9819" t="inlineStr">
        <is>
          <t>A 7233-2026</t>
        </is>
      </c>
      <c r="B9819" s="1" t="n">
        <v>46058.57582175926</v>
      </c>
      <c r="C9819" s="1" t="n">
        <v>46086</v>
      </c>
      <c r="D9819" t="inlineStr">
        <is>
          <t>GÄVLEBORGS LÄN</t>
        </is>
      </c>
      <c r="E9819" t="inlineStr">
        <is>
          <t>OVANÅKER</t>
        </is>
      </c>
      <c r="G9819" t="n">
        <v>9.300000000000001</v>
      </c>
      <c r="H9819" t="n">
        <v>0</v>
      </c>
      <c r="I9819" t="n">
        <v>0</v>
      </c>
      <c r="J9819" t="n">
        <v>0</v>
      </c>
      <c r="K9819" t="n">
        <v>0</v>
      </c>
      <c r="L9819" t="n">
        <v>0</v>
      </c>
      <c r="M9819" t="n">
        <v>0</v>
      </c>
      <c r="N9819" t="n">
        <v>0</v>
      </c>
      <c r="O9819" t="n">
        <v>0</v>
      </c>
      <c r="P9819" t="n">
        <v>0</v>
      </c>
      <c r="Q9819" t="n">
        <v>0</v>
      </c>
      <c r="R9819" s="2" t="inlineStr"/>
    </row>
    <row r="9820" ht="15" customHeight="1">
      <c r="A9820" t="inlineStr">
        <is>
          <t>A 7298-2026</t>
        </is>
      </c>
      <c r="B9820" s="1" t="n">
        <v>46058</v>
      </c>
      <c r="C9820" s="1" t="n">
        <v>46086</v>
      </c>
      <c r="D9820" t="inlineStr">
        <is>
          <t>GÄVLEBORGS LÄN</t>
        </is>
      </c>
      <c r="E9820" t="inlineStr">
        <is>
          <t>HUDIKSVALL</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9714-2026</t>
        </is>
      </c>
      <c r="B9821" s="1" t="n">
        <v>46072.44634259259</v>
      </c>
      <c r="C9821" s="1" t="n">
        <v>46086</v>
      </c>
      <c r="D9821" t="inlineStr">
        <is>
          <t>GÄVLEBORGS LÄN</t>
        </is>
      </c>
      <c r="E9821" t="inlineStr">
        <is>
          <t>SANDVIKEN</t>
        </is>
      </c>
      <c r="F9821" t="inlineStr">
        <is>
          <t>Naturvårdsverket</t>
        </is>
      </c>
      <c r="G9821" t="n">
        <v>19.5</v>
      </c>
      <c r="H9821" t="n">
        <v>0</v>
      </c>
      <c r="I9821" t="n">
        <v>0</v>
      </c>
      <c r="J9821" t="n">
        <v>0</v>
      </c>
      <c r="K9821" t="n">
        <v>0</v>
      </c>
      <c r="L9821" t="n">
        <v>0</v>
      </c>
      <c r="M9821" t="n">
        <v>0</v>
      </c>
      <c r="N9821" t="n">
        <v>0</v>
      </c>
      <c r="O9821" t="n">
        <v>0</v>
      </c>
      <c r="P9821" t="n">
        <v>0</v>
      </c>
      <c r="Q9821" t="n">
        <v>0</v>
      </c>
      <c r="R9821" s="2" t="inlineStr"/>
    </row>
    <row r="9822" ht="15" customHeight="1">
      <c r="A9822" t="inlineStr">
        <is>
          <t>A 9751-2026</t>
        </is>
      </c>
      <c r="B9822" s="1" t="n">
        <v>46072</v>
      </c>
      <c r="C9822" s="1" t="n">
        <v>46086</v>
      </c>
      <c r="D9822" t="inlineStr">
        <is>
          <t>GÄVLEBORGS LÄN</t>
        </is>
      </c>
      <c r="E9822" t="inlineStr">
        <is>
          <t>BOLLNÄS</t>
        </is>
      </c>
      <c r="G9822" t="n">
        <v>5.5</v>
      </c>
      <c r="H9822" t="n">
        <v>0</v>
      </c>
      <c r="I9822" t="n">
        <v>0</v>
      </c>
      <c r="J9822" t="n">
        <v>0</v>
      </c>
      <c r="K9822" t="n">
        <v>0</v>
      </c>
      <c r="L9822" t="n">
        <v>0</v>
      </c>
      <c r="M9822" t="n">
        <v>0</v>
      </c>
      <c r="N9822" t="n">
        <v>0</v>
      </c>
      <c r="O9822" t="n">
        <v>0</v>
      </c>
      <c r="P9822" t="n">
        <v>0</v>
      </c>
      <c r="Q9822" t="n">
        <v>0</v>
      </c>
      <c r="R9822" s="2" t="inlineStr"/>
    </row>
    <row r="9823" ht="15" customHeight="1">
      <c r="A9823" t="inlineStr">
        <is>
          <t>A 9767-2026</t>
        </is>
      </c>
      <c r="B9823" s="1" t="n">
        <v>46072.56290509259</v>
      </c>
      <c r="C9823" s="1" t="n">
        <v>46086</v>
      </c>
      <c r="D9823" t="inlineStr">
        <is>
          <t>GÄVLEBORGS LÄN</t>
        </is>
      </c>
      <c r="E9823" t="inlineStr">
        <is>
          <t>BOLLNÄS</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7060-2026</t>
        </is>
      </c>
      <c r="B9824" s="1" t="n">
        <v>46057</v>
      </c>
      <c r="C9824" s="1" t="n">
        <v>46086</v>
      </c>
      <c r="D9824" t="inlineStr">
        <is>
          <t>GÄVLEBORGS LÄN</t>
        </is>
      </c>
      <c r="E9824" t="inlineStr">
        <is>
          <t>OVANÅKER</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7061-2026</t>
        </is>
      </c>
      <c r="B9825" s="1" t="n">
        <v>46057</v>
      </c>
      <c r="C9825" s="1" t="n">
        <v>46086</v>
      </c>
      <c r="D9825" t="inlineStr">
        <is>
          <t>GÄVLEBORGS LÄN</t>
        </is>
      </c>
      <c r="E9825" t="inlineStr">
        <is>
          <t>OVANÅKER</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1387-2026</t>
        </is>
      </c>
      <c r="B9826" s="1" t="n">
        <v>46031.62652777778</v>
      </c>
      <c r="C9826" s="1" t="n">
        <v>46086</v>
      </c>
      <c r="D9826" t="inlineStr">
        <is>
          <t>GÄVLEBORGS LÄN</t>
        </is>
      </c>
      <c r="E9826" t="inlineStr">
        <is>
          <t>BOLLNÄS</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1389-2026</t>
        </is>
      </c>
      <c r="B9827" s="1" t="n">
        <v>46031.62846064815</v>
      </c>
      <c r="C9827" s="1" t="n">
        <v>46086</v>
      </c>
      <c r="D9827" t="inlineStr">
        <is>
          <t>GÄVLEBORGS LÄN</t>
        </is>
      </c>
      <c r="E9827" t="inlineStr">
        <is>
          <t>BOLLNÄS</t>
        </is>
      </c>
      <c r="G9827" t="n">
        <v>3.2</v>
      </c>
      <c r="H9827" t="n">
        <v>0</v>
      </c>
      <c r="I9827" t="n">
        <v>0</v>
      </c>
      <c r="J9827" t="n">
        <v>0</v>
      </c>
      <c r="K9827" t="n">
        <v>0</v>
      </c>
      <c r="L9827" t="n">
        <v>0</v>
      </c>
      <c r="M9827" t="n">
        <v>0</v>
      </c>
      <c r="N9827" t="n">
        <v>0</v>
      </c>
      <c r="O9827" t="n">
        <v>0</v>
      </c>
      <c r="P9827" t="n">
        <v>0</v>
      </c>
      <c r="Q9827" t="n">
        <v>0</v>
      </c>
      <c r="R9827" s="2" t="inlineStr"/>
    </row>
    <row r="9828" ht="15" customHeight="1">
      <c r="A9828" t="inlineStr">
        <is>
          <t>A 8813-2026</t>
        </is>
      </c>
      <c r="B9828" s="1" t="n">
        <v>46066</v>
      </c>
      <c r="C9828" s="1" t="n">
        <v>46086</v>
      </c>
      <c r="D9828" t="inlineStr">
        <is>
          <t>GÄVLEBORGS LÄN</t>
        </is>
      </c>
      <c r="E9828" t="inlineStr">
        <is>
          <t>BOLLNÄS</t>
        </is>
      </c>
      <c r="F9828" t="inlineStr">
        <is>
          <t>Bergvik skog väst AB</t>
        </is>
      </c>
      <c r="G9828" t="n">
        <v>8</v>
      </c>
      <c r="H9828" t="n">
        <v>0</v>
      </c>
      <c r="I9828" t="n">
        <v>0</v>
      </c>
      <c r="J9828" t="n">
        <v>0</v>
      </c>
      <c r="K9828" t="n">
        <v>0</v>
      </c>
      <c r="L9828" t="n">
        <v>0</v>
      </c>
      <c r="M9828" t="n">
        <v>0</v>
      </c>
      <c r="N9828" t="n">
        <v>0</v>
      </c>
      <c r="O9828" t="n">
        <v>0</v>
      </c>
      <c r="P9828" t="n">
        <v>0</v>
      </c>
      <c r="Q9828" t="n">
        <v>0</v>
      </c>
      <c r="R9828" s="2" t="inlineStr"/>
    </row>
    <row r="9829" ht="15" customHeight="1">
      <c r="A9829" t="inlineStr">
        <is>
          <t>A 5812-2026</t>
        </is>
      </c>
      <c r="B9829" s="1" t="n">
        <v>46051</v>
      </c>
      <c r="C9829" s="1" t="n">
        <v>46086</v>
      </c>
      <c r="D9829" t="inlineStr">
        <is>
          <t>GÄVLEBORGS LÄN</t>
        </is>
      </c>
      <c r="E9829" t="inlineStr">
        <is>
          <t>OVANÅKER</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9715-2026</t>
        </is>
      </c>
      <c r="B9830" s="1" t="n">
        <v>46072.44666666666</v>
      </c>
      <c r="C9830" s="1" t="n">
        <v>46086</v>
      </c>
      <c r="D9830" t="inlineStr">
        <is>
          <t>GÄVLEBORGS LÄN</t>
        </is>
      </c>
      <c r="E9830" t="inlineStr">
        <is>
          <t>OVANÅKER</t>
        </is>
      </c>
      <c r="G9830" t="n">
        <v>4.2</v>
      </c>
      <c r="H9830" t="n">
        <v>0</v>
      </c>
      <c r="I9830" t="n">
        <v>0</v>
      </c>
      <c r="J9830" t="n">
        <v>0</v>
      </c>
      <c r="K9830" t="n">
        <v>0</v>
      </c>
      <c r="L9830" t="n">
        <v>0</v>
      </c>
      <c r="M9830" t="n">
        <v>0</v>
      </c>
      <c r="N9830" t="n">
        <v>0</v>
      </c>
      <c r="O9830" t="n">
        <v>0</v>
      </c>
      <c r="P9830" t="n">
        <v>0</v>
      </c>
      <c r="Q9830" t="n">
        <v>0</v>
      </c>
      <c r="R9830" s="2" t="inlineStr"/>
    </row>
    <row r="9831" ht="15" customHeight="1">
      <c r="A9831" t="inlineStr">
        <is>
          <t>A 958-2026</t>
        </is>
      </c>
      <c r="B9831" s="1" t="n">
        <v>46030</v>
      </c>
      <c r="C9831" s="1" t="n">
        <v>46086</v>
      </c>
      <c r="D9831" t="inlineStr">
        <is>
          <t>GÄVLEBORGS LÄN</t>
        </is>
      </c>
      <c r="E9831" t="inlineStr">
        <is>
          <t>HUDIKSVALL</t>
        </is>
      </c>
      <c r="F9831" t="inlineStr">
        <is>
          <t>Holmen skog AB</t>
        </is>
      </c>
      <c r="G9831" t="n">
        <v>9.1</v>
      </c>
      <c r="H9831" t="n">
        <v>0</v>
      </c>
      <c r="I9831" t="n">
        <v>0</v>
      </c>
      <c r="J9831" t="n">
        <v>0</v>
      </c>
      <c r="K9831" t="n">
        <v>0</v>
      </c>
      <c r="L9831" t="n">
        <v>0</v>
      </c>
      <c r="M9831" t="n">
        <v>0</v>
      </c>
      <c r="N9831" t="n">
        <v>0</v>
      </c>
      <c r="O9831" t="n">
        <v>0</v>
      </c>
      <c r="P9831" t="n">
        <v>0</v>
      </c>
      <c r="Q9831" t="n">
        <v>0</v>
      </c>
      <c r="R9831" s="2" t="inlineStr"/>
    </row>
    <row r="9832" ht="15" customHeight="1">
      <c r="A9832" t="inlineStr">
        <is>
          <t>A 1201-2026</t>
        </is>
      </c>
      <c r="B9832" s="1" t="n">
        <v>46031</v>
      </c>
      <c r="C9832" s="1" t="n">
        <v>46086</v>
      </c>
      <c r="D9832" t="inlineStr">
        <is>
          <t>GÄVLEBORGS LÄN</t>
        </is>
      </c>
      <c r="E9832" t="inlineStr">
        <is>
          <t>GÄVLE</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8543-2026</t>
        </is>
      </c>
      <c r="B9833" s="1" t="n">
        <v>46065</v>
      </c>
      <c r="C9833" s="1" t="n">
        <v>46086</v>
      </c>
      <c r="D9833" t="inlineStr">
        <is>
          <t>GÄVLEBORGS LÄN</t>
        </is>
      </c>
      <c r="E9833" t="inlineStr">
        <is>
          <t>OVANÅKER</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5780-2026</t>
        </is>
      </c>
      <c r="B9834" s="1" t="n">
        <v>46051</v>
      </c>
      <c r="C9834" s="1" t="n">
        <v>46086</v>
      </c>
      <c r="D9834" t="inlineStr">
        <is>
          <t>GÄVLEBORGS LÄN</t>
        </is>
      </c>
      <c r="E9834" t="inlineStr">
        <is>
          <t>LJUSDAL</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6434-2026</t>
        </is>
      </c>
      <c r="B9835" s="1" t="n">
        <v>46055</v>
      </c>
      <c r="C9835" s="1" t="n">
        <v>46086</v>
      </c>
      <c r="D9835" t="inlineStr">
        <is>
          <t>GÄVLEBORGS LÄN</t>
        </is>
      </c>
      <c r="E9835" t="inlineStr">
        <is>
          <t>OVANÅKER</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6504-2026</t>
        </is>
      </c>
      <c r="B9836" s="1" t="n">
        <v>46056</v>
      </c>
      <c r="C9836" s="1" t="n">
        <v>46086</v>
      </c>
      <c r="D9836" t="inlineStr">
        <is>
          <t>GÄVLEBORGS LÄN</t>
        </is>
      </c>
      <c r="E9836" t="inlineStr">
        <is>
          <t>HUDIKSVALL</t>
        </is>
      </c>
      <c r="G9836" t="n">
        <v>9.699999999999999</v>
      </c>
      <c r="H9836" t="n">
        <v>0</v>
      </c>
      <c r="I9836" t="n">
        <v>0</v>
      </c>
      <c r="J9836" t="n">
        <v>0</v>
      </c>
      <c r="K9836" t="n">
        <v>0</v>
      </c>
      <c r="L9836" t="n">
        <v>0</v>
      </c>
      <c r="M9836" t="n">
        <v>0</v>
      </c>
      <c r="N9836" t="n">
        <v>0</v>
      </c>
      <c r="O9836" t="n">
        <v>0</v>
      </c>
      <c r="P9836" t="n">
        <v>0</v>
      </c>
      <c r="Q9836" t="n">
        <v>0</v>
      </c>
      <c r="R9836" s="2" t="inlineStr"/>
    </row>
    <row r="9837" ht="15" customHeight="1">
      <c r="A9837" t="inlineStr">
        <is>
          <t>A 10016-2026</t>
        </is>
      </c>
      <c r="B9837" s="1" t="n">
        <v>46073.5753587963</v>
      </c>
      <c r="C9837" s="1" t="n">
        <v>46086</v>
      </c>
      <c r="D9837" t="inlineStr">
        <is>
          <t>GÄVLEBORGS LÄN</t>
        </is>
      </c>
      <c r="E9837" t="inlineStr">
        <is>
          <t>BOLLNÄS</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6362-2026</t>
        </is>
      </c>
      <c r="B9838" s="1" t="n">
        <v>46055</v>
      </c>
      <c r="C9838" s="1" t="n">
        <v>46086</v>
      </c>
      <c r="D9838" t="inlineStr">
        <is>
          <t>GÄVLEBORGS LÄN</t>
        </is>
      </c>
      <c r="E9838" t="inlineStr">
        <is>
          <t>OCKELBO</t>
        </is>
      </c>
      <c r="F9838" t="inlineStr">
        <is>
          <t>Bergvik skog väst AB</t>
        </is>
      </c>
      <c r="G9838" t="n">
        <v>5.4</v>
      </c>
      <c r="H9838" t="n">
        <v>0</v>
      </c>
      <c r="I9838" t="n">
        <v>0</v>
      </c>
      <c r="J9838" t="n">
        <v>0</v>
      </c>
      <c r="K9838" t="n">
        <v>0</v>
      </c>
      <c r="L9838" t="n">
        <v>0</v>
      </c>
      <c r="M9838" t="n">
        <v>0</v>
      </c>
      <c r="N9838" t="n">
        <v>0</v>
      </c>
      <c r="O9838" t="n">
        <v>0</v>
      </c>
      <c r="P9838" t="n">
        <v>0</v>
      </c>
      <c r="Q9838" t="n">
        <v>0</v>
      </c>
      <c r="R9838" s="2" t="inlineStr"/>
    </row>
    <row r="9839" ht="15" customHeight="1">
      <c r="A9839" t="inlineStr">
        <is>
          <t>A 9134-2026</t>
        </is>
      </c>
      <c r="B9839" s="1" t="n">
        <v>46069</v>
      </c>
      <c r="C9839" s="1" t="n">
        <v>46086</v>
      </c>
      <c r="D9839" t="inlineStr">
        <is>
          <t>GÄVLEBORGS LÄN</t>
        </is>
      </c>
      <c r="E9839" t="inlineStr">
        <is>
          <t>LJUSDAL</t>
        </is>
      </c>
      <c r="G9839" t="n">
        <v>25.6</v>
      </c>
      <c r="H9839" t="n">
        <v>0</v>
      </c>
      <c r="I9839" t="n">
        <v>0</v>
      </c>
      <c r="J9839" t="n">
        <v>0</v>
      </c>
      <c r="K9839" t="n">
        <v>0</v>
      </c>
      <c r="L9839" t="n">
        <v>0</v>
      </c>
      <c r="M9839" t="n">
        <v>0</v>
      </c>
      <c r="N9839" t="n">
        <v>0</v>
      </c>
      <c r="O9839" t="n">
        <v>0</v>
      </c>
      <c r="P9839" t="n">
        <v>0</v>
      </c>
      <c r="Q9839" t="n">
        <v>0</v>
      </c>
      <c r="R9839" s="2" t="inlineStr"/>
    </row>
    <row r="9840" ht="15" customHeight="1">
      <c r="A9840" t="inlineStr">
        <is>
          <t>A 7085-2026</t>
        </is>
      </c>
      <c r="B9840" s="1" t="n">
        <v>46058.33873842593</v>
      </c>
      <c r="C9840" s="1" t="n">
        <v>46086</v>
      </c>
      <c r="D9840" t="inlineStr">
        <is>
          <t>GÄVLEBORGS LÄN</t>
        </is>
      </c>
      <c r="E9840" t="inlineStr">
        <is>
          <t>HUDIKSVALL</t>
        </is>
      </c>
      <c r="G9840" t="n">
        <v>41.1</v>
      </c>
      <c r="H9840" t="n">
        <v>0</v>
      </c>
      <c r="I9840" t="n">
        <v>0</v>
      </c>
      <c r="J9840" t="n">
        <v>0</v>
      </c>
      <c r="K9840" t="n">
        <v>0</v>
      </c>
      <c r="L9840" t="n">
        <v>0</v>
      </c>
      <c r="M9840" t="n">
        <v>0</v>
      </c>
      <c r="N9840" t="n">
        <v>0</v>
      </c>
      <c r="O9840" t="n">
        <v>0</v>
      </c>
      <c r="P9840" t="n">
        <v>0</v>
      </c>
      <c r="Q9840" t="n">
        <v>0</v>
      </c>
      <c r="R9840" s="2" t="inlineStr"/>
    </row>
    <row r="9841" ht="15" customHeight="1">
      <c r="A9841" t="inlineStr">
        <is>
          <t>A 7116-2026</t>
        </is>
      </c>
      <c r="B9841" s="1" t="n">
        <v>46058</v>
      </c>
      <c r="C9841" s="1" t="n">
        <v>46086</v>
      </c>
      <c r="D9841" t="inlineStr">
        <is>
          <t>GÄVLEBORGS LÄN</t>
        </is>
      </c>
      <c r="E9841" t="inlineStr">
        <is>
          <t>BOLLNÄS</t>
        </is>
      </c>
      <c r="G9841" t="n">
        <v>4</v>
      </c>
      <c r="H9841" t="n">
        <v>0</v>
      </c>
      <c r="I9841" t="n">
        <v>0</v>
      </c>
      <c r="J9841" t="n">
        <v>0</v>
      </c>
      <c r="K9841" t="n">
        <v>0</v>
      </c>
      <c r="L9841" t="n">
        <v>0</v>
      </c>
      <c r="M9841" t="n">
        <v>0</v>
      </c>
      <c r="N9841" t="n">
        <v>0</v>
      </c>
      <c r="O9841" t="n">
        <v>0</v>
      </c>
      <c r="P9841" t="n">
        <v>0</v>
      </c>
      <c r="Q9841" t="n">
        <v>0</v>
      </c>
      <c r="R9841" s="2" t="inlineStr"/>
    </row>
    <row r="9842" ht="15" customHeight="1">
      <c r="A9842" t="inlineStr">
        <is>
          <t>A 7945-2026</t>
        </is>
      </c>
      <c r="B9842" s="1" t="n">
        <v>46063</v>
      </c>
      <c r="C9842" s="1" t="n">
        <v>46086</v>
      </c>
      <c r="D9842" t="inlineStr">
        <is>
          <t>GÄVLEBORGS LÄN</t>
        </is>
      </c>
      <c r="E9842" t="inlineStr">
        <is>
          <t>OCKELBO</t>
        </is>
      </c>
      <c r="G9842" t="n">
        <v>50.5</v>
      </c>
      <c r="H9842" t="n">
        <v>0</v>
      </c>
      <c r="I9842" t="n">
        <v>0</v>
      </c>
      <c r="J9842" t="n">
        <v>0</v>
      </c>
      <c r="K9842" t="n">
        <v>0</v>
      </c>
      <c r="L9842" t="n">
        <v>0</v>
      </c>
      <c r="M9842" t="n">
        <v>0</v>
      </c>
      <c r="N9842" t="n">
        <v>0</v>
      </c>
      <c r="O9842" t="n">
        <v>0</v>
      </c>
      <c r="P9842" t="n">
        <v>0</v>
      </c>
      <c r="Q9842" t="n">
        <v>0</v>
      </c>
      <c r="R9842" s="2" t="inlineStr"/>
    </row>
    <row r="9843" ht="15" customHeight="1">
      <c r="A9843" t="inlineStr">
        <is>
          <t>A 8816-2026</t>
        </is>
      </c>
      <c r="B9843" s="1" t="n">
        <v>46066</v>
      </c>
      <c r="C9843" s="1" t="n">
        <v>46086</v>
      </c>
      <c r="D9843" t="inlineStr">
        <is>
          <t>GÄVLEBORGS LÄN</t>
        </is>
      </c>
      <c r="E9843" t="inlineStr">
        <is>
          <t>BOLLNÄS</t>
        </is>
      </c>
      <c r="F9843" t="inlineStr">
        <is>
          <t>Bergvik skog väst AB</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9825-2026</t>
        </is>
      </c>
      <c r="B9844" s="1" t="n">
        <v>46072.65252314815</v>
      </c>
      <c r="C9844" s="1" t="n">
        <v>46086</v>
      </c>
      <c r="D9844" t="inlineStr">
        <is>
          <t>GÄVLEBORGS LÄN</t>
        </is>
      </c>
      <c r="E9844" t="inlineStr">
        <is>
          <t>BOLLNÄS</t>
        </is>
      </c>
      <c r="G9844" t="n">
        <v>27.3</v>
      </c>
      <c r="H9844" t="n">
        <v>0</v>
      </c>
      <c r="I9844" t="n">
        <v>0</v>
      </c>
      <c r="J9844" t="n">
        <v>0</v>
      </c>
      <c r="K9844" t="n">
        <v>0</v>
      </c>
      <c r="L9844" t="n">
        <v>0</v>
      </c>
      <c r="M9844" t="n">
        <v>0</v>
      </c>
      <c r="N9844" t="n">
        <v>0</v>
      </c>
      <c r="O9844" t="n">
        <v>0</v>
      </c>
      <c r="P9844" t="n">
        <v>0</v>
      </c>
      <c r="Q9844" t="n">
        <v>0</v>
      </c>
      <c r="R9844" s="2" t="inlineStr"/>
    </row>
    <row r="9845" ht="15" customHeight="1">
      <c r="A9845" t="inlineStr">
        <is>
          <t>A 8819-2026</t>
        </is>
      </c>
      <c r="B9845" s="1" t="n">
        <v>46066</v>
      </c>
      <c r="C9845" s="1" t="n">
        <v>46086</v>
      </c>
      <c r="D9845" t="inlineStr">
        <is>
          <t>GÄVLEBORGS LÄN</t>
        </is>
      </c>
      <c r="E9845" t="inlineStr">
        <is>
          <t>BOLLNÄS</t>
        </is>
      </c>
      <c r="F9845" t="inlineStr">
        <is>
          <t>Bergvik skog väst AB</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9609-2026</t>
        </is>
      </c>
      <c r="B9846" s="1" t="n">
        <v>46072.280625</v>
      </c>
      <c r="C9846" s="1" t="n">
        <v>46086</v>
      </c>
      <c r="D9846" t="inlineStr">
        <is>
          <t>GÄVLEBORGS LÄN</t>
        </is>
      </c>
      <c r="E9846" t="inlineStr">
        <is>
          <t>BOLLNÄS</t>
        </is>
      </c>
      <c r="G9846" t="n">
        <v>2.8</v>
      </c>
      <c r="H9846" t="n">
        <v>0</v>
      </c>
      <c r="I9846" t="n">
        <v>0</v>
      </c>
      <c r="J9846" t="n">
        <v>0</v>
      </c>
      <c r="K9846" t="n">
        <v>0</v>
      </c>
      <c r="L9846" t="n">
        <v>0</v>
      </c>
      <c r="M9846" t="n">
        <v>0</v>
      </c>
      <c r="N9846" t="n">
        <v>0</v>
      </c>
      <c r="O9846" t="n">
        <v>0</v>
      </c>
      <c r="P9846" t="n">
        <v>0</v>
      </c>
      <c r="Q9846" t="n">
        <v>0</v>
      </c>
      <c r="R9846" s="2" t="inlineStr"/>
    </row>
    <row r="9847" ht="15" customHeight="1">
      <c r="A9847" t="inlineStr">
        <is>
          <t>A 9610-2026</t>
        </is>
      </c>
      <c r="B9847" s="1" t="n">
        <v>46072</v>
      </c>
      <c r="C9847" s="1" t="n">
        <v>46086</v>
      </c>
      <c r="D9847" t="inlineStr">
        <is>
          <t>GÄVLEBORGS LÄN</t>
        </is>
      </c>
      <c r="E9847" t="inlineStr">
        <is>
          <t>LJUSDAL</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9613-2026</t>
        </is>
      </c>
      <c r="B9848" s="1" t="n">
        <v>46072</v>
      </c>
      <c r="C9848" s="1" t="n">
        <v>46086</v>
      </c>
      <c r="D9848" t="inlineStr">
        <is>
          <t>GÄVLEBORGS LÄN</t>
        </is>
      </c>
      <c r="E9848" t="inlineStr">
        <is>
          <t>LJUSDAL</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12086-2025</t>
        </is>
      </c>
      <c r="B9849" s="1" t="n">
        <v>45729.25450231481</v>
      </c>
      <c r="C9849" s="1" t="n">
        <v>46086</v>
      </c>
      <c r="D9849" t="inlineStr">
        <is>
          <t>GÄVLEBORGS LÄN</t>
        </is>
      </c>
      <c r="E9849" t="inlineStr">
        <is>
          <t>BOLLNÄS</t>
        </is>
      </c>
      <c r="F9849" t="inlineStr">
        <is>
          <t>Bergvik skog väst AB</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9991-2026</t>
        </is>
      </c>
      <c r="B9850" s="1" t="n">
        <v>46073.54581018518</v>
      </c>
      <c r="C9850" s="1" t="n">
        <v>46086</v>
      </c>
      <c r="D9850" t="inlineStr">
        <is>
          <t>GÄVLEBORGS LÄN</t>
        </is>
      </c>
      <c r="E9850" t="inlineStr">
        <is>
          <t>BOLLNÄS</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10000-2026</t>
        </is>
      </c>
      <c r="B9851" s="1" t="n">
        <v>46073.56005787037</v>
      </c>
      <c r="C9851" s="1" t="n">
        <v>46086</v>
      </c>
      <c r="D9851" t="inlineStr">
        <is>
          <t>GÄVLEBORGS LÄN</t>
        </is>
      </c>
      <c r="E9851" t="inlineStr">
        <is>
          <t>OCKELBO</t>
        </is>
      </c>
      <c r="G9851" t="n">
        <v>6.4</v>
      </c>
      <c r="H9851" t="n">
        <v>0</v>
      </c>
      <c r="I9851" t="n">
        <v>0</v>
      </c>
      <c r="J9851" t="n">
        <v>0</v>
      </c>
      <c r="K9851" t="n">
        <v>0</v>
      </c>
      <c r="L9851" t="n">
        <v>0</v>
      </c>
      <c r="M9851" t="n">
        <v>0</v>
      </c>
      <c r="N9851" t="n">
        <v>0</v>
      </c>
      <c r="O9851" t="n">
        <v>0</v>
      </c>
      <c r="P9851" t="n">
        <v>0</v>
      </c>
      <c r="Q9851" t="n">
        <v>0</v>
      </c>
      <c r="R9851" s="2" t="inlineStr"/>
    </row>
    <row r="9852" ht="15" customHeight="1">
      <c r="A9852" t="inlineStr">
        <is>
          <t>A 10043-2026</t>
        </is>
      </c>
      <c r="B9852" s="1" t="n">
        <v>46073.59971064814</v>
      </c>
      <c r="C9852" s="1" t="n">
        <v>46086</v>
      </c>
      <c r="D9852" t="inlineStr">
        <is>
          <t>GÄVLEBORGS LÄN</t>
        </is>
      </c>
      <c r="E9852" t="inlineStr">
        <is>
          <t>BOLLNÄS</t>
        </is>
      </c>
      <c r="G9852" t="n">
        <v>12.2</v>
      </c>
      <c r="H9852" t="n">
        <v>0</v>
      </c>
      <c r="I9852" t="n">
        <v>0</v>
      </c>
      <c r="J9852" t="n">
        <v>0</v>
      </c>
      <c r="K9852" t="n">
        <v>0</v>
      </c>
      <c r="L9852" t="n">
        <v>0</v>
      </c>
      <c r="M9852" t="n">
        <v>0</v>
      </c>
      <c r="N9852" t="n">
        <v>0</v>
      </c>
      <c r="O9852" t="n">
        <v>0</v>
      </c>
      <c r="P9852" t="n">
        <v>0</v>
      </c>
      <c r="Q9852" t="n">
        <v>0</v>
      </c>
      <c r="R9852" s="2" t="inlineStr"/>
    </row>
    <row r="9853" ht="15" customHeight="1">
      <c r="A9853" t="inlineStr">
        <is>
          <t>A 66493-2021</t>
        </is>
      </c>
      <c r="B9853" s="1" t="n">
        <v>44519.03226851852</v>
      </c>
      <c r="C9853" s="1" t="n">
        <v>46086</v>
      </c>
      <c r="D9853" t="inlineStr">
        <is>
          <t>GÄVLEBORGS LÄN</t>
        </is>
      </c>
      <c r="E9853" t="inlineStr">
        <is>
          <t>GÄVLE</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9235-2026</t>
        </is>
      </c>
      <c r="B9854" s="1" t="n">
        <v>46070</v>
      </c>
      <c r="C9854" s="1" t="n">
        <v>46086</v>
      </c>
      <c r="D9854" t="inlineStr">
        <is>
          <t>GÄVLEBORGS LÄN</t>
        </is>
      </c>
      <c r="E9854" t="inlineStr">
        <is>
          <t>BOLLNÄS</t>
        </is>
      </c>
      <c r="G9854" t="n">
        <v>3.9</v>
      </c>
      <c r="H9854" t="n">
        <v>0</v>
      </c>
      <c r="I9854" t="n">
        <v>0</v>
      </c>
      <c r="J9854" t="n">
        <v>0</v>
      </c>
      <c r="K9854" t="n">
        <v>0</v>
      </c>
      <c r="L9854" t="n">
        <v>0</v>
      </c>
      <c r="M9854" t="n">
        <v>0</v>
      </c>
      <c r="N9854" t="n">
        <v>0</v>
      </c>
      <c r="O9854" t="n">
        <v>0</v>
      </c>
      <c r="P9854" t="n">
        <v>0</v>
      </c>
      <c r="Q9854" t="n">
        <v>0</v>
      </c>
      <c r="R9854" s="2" t="inlineStr"/>
    </row>
    <row r="9855" ht="15" customHeight="1">
      <c r="A9855" t="inlineStr">
        <is>
          <t>A 36629-2023</t>
        </is>
      </c>
      <c r="B9855" s="1" t="n">
        <v>45153.53344907407</v>
      </c>
      <c r="C9855" s="1" t="n">
        <v>46086</v>
      </c>
      <c r="D9855" t="inlineStr">
        <is>
          <t>GÄVLEBORGS LÄN</t>
        </is>
      </c>
      <c r="E9855" t="inlineStr">
        <is>
          <t>BOLLNÄS</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36699-2023</t>
        </is>
      </c>
      <c r="B9856" s="1" t="n">
        <v>45153.63834490741</v>
      </c>
      <c r="C9856" s="1" t="n">
        <v>46086</v>
      </c>
      <c r="D9856" t="inlineStr">
        <is>
          <t>GÄVLEBORGS LÄN</t>
        </is>
      </c>
      <c r="E9856" t="inlineStr">
        <is>
          <t>BOLLNÄS</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9425-2026</t>
        </is>
      </c>
      <c r="B9857" s="1" t="n">
        <v>46071.44400462963</v>
      </c>
      <c r="C9857" s="1" t="n">
        <v>46086</v>
      </c>
      <c r="D9857" t="inlineStr">
        <is>
          <t>GÄVLEBORGS LÄN</t>
        </is>
      </c>
      <c r="E9857" t="inlineStr">
        <is>
          <t>NORDANSTIG</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36794-2023</t>
        </is>
      </c>
      <c r="B9858" s="1" t="n">
        <v>45154</v>
      </c>
      <c r="C9858" s="1" t="n">
        <v>46086</v>
      </c>
      <c r="D9858" t="inlineStr">
        <is>
          <t>GÄVLEBORGS LÄN</t>
        </is>
      </c>
      <c r="E9858" t="inlineStr">
        <is>
          <t>OVANÅKER</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7890-2026</t>
        </is>
      </c>
      <c r="B9859" s="1" t="n">
        <v>46063</v>
      </c>
      <c r="C9859" s="1" t="n">
        <v>46086</v>
      </c>
      <c r="D9859" t="inlineStr">
        <is>
          <t>GÄVLEBORGS LÄN</t>
        </is>
      </c>
      <c r="E9859" t="inlineStr">
        <is>
          <t>SANDVIKEN</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10064-2026</t>
        </is>
      </c>
      <c r="B9860" s="1" t="n">
        <v>46073.63263888889</v>
      </c>
      <c r="C9860" s="1" t="n">
        <v>46086</v>
      </c>
      <c r="D9860" t="inlineStr">
        <is>
          <t>GÄVLEBORGS LÄN</t>
        </is>
      </c>
      <c r="E9860" t="inlineStr">
        <is>
          <t>NORDANSTIG</t>
        </is>
      </c>
      <c r="G9860" t="n">
        <v>5.6</v>
      </c>
      <c r="H9860" t="n">
        <v>0</v>
      </c>
      <c r="I9860" t="n">
        <v>0</v>
      </c>
      <c r="J9860" t="n">
        <v>0</v>
      </c>
      <c r="K9860" t="n">
        <v>0</v>
      </c>
      <c r="L9860" t="n">
        <v>0</v>
      </c>
      <c r="M9860" t="n">
        <v>0</v>
      </c>
      <c r="N9860" t="n">
        <v>0</v>
      </c>
      <c r="O9860" t="n">
        <v>0</v>
      </c>
      <c r="P9860" t="n">
        <v>0</v>
      </c>
      <c r="Q9860" t="n">
        <v>0</v>
      </c>
      <c r="R9860" s="2" t="inlineStr"/>
    </row>
    <row r="9861" ht="15" customHeight="1">
      <c r="A9861" t="inlineStr">
        <is>
          <t>A 779-2026</t>
        </is>
      </c>
      <c r="B9861" s="1" t="n">
        <v>46029.7812962963</v>
      </c>
      <c r="C9861" s="1" t="n">
        <v>46086</v>
      </c>
      <c r="D9861" t="inlineStr">
        <is>
          <t>GÄVLEBORGS LÄN</t>
        </is>
      </c>
      <c r="E9861" t="inlineStr">
        <is>
          <t>HUDIKSVALL</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1409-2026</t>
        </is>
      </c>
      <c r="B9862" s="1" t="n">
        <v>46031.66135416667</v>
      </c>
      <c r="C9862" s="1" t="n">
        <v>46086</v>
      </c>
      <c r="D9862" t="inlineStr">
        <is>
          <t>GÄVLEBORGS LÄN</t>
        </is>
      </c>
      <c r="E9862" t="inlineStr">
        <is>
          <t>LJUSDAL</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6243-2026</t>
        </is>
      </c>
      <c r="B9863" s="1" t="n">
        <v>46055</v>
      </c>
      <c r="C9863" s="1" t="n">
        <v>46086</v>
      </c>
      <c r="D9863" t="inlineStr">
        <is>
          <t>GÄVLEBORGS LÄN</t>
        </is>
      </c>
      <c r="E9863" t="inlineStr">
        <is>
          <t>OVANÅKER</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6321-2026</t>
        </is>
      </c>
      <c r="B9864" s="1" t="n">
        <v>46055</v>
      </c>
      <c r="C9864" s="1" t="n">
        <v>46086</v>
      </c>
      <c r="D9864" t="inlineStr">
        <is>
          <t>GÄVLEBORGS LÄN</t>
        </is>
      </c>
      <c r="E9864" t="inlineStr">
        <is>
          <t>BOLLNÄS</t>
        </is>
      </c>
      <c r="F9864" t="inlineStr">
        <is>
          <t>Bergvik skog väst AB</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8811-2026</t>
        </is>
      </c>
      <c r="B9865" s="1" t="n">
        <v>46066</v>
      </c>
      <c r="C9865" s="1" t="n">
        <v>46086</v>
      </c>
      <c r="D9865" t="inlineStr">
        <is>
          <t>GÄVLEBORGS LÄN</t>
        </is>
      </c>
      <c r="E9865" t="inlineStr">
        <is>
          <t>BOLLNÄS</t>
        </is>
      </c>
      <c r="F9865" t="inlineStr">
        <is>
          <t>Bergvik skog väst AB</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969-2026</t>
        </is>
      </c>
      <c r="B9866" s="1" t="n">
        <v>46030.56228009259</v>
      </c>
      <c r="C9866" s="1" t="n">
        <v>46086</v>
      </c>
      <c r="D9866" t="inlineStr">
        <is>
          <t>GÄVLEBORGS LÄN</t>
        </is>
      </c>
      <c r="E9866" t="inlineStr">
        <is>
          <t>OVANÅKER</t>
        </is>
      </c>
      <c r="G9866" t="n">
        <v>2.9</v>
      </c>
      <c r="H9866" t="n">
        <v>0</v>
      </c>
      <c r="I9866" t="n">
        <v>0</v>
      </c>
      <c r="J9866" t="n">
        <v>0</v>
      </c>
      <c r="K9866" t="n">
        <v>0</v>
      </c>
      <c r="L9866" t="n">
        <v>0</v>
      </c>
      <c r="M9866" t="n">
        <v>0</v>
      </c>
      <c r="N9866" t="n">
        <v>0</v>
      </c>
      <c r="O9866" t="n">
        <v>0</v>
      </c>
      <c r="P9866" t="n">
        <v>0</v>
      </c>
      <c r="Q9866" t="n">
        <v>0</v>
      </c>
      <c r="R9866" s="2" t="inlineStr"/>
    </row>
    <row r="9867" ht="15" customHeight="1">
      <c r="A9867" t="inlineStr">
        <is>
          <t>A 973-2026</t>
        </is>
      </c>
      <c r="B9867" s="1" t="n">
        <v>46030</v>
      </c>
      <c r="C9867" s="1" t="n">
        <v>46086</v>
      </c>
      <c r="D9867" t="inlineStr">
        <is>
          <t>GÄVLEBORGS LÄN</t>
        </is>
      </c>
      <c r="E9867" t="inlineStr">
        <is>
          <t>HUDIKSVALL</t>
        </is>
      </c>
      <c r="F9867" t="inlineStr">
        <is>
          <t>Holmen skog AB</t>
        </is>
      </c>
      <c r="G9867" t="n">
        <v>3.1</v>
      </c>
      <c r="H9867" t="n">
        <v>0</v>
      </c>
      <c r="I9867" t="n">
        <v>0</v>
      </c>
      <c r="J9867" t="n">
        <v>0</v>
      </c>
      <c r="K9867" t="n">
        <v>0</v>
      </c>
      <c r="L9867" t="n">
        <v>0</v>
      </c>
      <c r="M9867" t="n">
        <v>0</v>
      </c>
      <c r="N9867" t="n">
        <v>0</v>
      </c>
      <c r="O9867" t="n">
        <v>0</v>
      </c>
      <c r="P9867" t="n">
        <v>0</v>
      </c>
      <c r="Q9867" t="n">
        <v>0</v>
      </c>
      <c r="R9867" s="2" t="inlineStr"/>
    </row>
    <row r="9868" ht="15" customHeight="1">
      <c r="A9868" t="inlineStr">
        <is>
          <t>A 9894-2026</t>
        </is>
      </c>
      <c r="B9868" s="1" t="n">
        <v>46073</v>
      </c>
      <c r="C9868" s="1" t="n">
        <v>46086</v>
      </c>
      <c r="D9868" t="inlineStr">
        <is>
          <t>GÄVLEBORGS LÄN</t>
        </is>
      </c>
      <c r="E9868" t="inlineStr">
        <is>
          <t>HUDIKSVALL</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1169-2026</t>
        </is>
      </c>
      <c r="B9869" s="1" t="n">
        <v>46031.34446759259</v>
      </c>
      <c r="C9869" s="1" t="n">
        <v>46086</v>
      </c>
      <c r="D9869" t="inlineStr">
        <is>
          <t>GÄVLEBORGS LÄN</t>
        </is>
      </c>
      <c r="E9869" t="inlineStr">
        <is>
          <t>NORDANSTIG</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1173-2026</t>
        </is>
      </c>
      <c r="B9870" s="1" t="n">
        <v>46031</v>
      </c>
      <c r="C9870" s="1" t="n">
        <v>46086</v>
      </c>
      <c r="D9870" t="inlineStr">
        <is>
          <t>GÄVLEBORGS LÄN</t>
        </is>
      </c>
      <c r="E9870" t="inlineStr">
        <is>
          <t>NORDANSTIG</t>
        </is>
      </c>
      <c r="F9870" t="inlineStr">
        <is>
          <t>Holmen skog AB</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1182-2026</t>
        </is>
      </c>
      <c r="B9871" s="1" t="n">
        <v>46031</v>
      </c>
      <c r="C9871" s="1" t="n">
        <v>46086</v>
      </c>
      <c r="D9871" t="inlineStr">
        <is>
          <t>GÄVLEBORGS LÄN</t>
        </is>
      </c>
      <c r="E9871" t="inlineStr">
        <is>
          <t>BOLLNÄS</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1184-2026</t>
        </is>
      </c>
      <c r="B9872" s="1" t="n">
        <v>46031.36074074074</v>
      </c>
      <c r="C9872" s="1" t="n">
        <v>46086</v>
      </c>
      <c r="D9872" t="inlineStr">
        <is>
          <t>GÄVLEBORGS LÄN</t>
        </is>
      </c>
      <c r="E9872" t="inlineStr">
        <is>
          <t>NORDANSTIG</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1269-2026</t>
        </is>
      </c>
      <c r="B9873" s="1" t="n">
        <v>46031</v>
      </c>
      <c r="C9873" s="1" t="n">
        <v>46086</v>
      </c>
      <c r="D9873" t="inlineStr">
        <is>
          <t>GÄVLEBORGS LÄN</t>
        </is>
      </c>
      <c r="E9873" t="inlineStr">
        <is>
          <t>BOLLNÄS</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8704-2026</t>
        </is>
      </c>
      <c r="B9874" s="1" t="n">
        <v>46066</v>
      </c>
      <c r="C9874" s="1" t="n">
        <v>46086</v>
      </c>
      <c r="D9874" t="inlineStr">
        <is>
          <t>GÄVLEBORGS LÄN</t>
        </is>
      </c>
      <c r="E9874" t="inlineStr">
        <is>
          <t>BOLLNÄS</t>
        </is>
      </c>
      <c r="F9874" t="inlineStr">
        <is>
          <t>Bergvik skog väst AB</t>
        </is>
      </c>
      <c r="G9874" t="n">
        <v>6.8</v>
      </c>
      <c r="H9874" t="n">
        <v>0</v>
      </c>
      <c r="I9874" t="n">
        <v>0</v>
      </c>
      <c r="J9874" t="n">
        <v>0</v>
      </c>
      <c r="K9874" t="n">
        <v>0</v>
      </c>
      <c r="L9874" t="n">
        <v>0</v>
      </c>
      <c r="M9874" t="n">
        <v>0</v>
      </c>
      <c r="N9874" t="n">
        <v>0</v>
      </c>
      <c r="O9874" t="n">
        <v>0</v>
      </c>
      <c r="P9874" t="n">
        <v>0</v>
      </c>
      <c r="Q9874" t="n">
        <v>0</v>
      </c>
      <c r="R9874" s="2" t="inlineStr"/>
    </row>
    <row r="9875" ht="15" customHeight="1">
      <c r="A9875" t="inlineStr">
        <is>
          <t>A 811-2026</t>
        </is>
      </c>
      <c r="B9875" s="1" t="n">
        <v>46030.32644675926</v>
      </c>
      <c r="C9875" s="1" t="n">
        <v>46086</v>
      </c>
      <c r="D9875" t="inlineStr">
        <is>
          <t>GÄVLEBORGS LÄN</t>
        </is>
      </c>
      <c r="E9875" t="inlineStr">
        <is>
          <t>BOLLNÄS</t>
        </is>
      </c>
      <c r="G9875" t="n">
        <v>3.2</v>
      </c>
      <c r="H9875" t="n">
        <v>0</v>
      </c>
      <c r="I9875" t="n">
        <v>0</v>
      </c>
      <c r="J9875" t="n">
        <v>0</v>
      </c>
      <c r="K9875" t="n">
        <v>0</v>
      </c>
      <c r="L9875" t="n">
        <v>0</v>
      </c>
      <c r="M9875" t="n">
        <v>0</v>
      </c>
      <c r="N9875" t="n">
        <v>0</v>
      </c>
      <c r="O9875" t="n">
        <v>0</v>
      </c>
      <c r="P9875" t="n">
        <v>0</v>
      </c>
      <c r="Q9875" t="n">
        <v>0</v>
      </c>
      <c r="R9875" s="2" t="inlineStr"/>
    </row>
    <row r="9876" ht="15" customHeight="1">
      <c r="A9876" t="inlineStr">
        <is>
          <t>A 22868-2023</t>
        </is>
      </c>
      <c r="B9876" s="1" t="n">
        <v>45072.48825231481</v>
      </c>
      <c r="C9876" s="1" t="n">
        <v>46086</v>
      </c>
      <c r="D9876" t="inlineStr">
        <is>
          <t>GÄVLEBORGS LÄN</t>
        </is>
      </c>
      <c r="E9876" t="inlineStr">
        <is>
          <t>NORDANSTIG</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13116-2023</t>
        </is>
      </c>
      <c r="B9877" s="1" t="n">
        <v>45002.47825231482</v>
      </c>
      <c r="C9877" s="1" t="n">
        <v>46086</v>
      </c>
      <c r="D9877" t="inlineStr">
        <is>
          <t>GÄVLEBORGS LÄN</t>
        </is>
      </c>
      <c r="E9877" t="inlineStr">
        <is>
          <t>LJUSDAL</t>
        </is>
      </c>
      <c r="F9877" t="inlineStr">
        <is>
          <t>Allmännings- och besparingsskogar</t>
        </is>
      </c>
      <c r="G9877" t="n">
        <v>8.800000000000001</v>
      </c>
      <c r="H9877" t="n">
        <v>0</v>
      </c>
      <c r="I9877" t="n">
        <v>0</v>
      </c>
      <c r="J9877" t="n">
        <v>0</v>
      </c>
      <c r="K9877" t="n">
        <v>0</v>
      </c>
      <c r="L9877" t="n">
        <v>0</v>
      </c>
      <c r="M9877" t="n">
        <v>0</v>
      </c>
      <c r="N9877" t="n">
        <v>0</v>
      </c>
      <c r="O9877" t="n">
        <v>0</v>
      </c>
      <c r="P9877" t="n">
        <v>0</v>
      </c>
      <c r="Q9877" t="n">
        <v>0</v>
      </c>
      <c r="R9877" s="2" t="inlineStr"/>
    </row>
    <row r="9878" ht="15" customHeight="1">
      <c r="A9878" t="inlineStr">
        <is>
          <t>A 837-2026</t>
        </is>
      </c>
      <c r="B9878" s="1" t="n">
        <v>46030.3752662037</v>
      </c>
      <c r="C9878" s="1" t="n">
        <v>46086</v>
      </c>
      <c r="D9878" t="inlineStr">
        <is>
          <t>GÄVLEBORGS LÄN</t>
        </is>
      </c>
      <c r="E9878" t="inlineStr">
        <is>
          <t>HOFORS</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62639-2023</t>
        </is>
      </c>
      <c r="B9879" s="1" t="n">
        <v>45271.41833333333</v>
      </c>
      <c r="C9879" s="1" t="n">
        <v>46086</v>
      </c>
      <c r="D9879" t="inlineStr">
        <is>
          <t>GÄVLEBORGS LÄN</t>
        </is>
      </c>
      <c r="E9879" t="inlineStr">
        <is>
          <t>HUDIKSVALL</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874-2026</t>
        </is>
      </c>
      <c r="B9880" s="1" t="n">
        <v>46030</v>
      </c>
      <c r="C9880" s="1" t="n">
        <v>46086</v>
      </c>
      <c r="D9880" t="inlineStr">
        <is>
          <t>GÄVLEBORGS LÄN</t>
        </is>
      </c>
      <c r="E9880" t="inlineStr">
        <is>
          <t>OVANÅKER</t>
        </is>
      </c>
      <c r="G9880" t="n">
        <v>5.3</v>
      </c>
      <c r="H9880" t="n">
        <v>0</v>
      </c>
      <c r="I9880" t="n">
        <v>0</v>
      </c>
      <c r="J9880" t="n">
        <v>0</v>
      </c>
      <c r="K9880" t="n">
        <v>0</v>
      </c>
      <c r="L9880" t="n">
        <v>0</v>
      </c>
      <c r="M9880" t="n">
        <v>0</v>
      </c>
      <c r="N9880" t="n">
        <v>0</v>
      </c>
      <c r="O9880" t="n">
        <v>0</v>
      </c>
      <c r="P9880" t="n">
        <v>0</v>
      </c>
      <c r="Q9880" t="n">
        <v>0</v>
      </c>
      <c r="R9880" s="2" t="inlineStr"/>
    </row>
    <row r="9881" ht="15" customHeight="1">
      <c r="A9881" t="inlineStr">
        <is>
          <t>A 9629-2026</t>
        </is>
      </c>
      <c r="B9881" s="1" t="n">
        <v>46072.34410879629</v>
      </c>
      <c r="C9881" s="1" t="n">
        <v>46086</v>
      </c>
      <c r="D9881" t="inlineStr">
        <is>
          <t>GÄVLEBORGS LÄN</t>
        </is>
      </c>
      <c r="E9881" t="inlineStr">
        <is>
          <t>SANDVIKEN</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9667-2026</t>
        </is>
      </c>
      <c r="B9882" s="1" t="n">
        <v>46072.36858796296</v>
      </c>
      <c r="C9882" s="1" t="n">
        <v>46086</v>
      </c>
      <c r="D9882" t="inlineStr">
        <is>
          <t>GÄVLEBORGS LÄN</t>
        </is>
      </c>
      <c r="E9882" t="inlineStr">
        <is>
          <t>BOLLNÄS</t>
        </is>
      </c>
      <c r="G9882" t="n">
        <v>3.3</v>
      </c>
      <c r="H9882" t="n">
        <v>0</v>
      </c>
      <c r="I9882" t="n">
        <v>0</v>
      </c>
      <c r="J9882" t="n">
        <v>0</v>
      </c>
      <c r="K9882" t="n">
        <v>0</v>
      </c>
      <c r="L9882" t="n">
        <v>0</v>
      </c>
      <c r="M9882" t="n">
        <v>0</v>
      </c>
      <c r="N9882" t="n">
        <v>0</v>
      </c>
      <c r="O9882" t="n">
        <v>0</v>
      </c>
      <c r="P9882" t="n">
        <v>0</v>
      </c>
      <c r="Q9882" t="n">
        <v>0</v>
      </c>
      <c r="R9882" s="2" t="inlineStr"/>
    </row>
    <row r="9883" ht="15" customHeight="1">
      <c r="A9883" t="inlineStr">
        <is>
          <t>A 9712-2026</t>
        </is>
      </c>
      <c r="B9883" s="1" t="n">
        <v>46072.44116898148</v>
      </c>
      <c r="C9883" s="1" t="n">
        <v>46086</v>
      </c>
      <c r="D9883" t="inlineStr">
        <is>
          <t>GÄVLEBORGS LÄN</t>
        </is>
      </c>
      <c r="E9883" t="inlineStr">
        <is>
          <t>OVANÅKER</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9719-2026</t>
        </is>
      </c>
      <c r="B9884" s="1" t="n">
        <v>46072.44953703704</v>
      </c>
      <c r="C9884" s="1" t="n">
        <v>46086</v>
      </c>
      <c r="D9884" t="inlineStr">
        <is>
          <t>GÄVLEBORGS LÄN</t>
        </is>
      </c>
      <c r="E9884" t="inlineStr">
        <is>
          <t>BOLLNÄS</t>
        </is>
      </c>
      <c r="G9884" t="n">
        <v>3.1</v>
      </c>
      <c r="H9884" t="n">
        <v>0</v>
      </c>
      <c r="I9884" t="n">
        <v>0</v>
      </c>
      <c r="J9884" t="n">
        <v>0</v>
      </c>
      <c r="K9884" t="n">
        <v>0</v>
      </c>
      <c r="L9884" t="n">
        <v>0</v>
      </c>
      <c r="M9884" t="n">
        <v>0</v>
      </c>
      <c r="N9884" t="n">
        <v>0</v>
      </c>
      <c r="O9884" t="n">
        <v>0</v>
      </c>
      <c r="P9884" t="n">
        <v>0</v>
      </c>
      <c r="Q9884" t="n">
        <v>0</v>
      </c>
      <c r="R9884" s="2" t="inlineStr"/>
    </row>
    <row r="9885" ht="15" customHeight="1">
      <c r="A9885" t="inlineStr">
        <is>
          <t>A 9721-2026</t>
        </is>
      </c>
      <c r="B9885" s="1" t="n">
        <v>46072.45391203704</v>
      </c>
      <c r="C9885" s="1" t="n">
        <v>46086</v>
      </c>
      <c r="D9885" t="inlineStr">
        <is>
          <t>GÄVLEBORGS LÄN</t>
        </is>
      </c>
      <c r="E9885" t="inlineStr">
        <is>
          <t>OVANÅKER</t>
        </is>
      </c>
      <c r="G9885" t="n">
        <v>5</v>
      </c>
      <c r="H9885" t="n">
        <v>0</v>
      </c>
      <c r="I9885" t="n">
        <v>0</v>
      </c>
      <c r="J9885" t="n">
        <v>0</v>
      </c>
      <c r="K9885" t="n">
        <v>0</v>
      </c>
      <c r="L9885" t="n">
        <v>0</v>
      </c>
      <c r="M9885" t="n">
        <v>0</v>
      </c>
      <c r="N9885" t="n">
        <v>0</v>
      </c>
      <c r="O9885" t="n">
        <v>0</v>
      </c>
      <c r="P9885" t="n">
        <v>0</v>
      </c>
      <c r="Q9885" t="n">
        <v>0</v>
      </c>
      <c r="R9885" s="2" t="inlineStr"/>
    </row>
    <row r="9886" ht="15" customHeight="1">
      <c r="A9886" t="inlineStr">
        <is>
          <t>A 5093-2026</t>
        </is>
      </c>
      <c r="B9886" s="1" t="n">
        <v>46049</v>
      </c>
      <c r="C9886" s="1" t="n">
        <v>46086</v>
      </c>
      <c r="D9886" t="inlineStr">
        <is>
          <t>GÄVLEBORGS LÄN</t>
        </is>
      </c>
      <c r="E9886" t="inlineStr">
        <is>
          <t>LJUSDAL</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5231-2026</t>
        </is>
      </c>
      <c r="B9887" s="1" t="n">
        <v>46049</v>
      </c>
      <c r="C9887" s="1" t="n">
        <v>46086</v>
      </c>
      <c r="D9887" t="inlineStr">
        <is>
          <t>GÄVLEBORGS LÄN</t>
        </is>
      </c>
      <c r="E9887" t="inlineStr">
        <is>
          <t>OCKELBO</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961-2026</t>
        </is>
      </c>
      <c r="B9888" s="1" t="n">
        <v>46030.55479166667</v>
      </c>
      <c r="C9888" s="1" t="n">
        <v>46086</v>
      </c>
      <c r="D9888" t="inlineStr">
        <is>
          <t>GÄVLEBORGS LÄN</t>
        </is>
      </c>
      <c r="E9888" t="inlineStr">
        <is>
          <t>OVANÅKER</t>
        </is>
      </c>
      <c r="G9888" t="n">
        <v>12.2</v>
      </c>
      <c r="H9888" t="n">
        <v>0</v>
      </c>
      <c r="I9888" t="n">
        <v>0</v>
      </c>
      <c r="J9888" t="n">
        <v>0</v>
      </c>
      <c r="K9888" t="n">
        <v>0</v>
      </c>
      <c r="L9888" t="n">
        <v>0</v>
      </c>
      <c r="M9888" t="n">
        <v>0</v>
      </c>
      <c r="N9888" t="n">
        <v>0</v>
      </c>
      <c r="O9888" t="n">
        <v>0</v>
      </c>
      <c r="P9888" t="n">
        <v>0</v>
      </c>
      <c r="Q9888" t="n">
        <v>0</v>
      </c>
      <c r="R9888" s="2" t="inlineStr"/>
    </row>
    <row r="9889" ht="15" customHeight="1">
      <c r="A9889" t="inlineStr">
        <is>
          <t>A 5311-2026</t>
        </is>
      </c>
      <c r="B9889" s="1" t="n">
        <v>46050</v>
      </c>
      <c r="C9889" s="1" t="n">
        <v>46086</v>
      </c>
      <c r="D9889" t="inlineStr">
        <is>
          <t>GÄVLEBORGS LÄN</t>
        </is>
      </c>
      <c r="E9889" t="inlineStr">
        <is>
          <t>BOLLNÄS</t>
        </is>
      </c>
      <c r="F9889" t="inlineStr">
        <is>
          <t>Bergvik skog väst AB</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9651-2026</t>
        </is>
      </c>
      <c r="B9890" s="1" t="n">
        <v>46072.35738425926</v>
      </c>
      <c r="C9890" s="1" t="n">
        <v>46086</v>
      </c>
      <c r="D9890" t="inlineStr">
        <is>
          <t>GÄVLEBORGS LÄN</t>
        </is>
      </c>
      <c r="E9890" t="inlineStr">
        <is>
          <t>SANDVIKEN</t>
        </is>
      </c>
      <c r="G9890" t="n">
        <v>6.1</v>
      </c>
      <c r="H9890" t="n">
        <v>0</v>
      </c>
      <c r="I9890" t="n">
        <v>0</v>
      </c>
      <c r="J9890" t="n">
        <v>0</v>
      </c>
      <c r="K9890" t="n">
        <v>0</v>
      </c>
      <c r="L9890" t="n">
        <v>0</v>
      </c>
      <c r="M9890" t="n">
        <v>0</v>
      </c>
      <c r="N9890" t="n">
        <v>0</v>
      </c>
      <c r="O9890" t="n">
        <v>0</v>
      </c>
      <c r="P9890" t="n">
        <v>0</v>
      </c>
      <c r="Q9890" t="n">
        <v>0</v>
      </c>
      <c r="R9890" s="2" t="inlineStr"/>
    </row>
    <row r="9891" ht="15" customHeight="1">
      <c r="A9891" t="inlineStr">
        <is>
          <t>A 845-2026</t>
        </is>
      </c>
      <c r="B9891" s="1" t="n">
        <v>46030.38613425926</v>
      </c>
      <c r="C9891" s="1" t="n">
        <v>46086</v>
      </c>
      <c r="D9891" t="inlineStr">
        <is>
          <t>GÄVLEBORGS LÄN</t>
        </is>
      </c>
      <c r="E9891" t="inlineStr">
        <is>
          <t>HUDIKSVALL</t>
        </is>
      </c>
      <c r="G9891" t="n">
        <v>7.3</v>
      </c>
      <c r="H9891" t="n">
        <v>0</v>
      </c>
      <c r="I9891" t="n">
        <v>0</v>
      </c>
      <c r="J9891" t="n">
        <v>0</v>
      </c>
      <c r="K9891" t="n">
        <v>0</v>
      </c>
      <c r="L9891" t="n">
        <v>0</v>
      </c>
      <c r="M9891" t="n">
        <v>0</v>
      </c>
      <c r="N9891" t="n">
        <v>0</v>
      </c>
      <c r="O9891" t="n">
        <v>0</v>
      </c>
      <c r="P9891" t="n">
        <v>0</v>
      </c>
      <c r="Q9891" t="n">
        <v>0</v>
      </c>
      <c r="R9891" s="2" t="inlineStr"/>
    </row>
    <row r="9892" ht="15" customHeight="1">
      <c r="A9892" t="inlineStr">
        <is>
          <t>A 980-2026</t>
        </is>
      </c>
      <c r="B9892" s="1" t="n">
        <v>46030.57630787037</v>
      </c>
      <c r="C9892" s="1" t="n">
        <v>46086</v>
      </c>
      <c r="D9892" t="inlineStr">
        <is>
          <t>GÄVLEBORGS LÄN</t>
        </is>
      </c>
      <c r="E9892" t="inlineStr">
        <is>
          <t>OVANÅKER</t>
        </is>
      </c>
      <c r="G9892" t="n">
        <v>4.3</v>
      </c>
      <c r="H9892" t="n">
        <v>0</v>
      </c>
      <c r="I9892" t="n">
        <v>0</v>
      </c>
      <c r="J9892" t="n">
        <v>0</v>
      </c>
      <c r="K9892" t="n">
        <v>0</v>
      </c>
      <c r="L9892" t="n">
        <v>0</v>
      </c>
      <c r="M9892" t="n">
        <v>0</v>
      </c>
      <c r="N9892" t="n">
        <v>0</v>
      </c>
      <c r="O9892" t="n">
        <v>0</v>
      </c>
      <c r="P9892" t="n">
        <v>0</v>
      </c>
      <c r="Q9892" t="n">
        <v>0</v>
      </c>
      <c r="R9892" s="2" t="inlineStr"/>
    </row>
    <row r="9893" ht="15" customHeight="1">
      <c r="A9893" t="inlineStr">
        <is>
          <t>A 51443-2022</t>
        </is>
      </c>
      <c r="B9893" s="1" t="n">
        <v>44869.489375</v>
      </c>
      <c r="C9893" s="1" t="n">
        <v>46086</v>
      </c>
      <c r="D9893" t="inlineStr">
        <is>
          <t>GÄVLEBORGS LÄN</t>
        </is>
      </c>
      <c r="E9893" t="inlineStr">
        <is>
          <t>BOLLNÄS</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38292-2021</t>
        </is>
      </c>
      <c r="B9894" s="1" t="n">
        <v>44406.33724537037</v>
      </c>
      <c r="C9894" s="1" t="n">
        <v>46086</v>
      </c>
      <c r="D9894" t="inlineStr">
        <is>
          <t>GÄVLEBORGS LÄN</t>
        </is>
      </c>
      <c r="E9894" t="inlineStr">
        <is>
          <t>OCKELBO</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825-2026</t>
        </is>
      </c>
      <c r="B9895" s="1" t="n">
        <v>46030</v>
      </c>
      <c r="C9895" s="1" t="n">
        <v>46086</v>
      </c>
      <c r="D9895" t="inlineStr">
        <is>
          <t>GÄVLEBORGS LÄN</t>
        </is>
      </c>
      <c r="E9895" t="inlineStr">
        <is>
          <t>BOLLNÄS</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839-2026</t>
        </is>
      </c>
      <c r="B9896" s="1" t="n">
        <v>46030.37684027778</v>
      </c>
      <c r="C9896" s="1" t="n">
        <v>46086</v>
      </c>
      <c r="D9896" t="inlineStr">
        <is>
          <t>GÄVLEBORGS LÄN</t>
        </is>
      </c>
      <c r="E9896" t="inlineStr">
        <is>
          <t>HUDIKSVALL</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892-2026</t>
        </is>
      </c>
      <c r="B9897" s="1" t="n">
        <v>46030.45260416667</v>
      </c>
      <c r="C9897" s="1" t="n">
        <v>46086</v>
      </c>
      <c r="D9897" t="inlineStr">
        <is>
          <t>GÄVLEBORGS LÄN</t>
        </is>
      </c>
      <c r="E9897" t="inlineStr">
        <is>
          <t>HOFORS</t>
        </is>
      </c>
      <c r="G9897" t="n">
        <v>3.6</v>
      </c>
      <c r="H9897" t="n">
        <v>0</v>
      </c>
      <c r="I9897" t="n">
        <v>0</v>
      </c>
      <c r="J9897" t="n">
        <v>0</v>
      </c>
      <c r="K9897" t="n">
        <v>0</v>
      </c>
      <c r="L9897" t="n">
        <v>0</v>
      </c>
      <c r="M9897" t="n">
        <v>0</v>
      </c>
      <c r="N9897" t="n">
        <v>0</v>
      </c>
      <c r="O9897" t="n">
        <v>0</v>
      </c>
      <c r="P9897" t="n">
        <v>0</v>
      </c>
      <c r="Q9897" t="n">
        <v>0</v>
      </c>
      <c r="R9897" s="2" t="inlineStr"/>
    </row>
    <row r="9898" ht="15" customHeight="1">
      <c r="A9898" t="inlineStr">
        <is>
          <t>A 894-2026</t>
        </is>
      </c>
      <c r="B9898" s="1" t="n">
        <v>46030</v>
      </c>
      <c r="C9898" s="1" t="n">
        <v>46086</v>
      </c>
      <c r="D9898" t="inlineStr">
        <is>
          <t>GÄVLEBORGS LÄN</t>
        </is>
      </c>
      <c r="E9898" t="inlineStr">
        <is>
          <t>BOLLNÄS</t>
        </is>
      </c>
      <c r="G9898" t="n">
        <v>8.6</v>
      </c>
      <c r="H9898" t="n">
        <v>0</v>
      </c>
      <c r="I9898" t="n">
        <v>0</v>
      </c>
      <c r="J9898" t="n">
        <v>0</v>
      </c>
      <c r="K9898" t="n">
        <v>0</v>
      </c>
      <c r="L9898" t="n">
        <v>0</v>
      </c>
      <c r="M9898" t="n">
        <v>0</v>
      </c>
      <c r="N9898" t="n">
        <v>0</v>
      </c>
      <c r="O9898" t="n">
        <v>0</v>
      </c>
      <c r="P9898" t="n">
        <v>0</v>
      </c>
      <c r="Q9898" t="n">
        <v>0</v>
      </c>
      <c r="R9898" s="2" t="inlineStr"/>
    </row>
    <row r="9899" ht="15" customHeight="1">
      <c r="A9899" t="inlineStr">
        <is>
          <t>A 897-2026</t>
        </is>
      </c>
      <c r="B9899" s="1" t="n">
        <v>46030</v>
      </c>
      <c r="C9899" s="1" t="n">
        <v>46086</v>
      </c>
      <c r="D9899" t="inlineStr">
        <is>
          <t>GÄVLEBORGS LÄN</t>
        </is>
      </c>
      <c r="E9899" t="inlineStr">
        <is>
          <t>BOLLNÄS</t>
        </is>
      </c>
      <c r="G9899" t="n">
        <v>50.4</v>
      </c>
      <c r="H9899" t="n">
        <v>0</v>
      </c>
      <c r="I9899" t="n">
        <v>0</v>
      </c>
      <c r="J9899" t="n">
        <v>0</v>
      </c>
      <c r="K9899" t="n">
        <v>0</v>
      </c>
      <c r="L9899" t="n">
        <v>0</v>
      </c>
      <c r="M9899" t="n">
        <v>0</v>
      </c>
      <c r="N9899" t="n">
        <v>0</v>
      </c>
      <c r="O9899" t="n">
        <v>0</v>
      </c>
      <c r="P9899" t="n">
        <v>0</v>
      </c>
      <c r="Q9899" t="n">
        <v>0</v>
      </c>
      <c r="R9899" s="2" t="inlineStr"/>
    </row>
    <row r="9900" ht="15" customHeight="1">
      <c r="A9900" t="inlineStr">
        <is>
          <t>A 7092-2026</t>
        </is>
      </c>
      <c r="B9900" s="1" t="n">
        <v>46058.34547453704</v>
      </c>
      <c r="C9900" s="1" t="n">
        <v>46086</v>
      </c>
      <c r="D9900" t="inlineStr">
        <is>
          <t>GÄVLEBORGS LÄN</t>
        </is>
      </c>
      <c r="E9900" t="inlineStr">
        <is>
          <t>HUDIKSVALL</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1205-2026</t>
        </is>
      </c>
      <c r="B9901" s="1" t="n">
        <v>46031.3815625</v>
      </c>
      <c r="C9901" s="1" t="n">
        <v>46086</v>
      </c>
      <c r="D9901" t="inlineStr">
        <is>
          <t>GÄVLEBORGS LÄN</t>
        </is>
      </c>
      <c r="E9901" t="inlineStr">
        <is>
          <t>SANDVIKEN</t>
        </is>
      </c>
      <c r="G9901" t="n">
        <v>5</v>
      </c>
      <c r="H9901" t="n">
        <v>0</v>
      </c>
      <c r="I9901" t="n">
        <v>0</v>
      </c>
      <c r="J9901" t="n">
        <v>0</v>
      </c>
      <c r="K9901" t="n">
        <v>0</v>
      </c>
      <c r="L9901" t="n">
        <v>0</v>
      </c>
      <c r="M9901" t="n">
        <v>0</v>
      </c>
      <c r="N9901" t="n">
        <v>0</v>
      </c>
      <c r="O9901" t="n">
        <v>0</v>
      </c>
      <c r="P9901" t="n">
        <v>0</v>
      </c>
      <c r="Q9901" t="n">
        <v>0</v>
      </c>
      <c r="R9901" s="2" t="inlineStr"/>
    </row>
    <row r="9902" ht="15" customHeight="1">
      <c r="A9902" t="inlineStr">
        <is>
          <t>A 1208-2026</t>
        </is>
      </c>
      <c r="B9902" s="1" t="n">
        <v>46031</v>
      </c>
      <c r="C9902" s="1" t="n">
        <v>46086</v>
      </c>
      <c r="D9902" t="inlineStr">
        <is>
          <t>GÄVLEBORGS LÄN</t>
        </is>
      </c>
      <c r="E9902" t="inlineStr">
        <is>
          <t>GÄVLE</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1219-2026</t>
        </is>
      </c>
      <c r="B9903" s="1" t="n">
        <v>46031.40113425926</v>
      </c>
      <c r="C9903" s="1" t="n">
        <v>46086</v>
      </c>
      <c r="D9903" t="inlineStr">
        <is>
          <t>GÄVLEBORGS LÄN</t>
        </is>
      </c>
      <c r="E9903" t="inlineStr">
        <is>
          <t>NORDANSTIG</t>
        </is>
      </c>
      <c r="G9903" t="n">
        <v>3.5</v>
      </c>
      <c r="H9903" t="n">
        <v>0</v>
      </c>
      <c r="I9903" t="n">
        <v>0</v>
      </c>
      <c r="J9903" t="n">
        <v>0</v>
      </c>
      <c r="K9903" t="n">
        <v>0</v>
      </c>
      <c r="L9903" t="n">
        <v>0</v>
      </c>
      <c r="M9903" t="n">
        <v>0</v>
      </c>
      <c r="N9903" t="n">
        <v>0</v>
      </c>
      <c r="O9903" t="n">
        <v>0</v>
      </c>
      <c r="P9903" t="n">
        <v>0</v>
      </c>
      <c r="Q9903" t="n">
        <v>0</v>
      </c>
      <c r="R9903" s="2" t="inlineStr"/>
    </row>
    <row r="9904" ht="15" customHeight="1">
      <c r="A9904" t="inlineStr">
        <is>
          <t>A 912-2026</t>
        </is>
      </c>
      <c r="B9904" s="1" t="n">
        <v>46030.47767361111</v>
      </c>
      <c r="C9904" s="1" t="n">
        <v>46086</v>
      </c>
      <c r="D9904" t="inlineStr">
        <is>
          <t>GÄVLEBORGS LÄN</t>
        </is>
      </c>
      <c r="E9904" t="inlineStr">
        <is>
          <t>OVANÅKER</t>
        </is>
      </c>
      <c r="G9904" t="n">
        <v>2.7</v>
      </c>
      <c r="H9904" t="n">
        <v>0</v>
      </c>
      <c r="I9904" t="n">
        <v>0</v>
      </c>
      <c r="J9904" t="n">
        <v>0</v>
      </c>
      <c r="K9904" t="n">
        <v>0</v>
      </c>
      <c r="L9904" t="n">
        <v>0</v>
      </c>
      <c r="M9904" t="n">
        <v>0</v>
      </c>
      <c r="N9904" t="n">
        <v>0</v>
      </c>
      <c r="O9904" t="n">
        <v>0</v>
      </c>
      <c r="P9904" t="n">
        <v>0</v>
      </c>
      <c r="Q9904" t="n">
        <v>0</v>
      </c>
      <c r="R9904" s="2" t="inlineStr"/>
    </row>
    <row r="9905" ht="15" customHeight="1">
      <c r="A9905" t="inlineStr">
        <is>
          <t>A 6927-2026</t>
        </is>
      </c>
      <c r="B9905" s="1" t="n">
        <v>46057</v>
      </c>
      <c r="C9905" s="1" t="n">
        <v>46086</v>
      </c>
      <c r="D9905" t="inlineStr">
        <is>
          <t>GÄVLEBORGS LÄN</t>
        </is>
      </c>
      <c r="E9905" t="inlineStr">
        <is>
          <t>LJUSDAL</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39373-2024</t>
        </is>
      </c>
      <c r="B9906" s="1" t="n">
        <v>45551.48148148148</v>
      </c>
      <c r="C9906" s="1" t="n">
        <v>46086</v>
      </c>
      <c r="D9906" t="inlineStr">
        <is>
          <t>GÄVLEBORGS LÄN</t>
        </is>
      </c>
      <c r="E9906" t="inlineStr">
        <is>
          <t>OVANÅKER</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6930-2026</t>
        </is>
      </c>
      <c r="B9907" s="1" t="n">
        <v>46057.55274305555</v>
      </c>
      <c r="C9907" s="1" t="n">
        <v>46086</v>
      </c>
      <c r="D9907" t="inlineStr">
        <is>
          <t>GÄVLEBORGS LÄN</t>
        </is>
      </c>
      <c r="E9907" t="inlineStr">
        <is>
          <t>LJUSDAL</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1290-2026</t>
        </is>
      </c>
      <c r="B9908" s="1" t="n">
        <v>46031.50452546297</v>
      </c>
      <c r="C9908" s="1" t="n">
        <v>46086</v>
      </c>
      <c r="D9908" t="inlineStr">
        <is>
          <t>GÄVLEBORGS LÄN</t>
        </is>
      </c>
      <c r="E9908" t="inlineStr">
        <is>
          <t>OCKELBO</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836-2026</t>
        </is>
      </c>
      <c r="B9909" s="1" t="n">
        <v>46030</v>
      </c>
      <c r="C9909" s="1" t="n">
        <v>46086</v>
      </c>
      <c r="D9909" t="inlineStr">
        <is>
          <t>GÄVLEBORGS LÄN</t>
        </is>
      </c>
      <c r="E9909" t="inlineStr">
        <is>
          <t>LJUSDAL</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907-2026</t>
        </is>
      </c>
      <c r="B9910" s="1" t="n">
        <v>46030.4750462963</v>
      </c>
      <c r="C9910" s="1" t="n">
        <v>46086</v>
      </c>
      <c r="D9910" t="inlineStr">
        <is>
          <t>GÄVLEBORGS LÄN</t>
        </is>
      </c>
      <c r="E9910" t="inlineStr">
        <is>
          <t>BOLLNÄS</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1289-2026</t>
        </is>
      </c>
      <c r="B9911" s="1" t="n">
        <v>46031.50412037037</v>
      </c>
      <c r="C9911" s="1" t="n">
        <v>46086</v>
      </c>
      <c r="D9911" t="inlineStr">
        <is>
          <t>GÄVLEBORGS LÄN</t>
        </is>
      </c>
      <c r="E9911" t="inlineStr">
        <is>
          <t>GÄVLE</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6032-2026</t>
        </is>
      </c>
      <c r="B9912" s="1" t="n">
        <v>46052</v>
      </c>
      <c r="C9912" s="1" t="n">
        <v>46086</v>
      </c>
      <c r="D9912" t="inlineStr">
        <is>
          <t>GÄVLEBORGS LÄN</t>
        </is>
      </c>
      <c r="E9912" t="inlineStr">
        <is>
          <t>OVANÅKER</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13039-2023</t>
        </is>
      </c>
      <c r="B9913" s="1" t="n">
        <v>45002.35984953704</v>
      </c>
      <c r="C9913" s="1" t="n">
        <v>46086</v>
      </c>
      <c r="D9913" t="inlineStr">
        <is>
          <t>GÄVLEBORGS LÄN</t>
        </is>
      </c>
      <c r="E9913" t="inlineStr">
        <is>
          <t>HUDIKSVALL</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37697-2022</t>
        </is>
      </c>
      <c r="B9914" s="1" t="n">
        <v>44810.51233796297</v>
      </c>
      <c r="C9914" s="1" t="n">
        <v>46086</v>
      </c>
      <c r="D9914" t="inlineStr">
        <is>
          <t>GÄVLEBORGS LÄN</t>
        </is>
      </c>
      <c r="E9914" t="inlineStr">
        <is>
          <t>SANDVIKEN</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5389-2026</t>
        </is>
      </c>
      <c r="B9915" s="1" t="n">
        <v>46050</v>
      </c>
      <c r="C9915" s="1" t="n">
        <v>46086</v>
      </c>
      <c r="D9915" t="inlineStr">
        <is>
          <t>GÄVLEBORGS LÄN</t>
        </is>
      </c>
      <c r="E9915" t="inlineStr">
        <is>
          <t>OVANÅKER</t>
        </is>
      </c>
      <c r="G9915" t="n">
        <v>12.4</v>
      </c>
      <c r="H9915" t="n">
        <v>0</v>
      </c>
      <c r="I9915" t="n">
        <v>0</v>
      </c>
      <c r="J9915" t="n">
        <v>0</v>
      </c>
      <c r="K9915" t="n">
        <v>0</v>
      </c>
      <c r="L9915" t="n">
        <v>0</v>
      </c>
      <c r="M9915" t="n">
        <v>0</v>
      </c>
      <c r="N9915" t="n">
        <v>0</v>
      </c>
      <c r="O9915" t="n">
        <v>0</v>
      </c>
      <c r="P9915" t="n">
        <v>0</v>
      </c>
      <c r="Q9915" t="n">
        <v>0</v>
      </c>
      <c r="R9915" s="2" t="inlineStr"/>
    </row>
    <row r="9916" ht="15" customHeight="1">
      <c r="A9916" t="inlineStr">
        <is>
          <t>A 6015-2026</t>
        </is>
      </c>
      <c r="B9916" s="1" t="n">
        <v>46052</v>
      </c>
      <c r="C9916" s="1" t="n">
        <v>46086</v>
      </c>
      <c r="D9916" t="inlineStr">
        <is>
          <t>GÄVLEBORGS LÄN</t>
        </is>
      </c>
      <c r="E9916" t="inlineStr">
        <is>
          <t>GÄVLE</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43550-2023</t>
        </is>
      </c>
      <c r="B9917" s="1" t="n">
        <v>45184</v>
      </c>
      <c r="C9917" s="1" t="n">
        <v>46086</v>
      </c>
      <c r="D9917" t="inlineStr">
        <is>
          <t>GÄVLEBORGS LÄN</t>
        </is>
      </c>
      <c r="E9917" t="inlineStr">
        <is>
          <t>OCKELBO</t>
        </is>
      </c>
      <c r="F9917" t="inlineStr">
        <is>
          <t>Bergvik skog väst AB</t>
        </is>
      </c>
      <c r="G9917" t="n">
        <v>3.2</v>
      </c>
      <c r="H9917" t="n">
        <v>0</v>
      </c>
      <c r="I9917" t="n">
        <v>0</v>
      </c>
      <c r="J9917" t="n">
        <v>0</v>
      </c>
      <c r="K9917" t="n">
        <v>0</v>
      </c>
      <c r="L9917" t="n">
        <v>0</v>
      </c>
      <c r="M9917" t="n">
        <v>0</v>
      </c>
      <c r="N9917" t="n">
        <v>0</v>
      </c>
      <c r="O9917" t="n">
        <v>0</v>
      </c>
      <c r="P9917" t="n">
        <v>0</v>
      </c>
      <c r="Q9917" t="n">
        <v>0</v>
      </c>
      <c r="R9917" s="2" t="inlineStr"/>
    </row>
    <row r="9918" ht="15" customHeight="1">
      <c r="A9918" t="inlineStr">
        <is>
          <t>A 5232-2026</t>
        </is>
      </c>
      <c r="B9918" s="1" t="n">
        <v>46049</v>
      </c>
      <c r="C9918" s="1" t="n">
        <v>46086</v>
      </c>
      <c r="D9918" t="inlineStr">
        <is>
          <t>GÄVLEBORGS LÄN</t>
        </is>
      </c>
      <c r="E9918" t="inlineStr">
        <is>
          <t>OCKELBO</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5236-2026</t>
        </is>
      </c>
      <c r="B9919" s="1" t="n">
        <v>46049</v>
      </c>
      <c r="C9919" s="1" t="n">
        <v>46086</v>
      </c>
      <c r="D9919" t="inlineStr">
        <is>
          <t>GÄVLEBORGS LÄN</t>
        </is>
      </c>
      <c r="E9919" t="inlineStr">
        <is>
          <t>OCKELBO</t>
        </is>
      </c>
      <c r="G9919" t="n">
        <v>4.9</v>
      </c>
      <c r="H9919" t="n">
        <v>0</v>
      </c>
      <c r="I9919" t="n">
        <v>0</v>
      </c>
      <c r="J9919" t="n">
        <v>0</v>
      </c>
      <c r="K9919" t="n">
        <v>0</v>
      </c>
      <c r="L9919" t="n">
        <v>0</v>
      </c>
      <c r="M9919" t="n">
        <v>0</v>
      </c>
      <c r="N9919" t="n">
        <v>0</v>
      </c>
      <c r="O9919" t="n">
        <v>0</v>
      </c>
      <c r="P9919" t="n">
        <v>0</v>
      </c>
      <c r="Q9919" t="n">
        <v>0</v>
      </c>
      <c r="R9919" s="2" t="inlineStr"/>
    </row>
    <row r="9920" ht="15" customHeight="1">
      <c r="A9920" t="inlineStr">
        <is>
          <t>A 7947-2026</t>
        </is>
      </c>
      <c r="B9920" s="1" t="n">
        <v>46063</v>
      </c>
      <c r="C9920" s="1" t="n">
        <v>46086</v>
      </c>
      <c r="D9920" t="inlineStr">
        <is>
          <t>GÄVLEBORGS LÄN</t>
        </is>
      </c>
      <c r="E9920" t="inlineStr">
        <is>
          <t>OCKELBO</t>
        </is>
      </c>
      <c r="G9920" t="n">
        <v>7.3</v>
      </c>
      <c r="H9920" t="n">
        <v>0</v>
      </c>
      <c r="I9920" t="n">
        <v>0</v>
      </c>
      <c r="J9920" t="n">
        <v>0</v>
      </c>
      <c r="K9920" t="n">
        <v>0</v>
      </c>
      <c r="L9920" t="n">
        <v>0</v>
      </c>
      <c r="M9920" t="n">
        <v>0</v>
      </c>
      <c r="N9920" t="n">
        <v>0</v>
      </c>
      <c r="O9920" t="n">
        <v>0</v>
      </c>
      <c r="P9920" t="n">
        <v>0</v>
      </c>
      <c r="Q9920" t="n">
        <v>0</v>
      </c>
      <c r="R9920" s="2" t="inlineStr"/>
    </row>
    <row r="9921" ht="15" customHeight="1">
      <c r="A9921" t="inlineStr">
        <is>
          <t>A 51797-2023</t>
        </is>
      </c>
      <c r="B9921" s="1" t="n">
        <v>45222</v>
      </c>
      <c r="C9921" s="1" t="n">
        <v>46086</v>
      </c>
      <c r="D9921" t="inlineStr">
        <is>
          <t>GÄVLEBORGS LÄN</t>
        </is>
      </c>
      <c r="E9921" t="inlineStr">
        <is>
          <t>BOLLNÄS</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5634-2026</t>
        </is>
      </c>
      <c r="B9922" s="1" t="n">
        <v>46051</v>
      </c>
      <c r="C9922" s="1" t="n">
        <v>46086</v>
      </c>
      <c r="D9922" t="inlineStr">
        <is>
          <t>GÄVLEBORGS LÄN</t>
        </is>
      </c>
      <c r="E9922" t="inlineStr">
        <is>
          <t>HUDIKSVALL</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6357-2026</t>
        </is>
      </c>
      <c r="B9923" s="1" t="n">
        <v>46055</v>
      </c>
      <c r="C9923" s="1" t="n">
        <v>46086</v>
      </c>
      <c r="D9923" t="inlineStr">
        <is>
          <t>GÄVLEBORGS LÄN</t>
        </is>
      </c>
      <c r="E9923" t="inlineStr">
        <is>
          <t>SANDVIKEN</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6477-2026</t>
        </is>
      </c>
      <c r="B9924" s="1" t="n">
        <v>46056</v>
      </c>
      <c r="C9924" s="1" t="n">
        <v>46086</v>
      </c>
      <c r="D9924" t="inlineStr">
        <is>
          <t>GÄVLEBORGS LÄN</t>
        </is>
      </c>
      <c r="E9924" t="inlineStr">
        <is>
          <t>BOLLNÄS</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6499-2026</t>
        </is>
      </c>
      <c r="B9925" s="1" t="n">
        <v>46056</v>
      </c>
      <c r="C9925" s="1" t="n">
        <v>46086</v>
      </c>
      <c r="D9925" t="inlineStr">
        <is>
          <t>GÄVLEBORGS LÄN</t>
        </is>
      </c>
      <c r="E9925" t="inlineStr">
        <is>
          <t>OCKELBO</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7217-2026</t>
        </is>
      </c>
      <c r="B9926" s="1" t="n">
        <v>46058</v>
      </c>
      <c r="C9926" s="1" t="n">
        <v>46086</v>
      </c>
      <c r="D9926" t="inlineStr">
        <is>
          <t>GÄVLEBORGS LÄN</t>
        </is>
      </c>
      <c r="E9926" t="inlineStr">
        <is>
          <t>BOLLNÄS</t>
        </is>
      </c>
      <c r="F9926" t="inlineStr">
        <is>
          <t>Bergvik skog väst AB</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9873-2026</t>
        </is>
      </c>
      <c r="B9927" s="1" t="n">
        <v>46073.30528935185</v>
      </c>
      <c r="C9927" s="1" t="n">
        <v>46086</v>
      </c>
      <c r="D9927" t="inlineStr">
        <is>
          <t>GÄVLEBORGS LÄN</t>
        </is>
      </c>
      <c r="E9927" t="inlineStr">
        <is>
          <t>BOLLNÄS</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4084-2025</t>
        </is>
      </c>
      <c r="B9928" s="1" t="n">
        <v>45684.66099537037</v>
      </c>
      <c r="C9928" s="1" t="n">
        <v>46086</v>
      </c>
      <c r="D9928" t="inlineStr">
        <is>
          <t>GÄVLEBORGS LÄN</t>
        </is>
      </c>
      <c r="E9928" t="inlineStr">
        <is>
          <t>NORDANSTIG</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908-2026</t>
        </is>
      </c>
      <c r="B9929" s="1" t="n">
        <v>46030.47659722222</v>
      </c>
      <c r="C9929" s="1" t="n">
        <v>46086</v>
      </c>
      <c r="D9929" t="inlineStr">
        <is>
          <t>GÄVLEBORGS LÄN</t>
        </is>
      </c>
      <c r="E9929" t="inlineStr">
        <is>
          <t>OVANÅKER</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924-2026</t>
        </is>
      </c>
      <c r="B9930" s="1" t="n">
        <v>46030</v>
      </c>
      <c r="C9930" s="1" t="n">
        <v>46086</v>
      </c>
      <c r="D9930" t="inlineStr">
        <is>
          <t>GÄVLEBORGS LÄN</t>
        </is>
      </c>
      <c r="E9930" t="inlineStr">
        <is>
          <t>NORDANSTIG</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1083-2026</t>
        </is>
      </c>
      <c r="B9931" s="1" t="n">
        <v>46030</v>
      </c>
      <c r="C9931" s="1" t="n">
        <v>46086</v>
      </c>
      <c r="D9931" t="inlineStr">
        <is>
          <t>GÄVLEBORGS LÄN</t>
        </is>
      </c>
      <c r="E9931" t="inlineStr">
        <is>
          <t>SANDVIKEN</t>
        </is>
      </c>
      <c r="G9931" t="n">
        <v>8</v>
      </c>
      <c r="H9931" t="n">
        <v>0</v>
      </c>
      <c r="I9931" t="n">
        <v>0</v>
      </c>
      <c r="J9931" t="n">
        <v>0</v>
      </c>
      <c r="K9931" t="n">
        <v>0</v>
      </c>
      <c r="L9931" t="n">
        <v>0</v>
      </c>
      <c r="M9931" t="n">
        <v>0</v>
      </c>
      <c r="N9931" t="n">
        <v>0</v>
      </c>
      <c r="O9931" t="n">
        <v>0</v>
      </c>
      <c r="P9931" t="n">
        <v>0</v>
      </c>
      <c r="Q9931" t="n">
        <v>0</v>
      </c>
      <c r="R9931" s="2" t="inlineStr"/>
    </row>
    <row r="9932" ht="15" customHeight="1">
      <c r="A9932" t="inlineStr">
        <is>
          <t>A 1146-2026</t>
        </is>
      </c>
      <c r="B9932" s="1" t="n">
        <v>46030.88215277778</v>
      </c>
      <c r="C9932" s="1" t="n">
        <v>46086</v>
      </c>
      <c r="D9932" t="inlineStr">
        <is>
          <t>GÄVLEBORGS LÄN</t>
        </is>
      </c>
      <c r="E9932" t="inlineStr">
        <is>
          <t>OVANÅKER</t>
        </is>
      </c>
      <c r="G9932" t="n">
        <v>3.7</v>
      </c>
      <c r="H9932" t="n">
        <v>0</v>
      </c>
      <c r="I9932" t="n">
        <v>0</v>
      </c>
      <c r="J9932" t="n">
        <v>0</v>
      </c>
      <c r="K9932" t="n">
        <v>0</v>
      </c>
      <c r="L9932" t="n">
        <v>0</v>
      </c>
      <c r="M9932" t="n">
        <v>0</v>
      </c>
      <c r="N9932" t="n">
        <v>0</v>
      </c>
      <c r="O9932" t="n">
        <v>0</v>
      </c>
      <c r="P9932" t="n">
        <v>0</v>
      </c>
      <c r="Q9932" t="n">
        <v>0</v>
      </c>
      <c r="R9932" s="2" t="inlineStr"/>
    </row>
    <row r="9933" ht="15" customHeight="1">
      <c r="A9933" t="inlineStr">
        <is>
          <t>A 14263-2024</t>
        </is>
      </c>
      <c r="B9933" s="1" t="n">
        <v>45393.55355324074</v>
      </c>
      <c r="C9933" s="1" t="n">
        <v>46086</v>
      </c>
      <c r="D9933" t="inlineStr">
        <is>
          <t>GÄVLEBORGS LÄN</t>
        </is>
      </c>
      <c r="E9933" t="inlineStr">
        <is>
          <t>LJUSDAL</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1157-2026</t>
        </is>
      </c>
      <c r="B9934" s="1" t="n">
        <v>46031.32626157408</v>
      </c>
      <c r="C9934" s="1" t="n">
        <v>46086</v>
      </c>
      <c r="D9934" t="inlineStr">
        <is>
          <t>GÄVLEBORGS LÄN</t>
        </is>
      </c>
      <c r="E9934" t="inlineStr">
        <is>
          <t>OVANÅKER</t>
        </is>
      </c>
      <c r="G9934" t="n">
        <v>2.9</v>
      </c>
      <c r="H9934" t="n">
        <v>0</v>
      </c>
      <c r="I9934" t="n">
        <v>0</v>
      </c>
      <c r="J9934" t="n">
        <v>0</v>
      </c>
      <c r="K9934" t="n">
        <v>0</v>
      </c>
      <c r="L9934" t="n">
        <v>0</v>
      </c>
      <c r="M9934" t="n">
        <v>0</v>
      </c>
      <c r="N9934" t="n">
        <v>0</v>
      </c>
      <c r="O9934" t="n">
        <v>0</v>
      </c>
      <c r="P9934" t="n">
        <v>0</v>
      </c>
      <c r="Q9934" t="n">
        <v>0</v>
      </c>
      <c r="R9934" s="2" t="inlineStr"/>
    </row>
    <row r="9935" ht="15" customHeight="1">
      <c r="A9935" t="inlineStr">
        <is>
          <t>A 36779-2022</t>
        </is>
      </c>
      <c r="B9935" s="1" t="n">
        <v>44805</v>
      </c>
      <c r="C9935" s="1" t="n">
        <v>46086</v>
      </c>
      <c r="D9935" t="inlineStr">
        <is>
          <t>GÄVLEBORGS LÄN</t>
        </is>
      </c>
      <c r="E9935" t="inlineStr">
        <is>
          <t>OCKELBO</t>
        </is>
      </c>
      <c r="G9935" t="n">
        <v>5.2</v>
      </c>
      <c r="H9935" t="n">
        <v>0</v>
      </c>
      <c r="I9935" t="n">
        <v>0</v>
      </c>
      <c r="J9935" t="n">
        <v>0</v>
      </c>
      <c r="K9935" t="n">
        <v>0</v>
      </c>
      <c r="L9935" t="n">
        <v>0</v>
      </c>
      <c r="M9935" t="n">
        <v>0</v>
      </c>
      <c r="N9935" t="n">
        <v>0</v>
      </c>
      <c r="O9935" t="n">
        <v>0</v>
      </c>
      <c r="P9935" t="n">
        <v>0</v>
      </c>
      <c r="Q9935" t="n">
        <v>0</v>
      </c>
      <c r="R9935" s="2" t="inlineStr"/>
    </row>
    <row r="9936" ht="15" customHeight="1">
      <c r="A9936" t="inlineStr">
        <is>
          <t>A 2055-2026</t>
        </is>
      </c>
      <c r="B9936" s="1" t="n">
        <v>46031</v>
      </c>
      <c r="C9936" s="1" t="n">
        <v>46086</v>
      </c>
      <c r="D9936" t="inlineStr">
        <is>
          <t>GÄVLEBORGS LÄN</t>
        </is>
      </c>
      <c r="E9936" t="inlineStr">
        <is>
          <t>OVANÅKER</t>
        </is>
      </c>
      <c r="G9936" t="n">
        <v>12.3</v>
      </c>
      <c r="H9936" t="n">
        <v>0</v>
      </c>
      <c r="I9936" t="n">
        <v>0</v>
      </c>
      <c r="J9936" t="n">
        <v>0</v>
      </c>
      <c r="K9936" t="n">
        <v>0</v>
      </c>
      <c r="L9936" t="n">
        <v>0</v>
      </c>
      <c r="M9936" t="n">
        <v>0</v>
      </c>
      <c r="N9936" t="n">
        <v>0</v>
      </c>
      <c r="O9936" t="n">
        <v>0</v>
      </c>
      <c r="P9936" t="n">
        <v>0</v>
      </c>
      <c r="Q9936" t="n">
        <v>0</v>
      </c>
      <c r="R9936" s="2" t="inlineStr"/>
    </row>
    <row r="9937" ht="15" customHeight="1">
      <c r="A9937" t="inlineStr">
        <is>
          <t>A 6395-2026</t>
        </is>
      </c>
      <c r="B9937" s="1" t="n">
        <v>46055</v>
      </c>
      <c r="C9937" s="1" t="n">
        <v>46086</v>
      </c>
      <c r="D9937" t="inlineStr">
        <is>
          <t>GÄVLEBORGS LÄN</t>
        </is>
      </c>
      <c r="E9937" t="inlineStr">
        <is>
          <t>HUDIKSVALL</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6479-2026</t>
        </is>
      </c>
      <c r="B9938" s="1" t="n">
        <v>46056</v>
      </c>
      <c r="C9938" s="1" t="n">
        <v>46086</v>
      </c>
      <c r="D9938" t="inlineStr">
        <is>
          <t>GÄVLEBORGS LÄN</t>
        </is>
      </c>
      <c r="E9938" t="inlineStr">
        <is>
          <t>BOLLNÄS</t>
        </is>
      </c>
      <c r="G9938" t="n">
        <v>3</v>
      </c>
      <c r="H9938" t="n">
        <v>0</v>
      </c>
      <c r="I9938" t="n">
        <v>0</v>
      </c>
      <c r="J9938" t="n">
        <v>0</v>
      </c>
      <c r="K9938" t="n">
        <v>0</v>
      </c>
      <c r="L9938" t="n">
        <v>0</v>
      </c>
      <c r="M9938" t="n">
        <v>0</v>
      </c>
      <c r="N9938" t="n">
        <v>0</v>
      </c>
      <c r="O9938" t="n">
        <v>0</v>
      </c>
      <c r="P9938" t="n">
        <v>0</v>
      </c>
      <c r="Q9938" t="n">
        <v>0</v>
      </c>
      <c r="R9938" s="2" t="inlineStr"/>
    </row>
    <row r="9939" ht="15" customHeight="1">
      <c r="A9939" t="inlineStr">
        <is>
          <t>A 6952-2026</t>
        </is>
      </c>
      <c r="B9939" s="1" t="n">
        <v>46057</v>
      </c>
      <c r="C9939" s="1" t="n">
        <v>46086</v>
      </c>
      <c r="D9939" t="inlineStr">
        <is>
          <t>GÄVLEBORGS LÄN</t>
        </is>
      </c>
      <c r="E9939" t="inlineStr">
        <is>
          <t>GÄVLE</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7007-2026</t>
        </is>
      </c>
      <c r="B9940" s="1" t="n">
        <v>46057</v>
      </c>
      <c r="C9940" s="1" t="n">
        <v>46086</v>
      </c>
      <c r="D9940" t="inlineStr">
        <is>
          <t>GÄVLEBORGS LÄN</t>
        </is>
      </c>
      <c r="E9940" t="inlineStr">
        <is>
          <t>LJUSDAL</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7017-2026</t>
        </is>
      </c>
      <c r="B9941" s="1" t="n">
        <v>46057</v>
      </c>
      <c r="C9941" s="1" t="n">
        <v>46086</v>
      </c>
      <c r="D9941" t="inlineStr">
        <is>
          <t>GÄVLEBORGS LÄN</t>
        </is>
      </c>
      <c r="E9941" t="inlineStr">
        <is>
          <t>SÖDERHAMN</t>
        </is>
      </c>
      <c r="G9941" t="n">
        <v>3.8</v>
      </c>
      <c r="H9941" t="n">
        <v>0</v>
      </c>
      <c r="I9941" t="n">
        <v>0</v>
      </c>
      <c r="J9941" t="n">
        <v>0</v>
      </c>
      <c r="K9941" t="n">
        <v>0</v>
      </c>
      <c r="L9941" t="n">
        <v>0</v>
      </c>
      <c r="M9941" t="n">
        <v>0</v>
      </c>
      <c r="N9941" t="n">
        <v>0</v>
      </c>
      <c r="O9941" t="n">
        <v>0</v>
      </c>
      <c r="P9941" t="n">
        <v>0</v>
      </c>
      <c r="Q9941" t="n">
        <v>0</v>
      </c>
      <c r="R9941" s="2" t="inlineStr"/>
    </row>
    <row r="9942" ht="15" customHeight="1">
      <c r="A9942" t="inlineStr">
        <is>
          <t>A 44576-2023</t>
        </is>
      </c>
      <c r="B9942" s="1" t="n">
        <v>45183</v>
      </c>
      <c r="C9942" s="1" t="n">
        <v>46086</v>
      </c>
      <c r="D9942" t="inlineStr">
        <is>
          <t>GÄVLEBORGS LÄN</t>
        </is>
      </c>
      <c r="E9942" t="inlineStr">
        <is>
          <t>BOLLNÄS</t>
        </is>
      </c>
      <c r="G9942" t="n">
        <v>3.1</v>
      </c>
      <c r="H9942" t="n">
        <v>0</v>
      </c>
      <c r="I9942" t="n">
        <v>0</v>
      </c>
      <c r="J9942" t="n">
        <v>0</v>
      </c>
      <c r="K9942" t="n">
        <v>0</v>
      </c>
      <c r="L9942" t="n">
        <v>0</v>
      </c>
      <c r="M9942" t="n">
        <v>0</v>
      </c>
      <c r="N9942" t="n">
        <v>0</v>
      </c>
      <c r="O9942" t="n">
        <v>0</v>
      </c>
      <c r="P9942" t="n">
        <v>0</v>
      </c>
      <c r="Q9942" t="n">
        <v>0</v>
      </c>
      <c r="R9942" s="2" t="inlineStr"/>
    </row>
    <row r="9943" ht="15" customHeight="1">
      <c r="A9943" t="inlineStr">
        <is>
          <t>A 1198-2026</t>
        </is>
      </c>
      <c r="B9943" s="1" t="n">
        <v>46031.37184027778</v>
      </c>
      <c r="C9943" s="1" t="n">
        <v>46086</v>
      </c>
      <c r="D9943" t="inlineStr">
        <is>
          <t>GÄVLEBORGS LÄN</t>
        </is>
      </c>
      <c r="E9943" t="inlineStr">
        <is>
          <t>NORDANSTIG</t>
        </is>
      </c>
      <c r="G9943" t="n">
        <v>10</v>
      </c>
      <c r="H9943" t="n">
        <v>0</v>
      </c>
      <c r="I9943" t="n">
        <v>0</v>
      </c>
      <c r="J9943" t="n">
        <v>0</v>
      </c>
      <c r="K9943" t="n">
        <v>0</v>
      </c>
      <c r="L9943" t="n">
        <v>0</v>
      </c>
      <c r="M9943" t="n">
        <v>0</v>
      </c>
      <c r="N9943" t="n">
        <v>0</v>
      </c>
      <c r="O9943" t="n">
        <v>0</v>
      </c>
      <c r="P9943" t="n">
        <v>0</v>
      </c>
      <c r="Q9943" t="n">
        <v>0</v>
      </c>
      <c r="R9943" s="2" t="inlineStr"/>
    </row>
    <row r="9944" ht="15" customHeight="1">
      <c r="A9944" t="inlineStr">
        <is>
          <t>A 1212-2026</t>
        </is>
      </c>
      <c r="B9944" s="1" t="n">
        <v>46031</v>
      </c>
      <c r="C9944" s="1" t="n">
        <v>46086</v>
      </c>
      <c r="D9944" t="inlineStr">
        <is>
          <t>GÄVLEBORGS LÄN</t>
        </is>
      </c>
      <c r="E9944" t="inlineStr">
        <is>
          <t>GÄVLE</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1239-2026</t>
        </is>
      </c>
      <c r="B9945" s="1" t="n">
        <v>46031.42260416667</v>
      </c>
      <c r="C9945" s="1" t="n">
        <v>46086</v>
      </c>
      <c r="D9945" t="inlineStr">
        <is>
          <t>GÄVLEBORGS LÄN</t>
        </is>
      </c>
      <c r="E9945" t="inlineStr">
        <is>
          <t>LJUSDAL</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1251-2026</t>
        </is>
      </c>
      <c r="B9946" s="1" t="n">
        <v>46031.43357638889</v>
      </c>
      <c r="C9946" s="1" t="n">
        <v>46086</v>
      </c>
      <c r="D9946" t="inlineStr">
        <is>
          <t>GÄVLEBORGS LÄN</t>
        </is>
      </c>
      <c r="E9946" t="inlineStr">
        <is>
          <t>LJUSDAL</t>
        </is>
      </c>
      <c r="G9946" t="n">
        <v>5.3</v>
      </c>
      <c r="H9946" t="n">
        <v>0</v>
      </c>
      <c r="I9946" t="n">
        <v>0</v>
      </c>
      <c r="J9946" t="n">
        <v>0</v>
      </c>
      <c r="K9946" t="n">
        <v>0</v>
      </c>
      <c r="L9946" t="n">
        <v>0</v>
      </c>
      <c r="M9946" t="n">
        <v>0</v>
      </c>
      <c r="N9946" t="n">
        <v>0</v>
      </c>
      <c r="O9946" t="n">
        <v>0</v>
      </c>
      <c r="P9946" t="n">
        <v>0</v>
      </c>
      <c r="Q9946" t="n">
        <v>0</v>
      </c>
      <c r="R9946" s="2" t="inlineStr"/>
    </row>
    <row r="9947" ht="15" customHeight="1">
      <c r="A9947" t="inlineStr">
        <is>
          <t>A 1262-2026</t>
        </is>
      </c>
      <c r="B9947" s="1" t="n">
        <v>46031</v>
      </c>
      <c r="C9947" s="1" t="n">
        <v>46086</v>
      </c>
      <c r="D9947" t="inlineStr">
        <is>
          <t>GÄVLEBORGS LÄN</t>
        </is>
      </c>
      <c r="E9947" t="inlineStr">
        <is>
          <t>BOLLNÄS</t>
        </is>
      </c>
      <c r="G9947" t="n">
        <v>14.6</v>
      </c>
      <c r="H9947" t="n">
        <v>0</v>
      </c>
      <c r="I9947" t="n">
        <v>0</v>
      </c>
      <c r="J9947" t="n">
        <v>0</v>
      </c>
      <c r="K9947" t="n">
        <v>0</v>
      </c>
      <c r="L9947" t="n">
        <v>0</v>
      </c>
      <c r="M9947" t="n">
        <v>0</v>
      </c>
      <c r="N9947" t="n">
        <v>0</v>
      </c>
      <c r="O9947" t="n">
        <v>0</v>
      </c>
      <c r="P9947" t="n">
        <v>0</v>
      </c>
      <c r="Q9947" t="n">
        <v>0</v>
      </c>
      <c r="R9947" s="2" t="inlineStr"/>
    </row>
    <row r="9948" ht="15" customHeight="1">
      <c r="A9948" t="inlineStr">
        <is>
          <t>A 5886-2023</t>
        </is>
      </c>
      <c r="B9948" s="1" t="n">
        <v>44963.64210648148</v>
      </c>
      <c r="C9948" s="1" t="n">
        <v>46086</v>
      </c>
      <c r="D9948" t="inlineStr">
        <is>
          <t>GÄVLEBORGS LÄN</t>
        </is>
      </c>
      <c r="E9948" t="inlineStr">
        <is>
          <t>SÖDERHAMN</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1283-2026</t>
        </is>
      </c>
      <c r="B9949" s="1" t="n">
        <v>46031</v>
      </c>
      <c r="C9949" s="1" t="n">
        <v>46086</v>
      </c>
      <c r="D9949" t="inlineStr">
        <is>
          <t>GÄVLEBORGS LÄN</t>
        </is>
      </c>
      <c r="E9949" t="inlineStr">
        <is>
          <t>SANDVIKEN</t>
        </is>
      </c>
      <c r="G9949" t="n">
        <v>6</v>
      </c>
      <c r="H9949" t="n">
        <v>0</v>
      </c>
      <c r="I9949" t="n">
        <v>0</v>
      </c>
      <c r="J9949" t="n">
        <v>0</v>
      </c>
      <c r="K9949" t="n">
        <v>0</v>
      </c>
      <c r="L9949" t="n">
        <v>0</v>
      </c>
      <c r="M9949" t="n">
        <v>0</v>
      </c>
      <c r="N9949" t="n">
        <v>0</v>
      </c>
      <c r="O9949" t="n">
        <v>0</v>
      </c>
      <c r="P9949" t="n">
        <v>0</v>
      </c>
      <c r="Q9949" t="n">
        <v>0</v>
      </c>
      <c r="R9949" s="2" t="inlineStr"/>
    </row>
    <row r="9950" ht="15" customHeight="1">
      <c r="A9950" t="inlineStr">
        <is>
          <t>A 10077-2026</t>
        </is>
      </c>
      <c r="B9950" s="1" t="n">
        <v>46073.64842592592</v>
      </c>
      <c r="C9950" s="1" t="n">
        <v>46086</v>
      </c>
      <c r="D9950" t="inlineStr">
        <is>
          <t>GÄVLEBORGS LÄN</t>
        </is>
      </c>
      <c r="E9950" t="inlineStr">
        <is>
          <t>BOLLNÄS</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10078-2026</t>
        </is>
      </c>
      <c r="B9951" s="1" t="n">
        <v>46073.65320601852</v>
      </c>
      <c r="C9951" s="1" t="n">
        <v>46086</v>
      </c>
      <c r="D9951" t="inlineStr">
        <is>
          <t>GÄVLEBORGS LÄN</t>
        </is>
      </c>
      <c r="E9951" t="inlineStr">
        <is>
          <t>BOLLNÄS</t>
        </is>
      </c>
      <c r="G9951" t="n">
        <v>9.1</v>
      </c>
      <c r="H9951" t="n">
        <v>0</v>
      </c>
      <c r="I9951" t="n">
        <v>0</v>
      </c>
      <c r="J9951" t="n">
        <v>0</v>
      </c>
      <c r="K9951" t="n">
        <v>0</v>
      </c>
      <c r="L9951" t="n">
        <v>0</v>
      </c>
      <c r="M9951" t="n">
        <v>0</v>
      </c>
      <c r="N9951" t="n">
        <v>0</v>
      </c>
      <c r="O9951" t="n">
        <v>0</v>
      </c>
      <c r="P9951" t="n">
        <v>0</v>
      </c>
      <c r="Q9951" t="n">
        <v>0</v>
      </c>
      <c r="R9951" s="2" t="inlineStr"/>
    </row>
    <row r="9952" ht="15" customHeight="1">
      <c r="A9952" t="inlineStr">
        <is>
          <t>A 965-2026</t>
        </is>
      </c>
      <c r="B9952" s="1" t="n">
        <v>46030.55966435185</v>
      </c>
      <c r="C9952" s="1" t="n">
        <v>46086</v>
      </c>
      <c r="D9952" t="inlineStr">
        <is>
          <t>GÄVLEBORGS LÄN</t>
        </is>
      </c>
      <c r="E9952" t="inlineStr">
        <is>
          <t>OVANÅKER</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15464-2022</t>
        </is>
      </c>
      <c r="B9953" s="1" t="n">
        <v>44662</v>
      </c>
      <c r="C9953" s="1" t="n">
        <v>46086</v>
      </c>
      <c r="D9953" t="inlineStr">
        <is>
          <t>GÄVLEBORGS LÄN</t>
        </is>
      </c>
      <c r="E9953" t="inlineStr">
        <is>
          <t>BOLLNÄS</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7261-2026</t>
        </is>
      </c>
      <c r="B9954" s="1" t="n">
        <v>46058</v>
      </c>
      <c r="C9954" s="1" t="n">
        <v>46086</v>
      </c>
      <c r="D9954" t="inlineStr">
        <is>
          <t>GÄVLEBORGS LÄN</t>
        </is>
      </c>
      <c r="E9954" t="inlineStr">
        <is>
          <t>BOLLNÄS</t>
        </is>
      </c>
      <c r="F9954" t="inlineStr">
        <is>
          <t>Bergvik skog väst AB</t>
        </is>
      </c>
      <c r="G9954" t="n">
        <v>3</v>
      </c>
      <c r="H9954" t="n">
        <v>0</v>
      </c>
      <c r="I9954" t="n">
        <v>0</v>
      </c>
      <c r="J9954" t="n">
        <v>0</v>
      </c>
      <c r="K9954" t="n">
        <v>0</v>
      </c>
      <c r="L9954" t="n">
        <v>0</v>
      </c>
      <c r="M9954" t="n">
        <v>0</v>
      </c>
      <c r="N9954" t="n">
        <v>0</v>
      </c>
      <c r="O9954" t="n">
        <v>0</v>
      </c>
      <c r="P9954" t="n">
        <v>0</v>
      </c>
      <c r="Q9954" t="n">
        <v>0</v>
      </c>
      <c r="R9954" s="2" t="inlineStr"/>
    </row>
    <row r="9955" ht="15" customHeight="1">
      <c r="A9955" t="inlineStr">
        <is>
          <t>A 9008-2026</t>
        </is>
      </c>
      <c r="B9955" s="1" t="n">
        <v>46069</v>
      </c>
      <c r="C9955" s="1" t="n">
        <v>46086</v>
      </c>
      <c r="D9955" t="inlineStr">
        <is>
          <t>GÄVLEBORGS LÄN</t>
        </is>
      </c>
      <c r="E9955" t="inlineStr">
        <is>
          <t>OVANÅKER</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43191-2024</t>
        </is>
      </c>
      <c r="B9956" s="1" t="n">
        <v>45567.67518518519</v>
      </c>
      <c r="C9956" s="1" t="n">
        <v>46086</v>
      </c>
      <c r="D9956" t="inlineStr">
        <is>
          <t>GÄVLEBORGS LÄN</t>
        </is>
      </c>
      <c r="E9956" t="inlineStr">
        <is>
          <t>SÖDERHAMN</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5239-2026</t>
        </is>
      </c>
      <c r="B9957" s="1" t="n">
        <v>46049</v>
      </c>
      <c r="C9957" s="1" t="n">
        <v>46086</v>
      </c>
      <c r="D9957" t="inlineStr">
        <is>
          <t>GÄVLEBORGS LÄN</t>
        </is>
      </c>
      <c r="E9957" t="inlineStr">
        <is>
          <t>OCKELBO</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5245-2026</t>
        </is>
      </c>
      <c r="B9958" s="1" t="n">
        <v>46049</v>
      </c>
      <c r="C9958" s="1" t="n">
        <v>46086</v>
      </c>
      <c r="D9958" t="inlineStr">
        <is>
          <t>GÄVLEBORGS LÄN</t>
        </is>
      </c>
      <c r="E9958" t="inlineStr">
        <is>
          <t>OCKELBO</t>
        </is>
      </c>
      <c r="F9958" t="inlineStr">
        <is>
          <t>Bergvik skog väst AB</t>
        </is>
      </c>
      <c r="G9958" t="n">
        <v>8.1</v>
      </c>
      <c r="H9958" t="n">
        <v>0</v>
      </c>
      <c r="I9958" t="n">
        <v>0</v>
      </c>
      <c r="J9958" t="n">
        <v>0</v>
      </c>
      <c r="K9958" t="n">
        <v>0</v>
      </c>
      <c r="L9958" t="n">
        <v>0</v>
      </c>
      <c r="M9958" t="n">
        <v>0</v>
      </c>
      <c r="N9958" t="n">
        <v>0</v>
      </c>
      <c r="O9958" t="n">
        <v>0</v>
      </c>
      <c r="P9958" t="n">
        <v>0</v>
      </c>
      <c r="Q9958" t="n">
        <v>0</v>
      </c>
      <c r="R9958" s="2" t="inlineStr"/>
    </row>
    <row r="9959" ht="15" customHeight="1">
      <c r="A9959" t="inlineStr">
        <is>
          <t>A 8423-2026</t>
        </is>
      </c>
      <c r="B9959" s="1" t="n">
        <v>46065</v>
      </c>
      <c r="C9959" s="1" t="n">
        <v>46086</v>
      </c>
      <c r="D9959" t="inlineStr">
        <is>
          <t>GÄVLEBORGS LÄN</t>
        </is>
      </c>
      <c r="E9959" t="inlineStr">
        <is>
          <t>NORDANSTIG</t>
        </is>
      </c>
      <c r="G9959" t="n">
        <v>2.9</v>
      </c>
      <c r="H9959" t="n">
        <v>0</v>
      </c>
      <c r="I9959" t="n">
        <v>0</v>
      </c>
      <c r="J9959" t="n">
        <v>0</v>
      </c>
      <c r="K9959" t="n">
        <v>0</v>
      </c>
      <c r="L9959" t="n">
        <v>0</v>
      </c>
      <c r="M9959" t="n">
        <v>0</v>
      </c>
      <c r="N9959" t="n">
        <v>0</v>
      </c>
      <c r="O9959" t="n">
        <v>0</v>
      </c>
      <c r="P9959" t="n">
        <v>0</v>
      </c>
      <c r="Q9959" t="n">
        <v>0</v>
      </c>
      <c r="R9959" s="2" t="inlineStr"/>
    </row>
    <row r="9960" ht="15" customHeight="1">
      <c r="A9960" t="inlineStr">
        <is>
          <t>A 8450-2026</t>
        </is>
      </c>
      <c r="B9960" s="1" t="n">
        <v>46065</v>
      </c>
      <c r="C9960" s="1" t="n">
        <v>46086</v>
      </c>
      <c r="D9960" t="inlineStr">
        <is>
          <t>GÄVLEBORGS LÄN</t>
        </is>
      </c>
      <c r="E9960" t="inlineStr">
        <is>
          <t>BOLLNÄS</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9916-2026</t>
        </is>
      </c>
      <c r="B9961" s="1" t="n">
        <v>46073.43664351852</v>
      </c>
      <c r="C9961" s="1" t="n">
        <v>46086</v>
      </c>
      <c r="D9961" t="inlineStr">
        <is>
          <t>GÄVLEBORGS LÄN</t>
        </is>
      </c>
      <c r="E9961" t="inlineStr">
        <is>
          <t>HUDIKSVALL</t>
        </is>
      </c>
      <c r="G9961" t="n">
        <v>5.3</v>
      </c>
      <c r="H9961" t="n">
        <v>0</v>
      </c>
      <c r="I9961" t="n">
        <v>0</v>
      </c>
      <c r="J9961" t="n">
        <v>0</v>
      </c>
      <c r="K9961" t="n">
        <v>0</v>
      </c>
      <c r="L9961" t="n">
        <v>0</v>
      </c>
      <c r="M9961" t="n">
        <v>0</v>
      </c>
      <c r="N9961" t="n">
        <v>0</v>
      </c>
      <c r="O9961" t="n">
        <v>0</v>
      </c>
      <c r="P9961" t="n">
        <v>0</v>
      </c>
      <c r="Q9961" t="n">
        <v>0</v>
      </c>
      <c r="R9961" s="2" t="inlineStr"/>
    </row>
    <row r="9962" ht="15" customHeight="1">
      <c r="A9962" t="inlineStr">
        <is>
          <t>A 9927-2026</t>
        </is>
      </c>
      <c r="B9962" s="1" t="n">
        <v>46073.45125</v>
      </c>
      <c r="C9962" s="1" t="n">
        <v>46086</v>
      </c>
      <c r="D9962" t="inlineStr">
        <is>
          <t>GÄVLEBORGS LÄN</t>
        </is>
      </c>
      <c r="E9962" t="inlineStr">
        <is>
          <t>OCKELBO</t>
        </is>
      </c>
      <c r="F9962" t="inlineStr">
        <is>
          <t>Bergvik skog väst AB</t>
        </is>
      </c>
      <c r="G9962" t="n">
        <v>3.5</v>
      </c>
      <c r="H9962" t="n">
        <v>0</v>
      </c>
      <c r="I9962" t="n">
        <v>0</v>
      </c>
      <c r="J9962" t="n">
        <v>0</v>
      </c>
      <c r="K9962" t="n">
        <v>0</v>
      </c>
      <c r="L9962" t="n">
        <v>0</v>
      </c>
      <c r="M9962" t="n">
        <v>0</v>
      </c>
      <c r="N9962" t="n">
        <v>0</v>
      </c>
      <c r="O9962" t="n">
        <v>0</v>
      </c>
      <c r="P9962" t="n">
        <v>0</v>
      </c>
      <c r="Q9962" t="n">
        <v>0</v>
      </c>
      <c r="R9962" s="2" t="inlineStr"/>
    </row>
    <row r="9963" ht="15" customHeight="1">
      <c r="A9963" t="inlineStr">
        <is>
          <t>A 9971-2026</t>
        </is>
      </c>
      <c r="B9963" s="1" t="n">
        <v>46073.519375</v>
      </c>
      <c r="C9963" s="1" t="n">
        <v>46086</v>
      </c>
      <c r="D9963" t="inlineStr">
        <is>
          <t>GÄVLEBORGS LÄN</t>
        </is>
      </c>
      <c r="E9963" t="inlineStr">
        <is>
          <t>NORDANSTIG</t>
        </is>
      </c>
      <c r="G9963" t="n">
        <v>7.5</v>
      </c>
      <c r="H9963" t="n">
        <v>0</v>
      </c>
      <c r="I9963" t="n">
        <v>0</v>
      </c>
      <c r="J9963" t="n">
        <v>0</v>
      </c>
      <c r="K9963" t="n">
        <v>0</v>
      </c>
      <c r="L9963" t="n">
        <v>0</v>
      </c>
      <c r="M9963" t="n">
        <v>0</v>
      </c>
      <c r="N9963" t="n">
        <v>0</v>
      </c>
      <c r="O9963" t="n">
        <v>0</v>
      </c>
      <c r="P9963" t="n">
        <v>0</v>
      </c>
      <c r="Q9963" t="n">
        <v>0</v>
      </c>
      <c r="R9963" s="2" t="inlineStr"/>
    </row>
    <row r="9964" ht="15" customHeight="1">
      <c r="A9964" t="inlineStr">
        <is>
          <t>A 9998-2026</t>
        </is>
      </c>
      <c r="B9964" s="1" t="n">
        <v>46073.55927083334</v>
      </c>
      <c r="C9964" s="1" t="n">
        <v>46086</v>
      </c>
      <c r="D9964" t="inlineStr">
        <is>
          <t>GÄVLEBORGS LÄN</t>
        </is>
      </c>
      <c r="E9964" t="inlineStr">
        <is>
          <t>OCKELBO</t>
        </is>
      </c>
      <c r="F9964" t="inlineStr">
        <is>
          <t>Bergvik skog väst AB</t>
        </is>
      </c>
      <c r="G9964" t="n">
        <v>9.800000000000001</v>
      </c>
      <c r="H9964" t="n">
        <v>0</v>
      </c>
      <c r="I9964" t="n">
        <v>0</v>
      </c>
      <c r="J9964" t="n">
        <v>0</v>
      </c>
      <c r="K9964" t="n">
        <v>0</v>
      </c>
      <c r="L9964" t="n">
        <v>0</v>
      </c>
      <c r="M9964" t="n">
        <v>0</v>
      </c>
      <c r="N9964" t="n">
        <v>0</v>
      </c>
      <c r="O9964" t="n">
        <v>0</v>
      </c>
      <c r="P9964" t="n">
        <v>0</v>
      </c>
      <c r="Q9964" t="n">
        <v>0</v>
      </c>
      <c r="R9964" s="2" t="inlineStr"/>
    </row>
    <row r="9965" ht="15" customHeight="1">
      <c r="A9965" t="inlineStr">
        <is>
          <t>A 31574-2024</t>
        </is>
      </c>
      <c r="B9965" s="1" t="n">
        <v>45506</v>
      </c>
      <c r="C9965" s="1" t="n">
        <v>46086</v>
      </c>
      <c r="D9965" t="inlineStr">
        <is>
          <t>GÄVLEBORGS LÄN</t>
        </is>
      </c>
      <c r="E9965" t="inlineStr">
        <is>
          <t>BOLLNÄS</t>
        </is>
      </c>
      <c r="F9965" t="inlineStr">
        <is>
          <t>Sveaskog</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1404-2026</t>
        </is>
      </c>
      <c r="B9966" s="1" t="n">
        <v>46031.64481481481</v>
      </c>
      <c r="C9966" s="1" t="n">
        <v>46086</v>
      </c>
      <c r="D9966" t="inlineStr">
        <is>
          <t>GÄVLEBORGS LÄN</t>
        </is>
      </c>
      <c r="E9966" t="inlineStr">
        <is>
          <t>SÖDERHAMN</t>
        </is>
      </c>
      <c r="G9966" t="n">
        <v>5.7</v>
      </c>
      <c r="H9966" t="n">
        <v>0</v>
      </c>
      <c r="I9966" t="n">
        <v>0</v>
      </c>
      <c r="J9966" t="n">
        <v>0</v>
      </c>
      <c r="K9966" t="n">
        <v>0</v>
      </c>
      <c r="L9966" t="n">
        <v>0</v>
      </c>
      <c r="M9966" t="n">
        <v>0</v>
      </c>
      <c r="N9966" t="n">
        <v>0</v>
      </c>
      <c r="O9966" t="n">
        <v>0</v>
      </c>
      <c r="P9966" t="n">
        <v>0</v>
      </c>
      <c r="Q9966" t="n">
        <v>0</v>
      </c>
      <c r="R9966" s="2" t="inlineStr"/>
    </row>
    <row r="9967" ht="15" customHeight="1">
      <c r="A9967" t="inlineStr">
        <is>
          <t>A 9900-2026</t>
        </is>
      </c>
      <c r="B9967" s="1" t="n">
        <v>46073.40261574074</v>
      </c>
      <c r="C9967" s="1" t="n">
        <v>46086</v>
      </c>
      <c r="D9967" t="inlineStr">
        <is>
          <t>GÄVLEBORGS LÄN</t>
        </is>
      </c>
      <c r="E9967" t="inlineStr">
        <is>
          <t>BOLLNÄS</t>
        </is>
      </c>
      <c r="G9967" t="n">
        <v>4.5</v>
      </c>
      <c r="H9967" t="n">
        <v>0</v>
      </c>
      <c r="I9967" t="n">
        <v>0</v>
      </c>
      <c r="J9967" t="n">
        <v>0</v>
      </c>
      <c r="K9967" t="n">
        <v>0</v>
      </c>
      <c r="L9967" t="n">
        <v>0</v>
      </c>
      <c r="M9967" t="n">
        <v>0</v>
      </c>
      <c r="N9967" t="n">
        <v>0</v>
      </c>
      <c r="O9967" t="n">
        <v>0</v>
      </c>
      <c r="P9967" t="n">
        <v>0</v>
      </c>
      <c r="Q9967" t="n">
        <v>0</v>
      </c>
      <c r="R9967" s="2" t="inlineStr"/>
    </row>
    <row r="9968" ht="15" customHeight="1">
      <c r="A9968" t="inlineStr">
        <is>
          <t>A 9907-2026</t>
        </is>
      </c>
      <c r="B9968" s="1" t="n">
        <v>46073.41756944444</v>
      </c>
      <c r="C9968" s="1" t="n">
        <v>46086</v>
      </c>
      <c r="D9968" t="inlineStr">
        <is>
          <t>GÄVLEBORGS LÄN</t>
        </is>
      </c>
      <c r="E9968" t="inlineStr">
        <is>
          <t>OCKELBO</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9909-2026</t>
        </is>
      </c>
      <c r="B9969" s="1" t="n">
        <v>46073.41905092593</v>
      </c>
      <c r="C9969" s="1" t="n">
        <v>46086</v>
      </c>
      <c r="D9969" t="inlineStr">
        <is>
          <t>GÄVLEBORGS LÄN</t>
        </is>
      </c>
      <c r="E9969" t="inlineStr">
        <is>
          <t>BOLLNÄS</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9755-2026</t>
        </is>
      </c>
      <c r="B9970" s="1" t="n">
        <v>46072.54751157408</v>
      </c>
      <c r="C9970" s="1" t="n">
        <v>46086</v>
      </c>
      <c r="D9970" t="inlineStr">
        <is>
          <t>GÄVLEBORGS LÄN</t>
        </is>
      </c>
      <c r="E9970" t="inlineStr">
        <is>
          <t>BOLLNÄS</t>
        </is>
      </c>
      <c r="F9970" t="inlineStr">
        <is>
          <t>Sveaskog</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9780-2026</t>
        </is>
      </c>
      <c r="B9971" s="1" t="n">
        <v>46072</v>
      </c>
      <c r="C9971" s="1" t="n">
        <v>46086</v>
      </c>
      <c r="D9971" t="inlineStr">
        <is>
          <t>GÄVLEBORGS LÄN</t>
        </is>
      </c>
      <c r="E9971" t="inlineStr">
        <is>
          <t>NORDANSTIG</t>
        </is>
      </c>
      <c r="G9971" t="n">
        <v>2.4</v>
      </c>
      <c r="H9971" t="n">
        <v>0</v>
      </c>
      <c r="I9971" t="n">
        <v>0</v>
      </c>
      <c r="J9971" t="n">
        <v>0</v>
      </c>
      <c r="K9971" t="n">
        <v>0</v>
      </c>
      <c r="L9971" t="n">
        <v>0</v>
      </c>
      <c r="M9971" t="n">
        <v>0</v>
      </c>
      <c r="N9971" t="n">
        <v>0</v>
      </c>
      <c r="O9971" t="n">
        <v>0</v>
      </c>
      <c r="P9971" t="n">
        <v>0</v>
      </c>
      <c r="Q9971" t="n">
        <v>0</v>
      </c>
      <c r="R9971" s="2" t="inlineStr"/>
    </row>
    <row r="9972" ht="15" customHeight="1">
      <c r="A9972" t="inlineStr">
        <is>
          <t>A 14119-2025</t>
        </is>
      </c>
      <c r="B9972" s="1" t="n">
        <v>45740.4659837963</v>
      </c>
      <c r="C9972" s="1" t="n">
        <v>46086</v>
      </c>
      <c r="D9972" t="inlineStr">
        <is>
          <t>GÄVLEBORGS LÄN</t>
        </is>
      </c>
      <c r="E9972" t="inlineStr">
        <is>
          <t>HOFORS</t>
        </is>
      </c>
      <c r="F9972" t="inlineStr">
        <is>
          <t>Bergvik skog öst AB</t>
        </is>
      </c>
      <c r="G9972" t="n">
        <v>2.9</v>
      </c>
      <c r="H9972" t="n">
        <v>0</v>
      </c>
      <c r="I9972" t="n">
        <v>0</v>
      </c>
      <c r="J9972" t="n">
        <v>0</v>
      </c>
      <c r="K9972" t="n">
        <v>0</v>
      </c>
      <c r="L9972" t="n">
        <v>0</v>
      </c>
      <c r="M9972" t="n">
        <v>0</v>
      </c>
      <c r="N9972" t="n">
        <v>0</v>
      </c>
      <c r="O9972" t="n">
        <v>0</v>
      </c>
      <c r="P9972" t="n">
        <v>0</v>
      </c>
      <c r="Q9972" t="n">
        <v>0</v>
      </c>
      <c r="R9972" s="2" t="inlineStr"/>
    </row>
    <row r="9973" ht="15" customHeight="1">
      <c r="A9973" t="inlineStr">
        <is>
          <t>A 9812-2026</t>
        </is>
      </c>
      <c r="B9973" s="1" t="n">
        <v>46072.63226851852</v>
      </c>
      <c r="C9973" s="1" t="n">
        <v>46086</v>
      </c>
      <c r="D9973" t="inlineStr">
        <is>
          <t>GÄVLEBORGS LÄN</t>
        </is>
      </c>
      <c r="E9973" t="inlineStr">
        <is>
          <t>BOLLNÄS</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9813-2026</t>
        </is>
      </c>
      <c r="B9974" s="1" t="n">
        <v>46072.63288194445</v>
      </c>
      <c r="C9974" s="1" t="n">
        <v>46086</v>
      </c>
      <c r="D9974" t="inlineStr">
        <is>
          <t>GÄVLEBORGS LÄN</t>
        </is>
      </c>
      <c r="E9974" t="inlineStr">
        <is>
          <t>HUDIKSVALL</t>
        </is>
      </c>
      <c r="G9974" t="n">
        <v>3.8</v>
      </c>
      <c r="H9974" t="n">
        <v>0</v>
      </c>
      <c r="I9974" t="n">
        <v>0</v>
      </c>
      <c r="J9974" t="n">
        <v>0</v>
      </c>
      <c r="K9974" t="n">
        <v>0</v>
      </c>
      <c r="L9974" t="n">
        <v>0</v>
      </c>
      <c r="M9974" t="n">
        <v>0</v>
      </c>
      <c r="N9974" t="n">
        <v>0</v>
      </c>
      <c r="O9974" t="n">
        <v>0</v>
      </c>
      <c r="P9974" t="n">
        <v>0</v>
      </c>
      <c r="Q9974" t="n">
        <v>0</v>
      </c>
      <c r="R9974" s="2" t="inlineStr"/>
    </row>
    <row r="9975" ht="15" customHeight="1">
      <c r="A9975" t="inlineStr">
        <is>
          <t>A 1096-2026</t>
        </is>
      </c>
      <c r="B9975" s="1" t="n">
        <v>46030.66337962963</v>
      </c>
      <c r="C9975" s="1" t="n">
        <v>46086</v>
      </c>
      <c r="D9975" t="inlineStr">
        <is>
          <t>GÄVLEBORGS LÄN</t>
        </is>
      </c>
      <c r="E9975" t="inlineStr">
        <is>
          <t>GÄVLE</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1240-2026</t>
        </is>
      </c>
      <c r="B9976" s="1" t="n">
        <v>46031.42410879629</v>
      </c>
      <c r="C9976" s="1" t="n">
        <v>46086</v>
      </c>
      <c r="D9976" t="inlineStr">
        <is>
          <t>GÄVLEBORGS LÄN</t>
        </is>
      </c>
      <c r="E9976" t="inlineStr">
        <is>
          <t>LJUSDAL</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6167-2025</t>
        </is>
      </c>
      <c r="B9977" s="1" t="n">
        <v>45698.42238425926</v>
      </c>
      <c r="C9977" s="1" t="n">
        <v>46086</v>
      </c>
      <c r="D9977" t="inlineStr">
        <is>
          <t>GÄVLEBORGS LÄN</t>
        </is>
      </c>
      <c r="E9977" t="inlineStr">
        <is>
          <t>SANDVIKEN</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1053-2026</t>
        </is>
      </c>
      <c r="B9978" s="1" t="n">
        <v>46030</v>
      </c>
      <c r="C9978" s="1" t="n">
        <v>46086</v>
      </c>
      <c r="D9978" t="inlineStr">
        <is>
          <t>GÄVLEBORGS LÄN</t>
        </is>
      </c>
      <c r="E9978" t="inlineStr">
        <is>
          <t>NORDANSTIG</t>
        </is>
      </c>
      <c r="G9978" t="n">
        <v>2.6</v>
      </c>
      <c r="H9978" t="n">
        <v>0</v>
      </c>
      <c r="I9978" t="n">
        <v>0</v>
      </c>
      <c r="J9978" t="n">
        <v>0</v>
      </c>
      <c r="K9978" t="n">
        <v>0</v>
      </c>
      <c r="L9978" t="n">
        <v>0</v>
      </c>
      <c r="M9978" t="n">
        <v>0</v>
      </c>
      <c r="N9978" t="n">
        <v>0</v>
      </c>
      <c r="O9978" t="n">
        <v>0</v>
      </c>
      <c r="P9978" t="n">
        <v>0</v>
      </c>
      <c r="Q9978" t="n">
        <v>0</v>
      </c>
      <c r="R9978" s="2" t="inlineStr"/>
    </row>
    <row r="9979" ht="15" customHeight="1">
      <c r="A9979" t="inlineStr">
        <is>
          <t>A 9862-2026</t>
        </is>
      </c>
      <c r="B9979" s="1" t="n">
        <v>46072.96069444445</v>
      </c>
      <c r="C9979" s="1" t="n">
        <v>46086</v>
      </c>
      <c r="D9979" t="inlineStr">
        <is>
          <t>GÄVLEBORGS LÄN</t>
        </is>
      </c>
      <c r="E9979" t="inlineStr">
        <is>
          <t>SANDVIKEN</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9871-2026</t>
        </is>
      </c>
      <c r="B9980" s="1" t="n">
        <v>46073.29046296296</v>
      </c>
      <c r="C9980" s="1" t="n">
        <v>46086</v>
      </c>
      <c r="D9980" t="inlineStr">
        <is>
          <t>GÄVLEBORGS LÄN</t>
        </is>
      </c>
      <c r="E9980" t="inlineStr">
        <is>
          <t>BOLLNÄS</t>
        </is>
      </c>
      <c r="G9980" t="n">
        <v>3.5</v>
      </c>
      <c r="H9980" t="n">
        <v>0</v>
      </c>
      <c r="I9980" t="n">
        <v>0</v>
      </c>
      <c r="J9980" t="n">
        <v>0</v>
      </c>
      <c r="K9980" t="n">
        <v>0</v>
      </c>
      <c r="L9980" t="n">
        <v>0</v>
      </c>
      <c r="M9980" t="n">
        <v>0</v>
      </c>
      <c r="N9980" t="n">
        <v>0</v>
      </c>
      <c r="O9980" t="n">
        <v>0</v>
      </c>
      <c r="P9980" t="n">
        <v>0</v>
      </c>
      <c r="Q9980" t="n">
        <v>0</v>
      </c>
      <c r="R9980" s="2" t="inlineStr"/>
    </row>
    <row r="9981" ht="15" customHeight="1">
      <c r="A9981" t="inlineStr">
        <is>
          <t>A 906-2026</t>
        </is>
      </c>
      <c r="B9981" s="1" t="n">
        <v>46030.47300925926</v>
      </c>
      <c r="C9981" s="1" t="n">
        <v>46086</v>
      </c>
      <c r="D9981" t="inlineStr">
        <is>
          <t>GÄVLEBORGS LÄN</t>
        </is>
      </c>
      <c r="E9981" t="inlineStr">
        <is>
          <t>LJUSDAL</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9899-2026</t>
        </is>
      </c>
      <c r="B9982" s="1" t="n">
        <v>46073.39684027778</v>
      </c>
      <c r="C9982" s="1" t="n">
        <v>46086</v>
      </c>
      <c r="D9982" t="inlineStr">
        <is>
          <t>GÄVLEBORGS LÄN</t>
        </is>
      </c>
      <c r="E9982" t="inlineStr">
        <is>
          <t>OCKELBO</t>
        </is>
      </c>
      <c r="F9982" t="inlineStr">
        <is>
          <t>Bergvik skog väst AB</t>
        </is>
      </c>
      <c r="G9982" t="n">
        <v>6.3</v>
      </c>
      <c r="H9982" t="n">
        <v>0</v>
      </c>
      <c r="I9982" t="n">
        <v>0</v>
      </c>
      <c r="J9982" t="n">
        <v>0</v>
      </c>
      <c r="K9982" t="n">
        <v>0</v>
      </c>
      <c r="L9982" t="n">
        <v>0</v>
      </c>
      <c r="M9982" t="n">
        <v>0</v>
      </c>
      <c r="N9982" t="n">
        <v>0</v>
      </c>
      <c r="O9982" t="n">
        <v>0</v>
      </c>
      <c r="P9982" t="n">
        <v>0</v>
      </c>
      <c r="Q9982" t="n">
        <v>0</v>
      </c>
      <c r="R9982" s="2" t="inlineStr"/>
    </row>
    <row r="9983" ht="15" customHeight="1">
      <c r="A9983" t="inlineStr">
        <is>
          <t>A 9969-2026</t>
        </is>
      </c>
      <c r="B9983" s="1" t="n">
        <v>46073.51803240741</v>
      </c>
      <c r="C9983" s="1" t="n">
        <v>46086</v>
      </c>
      <c r="D9983" t="inlineStr">
        <is>
          <t>GÄVLEBORGS LÄN</t>
        </is>
      </c>
      <c r="E9983" t="inlineStr">
        <is>
          <t>NORDANSTIG</t>
        </is>
      </c>
      <c r="G9983" t="n">
        <v>4</v>
      </c>
      <c r="H9983" t="n">
        <v>0</v>
      </c>
      <c r="I9983" t="n">
        <v>0</v>
      </c>
      <c r="J9983" t="n">
        <v>0</v>
      </c>
      <c r="K9983" t="n">
        <v>0</v>
      </c>
      <c r="L9983" t="n">
        <v>0</v>
      </c>
      <c r="M9983" t="n">
        <v>0</v>
      </c>
      <c r="N9983" t="n">
        <v>0</v>
      </c>
      <c r="O9983" t="n">
        <v>0</v>
      </c>
      <c r="P9983" t="n">
        <v>0</v>
      </c>
      <c r="Q9983" t="n">
        <v>0</v>
      </c>
      <c r="R9983" s="2" t="inlineStr"/>
    </row>
    <row r="9984" ht="15" customHeight="1">
      <c r="A9984" t="inlineStr">
        <is>
          <t>A 24885-2023</t>
        </is>
      </c>
      <c r="B9984" s="1" t="n">
        <v>45085</v>
      </c>
      <c r="C9984" s="1" t="n">
        <v>46086</v>
      </c>
      <c r="D9984" t="inlineStr">
        <is>
          <t>GÄVLEBORGS LÄN</t>
        </is>
      </c>
      <c r="E9984" t="inlineStr">
        <is>
          <t>HUDIKSVALL</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2053-2026</t>
        </is>
      </c>
      <c r="B9985" s="1" t="n">
        <v>46031</v>
      </c>
      <c r="C9985" s="1" t="n">
        <v>46086</v>
      </c>
      <c r="D9985" t="inlineStr">
        <is>
          <t>GÄVLEBORGS LÄN</t>
        </is>
      </c>
      <c r="E9985" t="inlineStr">
        <is>
          <t>OVANÅKER</t>
        </is>
      </c>
      <c r="G9985" t="n">
        <v>6.1</v>
      </c>
      <c r="H9985" t="n">
        <v>0</v>
      </c>
      <c r="I9985" t="n">
        <v>0</v>
      </c>
      <c r="J9985" t="n">
        <v>0</v>
      </c>
      <c r="K9985" t="n">
        <v>0</v>
      </c>
      <c r="L9985" t="n">
        <v>0</v>
      </c>
      <c r="M9985" t="n">
        <v>0</v>
      </c>
      <c r="N9985" t="n">
        <v>0</v>
      </c>
      <c r="O9985" t="n">
        <v>0</v>
      </c>
      <c r="P9985" t="n">
        <v>0</v>
      </c>
      <c r="Q9985" t="n">
        <v>0</v>
      </c>
      <c r="R9985" s="2" t="inlineStr"/>
    </row>
    <row r="9986" ht="15" customHeight="1">
      <c r="A9986" t="inlineStr">
        <is>
          <t>A 2054-2026</t>
        </is>
      </c>
      <c r="B9986" s="1" t="n">
        <v>46031</v>
      </c>
      <c r="C9986" s="1" t="n">
        <v>46086</v>
      </c>
      <c r="D9986" t="inlineStr">
        <is>
          <t>GÄVLEBORGS LÄN</t>
        </is>
      </c>
      <c r="E9986" t="inlineStr">
        <is>
          <t>OVANÅKER</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1414-2026</t>
        </is>
      </c>
      <c r="B9987" s="1" t="n">
        <v>46031</v>
      </c>
      <c r="C9987" s="1" t="n">
        <v>46086</v>
      </c>
      <c r="D9987" t="inlineStr">
        <is>
          <t>GÄVLEBORGS LÄN</t>
        </is>
      </c>
      <c r="E9987" t="inlineStr">
        <is>
          <t>BOLLNÄS</t>
        </is>
      </c>
      <c r="F9987" t="inlineStr">
        <is>
          <t>Kommuner</t>
        </is>
      </c>
      <c r="G9987" t="n">
        <v>13.5</v>
      </c>
      <c r="H9987" t="n">
        <v>0</v>
      </c>
      <c r="I9987" t="n">
        <v>0</v>
      </c>
      <c r="J9987" t="n">
        <v>0</v>
      </c>
      <c r="K9987" t="n">
        <v>0</v>
      </c>
      <c r="L9987" t="n">
        <v>0</v>
      </c>
      <c r="M9987" t="n">
        <v>0</v>
      </c>
      <c r="N9987" t="n">
        <v>0</v>
      </c>
      <c r="O9987" t="n">
        <v>0</v>
      </c>
      <c r="P9987" t="n">
        <v>0</v>
      </c>
      <c r="Q9987" t="n">
        <v>0</v>
      </c>
      <c r="R9987" s="2" t="inlineStr"/>
    </row>
    <row r="9988" ht="15" customHeight="1">
      <c r="A9988" t="inlineStr">
        <is>
          <t>A 1417-2026</t>
        </is>
      </c>
      <c r="B9988" s="1" t="n">
        <v>46031.72833333333</v>
      </c>
      <c r="C9988" s="1" t="n">
        <v>46086</v>
      </c>
      <c r="D9988" t="inlineStr">
        <is>
          <t>GÄVLEBORGS LÄN</t>
        </is>
      </c>
      <c r="E9988" t="inlineStr">
        <is>
          <t>SANDVIKEN</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9790-2026</t>
        </is>
      </c>
      <c r="B9989" s="1" t="n">
        <v>46072.59813657407</v>
      </c>
      <c r="C9989" s="1" t="n">
        <v>46086</v>
      </c>
      <c r="D9989" t="inlineStr">
        <is>
          <t>GÄVLEBORGS LÄN</t>
        </is>
      </c>
      <c r="E9989" t="inlineStr">
        <is>
          <t>SANDVIKEN</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9794-2026</t>
        </is>
      </c>
      <c r="B9990" s="1" t="n">
        <v>46072.60958333333</v>
      </c>
      <c r="C9990" s="1" t="n">
        <v>46086</v>
      </c>
      <c r="D9990" t="inlineStr">
        <is>
          <t>GÄVLEBORGS LÄN</t>
        </is>
      </c>
      <c r="E9990" t="inlineStr">
        <is>
          <t>OVANÅKER</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9824-2026</t>
        </is>
      </c>
      <c r="B9991" s="1" t="n">
        <v>46072.65107638889</v>
      </c>
      <c r="C9991" s="1" t="n">
        <v>46086</v>
      </c>
      <c r="D9991" t="inlineStr">
        <is>
          <t>GÄVLEBORGS LÄN</t>
        </is>
      </c>
      <c r="E9991" t="inlineStr">
        <is>
          <t>HUDIKSVALL</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8782-2026</t>
        </is>
      </c>
      <c r="B9992" s="1" t="n">
        <v>46066</v>
      </c>
      <c r="C9992" s="1" t="n">
        <v>46086</v>
      </c>
      <c r="D9992" t="inlineStr">
        <is>
          <t>GÄVLEBORGS LÄN</t>
        </is>
      </c>
      <c r="E9992" t="inlineStr">
        <is>
          <t>BOLLNÄS</t>
        </is>
      </c>
      <c r="F9992" t="inlineStr">
        <is>
          <t>Bergvik skog väst AB</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1132-2026</t>
        </is>
      </c>
      <c r="B9993" s="1" t="n">
        <v>46030</v>
      </c>
      <c r="C9993" s="1" t="n">
        <v>46086</v>
      </c>
      <c r="D9993" t="inlineStr">
        <is>
          <t>GÄVLEBORGS LÄN</t>
        </is>
      </c>
      <c r="E9993" t="inlineStr">
        <is>
          <t>HUDIKSVALL</t>
        </is>
      </c>
      <c r="G9993" t="n">
        <v>12.5</v>
      </c>
      <c r="H9993" t="n">
        <v>0</v>
      </c>
      <c r="I9993" t="n">
        <v>0</v>
      </c>
      <c r="J9993" t="n">
        <v>0</v>
      </c>
      <c r="K9993" t="n">
        <v>0</v>
      </c>
      <c r="L9993" t="n">
        <v>0</v>
      </c>
      <c r="M9993" t="n">
        <v>0</v>
      </c>
      <c r="N9993" t="n">
        <v>0</v>
      </c>
      <c r="O9993" t="n">
        <v>0</v>
      </c>
      <c r="P9993" t="n">
        <v>0</v>
      </c>
      <c r="Q9993" t="n">
        <v>0</v>
      </c>
      <c r="R9993" s="2" t="inlineStr"/>
    </row>
    <row r="9994" ht="15" customHeight="1">
      <c r="A9994" t="inlineStr">
        <is>
          <t>A 1145-2026</t>
        </is>
      </c>
      <c r="B9994" s="1" t="n">
        <v>46030</v>
      </c>
      <c r="C9994" s="1" t="n">
        <v>46086</v>
      </c>
      <c r="D9994" t="inlineStr">
        <is>
          <t>GÄVLEBORGS LÄN</t>
        </is>
      </c>
      <c r="E9994" t="inlineStr">
        <is>
          <t>SANDVIKEN</t>
        </is>
      </c>
      <c r="G9994" t="n">
        <v>3.7</v>
      </c>
      <c r="H9994" t="n">
        <v>0</v>
      </c>
      <c r="I9994" t="n">
        <v>0</v>
      </c>
      <c r="J9994" t="n">
        <v>0</v>
      </c>
      <c r="K9994" t="n">
        <v>0</v>
      </c>
      <c r="L9994" t="n">
        <v>0</v>
      </c>
      <c r="M9994" t="n">
        <v>0</v>
      </c>
      <c r="N9994" t="n">
        <v>0</v>
      </c>
      <c r="O9994" t="n">
        <v>0</v>
      </c>
      <c r="P9994" t="n">
        <v>0</v>
      </c>
      <c r="Q9994" t="n">
        <v>0</v>
      </c>
      <c r="R9994" s="2" t="inlineStr"/>
    </row>
    <row r="9995" ht="15" customHeight="1">
      <c r="A9995" t="inlineStr">
        <is>
          <t>A 5442-2026</t>
        </is>
      </c>
      <c r="B9995" s="1" t="n">
        <v>46050</v>
      </c>
      <c r="C9995" s="1" t="n">
        <v>46086</v>
      </c>
      <c r="D9995" t="inlineStr">
        <is>
          <t>GÄVLEBORGS LÄN</t>
        </is>
      </c>
      <c r="E9995" t="inlineStr">
        <is>
          <t>OVANÅKER</t>
        </is>
      </c>
      <c r="G9995" t="n">
        <v>4</v>
      </c>
      <c r="H9995" t="n">
        <v>0</v>
      </c>
      <c r="I9995" t="n">
        <v>0</v>
      </c>
      <c r="J9995" t="n">
        <v>0</v>
      </c>
      <c r="K9995" t="n">
        <v>0</v>
      </c>
      <c r="L9995" t="n">
        <v>0</v>
      </c>
      <c r="M9995" t="n">
        <v>0</v>
      </c>
      <c r="N9995" t="n">
        <v>0</v>
      </c>
      <c r="O9995" t="n">
        <v>0</v>
      </c>
      <c r="P9995" t="n">
        <v>0</v>
      </c>
      <c r="Q9995" t="n">
        <v>0</v>
      </c>
      <c r="R9995" s="2" t="inlineStr"/>
    </row>
    <row r="9996" ht="15" customHeight="1">
      <c r="A9996" t="inlineStr">
        <is>
          <t>A 6198-2026</t>
        </is>
      </c>
      <c r="B9996" s="1" t="n">
        <v>46055</v>
      </c>
      <c r="C9996" s="1" t="n">
        <v>46086</v>
      </c>
      <c r="D9996" t="inlineStr">
        <is>
          <t>GÄVLEBORGS LÄN</t>
        </is>
      </c>
      <c r="E9996" t="inlineStr">
        <is>
          <t>HUDIKSVALL</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6236-2026</t>
        </is>
      </c>
      <c r="B9997" s="1" t="n">
        <v>46055</v>
      </c>
      <c r="C9997" s="1" t="n">
        <v>46086</v>
      </c>
      <c r="D9997" t="inlineStr">
        <is>
          <t>GÄVLEBORGS LÄN</t>
        </is>
      </c>
      <c r="E9997" t="inlineStr">
        <is>
          <t>OVANÅKER</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6261-2026</t>
        </is>
      </c>
      <c r="B9998" s="1" t="n">
        <v>46055</v>
      </c>
      <c r="C9998" s="1" t="n">
        <v>46086</v>
      </c>
      <c r="D9998" t="inlineStr">
        <is>
          <t>GÄVLEBORGS LÄN</t>
        </is>
      </c>
      <c r="E9998" t="inlineStr">
        <is>
          <t>BOLLNÄS</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9612-2026</t>
        </is>
      </c>
      <c r="B9999" s="1" t="n">
        <v>46072.29733796296</v>
      </c>
      <c r="C9999" s="1" t="n">
        <v>46086</v>
      </c>
      <c r="D9999" t="inlineStr">
        <is>
          <t>GÄVLEBORGS LÄN</t>
        </is>
      </c>
      <c r="E9999" t="inlineStr">
        <is>
          <t>BOLLNÄS</t>
        </is>
      </c>
      <c r="G9999" t="n">
        <v>7.9</v>
      </c>
      <c r="H9999" t="n">
        <v>0</v>
      </c>
      <c r="I9999" t="n">
        <v>0</v>
      </c>
      <c r="J9999" t="n">
        <v>0</v>
      </c>
      <c r="K9999" t="n">
        <v>0</v>
      </c>
      <c r="L9999" t="n">
        <v>0</v>
      </c>
      <c r="M9999" t="n">
        <v>0</v>
      </c>
      <c r="N9999" t="n">
        <v>0</v>
      </c>
      <c r="O9999" t="n">
        <v>0</v>
      </c>
      <c r="P9999" t="n">
        <v>0</v>
      </c>
      <c r="Q9999" t="n">
        <v>0</v>
      </c>
      <c r="R9999" s="2" t="inlineStr"/>
    </row>
    <row r="10000" ht="15" customHeight="1">
      <c r="A10000" t="inlineStr">
        <is>
          <t>A 9988-2026</t>
        </is>
      </c>
      <c r="B10000" s="1" t="n">
        <v>46073.54372685185</v>
      </c>
      <c r="C10000" s="1" t="n">
        <v>46086</v>
      </c>
      <c r="D10000" t="inlineStr">
        <is>
          <t>GÄVLEBORGS LÄN</t>
        </is>
      </c>
      <c r="E10000" t="inlineStr">
        <is>
          <t>HUDIKSVALL</t>
        </is>
      </c>
      <c r="F10000" t="inlineStr">
        <is>
          <t>Sveaskog</t>
        </is>
      </c>
      <c r="G10000" t="n">
        <v>13.8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9994-2026</t>
        </is>
      </c>
      <c r="B10001" s="1" t="n">
        <v>46073.55576388889</v>
      </c>
      <c r="C10001" s="1" t="n">
        <v>46086</v>
      </c>
      <c r="D10001" t="inlineStr">
        <is>
          <t>GÄVLEBORGS LÄN</t>
        </is>
      </c>
      <c r="E10001" t="inlineStr">
        <is>
          <t>OCKELBO</t>
        </is>
      </c>
      <c r="F10001" t="inlineStr">
        <is>
          <t>Bergvik skog väst AB</t>
        </is>
      </c>
      <c r="G10001" t="n">
        <v>39.5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9997-2026</t>
        </is>
      </c>
      <c r="B10002" s="1" t="n">
        <v>46073.55927083334</v>
      </c>
      <c r="C10002" s="1" t="n">
        <v>46086</v>
      </c>
      <c r="D10002" t="inlineStr">
        <is>
          <t>GÄVLEBORGS LÄN</t>
        </is>
      </c>
      <c r="E10002" t="inlineStr">
        <is>
          <t>OCKELBO</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6682-2026</t>
        </is>
      </c>
      <c r="B10003" s="1" t="n">
        <v>46056</v>
      </c>
      <c r="C10003" s="1" t="n">
        <v>46086</v>
      </c>
      <c r="D10003" t="inlineStr">
        <is>
          <t>GÄVLEBORGS LÄN</t>
        </is>
      </c>
      <c r="E10003" t="inlineStr">
        <is>
          <t>BOLLNÄS</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5057-2025</t>
        </is>
      </c>
      <c r="B10004" s="1" t="n">
        <v>45691.46682870371</v>
      </c>
      <c r="C10004" s="1" t="n">
        <v>46086</v>
      </c>
      <c r="D10004" t="inlineStr">
        <is>
          <t>GÄVLEBORGS LÄN</t>
        </is>
      </c>
      <c r="E10004" t="inlineStr">
        <is>
          <t>OVANÅKER</t>
        </is>
      </c>
      <c r="G10004" t="n">
        <v>2.8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6760-2026</t>
        </is>
      </c>
      <c r="B10005" s="1" t="n">
        <v>46056.83444444444</v>
      </c>
      <c r="C10005" s="1" t="n">
        <v>46086</v>
      </c>
      <c r="D10005" t="inlineStr">
        <is>
          <t>GÄVLEBORGS LÄN</t>
        </is>
      </c>
      <c r="E10005" t="inlineStr">
        <is>
          <t>BOLLNÄS</t>
        </is>
      </c>
      <c r="G10005" t="n">
        <v>9.4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7146-2026</t>
        </is>
      </c>
      <c r="B10006" s="1" t="n">
        <v>46058</v>
      </c>
      <c r="C10006" s="1" t="n">
        <v>46086</v>
      </c>
      <c r="D10006" t="inlineStr">
        <is>
          <t>GÄVLEBORGS LÄN</t>
        </is>
      </c>
      <c r="E10006" t="inlineStr">
        <is>
          <t>BOLLNÄS</t>
        </is>
      </c>
      <c r="G10006" t="n">
        <v>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1418-2026</t>
        </is>
      </c>
      <c r="B10007" s="1" t="n">
        <v>46031.7299537037</v>
      </c>
      <c r="C10007" s="1" t="n">
        <v>46086</v>
      </c>
      <c r="D10007" t="inlineStr">
        <is>
          <t>GÄVLEBORGS LÄN</t>
        </is>
      </c>
      <c r="E10007" t="inlineStr">
        <is>
          <t>SANDVIKEN</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7312-2026</t>
        </is>
      </c>
      <c r="B10008" s="1" t="n">
        <v>46058</v>
      </c>
      <c r="C10008" s="1" t="n">
        <v>46086</v>
      </c>
      <c r="D10008" t="inlineStr">
        <is>
          <t>GÄVLEBORGS LÄN</t>
        </is>
      </c>
      <c r="E10008" t="inlineStr">
        <is>
          <t>LJUSDAL</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8540-2026</t>
        </is>
      </c>
      <c r="B10009" s="1" t="n">
        <v>46065</v>
      </c>
      <c r="C10009" s="1" t="n">
        <v>46086</v>
      </c>
      <c r="D10009" t="inlineStr">
        <is>
          <t>GÄVLEBORGS LÄN</t>
        </is>
      </c>
      <c r="E10009" t="inlineStr">
        <is>
          <t>OVANÅKER</t>
        </is>
      </c>
      <c r="G10009" t="n">
        <v>3.9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8710-2026</t>
        </is>
      </c>
      <c r="B10010" s="1" t="n">
        <v>46066</v>
      </c>
      <c r="C10010" s="1" t="n">
        <v>46086</v>
      </c>
      <c r="D10010" t="inlineStr">
        <is>
          <t>GÄVLEBORGS LÄN</t>
        </is>
      </c>
      <c r="E10010" t="inlineStr">
        <is>
          <t>BOLLNÄS</t>
        </is>
      </c>
      <c r="F10010" t="inlineStr">
        <is>
          <t>Bergvik skog väst AB</t>
        </is>
      </c>
      <c r="G10010" t="n">
        <v>0.5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1399-2026</t>
        </is>
      </c>
      <c r="B10011" s="1" t="n">
        <v>46031.64197916666</v>
      </c>
      <c r="C10011" s="1" t="n">
        <v>46086</v>
      </c>
      <c r="D10011" t="inlineStr">
        <is>
          <t>GÄVLEBORGS LÄN</t>
        </is>
      </c>
      <c r="E10011" t="inlineStr">
        <is>
          <t>SÖDERHAMN</t>
        </is>
      </c>
      <c r="G10011" t="n">
        <v>6.2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1405-2026</t>
        </is>
      </c>
      <c r="B10012" s="1" t="n">
        <v>46031.64569444444</v>
      </c>
      <c r="C10012" s="1" t="n">
        <v>46086</v>
      </c>
      <c r="D10012" t="inlineStr">
        <is>
          <t>GÄVLEBORGS LÄN</t>
        </is>
      </c>
      <c r="E10012" t="inlineStr">
        <is>
          <t>SÖDERHAMN</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9650-2026</t>
        </is>
      </c>
      <c r="B10013" s="1" t="n">
        <v>46072.35728009259</v>
      </c>
      <c r="C10013" s="1" t="n">
        <v>46086</v>
      </c>
      <c r="D10013" t="inlineStr">
        <is>
          <t>GÄVLEBORGS LÄN</t>
        </is>
      </c>
      <c r="E10013" t="inlineStr">
        <is>
          <t>NORDANSTIG</t>
        </is>
      </c>
      <c r="F10013" t="inlineStr">
        <is>
          <t>Holmen skog AB</t>
        </is>
      </c>
      <c r="G10013" t="n">
        <v>6.5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9652-2026</t>
        </is>
      </c>
      <c r="B10014" s="1" t="n">
        <v>46071</v>
      </c>
      <c r="C10014" s="1" t="n">
        <v>46086</v>
      </c>
      <c r="D10014" t="inlineStr">
        <is>
          <t>GÄVLEBORGS LÄN</t>
        </is>
      </c>
      <c r="E10014" t="inlineStr">
        <is>
          <t>BOLLNÄS</t>
        </is>
      </c>
      <c r="F10014" t="inlineStr">
        <is>
          <t>Kommuner</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9820-2026</t>
        </is>
      </c>
      <c r="B10015" s="1" t="n">
        <v>46072.63945601852</v>
      </c>
      <c r="C10015" s="1" t="n">
        <v>46086</v>
      </c>
      <c r="D10015" t="inlineStr">
        <is>
          <t>GÄVLEBORGS LÄN</t>
        </is>
      </c>
      <c r="E10015" t="inlineStr">
        <is>
          <t>BOLLNÄS</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9823-2026</t>
        </is>
      </c>
      <c r="B10016" s="1" t="n">
        <v>46072.64434027778</v>
      </c>
      <c r="C10016" s="1" t="n">
        <v>46086</v>
      </c>
      <c r="D10016" t="inlineStr">
        <is>
          <t>GÄVLEBORGS LÄN</t>
        </is>
      </c>
      <c r="E10016" t="inlineStr">
        <is>
          <t>OVANÅKER</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9978-2026</t>
        </is>
      </c>
      <c r="B10017" s="1" t="n">
        <v>46073.53269675926</v>
      </c>
      <c r="C10017" s="1" t="n">
        <v>46086</v>
      </c>
      <c r="D10017" t="inlineStr">
        <is>
          <t>GÄVLEBORGS LÄN</t>
        </is>
      </c>
      <c r="E10017" t="inlineStr">
        <is>
          <t>SANDVIKEN</t>
        </is>
      </c>
      <c r="F10017" t="inlineStr">
        <is>
          <t>Sveaskog</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5879-2026</t>
        </is>
      </c>
      <c r="B10018" s="1" t="n">
        <v>46052</v>
      </c>
      <c r="C10018" s="1" t="n">
        <v>46086</v>
      </c>
      <c r="D10018" t="inlineStr">
        <is>
          <t>GÄVLEBORGS LÄN</t>
        </is>
      </c>
      <c r="E10018" t="inlineStr">
        <is>
          <t>BOLLNÄS</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9718-2026</t>
        </is>
      </c>
      <c r="B10019" s="1" t="n">
        <v>46072.44950231481</v>
      </c>
      <c r="C10019" s="1" t="n">
        <v>46086</v>
      </c>
      <c r="D10019" t="inlineStr">
        <is>
          <t>GÄVLEBORGS LÄN</t>
        </is>
      </c>
      <c r="E10019" t="inlineStr">
        <is>
          <t>SANDVIKEN</t>
        </is>
      </c>
      <c r="F10019" t="inlineStr">
        <is>
          <t>Kommuner</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1168-2026</t>
        </is>
      </c>
      <c r="B10020" s="1" t="n">
        <v>46031.34438657408</v>
      </c>
      <c r="C10020" s="1" t="n">
        <v>46086</v>
      </c>
      <c r="D10020" t="inlineStr">
        <is>
          <t>GÄVLEBORGS LÄN</t>
        </is>
      </c>
      <c r="E10020" t="inlineStr">
        <is>
          <t>NORDANSTIG</t>
        </is>
      </c>
      <c r="G10020" t="n">
        <v>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1233-2026</t>
        </is>
      </c>
      <c r="B10021" s="1" t="n">
        <v>46031.41513888889</v>
      </c>
      <c r="C10021" s="1" t="n">
        <v>46086</v>
      </c>
      <c r="D10021" t="inlineStr">
        <is>
          <t>GÄVLEBORGS LÄN</t>
        </is>
      </c>
      <c r="E10021" t="inlineStr">
        <is>
          <t>SANDVIKEN</t>
        </is>
      </c>
      <c r="G10021" t="n">
        <v>20.4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1255-2026</t>
        </is>
      </c>
      <c r="B10022" s="1" t="n">
        <v>46031.44104166667</v>
      </c>
      <c r="C10022" s="1" t="n">
        <v>46086</v>
      </c>
      <c r="D10022" t="inlineStr">
        <is>
          <t>GÄVLEBORGS LÄN</t>
        </is>
      </c>
      <c r="E10022" t="inlineStr">
        <is>
          <t>HUDIKSVALL</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1275-2026</t>
        </is>
      </c>
      <c r="B10023" s="1" t="n">
        <v>46031</v>
      </c>
      <c r="C10023" s="1" t="n">
        <v>46086</v>
      </c>
      <c r="D10023" t="inlineStr">
        <is>
          <t>GÄVLEBORGS LÄN</t>
        </is>
      </c>
      <c r="E10023" t="inlineStr">
        <is>
          <t>BOLLNÄS</t>
        </is>
      </c>
      <c r="G10023" t="n">
        <v>3.1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4881-2026</t>
        </is>
      </c>
      <c r="B10024" s="1" t="n">
        <v>46048</v>
      </c>
      <c r="C10024" s="1" t="n">
        <v>46086</v>
      </c>
      <c r="D10024" t="inlineStr">
        <is>
          <t>GÄVLEBORGS LÄN</t>
        </is>
      </c>
      <c r="E10024" t="inlineStr">
        <is>
          <t>HUDIKSVALL</t>
        </is>
      </c>
      <c r="G10024" t="n">
        <v>8.1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7301-2026</t>
        </is>
      </c>
      <c r="B10025" s="1" t="n">
        <v>46058</v>
      </c>
      <c r="C10025" s="1" t="n">
        <v>46086</v>
      </c>
      <c r="D10025" t="inlineStr">
        <is>
          <t>GÄVLEBORGS LÄN</t>
        </is>
      </c>
      <c r="E10025" t="inlineStr">
        <is>
          <t>HUDIKSVALL</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7355-2026</t>
        </is>
      </c>
      <c r="B10026" s="1" t="n">
        <v>46059</v>
      </c>
      <c r="C10026" s="1" t="n">
        <v>46086</v>
      </c>
      <c r="D10026" t="inlineStr">
        <is>
          <t>GÄVLEBORGS LÄN</t>
        </is>
      </c>
      <c r="E10026" t="inlineStr">
        <is>
          <t>BOLLNÄS</t>
        </is>
      </c>
      <c r="F10026" t="inlineStr">
        <is>
          <t>Bergvik skog väst AB</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1024-2026</t>
        </is>
      </c>
      <c r="B10027" s="1" t="n">
        <v>46030.61033564815</v>
      </c>
      <c r="C10027" s="1" t="n">
        <v>46086</v>
      </c>
      <c r="D10027" t="inlineStr">
        <is>
          <t>GÄVLEBORGS LÄN</t>
        </is>
      </c>
      <c r="E10027" t="inlineStr">
        <is>
          <t>HUDIKSVALL</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1027-2026</t>
        </is>
      </c>
      <c r="B10028" s="1" t="n">
        <v>46030.61443287037</v>
      </c>
      <c r="C10028" s="1" t="n">
        <v>46086</v>
      </c>
      <c r="D10028" t="inlineStr">
        <is>
          <t>GÄVLEBORGS LÄN</t>
        </is>
      </c>
      <c r="E10028" t="inlineStr">
        <is>
          <t>BOLLNÄS</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1063-2026</t>
        </is>
      </c>
      <c r="B10029" s="1" t="n">
        <v>46030</v>
      </c>
      <c r="C10029" s="1" t="n">
        <v>46086</v>
      </c>
      <c r="D10029" t="inlineStr">
        <is>
          <t>GÄVLEBORGS LÄN</t>
        </is>
      </c>
      <c r="E10029" t="inlineStr">
        <is>
          <t>NORDANSTIG</t>
        </is>
      </c>
      <c r="G10029" t="n">
        <v>4.1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1071-2026</t>
        </is>
      </c>
      <c r="B10030" s="1" t="n">
        <v>46030.64684027778</v>
      </c>
      <c r="C10030" s="1" t="n">
        <v>46086</v>
      </c>
      <c r="D10030" t="inlineStr">
        <is>
          <t>GÄVLEBORGS LÄN</t>
        </is>
      </c>
      <c r="E10030" t="inlineStr">
        <is>
          <t>SANDVIKEN</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1076-2026</t>
        </is>
      </c>
      <c r="B10031" s="1" t="n">
        <v>46030</v>
      </c>
      <c r="C10031" s="1" t="n">
        <v>46086</v>
      </c>
      <c r="D10031" t="inlineStr">
        <is>
          <t>GÄVLEBORGS LÄN</t>
        </is>
      </c>
      <c r="E10031" t="inlineStr">
        <is>
          <t>GÄVLE</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49211-2023</t>
        </is>
      </c>
      <c r="B10032" s="1" t="n">
        <v>45210.60303240741</v>
      </c>
      <c r="C10032" s="1" t="n">
        <v>46086</v>
      </c>
      <c r="D10032" t="inlineStr">
        <is>
          <t>GÄVLEBORGS LÄN</t>
        </is>
      </c>
      <c r="E10032" t="inlineStr">
        <is>
          <t>SANDVIKEN</t>
        </is>
      </c>
      <c r="G10032" t="n">
        <v>3.6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30122-2023</t>
        </is>
      </c>
      <c r="B10033" s="1" t="n">
        <v>45110</v>
      </c>
      <c r="C10033" s="1" t="n">
        <v>46086</v>
      </c>
      <c r="D10033" t="inlineStr">
        <is>
          <t>GÄVLEBORGS LÄN</t>
        </is>
      </c>
      <c r="E10033" t="inlineStr">
        <is>
          <t>HUDIKSVALL</t>
        </is>
      </c>
      <c r="G10033" t="n">
        <v>0.4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9675-2026</t>
        </is>
      </c>
      <c r="B10034" s="1" t="n">
        <v>46072.38101851852</v>
      </c>
      <c r="C10034" s="1" t="n">
        <v>46086</v>
      </c>
      <c r="D10034" t="inlineStr">
        <is>
          <t>GÄVLEBORGS LÄN</t>
        </is>
      </c>
      <c r="E10034" t="inlineStr">
        <is>
          <t>OCKELBO</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9676-2026</t>
        </is>
      </c>
      <c r="B10035" s="1" t="n">
        <v>46072.38171296296</v>
      </c>
      <c r="C10035" s="1" t="n">
        <v>46086</v>
      </c>
      <c r="D10035" t="inlineStr">
        <is>
          <t>GÄVLEBORGS LÄN</t>
        </is>
      </c>
      <c r="E10035" t="inlineStr">
        <is>
          <t>BOLLNÄS</t>
        </is>
      </c>
      <c r="G10035" t="n">
        <v>3.3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10083-2026</t>
        </is>
      </c>
      <c r="B10036" s="1" t="n">
        <v>46073.66045138889</v>
      </c>
      <c r="C10036" s="1" t="n">
        <v>46086</v>
      </c>
      <c r="D10036" t="inlineStr">
        <is>
          <t>GÄVLEBORGS LÄN</t>
        </is>
      </c>
      <c r="E10036" t="inlineStr">
        <is>
          <t>OCKELBO</t>
        </is>
      </c>
      <c r="F10036" t="inlineStr">
        <is>
          <t>Bergvik skog väst AB</t>
        </is>
      </c>
      <c r="G10036" t="n">
        <v>3.6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797-2026</t>
        </is>
      </c>
      <c r="B10037" s="1" t="n">
        <v>46029.91710648148</v>
      </c>
      <c r="C10037" s="1" t="n">
        <v>46086</v>
      </c>
      <c r="D10037" t="inlineStr">
        <is>
          <t>GÄVLEBORGS LÄN</t>
        </is>
      </c>
      <c r="E10037" t="inlineStr">
        <is>
          <t>OVANÅKER</t>
        </is>
      </c>
      <c r="G10037" t="n">
        <v>4.5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48587-2021</t>
        </is>
      </c>
      <c r="B10038" s="1" t="n">
        <v>44452.47790509259</v>
      </c>
      <c r="C10038" s="1" t="n">
        <v>46086</v>
      </c>
      <c r="D10038" t="inlineStr">
        <is>
          <t>GÄVLEBORGS LÄN</t>
        </is>
      </c>
      <c r="E10038" t="inlineStr">
        <is>
          <t>LJUSDAL</t>
        </is>
      </c>
      <c r="G10038" t="n">
        <v>0.4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798-2026</t>
        </is>
      </c>
      <c r="B10039" s="1" t="n">
        <v>46029.92050925926</v>
      </c>
      <c r="C10039" s="1" t="n">
        <v>46086</v>
      </c>
      <c r="D10039" t="inlineStr">
        <is>
          <t>GÄVLEBORGS LÄN</t>
        </is>
      </c>
      <c r="E10039" t="inlineStr">
        <is>
          <t>OVANÅKER</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1398-2026</t>
        </is>
      </c>
      <c r="B10040" s="1" t="n">
        <v>46031.64158564815</v>
      </c>
      <c r="C10040" s="1" t="n">
        <v>46086</v>
      </c>
      <c r="D10040" t="inlineStr">
        <is>
          <t>GÄVLEBORGS LÄN</t>
        </is>
      </c>
      <c r="E10040" t="inlineStr">
        <is>
          <t>LJUSDAL</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9729-2026</t>
        </is>
      </c>
      <c r="B10041" s="1" t="n">
        <v>46072.4734375</v>
      </c>
      <c r="C10041" s="1" t="n">
        <v>46086</v>
      </c>
      <c r="D10041" t="inlineStr">
        <is>
          <t>GÄVLEBORGS LÄN</t>
        </is>
      </c>
      <c r="E10041" t="inlineStr">
        <is>
          <t>OVANÅKER</t>
        </is>
      </c>
      <c r="G10041" t="n">
        <v>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9834-2026</t>
        </is>
      </c>
      <c r="B10042" s="1" t="n">
        <v>46072.66276620371</v>
      </c>
      <c r="C10042" s="1" t="n">
        <v>46086</v>
      </c>
      <c r="D10042" t="inlineStr">
        <is>
          <t>GÄVLEBORGS LÄN</t>
        </is>
      </c>
      <c r="E10042" t="inlineStr">
        <is>
          <t>HUDIKSVALL</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9857-2026</t>
        </is>
      </c>
      <c r="B10043" s="1" t="n">
        <v>46072.85122685185</v>
      </c>
      <c r="C10043" s="1" t="n">
        <v>46086</v>
      </c>
      <c r="D10043" t="inlineStr">
        <is>
          <t>GÄVLEBORGS LÄN</t>
        </is>
      </c>
      <c r="E10043" t="inlineStr">
        <is>
          <t>HUDIKSVALL</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9861-2026</t>
        </is>
      </c>
      <c r="B10044" s="1" t="n">
        <v>46072.95856481481</v>
      </c>
      <c r="C10044" s="1" t="n">
        <v>46086</v>
      </c>
      <c r="D10044" t="inlineStr">
        <is>
          <t>GÄVLEBORGS LÄN</t>
        </is>
      </c>
      <c r="E10044" t="inlineStr">
        <is>
          <t>SANDVIKEN</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9903-2026</t>
        </is>
      </c>
      <c r="B10045" s="1" t="n">
        <v>46073.40578703704</v>
      </c>
      <c r="C10045" s="1" t="n">
        <v>46086</v>
      </c>
      <c r="D10045" t="inlineStr">
        <is>
          <t>GÄVLEBORGS LÄN</t>
        </is>
      </c>
      <c r="E10045" t="inlineStr">
        <is>
          <t>SANDVIKEN</t>
        </is>
      </c>
      <c r="F10045" t="inlineStr">
        <is>
          <t>Kommuner</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22227-2024</t>
        </is>
      </c>
      <c r="B10046" s="1" t="n">
        <v>45446.42173611111</v>
      </c>
      <c r="C10046" s="1" t="n">
        <v>46086</v>
      </c>
      <c r="D10046" t="inlineStr">
        <is>
          <t>GÄVLEBORGS LÄN</t>
        </is>
      </c>
      <c r="E10046" t="inlineStr">
        <is>
          <t>SÖDERHAMN</t>
        </is>
      </c>
      <c r="G10046" t="n">
        <v>8.9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22248-2024</t>
        </is>
      </c>
      <c r="B10047" s="1" t="n">
        <v>45446.45638888889</v>
      </c>
      <c r="C10047" s="1" t="n">
        <v>46086</v>
      </c>
      <c r="D10047" t="inlineStr">
        <is>
          <t>GÄVLEBORGS LÄN</t>
        </is>
      </c>
      <c r="E10047" t="inlineStr">
        <is>
          <t>LJUSDAL</t>
        </is>
      </c>
      <c r="G10047" t="n">
        <v>4.1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950-2026</t>
        </is>
      </c>
      <c r="B10048" s="1" t="n">
        <v>46030</v>
      </c>
      <c r="C10048" s="1" t="n">
        <v>46086</v>
      </c>
      <c r="D10048" t="inlineStr">
        <is>
          <t>GÄVLEBORGS LÄN</t>
        </is>
      </c>
      <c r="E10048" t="inlineStr">
        <is>
          <t>BOLLNÄS</t>
        </is>
      </c>
      <c r="G10048" t="n">
        <v>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996-2026</t>
        </is>
      </c>
      <c r="B10049" s="1" t="n">
        <v>46030.59027777778</v>
      </c>
      <c r="C10049" s="1" t="n">
        <v>46086</v>
      </c>
      <c r="D10049" t="inlineStr">
        <is>
          <t>GÄVLEBORGS LÄN</t>
        </is>
      </c>
      <c r="E10049" t="inlineStr">
        <is>
          <t>SÖDERHAMN</t>
        </is>
      </c>
      <c r="G10049" t="n">
        <v>8.699999999999999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1013-2026</t>
        </is>
      </c>
      <c r="B10050" s="1" t="n">
        <v>46030.60190972222</v>
      </c>
      <c r="C10050" s="1" t="n">
        <v>46086</v>
      </c>
      <c r="D10050" t="inlineStr">
        <is>
          <t>GÄVLEBORGS LÄN</t>
        </is>
      </c>
      <c r="E10050" t="inlineStr">
        <is>
          <t>OVANÅKER</t>
        </is>
      </c>
      <c r="G10050" t="n">
        <v>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1057-2026</t>
        </is>
      </c>
      <c r="B10051" s="1" t="n">
        <v>46030</v>
      </c>
      <c r="C10051" s="1" t="n">
        <v>46086</v>
      </c>
      <c r="D10051" t="inlineStr">
        <is>
          <t>GÄVLEBORGS LÄN</t>
        </is>
      </c>
      <c r="E10051" t="inlineStr">
        <is>
          <t>NORDANSTIG</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1064-2026</t>
        </is>
      </c>
      <c r="B10052" s="1" t="n">
        <v>46030</v>
      </c>
      <c r="C10052" s="1" t="n">
        <v>46086</v>
      </c>
      <c r="D10052" t="inlineStr">
        <is>
          <t>GÄVLEBORGS LÄN</t>
        </is>
      </c>
      <c r="E10052" t="inlineStr">
        <is>
          <t>SANDVIKEN</t>
        </is>
      </c>
      <c r="G10052" t="n">
        <v>10.1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1077-2026</t>
        </is>
      </c>
      <c r="B10053" s="1" t="n">
        <v>46030.64954861111</v>
      </c>
      <c r="C10053" s="1" t="n">
        <v>46086</v>
      </c>
      <c r="D10053" t="inlineStr">
        <is>
          <t>GÄVLEBORGS LÄN</t>
        </is>
      </c>
      <c r="E10053" t="inlineStr">
        <is>
          <t>HUDIKSVALL</t>
        </is>
      </c>
      <c r="G10053" t="n">
        <v>3.8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1093-2026</t>
        </is>
      </c>
      <c r="B10054" s="1" t="n">
        <v>46030.66121527777</v>
      </c>
      <c r="C10054" s="1" t="n">
        <v>46086</v>
      </c>
      <c r="D10054" t="inlineStr">
        <is>
          <t>GÄVLEBORGS LÄN</t>
        </is>
      </c>
      <c r="E10054" t="inlineStr">
        <is>
          <t>BOLLNÄS</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17618-2025</t>
        </is>
      </c>
      <c r="B10055" s="1" t="n">
        <v>45757.8506712963</v>
      </c>
      <c r="C10055" s="1" t="n">
        <v>46086</v>
      </c>
      <c r="D10055" t="inlineStr">
        <is>
          <t>GÄVLEBORGS LÄN</t>
        </is>
      </c>
      <c r="E10055" t="inlineStr">
        <is>
          <t>OVANÅKER</t>
        </is>
      </c>
      <c r="F10055" t="inlineStr">
        <is>
          <t>Holmen skog AB</t>
        </is>
      </c>
      <c r="G10055" t="n">
        <v>5.8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25810-2023</t>
        </is>
      </c>
      <c r="B10056" s="1" t="n">
        <v>45090.52650462963</v>
      </c>
      <c r="C10056" s="1" t="n">
        <v>46086</v>
      </c>
      <c r="D10056" t="inlineStr">
        <is>
          <t>GÄVLEBORGS LÄN</t>
        </is>
      </c>
      <c r="E10056" t="inlineStr">
        <is>
          <t>GÄVLE</t>
        </is>
      </c>
      <c r="G10056" t="n">
        <v>3.7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25812-2023</t>
        </is>
      </c>
      <c r="B10057" s="1" t="n">
        <v>45090.52939814814</v>
      </c>
      <c r="C10057" s="1" t="n">
        <v>46086</v>
      </c>
      <c r="D10057" t="inlineStr">
        <is>
          <t>GÄVLEBORGS LÄN</t>
        </is>
      </c>
      <c r="E10057" t="inlineStr">
        <is>
          <t>GÄVLE</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1319-2026</t>
        </is>
      </c>
      <c r="B10058" s="1" t="n">
        <v>46031.54403935185</v>
      </c>
      <c r="C10058" s="1" t="n">
        <v>46086</v>
      </c>
      <c r="D10058" t="inlineStr">
        <is>
          <t>GÄVLEBORGS LÄN</t>
        </is>
      </c>
      <c r="E10058" t="inlineStr">
        <is>
          <t>OCKELBO</t>
        </is>
      </c>
      <c r="G10058" t="n">
        <v>4.3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6113-2026</t>
        </is>
      </c>
      <c r="B10059" s="1" t="n">
        <v>46053</v>
      </c>
      <c r="C10059" s="1" t="n">
        <v>46086</v>
      </c>
      <c r="D10059" t="inlineStr">
        <is>
          <t>GÄVLEBORGS LÄN</t>
        </is>
      </c>
      <c r="E10059" t="inlineStr">
        <is>
          <t>OVANÅKER</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6123-2026</t>
        </is>
      </c>
      <c r="B10060" s="1" t="n">
        <v>46053</v>
      </c>
      <c r="C10060" s="1" t="n">
        <v>46086</v>
      </c>
      <c r="D10060" t="inlineStr">
        <is>
          <t>GÄVLEBORGS LÄN</t>
        </is>
      </c>
      <c r="E10060" t="inlineStr">
        <is>
          <t>GÄVLE</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7935-2026</t>
        </is>
      </c>
      <c r="B10061" s="1" t="n">
        <v>46063</v>
      </c>
      <c r="C10061" s="1" t="n">
        <v>46086</v>
      </c>
      <c r="D10061" t="inlineStr">
        <is>
          <t>GÄVLEBORGS LÄN</t>
        </is>
      </c>
      <c r="E10061" t="inlineStr">
        <is>
          <t>OCKELBO</t>
        </is>
      </c>
      <c r="G10061" t="n">
        <v>2.8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8690-2026</t>
        </is>
      </c>
      <c r="B10062" s="1" t="n">
        <v>46066</v>
      </c>
      <c r="C10062" s="1" t="n">
        <v>46086</v>
      </c>
      <c r="D10062" t="inlineStr">
        <is>
          <t>GÄVLEBORGS LÄN</t>
        </is>
      </c>
      <c r="E10062" t="inlineStr">
        <is>
          <t>BOLLNÄS</t>
        </is>
      </c>
      <c r="F10062" t="inlineStr">
        <is>
          <t>Bergvik skog väst AB</t>
        </is>
      </c>
      <c r="G10062" t="n">
        <v>11.4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9361-2026</t>
        </is>
      </c>
      <c r="B10063" s="1" t="n">
        <v>46070</v>
      </c>
      <c r="C10063" s="1" t="n">
        <v>46086</v>
      </c>
      <c r="D10063" t="inlineStr">
        <is>
          <t>GÄVLEBORGS LÄN</t>
        </is>
      </c>
      <c r="E10063" t="inlineStr">
        <is>
          <t>NORDANSTIG</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61878-2025</t>
        </is>
      </c>
      <c r="B10064" s="1" t="n">
        <v>46003.4128587963</v>
      </c>
      <c r="C10064" s="1" t="n">
        <v>46086</v>
      </c>
      <c r="D10064" t="inlineStr">
        <is>
          <t>GÄVLEBORGS LÄN</t>
        </is>
      </c>
      <c r="E10064" t="inlineStr">
        <is>
          <t>GÄVLE</t>
        </is>
      </c>
      <c r="F10064" t="inlineStr">
        <is>
          <t>Bergvik skog öst AB</t>
        </is>
      </c>
      <c r="G10064" t="n">
        <v>5.3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32924-2023</t>
        </is>
      </c>
      <c r="B10065" s="1" t="n">
        <v>45125.36489583334</v>
      </c>
      <c r="C10065" s="1" t="n">
        <v>46086</v>
      </c>
      <c r="D10065" t="inlineStr">
        <is>
          <t>GÄVLEBORGS LÄN</t>
        </is>
      </c>
      <c r="E10065" t="inlineStr">
        <is>
          <t>LJUSDAL</t>
        </is>
      </c>
      <c r="F10065" t="inlineStr">
        <is>
          <t>Holmen skog AB</t>
        </is>
      </c>
      <c r="G10065" t="n">
        <v>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6008-2026</t>
        </is>
      </c>
      <c r="B10066" s="1" t="n">
        <v>46052</v>
      </c>
      <c r="C10066" s="1" t="n">
        <v>46086</v>
      </c>
      <c r="D10066" t="inlineStr">
        <is>
          <t>GÄVLEBORGS LÄN</t>
        </is>
      </c>
      <c r="E10066" t="inlineStr">
        <is>
          <t>BOLLNÄS</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6068-2026</t>
        </is>
      </c>
      <c r="B10067" s="1" t="n">
        <v>46052</v>
      </c>
      <c r="C10067" s="1" t="n">
        <v>46086</v>
      </c>
      <c r="D10067" t="inlineStr">
        <is>
          <t>GÄVLEBORGS LÄN</t>
        </is>
      </c>
      <c r="E10067" t="inlineStr">
        <is>
          <t>BOLLNÄS</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6815-2026</t>
        </is>
      </c>
      <c r="B10068" s="1" t="n">
        <v>46057</v>
      </c>
      <c r="C10068" s="1" t="n">
        <v>46086</v>
      </c>
      <c r="D10068" t="inlineStr">
        <is>
          <t>GÄVLEBORGS LÄN</t>
        </is>
      </c>
      <c r="E10068" t="inlineStr">
        <is>
          <t>HUDIKSVALL</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32943-2023</t>
        </is>
      </c>
      <c r="B10069" s="1" t="n">
        <v>45125</v>
      </c>
      <c r="C10069" s="1" t="n">
        <v>46086</v>
      </c>
      <c r="D10069" t="inlineStr">
        <is>
          <t>GÄVLEBORGS LÄN</t>
        </is>
      </c>
      <c r="E10069" t="inlineStr">
        <is>
          <t>LJUSDAL</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6829-2026</t>
        </is>
      </c>
      <c r="B10070" s="1" t="n">
        <v>46057</v>
      </c>
      <c r="C10070" s="1" t="n">
        <v>46086</v>
      </c>
      <c r="D10070" t="inlineStr">
        <is>
          <t>GÄVLEBORGS LÄN</t>
        </is>
      </c>
      <c r="E10070" t="inlineStr">
        <is>
          <t>HUDIKSVALL</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6755-2026</t>
        </is>
      </c>
      <c r="B10071" s="1" t="n">
        <v>46056.77475694445</v>
      </c>
      <c r="C10071" s="1" t="n">
        <v>46086</v>
      </c>
      <c r="D10071" t="inlineStr">
        <is>
          <t>GÄVLEBORGS LÄN</t>
        </is>
      </c>
      <c r="E10071" t="inlineStr">
        <is>
          <t>HUDIKSVALL</t>
        </is>
      </c>
      <c r="F10071" t="inlineStr">
        <is>
          <t>Holmen skog AB</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6826-2026</t>
        </is>
      </c>
      <c r="B10072" s="1" t="n">
        <v>46057</v>
      </c>
      <c r="C10072" s="1" t="n">
        <v>46086</v>
      </c>
      <c r="D10072" t="inlineStr">
        <is>
          <t>GÄVLEBORGS LÄN</t>
        </is>
      </c>
      <c r="E10072" t="inlineStr">
        <is>
          <t>HUDIKSVALL</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9015-2026</t>
        </is>
      </c>
      <c r="B10073" s="1" t="n">
        <v>46069</v>
      </c>
      <c r="C10073" s="1" t="n">
        <v>46086</v>
      </c>
      <c r="D10073" t="inlineStr">
        <is>
          <t>GÄVLEBORGS LÄN</t>
        </is>
      </c>
      <c r="E10073" t="inlineStr">
        <is>
          <t>BOLLNÄS</t>
        </is>
      </c>
      <c r="G10073" t="n">
        <v>6.8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9047-2026</t>
        </is>
      </c>
      <c r="B10074" s="1" t="n">
        <v>46069</v>
      </c>
      <c r="C10074" s="1" t="n">
        <v>46086</v>
      </c>
      <c r="D10074" t="inlineStr">
        <is>
          <t>GÄVLEBORGS LÄN</t>
        </is>
      </c>
      <c r="E10074" t="inlineStr">
        <is>
          <t>LJUSDAL</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7812-2026</t>
        </is>
      </c>
      <c r="B10075" s="1" t="n">
        <v>46062</v>
      </c>
      <c r="C10075" s="1" t="n">
        <v>46086</v>
      </c>
      <c r="D10075" t="inlineStr">
        <is>
          <t>GÄVLEBORGS LÄN</t>
        </is>
      </c>
      <c r="E10075" t="inlineStr">
        <is>
          <t>LJUSDAL</t>
        </is>
      </c>
      <c r="G10075" t="n">
        <v>3.1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9890-2026</t>
        </is>
      </c>
      <c r="B10076" s="1" t="n">
        <v>46073.37230324074</v>
      </c>
      <c r="C10076" s="1" t="n">
        <v>46086</v>
      </c>
      <c r="D10076" t="inlineStr">
        <is>
          <t>GÄVLEBORGS LÄN</t>
        </is>
      </c>
      <c r="E10076" t="inlineStr">
        <is>
          <t>BOLLNÄS</t>
        </is>
      </c>
      <c r="G10076" t="n">
        <v>5.2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9910-2026</t>
        </is>
      </c>
      <c r="B10077" s="1" t="n">
        <v>46073.41920138889</v>
      </c>
      <c r="C10077" s="1" t="n">
        <v>46086</v>
      </c>
      <c r="D10077" t="inlineStr">
        <is>
          <t>GÄVLEBORGS LÄN</t>
        </is>
      </c>
      <c r="E10077" t="inlineStr">
        <is>
          <t>SANDVIKEN</t>
        </is>
      </c>
      <c r="G10077" t="n">
        <v>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10055-2026</t>
        </is>
      </c>
      <c r="B10078" s="1" t="n">
        <v>46073.61792824074</v>
      </c>
      <c r="C10078" s="1" t="n">
        <v>46086</v>
      </c>
      <c r="D10078" t="inlineStr">
        <is>
          <t>GÄVLEBORGS LÄN</t>
        </is>
      </c>
      <c r="E10078" t="inlineStr">
        <is>
          <t>BOLLNÄS</t>
        </is>
      </c>
      <c r="G10078" t="n">
        <v>8.699999999999999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7979-2025</t>
        </is>
      </c>
      <c r="B10079" s="1" t="n">
        <v>45707</v>
      </c>
      <c r="C10079" s="1" t="n">
        <v>46086</v>
      </c>
      <c r="D10079" t="inlineStr">
        <is>
          <t>GÄVLEBORGS LÄN</t>
        </is>
      </c>
      <c r="E10079" t="inlineStr">
        <is>
          <t>SÖDERHAMN</t>
        </is>
      </c>
      <c r="G10079" t="n">
        <v>6.6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9833-2026</t>
        </is>
      </c>
      <c r="B10080" s="1" t="n">
        <v>46072</v>
      </c>
      <c r="C10080" s="1" t="n">
        <v>46086</v>
      </c>
      <c r="D10080" t="inlineStr">
        <is>
          <t>GÄVLEBORGS LÄN</t>
        </is>
      </c>
      <c r="E10080" t="inlineStr">
        <is>
          <t>LJUSDAL</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9814-2026</t>
        </is>
      </c>
      <c r="B10081" s="1" t="n">
        <v>46072.63304398148</v>
      </c>
      <c r="C10081" s="1" t="n">
        <v>46086</v>
      </c>
      <c r="D10081" t="inlineStr">
        <is>
          <t>GÄVLEBORGS LÄN</t>
        </is>
      </c>
      <c r="E10081" t="inlineStr">
        <is>
          <t>BOLLNÄS</t>
        </is>
      </c>
      <c r="G10081" t="n">
        <v>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16224-2025</t>
        </is>
      </c>
      <c r="B10082" s="1" t="n">
        <v>45750</v>
      </c>
      <c r="C10082" s="1" t="n">
        <v>46086</v>
      </c>
      <c r="D10082" t="inlineStr">
        <is>
          <t>GÄVLEBORGS LÄN</t>
        </is>
      </c>
      <c r="E10082" t="inlineStr">
        <is>
          <t>SÖDERHAMN</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778-2026</t>
        </is>
      </c>
      <c r="B10083" s="1" t="n">
        <v>46029.78011574074</v>
      </c>
      <c r="C10083" s="1" t="n">
        <v>46086</v>
      </c>
      <c r="D10083" t="inlineStr">
        <is>
          <t>GÄVLEBORGS LÄN</t>
        </is>
      </c>
      <c r="E10083" t="inlineStr">
        <is>
          <t>HUDIKSVALL</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819-2026</t>
        </is>
      </c>
      <c r="B10084" s="1" t="n">
        <v>46030.35695601852</v>
      </c>
      <c r="C10084" s="1" t="n">
        <v>46086</v>
      </c>
      <c r="D10084" t="inlineStr">
        <is>
          <t>GÄVLEBORGS LÄN</t>
        </is>
      </c>
      <c r="E10084" t="inlineStr">
        <is>
          <t>GÄVLE</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840-2026</t>
        </is>
      </c>
      <c r="B10085" s="1" t="n">
        <v>46030.37694444445</v>
      </c>
      <c r="C10085" s="1" t="n">
        <v>46086</v>
      </c>
      <c r="D10085" t="inlineStr">
        <is>
          <t>GÄVLEBORGS LÄN</t>
        </is>
      </c>
      <c r="E10085" t="inlineStr">
        <is>
          <t>BOLLNÄS</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850-2026</t>
        </is>
      </c>
      <c r="B10086" s="1" t="n">
        <v>46030.39200231482</v>
      </c>
      <c r="C10086" s="1" t="n">
        <v>46086</v>
      </c>
      <c r="D10086" t="inlineStr">
        <is>
          <t>GÄVLEBORGS LÄN</t>
        </is>
      </c>
      <c r="E10086" t="inlineStr">
        <is>
          <t>BOLLNÄS</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876-2026</t>
        </is>
      </c>
      <c r="B10087" s="1" t="n">
        <v>46030.44226851852</v>
      </c>
      <c r="C10087" s="1" t="n">
        <v>46086</v>
      </c>
      <c r="D10087" t="inlineStr">
        <is>
          <t>GÄVLEBORGS LÄN</t>
        </is>
      </c>
      <c r="E10087" t="inlineStr">
        <is>
          <t>GÄVLE</t>
        </is>
      </c>
      <c r="G10087" t="n">
        <v>3.1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16235-2025</t>
        </is>
      </c>
      <c r="B10088" s="1" t="n">
        <v>45750.65936342593</v>
      </c>
      <c r="C10088" s="1" t="n">
        <v>46086</v>
      </c>
      <c r="D10088" t="inlineStr">
        <is>
          <t>GÄVLEBORGS LÄN</t>
        </is>
      </c>
      <c r="E10088" t="inlineStr">
        <is>
          <t>SÖDERHAMN</t>
        </is>
      </c>
      <c r="F10088" t="inlineStr">
        <is>
          <t>Kommuner</t>
        </is>
      </c>
      <c r="G10088" t="n">
        <v>2.6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7420-2026</t>
        </is>
      </c>
      <c r="B10089" s="1" t="n">
        <v>46059</v>
      </c>
      <c r="C10089" s="1" t="n">
        <v>46086</v>
      </c>
      <c r="D10089" t="inlineStr">
        <is>
          <t>GÄVLEBORGS LÄN</t>
        </is>
      </c>
      <c r="E10089" t="inlineStr">
        <is>
          <t>BOLLNÄS</t>
        </is>
      </c>
      <c r="F10089" t="inlineStr">
        <is>
          <t>Bergvik skog väst AB</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2062-2026</t>
        </is>
      </c>
      <c r="B10090" s="1" t="n">
        <v>46035</v>
      </c>
      <c r="C10090" s="1" t="n">
        <v>46086</v>
      </c>
      <c r="D10090" t="inlineStr">
        <is>
          <t>GÄVLEBORGS LÄN</t>
        </is>
      </c>
      <c r="E10090" t="inlineStr">
        <is>
          <t>BOLLNÄS</t>
        </is>
      </c>
      <c r="F10090" t="inlineStr">
        <is>
          <t>Bergvik skog väst AB</t>
        </is>
      </c>
      <c r="G10090" t="n">
        <v>17.3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7707-2026</t>
        </is>
      </c>
      <c r="B10091" s="1" t="n">
        <v>46062</v>
      </c>
      <c r="C10091" s="1" t="n">
        <v>46086</v>
      </c>
      <c r="D10091" t="inlineStr">
        <is>
          <t>GÄVLEBORGS LÄN</t>
        </is>
      </c>
      <c r="E10091" t="inlineStr">
        <is>
          <t>BOLLNÄS</t>
        </is>
      </c>
      <c r="F10091" t="inlineStr">
        <is>
          <t>Bergvik skog väst AB</t>
        </is>
      </c>
      <c r="G10091" t="n">
        <v>9.9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7808-2026</t>
        </is>
      </c>
      <c r="B10092" s="1" t="n">
        <v>46062</v>
      </c>
      <c r="C10092" s="1" t="n">
        <v>46086</v>
      </c>
      <c r="D10092" t="inlineStr">
        <is>
          <t>GÄVLEBORGS LÄN</t>
        </is>
      </c>
      <c r="E10092" t="inlineStr">
        <is>
          <t>BOLLNÄS</t>
        </is>
      </c>
      <c r="F10092" t="inlineStr">
        <is>
          <t>Bergvik skog väst AB</t>
        </is>
      </c>
      <c r="G10092" t="n">
        <v>4.6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8471-2026</t>
        </is>
      </c>
      <c r="B10093" s="1" t="n">
        <v>46065</v>
      </c>
      <c r="C10093" s="1" t="n">
        <v>46086</v>
      </c>
      <c r="D10093" t="inlineStr">
        <is>
          <t>GÄVLEBORGS LÄN</t>
        </is>
      </c>
      <c r="E10093" t="inlineStr">
        <is>
          <t>HUDIKSVALL</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2016-2026</t>
        </is>
      </c>
      <c r="B10094" s="1" t="n">
        <v>46035</v>
      </c>
      <c r="C10094" s="1" t="n">
        <v>46086</v>
      </c>
      <c r="D10094" t="inlineStr">
        <is>
          <t>GÄVLEBORGS LÄN</t>
        </is>
      </c>
      <c r="E10094" t="inlineStr">
        <is>
          <t>SANDVIKEN</t>
        </is>
      </c>
      <c r="G10094" t="n">
        <v>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9581-2026</t>
        </is>
      </c>
      <c r="B10095" s="1" t="n">
        <v>46071</v>
      </c>
      <c r="C10095" s="1" t="n">
        <v>46086</v>
      </c>
      <c r="D10095" t="inlineStr">
        <is>
          <t>GÄVLEBORGS LÄN</t>
        </is>
      </c>
      <c r="E10095" t="inlineStr">
        <is>
          <t>HUDIKSVALL</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9583-2026</t>
        </is>
      </c>
      <c r="B10096" s="1" t="n">
        <v>46071</v>
      </c>
      <c r="C10096" s="1" t="n">
        <v>46086</v>
      </c>
      <c r="D10096" t="inlineStr">
        <is>
          <t>GÄVLEBORGS LÄN</t>
        </is>
      </c>
      <c r="E10096" t="inlineStr">
        <is>
          <t>HUDIKSVALL</t>
        </is>
      </c>
      <c r="G10096" t="n">
        <v>4.5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9590-2026</t>
        </is>
      </c>
      <c r="B10097" s="1" t="n">
        <v>46071</v>
      </c>
      <c r="C10097" s="1" t="n">
        <v>46086</v>
      </c>
      <c r="D10097" t="inlineStr">
        <is>
          <t>GÄVLEBORGS LÄN</t>
        </is>
      </c>
      <c r="E10097" t="inlineStr">
        <is>
          <t>NORDANSTIG</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9726-2026</t>
        </is>
      </c>
      <c r="B10098" s="1" t="n">
        <v>46072</v>
      </c>
      <c r="C10098" s="1" t="n">
        <v>46086</v>
      </c>
      <c r="D10098" t="inlineStr">
        <is>
          <t>GÄVLEBORGS LÄN</t>
        </is>
      </c>
      <c r="E10098" t="inlineStr">
        <is>
          <t>HUDIKSVALL</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1722-2026</t>
        </is>
      </c>
      <c r="B10099" s="1" t="n">
        <v>46034.61875</v>
      </c>
      <c r="C10099" s="1" t="n">
        <v>46086</v>
      </c>
      <c r="D10099" t="inlineStr">
        <is>
          <t>GÄVLEBORGS LÄN</t>
        </is>
      </c>
      <c r="E10099" t="inlineStr">
        <is>
          <t>OCKELBO</t>
        </is>
      </c>
      <c r="F10099" t="inlineStr">
        <is>
          <t>Bergvik skog väst AB</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1724-2026</t>
        </is>
      </c>
      <c r="B10100" s="1" t="n">
        <v>46034.62362268518</v>
      </c>
      <c r="C10100" s="1" t="n">
        <v>46086</v>
      </c>
      <c r="D10100" t="inlineStr">
        <is>
          <t>GÄVLEBORGS LÄN</t>
        </is>
      </c>
      <c r="E10100" t="inlineStr">
        <is>
          <t>OCKELBO</t>
        </is>
      </c>
      <c r="F10100" t="inlineStr">
        <is>
          <t>Bergvik skog väst AB</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10456-2026</t>
        </is>
      </c>
      <c r="B10101" s="1" t="n">
        <v>46077.45145833334</v>
      </c>
      <c r="C10101" s="1" t="n">
        <v>46086</v>
      </c>
      <c r="D10101" t="inlineStr">
        <is>
          <t>GÄVLEBORGS LÄN</t>
        </is>
      </c>
      <c r="E10101" t="inlineStr">
        <is>
          <t>OCKELBO</t>
        </is>
      </c>
      <c r="F10101" t="inlineStr">
        <is>
          <t>Bergvik skog öst AB</t>
        </is>
      </c>
      <c r="G10101" t="n">
        <v>45.7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1962-2026</t>
        </is>
      </c>
      <c r="B10102" s="1" t="n">
        <v>46035</v>
      </c>
      <c r="C10102" s="1" t="n">
        <v>46086</v>
      </c>
      <c r="D10102" t="inlineStr">
        <is>
          <t>GÄVLEBORGS LÄN</t>
        </is>
      </c>
      <c r="E10102" t="inlineStr">
        <is>
          <t>NORDANSTIG</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2032-2026</t>
        </is>
      </c>
      <c r="B10103" s="1" t="n">
        <v>46035</v>
      </c>
      <c r="C10103" s="1" t="n">
        <v>46086</v>
      </c>
      <c r="D10103" t="inlineStr">
        <is>
          <t>GÄVLEBORGS LÄN</t>
        </is>
      </c>
      <c r="E10103" t="inlineStr">
        <is>
          <t>HUDIKSVALL</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1512-2026</t>
        </is>
      </c>
      <c r="B10104" s="1" t="n">
        <v>46034</v>
      </c>
      <c r="C10104" s="1" t="n">
        <v>46086</v>
      </c>
      <c r="D10104" t="inlineStr">
        <is>
          <t>GÄVLEBORGS LÄN</t>
        </is>
      </c>
      <c r="E10104" t="inlineStr">
        <is>
          <t>SÖDERHAMN</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4506-2026</t>
        </is>
      </c>
      <c r="B10105" s="1" t="n">
        <v>46045</v>
      </c>
      <c r="C10105" s="1" t="n">
        <v>46086</v>
      </c>
      <c r="D10105" t="inlineStr">
        <is>
          <t>GÄVLEBORGS LÄN</t>
        </is>
      </c>
      <c r="E10105" t="inlineStr">
        <is>
          <t>SANDVIKEN</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1926-2026</t>
        </is>
      </c>
      <c r="B10106" s="1" t="n">
        <v>46035</v>
      </c>
      <c r="C10106" s="1" t="n">
        <v>46086</v>
      </c>
      <c r="D10106" t="inlineStr">
        <is>
          <t>GÄVLEBORGS LÄN</t>
        </is>
      </c>
      <c r="E10106" t="inlineStr">
        <is>
          <t>HUDIKSVALL</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1935-2026</t>
        </is>
      </c>
      <c r="B10107" s="1" t="n">
        <v>46035.58614583333</v>
      </c>
      <c r="C10107" s="1" t="n">
        <v>46086</v>
      </c>
      <c r="D10107" t="inlineStr">
        <is>
          <t>GÄVLEBORGS LÄN</t>
        </is>
      </c>
      <c r="E10107" t="inlineStr">
        <is>
          <t>HUDIKSVALL</t>
        </is>
      </c>
      <c r="G10107" t="n">
        <v>2.9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10353-2026</t>
        </is>
      </c>
      <c r="B10108" s="1" t="n">
        <v>46076</v>
      </c>
      <c r="C10108" s="1" t="n">
        <v>46086</v>
      </c>
      <c r="D10108" t="inlineStr">
        <is>
          <t>GÄVLEBORGS LÄN</t>
        </is>
      </c>
      <c r="E10108" t="inlineStr">
        <is>
          <t>OVANÅKER</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1678-2026</t>
        </is>
      </c>
      <c r="B10109" s="1" t="n">
        <v>46034.5724537037</v>
      </c>
      <c r="C10109" s="1" t="n">
        <v>46086</v>
      </c>
      <c r="D10109" t="inlineStr">
        <is>
          <t>GÄVLEBORGS LÄN</t>
        </is>
      </c>
      <c r="E10109" t="inlineStr">
        <is>
          <t>BOLLNÄS</t>
        </is>
      </c>
      <c r="G10109" t="n">
        <v>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1687-2026</t>
        </is>
      </c>
      <c r="B10110" s="1" t="n">
        <v>46034.58523148148</v>
      </c>
      <c r="C10110" s="1" t="n">
        <v>46086</v>
      </c>
      <c r="D10110" t="inlineStr">
        <is>
          <t>GÄVLEBORGS LÄN</t>
        </is>
      </c>
      <c r="E10110" t="inlineStr">
        <is>
          <t>BOLLNÄS</t>
        </is>
      </c>
      <c r="G10110" t="n">
        <v>8.1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1717-2026</t>
        </is>
      </c>
      <c r="B10111" s="1" t="n">
        <v>46034</v>
      </c>
      <c r="C10111" s="1" t="n">
        <v>46086</v>
      </c>
      <c r="D10111" t="inlineStr">
        <is>
          <t>GÄVLEBORGS LÄN</t>
        </is>
      </c>
      <c r="E10111" t="inlineStr">
        <is>
          <t>OVANÅKER</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1720-2026</t>
        </is>
      </c>
      <c r="B10112" s="1" t="n">
        <v>46034</v>
      </c>
      <c r="C10112" s="1" t="n">
        <v>46086</v>
      </c>
      <c r="D10112" t="inlineStr">
        <is>
          <t>GÄVLEBORGS LÄN</t>
        </is>
      </c>
      <c r="E10112" t="inlineStr">
        <is>
          <t>OVANÅKER</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1726-2026</t>
        </is>
      </c>
      <c r="B10113" s="1" t="n">
        <v>46034.62466435185</v>
      </c>
      <c r="C10113" s="1" t="n">
        <v>46086</v>
      </c>
      <c r="D10113" t="inlineStr">
        <is>
          <t>GÄVLEBORGS LÄN</t>
        </is>
      </c>
      <c r="E10113" t="inlineStr">
        <is>
          <t>OCKELBO</t>
        </is>
      </c>
      <c r="G10113" t="n">
        <v>9.4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1733-2026</t>
        </is>
      </c>
      <c r="B10114" s="1" t="n">
        <v>46034.63751157407</v>
      </c>
      <c r="C10114" s="1" t="n">
        <v>46086</v>
      </c>
      <c r="D10114" t="inlineStr">
        <is>
          <t>GÄVLEBORGS LÄN</t>
        </is>
      </c>
      <c r="E10114" t="inlineStr">
        <is>
          <t>HUDIKSVALL</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1777-2026</t>
        </is>
      </c>
      <c r="B10115" s="1" t="n">
        <v>46034</v>
      </c>
      <c r="C10115" s="1" t="n">
        <v>46086</v>
      </c>
      <c r="D10115" t="inlineStr">
        <is>
          <t>GÄVLEBORGS LÄN</t>
        </is>
      </c>
      <c r="E10115" t="inlineStr">
        <is>
          <t>HUDIKSVALL</t>
        </is>
      </c>
      <c r="G10115" t="n">
        <v>3.8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10470-2026</t>
        </is>
      </c>
      <c r="B10116" s="1" t="n">
        <v>46077.47222222222</v>
      </c>
      <c r="C10116" s="1" t="n">
        <v>46086</v>
      </c>
      <c r="D10116" t="inlineStr">
        <is>
          <t>GÄVLEBORGS LÄN</t>
        </is>
      </c>
      <c r="E10116" t="inlineStr">
        <is>
          <t>BOLLNÄS</t>
        </is>
      </c>
      <c r="F10116" t="inlineStr">
        <is>
          <t>Kyrkan</t>
        </is>
      </c>
      <c r="G10116" t="n">
        <v>10.3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10472-2026</t>
        </is>
      </c>
      <c r="B10117" s="1" t="n">
        <v>46077.47484953704</v>
      </c>
      <c r="C10117" s="1" t="n">
        <v>46086</v>
      </c>
      <c r="D10117" t="inlineStr">
        <is>
          <t>GÄVLEBORGS LÄN</t>
        </is>
      </c>
      <c r="E10117" t="inlineStr">
        <is>
          <t>BOLLNÄS</t>
        </is>
      </c>
      <c r="F10117" t="inlineStr">
        <is>
          <t>Bergvik skog väst AB</t>
        </is>
      </c>
      <c r="G10117" t="n">
        <v>3.6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10488-2026</t>
        </is>
      </c>
      <c r="B10118" s="1" t="n">
        <v>46077.52202546296</v>
      </c>
      <c r="C10118" s="1" t="n">
        <v>46086</v>
      </c>
      <c r="D10118" t="inlineStr">
        <is>
          <t>GÄVLEBORGS LÄN</t>
        </is>
      </c>
      <c r="E10118" t="inlineStr">
        <is>
          <t>GÄVLE</t>
        </is>
      </c>
      <c r="F10118" t="inlineStr">
        <is>
          <t>Bergvik skog öst AB</t>
        </is>
      </c>
      <c r="G10118" t="n">
        <v>14.5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6844-2026</t>
        </is>
      </c>
      <c r="B10119" s="1" t="n">
        <v>46057</v>
      </c>
      <c r="C10119" s="1" t="n">
        <v>46086</v>
      </c>
      <c r="D10119" t="inlineStr">
        <is>
          <t>GÄVLEBORGS LÄN</t>
        </is>
      </c>
      <c r="E10119" t="inlineStr">
        <is>
          <t>OVANÅKER</t>
        </is>
      </c>
      <c r="G10119" t="n">
        <v>11.8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6860-2026</t>
        </is>
      </c>
      <c r="B10120" s="1" t="n">
        <v>46057</v>
      </c>
      <c r="C10120" s="1" t="n">
        <v>46086</v>
      </c>
      <c r="D10120" t="inlineStr">
        <is>
          <t>GÄVLEBORGS LÄN</t>
        </is>
      </c>
      <c r="E10120" t="inlineStr">
        <is>
          <t>OVANÅKER</t>
        </is>
      </c>
      <c r="G10120" t="n">
        <v>5.1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10257-2026</t>
        </is>
      </c>
      <c r="B10121" s="1" t="n">
        <v>46076.56271990741</v>
      </c>
      <c r="C10121" s="1" t="n">
        <v>46086</v>
      </c>
      <c r="D10121" t="inlineStr">
        <is>
          <t>GÄVLEBORGS LÄN</t>
        </is>
      </c>
      <c r="E10121" t="inlineStr">
        <is>
          <t>GÄVLE</t>
        </is>
      </c>
      <c r="F10121" t="inlineStr">
        <is>
          <t>Bergvik skog öst AB</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7576-2026</t>
        </is>
      </c>
      <c r="B10122" s="1" t="n">
        <v>46061.40879629629</v>
      </c>
      <c r="C10122" s="1" t="n">
        <v>46086</v>
      </c>
      <c r="D10122" t="inlineStr">
        <is>
          <t>GÄVLEBORGS LÄN</t>
        </is>
      </c>
      <c r="E10122" t="inlineStr">
        <is>
          <t>BOLLNÄS</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7603-2026</t>
        </is>
      </c>
      <c r="B10123" s="1" t="n">
        <v>46062</v>
      </c>
      <c r="C10123" s="1" t="n">
        <v>46086</v>
      </c>
      <c r="D10123" t="inlineStr">
        <is>
          <t>GÄVLEBORGS LÄN</t>
        </is>
      </c>
      <c r="E10123" t="inlineStr">
        <is>
          <t>GÄVLE</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7604-2026</t>
        </is>
      </c>
      <c r="B10124" s="1" t="n">
        <v>46062.29543981481</v>
      </c>
      <c r="C10124" s="1" t="n">
        <v>46086</v>
      </c>
      <c r="D10124" t="inlineStr">
        <is>
          <t>GÄVLEBORGS LÄN</t>
        </is>
      </c>
      <c r="E10124" t="inlineStr">
        <is>
          <t>OVANÅKER</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10618-2026</t>
        </is>
      </c>
      <c r="B10125" s="1" t="n">
        <v>46077.86887731482</v>
      </c>
      <c r="C10125" s="1" t="n">
        <v>46086</v>
      </c>
      <c r="D10125" t="inlineStr">
        <is>
          <t>GÄVLEBORGS LÄN</t>
        </is>
      </c>
      <c r="E10125" t="inlineStr">
        <is>
          <t>BOLLNÄS</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10225-2026</t>
        </is>
      </c>
      <c r="B10126" s="1" t="n">
        <v>46076.5090162037</v>
      </c>
      <c r="C10126" s="1" t="n">
        <v>46086</v>
      </c>
      <c r="D10126" t="inlineStr">
        <is>
          <t>GÄVLEBORGS LÄN</t>
        </is>
      </c>
      <c r="E10126" t="inlineStr">
        <is>
          <t>BOLLNÄS</t>
        </is>
      </c>
      <c r="F10126" t="inlineStr">
        <is>
          <t>Bergvik skog väst AB</t>
        </is>
      </c>
      <c r="G10126" t="n">
        <v>2.8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43016-2022</t>
        </is>
      </c>
      <c r="B10127" s="1" t="n">
        <v>44833</v>
      </c>
      <c r="C10127" s="1" t="n">
        <v>46086</v>
      </c>
      <c r="D10127" t="inlineStr">
        <is>
          <t>GÄVLEBORGS LÄN</t>
        </is>
      </c>
      <c r="E10127" t="inlineStr">
        <is>
          <t>LJUSDAL</t>
        </is>
      </c>
      <c r="F10127" t="inlineStr">
        <is>
          <t>Naturvårdsverket</t>
        </is>
      </c>
      <c r="G10127" t="n">
        <v>4.9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7728-2026</t>
        </is>
      </c>
      <c r="B10128" s="1" t="n">
        <v>46062</v>
      </c>
      <c r="C10128" s="1" t="n">
        <v>46086</v>
      </c>
      <c r="D10128" t="inlineStr">
        <is>
          <t>GÄVLEBORGS LÄN</t>
        </is>
      </c>
      <c r="E10128" t="inlineStr">
        <is>
          <t>BOLLNÄS</t>
        </is>
      </c>
      <c r="G10128" t="n">
        <v>3.2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10193-2026</t>
        </is>
      </c>
      <c r="B10129" s="1" t="n">
        <v>46076.46435185185</v>
      </c>
      <c r="C10129" s="1" t="n">
        <v>46086</v>
      </c>
      <c r="D10129" t="inlineStr">
        <is>
          <t>GÄVLEBORGS LÄN</t>
        </is>
      </c>
      <c r="E10129" t="inlineStr">
        <is>
          <t>NORDANSTIG</t>
        </is>
      </c>
      <c r="G10129" t="n">
        <v>3.6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1456-2026</t>
        </is>
      </c>
      <c r="B10130" s="1" t="n">
        <v>46033.53333333333</v>
      </c>
      <c r="C10130" s="1" t="n">
        <v>46086</v>
      </c>
      <c r="D10130" t="inlineStr">
        <is>
          <t>GÄVLEBORGS LÄN</t>
        </is>
      </c>
      <c r="E10130" t="inlineStr">
        <is>
          <t>OCKELBO</t>
        </is>
      </c>
      <c r="G10130" t="n">
        <v>4.8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61526-2023</t>
        </is>
      </c>
      <c r="B10131" s="1" t="n">
        <v>45265.34644675926</v>
      </c>
      <c r="C10131" s="1" t="n">
        <v>46086</v>
      </c>
      <c r="D10131" t="inlineStr">
        <is>
          <t>GÄVLEBORGS LÄN</t>
        </is>
      </c>
      <c r="E10131" t="inlineStr">
        <is>
          <t>OVANÅKER</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61537-2023</t>
        </is>
      </c>
      <c r="B10132" s="1" t="n">
        <v>45265.37725694444</v>
      </c>
      <c r="C10132" s="1" t="n">
        <v>46086</v>
      </c>
      <c r="D10132" t="inlineStr">
        <is>
          <t>GÄVLEBORGS LÄN</t>
        </is>
      </c>
      <c r="E10132" t="inlineStr">
        <is>
          <t>SANDVIKEN</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1679-2026</t>
        </is>
      </c>
      <c r="B10133" s="1" t="n">
        <v>46034.57423611111</v>
      </c>
      <c r="C10133" s="1" t="n">
        <v>46086</v>
      </c>
      <c r="D10133" t="inlineStr">
        <is>
          <t>GÄVLEBORGS LÄN</t>
        </is>
      </c>
      <c r="E10133" t="inlineStr">
        <is>
          <t>BOLLNÄS</t>
        </is>
      </c>
      <c r="G10133" t="n">
        <v>3.2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1693-2026</t>
        </is>
      </c>
      <c r="B10134" s="1" t="n">
        <v>46034.59131944444</v>
      </c>
      <c r="C10134" s="1" t="n">
        <v>46086</v>
      </c>
      <c r="D10134" t="inlineStr">
        <is>
          <t>GÄVLEBORGS LÄN</t>
        </is>
      </c>
      <c r="E10134" t="inlineStr">
        <is>
          <t>OCKELBO</t>
        </is>
      </c>
      <c r="G10134" t="n">
        <v>9.300000000000001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1701-2026</t>
        </is>
      </c>
      <c r="B10135" s="1" t="n">
        <v>46034.59444444445</v>
      </c>
      <c r="C10135" s="1" t="n">
        <v>46086</v>
      </c>
      <c r="D10135" t="inlineStr">
        <is>
          <t>GÄVLEBORGS LÄN</t>
        </is>
      </c>
      <c r="E10135" t="inlineStr">
        <is>
          <t>SÖDERHAMN</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10607-2026</t>
        </is>
      </c>
      <c r="B10136" s="1" t="n">
        <v>46077.79092592592</v>
      </c>
      <c r="C10136" s="1" t="n">
        <v>46086</v>
      </c>
      <c r="D10136" t="inlineStr">
        <is>
          <t>GÄVLEBORGS LÄN</t>
        </is>
      </c>
      <c r="E10136" t="inlineStr">
        <is>
          <t>OVANÅKER</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7820-2026</t>
        </is>
      </c>
      <c r="B10137" s="1" t="n">
        <v>46062</v>
      </c>
      <c r="C10137" s="1" t="n">
        <v>46086</v>
      </c>
      <c r="D10137" t="inlineStr">
        <is>
          <t>GÄVLEBORGS LÄN</t>
        </is>
      </c>
      <c r="E10137" t="inlineStr">
        <is>
          <t>BOLLNÄS</t>
        </is>
      </c>
      <c r="F10137" t="inlineStr">
        <is>
          <t>Bergvik skog väst AB</t>
        </is>
      </c>
      <c r="G10137" t="n">
        <v>10.6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7885-2026</t>
        </is>
      </c>
      <c r="B10138" s="1" t="n">
        <v>46063</v>
      </c>
      <c r="C10138" s="1" t="n">
        <v>46086</v>
      </c>
      <c r="D10138" t="inlineStr">
        <is>
          <t>GÄVLEBORGS LÄN</t>
        </is>
      </c>
      <c r="E10138" t="inlineStr">
        <is>
          <t>SANDVIKEN</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6467-2024</t>
        </is>
      </c>
      <c r="B10139" s="1" t="n">
        <v>45338.92774305555</v>
      </c>
      <c r="C10139" s="1" t="n">
        <v>46086</v>
      </c>
      <c r="D10139" t="inlineStr">
        <is>
          <t>GÄVLEBORGS LÄN</t>
        </is>
      </c>
      <c r="E10139" t="inlineStr">
        <is>
          <t>NORDANSTIG</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10273-2026</t>
        </is>
      </c>
      <c r="B10140" s="1" t="n">
        <v>46076.58215277778</v>
      </c>
      <c r="C10140" s="1" t="n">
        <v>46086</v>
      </c>
      <c r="D10140" t="inlineStr">
        <is>
          <t>GÄVLEBORGS LÄN</t>
        </is>
      </c>
      <c r="E10140" t="inlineStr">
        <is>
          <t>GÄVLE</t>
        </is>
      </c>
      <c r="F10140" t="inlineStr">
        <is>
          <t>Bergvik skog öst AB</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10275-2026</t>
        </is>
      </c>
      <c r="B10141" s="1" t="n">
        <v>46076.58354166667</v>
      </c>
      <c r="C10141" s="1" t="n">
        <v>46086</v>
      </c>
      <c r="D10141" t="inlineStr">
        <is>
          <t>GÄVLEBORGS LÄN</t>
        </is>
      </c>
      <c r="E10141" t="inlineStr">
        <is>
          <t>LJUSDAL</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10389-2026</t>
        </is>
      </c>
      <c r="B10142" s="1" t="n">
        <v>46077.29111111111</v>
      </c>
      <c r="C10142" s="1" t="n">
        <v>46086</v>
      </c>
      <c r="D10142" t="inlineStr">
        <is>
          <t>GÄVLEBORGS LÄN</t>
        </is>
      </c>
      <c r="E10142" t="inlineStr">
        <is>
          <t>BOLLNÄS</t>
        </is>
      </c>
      <c r="F10142" t="inlineStr">
        <is>
          <t>Bergvik skog väst AB</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10391-2026</t>
        </is>
      </c>
      <c r="B10143" s="1" t="n">
        <v>46077.29868055556</v>
      </c>
      <c r="C10143" s="1" t="n">
        <v>46086</v>
      </c>
      <c r="D10143" t="inlineStr">
        <is>
          <t>GÄVLEBORGS LÄN</t>
        </is>
      </c>
      <c r="E10143" t="inlineStr">
        <is>
          <t>BOLLNÄS</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10415-2026</t>
        </is>
      </c>
      <c r="B10144" s="1" t="n">
        <v>46077.34762731481</v>
      </c>
      <c r="C10144" s="1" t="n">
        <v>46086</v>
      </c>
      <c r="D10144" t="inlineStr">
        <is>
          <t>GÄVLEBORGS LÄN</t>
        </is>
      </c>
      <c r="E10144" t="inlineStr">
        <is>
          <t>LJUSDAL</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10418-2026</t>
        </is>
      </c>
      <c r="B10145" s="1" t="n">
        <v>46077.3556712963</v>
      </c>
      <c r="C10145" s="1" t="n">
        <v>46086</v>
      </c>
      <c r="D10145" t="inlineStr">
        <is>
          <t>GÄVLEBORGS LÄN</t>
        </is>
      </c>
      <c r="E10145" t="inlineStr">
        <is>
          <t>OCKELBO</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9935-2026</t>
        </is>
      </c>
      <c r="B10146" s="1" t="n">
        <v>46073</v>
      </c>
      <c r="C10146" s="1" t="n">
        <v>46086</v>
      </c>
      <c r="D10146" t="inlineStr">
        <is>
          <t>GÄVLEBORGS LÄN</t>
        </is>
      </c>
      <c r="E10146" t="inlineStr">
        <is>
          <t>SÖDERHAMN</t>
        </is>
      </c>
      <c r="F10146" t="inlineStr">
        <is>
          <t>Bergvik skog väst AB</t>
        </is>
      </c>
      <c r="G10146" t="n">
        <v>2.9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9976-2026</t>
        </is>
      </c>
      <c r="B10147" s="1" t="n">
        <v>46073</v>
      </c>
      <c r="C10147" s="1" t="n">
        <v>46086</v>
      </c>
      <c r="D10147" t="inlineStr">
        <is>
          <t>GÄVLEBORGS LÄN</t>
        </is>
      </c>
      <c r="E10147" t="inlineStr">
        <is>
          <t>NORDANSTIG</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1712-2026</t>
        </is>
      </c>
      <c r="B10148" s="1" t="n">
        <v>46034.60353009259</v>
      </c>
      <c r="C10148" s="1" t="n">
        <v>46086</v>
      </c>
      <c r="D10148" t="inlineStr">
        <is>
          <t>GÄVLEBORGS LÄN</t>
        </is>
      </c>
      <c r="E10148" t="inlineStr">
        <is>
          <t>SANDVIKEN</t>
        </is>
      </c>
      <c r="G10148" t="n">
        <v>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7886-2026</t>
        </is>
      </c>
      <c r="B10149" s="1" t="n">
        <v>46063</v>
      </c>
      <c r="C10149" s="1" t="n">
        <v>46086</v>
      </c>
      <c r="D10149" t="inlineStr">
        <is>
          <t>GÄVLEBORGS LÄN</t>
        </is>
      </c>
      <c r="E10149" t="inlineStr">
        <is>
          <t>SANDVIKEN</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8750-2026</t>
        </is>
      </c>
      <c r="B10150" s="1" t="n">
        <v>46066</v>
      </c>
      <c r="C10150" s="1" t="n">
        <v>46086</v>
      </c>
      <c r="D10150" t="inlineStr">
        <is>
          <t>GÄVLEBORGS LÄN</t>
        </is>
      </c>
      <c r="E10150" t="inlineStr">
        <is>
          <t>OCKELBO</t>
        </is>
      </c>
      <c r="F10150" t="inlineStr">
        <is>
          <t>Bergvik skog väst AB</t>
        </is>
      </c>
      <c r="G10150" t="n">
        <v>5.8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9550-2026</t>
        </is>
      </c>
      <c r="B10151" s="1" t="n">
        <v>46071</v>
      </c>
      <c r="C10151" s="1" t="n">
        <v>46086</v>
      </c>
      <c r="D10151" t="inlineStr">
        <is>
          <t>GÄVLEBORGS LÄN</t>
        </is>
      </c>
      <c r="E10151" t="inlineStr">
        <is>
          <t>NORDANSTIG</t>
        </is>
      </c>
      <c r="G10151" t="n">
        <v>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10262-2026</t>
        </is>
      </c>
      <c r="B10152" s="1" t="n">
        <v>46076.57399305556</v>
      </c>
      <c r="C10152" s="1" t="n">
        <v>46086</v>
      </c>
      <c r="D10152" t="inlineStr">
        <is>
          <t>GÄVLEBORGS LÄN</t>
        </is>
      </c>
      <c r="E10152" t="inlineStr">
        <is>
          <t>BOLLNÄS</t>
        </is>
      </c>
      <c r="G10152" t="n">
        <v>6.8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5660-2023</t>
        </is>
      </c>
      <c r="B10153" s="1" t="n">
        <v>44960.62733796296</v>
      </c>
      <c r="C10153" s="1" t="n">
        <v>46086</v>
      </c>
      <c r="D10153" t="inlineStr">
        <is>
          <t>GÄVLEBORGS LÄN</t>
        </is>
      </c>
      <c r="E10153" t="inlineStr">
        <is>
          <t>NORDANSTIG</t>
        </is>
      </c>
      <c r="F10153" t="inlineStr">
        <is>
          <t>Holmen skog AB</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1866-2026</t>
        </is>
      </c>
      <c r="B10154" s="1" t="n">
        <v>46035.450625</v>
      </c>
      <c r="C10154" s="1" t="n">
        <v>46086</v>
      </c>
      <c r="D10154" t="inlineStr">
        <is>
          <t>GÄVLEBORGS LÄN</t>
        </is>
      </c>
      <c r="E10154" t="inlineStr">
        <is>
          <t>OCKELBO</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7783-2026</t>
        </is>
      </c>
      <c r="B10155" s="1" t="n">
        <v>46062</v>
      </c>
      <c r="C10155" s="1" t="n">
        <v>46086</v>
      </c>
      <c r="D10155" t="inlineStr">
        <is>
          <t>GÄVLEBORGS LÄN</t>
        </is>
      </c>
      <c r="E10155" t="inlineStr">
        <is>
          <t>NORDANSTIG</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10201-2026</t>
        </is>
      </c>
      <c r="B10156" s="1" t="n">
        <v>46076.47181712963</v>
      </c>
      <c r="C10156" s="1" t="n">
        <v>46086</v>
      </c>
      <c r="D10156" t="inlineStr">
        <is>
          <t>GÄVLEBORGS LÄN</t>
        </is>
      </c>
      <c r="E10156" t="inlineStr">
        <is>
          <t>BOLLNÄS</t>
        </is>
      </c>
      <c r="G10156" t="n">
        <v>9.4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63903-2025</t>
        </is>
      </c>
      <c r="B10157" s="1" t="n">
        <v>46020</v>
      </c>
      <c r="C10157" s="1" t="n">
        <v>46086</v>
      </c>
      <c r="D10157" t="inlineStr">
        <is>
          <t>GÄVLEBORGS LÄN</t>
        </is>
      </c>
      <c r="E10157" t="inlineStr">
        <is>
          <t>OVANÅKER</t>
        </is>
      </c>
      <c r="G10157" t="n">
        <v>2.8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651-2026</t>
        </is>
      </c>
      <c r="B10158" s="1" t="n">
        <v>46029</v>
      </c>
      <c r="C10158" s="1" t="n">
        <v>46086</v>
      </c>
      <c r="D10158" t="inlineStr">
        <is>
          <t>GÄVLEBORGS LÄN</t>
        </is>
      </c>
      <c r="E10158" t="inlineStr">
        <is>
          <t>BOLLNÄS</t>
        </is>
      </c>
      <c r="G10158" t="n">
        <v>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10432-2026</t>
        </is>
      </c>
      <c r="B10159" s="1" t="n">
        <v>46077.38561342593</v>
      </c>
      <c r="C10159" s="1" t="n">
        <v>46086</v>
      </c>
      <c r="D10159" t="inlineStr">
        <is>
          <t>GÄVLEBORGS LÄN</t>
        </is>
      </c>
      <c r="E10159" t="inlineStr">
        <is>
          <t>HUDIKSVALL</t>
        </is>
      </c>
      <c r="G10159" t="n">
        <v>11.9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4843-2023</t>
        </is>
      </c>
      <c r="B10160" s="1" t="n">
        <v>44957</v>
      </c>
      <c r="C10160" s="1" t="n">
        <v>46086</v>
      </c>
      <c r="D10160" t="inlineStr">
        <is>
          <t>GÄVLEBORGS LÄN</t>
        </is>
      </c>
      <c r="E10160" t="inlineStr">
        <is>
          <t>SÖDERHAMN</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10208-2026</t>
        </is>
      </c>
      <c r="B10161" s="1" t="n">
        <v>46076.48478009259</v>
      </c>
      <c r="C10161" s="1" t="n">
        <v>46086</v>
      </c>
      <c r="D10161" t="inlineStr">
        <is>
          <t>GÄVLEBORGS LÄN</t>
        </is>
      </c>
      <c r="E10161" t="inlineStr">
        <is>
          <t>BOLLNÄS</t>
        </is>
      </c>
      <c r="F10161" t="inlineStr">
        <is>
          <t>Bergvik skog väst AB</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7953-2026</t>
        </is>
      </c>
      <c r="B10162" s="1" t="n">
        <v>46063</v>
      </c>
      <c r="C10162" s="1" t="n">
        <v>46086</v>
      </c>
      <c r="D10162" t="inlineStr">
        <is>
          <t>GÄVLEBORGS LÄN</t>
        </is>
      </c>
      <c r="E10162" t="inlineStr">
        <is>
          <t>BOLLNÄS</t>
        </is>
      </c>
      <c r="F10162" t="inlineStr">
        <is>
          <t>Bergvik skog väst AB</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9930-2026</t>
        </is>
      </c>
      <c r="B10163" s="1" t="n">
        <v>46073</v>
      </c>
      <c r="C10163" s="1" t="n">
        <v>46086</v>
      </c>
      <c r="D10163" t="inlineStr">
        <is>
          <t>GÄVLEBORGS LÄN</t>
        </is>
      </c>
      <c r="E10163" t="inlineStr">
        <is>
          <t>OVANÅKER</t>
        </is>
      </c>
      <c r="G10163" t="n">
        <v>9.9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53-2026</t>
        </is>
      </c>
      <c r="B10164" s="1" t="n">
        <v>46024</v>
      </c>
      <c r="C10164" s="1" t="n">
        <v>46086</v>
      </c>
      <c r="D10164" t="inlineStr">
        <is>
          <t>GÄVLEBORGS LÄN</t>
        </is>
      </c>
      <c r="E10164" t="inlineStr">
        <is>
          <t>SÖDERHAMN</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1647-2026</t>
        </is>
      </c>
      <c r="B10165" s="1" t="n">
        <v>46034</v>
      </c>
      <c r="C10165" s="1" t="n">
        <v>46086</v>
      </c>
      <c r="D10165" t="inlineStr">
        <is>
          <t>GÄVLEBORGS LÄN</t>
        </is>
      </c>
      <c r="E10165" t="inlineStr">
        <is>
          <t>BOLLNÄS</t>
        </is>
      </c>
      <c r="G10165" t="n">
        <v>6.1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1672-2026</t>
        </is>
      </c>
      <c r="B10166" s="1" t="n">
        <v>46034.568125</v>
      </c>
      <c r="C10166" s="1" t="n">
        <v>46086</v>
      </c>
      <c r="D10166" t="inlineStr">
        <is>
          <t>GÄVLEBORGS LÄN</t>
        </is>
      </c>
      <c r="E10166" t="inlineStr">
        <is>
          <t>BOLLNÄS</t>
        </is>
      </c>
      <c r="G10166" t="n">
        <v>5.4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1703-2026</t>
        </is>
      </c>
      <c r="B10167" s="1" t="n">
        <v>46034.59607638889</v>
      </c>
      <c r="C10167" s="1" t="n">
        <v>46086</v>
      </c>
      <c r="D10167" t="inlineStr">
        <is>
          <t>GÄVLEBORGS LÄN</t>
        </is>
      </c>
      <c r="E10167" t="inlineStr">
        <is>
          <t>NORDANSTIG</t>
        </is>
      </c>
      <c r="G10167" t="n">
        <v>12.7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9122-2026</t>
        </is>
      </c>
      <c r="B10168" s="1" t="n">
        <v>46069</v>
      </c>
      <c r="C10168" s="1" t="n">
        <v>46086</v>
      </c>
      <c r="D10168" t="inlineStr">
        <is>
          <t>GÄVLEBORGS LÄN</t>
        </is>
      </c>
      <c r="E10168" t="inlineStr">
        <is>
          <t>NORDANSTIG</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9136-2026</t>
        </is>
      </c>
      <c r="B10169" s="1" t="n">
        <v>46069</v>
      </c>
      <c r="C10169" s="1" t="n">
        <v>46086</v>
      </c>
      <c r="D10169" t="inlineStr">
        <is>
          <t>GÄVLEBORGS LÄN</t>
        </is>
      </c>
      <c r="E10169" t="inlineStr">
        <is>
          <t>SANDVIKEN</t>
        </is>
      </c>
      <c r="G10169" t="n">
        <v>4.7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1470-2026</t>
        </is>
      </c>
      <c r="B10170" s="1" t="n">
        <v>46033.78216435185</v>
      </c>
      <c r="C10170" s="1" t="n">
        <v>46086</v>
      </c>
      <c r="D10170" t="inlineStr">
        <is>
          <t>GÄVLEBORGS LÄN</t>
        </is>
      </c>
      <c r="E10170" t="inlineStr">
        <is>
          <t>OVANÅKER</t>
        </is>
      </c>
      <c r="G10170" t="n">
        <v>9.300000000000001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40738-2023</t>
        </is>
      </c>
      <c r="B10171" s="1" t="n">
        <v>45170</v>
      </c>
      <c r="C10171" s="1" t="n">
        <v>46086</v>
      </c>
      <c r="D10171" t="inlineStr">
        <is>
          <t>GÄVLEBORGS LÄN</t>
        </is>
      </c>
      <c r="E10171" t="inlineStr">
        <is>
          <t>NORDANSTIG</t>
        </is>
      </c>
      <c r="F10171" t="inlineStr">
        <is>
          <t>Holmen skog AB</t>
        </is>
      </c>
      <c r="G10171" t="n">
        <v>9.5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23191-2022</t>
        </is>
      </c>
      <c r="B10172" s="1" t="n">
        <v>44719.92519675926</v>
      </c>
      <c r="C10172" s="1" t="n">
        <v>46086</v>
      </c>
      <c r="D10172" t="inlineStr">
        <is>
          <t>GÄVLEBORGS LÄN</t>
        </is>
      </c>
      <c r="E10172" t="inlineStr">
        <is>
          <t>LJUSDAL</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23192-2022</t>
        </is>
      </c>
      <c r="B10173" s="1" t="n">
        <v>44719.92523148148</v>
      </c>
      <c r="C10173" s="1" t="n">
        <v>46086</v>
      </c>
      <c r="D10173" t="inlineStr">
        <is>
          <t>GÄVLEBORGS LÄN</t>
        </is>
      </c>
      <c r="E10173" t="inlineStr">
        <is>
          <t>LJUSDAL</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1475-2026</t>
        </is>
      </c>
      <c r="B10174" s="1" t="n">
        <v>46033</v>
      </c>
      <c r="C10174" s="1" t="n">
        <v>46086</v>
      </c>
      <c r="D10174" t="inlineStr">
        <is>
          <t>GÄVLEBORGS LÄN</t>
        </is>
      </c>
      <c r="E10174" t="inlineStr">
        <is>
          <t>GÄVLE</t>
        </is>
      </c>
      <c r="G10174" t="n">
        <v>3.2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62362-2022</t>
        </is>
      </c>
      <c r="B10175" s="1" t="n">
        <v>44923</v>
      </c>
      <c r="C10175" s="1" t="n">
        <v>46086</v>
      </c>
      <c r="D10175" t="inlineStr">
        <is>
          <t>GÄVLEBORGS LÄN</t>
        </is>
      </c>
      <c r="E10175" t="inlineStr">
        <is>
          <t>OVANÅKER</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1518-2026</t>
        </is>
      </c>
      <c r="B10176" s="1" t="n">
        <v>46034</v>
      </c>
      <c r="C10176" s="1" t="n">
        <v>46086</v>
      </c>
      <c r="D10176" t="inlineStr">
        <is>
          <t>GÄVLEBORGS LÄN</t>
        </is>
      </c>
      <c r="E10176" t="inlineStr">
        <is>
          <t>SÖDERHAMN</t>
        </is>
      </c>
      <c r="G10176" t="n">
        <v>4.5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1787-2026</t>
        </is>
      </c>
      <c r="B10177" s="1" t="n">
        <v>46034</v>
      </c>
      <c r="C10177" s="1" t="n">
        <v>46086</v>
      </c>
      <c r="D10177" t="inlineStr">
        <is>
          <t>GÄVLEBORGS LÄN</t>
        </is>
      </c>
      <c r="E10177" t="inlineStr">
        <is>
          <t>OVANÅKER</t>
        </is>
      </c>
      <c r="G10177" t="n">
        <v>3.5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1796-2026</t>
        </is>
      </c>
      <c r="B10178" s="1" t="n">
        <v>46035.25556712963</v>
      </c>
      <c r="C10178" s="1" t="n">
        <v>46086</v>
      </c>
      <c r="D10178" t="inlineStr">
        <is>
          <t>GÄVLEBORGS LÄN</t>
        </is>
      </c>
      <c r="E10178" t="inlineStr">
        <is>
          <t>BOLLNÄS</t>
        </is>
      </c>
      <c r="G10178" t="n">
        <v>2.5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1804-2026</t>
        </is>
      </c>
      <c r="B10179" s="1" t="n">
        <v>46035.32539351852</v>
      </c>
      <c r="C10179" s="1" t="n">
        <v>46086</v>
      </c>
      <c r="D10179" t="inlineStr">
        <is>
          <t>GÄVLEBORGS LÄN</t>
        </is>
      </c>
      <c r="E10179" t="inlineStr">
        <is>
          <t>LJUSDAL</t>
        </is>
      </c>
      <c r="G10179" t="n">
        <v>3.5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1805-2026</t>
        </is>
      </c>
      <c r="B10180" s="1" t="n">
        <v>46035.32978009259</v>
      </c>
      <c r="C10180" s="1" t="n">
        <v>46086</v>
      </c>
      <c r="D10180" t="inlineStr">
        <is>
          <t>GÄVLEBORGS LÄN</t>
        </is>
      </c>
      <c r="E10180" t="inlineStr">
        <is>
          <t>BOLLNÄS</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1808-2026</t>
        </is>
      </c>
      <c r="B10181" s="1" t="n">
        <v>46035</v>
      </c>
      <c r="C10181" s="1" t="n">
        <v>46086</v>
      </c>
      <c r="D10181" t="inlineStr">
        <is>
          <t>GÄVLEBORGS LÄN</t>
        </is>
      </c>
      <c r="E10181" t="inlineStr">
        <is>
          <t>LJUSDAL</t>
        </is>
      </c>
      <c r="G10181" t="n">
        <v>2.7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1809-2026</t>
        </is>
      </c>
      <c r="B10182" s="1" t="n">
        <v>46035.33763888889</v>
      </c>
      <c r="C10182" s="1" t="n">
        <v>46086</v>
      </c>
      <c r="D10182" t="inlineStr">
        <is>
          <t>GÄVLEBORGS LÄN</t>
        </is>
      </c>
      <c r="E10182" t="inlineStr">
        <is>
          <t>BOLLNÄS</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1820-2026</t>
        </is>
      </c>
      <c r="B10183" s="1" t="n">
        <v>46035.35873842592</v>
      </c>
      <c r="C10183" s="1" t="n">
        <v>46086</v>
      </c>
      <c r="D10183" t="inlineStr">
        <is>
          <t>GÄVLEBORGS LÄN</t>
        </is>
      </c>
      <c r="E10183" t="inlineStr">
        <is>
          <t>LJUSDAL</t>
        </is>
      </c>
      <c r="G10183" t="n">
        <v>8.699999999999999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1238-2023</t>
        </is>
      </c>
      <c r="B10184" s="1" t="n">
        <v>44936</v>
      </c>
      <c r="C10184" s="1" t="n">
        <v>46086</v>
      </c>
      <c r="D10184" t="inlineStr">
        <is>
          <t>GÄVLEBORGS LÄN</t>
        </is>
      </c>
      <c r="E10184" t="inlineStr">
        <is>
          <t>GÄVLE</t>
        </is>
      </c>
      <c r="G10184" t="n">
        <v>4.1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1855-2026</t>
        </is>
      </c>
      <c r="B10185" s="1" t="n">
        <v>46035</v>
      </c>
      <c r="C10185" s="1" t="n">
        <v>46086</v>
      </c>
      <c r="D10185" t="inlineStr">
        <is>
          <t>GÄVLEBORGS LÄN</t>
        </is>
      </c>
      <c r="E10185" t="inlineStr">
        <is>
          <t>HUDIKSVALL</t>
        </is>
      </c>
      <c r="G10185" t="n">
        <v>15.9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1884-2026</t>
        </is>
      </c>
      <c r="B10186" s="1" t="n">
        <v>46035.48829861111</v>
      </c>
      <c r="C10186" s="1" t="n">
        <v>46086</v>
      </c>
      <c r="D10186" t="inlineStr">
        <is>
          <t>GÄVLEBORGS LÄN</t>
        </is>
      </c>
      <c r="E10186" t="inlineStr">
        <is>
          <t>OCKELBO</t>
        </is>
      </c>
      <c r="G10186" t="n">
        <v>3.4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32652-2023</t>
        </is>
      </c>
      <c r="B10187" s="1" t="n">
        <v>45121.60966435185</v>
      </c>
      <c r="C10187" s="1" t="n">
        <v>46086</v>
      </c>
      <c r="D10187" t="inlineStr">
        <is>
          <t>GÄVLEBORGS LÄN</t>
        </is>
      </c>
      <c r="E10187" t="inlineStr">
        <is>
          <t>NORDANSTIG</t>
        </is>
      </c>
      <c r="G10187" t="n">
        <v>3.3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1440-2026</t>
        </is>
      </c>
      <c r="B10188" s="1" t="n">
        <v>46032.59587962963</v>
      </c>
      <c r="C10188" s="1" t="n">
        <v>46086</v>
      </c>
      <c r="D10188" t="inlineStr">
        <is>
          <t>GÄVLEBORGS LÄN</t>
        </is>
      </c>
      <c r="E10188" t="inlineStr">
        <is>
          <t>BOLLNÄS</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1473-2026</t>
        </is>
      </c>
      <c r="B10189" s="1" t="n">
        <v>46033.80385416667</v>
      </c>
      <c r="C10189" s="1" t="n">
        <v>46086</v>
      </c>
      <c r="D10189" t="inlineStr">
        <is>
          <t>GÄVLEBORGS LÄN</t>
        </is>
      </c>
      <c r="E10189" t="inlineStr">
        <is>
          <t>OVANÅKER</t>
        </is>
      </c>
      <c r="G10189" t="n">
        <v>31.2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61487-2024</t>
        </is>
      </c>
      <c r="B10190" s="1" t="n">
        <v>45646.54785879629</v>
      </c>
      <c r="C10190" s="1" t="n">
        <v>46086</v>
      </c>
      <c r="D10190" t="inlineStr">
        <is>
          <t>GÄVLEBORGS LÄN</t>
        </is>
      </c>
      <c r="E10190" t="inlineStr">
        <is>
          <t>OVANÅKER</t>
        </is>
      </c>
      <c r="G10190" t="n">
        <v>0.2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1529-2026</t>
        </is>
      </c>
      <c r="B10191" s="1" t="n">
        <v>46034.3709837963</v>
      </c>
      <c r="C10191" s="1" t="n">
        <v>46086</v>
      </c>
      <c r="D10191" t="inlineStr">
        <is>
          <t>GÄVLEBORGS LÄN</t>
        </is>
      </c>
      <c r="E10191" t="inlineStr">
        <is>
          <t>OCKELBO</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1542-2026</t>
        </is>
      </c>
      <c r="B10192" s="1" t="n">
        <v>46034.38618055556</v>
      </c>
      <c r="C10192" s="1" t="n">
        <v>46086</v>
      </c>
      <c r="D10192" t="inlineStr">
        <is>
          <t>GÄVLEBORGS LÄN</t>
        </is>
      </c>
      <c r="E10192" t="inlineStr">
        <is>
          <t>BOLLNÄS</t>
        </is>
      </c>
      <c r="G10192" t="n">
        <v>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1556-2026</t>
        </is>
      </c>
      <c r="B10193" s="1" t="n">
        <v>46034.3890625</v>
      </c>
      <c r="C10193" s="1" t="n">
        <v>46086</v>
      </c>
      <c r="D10193" t="inlineStr">
        <is>
          <t>GÄVLEBORGS LÄN</t>
        </is>
      </c>
      <c r="E10193" t="inlineStr">
        <is>
          <t>HUDIKSVALL</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1567-2026</t>
        </is>
      </c>
      <c r="B10194" s="1" t="n">
        <v>46034.4053125</v>
      </c>
      <c r="C10194" s="1" t="n">
        <v>46086</v>
      </c>
      <c r="D10194" t="inlineStr">
        <is>
          <t>GÄVLEBORGS LÄN</t>
        </is>
      </c>
      <c r="E10194" t="inlineStr">
        <is>
          <t>BOLLNÄS</t>
        </is>
      </c>
      <c r="G10194" t="n">
        <v>3.6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1576-2026</t>
        </is>
      </c>
      <c r="B10195" s="1" t="n">
        <v>46034.42168981482</v>
      </c>
      <c r="C10195" s="1" t="n">
        <v>46086</v>
      </c>
      <c r="D10195" t="inlineStr">
        <is>
          <t>GÄVLEBORGS LÄN</t>
        </is>
      </c>
      <c r="E10195" t="inlineStr">
        <is>
          <t>SANDVIKEN</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3434-2024</t>
        </is>
      </c>
      <c r="B10196" s="1" t="n">
        <v>45320.35980324074</v>
      </c>
      <c r="C10196" s="1" t="n">
        <v>46086</v>
      </c>
      <c r="D10196" t="inlineStr">
        <is>
          <t>GÄVLEBORGS LÄN</t>
        </is>
      </c>
      <c r="E10196" t="inlineStr">
        <is>
          <t>LJUSDAL</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3748-2022</t>
        </is>
      </c>
      <c r="B10197" s="1" t="n">
        <v>44586.71274305556</v>
      </c>
      <c r="C10197" s="1" t="n">
        <v>46086</v>
      </c>
      <c r="D10197" t="inlineStr">
        <is>
          <t>GÄVLEBORGS LÄN</t>
        </is>
      </c>
      <c r="E10197" t="inlineStr">
        <is>
          <t>SANDVIKEN</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1974-2026</t>
        </is>
      </c>
      <c r="B10198" s="1" t="n">
        <v>46035.64958333333</v>
      </c>
      <c r="C10198" s="1" t="n">
        <v>46086</v>
      </c>
      <c r="D10198" t="inlineStr">
        <is>
          <t>GÄVLEBORGS LÄN</t>
        </is>
      </c>
      <c r="E10198" t="inlineStr">
        <is>
          <t>SANDVIKEN</t>
        </is>
      </c>
      <c r="G10198" t="n">
        <v>6.9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1975-2026</t>
        </is>
      </c>
      <c r="B10199" s="1" t="n">
        <v>46035</v>
      </c>
      <c r="C10199" s="1" t="n">
        <v>46086</v>
      </c>
      <c r="D10199" t="inlineStr">
        <is>
          <t>GÄVLEBORGS LÄN</t>
        </is>
      </c>
      <c r="E10199" t="inlineStr">
        <is>
          <t>NORDANSTIG</t>
        </is>
      </c>
      <c r="G10199" t="n">
        <v>2.5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1980-2026</t>
        </is>
      </c>
      <c r="B10200" s="1" t="n">
        <v>46035.65548611111</v>
      </c>
      <c r="C10200" s="1" t="n">
        <v>46086</v>
      </c>
      <c r="D10200" t="inlineStr">
        <is>
          <t>GÄVLEBORGS LÄN</t>
        </is>
      </c>
      <c r="E10200" t="inlineStr">
        <is>
          <t>SÖDERHAMN</t>
        </is>
      </c>
      <c r="G10200" t="n">
        <v>12.5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1988-2026</t>
        </is>
      </c>
      <c r="B10201" s="1" t="n">
        <v>46035.65846064815</v>
      </c>
      <c r="C10201" s="1" t="n">
        <v>46086</v>
      </c>
      <c r="D10201" t="inlineStr">
        <is>
          <t>GÄVLEBORGS LÄN</t>
        </is>
      </c>
      <c r="E10201" t="inlineStr">
        <is>
          <t>SANDVIKEN</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20477-2025</t>
        </is>
      </c>
      <c r="B10202" s="1" t="n">
        <v>45775.55076388889</v>
      </c>
      <c r="C10202" s="1" t="n">
        <v>46086</v>
      </c>
      <c r="D10202" t="inlineStr">
        <is>
          <t>GÄVLEBORGS LÄN</t>
        </is>
      </c>
      <c r="E10202" t="inlineStr">
        <is>
          <t>LJUSDAL</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2026-2026</t>
        </is>
      </c>
      <c r="B10203" s="1" t="n">
        <v>46035.72614583333</v>
      </c>
      <c r="C10203" s="1" t="n">
        <v>46086</v>
      </c>
      <c r="D10203" t="inlineStr">
        <is>
          <t>GÄVLEBORGS LÄN</t>
        </is>
      </c>
      <c r="E10203" t="inlineStr">
        <is>
          <t>SANDVIKEN</t>
        </is>
      </c>
      <c r="G10203" t="n">
        <v>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38268-2023</t>
        </is>
      </c>
      <c r="B10204" s="1" t="n">
        <v>45161.61159722223</v>
      </c>
      <c r="C10204" s="1" t="n">
        <v>46086</v>
      </c>
      <c r="D10204" t="inlineStr">
        <is>
          <t>GÄVLEBORGS LÄN</t>
        </is>
      </c>
      <c r="E10204" t="inlineStr">
        <is>
          <t>BOLLNÄS</t>
        </is>
      </c>
      <c r="G10204" t="n">
        <v>2.2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1714-2026</t>
        </is>
      </c>
      <c r="B10205" s="1" t="n">
        <v>46034.60563657407</v>
      </c>
      <c r="C10205" s="1" t="n">
        <v>46086</v>
      </c>
      <c r="D10205" t="inlineStr">
        <is>
          <t>GÄVLEBORGS LÄN</t>
        </is>
      </c>
      <c r="E10205" t="inlineStr">
        <is>
          <t>NORDANSTIG</t>
        </is>
      </c>
      <c r="G10205" t="n">
        <v>3.7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1723-2026</t>
        </is>
      </c>
      <c r="B10206" s="1" t="n">
        <v>46034</v>
      </c>
      <c r="C10206" s="1" t="n">
        <v>46086</v>
      </c>
      <c r="D10206" t="inlineStr">
        <is>
          <t>GÄVLEBORGS LÄN</t>
        </is>
      </c>
      <c r="E10206" t="inlineStr">
        <is>
          <t>OVANÅKER</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1948-2026</t>
        </is>
      </c>
      <c r="B10207" s="1" t="n">
        <v>46035.60106481481</v>
      </c>
      <c r="C10207" s="1" t="n">
        <v>46086</v>
      </c>
      <c r="D10207" t="inlineStr">
        <is>
          <t>GÄVLEBORGS LÄN</t>
        </is>
      </c>
      <c r="E10207" t="inlineStr">
        <is>
          <t>BOLLNÄS</t>
        </is>
      </c>
      <c r="G10207" t="n">
        <v>13.2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1961-2026</t>
        </is>
      </c>
      <c r="B10208" s="1" t="n">
        <v>46035.62960648148</v>
      </c>
      <c r="C10208" s="1" t="n">
        <v>46086</v>
      </c>
      <c r="D10208" t="inlineStr">
        <is>
          <t>GÄVLEBORGS LÄN</t>
        </is>
      </c>
      <c r="E10208" t="inlineStr">
        <is>
          <t>OVANÅKER</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1981-2026</t>
        </is>
      </c>
      <c r="B10209" s="1" t="n">
        <v>46035.65622685185</v>
      </c>
      <c r="C10209" s="1" t="n">
        <v>46086</v>
      </c>
      <c r="D10209" t="inlineStr">
        <is>
          <t>GÄVLEBORGS LÄN</t>
        </is>
      </c>
      <c r="E10209" t="inlineStr">
        <is>
          <t>OCKELBO</t>
        </is>
      </c>
      <c r="G10209" t="n">
        <v>3.6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10395-2026</t>
        </is>
      </c>
      <c r="B10210" s="1" t="n">
        <v>46077.3092824074</v>
      </c>
      <c r="C10210" s="1" t="n">
        <v>46086</v>
      </c>
      <c r="D10210" t="inlineStr">
        <is>
          <t>GÄVLEBORGS LÄN</t>
        </is>
      </c>
      <c r="E10210" t="inlineStr">
        <is>
          <t>BOLLNÄS</t>
        </is>
      </c>
      <c r="G10210" t="n">
        <v>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10401-2026</t>
        </is>
      </c>
      <c r="B10211" s="1" t="n">
        <v>46077.33738425926</v>
      </c>
      <c r="C10211" s="1" t="n">
        <v>46086</v>
      </c>
      <c r="D10211" t="inlineStr">
        <is>
          <t>GÄVLEBORGS LÄN</t>
        </is>
      </c>
      <c r="E10211" t="inlineStr">
        <is>
          <t>BOLLNÄS</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10402-2026</t>
        </is>
      </c>
      <c r="B10212" s="1" t="n">
        <v>46077.33850694444</v>
      </c>
      <c r="C10212" s="1" t="n">
        <v>46086</v>
      </c>
      <c r="D10212" t="inlineStr">
        <is>
          <t>GÄVLEBORGS LÄN</t>
        </is>
      </c>
      <c r="E10212" t="inlineStr">
        <is>
          <t>HUDIKSVALL</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10403-2026</t>
        </is>
      </c>
      <c r="B10213" s="1" t="n">
        <v>46077.34032407407</v>
      </c>
      <c r="C10213" s="1" t="n">
        <v>46086</v>
      </c>
      <c r="D10213" t="inlineStr">
        <is>
          <t>GÄVLEBORGS LÄN</t>
        </is>
      </c>
      <c r="E10213" t="inlineStr">
        <is>
          <t>BOLLNÄS</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2001-2026</t>
        </is>
      </c>
      <c r="B10214" s="1" t="n">
        <v>46035.68237268519</v>
      </c>
      <c r="C10214" s="1" t="n">
        <v>46086</v>
      </c>
      <c r="D10214" t="inlineStr">
        <is>
          <t>GÄVLEBORGS LÄN</t>
        </is>
      </c>
      <c r="E10214" t="inlineStr">
        <is>
          <t>SÖDERHAMN</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2065-2026</t>
        </is>
      </c>
      <c r="B10215" s="1" t="n">
        <v>46035</v>
      </c>
      <c r="C10215" s="1" t="n">
        <v>46086</v>
      </c>
      <c r="D10215" t="inlineStr">
        <is>
          <t>GÄVLEBORGS LÄN</t>
        </is>
      </c>
      <c r="E10215" t="inlineStr">
        <is>
          <t>BOLLNÄS</t>
        </is>
      </c>
      <c r="F10215" t="inlineStr">
        <is>
          <t>Bergvik skog väst AB</t>
        </is>
      </c>
      <c r="G10215" t="n">
        <v>9.699999999999999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10010-2026</t>
        </is>
      </c>
      <c r="B10216" s="1" t="n">
        <v>46073</v>
      </c>
      <c r="C10216" s="1" t="n">
        <v>46086</v>
      </c>
      <c r="D10216" t="inlineStr">
        <is>
          <t>GÄVLEBORGS LÄN</t>
        </is>
      </c>
      <c r="E10216" t="inlineStr">
        <is>
          <t>HUDIKSVALL</t>
        </is>
      </c>
      <c r="G10216" t="n">
        <v>18.2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10126-2026</t>
        </is>
      </c>
      <c r="B10217" s="1" t="n">
        <v>46075.84290509259</v>
      </c>
      <c r="C10217" s="1" t="n">
        <v>46086</v>
      </c>
      <c r="D10217" t="inlineStr">
        <is>
          <t>GÄVLEBORGS LÄN</t>
        </is>
      </c>
      <c r="E10217" t="inlineStr">
        <is>
          <t>BOLLNÄS</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10137-2026</t>
        </is>
      </c>
      <c r="B10218" s="1" t="n">
        <v>46076</v>
      </c>
      <c r="C10218" s="1" t="n">
        <v>46086</v>
      </c>
      <c r="D10218" t="inlineStr">
        <is>
          <t>GÄVLEBORGS LÄN</t>
        </is>
      </c>
      <c r="E10218" t="inlineStr">
        <is>
          <t>SÖDERHAMN</t>
        </is>
      </c>
      <c r="G10218" t="n">
        <v>2.8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10138-2026</t>
        </is>
      </c>
      <c r="B10219" s="1" t="n">
        <v>46076</v>
      </c>
      <c r="C10219" s="1" t="n">
        <v>46086</v>
      </c>
      <c r="D10219" t="inlineStr">
        <is>
          <t>GÄVLEBORGS LÄN</t>
        </is>
      </c>
      <c r="E10219" t="inlineStr">
        <is>
          <t>SÖDERHAMN</t>
        </is>
      </c>
      <c r="G10219" t="n">
        <v>5.8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10143-2026</t>
        </is>
      </c>
      <c r="B10220" s="1" t="n">
        <v>46076.34616898148</v>
      </c>
      <c r="C10220" s="1" t="n">
        <v>46086</v>
      </c>
      <c r="D10220" t="inlineStr">
        <is>
          <t>GÄVLEBORGS LÄN</t>
        </is>
      </c>
      <c r="E10220" t="inlineStr">
        <is>
          <t>HUDIKSVALL</t>
        </is>
      </c>
      <c r="G10220" t="n">
        <v>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10145-2026</t>
        </is>
      </c>
      <c r="B10221" s="1" t="n">
        <v>46076.35378472223</v>
      </c>
      <c r="C10221" s="1" t="n">
        <v>46086</v>
      </c>
      <c r="D10221" t="inlineStr">
        <is>
          <t>GÄVLEBORGS LÄN</t>
        </is>
      </c>
      <c r="E10221" t="inlineStr">
        <is>
          <t>OCKELBO</t>
        </is>
      </c>
      <c r="F10221" t="inlineStr">
        <is>
          <t>Bergvik skog öst AB</t>
        </is>
      </c>
      <c r="G10221" t="n">
        <v>10.5</v>
      </c>
      <c r="H10221" t="n">
        <v>0</v>
      </c>
      <c r="I10221" t="n">
        <v>0</v>
      </c>
      <c r="J10221" t="n">
        <v>0</v>
      </c>
      <c r="K10221" t="n">
        <v>0</v>
      </c>
      <c r="L10221" t="n">
        <v>0</v>
      </c>
      <c r="M10221" t="n">
        <v>0</v>
      </c>
      <c r="N10221" t="n">
        <v>0</v>
      </c>
      <c r="O10221" t="n">
        <v>0</v>
      </c>
      <c r="P10221" t="n">
        <v>0</v>
      </c>
      <c r="Q10221" t="n">
        <v>0</v>
      </c>
      <c r="R10221" s="2" t="inlineStr"/>
      <c r="U10221">
        <f>HYPERLINK("https://klasma.github.io/Logging_2101/knärot/A 10145-2026 karta knärot.png", "A 10145-2026")</f>
        <v/>
      </c>
      <c r="V10221">
        <f>HYPERLINK("https://klasma.github.io/Logging_2101/klagomål/A 10145-2026 FSC-klagomål.docx", "A 10145-2026")</f>
        <v/>
      </c>
      <c r="W10221">
        <f>HYPERLINK("https://klasma.github.io/Logging_2101/klagomålsmail/A 10145-2026 FSC-klagomål mail.docx", "A 10145-2026")</f>
        <v/>
      </c>
      <c r="X10221">
        <f>HYPERLINK("https://klasma.github.io/Logging_2101/tillsyn/A 10145-2026 tillsynsbegäran.docx", "A 10145-2026")</f>
        <v/>
      </c>
      <c r="Y10221">
        <f>HYPERLINK("https://klasma.github.io/Logging_2101/tillsynsmail/A 10145-2026 tillsynsbegäran mail.docx", "A 10145-2026")</f>
        <v/>
      </c>
    </row>
    <row r="10222" ht="15" customHeight="1">
      <c r="A10222" t="inlineStr">
        <is>
          <t>A 10157-2026</t>
        </is>
      </c>
      <c r="B10222" s="1" t="n">
        <v>46076.38144675926</v>
      </c>
      <c r="C10222" s="1" t="n">
        <v>46086</v>
      </c>
      <c r="D10222" t="inlineStr">
        <is>
          <t>GÄVLEBORGS LÄN</t>
        </is>
      </c>
      <c r="E10222" t="inlineStr">
        <is>
          <t>HUDIKSVALL</t>
        </is>
      </c>
      <c r="F10222" t="inlineStr">
        <is>
          <t>Holmen skog AB</t>
        </is>
      </c>
      <c r="G10222" t="n">
        <v>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10169-2026</t>
        </is>
      </c>
      <c r="B10223" s="1" t="n">
        <v>46076.41836805556</v>
      </c>
      <c r="C10223" s="1" t="n">
        <v>46086</v>
      </c>
      <c r="D10223" t="inlineStr">
        <is>
          <t>GÄVLEBORGS LÄN</t>
        </is>
      </c>
      <c r="E10223" t="inlineStr">
        <is>
          <t>GÄVLE</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10184-2026</t>
        </is>
      </c>
      <c r="B10224" s="1" t="n">
        <v>46076.43865740741</v>
      </c>
      <c r="C10224" s="1" t="n">
        <v>46086</v>
      </c>
      <c r="D10224" t="inlineStr">
        <is>
          <t>GÄVLEBORGS LÄN</t>
        </is>
      </c>
      <c r="E10224" t="inlineStr">
        <is>
          <t>OCKELBO</t>
        </is>
      </c>
      <c r="F10224" t="inlineStr">
        <is>
          <t>Bergvik skog väst AB</t>
        </is>
      </c>
      <c r="G10224" t="n">
        <v>2.9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32201-2022</t>
        </is>
      </c>
      <c r="B10225" s="1" t="n">
        <v>44781</v>
      </c>
      <c r="C10225" s="1" t="n">
        <v>46086</v>
      </c>
      <c r="D10225" t="inlineStr">
        <is>
          <t>GÄVLEBORGS LÄN</t>
        </is>
      </c>
      <c r="E10225" t="inlineStr">
        <is>
          <t>HUDIKSVALL</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8105-2026</t>
        </is>
      </c>
      <c r="B10226" s="1" t="n">
        <v>46059</v>
      </c>
      <c r="C10226" s="1" t="n">
        <v>46086</v>
      </c>
      <c r="D10226" t="inlineStr">
        <is>
          <t>GÄVLEBORGS LÄN</t>
        </is>
      </c>
      <c r="E10226" t="inlineStr">
        <is>
          <t>OVANÅKER</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10455-2026</t>
        </is>
      </c>
      <c r="B10227" s="1" t="n">
        <v>46077.4502199074</v>
      </c>
      <c r="C10227" s="1" t="n">
        <v>46086</v>
      </c>
      <c r="D10227" t="inlineStr">
        <is>
          <t>GÄVLEBORGS LÄN</t>
        </is>
      </c>
      <c r="E10227" t="inlineStr">
        <is>
          <t>BOLLNÄS</t>
        </is>
      </c>
      <c r="G10227" t="n">
        <v>3.2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6721-2026</t>
        </is>
      </c>
      <c r="B10228" s="1" t="n">
        <v>46056</v>
      </c>
      <c r="C10228" s="1" t="n">
        <v>46086</v>
      </c>
      <c r="D10228" t="inlineStr">
        <is>
          <t>GÄVLEBORGS LÄN</t>
        </is>
      </c>
      <c r="E10228" t="inlineStr">
        <is>
          <t>HUDIKSVALL</t>
        </is>
      </c>
      <c r="G10228" t="n">
        <v>0.3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1886-2026</t>
        </is>
      </c>
      <c r="B10229" s="1" t="n">
        <v>46035.48950231481</v>
      </c>
      <c r="C10229" s="1" t="n">
        <v>46086</v>
      </c>
      <c r="D10229" t="inlineStr">
        <is>
          <t>GÄVLEBORGS LÄN</t>
        </is>
      </c>
      <c r="E10229" t="inlineStr">
        <is>
          <t>HUDIKSVALL</t>
        </is>
      </c>
      <c r="G10229" t="n">
        <v>5.6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21561-2022</t>
        </is>
      </c>
      <c r="B10230" s="1" t="n">
        <v>44706</v>
      </c>
      <c r="C10230" s="1" t="n">
        <v>46086</v>
      </c>
      <c r="D10230" t="inlineStr">
        <is>
          <t>GÄVLEBORGS LÄN</t>
        </is>
      </c>
      <c r="E10230" t="inlineStr">
        <is>
          <t>HUDIKSVALL</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10152-2026</t>
        </is>
      </c>
      <c r="B10231" s="1" t="n">
        <v>46076.36435185185</v>
      </c>
      <c r="C10231" s="1" t="n">
        <v>46086</v>
      </c>
      <c r="D10231" t="inlineStr">
        <is>
          <t>GÄVLEBORGS LÄN</t>
        </is>
      </c>
      <c r="E10231" t="inlineStr">
        <is>
          <t>HUDIKSVALL</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10159-2026</t>
        </is>
      </c>
      <c r="B10232" s="1" t="n">
        <v>46076.38834490741</v>
      </c>
      <c r="C10232" s="1" t="n">
        <v>46086</v>
      </c>
      <c r="D10232" t="inlineStr">
        <is>
          <t>GÄVLEBORGS LÄN</t>
        </is>
      </c>
      <c r="E10232" t="inlineStr">
        <is>
          <t>OCKELBO</t>
        </is>
      </c>
      <c r="F10232" t="inlineStr">
        <is>
          <t>Bergvik skog väst AB</t>
        </is>
      </c>
      <c r="G10232" t="n">
        <v>12.1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10610-2026</t>
        </is>
      </c>
      <c r="B10233" s="1" t="n">
        <v>46077.81421296296</v>
      </c>
      <c r="C10233" s="1" t="n">
        <v>46086</v>
      </c>
      <c r="D10233" t="inlineStr">
        <is>
          <t>GÄVLEBORGS LÄN</t>
        </is>
      </c>
      <c r="E10233" t="inlineStr">
        <is>
          <t>BOLLNÄS</t>
        </is>
      </c>
      <c r="G10233" t="n">
        <v>2.5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10612-2026</t>
        </is>
      </c>
      <c r="B10234" s="1" t="n">
        <v>46077.83755787037</v>
      </c>
      <c r="C10234" s="1" t="n">
        <v>46086</v>
      </c>
      <c r="D10234" t="inlineStr">
        <is>
          <t>GÄVLEBORGS LÄN</t>
        </is>
      </c>
      <c r="E10234" t="inlineStr">
        <is>
          <t>BOLLNÄS</t>
        </is>
      </c>
      <c r="G10234" t="n">
        <v>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7064-2026</t>
        </is>
      </c>
      <c r="B10235" s="1" t="n">
        <v>46058</v>
      </c>
      <c r="C10235" s="1" t="n">
        <v>46086</v>
      </c>
      <c r="D10235" t="inlineStr">
        <is>
          <t>GÄVLEBORGS LÄN</t>
        </is>
      </c>
      <c r="E10235" t="inlineStr">
        <is>
          <t>OVANÅKER</t>
        </is>
      </c>
      <c r="G10235" t="n">
        <v>3.3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1829-2026</t>
        </is>
      </c>
      <c r="B10236" s="1" t="n">
        <v>46035.37715277778</v>
      </c>
      <c r="C10236" s="1" t="n">
        <v>46086</v>
      </c>
      <c r="D10236" t="inlineStr">
        <is>
          <t>GÄVLEBORGS LÄN</t>
        </is>
      </c>
      <c r="E10236" t="inlineStr">
        <is>
          <t>NORDANSTIG</t>
        </is>
      </c>
      <c r="G10236" t="n">
        <v>15.6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8424-2026</t>
        </is>
      </c>
      <c r="B10237" s="1" t="n">
        <v>46065</v>
      </c>
      <c r="C10237" s="1" t="n">
        <v>46086</v>
      </c>
      <c r="D10237" t="inlineStr">
        <is>
          <t>GÄVLEBORGS LÄN</t>
        </is>
      </c>
      <c r="E10237" t="inlineStr">
        <is>
          <t>OCKELBO</t>
        </is>
      </c>
      <c r="F10237" t="inlineStr">
        <is>
          <t>Bergvik skog väst AB</t>
        </is>
      </c>
      <c r="G10237" t="n">
        <v>18.5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1500-2026</t>
        </is>
      </c>
      <c r="B10238" s="1" t="n">
        <v>46034.33462962963</v>
      </c>
      <c r="C10238" s="1" t="n">
        <v>46086</v>
      </c>
      <c r="D10238" t="inlineStr">
        <is>
          <t>GÄVLEBORGS LÄN</t>
        </is>
      </c>
      <c r="E10238" t="inlineStr">
        <is>
          <t>BOLLNÄS</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1535-2026</t>
        </is>
      </c>
      <c r="B10239" s="1" t="n">
        <v>46034.37938657407</v>
      </c>
      <c r="C10239" s="1" t="n">
        <v>46086</v>
      </c>
      <c r="D10239" t="inlineStr">
        <is>
          <t>GÄVLEBORGS LÄN</t>
        </is>
      </c>
      <c r="E10239" t="inlineStr">
        <is>
          <t>BOLLNÄS</t>
        </is>
      </c>
      <c r="G10239" t="n">
        <v>3.2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54908-2025</t>
        </is>
      </c>
      <c r="B10240" s="1" t="n">
        <v>45967</v>
      </c>
      <c r="C10240" s="1" t="n">
        <v>46086</v>
      </c>
      <c r="D10240" t="inlineStr">
        <is>
          <t>GÄVLEBORGS LÄN</t>
        </is>
      </c>
      <c r="E10240" t="inlineStr">
        <is>
          <t>BOLLNÄS</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1555-2026</t>
        </is>
      </c>
      <c r="B10241" s="1" t="n">
        <v>46034</v>
      </c>
      <c r="C10241" s="1" t="n">
        <v>46086</v>
      </c>
      <c r="D10241" t="inlineStr">
        <is>
          <t>GÄVLEBORGS LÄN</t>
        </is>
      </c>
      <c r="E10241" t="inlineStr">
        <is>
          <t>BOLLNÄS</t>
        </is>
      </c>
      <c r="G10241" t="n">
        <v>4.9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10461-2026</t>
        </is>
      </c>
      <c r="B10242" s="1" t="n">
        <v>46077.4600462963</v>
      </c>
      <c r="C10242" s="1" t="n">
        <v>46086</v>
      </c>
      <c r="D10242" t="inlineStr">
        <is>
          <t>GÄVLEBORGS LÄN</t>
        </is>
      </c>
      <c r="E10242" t="inlineStr">
        <is>
          <t>BOLLNÄS</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10483-2026</t>
        </is>
      </c>
      <c r="B10243" s="1" t="n">
        <v>46077.51069444444</v>
      </c>
      <c r="C10243" s="1" t="n">
        <v>46086</v>
      </c>
      <c r="D10243" t="inlineStr">
        <is>
          <t>GÄVLEBORGS LÄN</t>
        </is>
      </c>
      <c r="E10243" t="inlineStr">
        <is>
          <t>SÖDERHAMN</t>
        </is>
      </c>
      <c r="F10243" t="inlineStr">
        <is>
          <t>Kyrkan</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10489-2026</t>
        </is>
      </c>
      <c r="B10244" s="1" t="n">
        <v>46077.52480324074</v>
      </c>
      <c r="C10244" s="1" t="n">
        <v>46086</v>
      </c>
      <c r="D10244" t="inlineStr">
        <is>
          <t>GÄVLEBORGS LÄN</t>
        </is>
      </c>
      <c r="E10244" t="inlineStr">
        <is>
          <t>OCKELBO</t>
        </is>
      </c>
      <c r="F10244" t="inlineStr">
        <is>
          <t>Bergvik skog väst AB</t>
        </is>
      </c>
      <c r="G10244" t="n">
        <v>4.5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52961-2024</t>
        </is>
      </c>
      <c r="B10245" s="1" t="n">
        <v>45611.30515046296</v>
      </c>
      <c r="C10245" s="1" t="n">
        <v>46086</v>
      </c>
      <c r="D10245" t="inlineStr">
        <is>
          <t>GÄVLEBORGS LÄN</t>
        </is>
      </c>
      <c r="E10245" t="inlineStr">
        <is>
          <t>OVANÅKER</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52962-2024</t>
        </is>
      </c>
      <c r="B10246" s="1" t="n">
        <v>45611.30649305556</v>
      </c>
      <c r="C10246" s="1" t="n">
        <v>46086</v>
      </c>
      <c r="D10246" t="inlineStr">
        <is>
          <t>GÄVLEBORGS LÄN</t>
        </is>
      </c>
      <c r="E10246" t="inlineStr">
        <is>
          <t>HUDIKSVALL</t>
        </is>
      </c>
      <c r="G10246" t="n">
        <v>5.3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10504-2026</t>
        </is>
      </c>
      <c r="B10247" s="1" t="n">
        <v>46077.55472222222</v>
      </c>
      <c r="C10247" s="1" t="n">
        <v>46086</v>
      </c>
      <c r="D10247" t="inlineStr">
        <is>
          <t>GÄVLEBORGS LÄN</t>
        </is>
      </c>
      <c r="E10247" t="inlineStr">
        <is>
          <t>GÄVLE</t>
        </is>
      </c>
      <c r="F10247" t="inlineStr">
        <is>
          <t>Bergvik skog öst AB</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10299-2026</t>
        </is>
      </c>
      <c r="B10248" s="1" t="n">
        <v>46076.62835648148</v>
      </c>
      <c r="C10248" s="1" t="n">
        <v>46086</v>
      </c>
      <c r="D10248" t="inlineStr">
        <is>
          <t>GÄVLEBORGS LÄN</t>
        </is>
      </c>
      <c r="E10248" t="inlineStr">
        <is>
          <t>BOLLNÄS</t>
        </is>
      </c>
      <c r="G10248" t="n">
        <v>8.9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10308-2026</t>
        </is>
      </c>
      <c r="B10249" s="1" t="n">
        <v>46076.64280092593</v>
      </c>
      <c r="C10249" s="1" t="n">
        <v>46086</v>
      </c>
      <c r="D10249" t="inlineStr">
        <is>
          <t>GÄVLEBORGS LÄN</t>
        </is>
      </c>
      <c r="E10249" t="inlineStr">
        <is>
          <t>HUDIKSVALL</t>
        </is>
      </c>
      <c r="F10249" t="inlineStr">
        <is>
          <t>Sveaskog</t>
        </is>
      </c>
      <c r="G10249" t="n">
        <v>5.4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10309-2026</t>
        </is>
      </c>
      <c r="B10250" s="1" t="n">
        <v>46076.64421296296</v>
      </c>
      <c r="C10250" s="1" t="n">
        <v>46086</v>
      </c>
      <c r="D10250" t="inlineStr">
        <is>
          <t>GÄVLEBORGS LÄN</t>
        </is>
      </c>
      <c r="E10250" t="inlineStr">
        <is>
          <t>OCKELBO</t>
        </is>
      </c>
      <c r="F10250" t="inlineStr">
        <is>
          <t>Bergvik skog öst AB</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52986-2024</t>
        </is>
      </c>
      <c r="B10251" s="1" t="n">
        <v>45611.35953703704</v>
      </c>
      <c r="C10251" s="1" t="n">
        <v>46086</v>
      </c>
      <c r="D10251" t="inlineStr">
        <is>
          <t>GÄVLEBORGS LÄN</t>
        </is>
      </c>
      <c r="E10251" t="inlineStr">
        <is>
          <t>HUDIKSVALL</t>
        </is>
      </c>
      <c r="G10251" t="n">
        <v>3.8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10505-2026</t>
        </is>
      </c>
      <c r="B10252" s="1" t="n">
        <v>46077.55842592593</v>
      </c>
      <c r="C10252" s="1" t="n">
        <v>46086</v>
      </c>
      <c r="D10252" t="inlineStr">
        <is>
          <t>GÄVLEBORGS LÄN</t>
        </is>
      </c>
      <c r="E10252" t="inlineStr">
        <is>
          <t>BOLLNÄS</t>
        </is>
      </c>
      <c r="G10252" t="n">
        <v>2</v>
      </c>
      <c r="H10252" t="n">
        <v>0</v>
      </c>
      <c r="I10252" t="n">
        <v>0</v>
      </c>
      <c r="J10252" t="n">
        <v>0</v>
      </c>
      <c r="K10252" t="n">
        <v>0</v>
      </c>
      <c r="L10252" t="n">
        <v>0</v>
      </c>
      <c r="M10252" t="n">
        <v>0</v>
      </c>
      <c r="N10252" t="n">
        <v>0</v>
      </c>
      <c r="O10252" t="n">
        <v>0</v>
      </c>
      <c r="P10252" t="n">
        <v>0</v>
      </c>
      <c r="Q10252" t="n">
        <v>0</v>
      </c>
      <c r="R10252" s="2" t="inlineStr"/>
      <c r="U10252">
        <f>HYPERLINK("https://klasma.github.io/Logging_2183/knärot/A 10505-2026 karta knärot.png", "A 10505-2026")</f>
        <v/>
      </c>
      <c r="V10252">
        <f>HYPERLINK("https://klasma.github.io/Logging_2183/klagomål/A 10505-2026 FSC-klagomål.docx", "A 10505-2026")</f>
        <v/>
      </c>
      <c r="W10252">
        <f>HYPERLINK("https://klasma.github.io/Logging_2183/klagomålsmail/A 10505-2026 FSC-klagomål mail.docx", "A 10505-2026")</f>
        <v/>
      </c>
      <c r="X10252">
        <f>HYPERLINK("https://klasma.github.io/Logging_2183/tillsyn/A 10505-2026 tillsynsbegäran.docx", "A 10505-2026")</f>
        <v/>
      </c>
      <c r="Y10252">
        <f>HYPERLINK("https://klasma.github.io/Logging_2183/tillsynsmail/A 10505-2026 tillsynsbegäran mail.docx", "A 10505-2026")</f>
        <v/>
      </c>
    </row>
    <row r="10253" ht="15" customHeight="1">
      <c r="A10253" t="inlineStr">
        <is>
          <t>A 10508-2026</t>
        </is>
      </c>
      <c r="B10253" s="1" t="n">
        <v>46077.5600462963</v>
      </c>
      <c r="C10253" s="1" t="n">
        <v>46086</v>
      </c>
      <c r="D10253" t="inlineStr">
        <is>
          <t>GÄVLEBORGS LÄN</t>
        </is>
      </c>
      <c r="E10253" t="inlineStr">
        <is>
          <t>OCKELBO</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10378-2026</t>
        </is>
      </c>
      <c r="B10254" s="1" t="n">
        <v>46076.81626157407</v>
      </c>
      <c r="C10254" s="1" t="n">
        <v>46086</v>
      </c>
      <c r="D10254" t="inlineStr">
        <is>
          <t>GÄVLEBORGS LÄN</t>
        </is>
      </c>
      <c r="E10254" t="inlineStr">
        <is>
          <t>HUDIKSVALL</t>
        </is>
      </c>
      <c r="F10254" t="inlineStr">
        <is>
          <t>Holmen skog AB</t>
        </is>
      </c>
      <c r="G10254" t="n">
        <v>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10534-2026</t>
        </is>
      </c>
      <c r="B10255" s="1" t="n">
        <v>46077.59267361111</v>
      </c>
      <c r="C10255" s="1" t="n">
        <v>46086</v>
      </c>
      <c r="D10255" t="inlineStr">
        <is>
          <t>GÄVLEBORGS LÄN</t>
        </is>
      </c>
      <c r="E10255" t="inlineStr">
        <is>
          <t>HUDIKSVALL</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10542-2026</t>
        </is>
      </c>
      <c r="B10256" s="1" t="n">
        <v>46077.6087962963</v>
      </c>
      <c r="C10256" s="1" t="n">
        <v>46086</v>
      </c>
      <c r="D10256" t="inlineStr">
        <is>
          <t>GÄVLEBORGS LÄN</t>
        </is>
      </c>
      <c r="E10256" t="inlineStr">
        <is>
          <t>OVANÅKER</t>
        </is>
      </c>
      <c r="G10256" t="n">
        <v>4.2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10557-2026</t>
        </is>
      </c>
      <c r="B10257" s="1" t="n">
        <v>46077.636875</v>
      </c>
      <c r="C10257" s="1" t="n">
        <v>46086</v>
      </c>
      <c r="D10257" t="inlineStr">
        <is>
          <t>GÄVLEBORGS LÄN</t>
        </is>
      </c>
      <c r="E10257" t="inlineStr">
        <is>
          <t>OVANÅKER</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7490-2026</t>
        </is>
      </c>
      <c r="B10258" s="1" t="n">
        <v>46059.53604166667</v>
      </c>
      <c r="C10258" s="1" t="n">
        <v>46086</v>
      </c>
      <c r="D10258" t="inlineStr">
        <is>
          <t>GÄVLEBORGS LÄN</t>
        </is>
      </c>
      <c r="E10258" t="inlineStr">
        <is>
          <t>OVANÅKER</t>
        </is>
      </c>
      <c r="F10258" t="inlineStr">
        <is>
          <t>Sveaskog</t>
        </is>
      </c>
      <c r="G10258" t="n">
        <v>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7566-2026</t>
        </is>
      </c>
      <c r="B10259" s="1" t="n">
        <v>46060</v>
      </c>
      <c r="C10259" s="1" t="n">
        <v>46086</v>
      </c>
      <c r="D10259" t="inlineStr">
        <is>
          <t>GÄVLEBORGS LÄN</t>
        </is>
      </c>
      <c r="E10259" t="inlineStr">
        <is>
          <t>BOLLNÄS</t>
        </is>
      </c>
      <c r="G10259" t="n">
        <v>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48755-2024</t>
        </is>
      </c>
      <c r="B10260" s="1" t="n">
        <v>45593.59631944444</v>
      </c>
      <c r="C10260" s="1" t="n">
        <v>46086</v>
      </c>
      <c r="D10260" t="inlineStr">
        <is>
          <t>GÄVLEBORGS LÄN</t>
        </is>
      </c>
      <c r="E10260" t="inlineStr">
        <is>
          <t>OVANÅKER</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30792-2024</t>
        </is>
      </c>
      <c r="B10261" s="1" t="n">
        <v>45497.28164351852</v>
      </c>
      <c r="C10261" s="1" t="n">
        <v>46086</v>
      </c>
      <c r="D10261" t="inlineStr">
        <is>
          <t>GÄVLEBORGS LÄN</t>
        </is>
      </c>
      <c r="E10261" t="inlineStr">
        <is>
          <t>BOLLNÄS</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30793-2024</t>
        </is>
      </c>
      <c r="B10262" s="1" t="n">
        <v>45497.28234953704</v>
      </c>
      <c r="C10262" s="1" t="n">
        <v>46086</v>
      </c>
      <c r="D10262" t="inlineStr">
        <is>
          <t>GÄVLEBORGS LÄN</t>
        </is>
      </c>
      <c r="E10262" t="inlineStr">
        <is>
          <t>BOLLNÄS</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7706-2026</t>
        </is>
      </c>
      <c r="B10263" s="1" t="n">
        <v>46062</v>
      </c>
      <c r="C10263" s="1" t="n">
        <v>46086</v>
      </c>
      <c r="D10263" t="inlineStr">
        <is>
          <t>GÄVLEBORGS LÄN</t>
        </is>
      </c>
      <c r="E10263" t="inlineStr">
        <is>
          <t>BOLLNÄS</t>
        </is>
      </c>
      <c r="F10263" t="inlineStr">
        <is>
          <t>Bergvik skog väst AB</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58911-2023</t>
        </is>
      </c>
      <c r="B10264" s="1" t="n">
        <v>45250</v>
      </c>
      <c r="C10264" s="1" t="n">
        <v>46086</v>
      </c>
      <c r="D10264" t="inlineStr">
        <is>
          <t>GÄVLEBORGS LÄN</t>
        </is>
      </c>
      <c r="E10264" t="inlineStr">
        <is>
          <t>SANDVIKEN</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22164-2023</t>
        </is>
      </c>
      <c r="B10265" s="1" t="n">
        <v>45069</v>
      </c>
      <c r="C10265" s="1" t="n">
        <v>46086</v>
      </c>
      <c r="D10265" t="inlineStr">
        <is>
          <t>GÄVLEBORGS LÄN</t>
        </is>
      </c>
      <c r="E10265" t="inlineStr">
        <is>
          <t>SÖDERHAMN</t>
        </is>
      </c>
      <c r="G10265" t="n">
        <v>9.1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1602-2026</t>
        </is>
      </c>
      <c r="B10266" s="1" t="n">
        <v>46034.45868055556</v>
      </c>
      <c r="C10266" s="1" t="n">
        <v>46086</v>
      </c>
      <c r="D10266" t="inlineStr">
        <is>
          <t>GÄVLEBORGS LÄN</t>
        </is>
      </c>
      <c r="E10266" t="inlineStr">
        <is>
          <t>OVANÅKER</t>
        </is>
      </c>
      <c r="G10266" t="n">
        <v>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1616-2026</t>
        </is>
      </c>
      <c r="B10267" s="1" t="n">
        <v>46034.47168981482</v>
      </c>
      <c r="C10267" s="1" t="n">
        <v>46086</v>
      </c>
      <c r="D10267" t="inlineStr">
        <is>
          <t>GÄVLEBORGS LÄN</t>
        </is>
      </c>
      <c r="E10267" t="inlineStr">
        <is>
          <t>OVANÅKER</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1617-2026</t>
        </is>
      </c>
      <c r="B10268" s="1" t="n">
        <v>46034.47313657407</v>
      </c>
      <c r="C10268" s="1" t="n">
        <v>46086</v>
      </c>
      <c r="D10268" t="inlineStr">
        <is>
          <t>GÄVLEBORGS LÄN</t>
        </is>
      </c>
      <c r="E10268" t="inlineStr">
        <is>
          <t>BOLLNÄS</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1619-2026</t>
        </is>
      </c>
      <c r="B10269" s="1" t="n">
        <v>46034.47486111111</v>
      </c>
      <c r="C10269" s="1" t="n">
        <v>46086</v>
      </c>
      <c r="D10269" t="inlineStr">
        <is>
          <t>GÄVLEBORGS LÄN</t>
        </is>
      </c>
      <c r="E10269" t="inlineStr">
        <is>
          <t>OVANÅKER</t>
        </is>
      </c>
      <c r="G10269" t="n">
        <v>2.7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6330-2026</t>
        </is>
      </c>
      <c r="B10270" s="1" t="n">
        <v>46055</v>
      </c>
      <c r="C10270" s="1" t="n">
        <v>46086</v>
      </c>
      <c r="D10270" t="inlineStr">
        <is>
          <t>GÄVLEBORGS LÄN</t>
        </is>
      </c>
      <c r="E10270" t="inlineStr">
        <is>
          <t>BOLLNÄS</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7956-2026</t>
        </is>
      </c>
      <c r="B10271" s="1" t="n">
        <v>46063</v>
      </c>
      <c r="C10271" s="1" t="n">
        <v>46086</v>
      </c>
      <c r="D10271" t="inlineStr">
        <is>
          <t>GÄVLEBORGS LÄN</t>
        </is>
      </c>
      <c r="E10271" t="inlineStr">
        <is>
          <t>BOLLNÄS</t>
        </is>
      </c>
      <c r="F10271" t="inlineStr">
        <is>
          <t>Bergvik skog väst AB</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10176-2026</t>
        </is>
      </c>
      <c r="B10272" s="1" t="n">
        <v>46076.42652777778</v>
      </c>
      <c r="C10272" s="1" t="n">
        <v>46086</v>
      </c>
      <c r="D10272" t="inlineStr">
        <is>
          <t>GÄVLEBORGS LÄN</t>
        </is>
      </c>
      <c r="E10272" t="inlineStr">
        <is>
          <t>SANDVIKEN</t>
        </is>
      </c>
      <c r="F10272" t="inlineStr">
        <is>
          <t>Kommuner</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59729-2023</t>
        </is>
      </c>
      <c r="B10273" s="1" t="n">
        <v>45257.36038194445</v>
      </c>
      <c r="C10273" s="1" t="n">
        <v>46086</v>
      </c>
      <c r="D10273" t="inlineStr">
        <is>
          <t>GÄVLEBORGS LÄN</t>
        </is>
      </c>
      <c r="E10273" t="inlineStr">
        <is>
          <t>OVANÅKER</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11346-2025</t>
        </is>
      </c>
      <c r="B10274" s="1" t="n">
        <v>45726.50033564815</v>
      </c>
      <c r="C10274" s="1" t="n">
        <v>46086</v>
      </c>
      <c r="D10274" t="inlineStr">
        <is>
          <t>GÄVLEBORGS LÄN</t>
        </is>
      </c>
      <c r="E10274" t="inlineStr">
        <is>
          <t>GÄVLE</t>
        </is>
      </c>
      <c r="F10274" t="inlineStr">
        <is>
          <t>Bergvik skog öst AB</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10120-2026</t>
        </is>
      </c>
      <c r="B10275" s="1" t="n">
        <v>46075</v>
      </c>
      <c r="C10275" s="1" t="n">
        <v>46086</v>
      </c>
      <c r="D10275" t="inlineStr">
        <is>
          <t>GÄVLEBORGS LÄN</t>
        </is>
      </c>
      <c r="E10275" t="inlineStr">
        <is>
          <t>BOLLNÄS</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10154-2026</t>
        </is>
      </c>
      <c r="B10276" s="1" t="n">
        <v>46076.37024305556</v>
      </c>
      <c r="C10276" s="1" t="n">
        <v>46086</v>
      </c>
      <c r="D10276" t="inlineStr">
        <is>
          <t>GÄVLEBORGS LÄN</t>
        </is>
      </c>
      <c r="E10276" t="inlineStr">
        <is>
          <t>BOLLNÄS</t>
        </is>
      </c>
      <c r="F10276" t="inlineStr">
        <is>
          <t>Bergvik skog väst AB</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1587-2026</t>
        </is>
      </c>
      <c r="B10277" s="1" t="n">
        <v>46034</v>
      </c>
      <c r="C10277" s="1" t="n">
        <v>46086</v>
      </c>
      <c r="D10277" t="inlineStr">
        <is>
          <t>GÄVLEBORGS LÄN</t>
        </is>
      </c>
      <c r="E10277" t="inlineStr">
        <is>
          <t>BOLLNÄS</t>
        </is>
      </c>
      <c r="G10277" t="n">
        <v>11.8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1595-2026</t>
        </is>
      </c>
      <c r="B10278" s="1" t="n">
        <v>46034.45</v>
      </c>
      <c r="C10278" s="1" t="n">
        <v>46086</v>
      </c>
      <c r="D10278" t="inlineStr">
        <is>
          <t>GÄVLEBORGS LÄN</t>
        </is>
      </c>
      <c r="E10278" t="inlineStr">
        <is>
          <t>HUDIKSVALL</t>
        </is>
      </c>
      <c r="G10278" t="n">
        <v>2.5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1618-2026</t>
        </is>
      </c>
      <c r="B10279" s="1" t="n">
        <v>46034</v>
      </c>
      <c r="C10279" s="1" t="n">
        <v>46086</v>
      </c>
      <c r="D10279" t="inlineStr">
        <is>
          <t>GÄVLEBORGS LÄN</t>
        </is>
      </c>
      <c r="E10279" t="inlineStr">
        <is>
          <t>BOLLNÄS</t>
        </is>
      </c>
      <c r="G10279" t="n">
        <v>20.6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10447-2026</t>
        </is>
      </c>
      <c r="B10280" s="1" t="n">
        <v>46077.43527777777</v>
      </c>
      <c r="C10280" s="1" t="n">
        <v>46086</v>
      </c>
      <c r="D10280" t="inlineStr">
        <is>
          <t>GÄVLEBORGS LÄN</t>
        </is>
      </c>
      <c r="E10280" t="inlineStr">
        <is>
          <t>BOLLNÄS</t>
        </is>
      </c>
      <c r="F10280" t="inlineStr">
        <is>
          <t>Bergvik skog väst AB</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10457-2026</t>
        </is>
      </c>
      <c r="B10281" s="1" t="n">
        <v>46077.45247685185</v>
      </c>
      <c r="C10281" s="1" t="n">
        <v>46086</v>
      </c>
      <c r="D10281" t="inlineStr">
        <is>
          <t>GÄVLEBORGS LÄN</t>
        </is>
      </c>
      <c r="E10281" t="inlineStr">
        <is>
          <t>OCKELBO</t>
        </is>
      </c>
      <c r="F10281" t="inlineStr">
        <is>
          <t>Bergvik skog öst AB</t>
        </is>
      </c>
      <c r="G10281" t="n">
        <v>6.5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10471-2026</t>
        </is>
      </c>
      <c r="B10282" s="1" t="n">
        <v>46077.47336805556</v>
      </c>
      <c r="C10282" s="1" t="n">
        <v>46086</v>
      </c>
      <c r="D10282" t="inlineStr">
        <is>
          <t>GÄVLEBORGS LÄN</t>
        </is>
      </c>
      <c r="E10282" t="inlineStr">
        <is>
          <t>BOLLNÄS</t>
        </is>
      </c>
      <c r="G10282" t="n">
        <v>30.9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10474-2026</t>
        </is>
      </c>
      <c r="B10283" s="1" t="n">
        <v>46077.48261574074</v>
      </c>
      <c r="C10283" s="1" t="n">
        <v>46086</v>
      </c>
      <c r="D10283" t="inlineStr">
        <is>
          <t>GÄVLEBORGS LÄN</t>
        </is>
      </c>
      <c r="E10283" t="inlineStr">
        <is>
          <t>OVANÅKER</t>
        </is>
      </c>
      <c r="G10283" t="n">
        <v>3.4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26396-2024</t>
        </is>
      </c>
      <c r="B10284" s="1" t="n">
        <v>45469.43953703704</v>
      </c>
      <c r="C10284" s="1" t="n">
        <v>46086</v>
      </c>
      <c r="D10284" t="inlineStr">
        <is>
          <t>GÄVLEBORGS LÄN</t>
        </is>
      </c>
      <c r="E10284" t="inlineStr">
        <is>
          <t>HUDIKSVALL</t>
        </is>
      </c>
      <c r="F10284" t="inlineStr">
        <is>
          <t>Holmen skog AB</t>
        </is>
      </c>
      <c r="G10284" t="n">
        <v>8.6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10493-2026</t>
        </is>
      </c>
      <c r="B10285" s="1" t="n">
        <v>46077.5284837963</v>
      </c>
      <c r="C10285" s="1" t="n">
        <v>46086</v>
      </c>
      <c r="D10285" t="inlineStr">
        <is>
          <t>GÄVLEBORGS LÄN</t>
        </is>
      </c>
      <c r="E10285" t="inlineStr">
        <is>
          <t>OCKELBO</t>
        </is>
      </c>
      <c r="F10285" t="inlineStr">
        <is>
          <t>Bergvik skog väst AB</t>
        </is>
      </c>
      <c r="G10285" t="n">
        <v>4.5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10519-2026</t>
        </is>
      </c>
      <c r="B10286" s="1" t="n">
        <v>46077.57608796296</v>
      </c>
      <c r="C10286" s="1" t="n">
        <v>46086</v>
      </c>
      <c r="D10286" t="inlineStr">
        <is>
          <t>GÄVLEBORGS LÄN</t>
        </is>
      </c>
      <c r="E10286" t="inlineStr">
        <is>
          <t>OVANÅKER</t>
        </is>
      </c>
      <c r="F10286" t="inlineStr">
        <is>
          <t>Bergvik skog öst AB</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10532-2026</t>
        </is>
      </c>
      <c r="B10287" s="1" t="n">
        <v>46077</v>
      </c>
      <c r="C10287" s="1" t="n">
        <v>46086</v>
      </c>
      <c r="D10287" t="inlineStr">
        <is>
          <t>GÄVLEBORGS LÄN</t>
        </is>
      </c>
      <c r="E10287" t="inlineStr">
        <is>
          <t>OVANÅKER</t>
        </is>
      </c>
      <c r="G10287" t="n">
        <v>13.6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34464-2021</t>
        </is>
      </c>
      <c r="B10288" s="1" t="n">
        <v>44381</v>
      </c>
      <c r="C10288" s="1" t="n">
        <v>46086</v>
      </c>
      <c r="D10288" t="inlineStr">
        <is>
          <t>GÄVLEBORGS LÄN</t>
        </is>
      </c>
      <c r="E10288" t="inlineStr">
        <is>
          <t>BOLLNÄS</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1794-2026</t>
        </is>
      </c>
      <c r="B10289" s="1" t="n">
        <v>46034</v>
      </c>
      <c r="C10289" s="1" t="n">
        <v>46086</v>
      </c>
      <c r="D10289" t="inlineStr">
        <is>
          <t>GÄVLEBORGS LÄN</t>
        </is>
      </c>
      <c r="E10289" t="inlineStr">
        <is>
          <t>SANDVIKEN</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167-2026</t>
        </is>
      </c>
      <c r="B10290" s="1" t="n">
        <v>46024</v>
      </c>
      <c r="C10290" s="1" t="n">
        <v>46086</v>
      </c>
      <c r="D10290" t="inlineStr">
        <is>
          <t>GÄVLEBORGS LÄN</t>
        </is>
      </c>
      <c r="E10290" t="inlineStr">
        <is>
          <t>SÖDERHAMN</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1439-2026</t>
        </is>
      </c>
      <c r="B10291" s="1" t="n">
        <v>46032.58144675926</v>
      </c>
      <c r="C10291" s="1" t="n">
        <v>46086</v>
      </c>
      <c r="D10291" t="inlineStr">
        <is>
          <t>GÄVLEBORGS LÄN</t>
        </is>
      </c>
      <c r="E10291" t="inlineStr">
        <is>
          <t>BOLLNÄS</t>
        </is>
      </c>
      <c r="G10291" t="n">
        <v>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2348-2024</t>
        </is>
      </c>
      <c r="B10292" s="1" t="n">
        <v>45310.5827662037</v>
      </c>
      <c r="C10292" s="1" t="n">
        <v>46086</v>
      </c>
      <c r="D10292" t="inlineStr">
        <is>
          <t>GÄVLEBORGS LÄN</t>
        </is>
      </c>
      <c r="E10292" t="inlineStr">
        <is>
          <t>BOLLNÄS</t>
        </is>
      </c>
      <c r="G10292" t="n">
        <v>0.4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1434-2026</t>
        </is>
      </c>
      <c r="B10293" s="1" t="n">
        <v>46032.46388888889</v>
      </c>
      <c r="C10293" s="1" t="n">
        <v>46086</v>
      </c>
      <c r="D10293" t="inlineStr">
        <is>
          <t>GÄVLEBORGS LÄN</t>
        </is>
      </c>
      <c r="E10293" t="inlineStr">
        <is>
          <t>GÄVLE</t>
        </is>
      </c>
      <c r="G10293" t="n">
        <v>3.5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1471-2026</t>
        </is>
      </c>
      <c r="B10294" s="1" t="n">
        <v>46033.7853587963</v>
      </c>
      <c r="C10294" s="1" t="n">
        <v>46086</v>
      </c>
      <c r="D10294" t="inlineStr">
        <is>
          <t>GÄVLEBORGS LÄN</t>
        </is>
      </c>
      <c r="E10294" t="inlineStr">
        <is>
          <t>OVANÅKER</t>
        </is>
      </c>
      <c r="G10294" t="n">
        <v>5.9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1506-2026</t>
        </is>
      </c>
      <c r="B10295" s="1" t="n">
        <v>46034.33929398148</v>
      </c>
      <c r="C10295" s="1" t="n">
        <v>46086</v>
      </c>
      <c r="D10295" t="inlineStr">
        <is>
          <t>GÄVLEBORGS LÄN</t>
        </is>
      </c>
      <c r="E10295" t="inlineStr">
        <is>
          <t>BOLLNÄS</t>
        </is>
      </c>
      <c r="G10295" t="n">
        <v>7.5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1515-2026</t>
        </is>
      </c>
      <c r="B10296" s="1" t="n">
        <v>46034</v>
      </c>
      <c r="C10296" s="1" t="n">
        <v>46086</v>
      </c>
      <c r="D10296" t="inlineStr">
        <is>
          <t>GÄVLEBORGS LÄN</t>
        </is>
      </c>
      <c r="E10296" t="inlineStr">
        <is>
          <t>BOLLNÄS</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2457-2024</t>
        </is>
      </c>
      <c r="B10297" s="1" t="n">
        <v>45312.89391203703</v>
      </c>
      <c r="C10297" s="1" t="n">
        <v>46086</v>
      </c>
      <c r="D10297" t="inlineStr">
        <is>
          <t>GÄVLEBORGS LÄN</t>
        </is>
      </c>
      <c r="E10297" t="inlineStr">
        <is>
          <t>GÄVLE</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1528-2026</t>
        </is>
      </c>
      <c r="B10298" s="1" t="n">
        <v>46034</v>
      </c>
      <c r="C10298" s="1" t="n">
        <v>46086</v>
      </c>
      <c r="D10298" t="inlineStr">
        <is>
          <t>GÄVLEBORGS LÄN</t>
        </is>
      </c>
      <c r="E10298" t="inlineStr">
        <is>
          <t>SÖDERHAMN</t>
        </is>
      </c>
      <c r="G10298" t="n">
        <v>12.8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8440-2026</t>
        </is>
      </c>
      <c r="B10299" s="1" t="n">
        <v>46065</v>
      </c>
      <c r="C10299" s="1" t="n">
        <v>46086</v>
      </c>
      <c r="D10299" t="inlineStr">
        <is>
          <t>GÄVLEBORGS LÄN</t>
        </is>
      </c>
      <c r="E10299" t="inlineStr">
        <is>
          <t>HUDIKSVALL</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8459-2026</t>
        </is>
      </c>
      <c r="B10300" s="1" t="n">
        <v>46065</v>
      </c>
      <c r="C10300" s="1" t="n">
        <v>46086</v>
      </c>
      <c r="D10300" t="inlineStr">
        <is>
          <t>GÄVLEBORGS LÄN</t>
        </is>
      </c>
      <c r="E10300" t="inlineStr">
        <is>
          <t>BOLLNÄS</t>
        </is>
      </c>
      <c r="F10300" t="inlineStr">
        <is>
          <t>Bergvik skog väst AB</t>
        </is>
      </c>
      <c r="G10300" t="n">
        <v>3.4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62420-2022</t>
        </is>
      </c>
      <c r="B10301" s="1" t="n">
        <v>44924</v>
      </c>
      <c r="C10301" s="1" t="n">
        <v>46086</v>
      </c>
      <c r="D10301" t="inlineStr">
        <is>
          <t>GÄVLEBORGS LÄN</t>
        </is>
      </c>
      <c r="E10301" t="inlineStr">
        <is>
          <t>LJUSDAL</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7693-2024</t>
        </is>
      </c>
      <c r="B10302" s="1" t="n">
        <v>45349.29034722222</v>
      </c>
      <c r="C10302" s="1" t="n">
        <v>46086</v>
      </c>
      <c r="D10302" t="inlineStr">
        <is>
          <t>GÄVLEBORGS LÄN</t>
        </is>
      </c>
      <c r="E10302" t="inlineStr">
        <is>
          <t>OVANÅKER</t>
        </is>
      </c>
      <c r="G10302" t="n">
        <v>4.5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10125-2026</t>
        </is>
      </c>
      <c r="B10303" s="1" t="n">
        <v>46075.83510416667</v>
      </c>
      <c r="C10303" s="1" t="n">
        <v>46086</v>
      </c>
      <c r="D10303" t="inlineStr">
        <is>
          <t>GÄVLEBORGS LÄN</t>
        </is>
      </c>
      <c r="E10303" t="inlineStr">
        <is>
          <t>BOLLNÄS</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29881-2024</t>
        </is>
      </c>
      <c r="B10304" s="1" t="n">
        <v>45486.76454861111</v>
      </c>
      <c r="C10304" s="1" t="n">
        <v>46086</v>
      </c>
      <c r="D10304" t="inlineStr">
        <is>
          <t>GÄVLEBORGS LÄN</t>
        </is>
      </c>
      <c r="E10304" t="inlineStr">
        <is>
          <t>BOLLNÄS</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9582-2026</t>
        </is>
      </c>
      <c r="B10305" s="1" t="n">
        <v>46071</v>
      </c>
      <c r="C10305" s="1" t="n">
        <v>46086</v>
      </c>
      <c r="D10305" t="inlineStr">
        <is>
          <t>GÄVLEBORGS LÄN</t>
        </is>
      </c>
      <c r="E10305" t="inlineStr">
        <is>
          <t>HUDIKSVALL</t>
        </is>
      </c>
      <c r="G10305" t="n">
        <v>6.2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9591-2026</t>
        </is>
      </c>
      <c r="B10306" s="1" t="n">
        <v>46071</v>
      </c>
      <c r="C10306" s="1" t="n">
        <v>46086</v>
      </c>
      <c r="D10306" t="inlineStr">
        <is>
          <t>GÄVLEBORGS LÄN</t>
        </is>
      </c>
      <c r="E10306" t="inlineStr">
        <is>
          <t>NORDANSTIG</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9771-2026</t>
        </is>
      </c>
      <c r="B10307" s="1" t="n">
        <v>46072</v>
      </c>
      <c r="C10307" s="1" t="n">
        <v>46086</v>
      </c>
      <c r="D10307" t="inlineStr">
        <is>
          <t>GÄVLEBORGS LÄN</t>
        </is>
      </c>
      <c r="E10307" t="inlineStr">
        <is>
          <t>OVANÅKER</t>
        </is>
      </c>
      <c r="G10307" t="n">
        <v>5.4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10421-2026</t>
        </is>
      </c>
      <c r="B10308" s="1" t="n">
        <v>46077.36199074074</v>
      </c>
      <c r="C10308" s="1" t="n">
        <v>46086</v>
      </c>
      <c r="D10308" t="inlineStr">
        <is>
          <t>GÄVLEBORGS LÄN</t>
        </is>
      </c>
      <c r="E10308" t="inlineStr">
        <is>
          <t>HUDIKSVALL</t>
        </is>
      </c>
      <c r="F10308" t="inlineStr">
        <is>
          <t>Kommuner</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10228-2026</t>
        </is>
      </c>
      <c r="B10309" s="1" t="n">
        <v>46076.52788194444</v>
      </c>
      <c r="C10309" s="1" t="n">
        <v>46086</v>
      </c>
      <c r="D10309" t="inlineStr">
        <is>
          <t>GÄVLEBORGS LÄN</t>
        </is>
      </c>
      <c r="E10309" t="inlineStr">
        <is>
          <t>BOLLNÄS</t>
        </is>
      </c>
      <c r="G10309" t="n">
        <v>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10259-2026</t>
        </is>
      </c>
      <c r="B10310" s="1" t="n">
        <v>46076.56886574074</v>
      </c>
      <c r="C10310" s="1" t="n">
        <v>46086</v>
      </c>
      <c r="D10310" t="inlineStr">
        <is>
          <t>GÄVLEBORGS LÄN</t>
        </is>
      </c>
      <c r="E10310" t="inlineStr">
        <is>
          <t>BOLLNÄS</t>
        </is>
      </c>
      <c r="G10310" t="n">
        <v>5.4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10164-2026</t>
        </is>
      </c>
      <c r="B10311" s="1" t="n">
        <v>46076.40204861111</v>
      </c>
      <c r="C10311" s="1" t="n">
        <v>46086</v>
      </c>
      <c r="D10311" t="inlineStr">
        <is>
          <t>GÄVLEBORGS LÄN</t>
        </is>
      </c>
      <c r="E10311" t="inlineStr">
        <is>
          <t>GÄVLE</t>
        </is>
      </c>
      <c r="F10311" t="inlineStr">
        <is>
          <t>Bergvik skog väst AB</t>
        </is>
      </c>
      <c r="G10311" t="n">
        <v>4.8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10186-2026</t>
        </is>
      </c>
      <c r="B10312" s="1" t="n">
        <v>46076.44581018519</v>
      </c>
      <c r="C10312" s="1" t="n">
        <v>46086</v>
      </c>
      <c r="D10312" t="inlineStr">
        <is>
          <t>GÄVLEBORGS LÄN</t>
        </is>
      </c>
      <c r="E10312" t="inlineStr">
        <is>
          <t>BOLLNÄS</t>
        </is>
      </c>
      <c r="G10312" t="n">
        <v>20.8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10199-2026</t>
        </is>
      </c>
      <c r="B10313" s="1" t="n">
        <v>46076</v>
      </c>
      <c r="C10313" s="1" t="n">
        <v>46086</v>
      </c>
      <c r="D10313" t="inlineStr">
        <is>
          <t>GÄVLEBORGS LÄN</t>
        </is>
      </c>
      <c r="E10313" t="inlineStr">
        <is>
          <t>NORDANSTIG</t>
        </is>
      </c>
      <c r="G10313" t="n">
        <v>4.5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58610-2023</t>
        </is>
      </c>
      <c r="B10314" s="1" t="n">
        <v>45251.49936342592</v>
      </c>
      <c r="C10314" s="1" t="n">
        <v>46086</v>
      </c>
      <c r="D10314" t="inlineStr">
        <is>
          <t>GÄVLEBORGS LÄN</t>
        </is>
      </c>
      <c r="E10314" t="inlineStr">
        <is>
          <t>SÖDERHAMN</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58626-2023</t>
        </is>
      </c>
      <c r="B10315" s="1" t="n">
        <v>45251.55770833333</v>
      </c>
      <c r="C10315" s="1" t="n">
        <v>46086</v>
      </c>
      <c r="D10315" t="inlineStr">
        <is>
          <t>GÄVLEBORGS LÄN</t>
        </is>
      </c>
      <c r="E10315" t="inlineStr">
        <is>
          <t>LJUSDAL</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9965-2026</t>
        </is>
      </c>
      <c r="B10316" s="1" t="n">
        <v>46073</v>
      </c>
      <c r="C10316" s="1" t="n">
        <v>46086</v>
      </c>
      <c r="D10316" t="inlineStr">
        <is>
          <t>GÄVLEBORGS LÄN</t>
        </is>
      </c>
      <c r="E10316" t="inlineStr">
        <is>
          <t>BOLLNÄS</t>
        </is>
      </c>
      <c r="G10316" t="n">
        <v>17.2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6657-2026</t>
        </is>
      </c>
      <c r="B10317" s="1" t="n">
        <v>46056</v>
      </c>
      <c r="C10317" s="1" t="n">
        <v>46086</v>
      </c>
      <c r="D10317" t="inlineStr">
        <is>
          <t>GÄVLEBORGS LÄN</t>
        </is>
      </c>
      <c r="E10317" t="inlineStr">
        <is>
          <t>OVANÅKER</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7300-2026</t>
        </is>
      </c>
      <c r="B10318" s="1" t="n">
        <v>46058.64820601852</v>
      </c>
      <c r="C10318" s="1" t="n">
        <v>46086</v>
      </c>
      <c r="D10318" t="inlineStr">
        <is>
          <t>GÄVLEBORGS LÄN</t>
        </is>
      </c>
      <c r="E10318" t="inlineStr">
        <is>
          <t>LJUSDAL</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7373-2026</t>
        </is>
      </c>
      <c r="B10319" s="1" t="n">
        <v>46059</v>
      </c>
      <c r="C10319" s="1" t="n">
        <v>46086</v>
      </c>
      <c r="D10319" t="inlineStr">
        <is>
          <t>GÄVLEBORGS LÄN</t>
        </is>
      </c>
      <c r="E10319" t="inlineStr">
        <is>
          <t>BOLLNÄS</t>
        </is>
      </c>
      <c r="F10319" t="inlineStr">
        <is>
          <t>Bergvik skog väst AB</t>
        </is>
      </c>
      <c r="G10319" t="n">
        <v>2.1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7988-2026</t>
        </is>
      </c>
      <c r="B10320" s="1" t="n">
        <v>46063.49247685185</v>
      </c>
      <c r="C10320" s="1" t="n">
        <v>46086</v>
      </c>
      <c r="D10320" t="inlineStr">
        <is>
          <t>GÄVLEBORGS LÄN</t>
        </is>
      </c>
      <c r="E10320" t="inlineStr">
        <is>
          <t>HUDIKSVALL</t>
        </is>
      </c>
      <c r="F10320" t="inlineStr">
        <is>
          <t>Sveaskog</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7913-2026</t>
        </is>
      </c>
      <c r="B10321" s="1" t="n">
        <v>46063</v>
      </c>
      <c r="C10321" s="1" t="n">
        <v>46086</v>
      </c>
      <c r="D10321" t="inlineStr">
        <is>
          <t>GÄVLEBORGS LÄN</t>
        </is>
      </c>
      <c r="E10321" t="inlineStr">
        <is>
          <t>BOLLNÄS</t>
        </is>
      </c>
      <c r="F10321" t="inlineStr">
        <is>
          <t>Bergvik skog väst AB</t>
        </is>
      </c>
      <c r="G10321" t="n">
        <v>8.800000000000001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10464-2026</t>
        </is>
      </c>
      <c r="B10322" s="1" t="n">
        <v>46077.46685185185</v>
      </c>
      <c r="C10322" s="1" t="n">
        <v>46086</v>
      </c>
      <c r="D10322" t="inlineStr">
        <is>
          <t>GÄVLEBORGS LÄN</t>
        </is>
      </c>
      <c r="E10322" t="inlineStr">
        <is>
          <t>BOLLNÄS</t>
        </is>
      </c>
      <c r="G10322" t="n">
        <v>3.7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52339-2024</t>
        </is>
      </c>
      <c r="B10323" s="1" t="n">
        <v>45609.33740740741</v>
      </c>
      <c r="C10323" s="1" t="n">
        <v>46086</v>
      </c>
      <c r="D10323" t="inlineStr">
        <is>
          <t>GÄVLEBORGS LÄN</t>
        </is>
      </c>
      <c r="E10323" t="inlineStr">
        <is>
          <t>LJUSDAL</t>
        </is>
      </c>
      <c r="G10323" t="n">
        <v>5.1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63956-2025</t>
        </is>
      </c>
      <c r="B10324" s="1" t="n">
        <v>46020</v>
      </c>
      <c r="C10324" s="1" t="n">
        <v>46086</v>
      </c>
      <c r="D10324" t="inlineStr">
        <is>
          <t>GÄVLEBORGS LÄN</t>
        </is>
      </c>
      <c r="E10324" t="inlineStr">
        <is>
          <t>BOLLNÄS</t>
        </is>
      </c>
      <c r="G10324" t="n">
        <v>5.8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1865-2026</t>
        </is>
      </c>
      <c r="B10325" s="1" t="n">
        <v>46035.44954861111</v>
      </c>
      <c r="C10325" s="1" t="n">
        <v>46086</v>
      </c>
      <c r="D10325" t="inlineStr">
        <is>
          <t>GÄVLEBORGS LÄN</t>
        </is>
      </c>
      <c r="E10325" t="inlineStr">
        <is>
          <t>OCKELBO</t>
        </is>
      </c>
      <c r="G10325" t="n">
        <v>4.7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1876-2026</t>
        </is>
      </c>
      <c r="B10326" s="1" t="n">
        <v>46035</v>
      </c>
      <c r="C10326" s="1" t="n">
        <v>46086</v>
      </c>
      <c r="D10326" t="inlineStr">
        <is>
          <t>GÄVLEBORGS LÄN</t>
        </is>
      </c>
      <c r="E10326" t="inlineStr">
        <is>
          <t>OVANÅKER</t>
        </is>
      </c>
      <c r="G10326" t="n">
        <v>20.5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9403-2026</t>
        </is>
      </c>
      <c r="B10327" s="1" t="n">
        <v>46071</v>
      </c>
      <c r="C10327" s="1" t="n">
        <v>46086</v>
      </c>
      <c r="D10327" t="inlineStr">
        <is>
          <t>GÄVLEBORGS LÄN</t>
        </is>
      </c>
      <c r="E10327" t="inlineStr">
        <is>
          <t>BOLLNÄS</t>
        </is>
      </c>
      <c r="F10327" t="inlineStr">
        <is>
          <t>Bergvik skog väst AB</t>
        </is>
      </c>
      <c r="G10327" t="n">
        <v>10.6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10129-2026</t>
        </is>
      </c>
      <c r="B10328" s="1" t="n">
        <v>46075.86543981481</v>
      </c>
      <c r="C10328" s="1" t="n">
        <v>46086</v>
      </c>
      <c r="D10328" t="inlineStr">
        <is>
          <t>GÄVLEBORGS LÄN</t>
        </is>
      </c>
      <c r="E10328" t="inlineStr">
        <is>
          <t>BOLLNÄS</t>
        </is>
      </c>
      <c r="G10328" t="n">
        <v>5.5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10167-2026</t>
        </is>
      </c>
      <c r="B10329" s="1" t="n">
        <v>46076.41307870371</v>
      </c>
      <c r="C10329" s="1" t="n">
        <v>46086</v>
      </c>
      <c r="D10329" t="inlineStr">
        <is>
          <t>GÄVLEBORGS LÄN</t>
        </is>
      </c>
      <c r="E10329" t="inlineStr">
        <is>
          <t>SÖDERHAMN</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10198-2026</t>
        </is>
      </c>
      <c r="B10330" s="1" t="n">
        <v>46076.4709375</v>
      </c>
      <c r="C10330" s="1" t="n">
        <v>46086</v>
      </c>
      <c r="D10330" t="inlineStr">
        <is>
          <t>GÄVLEBORGS LÄN</t>
        </is>
      </c>
      <c r="E10330" t="inlineStr">
        <is>
          <t>BOLLNÄS</t>
        </is>
      </c>
      <c r="G10330" t="n">
        <v>15.9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8104-2026</t>
        </is>
      </c>
      <c r="B10331" s="1" t="n">
        <v>46059</v>
      </c>
      <c r="C10331" s="1" t="n">
        <v>46086</v>
      </c>
      <c r="D10331" t="inlineStr">
        <is>
          <t>GÄVLEBORGS LÄN</t>
        </is>
      </c>
      <c r="E10331" t="inlineStr">
        <is>
          <t>OVANÅKER</t>
        </is>
      </c>
      <c r="G10331" t="n">
        <v>2.6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8129-2026</t>
        </is>
      </c>
      <c r="B10332" s="1" t="n">
        <v>46064</v>
      </c>
      <c r="C10332" s="1" t="n">
        <v>46086</v>
      </c>
      <c r="D10332" t="inlineStr">
        <is>
          <t>GÄVLEBORGS LÄN</t>
        </is>
      </c>
      <c r="E10332" t="inlineStr">
        <is>
          <t>BOLLNÄS</t>
        </is>
      </c>
      <c r="F10332" t="inlineStr">
        <is>
          <t>Bergvik skog väst AB</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8863-2026</t>
        </is>
      </c>
      <c r="B10333" s="1" t="n">
        <v>46066</v>
      </c>
      <c r="C10333" s="1" t="n">
        <v>46086</v>
      </c>
      <c r="D10333" t="inlineStr">
        <is>
          <t>GÄVLEBORGS LÄN</t>
        </is>
      </c>
      <c r="E10333" t="inlineStr">
        <is>
          <t>OCKELBO</t>
        </is>
      </c>
      <c r="F10333" t="inlineStr">
        <is>
          <t>Bergvik skog väst AB</t>
        </is>
      </c>
      <c r="G10333" t="n">
        <v>19.5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32123-2024</t>
        </is>
      </c>
      <c r="B10334" s="1" t="n">
        <v>45511.46820601852</v>
      </c>
      <c r="C10334" s="1" t="n">
        <v>46086</v>
      </c>
      <c r="D10334" t="inlineStr">
        <is>
          <t>GÄVLEBORGS LÄN</t>
        </is>
      </c>
      <c r="E10334" t="inlineStr">
        <is>
          <t>OCKELBO</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1774-2026</t>
        </is>
      </c>
      <c r="B10335" s="1" t="n">
        <v>46034</v>
      </c>
      <c r="C10335" s="1" t="n">
        <v>46086</v>
      </c>
      <c r="D10335" t="inlineStr">
        <is>
          <t>GÄVLEBORGS LÄN</t>
        </is>
      </c>
      <c r="E10335" t="inlineStr">
        <is>
          <t>HUDIKSVALL</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46217-2024</t>
        </is>
      </c>
      <c r="B10336" s="1" t="n">
        <v>45581.56543981482</v>
      </c>
      <c r="C10336" s="1" t="n">
        <v>46086</v>
      </c>
      <c r="D10336" t="inlineStr">
        <is>
          <t>GÄVLEBORGS LÄN</t>
        </is>
      </c>
      <c r="E10336" t="inlineStr">
        <is>
          <t>GÄVLE</t>
        </is>
      </c>
      <c r="F10336" t="inlineStr">
        <is>
          <t>Bergvik skog väst AB</t>
        </is>
      </c>
      <c r="G10336" t="n">
        <v>15.2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9391-2026</t>
        </is>
      </c>
      <c r="B10337" s="1" t="n">
        <v>46071</v>
      </c>
      <c r="C10337" s="1" t="n">
        <v>46086</v>
      </c>
      <c r="D10337" t="inlineStr">
        <is>
          <t>GÄVLEBORGS LÄN</t>
        </is>
      </c>
      <c r="E10337" t="inlineStr">
        <is>
          <t>OVANÅKER</t>
        </is>
      </c>
      <c r="G10337" t="n">
        <v>2.7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1492-2026</t>
        </is>
      </c>
      <c r="B10338" s="1" t="n">
        <v>46034.30918981481</v>
      </c>
      <c r="C10338" s="1" t="n">
        <v>46086</v>
      </c>
      <c r="D10338" t="inlineStr">
        <is>
          <t>GÄVLEBORGS LÄN</t>
        </is>
      </c>
      <c r="E10338" t="inlineStr">
        <is>
          <t>BOLLNÄS</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10521-2026</t>
        </is>
      </c>
      <c r="B10339" s="1" t="n">
        <v>46077.58010416666</v>
      </c>
      <c r="C10339" s="1" t="n">
        <v>46086</v>
      </c>
      <c r="D10339" t="inlineStr">
        <is>
          <t>GÄVLEBORGS LÄN</t>
        </is>
      </c>
      <c r="E10339" t="inlineStr">
        <is>
          <t>GÄVLE</t>
        </is>
      </c>
      <c r="F10339" t="inlineStr">
        <is>
          <t>Bergvik skog öst AB</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8047-2026</t>
        </is>
      </c>
      <c r="B10340" s="1" t="n">
        <v>46063</v>
      </c>
      <c r="C10340" s="1" t="n">
        <v>46086</v>
      </c>
      <c r="D10340" t="inlineStr">
        <is>
          <t>GÄVLEBORGS LÄN</t>
        </is>
      </c>
      <c r="E10340" t="inlineStr">
        <is>
          <t>HUDIKSVALL</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8906-2026</t>
        </is>
      </c>
      <c r="B10341" s="1" t="n">
        <v>46069</v>
      </c>
      <c r="C10341" s="1" t="n">
        <v>46086</v>
      </c>
      <c r="D10341" t="inlineStr">
        <is>
          <t>GÄVLEBORGS LÄN</t>
        </is>
      </c>
      <c r="E10341" t="inlineStr">
        <is>
          <t>BOLLNÄS</t>
        </is>
      </c>
      <c r="G10341" t="n">
        <v>9.300000000000001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9586-2026</t>
        </is>
      </c>
      <c r="B10342" s="1" t="n">
        <v>46071</v>
      </c>
      <c r="C10342" s="1" t="n">
        <v>46086</v>
      </c>
      <c r="D10342" t="inlineStr">
        <is>
          <t>GÄVLEBORGS LÄN</t>
        </is>
      </c>
      <c r="E10342" t="inlineStr">
        <is>
          <t>HUDIKSVALL</t>
        </is>
      </c>
      <c r="G10342" t="n">
        <v>3.9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10487-2026</t>
        </is>
      </c>
      <c r="B10343" s="1" t="n">
        <v>46077.51802083333</v>
      </c>
      <c r="C10343" s="1" t="n">
        <v>46086</v>
      </c>
      <c r="D10343" t="inlineStr">
        <is>
          <t>GÄVLEBORGS LÄN</t>
        </is>
      </c>
      <c r="E10343" t="inlineStr">
        <is>
          <t>GÄVLE</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10528-2026</t>
        </is>
      </c>
      <c r="B10344" s="1" t="n">
        <v>46077.58460648148</v>
      </c>
      <c r="C10344" s="1" t="n">
        <v>46086</v>
      </c>
      <c r="D10344" t="inlineStr">
        <is>
          <t>GÄVLEBORGS LÄN</t>
        </is>
      </c>
      <c r="E10344" t="inlineStr">
        <is>
          <t>BOLLNÄS</t>
        </is>
      </c>
      <c r="F10344" t="inlineStr">
        <is>
          <t>Bergvik skog väst AB</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10530-2026</t>
        </is>
      </c>
      <c r="B10345" s="1" t="n">
        <v>46077</v>
      </c>
      <c r="C10345" s="1" t="n">
        <v>46086</v>
      </c>
      <c r="D10345" t="inlineStr">
        <is>
          <t>GÄVLEBORGS LÄN</t>
        </is>
      </c>
      <c r="E10345" t="inlineStr">
        <is>
          <t>OVANÅKER</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40140-2022</t>
        </is>
      </c>
      <c r="B10346" s="1" t="n">
        <v>44820</v>
      </c>
      <c r="C10346" s="1" t="n">
        <v>46086</v>
      </c>
      <c r="D10346" t="inlineStr">
        <is>
          <t>GÄVLEBORGS LÄN</t>
        </is>
      </c>
      <c r="E10346" t="inlineStr">
        <is>
          <t>OCKELBO</t>
        </is>
      </c>
      <c r="F10346" t="inlineStr">
        <is>
          <t>Bergvik skog väst AB</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6752-2026</t>
        </is>
      </c>
      <c r="B10347" s="1" t="n">
        <v>46056</v>
      </c>
      <c r="C10347" s="1" t="n">
        <v>46086</v>
      </c>
      <c r="D10347" t="inlineStr">
        <is>
          <t>GÄVLEBORGS LÄN</t>
        </is>
      </c>
      <c r="E10347" t="inlineStr">
        <is>
          <t>OVANÅKER</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1976-2026</t>
        </is>
      </c>
      <c r="B10348" s="1" t="n">
        <v>46035</v>
      </c>
      <c r="C10348" s="1" t="n">
        <v>46086</v>
      </c>
      <c r="D10348" t="inlineStr">
        <is>
          <t>GÄVLEBORGS LÄN</t>
        </is>
      </c>
      <c r="E10348" t="inlineStr">
        <is>
          <t>OVANÅKER</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1984-2026</t>
        </is>
      </c>
      <c r="B10349" s="1" t="n">
        <v>46035.65653935185</v>
      </c>
      <c r="C10349" s="1" t="n">
        <v>46086</v>
      </c>
      <c r="D10349" t="inlineStr">
        <is>
          <t>GÄVLEBORGS LÄN</t>
        </is>
      </c>
      <c r="E10349" t="inlineStr">
        <is>
          <t>OCKELBO</t>
        </is>
      </c>
      <c r="G10349" t="n">
        <v>2.8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2003-2026</t>
        </is>
      </c>
      <c r="B10350" s="1" t="n">
        <v>46035.68834490741</v>
      </c>
      <c r="C10350" s="1" t="n">
        <v>46086</v>
      </c>
      <c r="D10350" t="inlineStr">
        <is>
          <t>GÄVLEBORGS LÄN</t>
        </is>
      </c>
      <c r="E10350" t="inlineStr">
        <is>
          <t>SANDVIKEN</t>
        </is>
      </c>
      <c r="G10350" t="n">
        <v>3.7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2012-2026</t>
        </is>
      </c>
      <c r="B10351" s="1" t="n">
        <v>46035</v>
      </c>
      <c r="C10351" s="1" t="n">
        <v>46086</v>
      </c>
      <c r="D10351" t="inlineStr">
        <is>
          <t>GÄVLEBORGS LÄN</t>
        </is>
      </c>
      <c r="E10351" t="inlineStr">
        <is>
          <t>SANDVIKEN</t>
        </is>
      </c>
      <c r="G10351" t="n">
        <v>2.6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8339-2026</t>
        </is>
      </c>
      <c r="B10352" s="1" t="n">
        <v>46064</v>
      </c>
      <c r="C10352" s="1" t="n">
        <v>46086</v>
      </c>
      <c r="D10352" t="inlineStr">
        <is>
          <t>GÄVLEBORGS LÄN</t>
        </is>
      </c>
      <c r="E10352" t="inlineStr">
        <is>
          <t>HUDIKSVALL</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8426-2026</t>
        </is>
      </c>
      <c r="B10353" s="1" t="n">
        <v>46065</v>
      </c>
      <c r="C10353" s="1" t="n">
        <v>46086</v>
      </c>
      <c r="D10353" t="inlineStr">
        <is>
          <t>GÄVLEBORGS LÄN</t>
        </is>
      </c>
      <c r="E10353" t="inlineStr">
        <is>
          <t>OCKELBO</t>
        </is>
      </c>
      <c r="F10353" t="inlineStr">
        <is>
          <t>Bergvik skog väst AB</t>
        </is>
      </c>
      <c r="G10353" t="n">
        <v>3.8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9022-2026</t>
        </is>
      </c>
      <c r="B10354" s="1" t="n">
        <v>46069</v>
      </c>
      <c r="C10354" s="1" t="n">
        <v>46086</v>
      </c>
      <c r="D10354" t="inlineStr">
        <is>
          <t>GÄVLEBORGS LÄN</t>
        </is>
      </c>
      <c r="E10354" t="inlineStr">
        <is>
          <t>BOLLNÄS</t>
        </is>
      </c>
      <c r="F10354" t="inlineStr">
        <is>
          <t>Bergvik skog väst AB</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8031-2026</t>
        </is>
      </c>
      <c r="B10355" s="1" t="n">
        <v>46063</v>
      </c>
      <c r="C10355" s="1" t="n">
        <v>46086</v>
      </c>
      <c r="D10355" t="inlineStr">
        <is>
          <t>GÄVLEBORGS LÄN</t>
        </is>
      </c>
      <c r="E10355" t="inlineStr">
        <is>
          <t>BOLLNÄS</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8041-2026</t>
        </is>
      </c>
      <c r="B10356" s="1" t="n">
        <v>46063</v>
      </c>
      <c r="C10356" s="1" t="n">
        <v>46086</v>
      </c>
      <c r="D10356" t="inlineStr">
        <is>
          <t>GÄVLEBORGS LÄN</t>
        </is>
      </c>
      <c r="E10356" t="inlineStr">
        <is>
          <t>HUDIKSVALL</t>
        </is>
      </c>
      <c r="G10356" t="n">
        <v>5.2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8053-2026</t>
        </is>
      </c>
      <c r="B10357" s="1" t="n">
        <v>46063</v>
      </c>
      <c r="C10357" s="1" t="n">
        <v>46086</v>
      </c>
      <c r="D10357" t="inlineStr">
        <is>
          <t>GÄVLEBORGS LÄN</t>
        </is>
      </c>
      <c r="E10357" t="inlineStr">
        <is>
          <t>BOLLNÄS</t>
        </is>
      </c>
      <c r="F10357" t="inlineStr">
        <is>
          <t>Bergvik skog väst AB</t>
        </is>
      </c>
      <c r="G10357" t="n">
        <v>3.2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9321-2026</t>
        </is>
      </c>
      <c r="B10358" s="1" t="n">
        <v>46070</v>
      </c>
      <c r="C10358" s="1" t="n">
        <v>46086</v>
      </c>
      <c r="D10358" t="inlineStr">
        <is>
          <t>GÄVLEBORGS LÄN</t>
        </is>
      </c>
      <c r="E10358" t="inlineStr">
        <is>
          <t>HUDIKSVALL</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9004-2026</t>
        </is>
      </c>
      <c r="B10359" s="1" t="n">
        <v>46069</v>
      </c>
      <c r="C10359" s="1" t="n">
        <v>46086</v>
      </c>
      <c r="D10359" t="inlineStr">
        <is>
          <t>GÄVLEBORGS LÄN</t>
        </is>
      </c>
      <c r="E10359" t="inlineStr">
        <is>
          <t>BOLLNÄS</t>
        </is>
      </c>
      <c r="F10359" t="inlineStr">
        <is>
          <t>Bergvik skog väst AB</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1469-2026</t>
        </is>
      </c>
      <c r="B10360" s="1" t="n">
        <v>46033</v>
      </c>
      <c r="C10360" s="1" t="n">
        <v>46086</v>
      </c>
      <c r="D10360" t="inlineStr">
        <is>
          <t>GÄVLEBORGS LÄN</t>
        </is>
      </c>
      <c r="E10360" t="inlineStr">
        <is>
          <t>NORDANSTIG</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1502-2026</t>
        </is>
      </c>
      <c r="B10361" s="1" t="n">
        <v>46034.33591435185</v>
      </c>
      <c r="C10361" s="1" t="n">
        <v>46086</v>
      </c>
      <c r="D10361" t="inlineStr">
        <is>
          <t>GÄVLEBORGS LÄN</t>
        </is>
      </c>
      <c r="E10361" t="inlineStr">
        <is>
          <t>BOLLNÄS</t>
        </is>
      </c>
      <c r="G10361" t="n">
        <v>0.3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38883-2022</t>
        </is>
      </c>
      <c r="B10362" s="1" t="n">
        <v>44816.56690972222</v>
      </c>
      <c r="C10362" s="1" t="n">
        <v>46086</v>
      </c>
      <c r="D10362" t="inlineStr">
        <is>
          <t>GÄVLEBORGS LÄN</t>
        </is>
      </c>
      <c r="E10362" t="inlineStr">
        <is>
          <t>BOLLNÄS</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1514-2026</t>
        </is>
      </c>
      <c r="B10363" s="1" t="n">
        <v>46034.34784722222</v>
      </c>
      <c r="C10363" s="1" t="n">
        <v>46086</v>
      </c>
      <c r="D10363" t="inlineStr">
        <is>
          <t>GÄVLEBORGS LÄN</t>
        </is>
      </c>
      <c r="E10363" t="inlineStr">
        <is>
          <t>HUDIKSVALL</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1606-2026</t>
        </is>
      </c>
      <c r="B10364" s="1" t="n">
        <v>46034</v>
      </c>
      <c r="C10364" s="1" t="n">
        <v>46086</v>
      </c>
      <c r="D10364" t="inlineStr">
        <is>
          <t>GÄVLEBORGS LÄN</t>
        </is>
      </c>
      <c r="E10364" t="inlineStr">
        <is>
          <t>GÄVLE</t>
        </is>
      </c>
      <c r="G10364" t="n">
        <v>3.7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1607-2026</t>
        </is>
      </c>
      <c r="B10365" s="1" t="n">
        <v>46034</v>
      </c>
      <c r="C10365" s="1" t="n">
        <v>46086</v>
      </c>
      <c r="D10365" t="inlineStr">
        <is>
          <t>GÄVLEBORGS LÄN</t>
        </is>
      </c>
      <c r="E10365" t="inlineStr">
        <is>
          <t>LJUSDAL</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1655-2026</t>
        </is>
      </c>
      <c r="B10366" s="1" t="n">
        <v>46034.53831018518</v>
      </c>
      <c r="C10366" s="1" t="n">
        <v>46086</v>
      </c>
      <c r="D10366" t="inlineStr">
        <is>
          <t>GÄVLEBORGS LÄN</t>
        </is>
      </c>
      <c r="E10366" t="inlineStr">
        <is>
          <t>HUDIKSVALL</t>
        </is>
      </c>
      <c r="G10366" t="n">
        <v>4.6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10365-2026</t>
        </is>
      </c>
      <c r="B10367" s="1" t="n">
        <v>46076.75701388889</v>
      </c>
      <c r="C10367" s="1" t="n">
        <v>46086</v>
      </c>
      <c r="D10367" t="inlineStr">
        <is>
          <t>GÄVLEBORGS LÄN</t>
        </is>
      </c>
      <c r="E10367" t="inlineStr">
        <is>
          <t>BOLLNÄS</t>
        </is>
      </c>
      <c r="G10367" t="n">
        <v>2.8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10367-2026</t>
        </is>
      </c>
      <c r="B10368" s="1" t="n">
        <v>46076.76572916667</v>
      </c>
      <c r="C10368" s="1" t="n">
        <v>46086</v>
      </c>
      <c r="D10368" t="inlineStr">
        <is>
          <t>GÄVLEBORGS LÄN</t>
        </is>
      </c>
      <c r="E10368" t="inlineStr">
        <is>
          <t>BOLLNÄS</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10311-2026</t>
        </is>
      </c>
      <c r="B10369" s="1" t="n">
        <v>46076.64466435185</v>
      </c>
      <c r="C10369" s="1" t="n">
        <v>46086</v>
      </c>
      <c r="D10369" t="inlineStr">
        <is>
          <t>GÄVLEBORGS LÄN</t>
        </is>
      </c>
      <c r="E10369" t="inlineStr">
        <is>
          <t>HUDIKSVALL</t>
        </is>
      </c>
      <c r="F10369" t="inlineStr">
        <is>
          <t>Sveaskog</t>
        </is>
      </c>
      <c r="G10369" t="n">
        <v>4.4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8754-2023</t>
        </is>
      </c>
      <c r="B10370" s="1" t="n">
        <v>44978</v>
      </c>
      <c r="C10370" s="1" t="n">
        <v>46086</v>
      </c>
      <c r="D10370" t="inlineStr">
        <is>
          <t>GÄVLEBORGS LÄN</t>
        </is>
      </c>
      <c r="E10370" t="inlineStr">
        <is>
          <t>HUDIKSVALL</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10312-2026</t>
        </is>
      </c>
      <c r="B10371" s="1" t="n">
        <v>46076.64704861111</v>
      </c>
      <c r="C10371" s="1" t="n">
        <v>46086</v>
      </c>
      <c r="D10371" t="inlineStr">
        <is>
          <t>GÄVLEBORGS LÄN</t>
        </is>
      </c>
      <c r="E10371" t="inlineStr">
        <is>
          <t>HUDIKSVALL</t>
        </is>
      </c>
      <c r="F10371" t="inlineStr">
        <is>
          <t>Sveaskog</t>
        </is>
      </c>
      <c r="G10371" t="n">
        <v>6.1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1674-2026</t>
        </is>
      </c>
      <c r="B10372" s="1" t="n">
        <v>46034.56940972222</v>
      </c>
      <c r="C10372" s="1" t="n">
        <v>46086</v>
      </c>
      <c r="D10372" t="inlineStr">
        <is>
          <t>GÄVLEBORGS LÄN</t>
        </is>
      </c>
      <c r="E10372" t="inlineStr">
        <is>
          <t>BOLLNÄS</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1675-2026</t>
        </is>
      </c>
      <c r="B10373" s="1" t="n">
        <v>46034.57072916667</v>
      </c>
      <c r="C10373" s="1" t="n">
        <v>46086</v>
      </c>
      <c r="D10373" t="inlineStr">
        <is>
          <t>GÄVLEBORGS LÄN</t>
        </is>
      </c>
      <c r="E10373" t="inlineStr">
        <is>
          <t>BOLLNÄS</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1676-2026</t>
        </is>
      </c>
      <c r="B10374" s="1" t="n">
        <v>46034.57221064815</v>
      </c>
      <c r="C10374" s="1" t="n">
        <v>46086</v>
      </c>
      <c r="D10374" t="inlineStr">
        <is>
          <t>GÄVLEBORGS LÄN</t>
        </is>
      </c>
      <c r="E10374" t="inlineStr">
        <is>
          <t>SANDVIKEN</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1692-2026</t>
        </is>
      </c>
      <c r="B10375" s="1" t="n">
        <v>46034.59078703704</v>
      </c>
      <c r="C10375" s="1" t="n">
        <v>46086</v>
      </c>
      <c r="D10375" t="inlineStr">
        <is>
          <t>GÄVLEBORGS LÄN</t>
        </is>
      </c>
      <c r="E10375" t="inlineStr">
        <is>
          <t>HUDIKSVALL</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51071-2023</t>
        </is>
      </c>
      <c r="B10376" s="1" t="n">
        <v>45218.67822916667</v>
      </c>
      <c r="C10376" s="1" t="n">
        <v>46086</v>
      </c>
      <c r="D10376" t="inlineStr">
        <is>
          <t>GÄVLEBORGS LÄN</t>
        </is>
      </c>
      <c r="E10376" t="inlineStr">
        <is>
          <t>GÄVLE</t>
        </is>
      </c>
      <c r="G10376" t="n">
        <v>3.1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1730-2026</t>
        </is>
      </c>
      <c r="B10377" s="1" t="n">
        <v>46034.63491898148</v>
      </c>
      <c r="C10377" s="1" t="n">
        <v>46086</v>
      </c>
      <c r="D10377" t="inlineStr">
        <is>
          <t>GÄVLEBORGS LÄN</t>
        </is>
      </c>
      <c r="E10377" t="inlineStr">
        <is>
          <t>OCKELBO</t>
        </is>
      </c>
      <c r="F10377" t="inlineStr">
        <is>
          <t>Bergvik skog väst AB</t>
        </is>
      </c>
      <c r="G10377" t="n">
        <v>3.9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10494-2026</t>
        </is>
      </c>
      <c r="B10378" s="1" t="n">
        <v>46077.53072916667</v>
      </c>
      <c r="C10378" s="1" t="n">
        <v>46086</v>
      </c>
      <c r="D10378" t="inlineStr">
        <is>
          <t>GÄVLEBORGS LÄN</t>
        </is>
      </c>
      <c r="E10378" t="inlineStr">
        <is>
          <t>GÄVLE</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10501-2026</t>
        </is>
      </c>
      <c r="B10379" s="1" t="n">
        <v>46077.55028935185</v>
      </c>
      <c r="C10379" s="1" t="n">
        <v>46086</v>
      </c>
      <c r="D10379" t="inlineStr">
        <is>
          <t>GÄVLEBORGS LÄN</t>
        </is>
      </c>
      <c r="E10379" t="inlineStr">
        <is>
          <t>OCKELBO</t>
        </is>
      </c>
      <c r="F10379" t="inlineStr">
        <is>
          <t>Bergvik skog väst AB</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51137-2023</t>
        </is>
      </c>
      <c r="B10380" s="1" t="n">
        <v>45219</v>
      </c>
      <c r="C10380" s="1" t="n">
        <v>46086</v>
      </c>
      <c r="D10380" t="inlineStr">
        <is>
          <t>GÄVLEBORGS LÄN</t>
        </is>
      </c>
      <c r="E10380" t="inlineStr">
        <is>
          <t>BOLLNÄS</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1823-2026</t>
        </is>
      </c>
      <c r="B10381" s="1" t="n">
        <v>46035.36265046296</v>
      </c>
      <c r="C10381" s="1" t="n">
        <v>46086</v>
      </c>
      <c r="D10381" t="inlineStr">
        <is>
          <t>GÄVLEBORGS LÄN</t>
        </is>
      </c>
      <c r="E10381" t="inlineStr">
        <is>
          <t>LJUSDAL</t>
        </is>
      </c>
      <c r="G10381" t="n">
        <v>7.3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1849-2026</t>
        </is>
      </c>
      <c r="B10382" s="1" t="n">
        <v>46035</v>
      </c>
      <c r="C10382" s="1" t="n">
        <v>46086</v>
      </c>
      <c r="D10382" t="inlineStr">
        <is>
          <t>GÄVLEBORGS LÄN</t>
        </is>
      </c>
      <c r="E10382" t="inlineStr">
        <is>
          <t>NORDANSTIG</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10238-2026</t>
        </is>
      </c>
      <c r="B10383" s="1" t="n">
        <v>46076.54670138889</v>
      </c>
      <c r="C10383" s="1" t="n">
        <v>46086</v>
      </c>
      <c r="D10383" t="inlineStr">
        <is>
          <t>GÄVLEBORGS LÄN</t>
        </is>
      </c>
      <c r="E10383" t="inlineStr">
        <is>
          <t>GÄVLE</t>
        </is>
      </c>
      <c r="F10383" t="inlineStr">
        <is>
          <t>Bergvik skog öst AB</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52568-2022</t>
        </is>
      </c>
      <c r="B10384" s="1" t="n">
        <v>44874</v>
      </c>
      <c r="C10384" s="1" t="n">
        <v>46086</v>
      </c>
      <c r="D10384" t="inlineStr">
        <is>
          <t>GÄVLEBORGS LÄN</t>
        </is>
      </c>
      <c r="E10384" t="inlineStr">
        <is>
          <t>LJUSDAL</t>
        </is>
      </c>
      <c r="F10384" t="inlineStr">
        <is>
          <t>Kyrkan</t>
        </is>
      </c>
      <c r="G10384" t="n">
        <v>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10260-2026</t>
        </is>
      </c>
      <c r="B10385" s="1" t="n">
        <v>46076.57008101852</v>
      </c>
      <c r="C10385" s="1" t="n">
        <v>46086</v>
      </c>
      <c r="D10385" t="inlineStr">
        <is>
          <t>GÄVLEBORGS LÄN</t>
        </is>
      </c>
      <c r="E10385" t="inlineStr">
        <is>
          <t>SANDVIKEN</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10267-2026</t>
        </is>
      </c>
      <c r="B10386" s="1" t="n">
        <v>46076.57696759259</v>
      </c>
      <c r="C10386" s="1" t="n">
        <v>46086</v>
      </c>
      <c r="D10386" t="inlineStr">
        <is>
          <t>GÄVLEBORGS LÄN</t>
        </is>
      </c>
      <c r="E10386" t="inlineStr">
        <is>
          <t>BOLLNÄS</t>
        </is>
      </c>
      <c r="G10386" t="n">
        <v>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36343-2023</t>
        </is>
      </c>
      <c r="B10387" s="1" t="n">
        <v>45152.45767361111</v>
      </c>
      <c r="C10387" s="1" t="n">
        <v>46086</v>
      </c>
      <c r="D10387" t="inlineStr">
        <is>
          <t>GÄVLEBORGS LÄN</t>
        </is>
      </c>
      <c r="E10387" t="inlineStr">
        <is>
          <t>OCKELBO</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49352-2025</t>
        </is>
      </c>
      <c r="B10388" s="1" t="n">
        <v>45938.61381944444</v>
      </c>
      <c r="C10388" s="1" t="n">
        <v>46086</v>
      </c>
      <c r="D10388" t="inlineStr">
        <is>
          <t>GÄVLEBORGS LÄN</t>
        </is>
      </c>
      <c r="E10388" t="inlineStr">
        <is>
          <t>NORDANSTIG</t>
        </is>
      </c>
      <c r="G10388" t="n">
        <v>7.6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10374-2026</t>
        </is>
      </c>
      <c r="B10389" s="1" t="n">
        <v>46076.80673611111</v>
      </c>
      <c r="C10389" s="1" t="n">
        <v>46086</v>
      </c>
      <c r="D10389" t="inlineStr">
        <is>
          <t>GÄVLEBORGS LÄN</t>
        </is>
      </c>
      <c r="E10389" t="inlineStr">
        <is>
          <t>HUDIKSVALL</t>
        </is>
      </c>
      <c r="F10389" t="inlineStr">
        <is>
          <t>Holmen skog AB</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10406-2026</t>
        </is>
      </c>
      <c r="B10390" s="1" t="n">
        <v>46077.34399305555</v>
      </c>
      <c r="C10390" s="1" t="n">
        <v>46086</v>
      </c>
      <c r="D10390" t="inlineStr">
        <is>
          <t>GÄVLEBORGS LÄN</t>
        </is>
      </c>
      <c r="E10390" t="inlineStr">
        <is>
          <t>SÖDERHAMN</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10437-2026</t>
        </is>
      </c>
      <c r="B10391" s="1" t="n">
        <v>46077.40108796296</v>
      </c>
      <c r="C10391" s="1" t="n">
        <v>46086</v>
      </c>
      <c r="D10391" t="inlineStr">
        <is>
          <t>GÄVLEBORGS LÄN</t>
        </is>
      </c>
      <c r="E10391" t="inlineStr">
        <is>
          <t>OCKELBO</t>
        </is>
      </c>
      <c r="F10391" t="inlineStr">
        <is>
          <t>Bergvik skog väst AB</t>
        </is>
      </c>
      <c r="G10391" t="n">
        <v>3.7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7503-2026</t>
        </is>
      </c>
      <c r="B10392" s="1" t="n">
        <v>46059</v>
      </c>
      <c r="C10392" s="1" t="n">
        <v>46086</v>
      </c>
      <c r="D10392" t="inlineStr">
        <is>
          <t>GÄVLEBORGS LÄN</t>
        </is>
      </c>
      <c r="E10392" t="inlineStr">
        <is>
          <t>LJUSDAL</t>
        </is>
      </c>
      <c r="F10392" t="inlineStr">
        <is>
          <t>Holmen skog AB</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8324-2026</t>
        </is>
      </c>
      <c r="B10393" s="1" t="n">
        <v>46064</v>
      </c>
      <c r="C10393" s="1" t="n">
        <v>46086</v>
      </c>
      <c r="D10393" t="inlineStr">
        <is>
          <t>GÄVLEBORGS LÄN</t>
        </is>
      </c>
      <c r="E10393" t="inlineStr">
        <is>
          <t>HOFORS</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8327-2026</t>
        </is>
      </c>
      <c r="B10394" s="1" t="n">
        <v>46064</v>
      </c>
      <c r="C10394" s="1" t="n">
        <v>46086</v>
      </c>
      <c r="D10394" t="inlineStr">
        <is>
          <t>GÄVLEBORGS LÄN</t>
        </is>
      </c>
      <c r="E10394" t="inlineStr">
        <is>
          <t>BOLLNÄS</t>
        </is>
      </c>
      <c r="F10394" t="inlineStr">
        <is>
          <t>Bergvik skog väst AB</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8561-2026</t>
        </is>
      </c>
      <c r="B10395" s="1" t="n">
        <v>46065</v>
      </c>
      <c r="C10395" s="1" t="n">
        <v>46086</v>
      </c>
      <c r="D10395" t="inlineStr">
        <is>
          <t>GÄVLEBORGS LÄN</t>
        </is>
      </c>
      <c r="E10395" t="inlineStr">
        <is>
          <t>HUDIKSVALL</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1532-2026</t>
        </is>
      </c>
      <c r="B10396" s="1" t="n">
        <v>46034</v>
      </c>
      <c r="C10396" s="1" t="n">
        <v>46086</v>
      </c>
      <c r="D10396" t="inlineStr">
        <is>
          <t>GÄVLEBORGS LÄN</t>
        </is>
      </c>
      <c r="E10396" t="inlineStr">
        <is>
          <t>BOLLNÄS</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1537-2026</t>
        </is>
      </c>
      <c r="B10397" s="1" t="n">
        <v>46034.38321759259</v>
      </c>
      <c r="C10397" s="1" t="n">
        <v>46086</v>
      </c>
      <c r="D10397" t="inlineStr">
        <is>
          <t>GÄVLEBORGS LÄN</t>
        </is>
      </c>
      <c r="E10397" t="inlineStr">
        <is>
          <t>SÖDERHAMN</t>
        </is>
      </c>
      <c r="G10397" t="n">
        <v>9.699999999999999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1593-2026</t>
        </is>
      </c>
      <c r="B10398" s="1" t="n">
        <v>46034.44766203704</v>
      </c>
      <c r="C10398" s="1" t="n">
        <v>46086</v>
      </c>
      <c r="D10398" t="inlineStr">
        <is>
          <t>GÄVLEBORGS LÄN</t>
        </is>
      </c>
      <c r="E10398" t="inlineStr">
        <is>
          <t>BOLLNÄS</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10594-2026</t>
        </is>
      </c>
      <c r="B10399" s="1" t="n">
        <v>46077.70635416666</v>
      </c>
      <c r="C10399" s="1" t="n">
        <v>46086</v>
      </c>
      <c r="D10399" t="inlineStr">
        <is>
          <t>GÄVLEBORGS LÄN</t>
        </is>
      </c>
      <c r="E10399" t="inlineStr">
        <is>
          <t>SÖDERHAMN</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10608-2026</t>
        </is>
      </c>
      <c r="B10400" s="1" t="n">
        <v>46077.80501157408</v>
      </c>
      <c r="C10400" s="1" t="n">
        <v>46086</v>
      </c>
      <c r="D10400" t="inlineStr">
        <is>
          <t>GÄVLEBORGS LÄN</t>
        </is>
      </c>
      <c r="E10400" t="inlineStr">
        <is>
          <t>GÄVLE</t>
        </is>
      </c>
      <c r="F10400" t="inlineStr">
        <is>
          <t>Bergvik skog öst AB</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10613-2026</t>
        </is>
      </c>
      <c r="B10401" s="1" t="n">
        <v>46077.83953703703</v>
      </c>
      <c r="C10401" s="1" t="n">
        <v>46086</v>
      </c>
      <c r="D10401" t="inlineStr">
        <is>
          <t>GÄVLEBORGS LÄN</t>
        </is>
      </c>
      <c r="E10401" t="inlineStr">
        <is>
          <t>BOLLNÄS</t>
        </is>
      </c>
      <c r="G10401" t="n">
        <v>29.5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10614-2026</t>
        </is>
      </c>
      <c r="B10402" s="1" t="n">
        <v>46077.84810185185</v>
      </c>
      <c r="C10402" s="1" t="n">
        <v>46086</v>
      </c>
      <c r="D10402" t="inlineStr">
        <is>
          <t>GÄVLEBORGS LÄN</t>
        </is>
      </c>
      <c r="E10402" t="inlineStr">
        <is>
          <t>BOLLNÄS</t>
        </is>
      </c>
      <c r="G10402" t="n">
        <v>2.9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10616-2026</t>
        </is>
      </c>
      <c r="B10403" s="1" t="n">
        <v>46077.85666666667</v>
      </c>
      <c r="C10403" s="1" t="n">
        <v>46086</v>
      </c>
      <c r="D10403" t="inlineStr">
        <is>
          <t>GÄVLEBORGS LÄN</t>
        </is>
      </c>
      <c r="E10403" t="inlineStr">
        <is>
          <t>BOLLNÄS</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10427-2026</t>
        </is>
      </c>
      <c r="B10404" s="1" t="n">
        <v>46077.37574074074</v>
      </c>
      <c r="C10404" s="1" t="n">
        <v>46086</v>
      </c>
      <c r="D10404" t="inlineStr">
        <is>
          <t>GÄVLEBORGS LÄN</t>
        </is>
      </c>
      <c r="E10404" t="inlineStr">
        <is>
          <t>HUDIKSVALL</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10453-2026</t>
        </is>
      </c>
      <c r="B10405" s="1" t="n">
        <v>46077.44072916666</v>
      </c>
      <c r="C10405" s="1" t="n">
        <v>46086</v>
      </c>
      <c r="D10405" t="inlineStr">
        <is>
          <t>GÄVLEBORGS LÄN</t>
        </is>
      </c>
      <c r="E10405" t="inlineStr">
        <is>
          <t>BOLLNÄS</t>
        </is>
      </c>
      <c r="G10405" t="n">
        <v>5.8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1893-2026</t>
        </is>
      </c>
      <c r="B10406" s="1" t="n">
        <v>46035.50224537037</v>
      </c>
      <c r="C10406" s="1" t="n">
        <v>46086</v>
      </c>
      <c r="D10406" t="inlineStr">
        <is>
          <t>GÄVLEBORGS LÄN</t>
        </is>
      </c>
      <c r="E10406" t="inlineStr">
        <is>
          <t>OVANÅKER</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1737-2026</t>
        </is>
      </c>
      <c r="B10407" s="1" t="n">
        <v>46034.64289351852</v>
      </c>
      <c r="C10407" s="1" t="n">
        <v>46086</v>
      </c>
      <c r="D10407" t="inlineStr">
        <is>
          <t>GÄVLEBORGS LÄN</t>
        </is>
      </c>
      <c r="E10407" t="inlineStr">
        <is>
          <t>SANDVIKEN</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5319-2026</t>
        </is>
      </c>
      <c r="B10408" s="1" t="n">
        <v>46050</v>
      </c>
      <c r="C10408" s="1" t="n">
        <v>46086</v>
      </c>
      <c r="D10408" t="inlineStr">
        <is>
          <t>GÄVLEBORGS LÄN</t>
        </is>
      </c>
      <c r="E10408" t="inlineStr">
        <is>
          <t>OVANÅKER</t>
        </is>
      </c>
      <c r="G10408" t="n">
        <v>3.7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20747-2023</t>
        </is>
      </c>
      <c r="B10409" s="1" t="n">
        <v>45058</v>
      </c>
      <c r="C10409" s="1" t="n">
        <v>46086</v>
      </c>
      <c r="D10409" t="inlineStr">
        <is>
          <t>GÄVLEBORGS LÄN</t>
        </is>
      </c>
      <c r="E10409" t="inlineStr">
        <is>
          <t>NORDANSTIG</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1776-2026</t>
        </is>
      </c>
      <c r="B10410" s="1" t="n">
        <v>46034</v>
      </c>
      <c r="C10410" s="1" t="n">
        <v>46086</v>
      </c>
      <c r="D10410" t="inlineStr">
        <is>
          <t>GÄVLEBORGS LÄN</t>
        </is>
      </c>
      <c r="E10410" t="inlineStr">
        <is>
          <t>HUDIKSVALL</t>
        </is>
      </c>
      <c r="G10410" t="n">
        <v>3.9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10265-2026</t>
        </is>
      </c>
      <c r="B10411" s="1" t="n">
        <v>46076.57482638889</v>
      </c>
      <c r="C10411" s="1" t="n">
        <v>46086</v>
      </c>
      <c r="D10411" t="inlineStr">
        <is>
          <t>GÄVLEBORGS LÄN</t>
        </is>
      </c>
      <c r="E10411" t="inlineStr">
        <is>
          <t>BOLLNÄS</t>
        </is>
      </c>
      <c r="G10411" t="n">
        <v>4.2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10269-2026</t>
        </is>
      </c>
      <c r="B10412" s="1" t="n">
        <v>46076.5778125</v>
      </c>
      <c r="C10412" s="1" t="n">
        <v>46086</v>
      </c>
      <c r="D10412" t="inlineStr">
        <is>
          <t>GÄVLEBORGS LÄN</t>
        </is>
      </c>
      <c r="E10412" t="inlineStr">
        <is>
          <t>BOLLNÄS</t>
        </is>
      </c>
      <c r="G10412" t="n">
        <v>7.4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38556-2021</t>
        </is>
      </c>
      <c r="B10413" s="1" t="n">
        <v>44407</v>
      </c>
      <c r="C10413" s="1" t="n">
        <v>46086</v>
      </c>
      <c r="D10413" t="inlineStr">
        <is>
          <t>GÄVLEBORGS LÄN</t>
        </is>
      </c>
      <c r="E10413" t="inlineStr">
        <is>
          <t>BOLLNÄS</t>
        </is>
      </c>
      <c r="G10413" t="n">
        <v>3.4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10297-2026</t>
        </is>
      </c>
      <c r="B10414" s="1" t="n">
        <v>46076.6250462963</v>
      </c>
      <c r="C10414" s="1" t="n">
        <v>46086</v>
      </c>
      <c r="D10414" t="inlineStr">
        <is>
          <t>GÄVLEBORGS LÄN</t>
        </is>
      </c>
      <c r="E10414" t="inlineStr">
        <is>
          <t>BOLLNÄS</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10316-2026</t>
        </is>
      </c>
      <c r="B10415" s="1" t="n">
        <v>46076.65447916667</v>
      </c>
      <c r="C10415" s="1" t="n">
        <v>46086</v>
      </c>
      <c r="D10415" t="inlineStr">
        <is>
          <t>GÄVLEBORGS LÄN</t>
        </is>
      </c>
      <c r="E10415" t="inlineStr">
        <is>
          <t>BOLLNÄS</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10600-2026</t>
        </is>
      </c>
      <c r="B10416" s="1" t="n">
        <v>46077.74506944444</v>
      </c>
      <c r="C10416" s="1" t="n">
        <v>46086</v>
      </c>
      <c r="D10416" t="inlineStr">
        <is>
          <t>GÄVLEBORGS LÄN</t>
        </is>
      </c>
      <c r="E10416" t="inlineStr">
        <is>
          <t>SANDVIKEN</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10609-2026</t>
        </is>
      </c>
      <c r="B10417" s="1" t="n">
        <v>46077.80599537037</v>
      </c>
      <c r="C10417" s="1" t="n">
        <v>46086</v>
      </c>
      <c r="D10417" t="inlineStr">
        <is>
          <t>GÄVLEBORGS LÄN</t>
        </is>
      </c>
      <c r="E10417" t="inlineStr">
        <is>
          <t>GÄVLE</t>
        </is>
      </c>
      <c r="F10417" t="inlineStr">
        <is>
          <t>Bergvik skog öst AB</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10611-2026</t>
        </is>
      </c>
      <c r="B10418" s="1" t="n">
        <v>46077.83061342593</v>
      </c>
      <c r="C10418" s="1" t="n">
        <v>46086</v>
      </c>
      <c r="D10418" t="inlineStr">
        <is>
          <t>GÄVLEBORGS LÄN</t>
        </is>
      </c>
      <c r="E10418" t="inlineStr">
        <is>
          <t>BOLLNÄS</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10148-2026</t>
        </is>
      </c>
      <c r="B10419" s="1" t="n">
        <v>46076.35460648148</v>
      </c>
      <c r="C10419" s="1" t="n">
        <v>46086</v>
      </c>
      <c r="D10419" t="inlineStr">
        <is>
          <t>GÄVLEBORGS LÄN</t>
        </is>
      </c>
      <c r="E10419" t="inlineStr">
        <is>
          <t>HUDIKSVALL</t>
        </is>
      </c>
      <c r="G10419" t="n">
        <v>0.3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8866-2026</t>
        </is>
      </c>
      <c r="B10420" s="1" t="n">
        <v>46066</v>
      </c>
      <c r="C10420" s="1" t="n">
        <v>46086</v>
      </c>
      <c r="D10420" t="inlineStr">
        <is>
          <t>GÄVLEBORGS LÄN</t>
        </is>
      </c>
      <c r="E10420" t="inlineStr">
        <is>
          <t>OCKELBO</t>
        </is>
      </c>
      <c r="F10420" t="inlineStr">
        <is>
          <t>Bergvik skog väst AB</t>
        </is>
      </c>
      <c r="G10420" t="n">
        <v>6.1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9438-2026</t>
        </is>
      </c>
      <c r="B10421" s="1" t="n">
        <v>46071</v>
      </c>
      <c r="C10421" s="1" t="n">
        <v>46086</v>
      </c>
      <c r="D10421" t="inlineStr">
        <is>
          <t>GÄVLEBORGS LÄN</t>
        </is>
      </c>
      <c r="E10421" t="inlineStr">
        <is>
          <t>HUDIKSVALL</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1958-2026</t>
        </is>
      </c>
      <c r="B10422" s="1" t="n">
        <v>46035.61606481481</v>
      </c>
      <c r="C10422" s="1" t="n">
        <v>46086</v>
      </c>
      <c r="D10422" t="inlineStr">
        <is>
          <t>GÄVLEBORGS LÄN</t>
        </is>
      </c>
      <c r="E10422" t="inlineStr">
        <is>
          <t>NORDANSTIG</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1982-2026</t>
        </is>
      </c>
      <c r="B10423" s="1" t="n">
        <v>46035</v>
      </c>
      <c r="C10423" s="1" t="n">
        <v>46086</v>
      </c>
      <c r="D10423" t="inlineStr">
        <is>
          <t>GÄVLEBORGS LÄN</t>
        </is>
      </c>
      <c r="E10423" t="inlineStr">
        <is>
          <t>NORDANSTIG</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2004-2026</t>
        </is>
      </c>
      <c r="B10424" s="1" t="n">
        <v>46035.69458333333</v>
      </c>
      <c r="C10424" s="1" t="n">
        <v>46086</v>
      </c>
      <c r="D10424" t="inlineStr">
        <is>
          <t>GÄVLEBORGS LÄN</t>
        </is>
      </c>
      <c r="E10424" t="inlineStr">
        <is>
          <t>SANDVIKEN</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2063-2026</t>
        </is>
      </c>
      <c r="B10425" s="1" t="n">
        <v>46035</v>
      </c>
      <c r="C10425" s="1" t="n">
        <v>46086</v>
      </c>
      <c r="D10425" t="inlineStr">
        <is>
          <t>GÄVLEBORGS LÄN</t>
        </is>
      </c>
      <c r="E10425" t="inlineStr">
        <is>
          <t>BOLLNÄS</t>
        </is>
      </c>
      <c r="F10425" t="inlineStr">
        <is>
          <t>Bergvik skog väst AB</t>
        </is>
      </c>
      <c r="G10425" t="n">
        <v>35.5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10498-2026</t>
        </is>
      </c>
      <c r="B10426" s="1" t="n">
        <v>46077.54719907408</v>
      </c>
      <c r="C10426" s="1" t="n">
        <v>46086</v>
      </c>
      <c r="D10426" t="inlineStr">
        <is>
          <t>GÄVLEBORGS LÄN</t>
        </is>
      </c>
      <c r="E10426" t="inlineStr">
        <is>
          <t>OCKELBO</t>
        </is>
      </c>
      <c r="F10426" t="inlineStr">
        <is>
          <t>Bergvik skog väst AB</t>
        </is>
      </c>
      <c r="G10426" t="n">
        <v>4.3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1918-2026</t>
        </is>
      </c>
      <c r="B10427" s="1" t="n">
        <v>46034</v>
      </c>
      <c r="C10427" s="1" t="n">
        <v>46086</v>
      </c>
      <c r="D10427" t="inlineStr">
        <is>
          <t>GÄVLEBORGS LÄN</t>
        </is>
      </c>
      <c r="E10427" t="inlineStr">
        <is>
          <t>BOLLNÄS</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10419-2026</t>
        </is>
      </c>
      <c r="B10428" s="1" t="n">
        <v>46077.35930555555</v>
      </c>
      <c r="C10428" s="1" t="n">
        <v>46086</v>
      </c>
      <c r="D10428" t="inlineStr">
        <is>
          <t>GÄVLEBORGS LÄN</t>
        </is>
      </c>
      <c r="E10428" t="inlineStr">
        <is>
          <t>BOLLNÄS</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1990-2026</t>
        </is>
      </c>
      <c r="B10429" s="1" t="n">
        <v>46035.6619212963</v>
      </c>
      <c r="C10429" s="1" t="n">
        <v>46086</v>
      </c>
      <c r="D10429" t="inlineStr">
        <is>
          <t>GÄVLEBORGS LÄN</t>
        </is>
      </c>
      <c r="E10429" t="inlineStr">
        <is>
          <t>SÖDERHAMN</t>
        </is>
      </c>
      <c r="G10429" t="n">
        <v>3.9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1738-2026</t>
        </is>
      </c>
      <c r="B10430" s="1" t="n">
        <v>46034.64438657407</v>
      </c>
      <c r="C10430" s="1" t="n">
        <v>46086</v>
      </c>
      <c r="D10430" t="inlineStr">
        <is>
          <t>GÄVLEBORGS LÄN</t>
        </is>
      </c>
      <c r="E10430" t="inlineStr">
        <is>
          <t>OCKELBO</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12983-2022</t>
        </is>
      </c>
      <c r="B10431" s="1" t="n">
        <v>44643.41052083333</v>
      </c>
      <c r="C10431" s="1" t="n">
        <v>46086</v>
      </c>
      <c r="D10431" t="inlineStr">
        <is>
          <t>GÄVLEBORGS LÄN</t>
        </is>
      </c>
      <c r="E10431" t="inlineStr">
        <is>
          <t>OCKELBO</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1615-2026</t>
        </is>
      </c>
      <c r="B10432" s="1" t="n">
        <v>46034.47021990741</v>
      </c>
      <c r="C10432" s="1" t="n">
        <v>46086</v>
      </c>
      <c r="D10432" t="inlineStr">
        <is>
          <t>GÄVLEBORGS LÄN</t>
        </is>
      </c>
      <c r="E10432" t="inlineStr">
        <is>
          <t>BOLLNÄS</t>
        </is>
      </c>
      <c r="G10432" t="n">
        <v>7.2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1623-2026</t>
        </is>
      </c>
      <c r="B10433" s="1" t="n">
        <v>46034.48016203703</v>
      </c>
      <c r="C10433" s="1" t="n">
        <v>46086</v>
      </c>
      <c r="D10433" t="inlineStr">
        <is>
          <t>GÄVLEBORGS LÄN</t>
        </is>
      </c>
      <c r="E10433" t="inlineStr">
        <is>
          <t>OCKELBO</t>
        </is>
      </c>
      <c r="G10433" t="n">
        <v>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30714-2023</t>
        </is>
      </c>
      <c r="B10434" s="1" t="n">
        <v>45112</v>
      </c>
      <c r="C10434" s="1" t="n">
        <v>46086</v>
      </c>
      <c r="D10434" t="inlineStr">
        <is>
          <t>GÄVLEBORGS LÄN</t>
        </is>
      </c>
      <c r="E10434" t="inlineStr">
        <is>
          <t>SANDVIKEN</t>
        </is>
      </c>
      <c r="G10434" t="n">
        <v>4.9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1759-2026</t>
        </is>
      </c>
      <c r="B10435" s="1" t="n">
        <v>46034.67049768518</v>
      </c>
      <c r="C10435" s="1" t="n">
        <v>46086</v>
      </c>
      <c r="D10435" t="inlineStr">
        <is>
          <t>GÄVLEBORGS LÄN</t>
        </is>
      </c>
      <c r="E10435" t="inlineStr">
        <is>
          <t>HUDIKSVALL</t>
        </is>
      </c>
      <c r="G10435" t="n">
        <v>38.9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1797-2026</t>
        </is>
      </c>
      <c r="B10436" s="1" t="n">
        <v>46035.26206018519</v>
      </c>
      <c r="C10436" s="1" t="n">
        <v>46086</v>
      </c>
      <c r="D10436" t="inlineStr">
        <is>
          <t>GÄVLEBORGS LÄN</t>
        </is>
      </c>
      <c r="E10436" t="inlineStr">
        <is>
          <t>BOLLNÄS</t>
        </is>
      </c>
      <c r="G10436" t="n">
        <v>3.3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1822-2026</t>
        </is>
      </c>
      <c r="B10437" s="1" t="n">
        <v>46035</v>
      </c>
      <c r="C10437" s="1" t="n">
        <v>46086</v>
      </c>
      <c r="D10437" t="inlineStr">
        <is>
          <t>GÄVLEBORGS LÄN</t>
        </is>
      </c>
      <c r="E10437" t="inlineStr">
        <is>
          <t>HUDIKSVALL</t>
        </is>
      </c>
      <c r="G10437" t="n">
        <v>7.1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8137-2023</t>
        </is>
      </c>
      <c r="B10438" s="1" t="n">
        <v>44974.44017361111</v>
      </c>
      <c r="C10438" s="1" t="n">
        <v>46086</v>
      </c>
      <c r="D10438" t="inlineStr">
        <is>
          <t>GÄVLEBORGS LÄN</t>
        </is>
      </c>
      <c r="E10438" t="inlineStr">
        <is>
          <t>HUDIKSVALL</t>
        </is>
      </c>
      <c r="G10438" t="n">
        <v>0.4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1669-2026</t>
        </is>
      </c>
      <c r="B10439" s="1" t="n">
        <v>46034</v>
      </c>
      <c r="C10439" s="1" t="n">
        <v>46086</v>
      </c>
      <c r="D10439" t="inlineStr">
        <is>
          <t>GÄVLEBORGS LÄN</t>
        </is>
      </c>
      <c r="E10439" t="inlineStr">
        <is>
          <t>BOLLNÄS</t>
        </is>
      </c>
      <c r="G10439" t="n">
        <v>6.1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10326-2026</t>
        </is>
      </c>
      <c r="B10440" s="1" t="n">
        <v>46076.66048611111</v>
      </c>
      <c r="C10440" s="1" t="n">
        <v>46086</v>
      </c>
      <c r="D10440" t="inlineStr">
        <is>
          <t>GÄVLEBORGS LÄN</t>
        </is>
      </c>
      <c r="E10440" t="inlineStr">
        <is>
          <t>OCKELBO</t>
        </is>
      </c>
      <c r="F10440" t="inlineStr">
        <is>
          <t>Bergvik skog öst AB</t>
        </is>
      </c>
      <c r="G10440" t="n">
        <v>3.4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63268-2025</t>
        </is>
      </c>
      <c r="B10441" s="1" t="n">
        <v>46010</v>
      </c>
      <c r="C10441" s="1" t="n">
        <v>46086</v>
      </c>
      <c r="D10441" t="inlineStr">
        <is>
          <t>GÄVLEBORGS LÄN</t>
        </is>
      </c>
      <c r="E10441" t="inlineStr">
        <is>
          <t>BOLLNÄS</t>
        </is>
      </c>
      <c r="G10441" t="n">
        <v>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1652-2026</t>
        </is>
      </c>
      <c r="B10442" s="1" t="n">
        <v>46034</v>
      </c>
      <c r="C10442" s="1" t="n">
        <v>46086</v>
      </c>
      <c r="D10442" t="inlineStr">
        <is>
          <t>GÄVLEBORGS LÄN</t>
        </is>
      </c>
      <c r="E10442" t="inlineStr">
        <is>
          <t>OVANÅKER</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1670-2026</t>
        </is>
      </c>
      <c r="B10443" s="1" t="n">
        <v>46034.56050925926</v>
      </c>
      <c r="C10443" s="1" t="n">
        <v>46086</v>
      </c>
      <c r="D10443" t="inlineStr">
        <is>
          <t>GÄVLEBORGS LÄN</t>
        </is>
      </c>
      <c r="E10443" t="inlineStr">
        <is>
          <t>LJUSDAL</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10123-2026</t>
        </is>
      </c>
      <c r="B10444" s="1" t="n">
        <v>46075.82034722222</v>
      </c>
      <c r="C10444" s="1" t="n">
        <v>46086</v>
      </c>
      <c r="D10444" t="inlineStr">
        <is>
          <t>GÄVLEBORGS LÄN</t>
        </is>
      </c>
      <c r="E10444" t="inlineStr">
        <is>
          <t>BOLLNÄS</t>
        </is>
      </c>
      <c r="G10444" t="n">
        <v>9.5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10124-2026</t>
        </is>
      </c>
      <c r="B10445" s="1" t="n">
        <v>46075.82935185185</v>
      </c>
      <c r="C10445" s="1" t="n">
        <v>46086</v>
      </c>
      <c r="D10445" t="inlineStr">
        <is>
          <t>GÄVLEBORGS LÄN</t>
        </is>
      </c>
      <c r="E10445" t="inlineStr">
        <is>
          <t>BOLLNÄS</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10204-2026</t>
        </is>
      </c>
      <c r="B10446" s="1" t="n">
        <v>46076.47613425926</v>
      </c>
      <c r="C10446" s="1" t="n">
        <v>46086</v>
      </c>
      <c r="D10446" t="inlineStr">
        <is>
          <t>GÄVLEBORGS LÄN</t>
        </is>
      </c>
      <c r="E10446" t="inlineStr">
        <is>
          <t>BOLLNÄS</t>
        </is>
      </c>
      <c r="G10446" t="n">
        <v>7.1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9121-2026</t>
        </is>
      </c>
      <c r="B10447" s="1" t="n">
        <v>46069.68313657407</v>
      </c>
      <c r="C10447" s="1" t="n">
        <v>46086</v>
      </c>
      <c r="D10447" t="inlineStr">
        <is>
          <t>GÄVLEBORGS LÄN</t>
        </is>
      </c>
      <c r="E10447" t="inlineStr">
        <is>
          <t>NORDANSTIG</t>
        </is>
      </c>
      <c r="G10447" t="n">
        <v>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10213-2026</t>
        </is>
      </c>
      <c r="B10448" s="1" t="n">
        <v>46076.48890046297</v>
      </c>
      <c r="C10448" s="1" t="n">
        <v>46086</v>
      </c>
      <c r="D10448" t="inlineStr">
        <is>
          <t>GÄVLEBORGS LÄN</t>
        </is>
      </c>
      <c r="E10448" t="inlineStr">
        <is>
          <t>BOLLNÄS</t>
        </is>
      </c>
      <c r="F10448" t="inlineStr">
        <is>
          <t>Bergvik skog väst AB</t>
        </is>
      </c>
      <c r="G10448" t="n">
        <v>3.6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10235-2026</t>
        </is>
      </c>
      <c r="B10449" s="1" t="n">
        <v>46076.54255787037</v>
      </c>
      <c r="C10449" s="1" t="n">
        <v>46086</v>
      </c>
      <c r="D10449" t="inlineStr">
        <is>
          <t>GÄVLEBORGS LÄN</t>
        </is>
      </c>
      <c r="E10449" t="inlineStr">
        <is>
          <t>HUDIKSVALL</t>
        </is>
      </c>
      <c r="G10449" t="n">
        <v>7.7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44633-2024</t>
        </is>
      </c>
      <c r="B10450" s="1" t="n">
        <v>45574</v>
      </c>
      <c r="C10450" s="1" t="n">
        <v>46086</v>
      </c>
      <c r="D10450" t="inlineStr">
        <is>
          <t>GÄVLEBORGS LÄN</t>
        </is>
      </c>
      <c r="E10450" t="inlineStr">
        <is>
          <t>LJUSDAL</t>
        </is>
      </c>
      <c r="F10450" t="inlineStr">
        <is>
          <t>SCA</t>
        </is>
      </c>
      <c r="G10450" t="n">
        <v>5.2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168-2026</t>
        </is>
      </c>
      <c r="B10451" s="1" t="n">
        <v>46024</v>
      </c>
      <c r="C10451" s="1" t="n">
        <v>46086</v>
      </c>
      <c r="D10451" t="inlineStr">
        <is>
          <t>GÄVLEBORGS LÄN</t>
        </is>
      </c>
      <c r="E10451" t="inlineStr">
        <is>
          <t>SÖDERHAMN</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310-2026</t>
        </is>
      </c>
      <c r="B10452" s="1" t="n">
        <v>46027</v>
      </c>
      <c r="C10452" s="1" t="n">
        <v>46086</v>
      </c>
      <c r="D10452" t="inlineStr">
        <is>
          <t>GÄVLEBORGS LÄN</t>
        </is>
      </c>
      <c r="E10452" t="inlineStr">
        <is>
          <t>OVANÅKER</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1991-2026</t>
        </is>
      </c>
      <c r="B10453" s="1" t="n">
        <v>46035.66672453703</v>
      </c>
      <c r="C10453" s="1" t="n">
        <v>46086</v>
      </c>
      <c r="D10453" t="inlineStr">
        <is>
          <t>GÄVLEBORGS LÄN</t>
        </is>
      </c>
      <c r="E10453" t="inlineStr">
        <is>
          <t>SÖDERHAMN</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2064-2026</t>
        </is>
      </c>
      <c r="B10454" s="1" t="n">
        <v>46035</v>
      </c>
      <c r="C10454" s="1" t="n">
        <v>46086</v>
      </c>
      <c r="D10454" t="inlineStr">
        <is>
          <t>GÄVLEBORGS LÄN</t>
        </is>
      </c>
      <c r="E10454" t="inlineStr">
        <is>
          <t>BOLLNÄS</t>
        </is>
      </c>
      <c r="F10454" t="inlineStr">
        <is>
          <t>Bergvik skog väst AB</t>
        </is>
      </c>
      <c r="G10454" t="n">
        <v>22.7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5191-2026</t>
        </is>
      </c>
      <c r="B10455" s="1" t="n">
        <v>46049</v>
      </c>
      <c r="C10455" s="1" t="n">
        <v>46086</v>
      </c>
      <c r="D10455" t="inlineStr">
        <is>
          <t>GÄVLEBORGS LÄN</t>
        </is>
      </c>
      <c r="E10455" t="inlineStr">
        <is>
          <t>GÄVLE</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7399-2026</t>
        </is>
      </c>
      <c r="B10456" s="1" t="n">
        <v>46059</v>
      </c>
      <c r="C10456" s="1" t="n">
        <v>46086</v>
      </c>
      <c r="D10456" t="inlineStr">
        <is>
          <t>GÄVLEBORGS LÄN</t>
        </is>
      </c>
      <c r="E10456" t="inlineStr">
        <is>
          <t>BOLLNÄS</t>
        </is>
      </c>
      <c r="F10456" t="inlineStr">
        <is>
          <t>Bergvik skog väst AB</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7413-2026</t>
        </is>
      </c>
      <c r="B10457" s="1" t="n">
        <v>46059</v>
      </c>
      <c r="C10457" s="1" t="n">
        <v>46086</v>
      </c>
      <c r="D10457" t="inlineStr">
        <is>
          <t>GÄVLEBORGS LÄN</t>
        </is>
      </c>
      <c r="E10457" t="inlineStr">
        <is>
          <t>BOLLNÄS</t>
        </is>
      </c>
      <c r="F10457" t="inlineStr">
        <is>
          <t>Bergvik skog väst AB</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7560-2026</t>
        </is>
      </c>
      <c r="B10458" s="1" t="n">
        <v>46060</v>
      </c>
      <c r="C10458" s="1" t="n">
        <v>46086</v>
      </c>
      <c r="D10458" t="inlineStr">
        <is>
          <t>GÄVLEBORGS LÄN</t>
        </is>
      </c>
      <c r="E10458" t="inlineStr">
        <is>
          <t>BOLLNÄS</t>
        </is>
      </c>
      <c r="F10458" t="inlineStr">
        <is>
          <t>Bergvik skog väst AB</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8218-2026</t>
        </is>
      </c>
      <c r="B10459" s="1" t="n">
        <v>46064</v>
      </c>
      <c r="C10459" s="1" t="n">
        <v>46086</v>
      </c>
      <c r="D10459" t="inlineStr">
        <is>
          <t>GÄVLEBORGS LÄN</t>
        </is>
      </c>
      <c r="E10459" t="inlineStr">
        <is>
          <t>BOLLNÄS</t>
        </is>
      </c>
      <c r="F10459" t="inlineStr">
        <is>
          <t>Bergvik skog väst AB</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8307-2026</t>
        </is>
      </c>
      <c r="B10460" s="1" t="n">
        <v>46064</v>
      </c>
      <c r="C10460" s="1" t="n">
        <v>46086</v>
      </c>
      <c r="D10460" t="inlineStr">
        <is>
          <t>GÄVLEBORGS LÄN</t>
        </is>
      </c>
      <c r="E10460" t="inlineStr">
        <is>
          <t>HUDIKSVALL</t>
        </is>
      </c>
      <c r="G10460" t="n">
        <v>5.6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17113-2024</t>
        </is>
      </c>
      <c r="B10461" s="1" t="n">
        <v>45412</v>
      </c>
      <c r="C10461" s="1" t="n">
        <v>46086</v>
      </c>
      <c r="D10461" t="inlineStr">
        <is>
          <t>GÄVLEBORGS LÄN</t>
        </is>
      </c>
      <c r="E10461" t="inlineStr">
        <is>
          <t>GÄVLE</t>
        </is>
      </c>
      <c r="G10461" t="n">
        <v>3.4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56631-2022</t>
        </is>
      </c>
      <c r="B10462" s="1" t="n">
        <v>44893.61184027778</v>
      </c>
      <c r="C10462" s="1" t="n">
        <v>46086</v>
      </c>
      <c r="D10462" t="inlineStr">
        <is>
          <t>GÄVLEBORGS LÄN</t>
        </is>
      </c>
      <c r="E10462" t="inlineStr">
        <is>
          <t>OCKELBO</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56637-2022</t>
        </is>
      </c>
      <c r="B10463" s="1" t="n">
        <v>44893.61770833333</v>
      </c>
      <c r="C10463" s="1" t="n">
        <v>46086</v>
      </c>
      <c r="D10463" t="inlineStr">
        <is>
          <t>GÄVLEBORGS LÄN</t>
        </is>
      </c>
      <c r="E10463" t="inlineStr">
        <is>
          <t>HUDIKSVALL</t>
        </is>
      </c>
      <c r="F10463" t="inlineStr">
        <is>
          <t>Holmen skog AB</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8972-2026</t>
        </is>
      </c>
      <c r="B10464" s="1" t="n">
        <v>46069</v>
      </c>
      <c r="C10464" s="1" t="n">
        <v>46086</v>
      </c>
      <c r="D10464" t="inlineStr">
        <is>
          <t>GÄVLEBORGS LÄN</t>
        </is>
      </c>
      <c r="E10464" t="inlineStr">
        <is>
          <t>NORDANSTIG</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64067-2025</t>
        </is>
      </c>
      <c r="B10465" s="1" t="n">
        <v>46021</v>
      </c>
      <c r="C10465" s="1" t="n">
        <v>46086</v>
      </c>
      <c r="D10465" t="inlineStr">
        <is>
          <t>GÄVLEBORGS LÄN</t>
        </is>
      </c>
      <c r="E10465" t="inlineStr">
        <is>
          <t>OVANÅKER</t>
        </is>
      </c>
      <c r="G10465" t="n">
        <v>29.4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102-2026</t>
        </is>
      </c>
      <c r="B10466" s="1" t="n">
        <v>46024</v>
      </c>
      <c r="C10466" s="1" t="n">
        <v>46086</v>
      </c>
      <c r="D10466" t="inlineStr">
        <is>
          <t>GÄVLEBORGS LÄN</t>
        </is>
      </c>
      <c r="E10466" t="inlineStr">
        <is>
          <t>SÖDERHAMN</t>
        </is>
      </c>
      <c r="G10466" t="n">
        <v>3.9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10114-2026</t>
        </is>
      </c>
      <c r="B10467" s="1" t="n">
        <v>46074.83458333334</v>
      </c>
      <c r="C10467" s="1" t="n">
        <v>46086</v>
      </c>
      <c r="D10467" t="inlineStr">
        <is>
          <t>GÄVLEBORGS LÄN</t>
        </is>
      </c>
      <c r="E10467" t="inlineStr">
        <is>
          <t>SANDVIKEN</t>
        </is>
      </c>
      <c r="F10467" t="inlineStr">
        <is>
          <t>Sveaskog</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5635-2026</t>
        </is>
      </c>
      <c r="B10468" s="1" t="n">
        <v>46051</v>
      </c>
      <c r="C10468" s="1" t="n">
        <v>46086</v>
      </c>
      <c r="D10468" t="inlineStr">
        <is>
          <t>GÄVLEBORGS LÄN</t>
        </is>
      </c>
      <c r="E10468" t="inlineStr">
        <is>
          <t>HUDIKSVALL</t>
        </is>
      </c>
      <c r="G10468" t="n">
        <v>5.6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6317-2026</t>
        </is>
      </c>
      <c r="B10469" s="1" t="n">
        <v>46055</v>
      </c>
      <c r="C10469" s="1" t="n">
        <v>46086</v>
      </c>
      <c r="D10469" t="inlineStr">
        <is>
          <t>GÄVLEBORGS LÄN</t>
        </is>
      </c>
      <c r="E10469" t="inlineStr">
        <is>
          <t>BOLLNÄS</t>
        </is>
      </c>
      <c r="G10469" t="n">
        <v>16.2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7417-2026</t>
        </is>
      </c>
      <c r="B10470" s="1" t="n">
        <v>46059</v>
      </c>
      <c r="C10470" s="1" t="n">
        <v>46086</v>
      </c>
      <c r="D10470" t="inlineStr">
        <is>
          <t>GÄVLEBORGS LÄN</t>
        </is>
      </c>
      <c r="E10470" t="inlineStr">
        <is>
          <t>BOLLNÄS</t>
        </is>
      </c>
      <c r="F10470" t="inlineStr">
        <is>
          <t>Bergvik skog väst AB</t>
        </is>
      </c>
      <c r="G10470" t="n">
        <v>15.1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64601-2021</t>
        </is>
      </c>
      <c r="B10471" s="1" t="n">
        <v>44511</v>
      </c>
      <c r="C10471" s="1" t="n">
        <v>46086</v>
      </c>
      <c r="D10471" t="inlineStr">
        <is>
          <t>GÄVLEBORGS LÄN</t>
        </is>
      </c>
      <c r="E10471" t="inlineStr">
        <is>
          <t>LJUSDAL</t>
        </is>
      </c>
      <c r="F10471" t="inlineStr">
        <is>
          <t>Kommuner</t>
        </is>
      </c>
      <c r="G10471" t="n">
        <v>4.2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7484-2026</t>
        </is>
      </c>
      <c r="B10472" s="1" t="n">
        <v>46059</v>
      </c>
      <c r="C10472" s="1" t="n">
        <v>46086</v>
      </c>
      <c r="D10472" t="inlineStr">
        <is>
          <t>GÄVLEBORGS LÄN</t>
        </is>
      </c>
      <c r="E10472" t="inlineStr">
        <is>
          <t>HUDIKSVALL</t>
        </is>
      </c>
      <c r="G10472" t="n">
        <v>2.8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10268-2026</t>
        </is>
      </c>
      <c r="B10473" s="1" t="n">
        <v>46076.57734953704</v>
      </c>
      <c r="C10473" s="1" t="n">
        <v>46086</v>
      </c>
      <c r="D10473" t="inlineStr">
        <is>
          <t>GÄVLEBORGS LÄN</t>
        </is>
      </c>
      <c r="E10473" t="inlineStr">
        <is>
          <t>OCKELBO</t>
        </is>
      </c>
      <c r="F10473" t="inlineStr">
        <is>
          <t>Bergvik skog öst AB</t>
        </is>
      </c>
      <c r="G10473" t="n">
        <v>7.7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10290-2026</t>
        </is>
      </c>
      <c r="B10474" s="1" t="n">
        <v>46076.60409722223</v>
      </c>
      <c r="C10474" s="1" t="n">
        <v>46086</v>
      </c>
      <c r="D10474" t="inlineStr">
        <is>
          <t>GÄVLEBORGS LÄN</t>
        </is>
      </c>
      <c r="E10474" t="inlineStr">
        <is>
          <t>OCKELBO</t>
        </is>
      </c>
      <c r="F10474" t="inlineStr">
        <is>
          <t>Bergvik skog öst AB</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37739-2024</t>
        </is>
      </c>
      <c r="B10475" s="1" t="n">
        <v>45541.67366898148</v>
      </c>
      <c r="C10475" s="1" t="n">
        <v>46086</v>
      </c>
      <c r="D10475" t="inlineStr">
        <is>
          <t>GÄVLEBORGS LÄN</t>
        </is>
      </c>
      <c r="E10475" t="inlineStr">
        <is>
          <t>NORDANSTIG</t>
        </is>
      </c>
      <c r="F10475" t="inlineStr">
        <is>
          <t>Holmen skog AB</t>
        </is>
      </c>
      <c r="G10475" t="n">
        <v>3.6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10345-2026</t>
        </is>
      </c>
      <c r="B10476" s="1" t="n">
        <v>46076.68724537037</v>
      </c>
      <c r="C10476" s="1" t="n">
        <v>46086</v>
      </c>
      <c r="D10476" t="inlineStr">
        <is>
          <t>GÄVLEBORGS LÄN</t>
        </is>
      </c>
      <c r="E10476" t="inlineStr">
        <is>
          <t>SÖDERHAMN</t>
        </is>
      </c>
      <c r="G10476" t="n">
        <v>5.7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10372-2026</t>
        </is>
      </c>
      <c r="B10477" s="1" t="n">
        <v>46076.78613425926</v>
      </c>
      <c r="C10477" s="1" t="n">
        <v>46086</v>
      </c>
      <c r="D10477" t="inlineStr">
        <is>
          <t>GÄVLEBORGS LÄN</t>
        </is>
      </c>
      <c r="E10477" t="inlineStr">
        <is>
          <t>HUDIKSVALL</t>
        </is>
      </c>
      <c r="F10477" t="inlineStr">
        <is>
          <t>Holmen skog AB</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10380-2026</t>
        </is>
      </c>
      <c r="B10478" s="1" t="n">
        <v>46076.84871527777</v>
      </c>
      <c r="C10478" s="1" t="n">
        <v>46086</v>
      </c>
      <c r="D10478" t="inlineStr">
        <is>
          <t>GÄVLEBORGS LÄN</t>
        </is>
      </c>
      <c r="E10478" t="inlineStr">
        <is>
          <t>BOLLNÄS</t>
        </is>
      </c>
      <c r="G10478" t="n">
        <v>7.6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10384-2026</t>
        </is>
      </c>
      <c r="B10479" s="1" t="n">
        <v>46076.89020833333</v>
      </c>
      <c r="C10479" s="1" t="n">
        <v>46086</v>
      </c>
      <c r="D10479" t="inlineStr">
        <is>
          <t>GÄVLEBORGS LÄN</t>
        </is>
      </c>
      <c r="E10479" t="inlineStr">
        <is>
          <t>BOLLNÄS</t>
        </is>
      </c>
      <c r="G10479" t="n">
        <v>3.8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10394-2026</t>
        </is>
      </c>
      <c r="B10480" s="1" t="n">
        <v>46077.3055787037</v>
      </c>
      <c r="C10480" s="1" t="n">
        <v>46086</v>
      </c>
      <c r="D10480" t="inlineStr">
        <is>
          <t>GÄVLEBORGS LÄN</t>
        </is>
      </c>
      <c r="E10480" t="inlineStr">
        <is>
          <t>BOLLNÄS</t>
        </is>
      </c>
      <c r="G10480" t="n">
        <v>2.8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52613-2024</t>
        </is>
      </c>
      <c r="B10481" s="1" t="n">
        <v>45609.84217592593</v>
      </c>
      <c r="C10481" s="1" t="n">
        <v>46086</v>
      </c>
      <c r="D10481" t="inlineStr">
        <is>
          <t>GÄVLEBORGS LÄN</t>
        </is>
      </c>
      <c r="E10481" t="inlineStr">
        <is>
          <t>BOLLNÄS</t>
        </is>
      </c>
      <c r="G10481" t="n">
        <v>3.6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1799-2026</t>
        </is>
      </c>
      <c r="B10482" s="1" t="n">
        <v>46035</v>
      </c>
      <c r="C10482" s="1" t="n">
        <v>46086</v>
      </c>
      <c r="D10482" t="inlineStr">
        <is>
          <t>GÄVLEBORGS LÄN</t>
        </is>
      </c>
      <c r="E10482" t="inlineStr">
        <is>
          <t>BOLLNÄS</t>
        </is>
      </c>
      <c r="G10482" t="n">
        <v>13.4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1800-2026</t>
        </is>
      </c>
      <c r="B10483" s="1" t="n">
        <v>46035.30980324074</v>
      </c>
      <c r="C10483" s="1" t="n">
        <v>46086</v>
      </c>
      <c r="D10483" t="inlineStr">
        <is>
          <t>GÄVLEBORGS LÄN</t>
        </is>
      </c>
      <c r="E10483" t="inlineStr">
        <is>
          <t>BOLLNÄS</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25465-2024</t>
        </is>
      </c>
      <c r="B10484" s="1" t="n">
        <v>45463.43416666667</v>
      </c>
      <c r="C10484" s="1" t="n">
        <v>46086</v>
      </c>
      <c r="D10484" t="inlineStr">
        <is>
          <t>GÄVLEBORGS LÄN</t>
        </is>
      </c>
      <c r="E10484" t="inlineStr">
        <is>
          <t>HOFORS</t>
        </is>
      </c>
      <c r="F10484" t="inlineStr">
        <is>
          <t>Sveaskog</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61938-2022</t>
        </is>
      </c>
      <c r="B10485" s="1" t="n">
        <v>44918.25254629629</v>
      </c>
      <c r="C10485" s="1" t="n">
        <v>46086</v>
      </c>
      <c r="D10485" t="inlineStr">
        <is>
          <t>GÄVLEBORGS LÄN</t>
        </is>
      </c>
      <c r="E10485" t="inlineStr">
        <is>
          <t>HUDIKSVALL</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1457-2026</t>
        </is>
      </c>
      <c r="B10486" s="1" t="n">
        <v>46033.5718287037</v>
      </c>
      <c r="C10486" s="1" t="n">
        <v>46086</v>
      </c>
      <c r="D10486" t="inlineStr">
        <is>
          <t>GÄVLEBORGS LÄN</t>
        </is>
      </c>
      <c r="E10486" t="inlineStr">
        <is>
          <t>OVANÅKER</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29687-2023</t>
        </is>
      </c>
      <c r="B10487" s="1" t="n">
        <v>45107.38415509259</v>
      </c>
      <c r="C10487" s="1" t="n">
        <v>46086</v>
      </c>
      <c r="D10487" t="inlineStr">
        <is>
          <t>GÄVLEBORGS LÄN</t>
        </is>
      </c>
      <c r="E10487" t="inlineStr">
        <is>
          <t>OCKELBO</t>
        </is>
      </c>
      <c r="F10487" t="inlineStr">
        <is>
          <t>Bergvik skog väst AB</t>
        </is>
      </c>
      <c r="G10487" t="n">
        <v>3.2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8255-2026</t>
        </is>
      </c>
      <c r="B10488" s="1" t="n">
        <v>46064</v>
      </c>
      <c r="C10488" s="1" t="n">
        <v>46086</v>
      </c>
      <c r="D10488" t="inlineStr">
        <is>
          <t>GÄVLEBORGS LÄN</t>
        </is>
      </c>
      <c r="E10488" t="inlineStr">
        <is>
          <t>OCKELBO</t>
        </is>
      </c>
      <c r="F10488" t="inlineStr">
        <is>
          <t>Bergvik skog väst AB</t>
        </is>
      </c>
      <c r="G10488" t="n">
        <v>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6706-2026</t>
        </is>
      </c>
      <c r="B10489" s="1" t="n">
        <v>46056</v>
      </c>
      <c r="C10489" s="1" t="n">
        <v>46086</v>
      </c>
      <c r="D10489" t="inlineStr">
        <is>
          <t>GÄVLEBORGS LÄN</t>
        </is>
      </c>
      <c r="E10489" t="inlineStr">
        <is>
          <t>HUDIKSVALL</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7374-2026</t>
        </is>
      </c>
      <c r="B10490" s="1" t="n">
        <v>46059</v>
      </c>
      <c r="C10490" s="1" t="n">
        <v>46086</v>
      </c>
      <c r="D10490" t="inlineStr">
        <is>
          <t>GÄVLEBORGS LÄN</t>
        </is>
      </c>
      <c r="E10490" t="inlineStr">
        <is>
          <t>BOLLNÄS</t>
        </is>
      </c>
      <c r="F10490" t="inlineStr">
        <is>
          <t>Bergvik skog väst AB</t>
        </is>
      </c>
      <c r="G10490" t="n">
        <v>2.9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10128-2026</t>
        </is>
      </c>
      <c r="B10491" s="1" t="n">
        <v>46075.84996527778</v>
      </c>
      <c r="C10491" s="1" t="n">
        <v>46086</v>
      </c>
      <c r="D10491" t="inlineStr">
        <is>
          <t>GÄVLEBORGS LÄN</t>
        </is>
      </c>
      <c r="E10491" t="inlineStr">
        <is>
          <t>BOLLNÄS</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1546-2026</t>
        </is>
      </c>
      <c r="B10492" s="1" t="n">
        <v>46034.38685185185</v>
      </c>
      <c r="C10492" s="1" t="n">
        <v>46086</v>
      </c>
      <c r="D10492" t="inlineStr">
        <is>
          <t>GÄVLEBORGS LÄN</t>
        </is>
      </c>
      <c r="E10492" t="inlineStr">
        <is>
          <t>BOLLNÄS</t>
        </is>
      </c>
      <c r="G10492" t="n">
        <v>3.5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7409-2026</t>
        </is>
      </c>
      <c r="B10493" s="1" t="n">
        <v>46059</v>
      </c>
      <c r="C10493" s="1" t="n">
        <v>46086</v>
      </c>
      <c r="D10493" t="inlineStr">
        <is>
          <t>GÄVLEBORGS LÄN</t>
        </is>
      </c>
      <c r="E10493" t="inlineStr">
        <is>
          <t>OCKELBO</t>
        </is>
      </c>
      <c r="F10493" t="inlineStr">
        <is>
          <t>Bergvik skog väst AB</t>
        </is>
      </c>
      <c r="G10493" t="n">
        <v>2.9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7415-2026</t>
        </is>
      </c>
      <c r="B10494" s="1" t="n">
        <v>46059</v>
      </c>
      <c r="C10494" s="1" t="n">
        <v>46086</v>
      </c>
      <c r="D10494" t="inlineStr">
        <is>
          <t>GÄVLEBORGS LÄN</t>
        </is>
      </c>
      <c r="E10494" t="inlineStr">
        <is>
          <t>BOLLNÄS</t>
        </is>
      </c>
      <c r="F10494" t="inlineStr">
        <is>
          <t>Bergvik skog väst AB</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9585-2026</t>
        </is>
      </c>
      <c r="B10495" s="1" t="n">
        <v>46071</v>
      </c>
      <c r="C10495" s="1" t="n">
        <v>46086</v>
      </c>
      <c r="D10495" t="inlineStr">
        <is>
          <t>GÄVLEBORGS LÄN</t>
        </is>
      </c>
      <c r="E10495" t="inlineStr">
        <is>
          <t>HUDIKSVALL</t>
        </is>
      </c>
      <c r="G10495" t="n">
        <v>5.7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1688-2026</t>
        </is>
      </c>
      <c r="B10496" s="1" t="n">
        <v>46034.58560185185</v>
      </c>
      <c r="C10496" s="1" t="n">
        <v>46086</v>
      </c>
      <c r="D10496" t="inlineStr">
        <is>
          <t>GÄVLEBORGS LÄN</t>
        </is>
      </c>
      <c r="E10496" t="inlineStr">
        <is>
          <t>HUDIKSVALL</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7979-2026</t>
        </is>
      </c>
      <c r="B10497" s="1" t="n">
        <v>46063</v>
      </c>
      <c r="C10497" s="1" t="n">
        <v>46086</v>
      </c>
      <c r="D10497" t="inlineStr">
        <is>
          <t>GÄVLEBORGS LÄN</t>
        </is>
      </c>
      <c r="E10497" t="inlineStr">
        <is>
          <t>HUDIKSVALL</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7982-2026</t>
        </is>
      </c>
      <c r="B10498" s="1" t="n">
        <v>46063</v>
      </c>
      <c r="C10498" s="1" t="n">
        <v>46086</v>
      </c>
      <c r="D10498" t="inlineStr">
        <is>
          <t>GÄVLEBORGS LÄN</t>
        </is>
      </c>
      <c r="E10498" t="inlineStr">
        <is>
          <t>SANDVIKEN</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7984-2026</t>
        </is>
      </c>
      <c r="B10499" s="1" t="n">
        <v>46063.4906712963</v>
      </c>
      <c r="C10499" s="1" t="n">
        <v>46086</v>
      </c>
      <c r="D10499" t="inlineStr">
        <is>
          <t>GÄVLEBORGS LÄN</t>
        </is>
      </c>
      <c r="E10499" t="inlineStr">
        <is>
          <t>HUDIKSVALL</t>
        </is>
      </c>
      <c r="F10499" t="inlineStr">
        <is>
          <t>Sveaskog</t>
        </is>
      </c>
      <c r="G10499" t="n">
        <v>3.6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32297-2024</t>
        </is>
      </c>
      <c r="B10500" s="1" t="n">
        <v>45512.43391203704</v>
      </c>
      <c r="C10500" s="1" t="n">
        <v>46086</v>
      </c>
      <c r="D10500" t="inlineStr">
        <is>
          <t>GÄVLEBORGS LÄN</t>
        </is>
      </c>
      <c r="E10500" t="inlineStr">
        <is>
          <t>GÄVLE</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9870-2026</t>
        </is>
      </c>
      <c r="B10501" s="1" t="n">
        <v>46073</v>
      </c>
      <c r="C10501" s="1" t="n">
        <v>46086</v>
      </c>
      <c r="D10501" t="inlineStr">
        <is>
          <t>GÄVLEBORGS LÄN</t>
        </is>
      </c>
      <c r="E10501" t="inlineStr">
        <is>
          <t>SÖDERHAMN</t>
        </is>
      </c>
      <c r="G10501" t="n">
        <v>3.4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2602-2026</t>
        </is>
      </c>
      <c r="B10502" s="1" t="n">
        <v>46035</v>
      </c>
      <c r="C10502" s="1" t="n">
        <v>46086</v>
      </c>
      <c r="D10502" t="inlineStr">
        <is>
          <t>GÄVLEBORGS LÄN</t>
        </is>
      </c>
      <c r="E10502" t="inlineStr">
        <is>
          <t>BOLLNÄS</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4097-2026</t>
        </is>
      </c>
      <c r="B10503" s="1" t="n">
        <v>46044</v>
      </c>
      <c r="C10503" s="1" t="n">
        <v>46086</v>
      </c>
      <c r="D10503" t="inlineStr">
        <is>
          <t>GÄVLEBORGS LÄN</t>
        </is>
      </c>
      <c r="E10503" t="inlineStr">
        <is>
          <t>BOLLNÄS</t>
        </is>
      </c>
      <c r="F10503" t="inlineStr">
        <is>
          <t>Bergvik skog väst AB</t>
        </is>
      </c>
      <c r="G10503" t="n">
        <v>3.6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6308-2022</t>
        </is>
      </c>
      <c r="B10504" s="1" t="n">
        <v>44600.53630787037</v>
      </c>
      <c r="C10504" s="1" t="n">
        <v>46086</v>
      </c>
      <c r="D10504" t="inlineStr">
        <is>
          <t>GÄVLEBORGS LÄN</t>
        </is>
      </c>
      <c r="E10504" t="inlineStr">
        <is>
          <t>LJUSDAL</t>
        </is>
      </c>
      <c r="G10504" t="n">
        <v>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56634-2023</t>
        </is>
      </c>
      <c r="B10505" s="1" t="n">
        <v>45243.71267361111</v>
      </c>
      <c r="C10505" s="1" t="n">
        <v>46086</v>
      </c>
      <c r="D10505" t="inlineStr">
        <is>
          <t>GÄVLEBORGS LÄN</t>
        </is>
      </c>
      <c r="E10505" t="inlineStr">
        <is>
          <t>OCKELBO</t>
        </is>
      </c>
      <c r="G10505" t="n">
        <v>4.7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57753-2023</t>
        </is>
      </c>
      <c r="B10506" s="1" t="n">
        <v>45246.78600694444</v>
      </c>
      <c r="C10506" s="1" t="n">
        <v>46086</v>
      </c>
      <c r="D10506" t="inlineStr">
        <is>
          <t>GÄVLEBORGS LÄN</t>
        </is>
      </c>
      <c r="E10506" t="inlineStr">
        <is>
          <t>SÖDERHAMN</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11533-2021</t>
        </is>
      </c>
      <c r="B10507" s="1" t="n">
        <v>44264</v>
      </c>
      <c r="C10507" s="1" t="n">
        <v>46086</v>
      </c>
      <c r="D10507" t="inlineStr">
        <is>
          <t>GÄVLEBORGS LÄN</t>
        </is>
      </c>
      <c r="E10507" t="inlineStr">
        <is>
          <t>OVANÅKER</t>
        </is>
      </c>
      <c r="G10507" t="n">
        <v>0</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11540-2021</t>
        </is>
      </c>
      <c r="B10508" s="1" t="n">
        <v>44264</v>
      </c>
      <c r="C10508" s="1" t="n">
        <v>46086</v>
      </c>
      <c r="D10508" t="inlineStr">
        <is>
          <t>GÄVLEBORGS LÄN</t>
        </is>
      </c>
      <c r="E10508" t="inlineStr">
        <is>
          <t>OVANÅKER</t>
        </is>
      </c>
      <c r="G10508" t="n">
        <v>0</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10238-2024</t>
        </is>
      </c>
      <c r="B10509" s="1" t="n">
        <v>45365.36416666667</v>
      </c>
      <c r="C10509" s="1" t="n">
        <v>46086</v>
      </c>
      <c r="D10509" t="inlineStr">
        <is>
          <t>GÄVLEBORGS LÄN</t>
        </is>
      </c>
      <c r="E10509" t="inlineStr">
        <is>
          <t>OCKELBO</t>
        </is>
      </c>
      <c r="F10509" t="inlineStr">
        <is>
          <t>Kyrkan</t>
        </is>
      </c>
      <c r="G10509" t="n">
        <v>4.1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34175-2022</t>
        </is>
      </c>
      <c r="B10510" s="1" t="n">
        <v>44791</v>
      </c>
      <c r="C10510" s="1" t="n">
        <v>46086</v>
      </c>
      <c r="D10510" t="inlineStr">
        <is>
          <t>GÄVLEBORGS LÄN</t>
        </is>
      </c>
      <c r="E10510" t="inlineStr">
        <is>
          <t>BOLLNÄS</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49401-2024</t>
        </is>
      </c>
      <c r="B10511" s="1" t="n">
        <v>45595.67429398148</v>
      </c>
      <c r="C10511" s="1" t="n">
        <v>46086</v>
      </c>
      <c r="D10511" t="inlineStr">
        <is>
          <t>GÄVLEBORGS LÄN</t>
        </is>
      </c>
      <c r="E10511" t="inlineStr">
        <is>
          <t>GÄVLE</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12800-2025</t>
        </is>
      </c>
      <c r="B10512" s="1" t="n">
        <v>45733.61204861111</v>
      </c>
      <c r="C10512" s="1" t="n">
        <v>46086</v>
      </c>
      <c r="D10512" t="inlineStr">
        <is>
          <t>GÄVLEBORGS LÄN</t>
        </is>
      </c>
      <c r="E10512" t="inlineStr">
        <is>
          <t>BOLLNÄS</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12858-2025</t>
        </is>
      </c>
      <c r="B10513" s="1" t="n">
        <v>45733.66342592592</v>
      </c>
      <c r="C10513" s="1" t="n">
        <v>46086</v>
      </c>
      <c r="D10513" t="inlineStr">
        <is>
          <t>GÄVLEBORGS LÄN</t>
        </is>
      </c>
      <c r="E10513" t="inlineStr">
        <is>
          <t>NORDANSTIG</t>
        </is>
      </c>
      <c r="F10513" t="inlineStr">
        <is>
          <t>Holmen skog AB</t>
        </is>
      </c>
      <c r="G10513" t="n">
        <v>5.4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12867-2025</t>
        </is>
      </c>
      <c r="B10514" s="1" t="n">
        <v>45733.67521990741</v>
      </c>
      <c r="C10514" s="1" t="n">
        <v>46086</v>
      </c>
      <c r="D10514" t="inlineStr">
        <is>
          <t>GÄVLEBORGS LÄN</t>
        </is>
      </c>
      <c r="E10514" t="inlineStr">
        <is>
          <t>BOLLNÄS</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28658-2024</t>
        </is>
      </c>
      <c r="B10515" s="1" t="n">
        <v>45478.47041666666</v>
      </c>
      <c r="C10515" s="1" t="n">
        <v>46086</v>
      </c>
      <c r="D10515" t="inlineStr">
        <is>
          <t>GÄVLEBORGS LÄN</t>
        </is>
      </c>
      <c r="E10515" t="inlineStr">
        <is>
          <t>BOLLNÄS</t>
        </is>
      </c>
      <c r="F10515" t="inlineStr">
        <is>
          <t>Bergvik skog väst AB</t>
        </is>
      </c>
      <c r="G10515" t="n">
        <v>0.4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72644-2021</t>
        </is>
      </c>
      <c r="B10516" s="1" t="n">
        <v>44546.58009259259</v>
      </c>
      <c r="C10516" s="1" t="n">
        <v>46086</v>
      </c>
      <c r="D10516" t="inlineStr">
        <is>
          <t>GÄVLEBORGS LÄN</t>
        </is>
      </c>
      <c r="E10516" t="inlineStr">
        <is>
          <t>SÖDERHAMN</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48188-2023</t>
        </is>
      </c>
      <c r="B10517" s="1" t="n">
        <v>45205.45511574074</v>
      </c>
      <c r="C10517" s="1" t="n">
        <v>46086</v>
      </c>
      <c r="D10517" t="inlineStr">
        <is>
          <t>GÄVLEBORGS LÄN</t>
        </is>
      </c>
      <c r="E10517" t="inlineStr">
        <is>
          <t>LJUSDAL</t>
        </is>
      </c>
      <c r="G10517" t="n">
        <v>4.2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300-2024</t>
        </is>
      </c>
      <c r="B10518" s="1" t="n">
        <v>45295.47097222223</v>
      </c>
      <c r="C10518" s="1" t="n">
        <v>46086</v>
      </c>
      <c r="D10518" t="inlineStr">
        <is>
          <t>GÄVLEBORGS LÄN</t>
        </is>
      </c>
      <c r="E10518" t="inlineStr">
        <is>
          <t>SÖDERHAMN</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46539-2021</t>
        </is>
      </c>
      <c r="B10519" s="1" t="n">
        <v>44445.46751157408</v>
      </c>
      <c r="C10519" s="1" t="n">
        <v>46086</v>
      </c>
      <c r="D10519" t="inlineStr">
        <is>
          <t>GÄVLEBORGS LÄN</t>
        </is>
      </c>
      <c r="E10519" t="inlineStr">
        <is>
          <t>GÄVLE</t>
        </is>
      </c>
      <c r="F10519" t="inlineStr">
        <is>
          <t>Bergvik skog väst AB</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17505-2025</t>
        </is>
      </c>
      <c r="B10520" s="1" t="n">
        <v>45757.55423611111</v>
      </c>
      <c r="C10520" s="1" t="n">
        <v>46086</v>
      </c>
      <c r="D10520" t="inlineStr">
        <is>
          <t>GÄVLEBORGS LÄN</t>
        </is>
      </c>
      <c r="E10520" t="inlineStr">
        <is>
          <t>NORDANSTIG</t>
        </is>
      </c>
      <c r="F10520" t="inlineStr">
        <is>
          <t>Holmen skog AB</t>
        </is>
      </c>
      <c r="G10520" t="n">
        <v>8.300000000000001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17517-2025</t>
        </is>
      </c>
      <c r="B10521" s="1" t="n">
        <v>45757.57515046297</v>
      </c>
      <c r="C10521" s="1" t="n">
        <v>46086</v>
      </c>
      <c r="D10521" t="inlineStr">
        <is>
          <t>GÄVLEBORGS LÄN</t>
        </is>
      </c>
      <c r="E10521" t="inlineStr">
        <is>
          <t>SÖDERHAMN</t>
        </is>
      </c>
      <c r="F10521" t="inlineStr">
        <is>
          <t>Kommuner</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35737-2023</t>
        </is>
      </c>
      <c r="B10522" s="1" t="n">
        <v>45147</v>
      </c>
      <c r="C10522" s="1" t="n">
        <v>46086</v>
      </c>
      <c r="D10522" t="inlineStr">
        <is>
          <t>GÄVLEBORGS LÄN</t>
        </is>
      </c>
      <c r="E10522" t="inlineStr">
        <is>
          <t>HUDIKSVALL</t>
        </is>
      </c>
      <c r="G10522" t="n">
        <v>2.4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11599-2024</t>
        </is>
      </c>
      <c r="B10523" s="1" t="n">
        <v>45373.38446759259</v>
      </c>
      <c r="C10523" s="1" t="n">
        <v>46086</v>
      </c>
      <c r="D10523" t="inlineStr">
        <is>
          <t>GÄVLEBORGS LÄN</t>
        </is>
      </c>
      <c r="E10523" t="inlineStr">
        <is>
          <t>NORDANSTIG</t>
        </is>
      </c>
      <c r="F10523" t="inlineStr">
        <is>
          <t>Holmen skog AB</t>
        </is>
      </c>
      <c r="G10523" t="n">
        <v>3.4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56148-2024</t>
        </is>
      </c>
      <c r="B10524" s="1" t="n">
        <v>45624.51108796296</v>
      </c>
      <c r="C10524" s="1" t="n">
        <v>46086</v>
      </c>
      <c r="D10524" t="inlineStr">
        <is>
          <t>GÄVLEBORGS LÄN</t>
        </is>
      </c>
      <c r="E10524" t="inlineStr">
        <is>
          <t>SANDVIKEN</t>
        </is>
      </c>
      <c r="G10524" t="n">
        <v>3.1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1716-2025</t>
        </is>
      </c>
      <c r="B10525" s="1" t="n">
        <v>45671.3278587963</v>
      </c>
      <c r="C10525" s="1" t="n">
        <v>46086</v>
      </c>
      <c r="D10525" t="inlineStr">
        <is>
          <t>GÄVLEBORGS LÄN</t>
        </is>
      </c>
      <c r="E10525" t="inlineStr">
        <is>
          <t>OCKELBO</t>
        </is>
      </c>
      <c r="F10525" t="inlineStr">
        <is>
          <t>Bergvik skog väst AB</t>
        </is>
      </c>
      <c r="G10525" t="n">
        <v>3.2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58912-2024</t>
        </is>
      </c>
      <c r="B10526" s="1" t="n">
        <v>45636.48331018518</v>
      </c>
      <c r="C10526" s="1" t="n">
        <v>46086</v>
      </c>
      <c r="D10526" t="inlineStr">
        <is>
          <t>GÄVLEBORGS LÄN</t>
        </is>
      </c>
      <c r="E10526" t="inlineStr">
        <is>
          <t>NORDANSTIG</t>
        </is>
      </c>
      <c r="F10526" t="inlineStr">
        <is>
          <t>Holmen skog AB</t>
        </is>
      </c>
      <c r="G10526" t="n">
        <v>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55962-2022</t>
        </is>
      </c>
      <c r="B10527" s="1" t="n">
        <v>44889</v>
      </c>
      <c r="C10527" s="1" t="n">
        <v>46086</v>
      </c>
      <c r="D10527" t="inlineStr">
        <is>
          <t>GÄVLEBORGS LÄN</t>
        </is>
      </c>
      <c r="E10527" t="inlineStr">
        <is>
          <t>LJUSDAL</t>
        </is>
      </c>
      <c r="G10527" t="n">
        <v>0.1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23796-2024</t>
        </is>
      </c>
      <c r="B10528" s="1" t="n">
        <v>45455.43077546296</v>
      </c>
      <c r="C10528" s="1" t="n">
        <v>46086</v>
      </c>
      <c r="D10528" t="inlineStr">
        <is>
          <t>GÄVLEBORGS LÄN</t>
        </is>
      </c>
      <c r="E10528" t="inlineStr">
        <is>
          <t>BOLLNÄS</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13174-2024</t>
        </is>
      </c>
      <c r="B10529" s="1" t="n">
        <v>45386.41466435185</v>
      </c>
      <c r="C10529" s="1" t="n">
        <v>46086</v>
      </c>
      <c r="D10529" t="inlineStr">
        <is>
          <t>GÄVLEBORGS LÄN</t>
        </is>
      </c>
      <c r="E10529" t="inlineStr">
        <is>
          <t>NORDANSTIG</t>
        </is>
      </c>
      <c r="F10529" t="inlineStr">
        <is>
          <t>Holmen skog AB</t>
        </is>
      </c>
      <c r="G10529" t="n">
        <v>3.4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13179-2024</t>
        </is>
      </c>
      <c r="B10530" s="1" t="n">
        <v>45386.42899305555</v>
      </c>
      <c r="C10530" s="1" t="n">
        <v>46086</v>
      </c>
      <c r="D10530" t="inlineStr">
        <is>
          <t>GÄVLEBORGS LÄN</t>
        </is>
      </c>
      <c r="E10530" t="inlineStr">
        <is>
          <t>NORDANSTIG</t>
        </is>
      </c>
      <c r="F10530" t="inlineStr">
        <is>
          <t>Holmen skog AB</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60291-2022</t>
        </is>
      </c>
      <c r="B10531" s="1" t="n">
        <v>44910.54173611111</v>
      </c>
      <c r="C10531" s="1" t="n">
        <v>46086</v>
      </c>
      <c r="D10531" t="inlineStr">
        <is>
          <t>GÄVLEBORGS LÄN</t>
        </is>
      </c>
      <c r="E10531" t="inlineStr">
        <is>
          <t>OVANÅKER</t>
        </is>
      </c>
      <c r="F10531" t="inlineStr">
        <is>
          <t>Sveaskog</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64871-2023</t>
        </is>
      </c>
      <c r="B10532" s="1" t="n">
        <v>45282</v>
      </c>
      <c r="C10532" s="1" t="n">
        <v>46086</v>
      </c>
      <c r="D10532" t="inlineStr">
        <is>
          <t>GÄVLEBORGS LÄN</t>
        </is>
      </c>
      <c r="E10532" t="inlineStr">
        <is>
          <t>GÄVLE</t>
        </is>
      </c>
      <c r="G10532" t="n">
        <v>0.3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64875-2023</t>
        </is>
      </c>
      <c r="B10533" s="1" t="n">
        <v>45282</v>
      </c>
      <c r="C10533" s="1" t="n">
        <v>46086</v>
      </c>
      <c r="D10533" t="inlineStr">
        <is>
          <t>GÄVLEBORGS LÄN</t>
        </is>
      </c>
      <c r="E10533" t="inlineStr">
        <is>
          <t>GÄVLE</t>
        </is>
      </c>
      <c r="G10533" t="n">
        <v>0.1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64878-2023</t>
        </is>
      </c>
      <c r="B10534" s="1" t="n">
        <v>45282</v>
      </c>
      <c r="C10534" s="1" t="n">
        <v>46086</v>
      </c>
      <c r="D10534" t="inlineStr">
        <is>
          <t>GÄVLEBORGS LÄN</t>
        </is>
      </c>
      <c r="E10534" t="inlineStr">
        <is>
          <t>GÄVLE</t>
        </is>
      </c>
      <c r="G10534" t="n">
        <v>0</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57100-2024</t>
        </is>
      </c>
      <c r="B10535" s="1" t="n">
        <v>45629</v>
      </c>
      <c r="C10535" s="1" t="n">
        <v>46086</v>
      </c>
      <c r="D10535" t="inlineStr">
        <is>
          <t>GÄVLEBORGS LÄN</t>
        </is>
      </c>
      <c r="E10535" t="inlineStr">
        <is>
          <t>OVANÅKER</t>
        </is>
      </c>
      <c r="F10535" t="inlineStr">
        <is>
          <t>Bergvik skog väst AB</t>
        </is>
      </c>
      <c r="G10535" t="n">
        <v>0.4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43665-2023</t>
        </is>
      </c>
      <c r="B10536" s="1" t="n">
        <v>45187.36105324074</v>
      </c>
      <c r="C10536" s="1" t="n">
        <v>46086</v>
      </c>
      <c r="D10536" t="inlineStr">
        <is>
          <t>GÄVLEBORGS LÄN</t>
        </is>
      </c>
      <c r="E10536" t="inlineStr">
        <is>
          <t>HUDIKSVALL</t>
        </is>
      </c>
      <c r="F10536" t="inlineStr">
        <is>
          <t>Holmen skog AB</t>
        </is>
      </c>
      <c r="G10536" t="n">
        <v>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49762-2024</t>
        </is>
      </c>
      <c r="B10537" s="1" t="n">
        <v>45597.33159722222</v>
      </c>
      <c r="C10537" s="1" t="n">
        <v>46086</v>
      </c>
      <c r="D10537" t="inlineStr">
        <is>
          <t>GÄVLEBORGS LÄN</t>
        </is>
      </c>
      <c r="E10537" t="inlineStr">
        <is>
          <t>SÖDERHAMN</t>
        </is>
      </c>
      <c r="G10537" t="n">
        <v>3.2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58141-2024</t>
        </is>
      </c>
      <c r="B10538" s="1" t="n">
        <v>45632.42275462963</v>
      </c>
      <c r="C10538" s="1" t="n">
        <v>46086</v>
      </c>
      <c r="D10538" t="inlineStr">
        <is>
          <t>GÄVLEBORGS LÄN</t>
        </is>
      </c>
      <c r="E10538" t="inlineStr">
        <is>
          <t>SÖDERHAMN</t>
        </is>
      </c>
      <c r="F10538" t="inlineStr">
        <is>
          <t>Bergvik skog väst AB</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21251-2023</t>
        </is>
      </c>
      <c r="B10539" s="1" t="n">
        <v>45062</v>
      </c>
      <c r="C10539" s="1" t="n">
        <v>46086</v>
      </c>
      <c r="D10539" t="inlineStr">
        <is>
          <t>GÄVLEBORGS LÄN</t>
        </is>
      </c>
      <c r="E10539" t="inlineStr">
        <is>
          <t>HUDIKSVALL</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21283-2023</t>
        </is>
      </c>
      <c r="B10540" s="1" t="n">
        <v>45062.64236111111</v>
      </c>
      <c r="C10540" s="1" t="n">
        <v>46086</v>
      </c>
      <c r="D10540" t="inlineStr">
        <is>
          <t>GÄVLEBORGS LÄN</t>
        </is>
      </c>
      <c r="E10540" t="inlineStr">
        <is>
          <t>SÖDERHAMN</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23985-2022</t>
        </is>
      </c>
      <c r="B10541" s="1" t="n">
        <v>44722.9260300926</v>
      </c>
      <c r="C10541" s="1" t="n">
        <v>46086</v>
      </c>
      <c r="D10541" t="inlineStr">
        <is>
          <t>GÄVLEBORGS LÄN</t>
        </is>
      </c>
      <c r="E10541" t="inlineStr">
        <is>
          <t>LJUSDAL</t>
        </is>
      </c>
      <c r="G10541" t="n">
        <v>6.6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18828-2024</t>
        </is>
      </c>
      <c r="B10542" s="1" t="n">
        <v>45426</v>
      </c>
      <c r="C10542" s="1" t="n">
        <v>46086</v>
      </c>
      <c r="D10542" t="inlineStr">
        <is>
          <t>GÄVLEBORGS LÄN</t>
        </is>
      </c>
      <c r="E10542" t="inlineStr">
        <is>
          <t>HUDIKSVALL</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63309-2023</t>
        </is>
      </c>
      <c r="B10543" s="1" t="n">
        <v>45274.3437037037</v>
      </c>
      <c r="C10543" s="1" t="n">
        <v>46086</v>
      </c>
      <c r="D10543" t="inlineStr">
        <is>
          <t>GÄVLEBORGS LÄN</t>
        </is>
      </c>
      <c r="E10543" t="inlineStr">
        <is>
          <t>SANDVIKEN</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49207-2023</t>
        </is>
      </c>
      <c r="B10544" s="1" t="n">
        <v>45210</v>
      </c>
      <c r="C10544" s="1" t="n">
        <v>46086</v>
      </c>
      <c r="D10544" t="inlineStr">
        <is>
          <t>GÄVLEBORGS LÄN</t>
        </is>
      </c>
      <c r="E10544" t="inlineStr">
        <is>
          <t>OCKELBO</t>
        </is>
      </c>
      <c r="G10544" t="n">
        <v>0.1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17052-2023</t>
        </is>
      </c>
      <c r="B10545" s="1" t="n">
        <v>45034.44483796296</v>
      </c>
      <c r="C10545" s="1" t="n">
        <v>46086</v>
      </c>
      <c r="D10545" t="inlineStr">
        <is>
          <t>GÄVLEBORGS LÄN</t>
        </is>
      </c>
      <c r="E10545" t="inlineStr">
        <is>
          <t>NORDANSTIG</t>
        </is>
      </c>
      <c r="F10545" t="inlineStr">
        <is>
          <t>Holmen skog AB</t>
        </is>
      </c>
      <c r="G10545" t="n">
        <v>8.6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18988-2022</t>
        </is>
      </c>
      <c r="B10546" s="1" t="n">
        <v>44690</v>
      </c>
      <c r="C10546" s="1" t="n">
        <v>46086</v>
      </c>
      <c r="D10546" t="inlineStr">
        <is>
          <t>GÄVLEBORGS LÄN</t>
        </is>
      </c>
      <c r="E10546" t="inlineStr">
        <is>
          <t>NORDANSTIG</t>
        </is>
      </c>
      <c r="G10546" t="n">
        <v>9.300000000000001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35963-2023</t>
        </is>
      </c>
      <c r="B10547" s="1" t="n">
        <v>45148.86685185185</v>
      </c>
      <c r="C10547" s="1" t="n">
        <v>46086</v>
      </c>
      <c r="D10547" t="inlineStr">
        <is>
          <t>GÄVLEBORGS LÄN</t>
        </is>
      </c>
      <c r="E10547" t="inlineStr">
        <is>
          <t>HUDIKSVALL</t>
        </is>
      </c>
      <c r="G10547" t="n">
        <v>9.699999999999999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13894-2025</t>
        </is>
      </c>
      <c r="B10548" s="1" t="n">
        <v>45737.62081018519</v>
      </c>
      <c r="C10548" s="1" t="n">
        <v>46086</v>
      </c>
      <c r="D10548" t="inlineStr">
        <is>
          <t>GÄVLEBORGS LÄN</t>
        </is>
      </c>
      <c r="E10548" t="inlineStr">
        <is>
          <t>LJUSDAL</t>
        </is>
      </c>
      <c r="G10548" t="n">
        <v>5.2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20653-2024</t>
        </is>
      </c>
      <c r="B10549" s="1" t="n">
        <v>45436.53184027778</v>
      </c>
      <c r="C10549" s="1" t="n">
        <v>46086</v>
      </c>
      <c r="D10549" t="inlineStr">
        <is>
          <t>GÄVLEBORGS LÄN</t>
        </is>
      </c>
      <c r="E10549" t="inlineStr">
        <is>
          <t>LJUSDAL</t>
        </is>
      </c>
      <c r="F10549" t="inlineStr">
        <is>
          <t>Sveaskog</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21709-2024</t>
        </is>
      </c>
      <c r="B10550" s="1" t="n">
        <v>45442.47200231482</v>
      </c>
      <c r="C10550" s="1" t="n">
        <v>46086</v>
      </c>
      <c r="D10550" t="inlineStr">
        <is>
          <t>GÄVLEBORGS LÄN</t>
        </is>
      </c>
      <c r="E10550" t="inlineStr">
        <is>
          <t>LJUSDAL</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56158-2024</t>
        </is>
      </c>
      <c r="B10551" s="1" t="n">
        <v>45624.53408564815</v>
      </c>
      <c r="C10551" s="1" t="n">
        <v>46086</v>
      </c>
      <c r="D10551" t="inlineStr">
        <is>
          <t>GÄVLEBORGS LÄN</t>
        </is>
      </c>
      <c r="E10551" t="inlineStr">
        <is>
          <t>LJUSDAL</t>
        </is>
      </c>
      <c r="G10551" t="n">
        <v>7.5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31927-2021</t>
        </is>
      </c>
      <c r="B10552" s="1" t="n">
        <v>44370.49378472222</v>
      </c>
      <c r="C10552" s="1" t="n">
        <v>46086</v>
      </c>
      <c r="D10552" t="inlineStr">
        <is>
          <t>GÄVLEBORGS LÄN</t>
        </is>
      </c>
      <c r="E10552" t="inlineStr">
        <is>
          <t>SÖDERHAMN</t>
        </is>
      </c>
      <c r="F10552" t="inlineStr">
        <is>
          <t>Bergvik skog väst AB</t>
        </is>
      </c>
      <c r="G10552" t="n">
        <v>2.9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12935-2025</t>
        </is>
      </c>
      <c r="B10553" s="1" t="n">
        <v>45734.35393518519</v>
      </c>
      <c r="C10553" s="1" t="n">
        <v>46086</v>
      </c>
      <c r="D10553" t="inlineStr">
        <is>
          <t>GÄVLEBORGS LÄN</t>
        </is>
      </c>
      <c r="E10553" t="inlineStr">
        <is>
          <t>BOLLNÄS</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14479-2023</t>
        </is>
      </c>
      <c r="B10554" s="1" t="n">
        <v>45012</v>
      </c>
      <c r="C10554" s="1" t="n">
        <v>46086</v>
      </c>
      <c r="D10554" t="inlineStr">
        <is>
          <t>GÄVLEBORGS LÄN</t>
        </is>
      </c>
      <c r="E10554" t="inlineStr">
        <is>
          <t>LJUSDAL</t>
        </is>
      </c>
      <c r="F10554" t="inlineStr">
        <is>
          <t>Kyrkan</t>
        </is>
      </c>
      <c r="G10554" t="n">
        <v>27.5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56082-2024</t>
        </is>
      </c>
      <c r="B10555" s="1" t="n">
        <v>45624.39293981482</v>
      </c>
      <c r="C10555" s="1" t="n">
        <v>46086</v>
      </c>
      <c r="D10555" t="inlineStr">
        <is>
          <t>GÄVLEBORGS LÄN</t>
        </is>
      </c>
      <c r="E10555" t="inlineStr">
        <is>
          <t>LJUSDAL</t>
        </is>
      </c>
      <c r="G10555" t="n">
        <v>3.9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56087-2024</t>
        </is>
      </c>
      <c r="B10556" s="1" t="n">
        <v>45624</v>
      </c>
      <c r="C10556" s="1" t="n">
        <v>46086</v>
      </c>
      <c r="D10556" t="inlineStr">
        <is>
          <t>GÄVLEBORGS LÄN</t>
        </is>
      </c>
      <c r="E10556" t="inlineStr">
        <is>
          <t>OVANÅKER</t>
        </is>
      </c>
      <c r="G10556" t="n">
        <v>5.4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20778-2023</t>
        </is>
      </c>
      <c r="B10557" s="1" t="n">
        <v>45058.5878125</v>
      </c>
      <c r="C10557" s="1" t="n">
        <v>46086</v>
      </c>
      <c r="D10557" t="inlineStr">
        <is>
          <t>GÄVLEBORGS LÄN</t>
        </is>
      </c>
      <c r="E10557" t="inlineStr">
        <is>
          <t>BOLLNÄS</t>
        </is>
      </c>
      <c r="F10557" t="inlineStr">
        <is>
          <t>Sveaskog</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31176-2023</t>
        </is>
      </c>
      <c r="B10558" s="1" t="n">
        <v>45113.90611111111</v>
      </c>
      <c r="C10558" s="1" t="n">
        <v>46086</v>
      </c>
      <c r="D10558" t="inlineStr">
        <is>
          <t>GÄVLEBORGS LÄN</t>
        </is>
      </c>
      <c r="E10558" t="inlineStr">
        <is>
          <t>SÖDERHAMN</t>
        </is>
      </c>
      <c r="G10558" t="n">
        <v>2.9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32365-2023</t>
        </is>
      </c>
      <c r="B10559" s="1" t="n">
        <v>45120.56810185185</v>
      </c>
      <c r="C10559" s="1" t="n">
        <v>46086</v>
      </c>
      <c r="D10559" t="inlineStr">
        <is>
          <t>GÄVLEBORGS LÄN</t>
        </is>
      </c>
      <c r="E10559" t="inlineStr">
        <is>
          <t>LJUSDAL</t>
        </is>
      </c>
      <c r="F10559" t="inlineStr">
        <is>
          <t>Holmen skog AB</t>
        </is>
      </c>
      <c r="G10559" t="n">
        <v>2.5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17776-2025</t>
        </is>
      </c>
      <c r="B10560" s="1" t="n">
        <v>45758.52517361111</v>
      </c>
      <c r="C10560" s="1" t="n">
        <v>46086</v>
      </c>
      <c r="D10560" t="inlineStr">
        <is>
          <t>GÄVLEBORGS LÄN</t>
        </is>
      </c>
      <c r="E10560" t="inlineStr">
        <is>
          <t>BOLLNÄS</t>
        </is>
      </c>
      <c r="G10560" t="n">
        <v>0.4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17818-2025</t>
        </is>
      </c>
      <c r="B10561" s="1" t="n">
        <v>45758.56565972222</v>
      </c>
      <c r="C10561" s="1" t="n">
        <v>46086</v>
      </c>
      <c r="D10561" t="inlineStr">
        <is>
          <t>GÄVLEBORGS LÄN</t>
        </is>
      </c>
      <c r="E10561" t="inlineStr">
        <is>
          <t>SANDVIKEN</t>
        </is>
      </c>
      <c r="F10561" t="inlineStr">
        <is>
          <t>Sveaskog</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14891-2024</t>
        </is>
      </c>
      <c r="B10562" s="1" t="n">
        <v>45398</v>
      </c>
      <c r="C10562" s="1" t="n">
        <v>46086</v>
      </c>
      <c r="D10562" t="inlineStr">
        <is>
          <t>GÄVLEBORGS LÄN</t>
        </is>
      </c>
      <c r="E10562" t="inlineStr">
        <is>
          <t>GÄVLE</t>
        </is>
      </c>
      <c r="F10562" t="inlineStr">
        <is>
          <t>Bergvik skog öst AB</t>
        </is>
      </c>
      <c r="G10562" t="n">
        <v>10.8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57253-2023</t>
        </is>
      </c>
      <c r="B10563" s="1" t="n">
        <v>45245</v>
      </c>
      <c r="C10563" s="1" t="n">
        <v>46086</v>
      </c>
      <c r="D10563" t="inlineStr">
        <is>
          <t>GÄVLEBORGS LÄN</t>
        </is>
      </c>
      <c r="E10563" t="inlineStr">
        <is>
          <t>NORDANSTIG</t>
        </is>
      </c>
      <c r="F10563" t="inlineStr">
        <is>
          <t>Holmen skog AB</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45629-2023</t>
        </is>
      </c>
      <c r="B10564" s="1" t="n">
        <v>45194</v>
      </c>
      <c r="C10564" s="1" t="n">
        <v>46086</v>
      </c>
      <c r="D10564" t="inlineStr">
        <is>
          <t>GÄVLEBORGS LÄN</t>
        </is>
      </c>
      <c r="E10564" t="inlineStr">
        <is>
          <t>BOLLNÄS</t>
        </is>
      </c>
      <c r="G10564" t="n">
        <v>11.5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2755-2022</t>
        </is>
      </c>
      <c r="B10565" s="1" t="n">
        <v>44580.92254629629</v>
      </c>
      <c r="C10565" s="1" t="n">
        <v>46086</v>
      </c>
      <c r="D10565" t="inlineStr">
        <is>
          <t>GÄVLEBORGS LÄN</t>
        </is>
      </c>
      <c r="E10565" t="inlineStr">
        <is>
          <t>SÖDERHAMN</t>
        </is>
      </c>
      <c r="G10565" t="n">
        <v>5.8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56464-2023</t>
        </is>
      </c>
      <c r="B10566" s="1" t="n">
        <v>45243.4821875</v>
      </c>
      <c r="C10566" s="1" t="n">
        <v>46086</v>
      </c>
      <c r="D10566" t="inlineStr">
        <is>
          <t>GÄVLEBORGS LÄN</t>
        </is>
      </c>
      <c r="E10566" t="inlineStr">
        <is>
          <t>LJUSDAL</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5316-2025</t>
        </is>
      </c>
      <c r="B10567" s="1" t="n">
        <v>45692.51339120371</v>
      </c>
      <c r="C10567" s="1" t="n">
        <v>46086</v>
      </c>
      <c r="D10567" t="inlineStr">
        <is>
          <t>GÄVLEBORGS LÄN</t>
        </is>
      </c>
      <c r="E10567" t="inlineStr">
        <is>
          <t>LJUSDAL</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42934-2023</t>
        </is>
      </c>
      <c r="B10568" s="1" t="n">
        <v>45182.56731481481</v>
      </c>
      <c r="C10568" s="1" t="n">
        <v>46086</v>
      </c>
      <c r="D10568" t="inlineStr">
        <is>
          <t>GÄVLEBORGS LÄN</t>
        </is>
      </c>
      <c r="E10568" t="inlineStr">
        <is>
          <t>GÄVLE</t>
        </is>
      </c>
      <c r="F10568" t="inlineStr">
        <is>
          <t>Bergvik skog väst AB</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36638-2022</t>
        </is>
      </c>
      <c r="B10569" s="1" t="n">
        <v>44804.72409722222</v>
      </c>
      <c r="C10569" s="1" t="n">
        <v>46086</v>
      </c>
      <c r="D10569" t="inlineStr">
        <is>
          <t>GÄVLEBORGS LÄN</t>
        </is>
      </c>
      <c r="E10569" t="inlineStr">
        <is>
          <t>GÄVLE</t>
        </is>
      </c>
      <c r="G10569" t="n">
        <v>4.2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32631-2024</t>
        </is>
      </c>
      <c r="B10570" s="1" t="n">
        <v>45513.87604166667</v>
      </c>
      <c r="C10570" s="1" t="n">
        <v>46086</v>
      </c>
      <c r="D10570" t="inlineStr">
        <is>
          <t>GÄVLEBORGS LÄN</t>
        </is>
      </c>
      <c r="E10570" t="inlineStr">
        <is>
          <t>HUDIKSVALL</t>
        </is>
      </c>
      <c r="F10570" t="inlineStr">
        <is>
          <t>Holmen skog AB</t>
        </is>
      </c>
      <c r="G10570" t="n">
        <v>3.5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27987-2024</t>
        </is>
      </c>
      <c r="B10571" s="1" t="n">
        <v>45476.4246875</v>
      </c>
      <c r="C10571" s="1" t="n">
        <v>46086</v>
      </c>
      <c r="D10571" t="inlineStr">
        <is>
          <t>GÄVLEBORGS LÄN</t>
        </is>
      </c>
      <c r="E10571" t="inlineStr">
        <is>
          <t>SANDVIKEN</t>
        </is>
      </c>
      <c r="F10571" t="inlineStr">
        <is>
          <t>Kommuner</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58810-2024</t>
        </is>
      </c>
      <c r="B10572" s="1" t="n">
        <v>45636.34581018519</v>
      </c>
      <c r="C10572" s="1" t="n">
        <v>46086</v>
      </c>
      <c r="D10572" t="inlineStr">
        <is>
          <t>GÄVLEBORGS LÄN</t>
        </is>
      </c>
      <c r="E10572" t="inlineStr">
        <is>
          <t>SÖDERHAMN</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46115-2024</t>
        </is>
      </c>
      <c r="B10573" s="1" t="n">
        <v>45581</v>
      </c>
      <c r="C10573" s="1" t="n">
        <v>46086</v>
      </c>
      <c r="D10573" t="inlineStr">
        <is>
          <t>GÄVLEBORGS LÄN</t>
        </is>
      </c>
      <c r="E10573" t="inlineStr">
        <is>
          <t>GÄVLE</t>
        </is>
      </c>
      <c r="F10573" t="inlineStr">
        <is>
          <t>Kyrkan</t>
        </is>
      </c>
      <c r="G10573" t="n">
        <v>4.4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48291-2024</t>
        </is>
      </c>
      <c r="B10574" s="1" t="n">
        <v>45590.45619212963</v>
      </c>
      <c r="C10574" s="1" t="n">
        <v>46086</v>
      </c>
      <c r="D10574" t="inlineStr">
        <is>
          <t>GÄVLEBORGS LÄN</t>
        </is>
      </c>
      <c r="E10574" t="inlineStr">
        <is>
          <t>GÄVLE</t>
        </is>
      </c>
      <c r="F10574" t="inlineStr">
        <is>
          <t>Bergvik skog väst AB</t>
        </is>
      </c>
      <c r="G10574" t="n">
        <v>10.3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46590-2024</t>
        </is>
      </c>
      <c r="B10575" s="1" t="n">
        <v>45582.79400462963</v>
      </c>
      <c r="C10575" s="1" t="n">
        <v>46086</v>
      </c>
      <c r="D10575" t="inlineStr">
        <is>
          <t>GÄVLEBORGS LÄN</t>
        </is>
      </c>
      <c r="E10575" t="inlineStr">
        <is>
          <t>HUDIKSVALL</t>
        </is>
      </c>
      <c r="F10575" t="inlineStr">
        <is>
          <t>Holmen skog AB</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45628-2022</t>
        </is>
      </c>
      <c r="B10576" s="1" t="n">
        <v>44845</v>
      </c>
      <c r="C10576" s="1" t="n">
        <v>46086</v>
      </c>
      <c r="D10576" t="inlineStr">
        <is>
          <t>GÄVLEBORGS LÄN</t>
        </is>
      </c>
      <c r="E10576" t="inlineStr">
        <is>
          <t>GÄVLE</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6761-2024</t>
        </is>
      </c>
      <c r="B10577" s="1" t="n">
        <v>45342</v>
      </c>
      <c r="C10577" s="1" t="n">
        <v>46086</v>
      </c>
      <c r="D10577" t="inlineStr">
        <is>
          <t>GÄVLEBORGS LÄN</t>
        </is>
      </c>
      <c r="E10577" t="inlineStr">
        <is>
          <t>OVANÅKER</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16020-2024</t>
        </is>
      </c>
      <c r="B10578" s="1" t="n">
        <v>45405</v>
      </c>
      <c r="C10578" s="1" t="n">
        <v>46086</v>
      </c>
      <c r="D10578" t="inlineStr">
        <is>
          <t>GÄVLEBORGS LÄN</t>
        </is>
      </c>
      <c r="E10578" t="inlineStr">
        <is>
          <t>BOLLNÄS</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18657-2023</t>
        </is>
      </c>
      <c r="B10579" s="1" t="n">
        <v>45043.5578587963</v>
      </c>
      <c r="C10579" s="1" t="n">
        <v>46086</v>
      </c>
      <c r="D10579" t="inlineStr">
        <is>
          <t>GÄVLEBORGS LÄN</t>
        </is>
      </c>
      <c r="E10579" t="inlineStr">
        <is>
          <t>HUDIKSVALL</t>
        </is>
      </c>
      <c r="F10579" t="inlineStr">
        <is>
          <t>Holmen skog AB</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40388-2022</t>
        </is>
      </c>
      <c r="B10580" s="1" t="n">
        <v>44823</v>
      </c>
      <c r="C10580" s="1" t="n">
        <v>46086</v>
      </c>
      <c r="D10580" t="inlineStr">
        <is>
          <t>GÄVLEBORGS LÄN</t>
        </is>
      </c>
      <c r="E10580" t="inlineStr">
        <is>
          <t>NORDANSTIG</t>
        </is>
      </c>
      <c r="F10580" t="inlineStr">
        <is>
          <t>Holmen skog AB</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21637-2024</t>
        </is>
      </c>
      <c r="B10581" s="1" t="n">
        <v>45442.34444444445</v>
      </c>
      <c r="C10581" s="1" t="n">
        <v>46086</v>
      </c>
      <c r="D10581" t="inlineStr">
        <is>
          <t>GÄVLEBORGS LÄN</t>
        </is>
      </c>
      <c r="E10581" t="inlineStr">
        <is>
          <t>LJUSDAL</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19797-2024</t>
        </is>
      </c>
      <c r="B10582" s="1" t="n">
        <v>45432.92788194444</v>
      </c>
      <c r="C10582" s="1" t="n">
        <v>46086</v>
      </c>
      <c r="D10582" t="inlineStr">
        <is>
          <t>GÄVLEBORGS LÄN</t>
        </is>
      </c>
      <c r="E10582" t="inlineStr">
        <is>
          <t>LJUSDAL</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19843-2024</t>
        </is>
      </c>
      <c r="B10583" s="1" t="n">
        <v>45433.38668981481</v>
      </c>
      <c r="C10583" s="1" t="n">
        <v>46086</v>
      </c>
      <c r="D10583" t="inlineStr">
        <is>
          <t>GÄVLEBORGS LÄN</t>
        </is>
      </c>
      <c r="E10583" t="inlineStr">
        <is>
          <t>SÖDERHAMN</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44346-2023</t>
        </is>
      </c>
      <c r="B10584" s="1" t="n">
        <v>45188</v>
      </c>
      <c r="C10584" s="1" t="n">
        <v>46086</v>
      </c>
      <c r="D10584" t="inlineStr">
        <is>
          <t>GÄVLEBORGS LÄN</t>
        </is>
      </c>
      <c r="E10584" t="inlineStr">
        <is>
          <t>OVANÅKER</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45534-2024</t>
        </is>
      </c>
      <c r="B10585" s="1" t="n">
        <v>45579.30975694444</v>
      </c>
      <c r="C10585" s="1" t="n">
        <v>46086</v>
      </c>
      <c r="D10585" t="inlineStr">
        <is>
          <t>GÄVLEBORGS LÄN</t>
        </is>
      </c>
      <c r="E10585" t="inlineStr">
        <is>
          <t>OVANÅKER</t>
        </is>
      </c>
      <c r="G10585" t="n">
        <v>0.4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45546-2024</t>
        </is>
      </c>
      <c r="B10586" s="1" t="n">
        <v>45579.3425462963</v>
      </c>
      <c r="C10586" s="1" t="n">
        <v>46086</v>
      </c>
      <c r="D10586" t="inlineStr">
        <is>
          <t>GÄVLEBORGS LÄN</t>
        </is>
      </c>
      <c r="E10586" t="inlineStr">
        <is>
          <t>OVANÅKER</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45550-2024</t>
        </is>
      </c>
      <c r="B10587" s="1" t="n">
        <v>45579</v>
      </c>
      <c r="C10587" s="1" t="n">
        <v>46086</v>
      </c>
      <c r="D10587" t="inlineStr">
        <is>
          <t>GÄVLEBORGS LÄN</t>
        </is>
      </c>
      <c r="E10587" t="inlineStr">
        <is>
          <t>NORDANSTIG</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34557-2023</t>
        </is>
      </c>
      <c r="B10588" s="1" t="n">
        <v>45140.50714120371</v>
      </c>
      <c r="C10588" s="1" t="n">
        <v>46086</v>
      </c>
      <c r="D10588" t="inlineStr">
        <is>
          <t>GÄVLEBORGS LÄN</t>
        </is>
      </c>
      <c r="E10588" t="inlineStr">
        <is>
          <t>NORDANSTIG</t>
        </is>
      </c>
      <c r="G10588" t="n">
        <v>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48797-2024</t>
        </is>
      </c>
      <c r="B10589" s="1" t="n">
        <v>45593.65616898148</v>
      </c>
      <c r="C10589" s="1" t="n">
        <v>46086</v>
      </c>
      <c r="D10589" t="inlineStr">
        <is>
          <t>GÄVLEBORGS LÄN</t>
        </is>
      </c>
      <c r="E10589" t="inlineStr">
        <is>
          <t>SÖDERHAMN</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48804-2024</t>
        </is>
      </c>
      <c r="B10590" s="1" t="n">
        <v>45593.66212962963</v>
      </c>
      <c r="C10590" s="1" t="n">
        <v>46086</v>
      </c>
      <c r="D10590" t="inlineStr">
        <is>
          <t>GÄVLEBORGS LÄN</t>
        </is>
      </c>
      <c r="E10590" t="inlineStr">
        <is>
          <t>OCKELBO</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60425-2024</t>
        </is>
      </c>
      <c r="B10591" s="1" t="n">
        <v>45643.5507175926</v>
      </c>
      <c r="C10591" s="1" t="n">
        <v>46086</v>
      </c>
      <c r="D10591" t="inlineStr">
        <is>
          <t>GÄVLEBORGS LÄN</t>
        </is>
      </c>
      <c r="E10591" t="inlineStr">
        <is>
          <t>BOLLNÄS</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30893-2023</t>
        </is>
      </c>
      <c r="B10592" s="1" t="n">
        <v>45113.39641203704</v>
      </c>
      <c r="C10592" s="1" t="n">
        <v>46086</v>
      </c>
      <c r="D10592" t="inlineStr">
        <is>
          <t>GÄVLEBORGS LÄN</t>
        </is>
      </c>
      <c r="E10592" t="inlineStr">
        <is>
          <t>OVANÅKER</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27204-2023</t>
        </is>
      </c>
      <c r="B10593" s="1" t="n">
        <v>45096</v>
      </c>
      <c r="C10593" s="1" t="n">
        <v>46086</v>
      </c>
      <c r="D10593" t="inlineStr">
        <is>
          <t>GÄVLEBORGS LÄN</t>
        </is>
      </c>
      <c r="E10593" t="inlineStr">
        <is>
          <t>HUDIKSVALL</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19896-2025</t>
        </is>
      </c>
      <c r="B10594" s="1" t="n">
        <v>45771.5834837963</v>
      </c>
      <c r="C10594" s="1" t="n">
        <v>46086</v>
      </c>
      <c r="D10594" t="inlineStr">
        <is>
          <t>GÄVLEBORGS LÄN</t>
        </is>
      </c>
      <c r="E10594" t="inlineStr">
        <is>
          <t>NORDANSTIG</t>
        </is>
      </c>
      <c r="F10594" t="inlineStr">
        <is>
          <t>Holmen skog AB</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32287-2023</t>
        </is>
      </c>
      <c r="B10595" s="1" t="n">
        <v>45107</v>
      </c>
      <c r="C10595" s="1" t="n">
        <v>46086</v>
      </c>
      <c r="D10595" t="inlineStr">
        <is>
          <t>GÄVLEBORGS LÄN</t>
        </is>
      </c>
      <c r="E10595" t="inlineStr">
        <is>
          <t>LJUSDAL</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45221-2021</t>
        </is>
      </c>
      <c r="B10596" s="1" t="n">
        <v>44439.57211805556</v>
      </c>
      <c r="C10596" s="1" t="n">
        <v>46086</v>
      </c>
      <c r="D10596" t="inlineStr">
        <is>
          <t>GÄVLEBORGS LÄN</t>
        </is>
      </c>
      <c r="E10596" t="inlineStr">
        <is>
          <t>SANDVIKEN</t>
        </is>
      </c>
      <c r="F10596" t="inlineStr">
        <is>
          <t>Bergvik skog öst AB</t>
        </is>
      </c>
      <c r="G10596" t="n">
        <v>7.6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16633-2024</t>
        </is>
      </c>
      <c r="B10597" s="1" t="n">
        <v>45408.59158564815</v>
      </c>
      <c r="C10597" s="1" t="n">
        <v>46086</v>
      </c>
      <c r="D10597" t="inlineStr">
        <is>
          <t>GÄVLEBORGS LÄN</t>
        </is>
      </c>
      <c r="E10597" t="inlineStr">
        <is>
          <t>HUDIKSVALL</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61335-2022</t>
        </is>
      </c>
      <c r="B10598" s="1" t="n">
        <v>44915.66561342592</v>
      </c>
      <c r="C10598" s="1" t="n">
        <v>46086</v>
      </c>
      <c r="D10598" t="inlineStr">
        <is>
          <t>GÄVLEBORGS LÄN</t>
        </is>
      </c>
      <c r="E10598" t="inlineStr">
        <is>
          <t>OCKELBO</t>
        </is>
      </c>
      <c r="G10598" t="n">
        <v>8.5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10127-2025</t>
        </is>
      </c>
      <c r="B10599" s="1" t="n">
        <v>45719</v>
      </c>
      <c r="C10599" s="1" t="n">
        <v>46086</v>
      </c>
      <c r="D10599" t="inlineStr">
        <is>
          <t>GÄVLEBORGS LÄN</t>
        </is>
      </c>
      <c r="E10599" t="inlineStr">
        <is>
          <t>SANDVIKEN</t>
        </is>
      </c>
      <c r="G10599" t="n">
        <v>4.9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26503-2021</t>
        </is>
      </c>
      <c r="B10600" s="1" t="n">
        <v>44348</v>
      </c>
      <c r="C10600" s="1" t="n">
        <v>46086</v>
      </c>
      <c r="D10600" t="inlineStr">
        <is>
          <t>GÄVLEBORGS LÄN</t>
        </is>
      </c>
      <c r="E10600" t="inlineStr">
        <is>
          <t>NORDANSTIG</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43589-2021</t>
        </is>
      </c>
      <c r="B10601" s="1" t="n">
        <v>44433</v>
      </c>
      <c r="C10601" s="1" t="n">
        <v>46086</v>
      </c>
      <c r="D10601" t="inlineStr">
        <is>
          <t>GÄVLEBORGS LÄN</t>
        </is>
      </c>
      <c r="E10601" t="inlineStr">
        <is>
          <t>NORDANSTIG</t>
        </is>
      </c>
      <c r="G10601" t="n">
        <v>3.1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60792-2024</t>
        </is>
      </c>
      <c r="B10602" s="1" t="n">
        <v>45644.59484953704</v>
      </c>
      <c r="C10602" s="1" t="n">
        <v>46086</v>
      </c>
      <c r="D10602" t="inlineStr">
        <is>
          <t>GÄVLEBORGS LÄN</t>
        </is>
      </c>
      <c r="E10602" t="inlineStr">
        <is>
          <t>GÄVLE</t>
        </is>
      </c>
      <c r="F10602" t="inlineStr">
        <is>
          <t>Kyrkan</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60801-2024</t>
        </is>
      </c>
      <c r="B10603" s="1" t="n">
        <v>45644.60451388889</v>
      </c>
      <c r="C10603" s="1" t="n">
        <v>46086</v>
      </c>
      <c r="D10603" t="inlineStr">
        <is>
          <t>GÄVLEBORGS LÄN</t>
        </is>
      </c>
      <c r="E10603" t="inlineStr">
        <is>
          <t>GÄVLE</t>
        </is>
      </c>
      <c r="F10603" t="inlineStr">
        <is>
          <t>Kyrkan</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35114-2023</t>
        </is>
      </c>
      <c r="B10604" s="1" t="n">
        <v>45145</v>
      </c>
      <c r="C10604" s="1" t="n">
        <v>46086</v>
      </c>
      <c r="D10604" t="inlineStr">
        <is>
          <t>GÄVLEBORGS LÄN</t>
        </is>
      </c>
      <c r="E10604" t="inlineStr">
        <is>
          <t>HOFORS</t>
        </is>
      </c>
      <c r="G10604" t="n">
        <v>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35136-2023</t>
        </is>
      </c>
      <c r="B10605" s="1" t="n">
        <v>45145.52915509259</v>
      </c>
      <c r="C10605" s="1" t="n">
        <v>46086</v>
      </c>
      <c r="D10605" t="inlineStr">
        <is>
          <t>GÄVLEBORGS LÄN</t>
        </is>
      </c>
      <c r="E10605" t="inlineStr">
        <is>
          <t>HOFORS</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18466-2024</t>
        </is>
      </c>
      <c r="B10606" s="1" t="n">
        <v>45425.49216435185</v>
      </c>
      <c r="C10606" s="1" t="n">
        <v>46086</v>
      </c>
      <c r="D10606" t="inlineStr">
        <is>
          <t>GÄVLEBORGS LÄN</t>
        </is>
      </c>
      <c r="E10606" t="inlineStr">
        <is>
          <t>SÖDERHAMN</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49125-2023</t>
        </is>
      </c>
      <c r="B10607" s="1" t="n">
        <v>45210.46990740741</v>
      </c>
      <c r="C10607" s="1" t="n">
        <v>46086</v>
      </c>
      <c r="D10607" t="inlineStr">
        <is>
          <t>GÄVLEBORGS LÄN</t>
        </is>
      </c>
      <c r="E10607" t="inlineStr">
        <is>
          <t>OVANÅKER</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21418-2024</t>
        </is>
      </c>
      <c r="B10608" s="1" t="n">
        <v>45441</v>
      </c>
      <c r="C10608" s="1" t="n">
        <v>46086</v>
      </c>
      <c r="D10608" t="inlineStr">
        <is>
          <t>GÄVLEBORGS LÄN</t>
        </is>
      </c>
      <c r="E10608" t="inlineStr">
        <is>
          <t>OCKELBO</t>
        </is>
      </c>
      <c r="F10608" t="inlineStr">
        <is>
          <t>Bergvik skog väst AB</t>
        </is>
      </c>
      <c r="G10608" t="n">
        <v>7.1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26181-2023</t>
        </is>
      </c>
      <c r="B10609" s="1" t="n">
        <v>45091.53126157408</v>
      </c>
      <c r="C10609" s="1" t="n">
        <v>46086</v>
      </c>
      <c r="D10609" t="inlineStr">
        <is>
          <t>GÄVLEBORGS LÄN</t>
        </is>
      </c>
      <c r="E10609" t="inlineStr">
        <is>
          <t>LJUSDAL</t>
        </is>
      </c>
      <c r="F10609" t="inlineStr">
        <is>
          <t>Sveaskog</t>
        </is>
      </c>
      <c r="G10609" t="n">
        <v>6.8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26184-2023</t>
        </is>
      </c>
      <c r="B10610" s="1" t="n">
        <v>45091.53296296296</v>
      </c>
      <c r="C10610" s="1" t="n">
        <v>46086</v>
      </c>
      <c r="D10610" t="inlineStr">
        <is>
          <t>GÄVLEBORGS LÄN</t>
        </is>
      </c>
      <c r="E10610" t="inlineStr">
        <is>
          <t>LJUSDAL</t>
        </is>
      </c>
      <c r="F10610" t="inlineStr">
        <is>
          <t>Sveaskog</t>
        </is>
      </c>
      <c r="G10610" t="n">
        <v>11.8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33389-2024</t>
        </is>
      </c>
      <c r="B10611" s="1" t="n">
        <v>45519.47418981481</v>
      </c>
      <c r="C10611" s="1" t="n">
        <v>46086</v>
      </c>
      <c r="D10611" t="inlineStr">
        <is>
          <t>GÄVLEBORGS LÄN</t>
        </is>
      </c>
      <c r="E10611" t="inlineStr">
        <is>
          <t>LJUSDAL</t>
        </is>
      </c>
      <c r="F10611" t="inlineStr">
        <is>
          <t>Sveaskog</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47794-2024</t>
        </is>
      </c>
      <c r="B10612" s="1" t="n">
        <v>45588.59930555556</v>
      </c>
      <c r="C10612" s="1" t="n">
        <v>46086</v>
      </c>
      <c r="D10612" t="inlineStr">
        <is>
          <t>GÄVLEBORGS LÄN</t>
        </is>
      </c>
      <c r="E10612" t="inlineStr">
        <is>
          <t>SÖDERHAMN</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25647-2024</t>
        </is>
      </c>
      <c r="B10613" s="1" t="n">
        <v>45463.6680324074</v>
      </c>
      <c r="C10613" s="1" t="n">
        <v>46086</v>
      </c>
      <c r="D10613" t="inlineStr">
        <is>
          <t>GÄVLEBORGS LÄN</t>
        </is>
      </c>
      <c r="E10613" t="inlineStr">
        <is>
          <t>HUDIKSVALL</t>
        </is>
      </c>
      <c r="F10613" t="inlineStr">
        <is>
          <t>Sveaskog</t>
        </is>
      </c>
      <c r="G10613" t="n">
        <v>7.7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1198-2024</t>
        </is>
      </c>
      <c r="B10614" s="1" t="n">
        <v>45302.6066087963</v>
      </c>
      <c r="C10614" s="1" t="n">
        <v>46086</v>
      </c>
      <c r="D10614" t="inlineStr">
        <is>
          <t>GÄVLEBORGS LÄN</t>
        </is>
      </c>
      <c r="E10614" t="inlineStr">
        <is>
          <t>OVANÅKER</t>
        </is>
      </c>
      <c r="F10614" t="inlineStr">
        <is>
          <t>Bergvik skog väst AB</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22041-2022</t>
        </is>
      </c>
      <c r="B10615" s="1" t="n">
        <v>44711.65472222222</v>
      </c>
      <c r="C10615" s="1" t="n">
        <v>46086</v>
      </c>
      <c r="D10615" t="inlineStr">
        <is>
          <t>GÄVLEBORGS LÄN</t>
        </is>
      </c>
      <c r="E10615" t="inlineStr">
        <is>
          <t>NORDANSTIG</t>
        </is>
      </c>
      <c r="F10615" t="inlineStr">
        <is>
          <t>Holmen skog AB</t>
        </is>
      </c>
      <c r="G10615" t="n">
        <v>6.2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48593-2024</t>
        </is>
      </c>
      <c r="B10616" s="1" t="n">
        <v>45593.43715277778</v>
      </c>
      <c r="C10616" s="1" t="n">
        <v>46086</v>
      </c>
      <c r="D10616" t="inlineStr">
        <is>
          <t>GÄVLEBORGS LÄN</t>
        </is>
      </c>
      <c r="E10616" t="inlineStr">
        <is>
          <t>HUDIKSVALL</t>
        </is>
      </c>
      <c r="G10616" t="n">
        <v>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47876-2023</t>
        </is>
      </c>
      <c r="B10617" s="1" t="n">
        <v>45204</v>
      </c>
      <c r="C10617" s="1" t="n">
        <v>46086</v>
      </c>
      <c r="D10617" t="inlineStr">
        <is>
          <t>GÄVLEBORGS LÄN</t>
        </is>
      </c>
      <c r="E10617" t="inlineStr">
        <is>
          <t>NORDANSTIG</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38175-2022</t>
        </is>
      </c>
      <c r="B10618" s="1" t="n">
        <v>44812</v>
      </c>
      <c r="C10618" s="1" t="n">
        <v>46086</v>
      </c>
      <c r="D10618" t="inlineStr">
        <is>
          <t>GÄVLEBORGS LÄN</t>
        </is>
      </c>
      <c r="E10618" t="inlineStr">
        <is>
          <t>SANDVIKEN</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38251-2022</t>
        </is>
      </c>
      <c r="B10619" s="1" t="n">
        <v>44812.4874537037</v>
      </c>
      <c r="C10619" s="1" t="n">
        <v>46086</v>
      </c>
      <c r="D10619" t="inlineStr">
        <is>
          <t>GÄVLEBORGS LÄN</t>
        </is>
      </c>
      <c r="E10619" t="inlineStr">
        <is>
          <t>HOFORS</t>
        </is>
      </c>
      <c r="G10619" t="n">
        <v>3.5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3034-2025</t>
        </is>
      </c>
      <c r="B10620" s="1" t="n">
        <v>45678.59506944445</v>
      </c>
      <c r="C10620" s="1" t="n">
        <v>46086</v>
      </c>
      <c r="D10620" t="inlineStr">
        <is>
          <t>GÄVLEBORGS LÄN</t>
        </is>
      </c>
      <c r="E10620" t="inlineStr">
        <is>
          <t>OCKELBO</t>
        </is>
      </c>
      <c r="G10620" t="n">
        <v>8.1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40811-2022</t>
        </is>
      </c>
      <c r="B10621" s="1" t="n">
        <v>44824</v>
      </c>
      <c r="C10621" s="1" t="n">
        <v>46086</v>
      </c>
      <c r="D10621" t="inlineStr">
        <is>
          <t>GÄVLEBORGS LÄN</t>
        </is>
      </c>
      <c r="E10621" t="inlineStr">
        <is>
          <t>SÖDERHAMN</t>
        </is>
      </c>
      <c r="G10621" t="n">
        <v>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62215-2022</t>
        </is>
      </c>
      <c r="B10622" s="1" t="n">
        <v>44922.65163194444</v>
      </c>
      <c r="C10622" s="1" t="n">
        <v>46086</v>
      </c>
      <c r="D10622" t="inlineStr">
        <is>
          <t>GÄVLEBORGS LÄN</t>
        </is>
      </c>
      <c r="E10622" t="inlineStr">
        <is>
          <t>OVANÅKER</t>
        </is>
      </c>
      <c r="G10622" t="n">
        <v>0.4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22577-2022</t>
        </is>
      </c>
      <c r="B10623" s="1" t="n">
        <v>44713</v>
      </c>
      <c r="C10623" s="1" t="n">
        <v>46086</v>
      </c>
      <c r="D10623" t="inlineStr">
        <is>
          <t>GÄVLEBORGS LÄN</t>
        </is>
      </c>
      <c r="E10623" t="inlineStr">
        <is>
          <t>GÄVLE</t>
        </is>
      </c>
      <c r="F10623" t="inlineStr">
        <is>
          <t>Bergvik skog väst AB</t>
        </is>
      </c>
      <c r="G10623" t="n">
        <v>10</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57863-2024</t>
        </is>
      </c>
      <c r="B10624" s="1" t="n">
        <v>45631.43291666666</v>
      </c>
      <c r="C10624" s="1" t="n">
        <v>46086</v>
      </c>
      <c r="D10624" t="inlineStr">
        <is>
          <t>GÄVLEBORGS LÄN</t>
        </is>
      </c>
      <c r="E10624" t="inlineStr">
        <is>
          <t>NORDANSTIG</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9919-2025</t>
        </is>
      </c>
      <c r="B10625" s="1" t="n">
        <v>45717.45646990741</v>
      </c>
      <c r="C10625" s="1" t="n">
        <v>46086</v>
      </c>
      <c r="D10625" t="inlineStr">
        <is>
          <t>GÄVLEBORGS LÄN</t>
        </is>
      </c>
      <c r="E10625" t="inlineStr">
        <is>
          <t>HUDIKSVALL</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57101-2023</t>
        </is>
      </c>
      <c r="B10626" s="1" t="n">
        <v>45245.34210648148</v>
      </c>
      <c r="C10626" s="1" t="n">
        <v>46086</v>
      </c>
      <c r="D10626" t="inlineStr">
        <is>
          <t>GÄVLEBORGS LÄN</t>
        </is>
      </c>
      <c r="E10626" t="inlineStr">
        <is>
          <t>LJUSDAL</t>
        </is>
      </c>
      <c r="F10626" t="inlineStr">
        <is>
          <t>Holmen skog AB</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57168-2023</t>
        </is>
      </c>
      <c r="B10627" s="1" t="n">
        <v>45245.44936342593</v>
      </c>
      <c r="C10627" s="1" t="n">
        <v>46086</v>
      </c>
      <c r="D10627" t="inlineStr">
        <is>
          <t>GÄVLEBORGS LÄN</t>
        </is>
      </c>
      <c r="E10627" t="inlineStr">
        <is>
          <t>GÄVLE</t>
        </is>
      </c>
      <c r="F10627" t="inlineStr">
        <is>
          <t>Kyrkan</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57171-2023</t>
        </is>
      </c>
      <c r="B10628" s="1" t="n">
        <v>45245</v>
      </c>
      <c r="C10628" s="1" t="n">
        <v>46086</v>
      </c>
      <c r="D10628" t="inlineStr">
        <is>
          <t>GÄVLEBORGS LÄN</t>
        </is>
      </c>
      <c r="E10628" t="inlineStr">
        <is>
          <t>GÄVLE</t>
        </is>
      </c>
      <c r="F10628" t="inlineStr">
        <is>
          <t>Kyrkan</t>
        </is>
      </c>
      <c r="G10628" t="n">
        <v>3.5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45279-2023</t>
        </is>
      </c>
      <c r="B10629" s="1" t="n">
        <v>45191</v>
      </c>
      <c r="C10629" s="1" t="n">
        <v>46086</v>
      </c>
      <c r="D10629" t="inlineStr">
        <is>
          <t>GÄVLEBORGS LÄN</t>
        </is>
      </c>
      <c r="E10629" t="inlineStr">
        <is>
          <t>SANDVIKEN</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41990-2023</t>
        </is>
      </c>
      <c r="B10630" s="1" t="n">
        <v>45177</v>
      </c>
      <c r="C10630" s="1" t="n">
        <v>46086</v>
      </c>
      <c r="D10630" t="inlineStr">
        <is>
          <t>GÄVLEBORGS LÄN</t>
        </is>
      </c>
      <c r="E10630" t="inlineStr">
        <is>
          <t>OVANÅKER</t>
        </is>
      </c>
      <c r="F10630" t="inlineStr">
        <is>
          <t>Bergvik skog väst AB</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26693-2024</t>
        </is>
      </c>
      <c r="B10631" s="1" t="n">
        <v>45470.3715162037</v>
      </c>
      <c r="C10631" s="1" t="n">
        <v>46086</v>
      </c>
      <c r="D10631" t="inlineStr">
        <is>
          <t>GÄVLEBORGS LÄN</t>
        </is>
      </c>
      <c r="E10631" t="inlineStr">
        <is>
          <t>SÖDERHAMN</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41293-2023</t>
        </is>
      </c>
      <c r="B10632" s="1" t="n">
        <v>45174.59391203704</v>
      </c>
      <c r="C10632" s="1" t="n">
        <v>46086</v>
      </c>
      <c r="D10632" t="inlineStr">
        <is>
          <t>GÄVLEBORGS LÄN</t>
        </is>
      </c>
      <c r="E10632" t="inlineStr">
        <is>
          <t>LJUSDAL</t>
        </is>
      </c>
      <c r="F10632" t="inlineStr">
        <is>
          <t>Sveaskog</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42549-2024</t>
        </is>
      </c>
      <c r="B10633" s="1" t="n">
        <v>45565.60444444444</v>
      </c>
      <c r="C10633" s="1" t="n">
        <v>46086</v>
      </c>
      <c r="D10633" t="inlineStr">
        <is>
          <t>GÄVLEBORGS LÄN</t>
        </is>
      </c>
      <c r="E10633" t="inlineStr">
        <is>
          <t>SÖDERHAMN</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15168-2024</t>
        </is>
      </c>
      <c r="B10634" s="1" t="n">
        <v>45400.34232638889</v>
      </c>
      <c r="C10634" s="1" t="n">
        <v>46086</v>
      </c>
      <c r="D10634" t="inlineStr">
        <is>
          <t>GÄVLEBORGS LÄN</t>
        </is>
      </c>
      <c r="E10634" t="inlineStr">
        <is>
          <t>LJUSDAL</t>
        </is>
      </c>
      <c r="F10634" t="inlineStr">
        <is>
          <t>Holmen skog AB</t>
        </is>
      </c>
      <c r="G10634" t="n">
        <v>6.6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15207-2024</t>
        </is>
      </c>
      <c r="B10635" s="1" t="n">
        <v>45400.44844907407</v>
      </c>
      <c r="C10635" s="1" t="n">
        <v>46086</v>
      </c>
      <c r="D10635" t="inlineStr">
        <is>
          <t>GÄVLEBORGS LÄN</t>
        </is>
      </c>
      <c r="E10635" t="inlineStr">
        <is>
          <t>GÄVLE</t>
        </is>
      </c>
      <c r="G10635" t="n">
        <v>6.3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39384-2023</t>
        </is>
      </c>
      <c r="B10636" s="1" t="n">
        <v>45166.64621527777</v>
      </c>
      <c r="C10636" s="1" t="n">
        <v>46086</v>
      </c>
      <c r="D10636" t="inlineStr">
        <is>
          <t>GÄVLEBORGS LÄN</t>
        </is>
      </c>
      <c r="E10636" t="inlineStr">
        <is>
          <t>OVANÅKER</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40318-2024</t>
        </is>
      </c>
      <c r="B10637" s="1" t="n">
        <v>45554.79619212963</v>
      </c>
      <c r="C10637" s="1" t="n">
        <v>46086</v>
      </c>
      <c r="D10637" t="inlineStr">
        <is>
          <t>GÄVLEBORGS LÄN</t>
        </is>
      </c>
      <c r="E10637" t="inlineStr">
        <is>
          <t>LJUSDAL</t>
        </is>
      </c>
      <c r="G10637" t="n">
        <v>7.1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40321-2024</t>
        </is>
      </c>
      <c r="B10638" s="1" t="n">
        <v>45554.80881944444</v>
      </c>
      <c r="C10638" s="1" t="n">
        <v>46086</v>
      </c>
      <c r="D10638" t="inlineStr">
        <is>
          <t>GÄVLEBORGS LÄN</t>
        </is>
      </c>
      <c r="E10638" t="inlineStr">
        <is>
          <t>HUDIKSVALL</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40928-2024</t>
        </is>
      </c>
      <c r="B10639" s="1" t="n">
        <v>45558.64020833333</v>
      </c>
      <c r="C10639" s="1" t="n">
        <v>46086</v>
      </c>
      <c r="D10639" t="inlineStr">
        <is>
          <t>GÄVLEBORGS LÄN</t>
        </is>
      </c>
      <c r="E10639" t="inlineStr">
        <is>
          <t>BOLLNÄS</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42869-2024</t>
        </is>
      </c>
      <c r="B10640" s="1" t="n">
        <v>45566.66402777778</v>
      </c>
      <c r="C10640" s="1" t="n">
        <v>46086</v>
      </c>
      <c r="D10640" t="inlineStr">
        <is>
          <t>GÄVLEBORGS LÄN</t>
        </is>
      </c>
      <c r="E10640" t="inlineStr">
        <is>
          <t>SANDVIKEN</t>
        </is>
      </c>
      <c r="F10640" t="inlineStr">
        <is>
          <t>Sveaskog</t>
        </is>
      </c>
      <c r="G10640" t="n">
        <v>6.9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42902-2024</t>
        </is>
      </c>
      <c r="B10641" s="1" t="n">
        <v>45566.87280092593</v>
      </c>
      <c r="C10641" s="1" t="n">
        <v>46086</v>
      </c>
      <c r="D10641" t="inlineStr">
        <is>
          <t>GÄVLEBORGS LÄN</t>
        </is>
      </c>
      <c r="E10641" t="inlineStr">
        <is>
          <t>SÖDERHAMN</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36446-2024</t>
        </is>
      </c>
      <c r="B10642" s="1" t="n">
        <v>45537</v>
      </c>
      <c r="C10642" s="1" t="n">
        <v>46086</v>
      </c>
      <c r="D10642" t="inlineStr">
        <is>
          <t>GÄVLEBORGS LÄN</t>
        </is>
      </c>
      <c r="E10642" t="inlineStr">
        <is>
          <t>LJUSDAL</t>
        </is>
      </c>
      <c r="F10642" t="inlineStr">
        <is>
          <t>Sveaskog</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37438-2023</t>
        </is>
      </c>
      <c r="B10643" s="1" t="n">
        <v>45156</v>
      </c>
      <c r="C10643" s="1" t="n">
        <v>46086</v>
      </c>
      <c r="D10643" t="inlineStr">
        <is>
          <t>GÄVLEBORGS LÄN</t>
        </is>
      </c>
      <c r="E10643" t="inlineStr">
        <is>
          <t>OCKELBO</t>
        </is>
      </c>
      <c r="F10643" t="inlineStr">
        <is>
          <t>Bergvik skog väst AB</t>
        </is>
      </c>
      <c r="G10643" t="n">
        <v>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5833-2023</t>
        </is>
      </c>
      <c r="B10644" s="1" t="n">
        <v>44963</v>
      </c>
      <c r="C10644" s="1" t="n">
        <v>46086</v>
      </c>
      <c r="D10644" t="inlineStr">
        <is>
          <t>GÄVLEBORGS LÄN</t>
        </is>
      </c>
      <c r="E10644" t="inlineStr">
        <is>
          <t>LJUSDAL</t>
        </is>
      </c>
      <c r="G10644" t="n">
        <v>8.9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675-2023</t>
        </is>
      </c>
      <c r="B10645" s="1" t="n">
        <v>44930.69663194445</v>
      </c>
      <c r="C10645" s="1" t="n">
        <v>46086</v>
      </c>
      <c r="D10645" t="inlineStr">
        <is>
          <t>GÄVLEBORGS LÄN</t>
        </is>
      </c>
      <c r="E10645" t="inlineStr">
        <is>
          <t>NORDANSTIG</t>
        </is>
      </c>
      <c r="F10645" t="inlineStr">
        <is>
          <t>Holmen skog AB</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11897-2024</t>
        </is>
      </c>
      <c r="B10646" s="1" t="n">
        <v>45376.54525462963</v>
      </c>
      <c r="C10646" s="1" t="n">
        <v>46086</v>
      </c>
      <c r="D10646" t="inlineStr">
        <is>
          <t>GÄVLEBORGS LÄN</t>
        </is>
      </c>
      <c r="E10646" t="inlineStr">
        <is>
          <t>SANDVIKEN</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1708-2023</t>
        </is>
      </c>
      <c r="B10647" s="1" t="n">
        <v>44938</v>
      </c>
      <c r="C10647" s="1" t="n">
        <v>46086</v>
      </c>
      <c r="D10647" t="inlineStr">
        <is>
          <t>GÄVLEBORGS LÄN</t>
        </is>
      </c>
      <c r="E10647" t="inlineStr">
        <is>
          <t>NORDANSTIG</t>
        </is>
      </c>
      <c r="F10647" t="inlineStr">
        <is>
          <t>Holmen skog AB</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18505-2025</t>
        </is>
      </c>
      <c r="B10648" s="1" t="n">
        <v>45763.37523148148</v>
      </c>
      <c r="C10648" s="1" t="n">
        <v>46086</v>
      </c>
      <c r="D10648" t="inlineStr">
        <is>
          <t>GÄVLEBORGS LÄN</t>
        </is>
      </c>
      <c r="E10648" t="inlineStr">
        <is>
          <t>OVANÅKER</t>
        </is>
      </c>
      <c r="F10648" t="inlineStr">
        <is>
          <t>Holmen skog AB</t>
        </is>
      </c>
      <c r="G10648" t="n">
        <v>6.9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69620-2021</t>
        </is>
      </c>
      <c r="B10649" s="1" t="n">
        <v>44532.40591435185</v>
      </c>
      <c r="C10649" s="1" t="n">
        <v>46086</v>
      </c>
      <c r="D10649" t="inlineStr">
        <is>
          <t>GÄVLEBORGS LÄN</t>
        </is>
      </c>
      <c r="E10649" t="inlineStr">
        <is>
          <t>BOLLNÄS</t>
        </is>
      </c>
      <c r="F10649" t="inlineStr">
        <is>
          <t>Bergvik skog väst AB</t>
        </is>
      </c>
      <c r="G10649" t="n">
        <v>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46827-2024</t>
        </is>
      </c>
      <c r="B10650" s="1" t="n">
        <v>45583</v>
      </c>
      <c r="C10650" s="1" t="n">
        <v>46086</v>
      </c>
      <c r="D10650" t="inlineStr">
        <is>
          <t>GÄVLEBORGS LÄN</t>
        </is>
      </c>
      <c r="E10650" t="inlineStr">
        <is>
          <t>HUDIKSVALL</t>
        </is>
      </c>
      <c r="F10650" t="inlineStr">
        <is>
          <t>Sveaskog</t>
        </is>
      </c>
      <c r="G10650" t="n">
        <v>5.9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24158-2021</t>
        </is>
      </c>
      <c r="B10651" s="1" t="n">
        <v>44336</v>
      </c>
      <c r="C10651" s="1" t="n">
        <v>46086</v>
      </c>
      <c r="D10651" t="inlineStr">
        <is>
          <t>GÄVLEBORGS LÄN</t>
        </is>
      </c>
      <c r="E10651" t="inlineStr">
        <is>
          <t>LJUSDAL</t>
        </is>
      </c>
      <c r="G10651" t="n">
        <v>9</v>
      </c>
      <c r="H10651" t="n">
        <v>0</v>
      </c>
      <c r="I10651" t="n">
        <v>0</v>
      </c>
      <c r="J10651" t="n">
        <v>0</v>
      </c>
      <c r="K10651" t="n">
        <v>0</v>
      </c>
      <c r="L10651" t="n">
        <v>0</v>
      </c>
      <c r="M10651" t="n">
        <v>0</v>
      </c>
      <c r="N10651" t="n">
        <v>0</v>
      </c>
      <c r="O10651" t="n">
        <v>0</v>
      </c>
      <c r="P10651" t="n">
        <v>0</v>
      </c>
      <c r="Q10651" t="n">
        <v>0</v>
      </c>
      <c r="R10651" s="2" t="inlineStr"/>
      <c r="U10651">
        <f>HYPERLINK("https://klasma.github.io/Logging_2161/knärot/A 24158-2021 karta knärot.png", "A 24158-2021")</f>
        <v/>
      </c>
      <c r="V10651">
        <f>HYPERLINK("https://klasma.github.io/Logging_2161/klagomål/A 24158-2021 FSC-klagomål.docx", "A 24158-2021")</f>
        <v/>
      </c>
      <c r="W10651">
        <f>HYPERLINK("https://klasma.github.io/Logging_2161/klagomålsmail/A 24158-2021 FSC-klagomål mail.docx", "A 24158-2021")</f>
        <v/>
      </c>
      <c r="X10651">
        <f>HYPERLINK("https://klasma.github.io/Logging_2161/tillsyn/A 24158-2021 tillsynsbegäran.docx", "A 24158-2021")</f>
        <v/>
      </c>
      <c r="Y10651">
        <f>HYPERLINK("https://klasma.github.io/Logging_2161/tillsynsmail/A 24158-2021 tillsynsbegäran mail.docx", "A 24158-2021")</f>
        <v/>
      </c>
    </row>
    <row r="10652" ht="15" customHeight="1">
      <c r="A10652" t="inlineStr">
        <is>
          <t>A 37194-2023</t>
        </is>
      </c>
      <c r="B10652" s="1" t="n">
        <v>45155.66672453703</v>
      </c>
      <c r="C10652" s="1" t="n">
        <v>46086</v>
      </c>
      <c r="D10652" t="inlineStr">
        <is>
          <t>GÄVLEBORGS LÄN</t>
        </is>
      </c>
      <c r="E10652" t="inlineStr">
        <is>
          <t>BOLLNÄS</t>
        </is>
      </c>
      <c r="G10652" t="n">
        <v>2.7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37233-2023</t>
        </is>
      </c>
      <c r="B10653" s="1" t="n">
        <v>45155</v>
      </c>
      <c r="C10653" s="1" t="n">
        <v>46086</v>
      </c>
      <c r="D10653" t="inlineStr">
        <is>
          <t>GÄVLEBORGS LÄN</t>
        </is>
      </c>
      <c r="E10653" t="inlineStr">
        <is>
          <t>BOLLNÄS</t>
        </is>
      </c>
      <c r="G10653" t="n">
        <v>3.7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2555-2025</t>
        </is>
      </c>
      <c r="B10654" s="1" t="n">
        <v>45674.64806712963</v>
      </c>
      <c r="C10654" s="1" t="n">
        <v>46086</v>
      </c>
      <c r="D10654" t="inlineStr">
        <is>
          <t>GÄVLEBORGS LÄN</t>
        </is>
      </c>
      <c r="E10654" t="inlineStr">
        <is>
          <t>OCKELBO</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32970-2021</t>
        </is>
      </c>
      <c r="B10655" s="1" t="n">
        <v>44376</v>
      </c>
      <c r="C10655" s="1" t="n">
        <v>46086</v>
      </c>
      <c r="D10655" t="inlineStr">
        <is>
          <t>GÄVLEBORGS LÄN</t>
        </is>
      </c>
      <c r="E10655" t="inlineStr">
        <is>
          <t>GÄVLE</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26236-2021</t>
        </is>
      </c>
      <c r="B10656" s="1" t="n">
        <v>44347.45221064815</v>
      </c>
      <c r="C10656" s="1" t="n">
        <v>46086</v>
      </c>
      <c r="D10656" t="inlineStr">
        <is>
          <t>GÄVLEBORGS LÄN</t>
        </is>
      </c>
      <c r="E10656" t="inlineStr">
        <is>
          <t>LJUSDAL</t>
        </is>
      </c>
      <c r="F10656" t="inlineStr">
        <is>
          <t>Bergvik skog väst AB</t>
        </is>
      </c>
      <c r="G10656" t="n">
        <v>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7972-2025</t>
        </is>
      </c>
      <c r="B10657" s="1" t="n">
        <v>45707</v>
      </c>
      <c r="C10657" s="1" t="n">
        <v>46086</v>
      </c>
      <c r="D10657" t="inlineStr">
        <is>
          <t>GÄVLEBORGS LÄN</t>
        </is>
      </c>
      <c r="E10657" t="inlineStr">
        <is>
          <t>SÖDERHAMN</t>
        </is>
      </c>
      <c r="G10657" t="n">
        <v>6.2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57814-2022</t>
        </is>
      </c>
      <c r="B10658" s="1" t="n">
        <v>44897.91680555556</v>
      </c>
      <c r="C10658" s="1" t="n">
        <v>46086</v>
      </c>
      <c r="D10658" t="inlineStr">
        <is>
          <t>GÄVLEBORGS LÄN</t>
        </is>
      </c>
      <c r="E10658" t="inlineStr">
        <is>
          <t>SÖDERHAMN</t>
        </is>
      </c>
      <c r="G10658" t="n">
        <v>2.7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23217-2023</t>
        </is>
      </c>
      <c r="B10659" s="1" t="n">
        <v>45075</v>
      </c>
      <c r="C10659" s="1" t="n">
        <v>46086</v>
      </c>
      <c r="D10659" t="inlineStr">
        <is>
          <t>GÄVLEBORGS LÄN</t>
        </is>
      </c>
      <c r="E10659" t="inlineStr">
        <is>
          <t>SANDVIKEN</t>
        </is>
      </c>
      <c r="F10659" t="inlineStr">
        <is>
          <t>Sveaskog</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5479-2023</t>
        </is>
      </c>
      <c r="B10660" s="1" t="n">
        <v>44960</v>
      </c>
      <c r="C10660" s="1" t="n">
        <v>46086</v>
      </c>
      <c r="D10660" t="inlineStr">
        <is>
          <t>GÄVLEBORGS LÄN</t>
        </is>
      </c>
      <c r="E10660" t="inlineStr">
        <is>
          <t>NORDANSTIG</t>
        </is>
      </c>
      <c r="G10660" t="n">
        <v>17.6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23921-2023</t>
        </is>
      </c>
      <c r="B10661" s="1" t="n">
        <v>45078</v>
      </c>
      <c r="C10661" s="1" t="n">
        <v>46086</v>
      </c>
      <c r="D10661" t="inlineStr">
        <is>
          <t>GÄVLEBORGS LÄN</t>
        </is>
      </c>
      <c r="E10661" t="inlineStr">
        <is>
          <t>HUDIKSVALL</t>
        </is>
      </c>
      <c r="F10661" t="inlineStr">
        <is>
          <t>Holmen skog AB</t>
        </is>
      </c>
      <c r="G10661" t="n">
        <v>8.6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55520-2023</t>
        </is>
      </c>
      <c r="B10662" s="1" t="n">
        <v>45238</v>
      </c>
      <c r="C10662" s="1" t="n">
        <v>46086</v>
      </c>
      <c r="D10662" t="inlineStr">
        <is>
          <t>GÄVLEBORGS LÄN</t>
        </is>
      </c>
      <c r="E10662" t="inlineStr">
        <is>
          <t>BOLLNÄS</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34490-2024</t>
        </is>
      </c>
      <c r="B10663" s="1" t="n">
        <v>45525.61373842593</v>
      </c>
      <c r="C10663" s="1" t="n">
        <v>46086</v>
      </c>
      <c r="D10663" t="inlineStr">
        <is>
          <t>GÄVLEBORGS LÄN</t>
        </is>
      </c>
      <c r="E10663" t="inlineStr">
        <is>
          <t>OVANÅKER</t>
        </is>
      </c>
      <c r="F10663" t="inlineStr">
        <is>
          <t>Bergvik skog öst AB</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34558-2024</t>
        </is>
      </c>
      <c r="B10664" s="1" t="n">
        <v>45525.97503472222</v>
      </c>
      <c r="C10664" s="1" t="n">
        <v>46086</v>
      </c>
      <c r="D10664" t="inlineStr">
        <is>
          <t>GÄVLEBORGS LÄN</t>
        </is>
      </c>
      <c r="E10664" t="inlineStr">
        <is>
          <t>BOLLNÄS</t>
        </is>
      </c>
      <c r="G10664" t="n">
        <v>3.4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34617-2024</t>
        </is>
      </c>
      <c r="B10665" s="1" t="n">
        <v>45526</v>
      </c>
      <c r="C10665" s="1" t="n">
        <v>46086</v>
      </c>
      <c r="D10665" t="inlineStr">
        <is>
          <t>GÄVLEBORGS LÄN</t>
        </is>
      </c>
      <c r="E10665" t="inlineStr">
        <is>
          <t>LJUSDAL</t>
        </is>
      </c>
      <c r="F10665" t="inlineStr">
        <is>
          <t>Sveaskog</t>
        </is>
      </c>
      <c r="G10665" t="n">
        <v>4.6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38837-2024</t>
        </is>
      </c>
      <c r="B10666" s="1" t="n">
        <v>45547</v>
      </c>
      <c r="C10666" s="1" t="n">
        <v>46086</v>
      </c>
      <c r="D10666" t="inlineStr">
        <is>
          <t>GÄVLEBORGS LÄN</t>
        </is>
      </c>
      <c r="E10666" t="inlineStr">
        <is>
          <t>BOLLNÄS</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29016-2023</t>
        </is>
      </c>
      <c r="B10667" s="1" t="n">
        <v>45104.67638888889</v>
      </c>
      <c r="C10667" s="1" t="n">
        <v>46086</v>
      </c>
      <c r="D10667" t="inlineStr">
        <is>
          <t>GÄVLEBORGS LÄN</t>
        </is>
      </c>
      <c r="E10667" t="inlineStr">
        <is>
          <t>GÄVLE</t>
        </is>
      </c>
      <c r="F10667" t="inlineStr">
        <is>
          <t>Bergvik skog öst AB</t>
        </is>
      </c>
      <c r="G10667" t="n">
        <v>6.8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19495-2024</t>
        </is>
      </c>
      <c r="B10668" s="1" t="n">
        <v>45429.58289351852</v>
      </c>
      <c r="C10668" s="1" t="n">
        <v>46086</v>
      </c>
      <c r="D10668" t="inlineStr">
        <is>
          <t>GÄVLEBORGS LÄN</t>
        </is>
      </c>
      <c r="E10668" t="inlineStr">
        <is>
          <t>OCKELBO</t>
        </is>
      </c>
      <c r="F10668" t="inlineStr">
        <is>
          <t>Bergvik skog väst AB</t>
        </is>
      </c>
      <c r="G10668" t="n">
        <v>10.4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19600-2024</t>
        </is>
      </c>
      <c r="B10669" s="1" t="n">
        <v>45431.79233796296</v>
      </c>
      <c r="C10669" s="1" t="n">
        <v>46086</v>
      </c>
      <c r="D10669" t="inlineStr">
        <is>
          <t>GÄVLEBORGS LÄN</t>
        </is>
      </c>
      <c r="E10669" t="inlineStr">
        <is>
          <t>HUDIKSVALL</t>
        </is>
      </c>
      <c r="F10669" t="inlineStr">
        <is>
          <t>Holmen skog AB</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19603-2024</t>
        </is>
      </c>
      <c r="B10670" s="1" t="n">
        <v>45431.87506944445</v>
      </c>
      <c r="C10670" s="1" t="n">
        <v>46086</v>
      </c>
      <c r="D10670" t="inlineStr">
        <is>
          <t>GÄVLEBORGS LÄN</t>
        </is>
      </c>
      <c r="E10670" t="inlineStr">
        <is>
          <t>HUDIKSVALL</t>
        </is>
      </c>
      <c r="F10670" t="inlineStr">
        <is>
          <t>Holmen skog AB</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17538-2025</t>
        </is>
      </c>
      <c r="B10671" s="1" t="n">
        <v>45757.60380787037</v>
      </c>
      <c r="C10671" s="1" t="n">
        <v>46086</v>
      </c>
      <c r="D10671" t="inlineStr">
        <is>
          <t>GÄVLEBORGS LÄN</t>
        </is>
      </c>
      <c r="E10671" t="inlineStr">
        <is>
          <t>OCKELBO</t>
        </is>
      </c>
      <c r="F10671" t="inlineStr">
        <is>
          <t>Bergvik skog väst AB</t>
        </is>
      </c>
      <c r="G10671" t="n">
        <v>11.5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17539-2025</t>
        </is>
      </c>
      <c r="B10672" s="1" t="n">
        <v>45757</v>
      </c>
      <c r="C10672" s="1" t="n">
        <v>46086</v>
      </c>
      <c r="D10672" t="inlineStr">
        <is>
          <t>GÄVLEBORGS LÄN</t>
        </is>
      </c>
      <c r="E10672" t="inlineStr">
        <is>
          <t>LJUSDAL</t>
        </is>
      </c>
      <c r="F10672" t="inlineStr">
        <is>
          <t>Sveaskog</t>
        </is>
      </c>
      <c r="G10672" t="n">
        <v>4.3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51458-2022</t>
        </is>
      </c>
      <c r="B10673" s="1" t="n">
        <v>44869.53126157408</v>
      </c>
      <c r="C10673" s="1" t="n">
        <v>46086</v>
      </c>
      <c r="D10673" t="inlineStr">
        <is>
          <t>GÄVLEBORGS LÄN</t>
        </is>
      </c>
      <c r="E10673" t="inlineStr">
        <is>
          <t>SÖDERHAMN</t>
        </is>
      </c>
      <c r="G10673" t="n">
        <v>3.7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10137-2024</t>
        </is>
      </c>
      <c r="B10674" s="1" t="n">
        <v>45364.60462962963</v>
      </c>
      <c r="C10674" s="1" t="n">
        <v>46086</v>
      </c>
      <c r="D10674" t="inlineStr">
        <is>
          <t>GÄVLEBORGS LÄN</t>
        </is>
      </c>
      <c r="E10674" t="inlineStr">
        <is>
          <t>NORDANSTIG</t>
        </is>
      </c>
      <c r="F10674" t="inlineStr">
        <is>
          <t>Holmen skog AB</t>
        </is>
      </c>
      <c r="G10674" t="n">
        <v>2.8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37217-2024</t>
        </is>
      </c>
      <c r="B10675" s="1" t="n">
        <v>45539</v>
      </c>
      <c r="C10675" s="1" t="n">
        <v>46086</v>
      </c>
      <c r="D10675" t="inlineStr">
        <is>
          <t>GÄVLEBORGS LÄN</t>
        </is>
      </c>
      <c r="E10675" t="inlineStr">
        <is>
          <t>NORDANSTIG</t>
        </is>
      </c>
      <c r="G10675" t="n">
        <v>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41230-2024</t>
        </is>
      </c>
      <c r="B10676" s="1" t="n">
        <v>45559.56349537037</v>
      </c>
      <c r="C10676" s="1" t="n">
        <v>46086</v>
      </c>
      <c r="D10676" t="inlineStr">
        <is>
          <t>GÄVLEBORGS LÄN</t>
        </is>
      </c>
      <c r="E10676" t="inlineStr">
        <is>
          <t>HUDIKSVALL</t>
        </is>
      </c>
      <c r="F10676" t="inlineStr">
        <is>
          <t>Holmen skog AB</t>
        </is>
      </c>
      <c r="G10676" t="n">
        <v>5.9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57500-2023</t>
        </is>
      </c>
      <c r="B10677" s="1" t="n">
        <v>45246</v>
      </c>
      <c r="C10677" s="1" t="n">
        <v>46086</v>
      </c>
      <c r="D10677" t="inlineStr">
        <is>
          <t>GÄVLEBORGS LÄN</t>
        </is>
      </c>
      <c r="E10677" t="inlineStr">
        <is>
          <t>SÖDERHAMN</t>
        </is>
      </c>
      <c r="G10677" t="n">
        <v>2.1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31607-2023</t>
        </is>
      </c>
      <c r="B10678" s="1" t="n">
        <v>45117</v>
      </c>
      <c r="C10678" s="1" t="n">
        <v>46086</v>
      </c>
      <c r="D10678" t="inlineStr">
        <is>
          <t>GÄVLEBORGS LÄN</t>
        </is>
      </c>
      <c r="E10678" t="inlineStr">
        <is>
          <t>HOFORS</t>
        </is>
      </c>
      <c r="G10678" t="n">
        <v>3.8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31611-2023</t>
        </is>
      </c>
      <c r="B10679" s="1" t="n">
        <v>45117</v>
      </c>
      <c r="C10679" s="1" t="n">
        <v>46086</v>
      </c>
      <c r="D10679" t="inlineStr">
        <is>
          <t>GÄVLEBORGS LÄN</t>
        </is>
      </c>
      <c r="E10679" t="inlineStr">
        <is>
          <t>HOFORS</t>
        </is>
      </c>
      <c r="G10679" t="n">
        <v>4.4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60396-2022</t>
        </is>
      </c>
      <c r="B10680" s="1" t="n">
        <v>44910</v>
      </c>
      <c r="C10680" s="1" t="n">
        <v>46086</v>
      </c>
      <c r="D10680" t="inlineStr">
        <is>
          <t>GÄVLEBORGS LÄN</t>
        </is>
      </c>
      <c r="E10680" t="inlineStr">
        <is>
          <t>GÄVLE</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8698-2024</t>
        </is>
      </c>
      <c r="B10681" s="1" t="n">
        <v>45356.37516203704</v>
      </c>
      <c r="C10681" s="1" t="n">
        <v>46086</v>
      </c>
      <c r="D10681" t="inlineStr">
        <is>
          <t>GÄVLEBORGS LÄN</t>
        </is>
      </c>
      <c r="E10681" t="inlineStr">
        <is>
          <t>SANDVIKEN</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9131-2024</t>
        </is>
      </c>
      <c r="B10682" s="1" t="n">
        <v>45358.34773148148</v>
      </c>
      <c r="C10682" s="1" t="n">
        <v>46086</v>
      </c>
      <c r="D10682" t="inlineStr">
        <is>
          <t>GÄVLEBORGS LÄN</t>
        </is>
      </c>
      <c r="E10682" t="inlineStr">
        <is>
          <t>NORDANSTIG</t>
        </is>
      </c>
      <c r="F10682" t="inlineStr">
        <is>
          <t>Holmen skog AB</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42069-2024</t>
        </is>
      </c>
      <c r="B10683" s="1" t="n">
        <v>45562.27895833334</v>
      </c>
      <c r="C10683" s="1" t="n">
        <v>46086</v>
      </c>
      <c r="D10683" t="inlineStr">
        <is>
          <t>GÄVLEBORGS LÄN</t>
        </is>
      </c>
      <c r="E10683" t="inlineStr">
        <is>
          <t>SANDVIKEN</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8752-2023</t>
        </is>
      </c>
      <c r="B10684" s="1" t="n">
        <v>44978.47886574074</v>
      </c>
      <c r="C10684" s="1" t="n">
        <v>46086</v>
      </c>
      <c r="D10684" t="inlineStr">
        <is>
          <t>GÄVLEBORGS LÄN</t>
        </is>
      </c>
      <c r="E10684" t="inlineStr">
        <is>
          <t>HUDIKSVALL</t>
        </is>
      </c>
      <c r="G10684" t="n">
        <v>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25276-2024</t>
        </is>
      </c>
      <c r="B10685" s="1" t="n">
        <v>45462.63016203704</v>
      </c>
      <c r="C10685" s="1" t="n">
        <v>46086</v>
      </c>
      <c r="D10685" t="inlineStr">
        <is>
          <t>GÄVLEBORGS LÄN</t>
        </is>
      </c>
      <c r="E10685" t="inlineStr">
        <is>
          <t>GÄVLE</t>
        </is>
      </c>
      <c r="G10685" t="n">
        <v>3.1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40453-2024</t>
        </is>
      </c>
      <c r="B10686" s="1" t="n">
        <v>45555.49383101852</v>
      </c>
      <c r="C10686" s="1" t="n">
        <v>46086</v>
      </c>
      <c r="D10686" t="inlineStr">
        <is>
          <t>GÄVLEBORGS LÄN</t>
        </is>
      </c>
      <c r="E10686" t="inlineStr">
        <is>
          <t>BOLLNÄS</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7114-2025</t>
        </is>
      </c>
      <c r="B10687" s="1" t="n">
        <v>45702.30924768518</v>
      </c>
      <c r="C10687" s="1" t="n">
        <v>46086</v>
      </c>
      <c r="D10687" t="inlineStr">
        <is>
          <t>GÄVLEBORGS LÄN</t>
        </is>
      </c>
      <c r="E10687" t="inlineStr">
        <is>
          <t>HUDIKSVALL</t>
        </is>
      </c>
      <c r="F10687" t="inlineStr">
        <is>
          <t>Holmen skog AB</t>
        </is>
      </c>
      <c r="G10687" t="n">
        <v>3.1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23162-2024</t>
        </is>
      </c>
      <c r="B10688" s="1" t="n">
        <v>45450.73319444444</v>
      </c>
      <c r="C10688" s="1" t="n">
        <v>46086</v>
      </c>
      <c r="D10688" t="inlineStr">
        <is>
          <t>GÄVLEBORGS LÄN</t>
        </is>
      </c>
      <c r="E10688" t="inlineStr">
        <is>
          <t>LJUSDAL</t>
        </is>
      </c>
      <c r="G10688" t="n">
        <v>2.1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28810-2024</t>
        </is>
      </c>
      <c r="B10689" s="1" t="n">
        <v>45478.63699074074</v>
      </c>
      <c r="C10689" s="1" t="n">
        <v>46086</v>
      </c>
      <c r="D10689" t="inlineStr">
        <is>
          <t>GÄVLEBORGS LÄN</t>
        </is>
      </c>
      <c r="E10689" t="inlineStr">
        <is>
          <t>BOLLNÄS</t>
        </is>
      </c>
      <c r="F10689" t="inlineStr">
        <is>
          <t>Bergvik skog väst AB</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4021-2023</t>
        </is>
      </c>
      <c r="B10690" s="1" t="n">
        <v>44952</v>
      </c>
      <c r="C10690" s="1" t="n">
        <v>46086</v>
      </c>
      <c r="D10690" t="inlineStr">
        <is>
          <t>GÄVLEBORGS LÄN</t>
        </is>
      </c>
      <c r="E10690" t="inlineStr">
        <is>
          <t>NORDANSTIG</t>
        </is>
      </c>
      <c r="F10690" t="inlineStr">
        <is>
          <t>Holmen skog AB</t>
        </is>
      </c>
      <c r="G10690" t="n">
        <v>3.4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22039-2023</t>
        </is>
      </c>
      <c r="B10691" s="1" t="n">
        <v>45069</v>
      </c>
      <c r="C10691" s="1" t="n">
        <v>46086</v>
      </c>
      <c r="D10691" t="inlineStr">
        <is>
          <t>GÄVLEBORGS LÄN</t>
        </is>
      </c>
      <c r="E10691" t="inlineStr">
        <is>
          <t>LJUSDAL</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203-2025</t>
        </is>
      </c>
      <c r="B10692" s="1" t="n">
        <v>45660.31256944445</v>
      </c>
      <c r="C10692" s="1" t="n">
        <v>46086</v>
      </c>
      <c r="D10692" t="inlineStr">
        <is>
          <t>GÄVLEBORGS LÄN</t>
        </is>
      </c>
      <c r="E10692" t="inlineStr">
        <is>
          <t>LJUSDAL</t>
        </is>
      </c>
      <c r="G10692" t="n">
        <v>2.8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208-2025</t>
        </is>
      </c>
      <c r="B10693" s="1" t="n">
        <v>45660.32690972222</v>
      </c>
      <c r="C10693" s="1" t="n">
        <v>46086</v>
      </c>
      <c r="D10693" t="inlineStr">
        <is>
          <t>GÄVLEBORGS LÄN</t>
        </is>
      </c>
      <c r="E10693" t="inlineStr">
        <is>
          <t>LJUSDAL</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225-2025</t>
        </is>
      </c>
      <c r="B10694" s="1" t="n">
        <v>45660.35574074074</v>
      </c>
      <c r="C10694" s="1" t="n">
        <v>46086</v>
      </c>
      <c r="D10694" t="inlineStr">
        <is>
          <t>GÄVLEBORGS LÄN</t>
        </is>
      </c>
      <c r="E10694" t="inlineStr">
        <is>
          <t>GÄVLE</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226-2025</t>
        </is>
      </c>
      <c r="B10695" s="1" t="n">
        <v>45660</v>
      </c>
      <c r="C10695" s="1" t="n">
        <v>46086</v>
      </c>
      <c r="D10695" t="inlineStr">
        <is>
          <t>GÄVLEBORGS LÄN</t>
        </is>
      </c>
      <c r="E10695" t="inlineStr">
        <is>
          <t>BOLLNÄS</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22070-2023</t>
        </is>
      </c>
      <c r="B10696" s="1" t="n">
        <v>45069</v>
      </c>
      <c r="C10696" s="1" t="n">
        <v>46086</v>
      </c>
      <c r="D10696" t="inlineStr">
        <is>
          <t>GÄVLEBORGS LÄN</t>
        </is>
      </c>
      <c r="E10696" t="inlineStr">
        <is>
          <t>SANDVIKEN</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232-2025</t>
        </is>
      </c>
      <c r="B10697" s="1" t="n">
        <v>45660.37127314815</v>
      </c>
      <c r="C10697" s="1" t="n">
        <v>46086</v>
      </c>
      <c r="D10697" t="inlineStr">
        <is>
          <t>GÄVLEBORGS LÄN</t>
        </is>
      </c>
      <c r="E10697" t="inlineStr">
        <is>
          <t>GÄVLE</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13484-2023</t>
        </is>
      </c>
      <c r="B10698" s="1" t="n">
        <v>45005</v>
      </c>
      <c r="C10698" s="1" t="n">
        <v>46086</v>
      </c>
      <c r="D10698" t="inlineStr">
        <is>
          <t>GÄVLEBORGS LÄN</t>
        </is>
      </c>
      <c r="E10698" t="inlineStr">
        <is>
          <t>HUDIKSVALL</t>
        </is>
      </c>
      <c r="G10698" t="n">
        <v>4.3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3044-2023</t>
        </is>
      </c>
      <c r="B10699" s="1" t="n">
        <v>44946</v>
      </c>
      <c r="C10699" s="1" t="n">
        <v>46086</v>
      </c>
      <c r="D10699" t="inlineStr">
        <is>
          <t>GÄVLEBORGS LÄN</t>
        </is>
      </c>
      <c r="E10699" t="inlineStr">
        <is>
          <t>OVANÅKER</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11338-2023</t>
        </is>
      </c>
      <c r="B10700" s="1" t="n">
        <v>44993.35480324074</v>
      </c>
      <c r="C10700" s="1" t="n">
        <v>46086</v>
      </c>
      <c r="D10700" t="inlineStr">
        <is>
          <t>GÄVLEBORGS LÄN</t>
        </is>
      </c>
      <c r="E10700" t="inlineStr">
        <is>
          <t>NORDANSTIG</t>
        </is>
      </c>
      <c r="G10700" t="n">
        <v>3.4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27182-2022</t>
        </is>
      </c>
      <c r="B10701" s="1" t="n">
        <v>44741.57295138889</v>
      </c>
      <c r="C10701" s="1" t="n">
        <v>46086</v>
      </c>
      <c r="D10701" t="inlineStr">
        <is>
          <t>GÄVLEBORGS LÄN</t>
        </is>
      </c>
      <c r="E10701" t="inlineStr">
        <is>
          <t>GÄVLE</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45802-2023</t>
        </is>
      </c>
      <c r="B10702" s="1" t="n">
        <v>45195</v>
      </c>
      <c r="C10702" s="1" t="n">
        <v>46086</v>
      </c>
      <c r="D10702" t="inlineStr">
        <is>
          <t>GÄVLEBORGS LÄN</t>
        </is>
      </c>
      <c r="E10702" t="inlineStr">
        <is>
          <t>HUDIKSVALL</t>
        </is>
      </c>
      <c r="F10702" t="inlineStr">
        <is>
          <t>Holmen skog AB</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50575-2023</t>
        </is>
      </c>
      <c r="B10703" s="1" t="n">
        <v>45217.38545138889</v>
      </c>
      <c r="C10703" s="1" t="n">
        <v>46086</v>
      </c>
      <c r="D10703" t="inlineStr">
        <is>
          <t>GÄVLEBORGS LÄN</t>
        </is>
      </c>
      <c r="E10703" t="inlineStr">
        <is>
          <t>GÄVLE</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18562-2025</t>
        </is>
      </c>
      <c r="B10704" s="1" t="n">
        <v>45763.4484375</v>
      </c>
      <c r="C10704" s="1" t="n">
        <v>46086</v>
      </c>
      <c r="D10704" t="inlineStr">
        <is>
          <t>GÄVLEBORGS LÄN</t>
        </is>
      </c>
      <c r="E10704" t="inlineStr">
        <is>
          <t>OVANÅKER</t>
        </is>
      </c>
      <c r="F10704" t="inlineStr">
        <is>
          <t>Holmen skog AB</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15963-2025</t>
        </is>
      </c>
      <c r="B10705" s="1" t="n">
        <v>45749</v>
      </c>
      <c r="C10705" s="1" t="n">
        <v>46086</v>
      </c>
      <c r="D10705" t="inlineStr">
        <is>
          <t>GÄVLEBORGS LÄN</t>
        </is>
      </c>
      <c r="E10705" t="inlineStr">
        <is>
          <t>HUDIKSVALL</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20711-2023</t>
        </is>
      </c>
      <c r="B10706" s="1" t="n">
        <v>45058</v>
      </c>
      <c r="C10706" s="1" t="n">
        <v>46086</v>
      </c>
      <c r="D10706" t="inlineStr">
        <is>
          <t>GÄVLEBORGS LÄN</t>
        </is>
      </c>
      <c r="E10706" t="inlineStr">
        <is>
          <t>HUDIKSVALL</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27534-2021</t>
        </is>
      </c>
      <c r="B10707" s="1" t="n">
        <v>44351.67798611111</v>
      </c>
      <c r="C10707" s="1" t="n">
        <v>46086</v>
      </c>
      <c r="D10707" t="inlineStr">
        <is>
          <t>GÄVLEBORGS LÄN</t>
        </is>
      </c>
      <c r="E10707" t="inlineStr">
        <is>
          <t>OVANÅKER</t>
        </is>
      </c>
      <c r="F10707" t="inlineStr">
        <is>
          <t>Sveaskog</t>
        </is>
      </c>
      <c r="G10707" t="n">
        <v>4.1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27536-2021</t>
        </is>
      </c>
      <c r="B10708" s="1" t="n">
        <v>44351.67927083333</v>
      </c>
      <c r="C10708" s="1" t="n">
        <v>46086</v>
      </c>
      <c r="D10708" t="inlineStr">
        <is>
          <t>GÄVLEBORGS LÄN</t>
        </is>
      </c>
      <c r="E10708" t="inlineStr">
        <is>
          <t>OVANÅKER</t>
        </is>
      </c>
      <c r="F10708" t="inlineStr">
        <is>
          <t>Sveaskog</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16849-2023</t>
        </is>
      </c>
      <c r="B10709" s="1" t="n">
        <v>45033</v>
      </c>
      <c r="C10709" s="1" t="n">
        <v>46086</v>
      </c>
      <c r="D10709" t="inlineStr">
        <is>
          <t>GÄVLEBORGS LÄN</t>
        </is>
      </c>
      <c r="E10709" t="inlineStr">
        <is>
          <t>HUDIKSVALL</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7569-2023</t>
        </is>
      </c>
      <c r="B10710" s="1" t="n">
        <v>44972</v>
      </c>
      <c r="C10710" s="1" t="n">
        <v>46086</v>
      </c>
      <c r="D10710" t="inlineStr">
        <is>
          <t>GÄVLEBORGS LÄN</t>
        </is>
      </c>
      <c r="E10710" t="inlineStr">
        <is>
          <t>LJUSDAL</t>
        </is>
      </c>
      <c r="F10710" t="inlineStr">
        <is>
          <t>Kommuner</t>
        </is>
      </c>
      <c r="G10710" t="n">
        <v>6.9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54135-2024</t>
        </is>
      </c>
      <c r="B10711" s="1" t="n">
        <v>45616.5928125</v>
      </c>
      <c r="C10711" s="1" t="n">
        <v>46086</v>
      </c>
      <c r="D10711" t="inlineStr">
        <is>
          <t>GÄVLEBORGS LÄN</t>
        </is>
      </c>
      <c r="E10711" t="inlineStr">
        <is>
          <t>SÖDERHAMN</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54146-2024</t>
        </is>
      </c>
      <c r="B10712" s="1" t="n">
        <v>45616.59899305556</v>
      </c>
      <c r="C10712" s="1" t="n">
        <v>46086</v>
      </c>
      <c r="D10712" t="inlineStr">
        <is>
          <t>GÄVLEBORGS LÄN</t>
        </is>
      </c>
      <c r="E10712" t="inlineStr">
        <is>
          <t>OVANÅKER</t>
        </is>
      </c>
      <c r="G10712" t="n">
        <v>6.9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45096-2023</t>
        </is>
      </c>
      <c r="B10713" s="1" t="n">
        <v>45191.42413194444</v>
      </c>
      <c r="C10713" s="1" t="n">
        <v>46086</v>
      </c>
      <c r="D10713" t="inlineStr">
        <is>
          <t>GÄVLEBORGS LÄN</t>
        </is>
      </c>
      <c r="E10713" t="inlineStr">
        <is>
          <t>HUDIKSVALL</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23085-2023</t>
        </is>
      </c>
      <c r="B10714" s="1" t="n">
        <v>45075</v>
      </c>
      <c r="C10714" s="1" t="n">
        <v>46086</v>
      </c>
      <c r="D10714" t="inlineStr">
        <is>
          <t>GÄVLEBORGS LÄN</t>
        </is>
      </c>
      <c r="E10714" t="inlineStr">
        <is>
          <t>SANDVIKEN</t>
        </is>
      </c>
      <c r="G10714" t="n">
        <v>8.300000000000001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36833-2022</t>
        </is>
      </c>
      <c r="B10715" s="1" t="n">
        <v>44805.569375</v>
      </c>
      <c r="C10715" s="1" t="n">
        <v>46086</v>
      </c>
      <c r="D10715" t="inlineStr">
        <is>
          <t>GÄVLEBORGS LÄN</t>
        </is>
      </c>
      <c r="E10715" t="inlineStr">
        <is>
          <t>SANDVIKEN</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31735-2024</t>
        </is>
      </c>
      <c r="B10716" s="1" t="n">
        <v>45509.37269675926</v>
      </c>
      <c r="C10716" s="1" t="n">
        <v>46086</v>
      </c>
      <c r="D10716" t="inlineStr">
        <is>
          <t>GÄVLEBORGS LÄN</t>
        </is>
      </c>
      <c r="E10716" t="inlineStr">
        <is>
          <t>GÄVLE</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57302-2024</t>
        </is>
      </c>
      <c r="B10717" s="1" t="n">
        <v>45629.60164351852</v>
      </c>
      <c r="C10717" s="1" t="n">
        <v>46086</v>
      </c>
      <c r="D10717" t="inlineStr">
        <is>
          <t>GÄVLEBORGS LÄN</t>
        </is>
      </c>
      <c r="E10717" t="inlineStr">
        <is>
          <t>SANDVIKEN</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5940-2025</t>
        </is>
      </c>
      <c r="B10718" s="1" t="n">
        <v>45695.46601851852</v>
      </c>
      <c r="C10718" s="1" t="n">
        <v>46086</v>
      </c>
      <c r="D10718" t="inlineStr">
        <is>
          <t>GÄVLEBORGS LÄN</t>
        </is>
      </c>
      <c r="E10718" t="inlineStr">
        <is>
          <t>HUDIKSVALL</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5946-2025</t>
        </is>
      </c>
      <c r="B10719" s="1" t="n">
        <v>45695.46989583333</v>
      </c>
      <c r="C10719" s="1" t="n">
        <v>46086</v>
      </c>
      <c r="D10719" t="inlineStr">
        <is>
          <t>GÄVLEBORGS LÄN</t>
        </is>
      </c>
      <c r="E10719" t="inlineStr">
        <is>
          <t>HUDIKSVALL</t>
        </is>
      </c>
      <c r="G10719" t="n">
        <v>1.9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31415-2024</t>
        </is>
      </c>
      <c r="B10720" s="1" t="n">
        <v>45505.61702546296</v>
      </c>
      <c r="C10720" s="1" t="n">
        <v>46086</v>
      </c>
      <c r="D10720" t="inlineStr">
        <is>
          <t>GÄVLEBORGS LÄN</t>
        </is>
      </c>
      <c r="E10720" t="inlineStr">
        <is>
          <t>LJUSDAL</t>
        </is>
      </c>
      <c r="F10720" t="inlineStr">
        <is>
          <t>Sveaskog</t>
        </is>
      </c>
      <c r="G10720" t="n">
        <v>4.7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33198-2024</t>
        </is>
      </c>
      <c r="B10721" s="1" t="n">
        <v>45518</v>
      </c>
      <c r="C10721" s="1" t="n">
        <v>46086</v>
      </c>
      <c r="D10721" t="inlineStr">
        <is>
          <t>GÄVLEBORGS LÄN</t>
        </is>
      </c>
      <c r="E10721" t="inlineStr">
        <is>
          <t>OVANÅKER</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34944-2024</t>
        </is>
      </c>
      <c r="B10722" s="1" t="n">
        <v>45527.46929398148</v>
      </c>
      <c r="C10722" s="1" t="n">
        <v>46086</v>
      </c>
      <c r="D10722" t="inlineStr">
        <is>
          <t>GÄVLEBORGS LÄN</t>
        </is>
      </c>
      <c r="E10722" t="inlineStr">
        <is>
          <t>OCKELBO</t>
        </is>
      </c>
      <c r="F10722" t="inlineStr">
        <is>
          <t>Bergvik skog väst AB</t>
        </is>
      </c>
      <c r="G10722" t="n">
        <v>12.2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56366-2024</t>
        </is>
      </c>
      <c r="B10723" s="1" t="n">
        <v>45625</v>
      </c>
      <c r="C10723" s="1" t="n">
        <v>46086</v>
      </c>
      <c r="D10723" t="inlineStr">
        <is>
          <t>GÄVLEBORGS LÄN</t>
        </is>
      </c>
      <c r="E10723" t="inlineStr">
        <is>
          <t>HUDIKSVALL</t>
        </is>
      </c>
      <c r="G10723" t="n">
        <v>5.7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46376-2024</t>
        </is>
      </c>
      <c r="B10724" s="1" t="n">
        <v>45582.3827662037</v>
      </c>
      <c r="C10724" s="1" t="n">
        <v>46086</v>
      </c>
      <c r="D10724" t="inlineStr">
        <is>
          <t>GÄVLEBORGS LÄN</t>
        </is>
      </c>
      <c r="E10724" t="inlineStr">
        <is>
          <t>NORDANSTIG</t>
        </is>
      </c>
      <c r="F10724" t="inlineStr">
        <is>
          <t>Holmen skog AB</t>
        </is>
      </c>
      <c r="G10724" t="n">
        <v>5.3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46401-2024</t>
        </is>
      </c>
      <c r="B10725" s="1" t="n">
        <v>45582.42407407407</v>
      </c>
      <c r="C10725" s="1" t="n">
        <v>46086</v>
      </c>
      <c r="D10725" t="inlineStr">
        <is>
          <t>GÄVLEBORGS LÄN</t>
        </is>
      </c>
      <c r="E10725" t="inlineStr">
        <is>
          <t>HUDIKSVALL</t>
        </is>
      </c>
      <c r="G10725" t="n">
        <v>12.2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31935-2024</t>
        </is>
      </c>
      <c r="B10726" s="1" t="n">
        <v>45510.41490740741</v>
      </c>
      <c r="C10726" s="1" t="n">
        <v>46086</v>
      </c>
      <c r="D10726" t="inlineStr">
        <is>
          <t>GÄVLEBORGS LÄN</t>
        </is>
      </c>
      <c r="E10726" t="inlineStr">
        <is>
          <t>SÖDERHAMN</t>
        </is>
      </c>
      <c r="F10726" t="inlineStr">
        <is>
          <t>Bergvik skog väst AB</t>
        </is>
      </c>
      <c r="G10726" t="n">
        <v>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18818-2021</t>
        </is>
      </c>
      <c r="B10727" s="1" t="n">
        <v>44307.63686342593</v>
      </c>
      <c r="C10727" s="1" t="n">
        <v>46086</v>
      </c>
      <c r="D10727" t="inlineStr">
        <is>
          <t>GÄVLEBORGS LÄN</t>
        </is>
      </c>
      <c r="E10727" t="inlineStr">
        <is>
          <t>HUDIKSVALL</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30-2022</t>
        </is>
      </c>
      <c r="B10728" s="1" t="n">
        <v>44564</v>
      </c>
      <c r="C10728" s="1" t="n">
        <v>46086</v>
      </c>
      <c r="D10728" t="inlineStr">
        <is>
          <t>GÄVLEBORGS LÄN</t>
        </is>
      </c>
      <c r="E10728" t="inlineStr">
        <is>
          <t>LJUSDAL</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10571-2025</t>
        </is>
      </c>
      <c r="B10729" s="1" t="n">
        <v>45721</v>
      </c>
      <c r="C10729" s="1" t="n">
        <v>46086</v>
      </c>
      <c r="D10729" t="inlineStr">
        <is>
          <t>GÄVLEBORGS LÄN</t>
        </is>
      </c>
      <c r="E10729" t="inlineStr">
        <is>
          <t>HUDIKSVALL</t>
        </is>
      </c>
      <c r="F10729" t="inlineStr">
        <is>
          <t>Holmen skog AB</t>
        </is>
      </c>
      <c r="G10729" t="n">
        <v>8.4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12815-2025</t>
        </is>
      </c>
      <c r="B10730" s="1" t="n">
        <v>45733.62225694444</v>
      </c>
      <c r="C10730" s="1" t="n">
        <v>46086</v>
      </c>
      <c r="D10730" t="inlineStr">
        <is>
          <t>GÄVLEBORGS LÄN</t>
        </is>
      </c>
      <c r="E10730" t="inlineStr">
        <is>
          <t>BOLLNÄS</t>
        </is>
      </c>
      <c r="G10730" t="n">
        <v>2.9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12850-2025</t>
        </is>
      </c>
      <c r="B10731" s="1" t="n">
        <v>45733.65700231482</v>
      </c>
      <c r="C10731" s="1" t="n">
        <v>46086</v>
      </c>
      <c r="D10731" t="inlineStr">
        <is>
          <t>GÄVLEBORGS LÄN</t>
        </is>
      </c>
      <c r="E10731" t="inlineStr">
        <is>
          <t>HUDIKSVALL</t>
        </is>
      </c>
      <c r="G10731" t="n">
        <v>7.4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8031-2024</t>
        </is>
      </c>
      <c r="B10732" s="1" t="n">
        <v>45350.95267361111</v>
      </c>
      <c r="C10732" s="1" t="n">
        <v>46086</v>
      </c>
      <c r="D10732" t="inlineStr">
        <is>
          <t>GÄVLEBORGS LÄN</t>
        </is>
      </c>
      <c r="E10732" t="inlineStr">
        <is>
          <t>GÄVLE</t>
        </is>
      </c>
      <c r="G10732" t="n">
        <v>0.4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8040-2024</t>
        </is>
      </c>
      <c r="B10733" s="1" t="n">
        <v>45350</v>
      </c>
      <c r="C10733" s="1" t="n">
        <v>46086</v>
      </c>
      <c r="D10733" t="inlineStr">
        <is>
          <t>GÄVLEBORGS LÄN</t>
        </is>
      </c>
      <c r="E10733" t="inlineStr">
        <is>
          <t>NORDANSTIG</t>
        </is>
      </c>
      <c r="F10733" t="inlineStr">
        <is>
          <t>SCA</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51492-2023</t>
        </is>
      </c>
      <c r="B10734" s="1" t="n">
        <v>45222.33164351852</v>
      </c>
      <c r="C10734" s="1" t="n">
        <v>46086</v>
      </c>
      <c r="D10734" t="inlineStr">
        <is>
          <t>GÄVLEBORGS LÄN</t>
        </is>
      </c>
      <c r="E10734" t="inlineStr">
        <is>
          <t>SÖDERHAMN</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32293-2023</t>
        </is>
      </c>
      <c r="B10735" s="1" t="n">
        <v>45107</v>
      </c>
      <c r="C10735" s="1" t="n">
        <v>46086</v>
      </c>
      <c r="D10735" t="inlineStr">
        <is>
          <t>GÄVLEBORGS LÄN</t>
        </is>
      </c>
      <c r="E10735" t="inlineStr">
        <is>
          <t>LJUSDAL</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32294-2023</t>
        </is>
      </c>
      <c r="B10736" s="1" t="n">
        <v>45107</v>
      </c>
      <c r="C10736" s="1" t="n">
        <v>46086</v>
      </c>
      <c r="D10736" t="inlineStr">
        <is>
          <t>GÄVLEBORGS LÄN</t>
        </is>
      </c>
      <c r="E10736" t="inlineStr">
        <is>
          <t>LJUSDAL</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45701-2021</t>
        </is>
      </c>
      <c r="B10737" s="1" t="n">
        <v>44441.38833333334</v>
      </c>
      <c r="C10737" s="1" t="n">
        <v>46086</v>
      </c>
      <c r="D10737" t="inlineStr">
        <is>
          <t>GÄVLEBORGS LÄN</t>
        </is>
      </c>
      <c r="E10737" t="inlineStr">
        <is>
          <t>LJUSDAL</t>
        </is>
      </c>
      <c r="F10737" t="inlineStr">
        <is>
          <t>Allmännings- och besparingsskogar</t>
        </is>
      </c>
      <c r="G10737" t="n">
        <v>0.4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60044-2024</t>
        </is>
      </c>
      <c r="B10738" s="1" t="n">
        <v>45642.47278935185</v>
      </c>
      <c r="C10738" s="1" t="n">
        <v>46086</v>
      </c>
      <c r="D10738" t="inlineStr">
        <is>
          <t>GÄVLEBORGS LÄN</t>
        </is>
      </c>
      <c r="E10738" t="inlineStr">
        <is>
          <t>BOLLNÄS</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32109-2024</t>
        </is>
      </c>
      <c r="B10739" s="1" t="n">
        <v>45511.4409837963</v>
      </c>
      <c r="C10739" s="1" t="n">
        <v>46086</v>
      </c>
      <c r="D10739" t="inlineStr">
        <is>
          <t>GÄVLEBORGS LÄN</t>
        </is>
      </c>
      <c r="E10739" t="inlineStr">
        <is>
          <t>HUDIKSVALL</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36278-2024</t>
        </is>
      </c>
      <c r="B10740" s="1" t="n">
        <v>45534.58508101852</v>
      </c>
      <c r="C10740" s="1" t="n">
        <v>46086</v>
      </c>
      <c r="D10740" t="inlineStr">
        <is>
          <t>GÄVLEBORGS LÄN</t>
        </is>
      </c>
      <c r="E10740" t="inlineStr">
        <is>
          <t>HOFORS</t>
        </is>
      </c>
      <c r="F10740" t="inlineStr">
        <is>
          <t>Sveaskog</t>
        </is>
      </c>
      <c r="G10740" t="n">
        <v>8.699999999999999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61351-2021</t>
        </is>
      </c>
      <c r="B10741" s="1" t="n">
        <v>44498.8419212963</v>
      </c>
      <c r="C10741" s="1" t="n">
        <v>46086</v>
      </c>
      <c r="D10741" t="inlineStr">
        <is>
          <t>GÄVLEBORGS LÄN</t>
        </is>
      </c>
      <c r="E10741" t="inlineStr">
        <is>
          <t>GÄVLE</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26440-2024</t>
        </is>
      </c>
      <c r="B10742" s="1" t="n">
        <v>45469.49199074074</v>
      </c>
      <c r="C10742" s="1" t="n">
        <v>46086</v>
      </c>
      <c r="D10742" t="inlineStr">
        <is>
          <t>GÄVLEBORGS LÄN</t>
        </is>
      </c>
      <c r="E10742" t="inlineStr">
        <is>
          <t>BOLLNÄS</t>
        </is>
      </c>
      <c r="F10742" t="inlineStr">
        <is>
          <t>Bergvik skog väst AB</t>
        </is>
      </c>
      <c r="G10742" t="n">
        <v>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28063-2023</t>
        </is>
      </c>
      <c r="B10743" s="1" t="n">
        <v>45099.36172453704</v>
      </c>
      <c r="C10743" s="1" t="n">
        <v>46086</v>
      </c>
      <c r="D10743" t="inlineStr">
        <is>
          <t>GÄVLEBORGS LÄN</t>
        </is>
      </c>
      <c r="E10743" t="inlineStr">
        <is>
          <t>SANDVIKEN</t>
        </is>
      </c>
      <c r="G10743" t="n">
        <v>8.1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48580-2024</t>
        </is>
      </c>
      <c r="B10744" s="1" t="n">
        <v>45593.41601851852</v>
      </c>
      <c r="C10744" s="1" t="n">
        <v>46086</v>
      </c>
      <c r="D10744" t="inlineStr">
        <is>
          <t>GÄVLEBORGS LÄN</t>
        </is>
      </c>
      <c r="E10744" t="inlineStr">
        <is>
          <t>LJUSDAL</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48597-2024</t>
        </is>
      </c>
      <c r="B10745" s="1" t="n">
        <v>45593.44456018518</v>
      </c>
      <c r="C10745" s="1" t="n">
        <v>46086</v>
      </c>
      <c r="D10745" t="inlineStr">
        <is>
          <t>GÄVLEBORGS LÄN</t>
        </is>
      </c>
      <c r="E10745" t="inlineStr">
        <is>
          <t>HUDIKSVALL</t>
        </is>
      </c>
      <c r="G10745" t="n">
        <v>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7600-2025</t>
        </is>
      </c>
      <c r="B10746" s="1" t="n">
        <v>45705.65464120371</v>
      </c>
      <c r="C10746" s="1" t="n">
        <v>46086</v>
      </c>
      <c r="D10746" t="inlineStr">
        <is>
          <t>GÄVLEBORGS LÄN</t>
        </is>
      </c>
      <c r="E10746" t="inlineStr">
        <is>
          <t>LJUSDAL</t>
        </is>
      </c>
      <c r="G10746" t="n">
        <v>3.9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22547-2022</t>
        </is>
      </c>
      <c r="B10747" s="1" t="n">
        <v>44713</v>
      </c>
      <c r="C10747" s="1" t="n">
        <v>46086</v>
      </c>
      <c r="D10747" t="inlineStr">
        <is>
          <t>GÄVLEBORGS LÄN</t>
        </is>
      </c>
      <c r="E10747" t="inlineStr">
        <is>
          <t>NORDANSTIG</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18102-2025</t>
        </is>
      </c>
      <c r="B10748" s="1" t="n">
        <v>45761.55295138889</v>
      </c>
      <c r="C10748" s="1" t="n">
        <v>46086</v>
      </c>
      <c r="D10748" t="inlineStr">
        <is>
          <t>GÄVLEBORGS LÄN</t>
        </is>
      </c>
      <c r="E10748" t="inlineStr">
        <is>
          <t>LJUSDAL</t>
        </is>
      </c>
      <c r="G10748" t="n">
        <v>8.1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23619-2022</t>
        </is>
      </c>
      <c r="B10749" s="1" t="n">
        <v>44721.62302083334</v>
      </c>
      <c r="C10749" s="1" t="n">
        <v>46086</v>
      </c>
      <c r="D10749" t="inlineStr">
        <is>
          <t>GÄVLEBORGS LÄN</t>
        </is>
      </c>
      <c r="E10749" t="inlineStr">
        <is>
          <t>LJUSDAL</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53566-2022</t>
        </is>
      </c>
      <c r="B10750" s="1" t="n">
        <v>44879</v>
      </c>
      <c r="C10750" s="1" t="n">
        <v>46086</v>
      </c>
      <c r="D10750" t="inlineStr">
        <is>
          <t>GÄVLEBORGS LÄN</t>
        </is>
      </c>
      <c r="E10750" t="inlineStr">
        <is>
          <t>BOLLNÄS</t>
        </is>
      </c>
      <c r="F10750" t="inlineStr">
        <is>
          <t>Holmen skog AB</t>
        </is>
      </c>
      <c r="G10750" t="n">
        <v>2.6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59738-2022</t>
        </is>
      </c>
      <c r="B10751" s="1" t="n">
        <v>44908</v>
      </c>
      <c r="C10751" s="1" t="n">
        <v>46086</v>
      </c>
      <c r="D10751" t="inlineStr">
        <is>
          <t>GÄVLEBORGS LÄN</t>
        </is>
      </c>
      <c r="E10751" t="inlineStr">
        <is>
          <t>SANDVIKEN</t>
        </is>
      </c>
      <c r="G10751" t="n">
        <v>3.9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59741-2022</t>
        </is>
      </c>
      <c r="B10752" s="1" t="n">
        <v>44908</v>
      </c>
      <c r="C10752" s="1" t="n">
        <v>46086</v>
      </c>
      <c r="D10752" t="inlineStr">
        <is>
          <t>GÄVLEBORGS LÄN</t>
        </is>
      </c>
      <c r="E10752" t="inlineStr">
        <is>
          <t>HUDIKSVALL</t>
        </is>
      </c>
      <c r="G10752" t="n">
        <v>7.3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59742-2022</t>
        </is>
      </c>
      <c r="B10753" s="1" t="n">
        <v>44908</v>
      </c>
      <c r="C10753" s="1" t="n">
        <v>46086</v>
      </c>
      <c r="D10753" t="inlineStr">
        <is>
          <t>GÄVLEBORGS LÄN</t>
        </is>
      </c>
      <c r="E10753" t="inlineStr">
        <is>
          <t>HUDIKSVALL</t>
        </is>
      </c>
      <c r="F10753" t="inlineStr">
        <is>
          <t>Holmen skog AB</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12624-2025</t>
        </is>
      </c>
      <c r="B10754" s="1" t="n">
        <v>45733.36315972222</v>
      </c>
      <c r="C10754" s="1" t="n">
        <v>46086</v>
      </c>
      <c r="D10754" t="inlineStr">
        <is>
          <t>GÄVLEBORGS LÄN</t>
        </is>
      </c>
      <c r="E10754" t="inlineStr">
        <is>
          <t>BOLLNÄS</t>
        </is>
      </c>
      <c r="G10754" t="n">
        <v>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12629-2025</t>
        </is>
      </c>
      <c r="B10755" s="1" t="n">
        <v>45733.369375</v>
      </c>
      <c r="C10755" s="1" t="n">
        <v>46086</v>
      </c>
      <c r="D10755" t="inlineStr">
        <is>
          <t>GÄVLEBORGS LÄN</t>
        </is>
      </c>
      <c r="E10755" t="inlineStr">
        <is>
          <t>SANDVIKEN</t>
        </is>
      </c>
      <c r="F10755" t="inlineStr">
        <is>
          <t>Bergvik skog öst AB</t>
        </is>
      </c>
      <c r="G10755" t="n">
        <v>4.8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30816-2022</t>
        </is>
      </c>
      <c r="B10756" s="1" t="n">
        <v>44765.52364583333</v>
      </c>
      <c r="C10756" s="1" t="n">
        <v>46086</v>
      </c>
      <c r="D10756" t="inlineStr">
        <is>
          <t>GÄVLEBORGS LÄN</t>
        </is>
      </c>
      <c r="E10756" t="inlineStr">
        <is>
          <t>NORDANSTIG</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44625-2023</t>
        </is>
      </c>
      <c r="B10757" s="1" t="n">
        <v>45189</v>
      </c>
      <c r="C10757" s="1" t="n">
        <v>46086</v>
      </c>
      <c r="D10757" t="inlineStr">
        <is>
          <t>GÄVLEBORGS LÄN</t>
        </is>
      </c>
      <c r="E10757" t="inlineStr">
        <is>
          <t>BOLLNÄS</t>
        </is>
      </c>
      <c r="G10757" t="n">
        <v>5.1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32301-2022</t>
        </is>
      </c>
      <c r="B10758" s="1" t="n">
        <v>44781.62321759259</v>
      </c>
      <c r="C10758" s="1" t="n">
        <v>46086</v>
      </c>
      <c r="D10758" t="inlineStr">
        <is>
          <t>GÄVLEBORGS LÄN</t>
        </is>
      </c>
      <c r="E10758" t="inlineStr">
        <is>
          <t>OCKELBO</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45725-2023</t>
        </is>
      </c>
      <c r="B10759" s="1" t="n">
        <v>45195</v>
      </c>
      <c r="C10759" s="1" t="n">
        <v>46086</v>
      </c>
      <c r="D10759" t="inlineStr">
        <is>
          <t>GÄVLEBORGS LÄN</t>
        </is>
      </c>
      <c r="E10759" t="inlineStr">
        <is>
          <t>HUDIKSVALL</t>
        </is>
      </c>
      <c r="F10759" t="inlineStr">
        <is>
          <t>Holmen skog AB</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56017-2023</t>
        </is>
      </c>
      <c r="B10760" s="1" t="n">
        <v>45240</v>
      </c>
      <c r="C10760" s="1" t="n">
        <v>46086</v>
      </c>
      <c r="D10760" t="inlineStr">
        <is>
          <t>GÄVLEBORGS LÄN</t>
        </is>
      </c>
      <c r="E10760" t="inlineStr">
        <is>
          <t>SANDVIKEN</t>
        </is>
      </c>
      <c r="F10760" t="inlineStr">
        <is>
          <t>Sveaskog</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4298-2024</t>
        </is>
      </c>
      <c r="B10761" s="1" t="n">
        <v>45324.62356481481</v>
      </c>
      <c r="C10761" s="1" t="n">
        <v>46086</v>
      </c>
      <c r="D10761" t="inlineStr">
        <is>
          <t>GÄVLEBORGS LÄN</t>
        </is>
      </c>
      <c r="E10761" t="inlineStr">
        <is>
          <t>SÖDERHAMN</t>
        </is>
      </c>
      <c r="G10761" t="n">
        <v>5.1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36408-2024</t>
        </is>
      </c>
      <c r="B10762" s="1" t="n">
        <v>45535.83627314815</v>
      </c>
      <c r="C10762" s="1" t="n">
        <v>46086</v>
      </c>
      <c r="D10762" t="inlineStr">
        <is>
          <t>GÄVLEBORGS LÄN</t>
        </is>
      </c>
      <c r="E10762" t="inlineStr">
        <is>
          <t>HUDIKSVALL</t>
        </is>
      </c>
      <c r="F10762" t="inlineStr">
        <is>
          <t>Holmen skog AB</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55370-2023</t>
        </is>
      </c>
      <c r="B10763" s="1" t="n">
        <v>45238</v>
      </c>
      <c r="C10763" s="1" t="n">
        <v>46086</v>
      </c>
      <c r="D10763" t="inlineStr">
        <is>
          <t>GÄVLEBORGS LÄN</t>
        </is>
      </c>
      <c r="E10763" t="inlineStr">
        <is>
          <t>LJUSDAL</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38342-2024</t>
        </is>
      </c>
      <c r="B10764" s="1" t="n">
        <v>45545.69261574074</v>
      </c>
      <c r="C10764" s="1" t="n">
        <v>46086</v>
      </c>
      <c r="D10764" t="inlineStr">
        <is>
          <t>GÄVLEBORGS LÄN</t>
        </is>
      </c>
      <c r="E10764" t="inlineStr">
        <is>
          <t>NORDANSTIG</t>
        </is>
      </c>
      <c r="F10764" t="inlineStr">
        <is>
          <t>Holmen skog AB</t>
        </is>
      </c>
      <c r="G10764" t="n">
        <v>2.9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991-2025</t>
        </is>
      </c>
      <c r="B10765" s="1" t="n">
        <v>45666</v>
      </c>
      <c r="C10765" s="1" t="n">
        <v>46086</v>
      </c>
      <c r="D10765" t="inlineStr">
        <is>
          <t>GÄVLEBORGS LÄN</t>
        </is>
      </c>
      <c r="E10765" t="inlineStr">
        <is>
          <t>OVANÅKER</t>
        </is>
      </c>
      <c r="F10765" t="inlineStr">
        <is>
          <t>Bergvik skog väst AB</t>
        </is>
      </c>
      <c r="G10765" t="n">
        <v>2.7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53281-2024</t>
        </is>
      </c>
      <c r="B10766" s="1" t="n">
        <v>45614.37862268519</v>
      </c>
      <c r="C10766" s="1" t="n">
        <v>46086</v>
      </c>
      <c r="D10766" t="inlineStr">
        <is>
          <t>GÄVLEBORGS LÄN</t>
        </is>
      </c>
      <c r="E10766" t="inlineStr">
        <is>
          <t>GÄVLE</t>
        </is>
      </c>
      <c r="G10766" t="n">
        <v>6.5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57891-2023</t>
        </is>
      </c>
      <c r="B10767" s="1" t="n">
        <v>45247.48177083334</v>
      </c>
      <c r="C10767" s="1" t="n">
        <v>46086</v>
      </c>
      <c r="D10767" t="inlineStr">
        <is>
          <t>GÄVLEBORGS LÄN</t>
        </is>
      </c>
      <c r="E10767" t="inlineStr">
        <is>
          <t>HUDIKSVALL</t>
        </is>
      </c>
      <c r="F10767" t="inlineStr">
        <is>
          <t>Holmen skog AB</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59661-2024</t>
        </is>
      </c>
      <c r="B10768" s="1" t="n">
        <v>45639.36412037037</v>
      </c>
      <c r="C10768" s="1" t="n">
        <v>46086</v>
      </c>
      <c r="D10768" t="inlineStr">
        <is>
          <t>GÄVLEBORGS LÄN</t>
        </is>
      </c>
      <c r="E10768" t="inlineStr">
        <is>
          <t>SANDVIKEN</t>
        </is>
      </c>
      <c r="G10768" t="n">
        <v>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61065-2023</t>
        </is>
      </c>
      <c r="B10769" s="1" t="n">
        <v>45261.61618055555</v>
      </c>
      <c r="C10769" s="1" t="n">
        <v>46086</v>
      </c>
      <c r="D10769" t="inlineStr">
        <is>
          <t>GÄVLEBORGS LÄN</t>
        </is>
      </c>
      <c r="E10769" t="inlineStr">
        <is>
          <t>BOLLNÄS</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61116-2023</t>
        </is>
      </c>
      <c r="B10770" s="1" t="n">
        <v>45261</v>
      </c>
      <c r="C10770" s="1" t="n">
        <v>46086</v>
      </c>
      <c r="D10770" t="inlineStr">
        <is>
          <t>GÄVLEBORGS LÄN</t>
        </is>
      </c>
      <c r="E10770" t="inlineStr">
        <is>
          <t>OCKELBO</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26264-2023</t>
        </is>
      </c>
      <c r="B10771" s="1" t="n">
        <v>45091.60821759259</v>
      </c>
      <c r="C10771" s="1" t="n">
        <v>46086</v>
      </c>
      <c r="D10771" t="inlineStr">
        <is>
          <t>GÄVLEBORGS LÄN</t>
        </is>
      </c>
      <c r="E10771" t="inlineStr">
        <is>
          <t>LJUSDAL</t>
        </is>
      </c>
      <c r="G10771" t="n">
        <v>6.3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13141-2024</t>
        </is>
      </c>
      <c r="B10772" s="1" t="n">
        <v>45386.34681712963</v>
      </c>
      <c r="C10772" s="1" t="n">
        <v>46086</v>
      </c>
      <c r="D10772" t="inlineStr">
        <is>
          <t>GÄVLEBORGS LÄN</t>
        </is>
      </c>
      <c r="E10772" t="inlineStr">
        <is>
          <t>OVANÅKER</t>
        </is>
      </c>
      <c r="G10772" t="n">
        <v>4.6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20117-2025</t>
        </is>
      </c>
      <c r="B10773" s="1" t="n">
        <v>45772.48638888889</v>
      </c>
      <c r="C10773" s="1" t="n">
        <v>46086</v>
      </c>
      <c r="D10773" t="inlineStr">
        <is>
          <t>GÄVLEBORGS LÄN</t>
        </is>
      </c>
      <c r="E10773" t="inlineStr">
        <is>
          <t>OVANÅKER</t>
        </is>
      </c>
      <c r="G10773" t="n">
        <v>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11482-2025</t>
        </is>
      </c>
      <c r="B10774" s="1" t="n">
        <v>45726.69202546297</v>
      </c>
      <c r="C10774" s="1" t="n">
        <v>46086</v>
      </c>
      <c r="D10774" t="inlineStr">
        <is>
          <t>GÄVLEBORGS LÄN</t>
        </is>
      </c>
      <c r="E10774" t="inlineStr">
        <is>
          <t>OVANÅKER</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51798-2023</t>
        </is>
      </c>
      <c r="B10775" s="1" t="n">
        <v>45222</v>
      </c>
      <c r="C10775" s="1" t="n">
        <v>46086</v>
      </c>
      <c r="D10775" t="inlineStr">
        <is>
          <t>GÄVLEBORGS LÄN</t>
        </is>
      </c>
      <c r="E10775" t="inlineStr">
        <is>
          <t>LJUSDAL</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16504-2023</t>
        </is>
      </c>
      <c r="B10776" s="1" t="n">
        <v>45029.62792824074</v>
      </c>
      <c r="C10776" s="1" t="n">
        <v>46086</v>
      </c>
      <c r="D10776" t="inlineStr">
        <is>
          <t>GÄVLEBORGS LÄN</t>
        </is>
      </c>
      <c r="E10776" t="inlineStr">
        <is>
          <t>GÄVLE</t>
        </is>
      </c>
      <c r="F10776" t="inlineStr">
        <is>
          <t>Kyrkan</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60879-2023</t>
        </is>
      </c>
      <c r="B10777" s="1" t="n">
        <v>45261</v>
      </c>
      <c r="C10777" s="1" t="n">
        <v>46086</v>
      </c>
      <c r="D10777" t="inlineStr">
        <is>
          <t>GÄVLEBORGS LÄN</t>
        </is>
      </c>
      <c r="E10777" t="inlineStr">
        <is>
          <t>GÄVLE</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55106-2024</t>
        </is>
      </c>
      <c r="B10778" s="1" t="n">
        <v>45621</v>
      </c>
      <c r="C10778" s="1" t="n">
        <v>46086</v>
      </c>
      <c r="D10778" t="inlineStr">
        <is>
          <t>GÄVLEBORGS LÄN</t>
        </is>
      </c>
      <c r="E10778" t="inlineStr">
        <is>
          <t>SANDVIKEN</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34293-2024</t>
        </is>
      </c>
      <c r="B10779" s="1" t="n">
        <v>45524.64042824074</v>
      </c>
      <c r="C10779" s="1" t="n">
        <v>46086</v>
      </c>
      <c r="D10779" t="inlineStr">
        <is>
          <t>GÄVLEBORGS LÄN</t>
        </is>
      </c>
      <c r="E10779" t="inlineStr">
        <is>
          <t>HUDIKSVALL</t>
        </is>
      </c>
      <c r="F10779" t="inlineStr">
        <is>
          <t>Holmen skog AB</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51292-2023</t>
        </is>
      </c>
      <c r="B10780" s="1" t="n">
        <v>45219</v>
      </c>
      <c r="C10780" s="1" t="n">
        <v>46086</v>
      </c>
      <c r="D10780" t="inlineStr">
        <is>
          <t>GÄVLEBORGS LÄN</t>
        </is>
      </c>
      <c r="E10780" t="inlineStr">
        <is>
          <t>SÖDERHAMN</t>
        </is>
      </c>
      <c r="G10780" t="n">
        <v>2.7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70478-2021</t>
        </is>
      </c>
      <c r="B10781" s="1" t="n">
        <v>44536</v>
      </c>
      <c r="C10781" s="1" t="n">
        <v>46086</v>
      </c>
      <c r="D10781" t="inlineStr">
        <is>
          <t>GÄVLEBORGS LÄN</t>
        </is>
      </c>
      <c r="E10781" t="inlineStr">
        <is>
          <t>LJUSDAL</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59710-2022</t>
        </is>
      </c>
      <c r="B10782" s="1" t="n">
        <v>44908.40505787037</v>
      </c>
      <c r="C10782" s="1" t="n">
        <v>46086</v>
      </c>
      <c r="D10782" t="inlineStr">
        <is>
          <t>GÄVLEBORGS LÄN</t>
        </is>
      </c>
      <c r="E10782" t="inlineStr">
        <is>
          <t>LJUSDAL</t>
        </is>
      </c>
      <c r="G10782" t="n">
        <v>3.3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59729-2022</t>
        </is>
      </c>
      <c r="B10783" s="1" t="n">
        <v>44908</v>
      </c>
      <c r="C10783" s="1" t="n">
        <v>46086</v>
      </c>
      <c r="D10783" t="inlineStr">
        <is>
          <t>GÄVLEBORGS LÄN</t>
        </is>
      </c>
      <c r="E10783" t="inlineStr">
        <is>
          <t>BOLLNÄS</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53553-2023</t>
        </is>
      </c>
      <c r="B10784" s="1" t="n">
        <v>45230</v>
      </c>
      <c r="C10784" s="1" t="n">
        <v>46086</v>
      </c>
      <c r="D10784" t="inlineStr">
        <is>
          <t>GÄVLEBORGS LÄN</t>
        </is>
      </c>
      <c r="E10784" t="inlineStr">
        <is>
          <t>HUDIKSVALL</t>
        </is>
      </c>
      <c r="F10784" t="inlineStr">
        <is>
          <t>Holmen skog AB</t>
        </is>
      </c>
      <c r="G10784" t="n">
        <v>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53604-2023</t>
        </is>
      </c>
      <c r="B10785" s="1" t="n">
        <v>45230.56694444444</v>
      </c>
      <c r="C10785" s="1" t="n">
        <v>46086</v>
      </c>
      <c r="D10785" t="inlineStr">
        <is>
          <t>GÄVLEBORGS LÄN</t>
        </is>
      </c>
      <c r="E10785" t="inlineStr">
        <is>
          <t>OVANÅKER</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28810-2023</t>
        </is>
      </c>
      <c r="B10786" s="1" t="n">
        <v>45104</v>
      </c>
      <c r="C10786" s="1" t="n">
        <v>46086</v>
      </c>
      <c r="D10786" t="inlineStr">
        <is>
          <t>GÄVLEBORGS LÄN</t>
        </is>
      </c>
      <c r="E10786" t="inlineStr">
        <is>
          <t>HUDIKSVALL</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27179-2021</t>
        </is>
      </c>
      <c r="B10787" s="1" t="n">
        <v>44350.66420138889</v>
      </c>
      <c r="C10787" s="1" t="n">
        <v>46086</v>
      </c>
      <c r="D10787" t="inlineStr">
        <is>
          <t>GÄVLEBORGS LÄN</t>
        </is>
      </c>
      <c r="E10787" t="inlineStr">
        <is>
          <t>GÄVLE</t>
        </is>
      </c>
      <c r="F10787" t="inlineStr">
        <is>
          <t>Bergvik skog öst AB</t>
        </is>
      </c>
      <c r="G10787" t="n">
        <v>3.7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38937-2023</t>
        </is>
      </c>
      <c r="B10788" s="1" t="n">
        <v>45163</v>
      </c>
      <c r="C10788" s="1" t="n">
        <v>46086</v>
      </c>
      <c r="D10788" t="inlineStr">
        <is>
          <t>GÄVLEBORGS LÄN</t>
        </is>
      </c>
      <c r="E10788" t="inlineStr">
        <is>
          <t>BOLLNÄS</t>
        </is>
      </c>
      <c r="G10788" t="n">
        <v>5.1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20024-2024</t>
        </is>
      </c>
      <c r="B10789" s="1" t="n">
        <v>45434.3034837963</v>
      </c>
      <c r="C10789" s="1" t="n">
        <v>46086</v>
      </c>
      <c r="D10789" t="inlineStr">
        <is>
          <t>GÄVLEBORGS LÄN</t>
        </is>
      </c>
      <c r="E10789" t="inlineStr">
        <is>
          <t>HUDIKSVALL</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20032-2024</t>
        </is>
      </c>
      <c r="B10790" s="1" t="n">
        <v>45434.33524305555</v>
      </c>
      <c r="C10790" s="1" t="n">
        <v>46086</v>
      </c>
      <c r="D10790" t="inlineStr">
        <is>
          <t>GÄVLEBORGS LÄN</t>
        </is>
      </c>
      <c r="E10790" t="inlineStr">
        <is>
          <t>LJUSDAL</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19886-2023</t>
        </is>
      </c>
      <c r="B10791" s="1" t="n">
        <v>45054.36821759259</v>
      </c>
      <c r="C10791" s="1" t="n">
        <v>46086</v>
      </c>
      <c r="D10791" t="inlineStr">
        <is>
          <t>GÄVLEBORGS LÄN</t>
        </is>
      </c>
      <c r="E10791" t="inlineStr">
        <is>
          <t>OCKELBO</t>
        </is>
      </c>
      <c r="F10791" t="inlineStr">
        <is>
          <t>Bergvik skog väst AB</t>
        </is>
      </c>
      <c r="G10791" t="n">
        <v>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472-2024</t>
        </is>
      </c>
      <c r="B10792" s="1" t="n">
        <v>45297.71927083333</v>
      </c>
      <c r="C10792" s="1" t="n">
        <v>46086</v>
      </c>
      <c r="D10792" t="inlineStr">
        <is>
          <t>GÄVLEBORGS LÄN</t>
        </is>
      </c>
      <c r="E10792" t="inlineStr">
        <is>
          <t>NORDANSTIG</t>
        </is>
      </c>
      <c r="F10792" t="inlineStr">
        <is>
          <t>Holmen skog AB</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19564-2025</t>
        </is>
      </c>
      <c r="B10793" s="1" t="n">
        <v>45770.53148148148</v>
      </c>
      <c r="C10793" s="1" t="n">
        <v>46086</v>
      </c>
      <c r="D10793" t="inlineStr">
        <is>
          <t>GÄVLEBORGS LÄN</t>
        </is>
      </c>
      <c r="E10793" t="inlineStr">
        <is>
          <t>LJUSDAL</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3456-2024</t>
        </is>
      </c>
      <c r="B10794" s="1" t="n">
        <v>45320.39416666667</v>
      </c>
      <c r="C10794" s="1" t="n">
        <v>46086</v>
      </c>
      <c r="D10794" t="inlineStr">
        <is>
          <t>GÄVLEBORGS LÄN</t>
        </is>
      </c>
      <c r="E10794" t="inlineStr">
        <is>
          <t>SANDVIKEN</t>
        </is>
      </c>
      <c r="G10794" t="n">
        <v>3.2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20434-2024</t>
        </is>
      </c>
      <c r="B10795" s="1" t="n">
        <v>45435.61346064815</v>
      </c>
      <c r="C10795" s="1" t="n">
        <v>46086</v>
      </c>
      <c r="D10795" t="inlineStr">
        <is>
          <t>GÄVLEBORGS LÄN</t>
        </is>
      </c>
      <c r="E10795" t="inlineStr">
        <is>
          <t>NORDANSTIG</t>
        </is>
      </c>
      <c r="F10795" t="inlineStr">
        <is>
          <t>Holmen skog AB</t>
        </is>
      </c>
      <c r="G10795" t="n">
        <v>2.2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16581-2021</t>
        </is>
      </c>
      <c r="B10796" s="1" t="n">
        <v>44294.3290625</v>
      </c>
      <c r="C10796" s="1" t="n">
        <v>46086</v>
      </c>
      <c r="D10796" t="inlineStr">
        <is>
          <t>GÄVLEBORGS LÄN</t>
        </is>
      </c>
      <c r="E10796" t="inlineStr">
        <is>
          <t>GÄVLE</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15312-2023</t>
        </is>
      </c>
      <c r="B10797" s="1" t="n">
        <v>45019.47398148148</v>
      </c>
      <c r="C10797" s="1" t="n">
        <v>46086</v>
      </c>
      <c r="D10797" t="inlineStr">
        <is>
          <t>GÄVLEBORGS LÄN</t>
        </is>
      </c>
      <c r="E10797" t="inlineStr">
        <is>
          <t>GÄVLE</t>
        </is>
      </c>
      <c r="G10797" t="n">
        <v>2.4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44387-2021</t>
        </is>
      </c>
      <c r="B10798" s="1" t="n">
        <v>44435</v>
      </c>
      <c r="C10798" s="1" t="n">
        <v>46086</v>
      </c>
      <c r="D10798" t="inlineStr">
        <is>
          <t>GÄVLEBORGS LÄN</t>
        </is>
      </c>
      <c r="E10798" t="inlineStr">
        <is>
          <t>LJUSDAL</t>
        </is>
      </c>
      <c r="F10798" t="inlineStr">
        <is>
          <t>Sveaskog</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52145-2023</t>
        </is>
      </c>
      <c r="B10799" s="1" t="n">
        <v>45223.96797453704</v>
      </c>
      <c r="C10799" s="1" t="n">
        <v>46086</v>
      </c>
      <c r="D10799" t="inlineStr">
        <is>
          <t>GÄVLEBORGS LÄN</t>
        </is>
      </c>
      <c r="E10799" t="inlineStr">
        <is>
          <t>LJUSDAL</t>
        </is>
      </c>
      <c r="F10799" t="inlineStr">
        <is>
          <t>Naturvårdsverket</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50236-2023</t>
        </is>
      </c>
      <c r="B10800" s="1" t="n">
        <v>45216</v>
      </c>
      <c r="C10800" s="1" t="n">
        <v>46086</v>
      </c>
      <c r="D10800" t="inlineStr">
        <is>
          <t>GÄVLEBORGS LÄN</t>
        </is>
      </c>
      <c r="E10800" t="inlineStr">
        <is>
          <t>OVANÅKER</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33495-2023</t>
        </is>
      </c>
      <c r="B10801" s="1" t="n">
        <v>45118</v>
      </c>
      <c r="C10801" s="1" t="n">
        <v>46086</v>
      </c>
      <c r="D10801" t="inlineStr">
        <is>
          <t>GÄVLEBORGS LÄN</t>
        </is>
      </c>
      <c r="E10801" t="inlineStr">
        <is>
          <t>HOFORS</t>
        </is>
      </c>
      <c r="F10801" t="inlineStr">
        <is>
          <t>Bergvik skog väst AB</t>
        </is>
      </c>
      <c r="G10801" t="n">
        <v>4.6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35714-2023</t>
        </is>
      </c>
      <c r="B10802" s="1" t="n">
        <v>45147.68084490741</v>
      </c>
      <c r="C10802" s="1" t="n">
        <v>46086</v>
      </c>
      <c r="D10802" t="inlineStr">
        <is>
          <t>GÄVLEBORGS LÄN</t>
        </is>
      </c>
      <c r="E10802" t="inlineStr">
        <is>
          <t>LJUSDAL</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29404-2021</t>
        </is>
      </c>
      <c r="B10803" s="1" t="n">
        <v>44361</v>
      </c>
      <c r="C10803" s="1" t="n">
        <v>46086</v>
      </c>
      <c r="D10803" t="inlineStr">
        <is>
          <t>GÄVLEBORGS LÄN</t>
        </is>
      </c>
      <c r="E10803" t="inlineStr">
        <is>
          <t>LJUSDAL</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59297-2024</t>
        </is>
      </c>
      <c r="B10804" s="1" t="n">
        <v>45637</v>
      </c>
      <c r="C10804" s="1" t="n">
        <v>46086</v>
      </c>
      <c r="D10804" t="inlineStr">
        <is>
          <t>GÄVLEBORGS LÄN</t>
        </is>
      </c>
      <c r="E10804" t="inlineStr">
        <is>
          <t>NORDANSTIG</t>
        </is>
      </c>
      <c r="G10804" t="n">
        <v>3.8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50345-2022</t>
        </is>
      </c>
      <c r="B10805" s="1" t="n">
        <v>44866.26518518518</v>
      </c>
      <c r="C10805" s="1" t="n">
        <v>46086</v>
      </c>
      <c r="D10805" t="inlineStr">
        <is>
          <t>GÄVLEBORGS LÄN</t>
        </is>
      </c>
      <c r="E10805" t="inlineStr">
        <is>
          <t>LJUSDAL</t>
        </is>
      </c>
      <c r="F10805" t="inlineStr">
        <is>
          <t>Holmen skog AB</t>
        </is>
      </c>
      <c r="G10805" t="n">
        <v>10.1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29904-2024</t>
        </is>
      </c>
      <c r="B10806" s="1" t="n">
        <v>45487.71040509259</v>
      </c>
      <c r="C10806" s="1" t="n">
        <v>46086</v>
      </c>
      <c r="D10806" t="inlineStr">
        <is>
          <t>GÄVLEBORGS LÄN</t>
        </is>
      </c>
      <c r="E10806" t="inlineStr">
        <is>
          <t>HUDIKSVALL</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36452-2023</t>
        </is>
      </c>
      <c r="B10807" s="1" t="n">
        <v>45152</v>
      </c>
      <c r="C10807" s="1" t="n">
        <v>46086</v>
      </c>
      <c r="D10807" t="inlineStr">
        <is>
          <t>GÄVLEBORGS LÄN</t>
        </is>
      </c>
      <c r="E10807" t="inlineStr">
        <is>
          <t>OVANÅKER</t>
        </is>
      </c>
      <c r="F10807" t="inlineStr">
        <is>
          <t>Sveaskog</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29380-2023</t>
        </is>
      </c>
      <c r="B10808" s="1" t="n">
        <v>45106.39375</v>
      </c>
      <c r="C10808" s="1" t="n">
        <v>46086</v>
      </c>
      <c r="D10808" t="inlineStr">
        <is>
          <t>GÄVLEBORGS LÄN</t>
        </is>
      </c>
      <c r="E10808" t="inlineStr">
        <is>
          <t>OVANÅKER</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12139-2021</t>
        </is>
      </c>
      <c r="B10809" s="1" t="n">
        <v>44266</v>
      </c>
      <c r="C10809" s="1" t="n">
        <v>46086</v>
      </c>
      <c r="D10809" t="inlineStr">
        <is>
          <t>GÄVLEBORGS LÄN</t>
        </is>
      </c>
      <c r="E10809" t="inlineStr">
        <is>
          <t>OVANÅKER</t>
        </is>
      </c>
      <c r="G10809" t="n">
        <v>3.3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21473-2023</t>
        </is>
      </c>
      <c r="B10810" s="1" t="n">
        <v>45063</v>
      </c>
      <c r="C10810" s="1" t="n">
        <v>46086</v>
      </c>
      <c r="D10810" t="inlineStr">
        <is>
          <t>GÄVLEBORGS LÄN</t>
        </is>
      </c>
      <c r="E10810" t="inlineStr">
        <is>
          <t>NORDANSTIG</t>
        </is>
      </c>
      <c r="F10810" t="inlineStr">
        <is>
          <t>Holmen skog AB</t>
        </is>
      </c>
      <c r="G10810" t="n">
        <v>5.7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47530-2023</t>
        </is>
      </c>
      <c r="B10811" s="1" t="n">
        <v>45203.35106481481</v>
      </c>
      <c r="C10811" s="1" t="n">
        <v>46086</v>
      </c>
      <c r="D10811" t="inlineStr">
        <is>
          <t>GÄVLEBORGS LÄN</t>
        </is>
      </c>
      <c r="E10811" t="inlineStr">
        <is>
          <t>HUDIKSVALL</t>
        </is>
      </c>
      <c r="F10811" t="inlineStr">
        <is>
          <t>Holmen skog AB</t>
        </is>
      </c>
      <c r="G10811" t="n">
        <v>37.8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45260-2023</t>
        </is>
      </c>
      <c r="B10812" s="1" t="n">
        <v>45191.62356481481</v>
      </c>
      <c r="C10812" s="1" t="n">
        <v>46086</v>
      </c>
      <c r="D10812" t="inlineStr">
        <is>
          <t>GÄVLEBORGS LÄN</t>
        </is>
      </c>
      <c r="E10812" t="inlineStr">
        <is>
          <t>LJUSDAL</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40280-2023</t>
        </is>
      </c>
      <c r="B10813" s="1" t="n">
        <v>45169.5669212963</v>
      </c>
      <c r="C10813" s="1" t="n">
        <v>46086</v>
      </c>
      <c r="D10813" t="inlineStr">
        <is>
          <t>GÄVLEBORGS LÄN</t>
        </is>
      </c>
      <c r="E10813" t="inlineStr">
        <is>
          <t>LJUSDAL</t>
        </is>
      </c>
      <c r="F10813" t="inlineStr">
        <is>
          <t>Sveaskog</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43143-2024</t>
        </is>
      </c>
      <c r="B10814" s="1" t="n">
        <v>45567.62359953704</v>
      </c>
      <c r="C10814" s="1" t="n">
        <v>46086</v>
      </c>
      <c r="D10814" t="inlineStr">
        <is>
          <t>GÄVLEBORGS LÄN</t>
        </is>
      </c>
      <c r="E10814" t="inlineStr">
        <is>
          <t>HOFORS</t>
        </is>
      </c>
      <c r="G10814" t="n">
        <v>3.3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52387-2022</t>
        </is>
      </c>
      <c r="B10815" s="1" t="n">
        <v>44874</v>
      </c>
      <c r="C10815" s="1" t="n">
        <v>46086</v>
      </c>
      <c r="D10815" t="inlineStr">
        <is>
          <t>GÄVLEBORGS LÄN</t>
        </is>
      </c>
      <c r="E10815" t="inlineStr">
        <is>
          <t>GÄVLE</t>
        </is>
      </c>
      <c r="F10815" t="inlineStr">
        <is>
          <t>Kommuner</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1988-2025</t>
        </is>
      </c>
      <c r="B10816" s="1" t="n">
        <v>45672.40888888889</v>
      </c>
      <c r="C10816" s="1" t="n">
        <v>46086</v>
      </c>
      <c r="D10816" t="inlineStr">
        <is>
          <t>GÄVLEBORGS LÄN</t>
        </is>
      </c>
      <c r="E10816" t="inlineStr">
        <is>
          <t>BOLLNÄS</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2006-2025</t>
        </is>
      </c>
      <c r="B10817" s="1" t="n">
        <v>45672.45166666667</v>
      </c>
      <c r="C10817" s="1" t="n">
        <v>46086</v>
      </c>
      <c r="D10817" t="inlineStr">
        <is>
          <t>GÄVLEBORGS LÄN</t>
        </is>
      </c>
      <c r="E10817" t="inlineStr">
        <is>
          <t>BOLLNÄS</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23758-2024</t>
        </is>
      </c>
      <c r="B10818" s="1" t="n">
        <v>45455.35325231482</v>
      </c>
      <c r="C10818" s="1" t="n">
        <v>46086</v>
      </c>
      <c r="D10818" t="inlineStr">
        <is>
          <t>GÄVLEBORGS LÄN</t>
        </is>
      </c>
      <c r="E10818" t="inlineStr">
        <is>
          <t>SANDVIKEN</t>
        </is>
      </c>
      <c r="F10818" t="inlineStr">
        <is>
          <t>Kyrkan</t>
        </is>
      </c>
      <c r="G10818" t="n">
        <v>3.2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35805-2024</t>
        </is>
      </c>
      <c r="B10819" s="1" t="n">
        <v>45532</v>
      </c>
      <c r="C10819" s="1" t="n">
        <v>46086</v>
      </c>
      <c r="D10819" t="inlineStr">
        <is>
          <t>GÄVLEBORGS LÄN</t>
        </is>
      </c>
      <c r="E10819" t="inlineStr">
        <is>
          <t>HUDIKSVALL</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31011-2023</t>
        </is>
      </c>
      <c r="B10820" s="1" t="n">
        <v>45113</v>
      </c>
      <c r="C10820" s="1" t="n">
        <v>46086</v>
      </c>
      <c r="D10820" t="inlineStr">
        <is>
          <t>GÄVLEBORGS LÄN</t>
        </is>
      </c>
      <c r="E10820" t="inlineStr">
        <is>
          <t>GÄVLE</t>
        </is>
      </c>
      <c r="G10820" t="n">
        <v>5.2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26355-2021</t>
        </is>
      </c>
      <c r="B10821" s="1" t="n">
        <v>44347</v>
      </c>
      <c r="C10821" s="1" t="n">
        <v>46086</v>
      </c>
      <c r="D10821" t="inlineStr">
        <is>
          <t>GÄVLEBORGS LÄN</t>
        </is>
      </c>
      <c r="E10821" t="inlineStr">
        <is>
          <t>SANDVIKEN</t>
        </is>
      </c>
      <c r="F10821" t="inlineStr">
        <is>
          <t>Bergvik skog väst AB</t>
        </is>
      </c>
      <c r="G10821" t="n">
        <v>10.1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26365-2021</t>
        </is>
      </c>
      <c r="B10822" s="1" t="n">
        <v>44347.65292824074</v>
      </c>
      <c r="C10822" s="1" t="n">
        <v>46086</v>
      </c>
      <c r="D10822" t="inlineStr">
        <is>
          <t>GÄVLEBORGS LÄN</t>
        </is>
      </c>
      <c r="E10822" t="inlineStr">
        <is>
          <t>OVANÅKER</t>
        </is>
      </c>
      <c r="G10822" t="n">
        <v>0.4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38870-2024</t>
        </is>
      </c>
      <c r="B10823" s="1" t="n">
        <v>45547.64189814815</v>
      </c>
      <c r="C10823" s="1" t="n">
        <v>46086</v>
      </c>
      <c r="D10823" t="inlineStr">
        <is>
          <t>GÄVLEBORGS LÄN</t>
        </is>
      </c>
      <c r="E10823" t="inlineStr">
        <is>
          <t>LJUSDAL</t>
        </is>
      </c>
      <c r="G10823" t="n">
        <v>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30983-2024</t>
        </is>
      </c>
      <c r="B10824" s="1" t="n">
        <v>45499.50947916666</v>
      </c>
      <c r="C10824" s="1" t="n">
        <v>46086</v>
      </c>
      <c r="D10824" t="inlineStr">
        <is>
          <t>GÄVLEBORGS LÄN</t>
        </is>
      </c>
      <c r="E10824" t="inlineStr">
        <is>
          <t>HUDIKSVALL</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46879-2024</t>
        </is>
      </c>
      <c r="B10825" s="1" t="n">
        <v>45583</v>
      </c>
      <c r="C10825" s="1" t="n">
        <v>46086</v>
      </c>
      <c r="D10825" t="inlineStr">
        <is>
          <t>GÄVLEBORGS LÄN</t>
        </is>
      </c>
      <c r="E10825" t="inlineStr">
        <is>
          <t>SANDVIKEN</t>
        </is>
      </c>
      <c r="F10825" t="inlineStr">
        <is>
          <t>Sveaskog</t>
        </is>
      </c>
      <c r="G10825" t="n">
        <v>11.3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55182-2023</t>
        </is>
      </c>
      <c r="B10826" s="1" t="n">
        <v>45230</v>
      </c>
      <c r="C10826" s="1" t="n">
        <v>46086</v>
      </c>
      <c r="D10826" t="inlineStr">
        <is>
          <t>GÄVLEBORGS LÄN</t>
        </is>
      </c>
      <c r="E10826" t="inlineStr">
        <is>
          <t>HUDIKSVALL</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55281-2023</t>
        </is>
      </c>
      <c r="B10827" s="1" t="n">
        <v>45237.71347222223</v>
      </c>
      <c r="C10827" s="1" t="n">
        <v>46086</v>
      </c>
      <c r="D10827" t="inlineStr">
        <is>
          <t>GÄVLEBORGS LÄN</t>
        </is>
      </c>
      <c r="E10827" t="inlineStr">
        <is>
          <t>OVANÅKER</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48367-2024</t>
        </is>
      </c>
      <c r="B10828" s="1" t="n">
        <v>45590.57818287037</v>
      </c>
      <c r="C10828" s="1" t="n">
        <v>46086</v>
      </c>
      <c r="D10828" t="inlineStr">
        <is>
          <t>GÄVLEBORGS LÄN</t>
        </is>
      </c>
      <c r="E10828" t="inlineStr">
        <is>
          <t>HUDIKSVALL</t>
        </is>
      </c>
      <c r="F10828" t="inlineStr">
        <is>
          <t>Holmen skog AB</t>
        </is>
      </c>
      <c r="G10828" t="n">
        <v>17.6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26833-2021</t>
        </is>
      </c>
      <c r="B10829" s="1" t="n">
        <v>44349.57659722222</v>
      </c>
      <c r="C10829" s="1" t="n">
        <v>46086</v>
      </c>
      <c r="D10829" t="inlineStr">
        <is>
          <t>GÄVLEBORGS LÄN</t>
        </is>
      </c>
      <c r="E10829" t="inlineStr">
        <is>
          <t>NORDANSTIG</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29715-2024</t>
        </is>
      </c>
      <c r="B10830" s="1" t="n">
        <v>45485.35292824074</v>
      </c>
      <c r="C10830" s="1" t="n">
        <v>46086</v>
      </c>
      <c r="D10830" t="inlineStr">
        <is>
          <t>GÄVLEBORGS LÄN</t>
        </is>
      </c>
      <c r="E10830" t="inlineStr">
        <is>
          <t>BOLLNÄS</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8269-2022</t>
        </is>
      </c>
      <c r="B10831" s="1" t="n">
        <v>44610</v>
      </c>
      <c r="C10831" s="1" t="n">
        <v>46086</v>
      </c>
      <c r="D10831" t="inlineStr">
        <is>
          <t>GÄVLEBORGS LÄN</t>
        </is>
      </c>
      <c r="E10831" t="inlineStr">
        <is>
          <t>HUDIKSVALL</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60275-2022</t>
        </is>
      </c>
      <c r="B10832" s="1" t="n">
        <v>44910</v>
      </c>
      <c r="C10832" s="1" t="n">
        <v>46086</v>
      </c>
      <c r="D10832" t="inlineStr">
        <is>
          <t>GÄVLEBORGS LÄN</t>
        </is>
      </c>
      <c r="E10832" t="inlineStr">
        <is>
          <t>OVANÅKER</t>
        </is>
      </c>
      <c r="F10832" t="inlineStr">
        <is>
          <t>Sveaskog</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17843-2023</t>
        </is>
      </c>
      <c r="B10833" s="1" t="n">
        <v>45037</v>
      </c>
      <c r="C10833" s="1" t="n">
        <v>46086</v>
      </c>
      <c r="D10833" t="inlineStr">
        <is>
          <t>GÄVLEBORGS LÄN</t>
        </is>
      </c>
      <c r="E10833" t="inlineStr">
        <is>
          <t>NORDANSTIG</t>
        </is>
      </c>
      <c r="G10833" t="n">
        <v>3.7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36025-2023</t>
        </is>
      </c>
      <c r="B10834" s="1" t="n">
        <v>45149.37282407407</v>
      </c>
      <c r="C10834" s="1" t="n">
        <v>46086</v>
      </c>
      <c r="D10834" t="inlineStr">
        <is>
          <t>GÄVLEBORGS LÄN</t>
        </is>
      </c>
      <c r="E10834" t="inlineStr">
        <is>
          <t>NORDANSTIG</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22466-2023</t>
        </is>
      </c>
      <c r="B10835" s="1" t="n">
        <v>45070</v>
      </c>
      <c r="C10835" s="1" t="n">
        <v>46086</v>
      </c>
      <c r="D10835" t="inlineStr">
        <is>
          <t>GÄVLEBORGS LÄN</t>
        </is>
      </c>
      <c r="E10835" t="inlineStr">
        <is>
          <t>GÄVLE</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51666-2022</t>
        </is>
      </c>
      <c r="B10836" s="1" t="n">
        <v>44872.42103009259</v>
      </c>
      <c r="C10836" s="1" t="n">
        <v>46086</v>
      </c>
      <c r="D10836" t="inlineStr">
        <is>
          <t>GÄVLEBORGS LÄN</t>
        </is>
      </c>
      <c r="E10836" t="inlineStr">
        <is>
          <t>BOLLNÄS</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41616-2023</t>
        </is>
      </c>
      <c r="B10837" s="1" t="n">
        <v>45175.67030092593</v>
      </c>
      <c r="C10837" s="1" t="n">
        <v>46086</v>
      </c>
      <c r="D10837" t="inlineStr">
        <is>
          <t>GÄVLEBORGS LÄN</t>
        </is>
      </c>
      <c r="E10837" t="inlineStr">
        <is>
          <t>NORDANSTIG</t>
        </is>
      </c>
      <c r="G10837" t="n">
        <v>0.4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51700-2022</t>
        </is>
      </c>
      <c r="B10838" s="1" t="n">
        <v>44872</v>
      </c>
      <c r="C10838" s="1" t="n">
        <v>46086</v>
      </c>
      <c r="D10838" t="inlineStr">
        <is>
          <t>GÄVLEBORGS LÄN</t>
        </is>
      </c>
      <c r="E10838" t="inlineStr">
        <is>
          <t>OVANÅKER</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51734-2022</t>
        </is>
      </c>
      <c r="B10839" s="1" t="n">
        <v>44872.47747685185</v>
      </c>
      <c r="C10839" s="1" t="n">
        <v>46086</v>
      </c>
      <c r="D10839" t="inlineStr">
        <is>
          <t>GÄVLEBORGS LÄN</t>
        </is>
      </c>
      <c r="E10839" t="inlineStr">
        <is>
          <t>OVANÅKER</t>
        </is>
      </c>
      <c r="G10839" t="n">
        <v>2.3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49565-2021</t>
        </is>
      </c>
      <c r="B10840" s="1" t="n">
        <v>44455.36539351852</v>
      </c>
      <c r="C10840" s="1" t="n">
        <v>46086</v>
      </c>
      <c r="D10840" t="inlineStr">
        <is>
          <t>GÄVLEBORGS LÄN</t>
        </is>
      </c>
      <c r="E10840" t="inlineStr">
        <is>
          <t>OVANÅKER</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15372-2024</t>
        </is>
      </c>
      <c r="B10841" s="1" t="n">
        <v>45400.92311342592</v>
      </c>
      <c r="C10841" s="1" t="n">
        <v>46086</v>
      </c>
      <c r="D10841" t="inlineStr">
        <is>
          <t>GÄVLEBORGS LÄN</t>
        </is>
      </c>
      <c r="E10841" t="inlineStr">
        <is>
          <t>LJUSDAL</t>
        </is>
      </c>
      <c r="G10841" t="n">
        <v>2.9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40345-2021</t>
        </is>
      </c>
      <c r="B10842" s="1" t="n">
        <v>44419</v>
      </c>
      <c r="C10842" s="1" t="n">
        <v>46086</v>
      </c>
      <c r="D10842" t="inlineStr">
        <is>
          <t>GÄVLEBORGS LÄN</t>
        </is>
      </c>
      <c r="E10842" t="inlineStr">
        <is>
          <t>LJUSDAL</t>
        </is>
      </c>
      <c r="F10842" t="inlineStr">
        <is>
          <t>Bergvik skog väst AB</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27477-2024</t>
        </is>
      </c>
      <c r="B10843" s="1" t="n">
        <v>45474</v>
      </c>
      <c r="C10843" s="1" t="n">
        <v>46086</v>
      </c>
      <c r="D10843" t="inlineStr">
        <is>
          <t>GÄVLEBORGS LÄN</t>
        </is>
      </c>
      <c r="E10843" t="inlineStr">
        <is>
          <t>HUDIKSVALL</t>
        </is>
      </c>
      <c r="F10843" t="inlineStr">
        <is>
          <t>Holmen skog AB</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16023-2023</t>
        </is>
      </c>
      <c r="B10844" s="1" t="n">
        <v>45026</v>
      </c>
      <c r="C10844" s="1" t="n">
        <v>46086</v>
      </c>
      <c r="D10844" t="inlineStr">
        <is>
          <t>GÄVLEBORGS LÄN</t>
        </is>
      </c>
      <c r="E10844" t="inlineStr">
        <is>
          <t>GÄVLE</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49948-2024</t>
        </is>
      </c>
      <c r="B10845" s="1" t="n">
        <v>45597.6052662037</v>
      </c>
      <c r="C10845" s="1" t="n">
        <v>46086</v>
      </c>
      <c r="D10845" t="inlineStr">
        <is>
          <t>GÄVLEBORGS LÄN</t>
        </is>
      </c>
      <c r="E10845" t="inlineStr">
        <is>
          <t>SÖDERHAMN</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16073-2023</t>
        </is>
      </c>
      <c r="B10846" s="1" t="n">
        <v>45027.45347222222</v>
      </c>
      <c r="C10846" s="1" t="n">
        <v>46086</v>
      </c>
      <c r="D10846" t="inlineStr">
        <is>
          <t>GÄVLEBORGS LÄN</t>
        </is>
      </c>
      <c r="E10846" t="inlineStr">
        <is>
          <t>HUDIKSVALL</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49993-2024</t>
        </is>
      </c>
      <c r="B10847" s="1" t="n">
        <v>45597.84851851852</v>
      </c>
      <c r="C10847" s="1" t="n">
        <v>46086</v>
      </c>
      <c r="D10847" t="inlineStr">
        <is>
          <t>GÄVLEBORGS LÄN</t>
        </is>
      </c>
      <c r="E10847" t="inlineStr">
        <is>
          <t>BOLLNÄS</t>
        </is>
      </c>
      <c r="G10847" t="n">
        <v>1.2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54219-2023</t>
        </is>
      </c>
      <c r="B10848" s="1" t="n">
        <v>45232</v>
      </c>
      <c r="C10848" s="1" t="n">
        <v>46086</v>
      </c>
      <c r="D10848" t="inlineStr">
        <is>
          <t>GÄVLEBORGS LÄN</t>
        </is>
      </c>
      <c r="E10848" t="inlineStr">
        <is>
          <t>HUDIKSVALL</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50065-2024</t>
        </is>
      </c>
      <c r="B10849" s="1" t="n">
        <v>45600</v>
      </c>
      <c r="C10849" s="1" t="n">
        <v>46086</v>
      </c>
      <c r="D10849" t="inlineStr">
        <is>
          <t>GÄVLEBORGS LÄN</t>
        </is>
      </c>
      <c r="E10849" t="inlineStr">
        <is>
          <t>HUDIKSVALL</t>
        </is>
      </c>
      <c r="G10849" t="n">
        <v>2.9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57546-2023</t>
        </is>
      </c>
      <c r="B10850" s="1" t="n">
        <v>45246</v>
      </c>
      <c r="C10850" s="1" t="n">
        <v>46086</v>
      </c>
      <c r="D10850" t="inlineStr">
        <is>
          <t>GÄVLEBORGS LÄN</t>
        </is>
      </c>
      <c r="E10850" t="inlineStr">
        <is>
          <t>BOLLNÄS</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15355-2025</t>
        </is>
      </c>
      <c r="B10851" s="1" t="n">
        <v>45747.3884375</v>
      </c>
      <c r="C10851" s="1" t="n">
        <v>46086</v>
      </c>
      <c r="D10851" t="inlineStr">
        <is>
          <t>GÄVLEBORGS LÄN</t>
        </is>
      </c>
      <c r="E10851" t="inlineStr">
        <is>
          <t>BOLLNÄS</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38201-2024</t>
        </is>
      </c>
      <c r="B10852" s="1" t="n">
        <v>45545.5003125</v>
      </c>
      <c r="C10852" s="1" t="n">
        <v>46086</v>
      </c>
      <c r="D10852" t="inlineStr">
        <is>
          <t>GÄVLEBORGS LÄN</t>
        </is>
      </c>
      <c r="E10852" t="inlineStr">
        <is>
          <t>HUDIKSVALL</t>
        </is>
      </c>
      <c r="F10852" t="inlineStr">
        <is>
          <t>Holmen skog AB</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60197-2023</t>
        </is>
      </c>
      <c r="B10853" s="1" t="n">
        <v>45258.58435185185</v>
      </c>
      <c r="C10853" s="1" t="n">
        <v>46086</v>
      </c>
      <c r="D10853" t="inlineStr">
        <is>
          <t>GÄVLEBORGS LÄN</t>
        </is>
      </c>
      <c r="E10853" t="inlineStr">
        <is>
          <t>LJUSDAL</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35200-2024</t>
        </is>
      </c>
      <c r="B10854" s="1" t="n">
        <v>45530.47582175926</v>
      </c>
      <c r="C10854" s="1" t="n">
        <v>46086</v>
      </c>
      <c r="D10854" t="inlineStr">
        <is>
          <t>GÄVLEBORGS LÄN</t>
        </is>
      </c>
      <c r="E10854" t="inlineStr">
        <is>
          <t>BOLLNÄS</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56738-2023</t>
        </is>
      </c>
      <c r="B10855" s="1" t="n">
        <v>45244.35681712963</v>
      </c>
      <c r="C10855" s="1" t="n">
        <v>46086</v>
      </c>
      <c r="D10855" t="inlineStr">
        <is>
          <t>GÄVLEBORGS LÄN</t>
        </is>
      </c>
      <c r="E10855" t="inlineStr">
        <is>
          <t>HUDIKSVALL</t>
        </is>
      </c>
      <c r="F10855" t="inlineStr">
        <is>
          <t>Holmen skog AB</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56755-2023</t>
        </is>
      </c>
      <c r="B10856" s="1" t="n">
        <v>45244.37376157408</v>
      </c>
      <c r="C10856" s="1" t="n">
        <v>46086</v>
      </c>
      <c r="D10856" t="inlineStr">
        <is>
          <t>GÄVLEBORGS LÄN</t>
        </is>
      </c>
      <c r="E10856" t="inlineStr">
        <is>
          <t>HUDIKSVALL</t>
        </is>
      </c>
      <c r="F10856" t="inlineStr">
        <is>
          <t>Holmen skog AB</t>
        </is>
      </c>
      <c r="G10856" t="n">
        <v>2.8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57976-2022</t>
        </is>
      </c>
      <c r="B10857" s="1" t="n">
        <v>44900.4591087963</v>
      </c>
      <c r="C10857" s="1" t="n">
        <v>46086</v>
      </c>
      <c r="D10857" t="inlineStr">
        <is>
          <t>GÄVLEBORGS LÄN</t>
        </is>
      </c>
      <c r="E10857" t="inlineStr">
        <is>
          <t>NORDANSTIG</t>
        </is>
      </c>
      <c r="F10857" t="inlineStr">
        <is>
          <t>Holmen skog AB</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57983-2022</t>
        </is>
      </c>
      <c r="B10858" s="1" t="n">
        <v>44900</v>
      </c>
      <c r="C10858" s="1" t="n">
        <v>46086</v>
      </c>
      <c r="D10858" t="inlineStr">
        <is>
          <t>GÄVLEBORGS LÄN</t>
        </is>
      </c>
      <c r="E10858" t="inlineStr">
        <is>
          <t>NORDANSTIG</t>
        </is>
      </c>
      <c r="F10858" t="inlineStr">
        <is>
          <t>Holmen skog AB</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24890-2023</t>
        </is>
      </c>
      <c r="B10859" s="1" t="n">
        <v>45085.45846064815</v>
      </c>
      <c r="C10859" s="1" t="n">
        <v>46086</v>
      </c>
      <c r="D10859" t="inlineStr">
        <is>
          <t>GÄVLEBORGS LÄN</t>
        </is>
      </c>
      <c r="E10859" t="inlineStr">
        <is>
          <t>HUDIKSVALL</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53818-2023</t>
        </is>
      </c>
      <c r="B10860" s="1" t="n">
        <v>45231</v>
      </c>
      <c r="C10860" s="1" t="n">
        <v>46086</v>
      </c>
      <c r="D10860" t="inlineStr">
        <is>
          <t>GÄVLEBORGS LÄN</t>
        </is>
      </c>
      <c r="E10860" t="inlineStr">
        <is>
          <t>OVANÅKER</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55811-2023</t>
        </is>
      </c>
      <c r="B10861" s="1" t="n">
        <v>45239</v>
      </c>
      <c r="C10861" s="1" t="n">
        <v>46086</v>
      </c>
      <c r="D10861" t="inlineStr">
        <is>
          <t>GÄVLEBORGS LÄN</t>
        </is>
      </c>
      <c r="E10861" t="inlineStr">
        <is>
          <t>OVANÅKER</t>
        </is>
      </c>
      <c r="G10861" t="n">
        <v>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21187-2022</t>
        </is>
      </c>
      <c r="B10862" s="1" t="n">
        <v>44704.92609953704</v>
      </c>
      <c r="C10862" s="1" t="n">
        <v>46086</v>
      </c>
      <c r="D10862" t="inlineStr">
        <is>
          <t>GÄVLEBORGS LÄN</t>
        </is>
      </c>
      <c r="E10862" t="inlineStr">
        <is>
          <t>NORDANSTIG</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25829-2024</t>
        </is>
      </c>
      <c r="B10863" s="1" t="n">
        <v>45467.40538194445</v>
      </c>
      <c r="C10863" s="1" t="n">
        <v>46086</v>
      </c>
      <c r="D10863" t="inlineStr">
        <is>
          <t>GÄVLEBORGS LÄN</t>
        </is>
      </c>
      <c r="E10863" t="inlineStr">
        <is>
          <t>GÄVLE</t>
        </is>
      </c>
      <c r="F10863" t="inlineStr">
        <is>
          <t>Bergvik skog öst AB</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11778-2024</t>
        </is>
      </c>
      <c r="B10864" s="1" t="n">
        <v>45374.42484953703</v>
      </c>
      <c r="C10864" s="1" t="n">
        <v>46086</v>
      </c>
      <c r="D10864" t="inlineStr">
        <is>
          <t>GÄVLEBORGS LÄN</t>
        </is>
      </c>
      <c r="E10864" t="inlineStr">
        <is>
          <t>SANDVIKEN</t>
        </is>
      </c>
      <c r="G10864" t="n">
        <v>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39440-2024</t>
        </is>
      </c>
      <c r="B10865" s="1" t="n">
        <v>45551.6096875</v>
      </c>
      <c r="C10865" s="1" t="n">
        <v>46086</v>
      </c>
      <c r="D10865" t="inlineStr">
        <is>
          <t>GÄVLEBORGS LÄN</t>
        </is>
      </c>
      <c r="E10865" t="inlineStr">
        <is>
          <t>HUDIKSVALL</t>
        </is>
      </c>
      <c r="F10865" t="inlineStr">
        <is>
          <t>Holmen skog AB</t>
        </is>
      </c>
      <c r="G10865" t="n">
        <v>3.5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51806-2024</t>
        </is>
      </c>
      <c r="B10866" s="1" t="n">
        <v>45607.47730324074</v>
      </c>
      <c r="C10866" s="1" t="n">
        <v>46086</v>
      </c>
      <c r="D10866" t="inlineStr">
        <is>
          <t>GÄVLEBORGS LÄN</t>
        </is>
      </c>
      <c r="E10866" t="inlineStr">
        <is>
          <t>NORDANSTIG</t>
        </is>
      </c>
      <c r="F10866" t="inlineStr">
        <is>
          <t>Holmen skog AB</t>
        </is>
      </c>
      <c r="G10866" t="n">
        <v>10</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45598-2024</t>
        </is>
      </c>
      <c r="B10867" s="1" t="n">
        <v>45579</v>
      </c>
      <c r="C10867" s="1" t="n">
        <v>46086</v>
      </c>
      <c r="D10867" t="inlineStr">
        <is>
          <t>GÄVLEBORGS LÄN</t>
        </is>
      </c>
      <c r="E10867" t="inlineStr">
        <is>
          <t>BOLLNÄS</t>
        </is>
      </c>
      <c r="F10867" t="inlineStr">
        <is>
          <t>Kommuner</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51821-2024</t>
        </is>
      </c>
      <c r="B10868" s="1" t="n">
        <v>45607.49569444444</v>
      </c>
      <c r="C10868" s="1" t="n">
        <v>46086</v>
      </c>
      <c r="D10868" t="inlineStr">
        <is>
          <t>GÄVLEBORGS LÄN</t>
        </is>
      </c>
      <c r="E10868" t="inlineStr">
        <is>
          <t>NORDANSTIG</t>
        </is>
      </c>
      <c r="F10868" t="inlineStr">
        <is>
          <t>Holmen skog AB</t>
        </is>
      </c>
      <c r="G10868" t="n">
        <v>5.7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7235-2025</t>
        </is>
      </c>
      <c r="B10869" s="1" t="n">
        <v>45702.51921296296</v>
      </c>
      <c r="C10869" s="1" t="n">
        <v>46086</v>
      </c>
      <c r="D10869" t="inlineStr">
        <is>
          <t>GÄVLEBORGS LÄN</t>
        </is>
      </c>
      <c r="E10869" t="inlineStr">
        <is>
          <t>GÄVLE</t>
        </is>
      </c>
      <c r="G10869" t="n">
        <v>3.3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7297-2025</t>
        </is>
      </c>
      <c r="B10870" s="1" t="n">
        <v>45702.65013888889</v>
      </c>
      <c r="C10870" s="1" t="n">
        <v>46086</v>
      </c>
      <c r="D10870" t="inlineStr">
        <is>
          <t>GÄVLEBORGS LÄN</t>
        </is>
      </c>
      <c r="E10870" t="inlineStr">
        <is>
          <t>GÄVLE</t>
        </is>
      </c>
      <c r="F10870" t="inlineStr">
        <is>
          <t>Bergvik skog öst AB</t>
        </is>
      </c>
      <c r="G10870" t="n">
        <v>11.5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47710-2022</t>
        </is>
      </c>
      <c r="B10871" s="1" t="n">
        <v>44854</v>
      </c>
      <c r="C10871" s="1" t="n">
        <v>46086</v>
      </c>
      <c r="D10871" t="inlineStr">
        <is>
          <t>GÄVLEBORGS LÄN</t>
        </is>
      </c>
      <c r="E10871" t="inlineStr">
        <is>
          <t>SANDVIKEN</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41521-2024</t>
        </is>
      </c>
      <c r="B10872" s="1" t="n">
        <v>45560.47880787037</v>
      </c>
      <c r="C10872" s="1" t="n">
        <v>46086</v>
      </c>
      <c r="D10872" t="inlineStr">
        <is>
          <t>GÄVLEBORGS LÄN</t>
        </is>
      </c>
      <c r="E10872" t="inlineStr">
        <is>
          <t>HUDIKSVALL</t>
        </is>
      </c>
      <c r="F10872" t="inlineStr">
        <is>
          <t>Holmen skog AB</t>
        </is>
      </c>
      <c r="G10872" t="n">
        <v>0.4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54156-2024</t>
        </is>
      </c>
      <c r="B10873" s="1" t="n">
        <v>45616</v>
      </c>
      <c r="C10873" s="1" t="n">
        <v>46086</v>
      </c>
      <c r="D10873" t="inlineStr">
        <is>
          <t>GÄVLEBORGS LÄN</t>
        </is>
      </c>
      <c r="E10873" t="inlineStr">
        <is>
          <t>NORDANSTIG</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41591-2024</t>
        </is>
      </c>
      <c r="B10874" s="1" t="n">
        <v>45560.57263888889</v>
      </c>
      <c r="C10874" s="1" t="n">
        <v>46086</v>
      </c>
      <c r="D10874" t="inlineStr">
        <is>
          <t>GÄVLEBORGS LÄN</t>
        </is>
      </c>
      <c r="E10874" t="inlineStr">
        <is>
          <t>BOLLNÄS</t>
        </is>
      </c>
      <c r="G10874" t="n">
        <v>21.8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47359-2024</t>
        </is>
      </c>
      <c r="B10875" s="1" t="n">
        <v>45587.43547453704</v>
      </c>
      <c r="C10875" s="1" t="n">
        <v>46086</v>
      </c>
      <c r="D10875" t="inlineStr">
        <is>
          <t>GÄVLEBORGS LÄN</t>
        </is>
      </c>
      <c r="E10875" t="inlineStr">
        <is>
          <t>HOFORS</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47380-2024</t>
        </is>
      </c>
      <c r="B10876" s="1" t="n">
        <v>45587.45914351852</v>
      </c>
      <c r="C10876" s="1" t="n">
        <v>46086</v>
      </c>
      <c r="D10876" t="inlineStr">
        <is>
          <t>GÄVLEBORGS LÄN</t>
        </is>
      </c>
      <c r="E10876" t="inlineStr">
        <is>
          <t>OVANÅKER</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8667-2024</t>
        </is>
      </c>
      <c r="B10877" s="1" t="n">
        <v>45356.29768518519</v>
      </c>
      <c r="C10877" s="1" t="n">
        <v>46086</v>
      </c>
      <c r="D10877" t="inlineStr">
        <is>
          <t>GÄVLEBORGS LÄN</t>
        </is>
      </c>
      <c r="E10877" t="inlineStr">
        <is>
          <t>LJUSDAL</t>
        </is>
      </c>
      <c r="G10877" t="n">
        <v>3.6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48212-2024</t>
        </is>
      </c>
      <c r="B10878" s="1" t="n">
        <v>45590.34556712963</v>
      </c>
      <c r="C10878" s="1" t="n">
        <v>46086</v>
      </c>
      <c r="D10878" t="inlineStr">
        <is>
          <t>GÄVLEBORGS LÄN</t>
        </is>
      </c>
      <c r="E10878" t="inlineStr">
        <is>
          <t>NORDANSTIG</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8662-2025</t>
        </is>
      </c>
      <c r="B10879" s="1" t="n">
        <v>45712.39575231481</v>
      </c>
      <c r="C10879" s="1" t="n">
        <v>46086</v>
      </c>
      <c r="D10879" t="inlineStr">
        <is>
          <t>GÄVLEBORGS LÄN</t>
        </is>
      </c>
      <c r="E10879" t="inlineStr">
        <is>
          <t>OCKELBO</t>
        </is>
      </c>
      <c r="G10879" t="n">
        <v>14.7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60346-2021</t>
        </is>
      </c>
      <c r="B10880" s="1" t="n">
        <v>44496.3164699074</v>
      </c>
      <c r="C10880" s="1" t="n">
        <v>46086</v>
      </c>
      <c r="D10880" t="inlineStr">
        <is>
          <t>GÄVLEBORGS LÄN</t>
        </is>
      </c>
      <c r="E10880" t="inlineStr">
        <is>
          <t>LJUSDAL</t>
        </is>
      </c>
      <c r="F10880" t="inlineStr">
        <is>
          <t>Kommuner</t>
        </is>
      </c>
      <c r="G10880" t="n">
        <v>8.1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57475-2023</t>
        </is>
      </c>
      <c r="B10881" s="1" t="n">
        <v>45246.38005787037</v>
      </c>
      <c r="C10881" s="1" t="n">
        <v>46086</v>
      </c>
      <c r="D10881" t="inlineStr">
        <is>
          <t>GÄVLEBORGS LÄN</t>
        </is>
      </c>
      <c r="E10881" t="inlineStr">
        <is>
          <t>LJUSDAL</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60698-2023</t>
        </is>
      </c>
      <c r="B10882" s="1" t="n">
        <v>45260.5078587963</v>
      </c>
      <c r="C10882" s="1" t="n">
        <v>46086</v>
      </c>
      <c r="D10882" t="inlineStr">
        <is>
          <t>GÄVLEBORGS LÄN</t>
        </is>
      </c>
      <c r="E10882" t="inlineStr">
        <is>
          <t>SÖDERHAMN</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35993-2024</t>
        </is>
      </c>
      <c r="B10883" s="1" t="n">
        <v>45533.53946759259</v>
      </c>
      <c r="C10883" s="1" t="n">
        <v>46086</v>
      </c>
      <c r="D10883" t="inlineStr">
        <is>
          <t>GÄVLEBORGS LÄN</t>
        </is>
      </c>
      <c r="E10883" t="inlineStr">
        <is>
          <t>OVANÅKER</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20043-2025</t>
        </is>
      </c>
      <c r="B10884" s="1" t="n">
        <v>45772.38306712963</v>
      </c>
      <c r="C10884" s="1" t="n">
        <v>46086</v>
      </c>
      <c r="D10884" t="inlineStr">
        <is>
          <t>GÄVLEBORGS LÄN</t>
        </is>
      </c>
      <c r="E10884" t="inlineStr">
        <is>
          <t>HUDIKSVALL</t>
        </is>
      </c>
      <c r="G10884" t="n">
        <v>4.9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48298-2023</t>
        </is>
      </c>
      <c r="B10885" s="1" t="n">
        <v>45205</v>
      </c>
      <c r="C10885" s="1" t="n">
        <v>46086</v>
      </c>
      <c r="D10885" t="inlineStr">
        <is>
          <t>GÄVLEBORGS LÄN</t>
        </is>
      </c>
      <c r="E10885" t="inlineStr">
        <is>
          <t>OVANÅKER</t>
        </is>
      </c>
      <c r="G10885" t="n">
        <v>0.3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48300-2023</t>
        </is>
      </c>
      <c r="B10886" s="1" t="n">
        <v>45205.57335648148</v>
      </c>
      <c r="C10886" s="1" t="n">
        <v>46086</v>
      </c>
      <c r="D10886" t="inlineStr">
        <is>
          <t>GÄVLEBORGS LÄN</t>
        </is>
      </c>
      <c r="E10886" t="inlineStr">
        <is>
          <t>SANDVIKEN</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71215-2021</t>
        </is>
      </c>
      <c r="B10887" s="1" t="n">
        <v>44539.56224537037</v>
      </c>
      <c r="C10887" s="1" t="n">
        <v>46086</v>
      </c>
      <c r="D10887" t="inlineStr">
        <is>
          <t>GÄVLEBORGS LÄN</t>
        </is>
      </c>
      <c r="E10887" t="inlineStr">
        <is>
          <t>GÄVLE</t>
        </is>
      </c>
      <c r="G10887" t="n">
        <v>2.9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31645-2024</t>
        </is>
      </c>
      <c r="B10888" s="1" t="n">
        <v>45506.60777777778</v>
      </c>
      <c r="C10888" s="1" t="n">
        <v>46086</v>
      </c>
      <c r="D10888" t="inlineStr">
        <is>
          <t>GÄVLEBORGS LÄN</t>
        </is>
      </c>
      <c r="E10888" t="inlineStr">
        <is>
          <t>HOFORS</t>
        </is>
      </c>
      <c r="F10888" t="inlineStr">
        <is>
          <t>Sveaskog</t>
        </is>
      </c>
      <c r="G10888" t="n">
        <v>11.1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31707-2024</t>
        </is>
      </c>
      <c r="B10889" s="1" t="n">
        <v>45508.92780092593</v>
      </c>
      <c r="C10889" s="1" t="n">
        <v>46086</v>
      </c>
      <c r="D10889" t="inlineStr">
        <is>
          <t>GÄVLEBORGS LÄN</t>
        </is>
      </c>
      <c r="E10889" t="inlineStr">
        <is>
          <t>HUDIKSVALL</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64359-2023</t>
        </is>
      </c>
      <c r="B10890" s="1" t="n">
        <v>45280</v>
      </c>
      <c r="C10890" s="1" t="n">
        <v>46086</v>
      </c>
      <c r="D10890" t="inlineStr">
        <is>
          <t>GÄVLEBORGS LÄN</t>
        </is>
      </c>
      <c r="E10890" t="inlineStr">
        <is>
          <t>HOFORS</t>
        </is>
      </c>
      <c r="G10890" t="n">
        <v>4.7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30630-2022</t>
        </is>
      </c>
      <c r="B10891" s="1" t="n">
        <v>44763.44563657408</v>
      </c>
      <c r="C10891" s="1" t="n">
        <v>46086</v>
      </c>
      <c r="D10891" t="inlineStr">
        <is>
          <t>GÄVLEBORGS LÄN</t>
        </is>
      </c>
      <c r="E10891" t="inlineStr">
        <is>
          <t>NORDANSTIG</t>
        </is>
      </c>
      <c r="F10891" t="inlineStr">
        <is>
          <t>Holmen skog AB</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31724-2024</t>
        </is>
      </c>
      <c r="B10892" s="1" t="n">
        <v>45509.33159722222</v>
      </c>
      <c r="C10892" s="1" t="n">
        <v>46086</v>
      </c>
      <c r="D10892" t="inlineStr">
        <is>
          <t>GÄVLEBORGS LÄN</t>
        </is>
      </c>
      <c r="E10892" t="inlineStr">
        <is>
          <t>NORDANSTIG</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58787-2021</t>
        </is>
      </c>
      <c r="B10893" s="1" t="n">
        <v>44489.56234953704</v>
      </c>
      <c r="C10893" s="1" t="n">
        <v>46086</v>
      </c>
      <c r="D10893" t="inlineStr">
        <is>
          <t>GÄVLEBORGS LÄN</t>
        </is>
      </c>
      <c r="E10893" t="inlineStr">
        <is>
          <t>HOFORS</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6797-2025</t>
        </is>
      </c>
      <c r="B10894" s="1" t="n">
        <v>45700.66565972222</v>
      </c>
      <c r="C10894" s="1" t="n">
        <v>46086</v>
      </c>
      <c r="D10894" t="inlineStr">
        <is>
          <t>GÄVLEBORGS LÄN</t>
        </is>
      </c>
      <c r="E10894" t="inlineStr">
        <is>
          <t>GÄVLE</t>
        </is>
      </c>
      <c r="F10894" t="inlineStr">
        <is>
          <t>Bergvik skog öst AB</t>
        </is>
      </c>
      <c r="G10894" t="n">
        <v>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6891-2025</t>
        </is>
      </c>
      <c r="B10895" s="1" t="n">
        <v>45701</v>
      </c>
      <c r="C10895" s="1" t="n">
        <v>46086</v>
      </c>
      <c r="D10895" t="inlineStr">
        <is>
          <t>GÄVLEBORGS LÄN</t>
        </is>
      </c>
      <c r="E10895" t="inlineStr">
        <is>
          <t>OCKELBO</t>
        </is>
      </c>
      <c r="G10895" t="n">
        <v>3.7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26839-2024</t>
        </is>
      </c>
      <c r="B10896" s="1" t="n">
        <v>45470.57621527778</v>
      </c>
      <c r="C10896" s="1" t="n">
        <v>46086</v>
      </c>
      <c r="D10896" t="inlineStr">
        <is>
          <t>GÄVLEBORGS LÄN</t>
        </is>
      </c>
      <c r="E10896" t="inlineStr">
        <is>
          <t>SÖDERHAMN</t>
        </is>
      </c>
      <c r="F10896" t="inlineStr">
        <is>
          <t>Bergvik skog väst AB</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18438-2024</t>
        </is>
      </c>
      <c r="B10897" s="1" t="n">
        <v>45425.44804398148</v>
      </c>
      <c r="C10897" s="1" t="n">
        <v>46086</v>
      </c>
      <c r="D10897" t="inlineStr">
        <is>
          <t>GÄVLEBORGS LÄN</t>
        </is>
      </c>
      <c r="E10897" t="inlineStr">
        <is>
          <t>BOLLNÄS</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10578-2025</t>
        </is>
      </c>
      <c r="B10898" s="1" t="n">
        <v>45721.54731481482</v>
      </c>
      <c r="C10898" s="1" t="n">
        <v>46086</v>
      </c>
      <c r="D10898" t="inlineStr">
        <is>
          <t>GÄVLEBORGS LÄN</t>
        </is>
      </c>
      <c r="E10898" t="inlineStr">
        <is>
          <t>SANDVIKEN</t>
        </is>
      </c>
      <c r="F10898" t="inlineStr">
        <is>
          <t>Sveaskog</t>
        </is>
      </c>
      <c r="G10898" t="n">
        <v>5.8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36960-2023</t>
        </is>
      </c>
      <c r="B10899" s="1" t="n">
        <v>45154</v>
      </c>
      <c r="C10899" s="1" t="n">
        <v>46086</v>
      </c>
      <c r="D10899" t="inlineStr">
        <is>
          <t>GÄVLEBORGS LÄN</t>
        </is>
      </c>
      <c r="E10899" t="inlineStr">
        <is>
          <t>NORDANSTIG</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30556-2024</t>
        </is>
      </c>
      <c r="B10900" s="1" t="n">
        <v>45492</v>
      </c>
      <c r="C10900" s="1" t="n">
        <v>46086</v>
      </c>
      <c r="D10900" t="inlineStr">
        <is>
          <t>GÄVLEBORGS LÄN</t>
        </is>
      </c>
      <c r="E10900" t="inlineStr">
        <is>
          <t>SÖDERHAMN</t>
        </is>
      </c>
      <c r="G10900" t="n">
        <v>2.6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31270-2024</t>
        </is>
      </c>
      <c r="B10901" s="1" t="n">
        <v>45504.36773148148</v>
      </c>
      <c r="C10901" s="1" t="n">
        <v>46086</v>
      </c>
      <c r="D10901" t="inlineStr">
        <is>
          <t>GÄVLEBORGS LÄN</t>
        </is>
      </c>
      <c r="E10901" t="inlineStr">
        <is>
          <t>NORDANSTIG</t>
        </is>
      </c>
      <c r="G10901" t="n">
        <v>3.2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10888-2025</t>
        </is>
      </c>
      <c r="B10902" s="1" t="n">
        <v>45722.67070601852</v>
      </c>
      <c r="C10902" s="1" t="n">
        <v>46086</v>
      </c>
      <c r="D10902" t="inlineStr">
        <is>
          <t>GÄVLEBORGS LÄN</t>
        </is>
      </c>
      <c r="E10902" t="inlineStr">
        <is>
          <t>OVANÅKER</t>
        </is>
      </c>
      <c r="F10902" t="inlineStr">
        <is>
          <t>Bergvik skog öst AB</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11407-2025</t>
        </is>
      </c>
      <c r="B10903" s="1" t="n">
        <v>45726.58489583333</v>
      </c>
      <c r="C10903" s="1" t="n">
        <v>46086</v>
      </c>
      <c r="D10903" t="inlineStr">
        <is>
          <t>GÄVLEBORGS LÄN</t>
        </is>
      </c>
      <c r="E10903" t="inlineStr">
        <is>
          <t>GÄVLE</t>
        </is>
      </c>
      <c r="F10903" t="inlineStr">
        <is>
          <t>Bergvik skog öst AB</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51438-2023</t>
        </is>
      </c>
      <c r="B10904" s="1" t="n">
        <v>45219</v>
      </c>
      <c r="C10904" s="1" t="n">
        <v>46086</v>
      </c>
      <c r="D10904" t="inlineStr">
        <is>
          <t>GÄVLEBORGS LÄN</t>
        </is>
      </c>
      <c r="E10904" t="inlineStr">
        <is>
          <t>NORDANSTIG</t>
        </is>
      </c>
      <c r="F10904" t="inlineStr">
        <is>
          <t>SCA</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44070-2023</t>
        </is>
      </c>
      <c r="B10905" s="1" t="n">
        <v>45188</v>
      </c>
      <c r="C10905" s="1" t="n">
        <v>46086</v>
      </c>
      <c r="D10905" t="inlineStr">
        <is>
          <t>GÄVLEBORGS LÄN</t>
        </is>
      </c>
      <c r="E10905" t="inlineStr">
        <is>
          <t>HUDIKSVALL</t>
        </is>
      </c>
      <c r="F10905" t="inlineStr">
        <is>
          <t>Holmen skog AB</t>
        </is>
      </c>
      <c r="G10905" t="n">
        <v>11.6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44084-2023</t>
        </is>
      </c>
      <c r="B10906" s="1" t="n">
        <v>45188.4264699074</v>
      </c>
      <c r="C10906" s="1" t="n">
        <v>46086</v>
      </c>
      <c r="D10906" t="inlineStr">
        <is>
          <t>GÄVLEBORGS LÄN</t>
        </is>
      </c>
      <c r="E10906" t="inlineStr">
        <is>
          <t>HUDIKSVALL</t>
        </is>
      </c>
      <c r="F10906" t="inlineStr">
        <is>
          <t>Holmen skog AB</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44101-2023</t>
        </is>
      </c>
      <c r="B10907" s="1" t="n">
        <v>45188.43148148148</v>
      </c>
      <c r="C10907" s="1" t="n">
        <v>46086</v>
      </c>
      <c r="D10907" t="inlineStr">
        <is>
          <t>GÄVLEBORGS LÄN</t>
        </is>
      </c>
      <c r="E10907" t="inlineStr">
        <is>
          <t>SANDVIKEN</t>
        </is>
      </c>
      <c r="F10907" t="inlineStr">
        <is>
          <t>Bergvik skog öst AB</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11093-2025</t>
        </is>
      </c>
      <c r="B10908" s="1" t="n">
        <v>45723.57983796296</v>
      </c>
      <c r="C10908" s="1" t="n">
        <v>46086</v>
      </c>
      <c r="D10908" t="inlineStr">
        <is>
          <t>GÄVLEBORGS LÄN</t>
        </is>
      </c>
      <c r="E10908" t="inlineStr">
        <is>
          <t>HUDIKSVALL</t>
        </is>
      </c>
      <c r="F10908" t="inlineStr">
        <is>
          <t>Holmen skog AB</t>
        </is>
      </c>
      <c r="G10908" t="n">
        <v>6.1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11199-2025</t>
        </is>
      </c>
      <c r="B10909" s="1" t="n">
        <v>45725.91207175926</v>
      </c>
      <c r="C10909" s="1" t="n">
        <v>46086</v>
      </c>
      <c r="D10909" t="inlineStr">
        <is>
          <t>GÄVLEBORGS LÄN</t>
        </is>
      </c>
      <c r="E10909" t="inlineStr">
        <is>
          <t>LJUSDAL</t>
        </is>
      </c>
      <c r="G10909" t="n">
        <v>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24988-2023</t>
        </is>
      </c>
      <c r="B10910" s="1" t="n">
        <v>45085.64087962963</v>
      </c>
      <c r="C10910" s="1" t="n">
        <v>46086</v>
      </c>
      <c r="D10910" t="inlineStr">
        <is>
          <t>GÄVLEBORGS LÄN</t>
        </is>
      </c>
      <c r="E10910" t="inlineStr">
        <is>
          <t>HOFORS</t>
        </is>
      </c>
      <c r="F10910" t="inlineStr">
        <is>
          <t>Sveaskog</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61822-2024</t>
        </is>
      </c>
      <c r="B10911" s="1" t="n">
        <v>45649</v>
      </c>
      <c r="C10911" s="1" t="n">
        <v>46086</v>
      </c>
      <c r="D10911" t="inlineStr">
        <is>
          <t>GÄVLEBORGS LÄN</t>
        </is>
      </c>
      <c r="E10911" t="inlineStr">
        <is>
          <t>SANDVIKEN</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61879-2024</t>
        </is>
      </c>
      <c r="B10912" s="1" t="n">
        <v>45652.43678240741</v>
      </c>
      <c r="C10912" s="1" t="n">
        <v>46086</v>
      </c>
      <c r="D10912" t="inlineStr">
        <is>
          <t>GÄVLEBORGS LÄN</t>
        </is>
      </c>
      <c r="E10912" t="inlineStr">
        <is>
          <t>GÄVLE</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2889-2025</t>
        </is>
      </c>
      <c r="B10913" s="1" t="n">
        <v>45677.72552083333</v>
      </c>
      <c r="C10913" s="1" t="n">
        <v>46086</v>
      </c>
      <c r="D10913" t="inlineStr">
        <is>
          <t>GÄVLEBORGS LÄN</t>
        </is>
      </c>
      <c r="E10913" t="inlineStr">
        <is>
          <t>HUDIKSVALL</t>
        </is>
      </c>
      <c r="G10913" t="n">
        <v>3.2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53861-2024</t>
        </is>
      </c>
      <c r="B10914" s="1" t="n">
        <v>45615.64052083333</v>
      </c>
      <c r="C10914" s="1" t="n">
        <v>46086</v>
      </c>
      <c r="D10914" t="inlineStr">
        <is>
          <t>GÄVLEBORGS LÄN</t>
        </is>
      </c>
      <c r="E10914" t="inlineStr">
        <is>
          <t>SANDVIKEN</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29297-2024</t>
        </is>
      </c>
      <c r="B10915" s="1" t="n">
        <v>45483.33927083333</v>
      </c>
      <c r="C10915" s="1" t="n">
        <v>46086</v>
      </c>
      <c r="D10915" t="inlineStr">
        <is>
          <t>GÄVLEBORGS LÄN</t>
        </is>
      </c>
      <c r="E10915" t="inlineStr">
        <is>
          <t>SANDVIKEN</t>
        </is>
      </c>
      <c r="G10915" t="n">
        <v>3.1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53007-2023</t>
        </is>
      </c>
      <c r="B10916" s="1" t="n">
        <v>45226</v>
      </c>
      <c r="C10916" s="1" t="n">
        <v>46086</v>
      </c>
      <c r="D10916" t="inlineStr">
        <is>
          <t>GÄVLEBORGS LÄN</t>
        </is>
      </c>
      <c r="E10916" t="inlineStr">
        <is>
          <t>SANDVIKEN</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53013-2023</t>
        </is>
      </c>
      <c r="B10917" s="1" t="n">
        <v>45226.66094907407</v>
      </c>
      <c r="C10917" s="1" t="n">
        <v>46086</v>
      </c>
      <c r="D10917" t="inlineStr">
        <is>
          <t>GÄVLEBORGS LÄN</t>
        </is>
      </c>
      <c r="E10917" t="inlineStr">
        <is>
          <t>LJUSDAL</t>
        </is>
      </c>
      <c r="F10917" t="inlineStr">
        <is>
          <t>Sveaskog</t>
        </is>
      </c>
      <c r="G10917" t="n">
        <v>21.1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5905-2025</t>
        </is>
      </c>
      <c r="B10918" s="1" t="n">
        <v>45695.40097222223</v>
      </c>
      <c r="C10918" s="1" t="n">
        <v>46086</v>
      </c>
      <c r="D10918" t="inlineStr">
        <is>
          <t>GÄVLEBORGS LÄN</t>
        </is>
      </c>
      <c r="E10918" t="inlineStr">
        <is>
          <t>HUDIKSVALL</t>
        </is>
      </c>
      <c r="F10918" t="inlineStr">
        <is>
          <t>Holmen skog AB</t>
        </is>
      </c>
      <c r="G10918" t="n">
        <v>7.6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5906-2025</t>
        </is>
      </c>
      <c r="B10919" s="1" t="n">
        <v>45695.40210648148</v>
      </c>
      <c r="C10919" s="1" t="n">
        <v>46086</v>
      </c>
      <c r="D10919" t="inlineStr">
        <is>
          <t>GÄVLEBORGS LÄN</t>
        </is>
      </c>
      <c r="E10919" t="inlineStr">
        <is>
          <t>GÄVLE</t>
        </is>
      </c>
      <c r="F10919" t="inlineStr">
        <is>
          <t>Bergvik skog öst AB</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5963-2025</t>
        </is>
      </c>
      <c r="B10920" s="1" t="n">
        <v>45695.48805555556</v>
      </c>
      <c r="C10920" s="1" t="n">
        <v>46086</v>
      </c>
      <c r="D10920" t="inlineStr">
        <is>
          <t>GÄVLEBORGS LÄN</t>
        </is>
      </c>
      <c r="E10920" t="inlineStr">
        <is>
          <t>NORDANSTIG</t>
        </is>
      </c>
      <c r="G10920" t="n">
        <v>3.5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5977-2025</t>
        </is>
      </c>
      <c r="B10921" s="1" t="n">
        <v>45695.54295138889</v>
      </c>
      <c r="C10921" s="1" t="n">
        <v>46086</v>
      </c>
      <c r="D10921" t="inlineStr">
        <is>
          <t>GÄVLEBORGS LÄN</t>
        </is>
      </c>
      <c r="E10921" t="inlineStr">
        <is>
          <t>HUDIKSVALL</t>
        </is>
      </c>
      <c r="G10921" t="n">
        <v>4.9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19712-2022</t>
        </is>
      </c>
      <c r="B10922" s="1" t="n">
        <v>44694</v>
      </c>
      <c r="C10922" s="1" t="n">
        <v>46086</v>
      </c>
      <c r="D10922" t="inlineStr">
        <is>
          <t>GÄVLEBORGS LÄN</t>
        </is>
      </c>
      <c r="E10922" t="inlineStr">
        <is>
          <t>GÄVLE</t>
        </is>
      </c>
      <c r="F10922" t="inlineStr">
        <is>
          <t>Bergvik skog väst AB</t>
        </is>
      </c>
      <c r="G10922" t="n">
        <v>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28892-2023</t>
        </is>
      </c>
      <c r="B10923" s="1" t="n">
        <v>45104.49465277778</v>
      </c>
      <c r="C10923" s="1" t="n">
        <v>46086</v>
      </c>
      <c r="D10923" t="inlineStr">
        <is>
          <t>GÄVLEBORGS LÄN</t>
        </is>
      </c>
      <c r="E10923" t="inlineStr">
        <is>
          <t>LJUSDAL</t>
        </is>
      </c>
      <c r="G10923" t="n">
        <v>2.3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2311-2024</t>
        </is>
      </c>
      <c r="B10924" s="1" t="n">
        <v>45310</v>
      </c>
      <c r="C10924" s="1" t="n">
        <v>46086</v>
      </c>
      <c r="D10924" t="inlineStr">
        <is>
          <t>GÄVLEBORGS LÄN</t>
        </is>
      </c>
      <c r="E10924" t="inlineStr">
        <is>
          <t>BOLLNÄS</t>
        </is>
      </c>
      <c r="F10924" t="inlineStr">
        <is>
          <t>Övriga statliga verk och myndigheter</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39509-2022</t>
        </is>
      </c>
      <c r="B10925" s="1" t="n">
        <v>44818</v>
      </c>
      <c r="C10925" s="1" t="n">
        <v>46086</v>
      </c>
      <c r="D10925" t="inlineStr">
        <is>
          <t>GÄVLEBORGS LÄN</t>
        </is>
      </c>
      <c r="E10925" t="inlineStr">
        <is>
          <t>GÄVLE</t>
        </is>
      </c>
      <c r="G10925" t="n">
        <v>4.2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39528-2022</t>
        </is>
      </c>
      <c r="B10926" s="1" t="n">
        <v>44818</v>
      </c>
      <c r="C10926" s="1" t="n">
        <v>46086</v>
      </c>
      <c r="D10926" t="inlineStr">
        <is>
          <t>GÄVLEBORGS LÄN</t>
        </is>
      </c>
      <c r="E10926" t="inlineStr">
        <is>
          <t>BOLLNÄS</t>
        </is>
      </c>
      <c r="G10926" t="n">
        <v>7.5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39566-2022</t>
        </is>
      </c>
      <c r="B10927" s="1" t="n">
        <v>44818.57881944445</v>
      </c>
      <c r="C10927" s="1" t="n">
        <v>46086</v>
      </c>
      <c r="D10927" t="inlineStr">
        <is>
          <t>GÄVLEBORGS LÄN</t>
        </is>
      </c>
      <c r="E10927" t="inlineStr">
        <is>
          <t>SANDVIKEN</t>
        </is>
      </c>
      <c r="G10927" t="n">
        <v>2.7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16731-2025</t>
        </is>
      </c>
      <c r="B10928" s="1" t="n">
        <v>45754.53108796296</v>
      </c>
      <c r="C10928" s="1" t="n">
        <v>46086</v>
      </c>
      <c r="D10928" t="inlineStr">
        <is>
          <t>GÄVLEBORGS LÄN</t>
        </is>
      </c>
      <c r="E10928" t="inlineStr">
        <is>
          <t>SÖDERHAMN</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16737-2025</t>
        </is>
      </c>
      <c r="B10929" s="1" t="n">
        <v>45754.54491898148</v>
      </c>
      <c r="C10929" s="1" t="n">
        <v>46086</v>
      </c>
      <c r="D10929" t="inlineStr">
        <is>
          <t>GÄVLEBORGS LÄN</t>
        </is>
      </c>
      <c r="E10929" t="inlineStr">
        <is>
          <t>OCKELBO</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52518-2024</t>
        </is>
      </c>
      <c r="B10930" s="1" t="n">
        <v>45609</v>
      </c>
      <c r="C10930" s="1" t="n">
        <v>46086</v>
      </c>
      <c r="D10930" t="inlineStr">
        <is>
          <t>GÄVLEBORGS LÄN</t>
        </is>
      </c>
      <c r="E10930" t="inlineStr">
        <is>
          <t>SÖDERHAMN</t>
        </is>
      </c>
      <c r="G10930" t="n">
        <v>2.6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14050-2023</t>
        </is>
      </c>
      <c r="B10931" s="1" t="n">
        <v>45008</v>
      </c>
      <c r="C10931" s="1" t="n">
        <v>46086</v>
      </c>
      <c r="D10931" t="inlineStr">
        <is>
          <t>GÄVLEBORGS LÄN</t>
        </is>
      </c>
      <c r="E10931" t="inlineStr">
        <is>
          <t>BOLLNÄS</t>
        </is>
      </c>
      <c r="G10931" t="n">
        <v>0.4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17482-2022</t>
        </is>
      </c>
      <c r="B10932" s="1" t="n">
        <v>44679.44565972222</v>
      </c>
      <c r="C10932" s="1" t="n">
        <v>46086</v>
      </c>
      <c r="D10932" t="inlineStr">
        <is>
          <t>GÄVLEBORGS LÄN</t>
        </is>
      </c>
      <c r="E10932" t="inlineStr">
        <is>
          <t>NORDANSTIG</t>
        </is>
      </c>
      <c r="F10932" t="inlineStr">
        <is>
          <t>Holmen skog AB</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31385-2023</t>
        </is>
      </c>
      <c r="B10933" s="1" t="n">
        <v>45114</v>
      </c>
      <c r="C10933" s="1" t="n">
        <v>46086</v>
      </c>
      <c r="D10933" t="inlineStr">
        <is>
          <t>GÄVLEBORGS LÄN</t>
        </is>
      </c>
      <c r="E10933" t="inlineStr">
        <is>
          <t>BOLLNÄS</t>
        </is>
      </c>
      <c r="G10933" t="n">
        <v>6.9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49855-2023</t>
        </is>
      </c>
      <c r="B10934" s="1" t="n">
        <v>45212.92893518518</v>
      </c>
      <c r="C10934" s="1" t="n">
        <v>46086</v>
      </c>
      <c r="D10934" t="inlineStr">
        <is>
          <t>GÄVLEBORGS LÄN</t>
        </is>
      </c>
      <c r="E10934" t="inlineStr">
        <is>
          <t>LJUSDAL</t>
        </is>
      </c>
      <c r="G10934" t="n">
        <v>2.7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54519-2024</t>
        </is>
      </c>
      <c r="B10935" s="1" t="n">
        <v>45617</v>
      </c>
      <c r="C10935" s="1" t="n">
        <v>46086</v>
      </c>
      <c r="D10935" t="inlineStr">
        <is>
          <t>GÄVLEBORGS LÄN</t>
        </is>
      </c>
      <c r="E10935" t="inlineStr">
        <is>
          <t>NORDANSTIG</t>
        </is>
      </c>
      <c r="F10935" t="inlineStr">
        <is>
          <t>Holmen skog AB</t>
        </is>
      </c>
      <c r="G10935" t="n">
        <v>5.8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11087-2022</t>
        </is>
      </c>
      <c r="B10936" s="1" t="n">
        <v>44628.69327546296</v>
      </c>
      <c r="C10936" s="1" t="n">
        <v>46086</v>
      </c>
      <c r="D10936" t="inlineStr">
        <is>
          <t>GÄVLEBORGS LÄN</t>
        </is>
      </c>
      <c r="E10936" t="inlineStr">
        <is>
          <t>NORDANSTIG</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29238-2023</t>
        </is>
      </c>
      <c r="B10937" s="1" t="n">
        <v>45105</v>
      </c>
      <c r="C10937" s="1" t="n">
        <v>46086</v>
      </c>
      <c r="D10937" t="inlineStr">
        <is>
          <t>GÄVLEBORGS LÄN</t>
        </is>
      </c>
      <c r="E10937" t="inlineStr">
        <is>
          <t>LJUSDAL</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44377-2024</t>
        </is>
      </c>
      <c r="B10938" s="1" t="n">
        <v>45573.66002314815</v>
      </c>
      <c r="C10938" s="1" t="n">
        <v>46086</v>
      </c>
      <c r="D10938" t="inlineStr">
        <is>
          <t>GÄVLEBORGS LÄN</t>
        </is>
      </c>
      <c r="E10938" t="inlineStr">
        <is>
          <t>NORDANSTIG</t>
        </is>
      </c>
      <c r="F10938" t="inlineStr">
        <is>
          <t>Holmen skog AB</t>
        </is>
      </c>
      <c r="G10938" t="n">
        <v>6.2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30662-2022</t>
        </is>
      </c>
      <c r="B10939" s="1" t="n">
        <v>44763</v>
      </c>
      <c r="C10939" s="1" t="n">
        <v>46086</v>
      </c>
      <c r="D10939" t="inlineStr">
        <is>
          <t>GÄVLEBORGS LÄN</t>
        </is>
      </c>
      <c r="E10939" t="inlineStr">
        <is>
          <t>GÄVLE</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46207-2024</t>
        </is>
      </c>
      <c r="B10940" s="1" t="n">
        <v>45581.54894675926</v>
      </c>
      <c r="C10940" s="1" t="n">
        <v>46086</v>
      </c>
      <c r="D10940" t="inlineStr">
        <is>
          <t>GÄVLEBORGS LÄN</t>
        </is>
      </c>
      <c r="E10940" t="inlineStr">
        <is>
          <t>HUDIKSVALL</t>
        </is>
      </c>
      <c r="F10940" t="inlineStr">
        <is>
          <t>Holmen skog AB</t>
        </is>
      </c>
      <c r="G10940" t="n">
        <v>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254-2022</t>
        </is>
      </c>
      <c r="B10941" s="1" t="n">
        <v>44564</v>
      </c>
      <c r="C10941" s="1" t="n">
        <v>46086</v>
      </c>
      <c r="D10941" t="inlineStr">
        <is>
          <t>GÄVLEBORGS LÄN</t>
        </is>
      </c>
      <c r="E10941" t="inlineStr">
        <is>
          <t>SÖDERHAMN</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28206-2024</t>
        </is>
      </c>
      <c r="B10942" s="1" t="n">
        <v>45477.34099537037</v>
      </c>
      <c r="C10942" s="1" t="n">
        <v>46086</v>
      </c>
      <c r="D10942" t="inlineStr">
        <is>
          <t>GÄVLEBORGS LÄN</t>
        </is>
      </c>
      <c r="E10942" t="inlineStr">
        <is>
          <t>SANDVIKEN</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20909-2023</t>
        </is>
      </c>
      <c r="B10943" s="1" t="n">
        <v>45060</v>
      </c>
      <c r="C10943" s="1" t="n">
        <v>46086</v>
      </c>
      <c r="D10943" t="inlineStr">
        <is>
          <t>GÄVLEBORGS LÄN</t>
        </is>
      </c>
      <c r="E10943" t="inlineStr">
        <is>
          <t>LJUSDAL</t>
        </is>
      </c>
      <c r="G10943" t="n">
        <v>5.3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11385-2023</t>
        </is>
      </c>
      <c r="B10944" s="1" t="n">
        <v>44988</v>
      </c>
      <c r="C10944" s="1" t="n">
        <v>46086</v>
      </c>
      <c r="D10944" t="inlineStr">
        <is>
          <t>GÄVLEBORGS LÄN</t>
        </is>
      </c>
      <c r="E10944" t="inlineStr">
        <is>
          <t>SANDVIKEN</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12526-2024</t>
        </is>
      </c>
      <c r="B10945" s="1" t="n">
        <v>45379.61818287037</v>
      </c>
      <c r="C10945" s="1" t="n">
        <v>46086</v>
      </c>
      <c r="D10945" t="inlineStr">
        <is>
          <t>GÄVLEBORGS LÄN</t>
        </is>
      </c>
      <c r="E10945" t="inlineStr">
        <is>
          <t>HUDIKSVALL</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45444-2021</t>
        </is>
      </c>
      <c r="B10946" s="1" t="n">
        <v>44440.43269675926</v>
      </c>
      <c r="C10946" s="1" t="n">
        <v>46086</v>
      </c>
      <c r="D10946" t="inlineStr">
        <is>
          <t>GÄVLEBORGS LÄN</t>
        </is>
      </c>
      <c r="E10946" t="inlineStr">
        <is>
          <t>LJUSDAL</t>
        </is>
      </c>
      <c r="F10946" t="inlineStr">
        <is>
          <t>Allmännings- och besparingsskogar</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60736-2023</t>
        </is>
      </c>
      <c r="B10947" s="1" t="n">
        <v>45260.55894675926</v>
      </c>
      <c r="C10947" s="1" t="n">
        <v>46086</v>
      </c>
      <c r="D10947" t="inlineStr">
        <is>
          <t>GÄVLEBORGS LÄN</t>
        </is>
      </c>
      <c r="E10947" t="inlineStr">
        <is>
          <t>HUDIKSVALL</t>
        </is>
      </c>
      <c r="F10947" t="inlineStr">
        <is>
          <t>Holmen skog AB</t>
        </is>
      </c>
      <c r="G10947" t="n">
        <v>3.1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35029-2024</t>
        </is>
      </c>
      <c r="B10948" s="1" t="n">
        <v>45527.6052662037</v>
      </c>
      <c r="C10948" s="1" t="n">
        <v>46086</v>
      </c>
      <c r="D10948" t="inlineStr">
        <is>
          <t>GÄVLEBORGS LÄN</t>
        </is>
      </c>
      <c r="E10948" t="inlineStr">
        <is>
          <t>LJUSDAL</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52006-2024</t>
        </is>
      </c>
      <c r="B10949" s="1" t="n">
        <v>45607.76726851852</v>
      </c>
      <c r="C10949" s="1" t="n">
        <v>46086</v>
      </c>
      <c r="D10949" t="inlineStr">
        <is>
          <t>GÄVLEBORGS LÄN</t>
        </is>
      </c>
      <c r="E10949" t="inlineStr">
        <is>
          <t>NORDANSTIG</t>
        </is>
      </c>
      <c r="G10949" t="n">
        <v>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52099-2024</t>
        </is>
      </c>
      <c r="B10950" s="1" t="n">
        <v>45608</v>
      </c>
      <c r="C10950" s="1" t="n">
        <v>46086</v>
      </c>
      <c r="D10950" t="inlineStr">
        <is>
          <t>GÄVLEBORGS LÄN</t>
        </is>
      </c>
      <c r="E10950" t="inlineStr">
        <is>
          <t>LJUSDAL</t>
        </is>
      </c>
      <c r="G10950" t="n">
        <v>0.2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61220-2022</t>
        </is>
      </c>
      <c r="B10951" s="1" t="n">
        <v>44915.55640046296</v>
      </c>
      <c r="C10951" s="1" t="n">
        <v>46086</v>
      </c>
      <c r="D10951" t="inlineStr">
        <is>
          <t>GÄVLEBORGS LÄN</t>
        </is>
      </c>
      <c r="E10951" t="inlineStr">
        <is>
          <t>BOLLNÄS</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61004-2024</t>
        </is>
      </c>
      <c r="B10952" s="1" t="n">
        <v>45645.44195601852</v>
      </c>
      <c r="C10952" s="1" t="n">
        <v>46086</v>
      </c>
      <c r="D10952" t="inlineStr">
        <is>
          <t>GÄVLEBORGS LÄN</t>
        </is>
      </c>
      <c r="E10952" t="inlineStr">
        <is>
          <t>GÄVLE</t>
        </is>
      </c>
      <c r="F10952" t="inlineStr">
        <is>
          <t>Bergvik skog öst AB</t>
        </is>
      </c>
      <c r="G10952" t="n">
        <v>11.6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56882-2023</t>
        </is>
      </c>
      <c r="B10953" s="1" t="n">
        <v>45244</v>
      </c>
      <c r="C10953" s="1" t="n">
        <v>46086</v>
      </c>
      <c r="D10953" t="inlineStr">
        <is>
          <t>GÄVLEBORGS LÄN</t>
        </is>
      </c>
      <c r="E10953" t="inlineStr">
        <is>
          <t>HUDIKSVALL</t>
        </is>
      </c>
      <c r="G10953" t="n">
        <v>7.7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18733-2024</t>
        </is>
      </c>
      <c r="B10954" s="1" t="n">
        <v>45426.48637731482</v>
      </c>
      <c r="C10954" s="1" t="n">
        <v>46086</v>
      </c>
      <c r="D10954" t="inlineStr">
        <is>
          <t>GÄVLEBORGS LÄN</t>
        </is>
      </c>
      <c r="E10954" t="inlineStr">
        <is>
          <t>LJUSDAL</t>
        </is>
      </c>
      <c r="F10954" t="inlineStr">
        <is>
          <t>Sveaskog</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2547-2022</t>
        </is>
      </c>
      <c r="B10955" s="1" t="n">
        <v>44579.98798611111</v>
      </c>
      <c r="C10955" s="1" t="n">
        <v>46086</v>
      </c>
      <c r="D10955" t="inlineStr">
        <is>
          <t>GÄVLEBORGS LÄN</t>
        </is>
      </c>
      <c r="E10955" t="inlineStr">
        <is>
          <t>GÄVLE</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37892-2023</t>
        </is>
      </c>
      <c r="B10956" s="1" t="n">
        <v>45160.46523148148</v>
      </c>
      <c r="C10956" s="1" t="n">
        <v>46086</v>
      </c>
      <c r="D10956" t="inlineStr">
        <is>
          <t>GÄVLEBORGS LÄN</t>
        </is>
      </c>
      <c r="E10956" t="inlineStr">
        <is>
          <t>LJUSDAL</t>
        </is>
      </c>
      <c r="F10956" t="inlineStr">
        <is>
          <t>Sveaskog</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43580-2024</t>
        </is>
      </c>
      <c r="B10957" s="1" t="n">
        <v>45569.42083333333</v>
      </c>
      <c r="C10957" s="1" t="n">
        <v>46086</v>
      </c>
      <c r="D10957" t="inlineStr">
        <is>
          <t>GÄVLEBORGS LÄN</t>
        </is>
      </c>
      <c r="E10957" t="inlineStr">
        <is>
          <t>LJUSDAL</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54976-2024</t>
        </is>
      </c>
      <c r="B10958" s="1" t="n">
        <v>45620.6840162037</v>
      </c>
      <c r="C10958" s="1" t="n">
        <v>46086</v>
      </c>
      <c r="D10958" t="inlineStr">
        <is>
          <t>GÄVLEBORGS LÄN</t>
        </is>
      </c>
      <c r="E10958" t="inlineStr">
        <is>
          <t>OCKELBO</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38670-2023</t>
        </is>
      </c>
      <c r="B10959" s="1" t="n">
        <v>45162</v>
      </c>
      <c r="C10959" s="1" t="n">
        <v>46086</v>
      </c>
      <c r="D10959" t="inlineStr">
        <is>
          <t>GÄVLEBORGS LÄN</t>
        </is>
      </c>
      <c r="E10959" t="inlineStr">
        <is>
          <t>HUDIKSVALL</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54401-2024</t>
        </is>
      </c>
      <c r="B10960" s="1" t="n">
        <v>45617.46939814815</v>
      </c>
      <c r="C10960" s="1" t="n">
        <v>46086</v>
      </c>
      <c r="D10960" t="inlineStr">
        <is>
          <t>GÄVLEBORGS LÄN</t>
        </is>
      </c>
      <c r="E10960" t="inlineStr">
        <is>
          <t>NORDANSTIG</t>
        </is>
      </c>
      <c r="F10960" t="inlineStr">
        <is>
          <t>Holmen skog AB</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44715-2022</t>
        </is>
      </c>
      <c r="B10961" s="1" t="n">
        <v>44840</v>
      </c>
      <c r="C10961" s="1" t="n">
        <v>46086</v>
      </c>
      <c r="D10961" t="inlineStr">
        <is>
          <t>GÄVLEBORGS LÄN</t>
        </is>
      </c>
      <c r="E10961" t="inlineStr">
        <is>
          <t>BOLLNÄS</t>
        </is>
      </c>
      <c r="G10961" t="n">
        <v>4.5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29592-2023</t>
        </is>
      </c>
      <c r="B10962" s="1" t="n">
        <v>45106</v>
      </c>
      <c r="C10962" s="1" t="n">
        <v>46086</v>
      </c>
      <c r="D10962" t="inlineStr">
        <is>
          <t>GÄVLEBORGS LÄN</t>
        </is>
      </c>
      <c r="E10962" t="inlineStr">
        <is>
          <t>HUDIKSVALL</t>
        </is>
      </c>
      <c r="G10962" t="n">
        <v>5.1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37352-2024</t>
        </is>
      </c>
      <c r="B10963" s="1" t="n">
        <v>45540</v>
      </c>
      <c r="C10963" s="1" t="n">
        <v>46086</v>
      </c>
      <c r="D10963" t="inlineStr">
        <is>
          <t>GÄVLEBORGS LÄN</t>
        </is>
      </c>
      <c r="E10963" t="inlineStr">
        <is>
          <t>GÄVLE</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17605-2025</t>
        </is>
      </c>
      <c r="B10964" s="1" t="n">
        <v>45757.73100694444</v>
      </c>
      <c r="C10964" s="1" t="n">
        <v>46086</v>
      </c>
      <c r="D10964" t="inlineStr">
        <is>
          <t>GÄVLEBORGS LÄN</t>
        </is>
      </c>
      <c r="E10964" t="inlineStr">
        <is>
          <t>GÄVLE</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17607-2025</t>
        </is>
      </c>
      <c r="B10965" s="1" t="n">
        <v>45757.74027777778</v>
      </c>
      <c r="C10965" s="1" t="n">
        <v>46086</v>
      </c>
      <c r="D10965" t="inlineStr">
        <is>
          <t>GÄVLEBORGS LÄN</t>
        </is>
      </c>
      <c r="E10965" t="inlineStr">
        <is>
          <t>GÄVLE</t>
        </is>
      </c>
      <c r="G10965" t="n">
        <v>7.6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17617-2025</t>
        </is>
      </c>
      <c r="B10966" s="1" t="n">
        <v>45757.82751157408</v>
      </c>
      <c r="C10966" s="1" t="n">
        <v>46086</v>
      </c>
      <c r="D10966" t="inlineStr">
        <is>
          <t>GÄVLEBORGS LÄN</t>
        </is>
      </c>
      <c r="E10966" t="inlineStr">
        <is>
          <t>OVANÅKER</t>
        </is>
      </c>
      <c r="F10966" t="inlineStr">
        <is>
          <t>Holmen skog AB</t>
        </is>
      </c>
      <c r="G10966" t="n">
        <v>6.9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5725-2024</t>
        </is>
      </c>
      <c r="B10967" s="1" t="n">
        <v>45334.92503472222</v>
      </c>
      <c r="C10967" s="1" t="n">
        <v>46086</v>
      </c>
      <c r="D10967" t="inlineStr">
        <is>
          <t>GÄVLEBORGS LÄN</t>
        </is>
      </c>
      <c r="E10967" t="inlineStr">
        <is>
          <t>HUDIKSVALL</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10042-2025</t>
        </is>
      </c>
      <c r="B10968" s="1" t="n">
        <v>45719.50333333333</v>
      </c>
      <c r="C10968" s="1" t="n">
        <v>46086</v>
      </c>
      <c r="D10968" t="inlineStr">
        <is>
          <t>GÄVLEBORGS LÄN</t>
        </is>
      </c>
      <c r="E10968" t="inlineStr">
        <is>
          <t>NORDANSTIG</t>
        </is>
      </c>
      <c r="F10968" t="inlineStr">
        <is>
          <t>Holmen skog AB</t>
        </is>
      </c>
      <c r="G10968" t="n">
        <v>6.6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40191-2023</t>
        </is>
      </c>
      <c r="B10969" s="1" t="n">
        <v>45169</v>
      </c>
      <c r="C10969" s="1" t="n">
        <v>46086</v>
      </c>
      <c r="D10969" t="inlineStr">
        <is>
          <t>GÄVLEBORGS LÄN</t>
        </is>
      </c>
      <c r="E10969" t="inlineStr">
        <is>
          <t>LJUSDAL</t>
        </is>
      </c>
      <c r="F10969" t="inlineStr">
        <is>
          <t>Sveaskog</t>
        </is>
      </c>
      <c r="G10969" t="n">
        <v>3.1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53434-2023</t>
        </is>
      </c>
      <c r="B10970" s="1" t="n">
        <v>45229</v>
      </c>
      <c r="C10970" s="1" t="n">
        <v>46086</v>
      </c>
      <c r="D10970" t="inlineStr">
        <is>
          <t>GÄVLEBORGS LÄN</t>
        </is>
      </c>
      <c r="E10970" t="inlineStr">
        <is>
          <t>HUDIKSVALL</t>
        </is>
      </c>
      <c r="G10970" t="n">
        <v>0.5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17730-2025</t>
        </is>
      </c>
      <c r="B10971" s="1" t="n">
        <v>45758.46114583333</v>
      </c>
      <c r="C10971" s="1" t="n">
        <v>46086</v>
      </c>
      <c r="D10971" t="inlineStr">
        <is>
          <t>GÄVLEBORGS LÄN</t>
        </is>
      </c>
      <c r="E10971" t="inlineStr">
        <is>
          <t>OCKELBO</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52932-2022</t>
        </is>
      </c>
      <c r="B10972" s="1" t="n">
        <v>44875.62975694444</v>
      </c>
      <c r="C10972" s="1" t="n">
        <v>46086</v>
      </c>
      <c r="D10972" t="inlineStr">
        <is>
          <t>GÄVLEBORGS LÄN</t>
        </is>
      </c>
      <c r="E10972" t="inlineStr">
        <is>
          <t>SANDVIKEN</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61010-2021</t>
        </is>
      </c>
      <c r="B10973" s="1" t="n">
        <v>44497</v>
      </c>
      <c r="C10973" s="1" t="n">
        <v>46086</v>
      </c>
      <c r="D10973" t="inlineStr">
        <is>
          <t>GÄVLEBORGS LÄN</t>
        </is>
      </c>
      <c r="E10973" t="inlineStr">
        <is>
          <t>LJUSDAL</t>
        </is>
      </c>
      <c r="F10973" t="inlineStr">
        <is>
          <t>Holmen skog AB</t>
        </is>
      </c>
      <c r="G10973" t="n">
        <v>1.9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36362-2024</t>
        </is>
      </c>
      <c r="B10974" s="1" t="n">
        <v>45534.64778935185</v>
      </c>
      <c r="C10974" s="1" t="n">
        <v>46086</v>
      </c>
      <c r="D10974" t="inlineStr">
        <is>
          <t>GÄVLEBORGS LÄN</t>
        </is>
      </c>
      <c r="E10974" t="inlineStr">
        <is>
          <t>OCKELBO</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5558-2024</t>
        </is>
      </c>
      <c r="B10975" s="1" t="n">
        <v>45334.4608912037</v>
      </c>
      <c r="C10975" s="1" t="n">
        <v>46086</v>
      </c>
      <c r="D10975" t="inlineStr">
        <is>
          <t>GÄVLEBORGS LÄN</t>
        </is>
      </c>
      <c r="E10975" t="inlineStr">
        <is>
          <t>OCKELBO</t>
        </is>
      </c>
      <c r="G10975" t="n">
        <v>4.7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12855-2024</t>
        </is>
      </c>
      <c r="B10976" s="1" t="n">
        <v>45384.92469907407</v>
      </c>
      <c r="C10976" s="1" t="n">
        <v>46086</v>
      </c>
      <c r="D10976" t="inlineStr">
        <is>
          <t>GÄVLEBORGS LÄN</t>
        </is>
      </c>
      <c r="E10976" t="inlineStr">
        <is>
          <t>LJUSDAL</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68662-2021</t>
        </is>
      </c>
      <c r="B10977" s="1" t="n">
        <v>44529</v>
      </c>
      <c r="C10977" s="1" t="n">
        <v>46086</v>
      </c>
      <c r="D10977" t="inlineStr">
        <is>
          <t>GÄVLEBORGS LÄN</t>
        </is>
      </c>
      <c r="E10977" t="inlineStr">
        <is>
          <t>HUDIKSVALL</t>
        </is>
      </c>
      <c r="F10977" t="inlineStr">
        <is>
          <t>Holmen skog AB</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12266-2025</t>
        </is>
      </c>
      <c r="B10978" s="1" t="n">
        <v>45729.63112268518</v>
      </c>
      <c r="C10978" s="1" t="n">
        <v>46086</v>
      </c>
      <c r="D10978" t="inlineStr">
        <is>
          <t>GÄVLEBORGS LÄN</t>
        </is>
      </c>
      <c r="E10978" t="inlineStr">
        <is>
          <t>NORDANSTIG</t>
        </is>
      </c>
      <c r="F10978" t="inlineStr">
        <is>
          <t>Holmen skog AB</t>
        </is>
      </c>
      <c r="G10978" t="n">
        <v>3.1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595-2025</t>
        </is>
      </c>
      <c r="B10979" s="1" t="n">
        <v>45664.58971064815</v>
      </c>
      <c r="C10979" s="1" t="n">
        <v>46086</v>
      </c>
      <c r="D10979" t="inlineStr">
        <is>
          <t>GÄVLEBORGS LÄN</t>
        </is>
      </c>
      <c r="E10979" t="inlineStr">
        <is>
          <t>BOLLNÄS</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26028-2024</t>
        </is>
      </c>
      <c r="B10980" s="1" t="n">
        <v>45467.96247685186</v>
      </c>
      <c r="C10980" s="1" t="n">
        <v>46086</v>
      </c>
      <c r="D10980" t="inlineStr">
        <is>
          <t>GÄVLEBORGS LÄN</t>
        </is>
      </c>
      <c r="E10980" t="inlineStr">
        <is>
          <t>OVANÅKER</t>
        </is>
      </c>
      <c r="G10980" t="n">
        <v>5.4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7992-2024</t>
        </is>
      </c>
      <c r="B10981" s="1" t="n">
        <v>45350.63182870371</v>
      </c>
      <c r="C10981" s="1" t="n">
        <v>46086</v>
      </c>
      <c r="D10981" t="inlineStr">
        <is>
          <t>GÄVLEBORGS LÄN</t>
        </is>
      </c>
      <c r="E10981" t="inlineStr">
        <is>
          <t>HUDIKSVALL</t>
        </is>
      </c>
      <c r="F10981" t="inlineStr">
        <is>
          <t>Holmen skog AB</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8051-2024</t>
        </is>
      </c>
      <c r="B10982" s="1" t="n">
        <v>45351</v>
      </c>
      <c r="C10982" s="1" t="n">
        <v>46086</v>
      </c>
      <c r="D10982" t="inlineStr">
        <is>
          <t>GÄVLEBORGS LÄN</t>
        </is>
      </c>
      <c r="E10982" t="inlineStr">
        <is>
          <t>HUDIKSVALL</t>
        </is>
      </c>
      <c r="F10982" t="inlineStr">
        <is>
          <t>Holmen skog AB</t>
        </is>
      </c>
      <c r="G10982" t="n">
        <v>12.9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553-2025</t>
        </is>
      </c>
      <c r="B10983" s="1" t="n">
        <v>45664</v>
      </c>
      <c r="C10983" s="1" t="n">
        <v>46086</v>
      </c>
      <c r="D10983" t="inlineStr">
        <is>
          <t>GÄVLEBORGS LÄN</t>
        </is>
      </c>
      <c r="E10983" t="inlineStr">
        <is>
          <t>HUDIKSVALL</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13137-2025</t>
        </is>
      </c>
      <c r="B10984" s="1" t="n">
        <v>45735.2934837963</v>
      </c>
      <c r="C10984" s="1" t="n">
        <v>46086</v>
      </c>
      <c r="D10984" t="inlineStr">
        <is>
          <t>GÄVLEBORGS LÄN</t>
        </is>
      </c>
      <c r="E10984" t="inlineStr">
        <is>
          <t>BOLLNÄS</t>
        </is>
      </c>
      <c r="F10984" t="inlineStr">
        <is>
          <t>Bergvik skog väst AB</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13623-2025</t>
        </is>
      </c>
      <c r="B10985" s="1" t="n">
        <v>45736.63565972223</v>
      </c>
      <c r="C10985" s="1" t="n">
        <v>46086</v>
      </c>
      <c r="D10985" t="inlineStr">
        <is>
          <t>GÄVLEBORGS LÄN</t>
        </is>
      </c>
      <c r="E10985" t="inlineStr">
        <is>
          <t>LJUSDAL</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25177-2023</t>
        </is>
      </c>
      <c r="B10986" s="1" t="n">
        <v>45086.51684027778</v>
      </c>
      <c r="C10986" s="1" t="n">
        <v>46086</v>
      </c>
      <c r="D10986" t="inlineStr">
        <is>
          <t>GÄVLEBORGS LÄN</t>
        </is>
      </c>
      <c r="E10986" t="inlineStr">
        <is>
          <t>BOLLNÄS</t>
        </is>
      </c>
      <c r="F10986" t="inlineStr">
        <is>
          <t>Sveaskog</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13505-2025</t>
        </is>
      </c>
      <c r="B10987" s="1" t="n">
        <v>45736.46898148148</v>
      </c>
      <c r="C10987" s="1" t="n">
        <v>46086</v>
      </c>
      <c r="D10987" t="inlineStr">
        <is>
          <t>GÄVLEBORGS LÄN</t>
        </is>
      </c>
      <c r="E10987" t="inlineStr">
        <is>
          <t>LJUSDAL</t>
        </is>
      </c>
      <c r="G10987" t="n">
        <v>3.5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58005-2024</t>
        </is>
      </c>
      <c r="B10988" s="1" t="n">
        <v>45631.6459837963</v>
      </c>
      <c r="C10988" s="1" t="n">
        <v>46086</v>
      </c>
      <c r="D10988" t="inlineStr">
        <is>
          <t>GÄVLEBORGS LÄN</t>
        </is>
      </c>
      <c r="E10988" t="inlineStr">
        <is>
          <t>HUDIKSVALL</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52335-2024</t>
        </is>
      </c>
      <c r="B10989" s="1" t="n">
        <v>45609</v>
      </c>
      <c r="C10989" s="1" t="n">
        <v>46086</v>
      </c>
      <c r="D10989" t="inlineStr">
        <is>
          <t>GÄVLEBORGS LÄN</t>
        </is>
      </c>
      <c r="E10989" t="inlineStr">
        <is>
          <t>OCKELBO</t>
        </is>
      </c>
      <c r="F10989" t="inlineStr">
        <is>
          <t>Bergvik skog väst AB</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15564-2024</t>
        </is>
      </c>
      <c r="B10990" s="1" t="n">
        <v>45401.65928240741</v>
      </c>
      <c r="C10990" s="1" t="n">
        <v>46086</v>
      </c>
      <c r="D10990" t="inlineStr">
        <is>
          <t>GÄVLEBORGS LÄN</t>
        </is>
      </c>
      <c r="E10990" t="inlineStr">
        <is>
          <t>OVANÅKER</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11842-2024</t>
        </is>
      </c>
      <c r="B10991" s="1" t="n">
        <v>45376.3809837963</v>
      </c>
      <c r="C10991" s="1" t="n">
        <v>46086</v>
      </c>
      <c r="D10991" t="inlineStr">
        <is>
          <t>GÄVLEBORGS LÄN</t>
        </is>
      </c>
      <c r="E10991" t="inlineStr">
        <is>
          <t>HUDIKSVALL</t>
        </is>
      </c>
      <c r="G10991" t="n">
        <v>5.1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26728-2022</t>
        </is>
      </c>
      <c r="B10992" s="1" t="n">
        <v>44739.92518518519</v>
      </c>
      <c r="C10992" s="1" t="n">
        <v>46086</v>
      </c>
      <c r="D10992" t="inlineStr">
        <is>
          <t>GÄVLEBORGS LÄN</t>
        </is>
      </c>
      <c r="E10992" t="inlineStr">
        <is>
          <t>NORDANSTIG</t>
        </is>
      </c>
      <c r="G10992" t="n">
        <v>6.5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6073-2024</t>
        </is>
      </c>
      <c r="B10993" s="1" t="n">
        <v>45336</v>
      </c>
      <c r="C10993" s="1" t="n">
        <v>46086</v>
      </c>
      <c r="D10993" t="inlineStr">
        <is>
          <t>GÄVLEBORGS LÄN</t>
        </is>
      </c>
      <c r="E10993" t="inlineStr">
        <is>
          <t>LJUSDAL</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10591-2022</t>
        </is>
      </c>
      <c r="B10994" s="1" t="n">
        <v>44624.40858796296</v>
      </c>
      <c r="C10994" s="1" t="n">
        <v>46086</v>
      </c>
      <c r="D10994" t="inlineStr">
        <is>
          <t>GÄVLEBORGS LÄN</t>
        </is>
      </c>
      <c r="E10994" t="inlineStr">
        <is>
          <t>LJUSDAL</t>
        </is>
      </c>
      <c r="G10994" t="n">
        <v>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2724-2025</t>
        </is>
      </c>
      <c r="B10995" s="1" t="n">
        <v>45677.43975694444</v>
      </c>
      <c r="C10995" s="1" t="n">
        <v>46086</v>
      </c>
      <c r="D10995" t="inlineStr">
        <is>
          <t>GÄVLEBORGS LÄN</t>
        </is>
      </c>
      <c r="E10995" t="inlineStr">
        <is>
          <t>SÖDERHAMN</t>
        </is>
      </c>
      <c r="G10995" t="n">
        <v>6.6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56487-2023</t>
        </is>
      </c>
      <c r="B10996" s="1" t="n">
        <v>45243</v>
      </c>
      <c r="C10996" s="1" t="n">
        <v>46086</v>
      </c>
      <c r="D10996" t="inlineStr">
        <is>
          <t>GÄVLEBORGS LÄN</t>
        </is>
      </c>
      <c r="E10996" t="inlineStr">
        <is>
          <t>GÄVLE</t>
        </is>
      </c>
      <c r="G10996" t="n">
        <v>8.699999999999999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56500-2023</t>
        </is>
      </c>
      <c r="B10997" s="1" t="n">
        <v>45243</v>
      </c>
      <c r="C10997" s="1" t="n">
        <v>46086</v>
      </c>
      <c r="D10997" t="inlineStr">
        <is>
          <t>GÄVLEBORGS LÄN</t>
        </is>
      </c>
      <c r="E10997" t="inlineStr">
        <is>
          <t>SÖDERHAMN</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44500-2024</t>
        </is>
      </c>
      <c r="B10998" s="1" t="n">
        <v>45574.39741898148</v>
      </c>
      <c r="C10998" s="1" t="n">
        <v>46086</v>
      </c>
      <c r="D10998" t="inlineStr">
        <is>
          <t>GÄVLEBORGS LÄN</t>
        </is>
      </c>
      <c r="E10998" t="inlineStr">
        <is>
          <t>NORDANSTIG</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9307-2022</t>
        </is>
      </c>
      <c r="B10999" s="1" t="n">
        <v>44616.49033564814</v>
      </c>
      <c r="C10999" s="1" t="n">
        <v>46086</v>
      </c>
      <c r="D10999" t="inlineStr">
        <is>
          <t>GÄVLEBORGS LÄN</t>
        </is>
      </c>
      <c r="E10999" t="inlineStr">
        <is>
          <t>GÄVLE</t>
        </is>
      </c>
      <c r="G10999" t="n">
        <v>4.8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60777-2024</t>
        </is>
      </c>
      <c r="B11000" s="1" t="n">
        <v>45644.58909722222</v>
      </c>
      <c r="C11000" s="1" t="n">
        <v>46086</v>
      </c>
      <c r="D11000" t="inlineStr">
        <is>
          <t>GÄVLEBORGS LÄN</t>
        </is>
      </c>
      <c r="E11000" t="inlineStr">
        <is>
          <t>HUDIKSVALL</t>
        </is>
      </c>
      <c r="G11000" t="n">
        <v>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41074-2023</t>
        </is>
      </c>
      <c r="B11001" s="1" t="n">
        <v>45173</v>
      </c>
      <c r="C11001" s="1" t="n">
        <v>46086</v>
      </c>
      <c r="D11001" t="inlineStr">
        <is>
          <t>GÄVLEBORGS LÄN</t>
        </is>
      </c>
      <c r="E11001" t="inlineStr">
        <is>
          <t>NORDANSTIG</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63862-2023</t>
        </is>
      </c>
      <c r="B11002" s="1" t="n">
        <v>45278.49693287037</v>
      </c>
      <c r="C11002" s="1" t="n">
        <v>46086</v>
      </c>
      <c r="D11002" t="inlineStr">
        <is>
          <t>GÄVLEBORGS LÄN</t>
        </is>
      </c>
      <c r="E11002" t="inlineStr">
        <is>
          <t>BOLLNÄS</t>
        </is>
      </c>
      <c r="G11002" t="n">
        <v>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15966-2023</t>
        </is>
      </c>
      <c r="B11003" s="1" t="n">
        <v>45022.66271990741</v>
      </c>
      <c r="C11003" s="1" t="n">
        <v>46086</v>
      </c>
      <c r="D11003" t="inlineStr">
        <is>
          <t>GÄVLEBORGS LÄN</t>
        </is>
      </c>
      <c r="E11003" t="inlineStr">
        <is>
          <t>OCKELBO</t>
        </is>
      </c>
      <c r="G11003" t="n">
        <v>2.7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34444-2023</t>
        </is>
      </c>
      <c r="B11004" s="1" t="n">
        <v>45139.6669212963</v>
      </c>
      <c r="C11004" s="1" t="n">
        <v>46086</v>
      </c>
      <c r="D11004" t="inlineStr">
        <is>
          <t>GÄVLEBORGS LÄN</t>
        </is>
      </c>
      <c r="E11004" t="inlineStr">
        <is>
          <t>OCKELBO</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22976-2024</t>
        </is>
      </c>
      <c r="B11005" s="1" t="n">
        <v>45449.8512962963</v>
      </c>
      <c r="C11005" s="1" t="n">
        <v>46086</v>
      </c>
      <c r="D11005" t="inlineStr">
        <is>
          <t>GÄVLEBORGS LÄN</t>
        </is>
      </c>
      <c r="E11005" t="inlineStr">
        <is>
          <t>HUDIKSVALL</t>
        </is>
      </c>
      <c r="F11005" t="inlineStr">
        <is>
          <t>Holmen skog AB</t>
        </is>
      </c>
      <c r="G11005" t="n">
        <v>5.9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24161-2021</t>
        </is>
      </c>
      <c r="B11006" s="1" t="n">
        <v>44336.60329861111</v>
      </c>
      <c r="C11006" s="1" t="n">
        <v>46086</v>
      </c>
      <c r="D11006" t="inlineStr">
        <is>
          <t>GÄVLEBORGS LÄN</t>
        </is>
      </c>
      <c r="E11006" t="inlineStr">
        <is>
          <t>SÖDERHAMN</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53213-2022</t>
        </is>
      </c>
      <c r="B11007" s="1" t="n">
        <v>44876.60974537037</v>
      </c>
      <c r="C11007" s="1" t="n">
        <v>46086</v>
      </c>
      <c r="D11007" t="inlineStr">
        <is>
          <t>GÄVLEBORGS LÄN</t>
        </is>
      </c>
      <c r="E11007" t="inlineStr">
        <is>
          <t>OVANÅKER</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30721-2023</t>
        </is>
      </c>
      <c r="B11008" s="1" t="n">
        <v>45112</v>
      </c>
      <c r="C11008" s="1" t="n">
        <v>46086</v>
      </c>
      <c r="D11008" t="inlineStr">
        <is>
          <t>GÄVLEBORGS LÄN</t>
        </is>
      </c>
      <c r="E11008" t="inlineStr">
        <is>
          <t>SANDVIKEN</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60675-2024</t>
        </is>
      </c>
      <c r="B11009" s="1" t="n">
        <v>45644.45839120371</v>
      </c>
      <c r="C11009" s="1" t="n">
        <v>46086</v>
      </c>
      <c r="D11009" t="inlineStr">
        <is>
          <t>GÄVLEBORGS LÄN</t>
        </is>
      </c>
      <c r="E11009" t="inlineStr">
        <is>
          <t>NORDANSTIG</t>
        </is>
      </c>
      <c r="F11009" t="inlineStr">
        <is>
          <t>Holmen skog AB</t>
        </is>
      </c>
      <c r="G11009" t="n">
        <v>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50336-2023</t>
        </is>
      </c>
      <c r="B11010" s="1" t="n">
        <v>45216.56440972222</v>
      </c>
      <c r="C11010" s="1" t="n">
        <v>46086</v>
      </c>
      <c r="D11010" t="inlineStr">
        <is>
          <t>GÄVLEBORGS LÄN</t>
        </is>
      </c>
      <c r="E11010" t="inlineStr">
        <is>
          <t>NORDANSTIG</t>
        </is>
      </c>
      <c r="F11010" t="inlineStr">
        <is>
          <t>Holmen skog AB</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50385-2023</t>
        </is>
      </c>
      <c r="B11011" s="1" t="n">
        <v>45216.62857638889</v>
      </c>
      <c r="C11011" s="1" t="n">
        <v>46086</v>
      </c>
      <c r="D11011" t="inlineStr">
        <is>
          <t>GÄVLEBORGS LÄN</t>
        </is>
      </c>
      <c r="E11011" t="inlineStr">
        <is>
          <t>LJUSDAL</t>
        </is>
      </c>
      <c r="G11011" t="n">
        <v>4.3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13193-2025</t>
        </is>
      </c>
      <c r="B11012" s="1" t="n">
        <v>45735.41233796296</v>
      </c>
      <c r="C11012" s="1" t="n">
        <v>46086</v>
      </c>
      <c r="D11012" t="inlineStr">
        <is>
          <t>GÄVLEBORGS LÄN</t>
        </is>
      </c>
      <c r="E11012" t="inlineStr">
        <is>
          <t>GÄVLE</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33968-2024</t>
        </is>
      </c>
      <c r="B11013" s="1" t="n">
        <v>45523.49373842592</v>
      </c>
      <c r="C11013" s="1" t="n">
        <v>46086</v>
      </c>
      <c r="D11013" t="inlineStr">
        <is>
          <t>GÄVLEBORGS LÄN</t>
        </is>
      </c>
      <c r="E11013" t="inlineStr">
        <is>
          <t>HUDIKSVALL</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3324-2024</t>
        </is>
      </c>
      <c r="B11014" s="1" t="n">
        <v>45317.53914351852</v>
      </c>
      <c r="C11014" s="1" t="n">
        <v>46086</v>
      </c>
      <c r="D11014" t="inlineStr">
        <is>
          <t>GÄVLEBORGS LÄN</t>
        </is>
      </c>
      <c r="E11014" t="inlineStr">
        <is>
          <t>OVANÅKER</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31866-2023</t>
        </is>
      </c>
      <c r="B11015" s="1" t="n">
        <v>45106</v>
      </c>
      <c r="C11015" s="1" t="n">
        <v>46086</v>
      </c>
      <c r="D11015" t="inlineStr">
        <is>
          <t>GÄVLEBORGS LÄN</t>
        </is>
      </c>
      <c r="E11015" t="inlineStr">
        <is>
          <t>GÄVLE</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1802-2023</t>
        </is>
      </c>
      <c r="B11016" s="1" t="n">
        <v>44938.64047453704</v>
      </c>
      <c r="C11016" s="1" t="n">
        <v>46086</v>
      </c>
      <c r="D11016" t="inlineStr">
        <is>
          <t>GÄVLEBORGS LÄN</t>
        </is>
      </c>
      <c r="E11016" t="inlineStr">
        <is>
          <t>NORDANSTIG</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34946-2022</t>
        </is>
      </c>
      <c r="B11017" s="1" t="n">
        <v>44796</v>
      </c>
      <c r="C11017" s="1" t="n">
        <v>46086</v>
      </c>
      <c r="D11017" t="inlineStr">
        <is>
          <t>GÄVLEBORGS LÄN</t>
        </is>
      </c>
      <c r="E11017" t="inlineStr">
        <is>
          <t>SANDVIKEN</t>
        </is>
      </c>
      <c r="F11017" t="inlineStr">
        <is>
          <t>Bergvik skog öst AB</t>
        </is>
      </c>
      <c r="G11017" t="n">
        <v>1.8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35465-2024</t>
        </is>
      </c>
      <c r="B11018" s="1" t="n">
        <v>45531.46347222223</v>
      </c>
      <c r="C11018" s="1" t="n">
        <v>46086</v>
      </c>
      <c r="D11018" t="inlineStr">
        <is>
          <t>GÄVLEBORGS LÄN</t>
        </is>
      </c>
      <c r="E11018" t="inlineStr">
        <is>
          <t>LJUSDAL</t>
        </is>
      </c>
      <c r="G11018" t="n">
        <v>3.1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61579-2024</t>
        </is>
      </c>
      <c r="B11019" s="1" t="n">
        <v>45646.62292824074</v>
      </c>
      <c r="C11019" s="1" t="n">
        <v>46086</v>
      </c>
      <c r="D11019" t="inlineStr">
        <is>
          <t>GÄVLEBORGS LÄN</t>
        </is>
      </c>
      <c r="E11019" t="inlineStr">
        <is>
          <t>HUDIKSVALL</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17372-2025</t>
        </is>
      </c>
      <c r="B11020" s="1" t="n">
        <v>45756.8629050926</v>
      </c>
      <c r="C11020" s="1" t="n">
        <v>46086</v>
      </c>
      <c r="D11020" t="inlineStr">
        <is>
          <t>GÄVLEBORGS LÄN</t>
        </is>
      </c>
      <c r="E11020" t="inlineStr">
        <is>
          <t>LJUSDAL</t>
        </is>
      </c>
      <c r="F11020" t="inlineStr">
        <is>
          <t>Bergvik skog väst AB</t>
        </is>
      </c>
      <c r="G11020" t="n">
        <v>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17965-2025</t>
        </is>
      </c>
      <c r="B11021" s="1" t="n">
        <v>45761.34359953704</v>
      </c>
      <c r="C11021" s="1" t="n">
        <v>46086</v>
      </c>
      <c r="D11021" t="inlineStr">
        <is>
          <t>GÄVLEBORGS LÄN</t>
        </is>
      </c>
      <c r="E11021" t="inlineStr">
        <is>
          <t>OVANÅKER</t>
        </is>
      </c>
      <c r="F11021" t="inlineStr">
        <is>
          <t>Bergvik skog öst AB</t>
        </is>
      </c>
      <c r="G11021" t="n">
        <v>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43893-2023</t>
        </is>
      </c>
      <c r="B11022" s="1" t="n">
        <v>45187.66037037037</v>
      </c>
      <c r="C11022" s="1" t="n">
        <v>46086</v>
      </c>
      <c r="D11022" t="inlineStr">
        <is>
          <t>GÄVLEBORGS LÄN</t>
        </is>
      </c>
      <c r="E11022" t="inlineStr">
        <is>
          <t>NORDANSTIG</t>
        </is>
      </c>
      <c r="G11022" t="n">
        <v>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45700-2024</t>
        </is>
      </c>
      <c r="B11023" s="1" t="n">
        <v>45579.56584490741</v>
      </c>
      <c r="C11023" s="1" t="n">
        <v>46086</v>
      </c>
      <c r="D11023" t="inlineStr">
        <is>
          <t>GÄVLEBORGS LÄN</t>
        </is>
      </c>
      <c r="E11023" t="inlineStr">
        <is>
          <t>HUDIKSVALL</t>
        </is>
      </c>
      <c r="F11023" t="inlineStr">
        <is>
          <t>Holmen skog AB</t>
        </is>
      </c>
      <c r="G11023" t="n">
        <v>4.1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14807-2023</t>
        </is>
      </c>
      <c r="B11024" s="1" t="n">
        <v>45014.63493055556</v>
      </c>
      <c r="C11024" s="1" t="n">
        <v>46086</v>
      </c>
      <c r="D11024" t="inlineStr">
        <is>
          <t>GÄVLEBORGS LÄN</t>
        </is>
      </c>
      <c r="E11024" t="inlineStr">
        <is>
          <t>GÄVLE</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10243-2025</t>
        </is>
      </c>
      <c r="B11025" s="1" t="n">
        <v>45720.3500462963</v>
      </c>
      <c r="C11025" s="1" t="n">
        <v>46086</v>
      </c>
      <c r="D11025" t="inlineStr">
        <is>
          <t>GÄVLEBORGS LÄN</t>
        </is>
      </c>
      <c r="E11025" t="inlineStr">
        <is>
          <t>BOLLNÄS</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18195-2023</t>
        </is>
      </c>
      <c r="B11026" s="1" t="n">
        <v>45041.3624537037</v>
      </c>
      <c r="C11026" s="1" t="n">
        <v>46086</v>
      </c>
      <c r="D11026" t="inlineStr">
        <is>
          <t>GÄVLEBORGS LÄN</t>
        </is>
      </c>
      <c r="E11026" t="inlineStr">
        <is>
          <t>SÖDERHAMN</t>
        </is>
      </c>
      <c r="F11026" t="inlineStr">
        <is>
          <t>Bergvik skog väst AB</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31723-2023</t>
        </is>
      </c>
      <c r="B11027" s="1" t="n">
        <v>45117.91378472222</v>
      </c>
      <c r="C11027" s="1" t="n">
        <v>46086</v>
      </c>
      <c r="D11027" t="inlineStr">
        <is>
          <t>GÄVLEBORGS LÄN</t>
        </is>
      </c>
      <c r="E11027" t="inlineStr">
        <is>
          <t>OVANÅKER</t>
        </is>
      </c>
      <c r="G11027" t="n">
        <v>5.5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33120-2024</t>
        </is>
      </c>
      <c r="B11028" s="1" t="n">
        <v>45517</v>
      </c>
      <c r="C11028" s="1" t="n">
        <v>46086</v>
      </c>
      <c r="D11028" t="inlineStr">
        <is>
          <t>GÄVLEBORGS LÄN</t>
        </is>
      </c>
      <c r="E11028" t="inlineStr">
        <is>
          <t>LJUSDAL</t>
        </is>
      </c>
      <c r="F11028" t="inlineStr">
        <is>
          <t>SCA</t>
        </is>
      </c>
      <c r="G11028" t="n">
        <v>0.4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33131-2024</t>
        </is>
      </c>
      <c r="B11029" s="1" t="n">
        <v>45518.30189814815</v>
      </c>
      <c r="C11029" s="1" t="n">
        <v>46086</v>
      </c>
      <c r="D11029" t="inlineStr">
        <is>
          <t>GÄVLEBORGS LÄN</t>
        </is>
      </c>
      <c r="E11029" t="inlineStr">
        <is>
          <t>LJUSDAL</t>
        </is>
      </c>
      <c r="G11029" t="n">
        <v>3.5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62206-2023</t>
        </is>
      </c>
      <c r="B11030" s="1" t="n">
        <v>45267.48489583333</v>
      </c>
      <c r="C11030" s="1" t="n">
        <v>46086</v>
      </c>
      <c r="D11030" t="inlineStr">
        <is>
          <t>GÄVLEBORGS LÄN</t>
        </is>
      </c>
      <c r="E11030" t="inlineStr">
        <is>
          <t>SÖDERHAMN</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38200-2024</t>
        </is>
      </c>
      <c r="B11031" s="1" t="n">
        <v>45545</v>
      </c>
      <c r="C11031" s="1" t="n">
        <v>46086</v>
      </c>
      <c r="D11031" t="inlineStr">
        <is>
          <t>GÄVLEBORGS LÄN</t>
        </is>
      </c>
      <c r="E11031" t="inlineStr">
        <is>
          <t>SANDVIKEN</t>
        </is>
      </c>
      <c r="F11031" t="inlineStr">
        <is>
          <t>Sveaskog</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30695-2024</t>
        </is>
      </c>
      <c r="B11032" s="1" t="n">
        <v>45496.33076388889</v>
      </c>
      <c r="C11032" s="1" t="n">
        <v>46086</v>
      </c>
      <c r="D11032" t="inlineStr">
        <is>
          <t>GÄVLEBORGS LÄN</t>
        </is>
      </c>
      <c r="E11032" t="inlineStr">
        <is>
          <t>OVANÅKER</t>
        </is>
      </c>
      <c r="F11032" t="inlineStr">
        <is>
          <t>Bergvik skog väst AB</t>
        </is>
      </c>
      <c r="G11032" t="n">
        <v>8.1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55070-2023</t>
        </is>
      </c>
      <c r="B11033" s="1" t="n">
        <v>45237</v>
      </c>
      <c r="C11033" s="1" t="n">
        <v>46086</v>
      </c>
      <c r="D11033" t="inlineStr">
        <is>
          <t>GÄVLEBORGS LÄN</t>
        </is>
      </c>
      <c r="E11033" t="inlineStr">
        <is>
          <t>OCKELBO</t>
        </is>
      </c>
      <c r="G11033" t="n">
        <v>3.2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6194-2025</t>
        </is>
      </c>
      <c r="B11034" s="1" t="n">
        <v>45698.46994212963</v>
      </c>
      <c r="C11034" s="1" t="n">
        <v>46086</v>
      </c>
      <c r="D11034" t="inlineStr">
        <is>
          <t>GÄVLEBORGS LÄN</t>
        </is>
      </c>
      <c r="E11034" t="inlineStr">
        <is>
          <t>OCKELBO</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7296-2025</t>
        </is>
      </c>
      <c r="B11035" s="1" t="n">
        <v>45702.64880787037</v>
      </c>
      <c r="C11035" s="1" t="n">
        <v>46086</v>
      </c>
      <c r="D11035" t="inlineStr">
        <is>
          <t>GÄVLEBORGS LÄN</t>
        </is>
      </c>
      <c r="E11035" t="inlineStr">
        <is>
          <t>GÄVLE</t>
        </is>
      </c>
      <c r="F11035" t="inlineStr">
        <is>
          <t>Bergvik skog öst AB</t>
        </is>
      </c>
      <c r="G11035" t="n">
        <v>3.5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67049-2021</t>
        </is>
      </c>
      <c r="B11036" s="1" t="n">
        <v>44522.74202546296</v>
      </c>
      <c r="C11036" s="1" t="n">
        <v>46086</v>
      </c>
      <c r="D11036" t="inlineStr">
        <is>
          <t>GÄVLEBORGS LÄN</t>
        </is>
      </c>
      <c r="E11036" t="inlineStr">
        <is>
          <t>HUDIKSVALL</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67082-2021</t>
        </is>
      </c>
      <c r="B11037" s="1" t="n">
        <v>44522</v>
      </c>
      <c r="C11037" s="1" t="n">
        <v>46086</v>
      </c>
      <c r="D11037" t="inlineStr">
        <is>
          <t>GÄVLEBORGS LÄN</t>
        </is>
      </c>
      <c r="E11037" t="inlineStr">
        <is>
          <t>HUDIKSVALL</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57886-2024</t>
        </is>
      </c>
      <c r="B11038" s="1" t="n">
        <v>45631.46252314815</v>
      </c>
      <c r="C11038" s="1" t="n">
        <v>46086</v>
      </c>
      <c r="D11038" t="inlineStr">
        <is>
          <t>GÄVLEBORGS LÄN</t>
        </is>
      </c>
      <c r="E11038" t="inlineStr">
        <is>
          <t>LJUSDAL</t>
        </is>
      </c>
      <c r="G11038" t="n">
        <v>2.9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33880-2022</t>
        </is>
      </c>
      <c r="B11039" s="1" t="n">
        <v>44790.59284722222</v>
      </c>
      <c r="C11039" s="1" t="n">
        <v>46086</v>
      </c>
      <c r="D11039" t="inlineStr">
        <is>
          <t>GÄVLEBORGS LÄN</t>
        </is>
      </c>
      <c r="E11039" t="inlineStr">
        <is>
          <t>GÄVLE</t>
        </is>
      </c>
      <c r="G11039" t="n">
        <v>9.4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43299-2023</t>
        </is>
      </c>
      <c r="B11040" s="1" t="n">
        <v>45183.58574074074</v>
      </c>
      <c r="C11040" s="1" t="n">
        <v>46086</v>
      </c>
      <c r="D11040" t="inlineStr">
        <is>
          <t>GÄVLEBORGS LÄN</t>
        </is>
      </c>
      <c r="E11040" t="inlineStr">
        <is>
          <t>OVANÅKER</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21153-2023</t>
        </is>
      </c>
      <c r="B11041" s="1" t="n">
        <v>45062.40555555555</v>
      </c>
      <c r="C11041" s="1" t="n">
        <v>46086</v>
      </c>
      <c r="D11041" t="inlineStr">
        <is>
          <t>GÄVLEBORGS LÄN</t>
        </is>
      </c>
      <c r="E11041" t="inlineStr">
        <is>
          <t>NORDANSTIG</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24092-2023</t>
        </is>
      </c>
      <c r="B11042" s="1" t="n">
        <v>45079.42591435185</v>
      </c>
      <c r="C11042" s="1" t="n">
        <v>46086</v>
      </c>
      <c r="D11042" t="inlineStr">
        <is>
          <t>GÄVLEBORGS LÄN</t>
        </is>
      </c>
      <c r="E11042" t="inlineStr">
        <is>
          <t>HUDIKSVALL</t>
        </is>
      </c>
      <c r="F11042" t="inlineStr">
        <is>
          <t>Holmen skog AB</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37249-2021</t>
        </is>
      </c>
      <c r="B11043" s="1" t="n">
        <v>44397</v>
      </c>
      <c r="C11043" s="1" t="n">
        <v>46086</v>
      </c>
      <c r="D11043" t="inlineStr">
        <is>
          <t>GÄVLEBORGS LÄN</t>
        </is>
      </c>
      <c r="E11043" t="inlineStr">
        <is>
          <t>LJUSDAL</t>
        </is>
      </c>
      <c r="F11043" t="inlineStr">
        <is>
          <t>Sveaskog</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11734-2025</t>
        </is>
      </c>
      <c r="B11044" s="1" t="n">
        <v>45727.61972222223</v>
      </c>
      <c r="C11044" s="1" t="n">
        <v>46086</v>
      </c>
      <c r="D11044" t="inlineStr">
        <is>
          <t>GÄVLEBORGS LÄN</t>
        </is>
      </c>
      <c r="E11044" t="inlineStr">
        <is>
          <t>OCKELBO</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62216-2023</t>
        </is>
      </c>
      <c r="B11045" s="1" t="n">
        <v>45267</v>
      </c>
      <c r="C11045" s="1" t="n">
        <v>46086</v>
      </c>
      <c r="D11045" t="inlineStr">
        <is>
          <t>GÄVLEBORGS LÄN</t>
        </is>
      </c>
      <c r="E11045" t="inlineStr">
        <is>
          <t>GÄVLE</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6370-2025</t>
        </is>
      </c>
      <c r="B11046" s="1" t="n">
        <v>45699.39001157408</v>
      </c>
      <c r="C11046" s="1" t="n">
        <v>46086</v>
      </c>
      <c r="D11046" t="inlineStr">
        <is>
          <t>GÄVLEBORGS LÄN</t>
        </is>
      </c>
      <c r="E11046" t="inlineStr">
        <is>
          <t>GÄVLE</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16594-2024</t>
        </is>
      </c>
      <c r="B11047" s="1" t="n">
        <v>45408.51733796296</v>
      </c>
      <c r="C11047" s="1" t="n">
        <v>46086</v>
      </c>
      <c r="D11047" t="inlineStr">
        <is>
          <t>GÄVLEBORGS LÄN</t>
        </is>
      </c>
      <c r="E11047" t="inlineStr">
        <is>
          <t>HUDIKSVALL</t>
        </is>
      </c>
      <c r="G11047" t="n">
        <v>11.8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23023-2022</t>
        </is>
      </c>
      <c r="B11048" s="1" t="n">
        <v>44719.38415509259</v>
      </c>
      <c r="C11048" s="1" t="n">
        <v>46086</v>
      </c>
      <c r="D11048" t="inlineStr">
        <is>
          <t>GÄVLEBORGS LÄN</t>
        </is>
      </c>
      <c r="E11048" t="inlineStr">
        <is>
          <t>OVANÅKER</t>
        </is>
      </c>
      <c r="G11048" t="n">
        <v>6.1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49954-2024</t>
        </is>
      </c>
      <c r="B11049" s="1" t="n">
        <v>45597.61638888889</v>
      </c>
      <c r="C11049" s="1" t="n">
        <v>46086</v>
      </c>
      <c r="D11049" t="inlineStr">
        <is>
          <t>GÄVLEBORGS LÄN</t>
        </is>
      </c>
      <c r="E11049" t="inlineStr">
        <is>
          <t>SÖDERHAMN</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49961-2024</t>
        </is>
      </c>
      <c r="B11050" s="1" t="n">
        <v>45597.62934027778</v>
      </c>
      <c r="C11050" s="1" t="n">
        <v>46086</v>
      </c>
      <c r="D11050" t="inlineStr">
        <is>
          <t>GÄVLEBORGS LÄN</t>
        </is>
      </c>
      <c r="E11050" t="inlineStr">
        <is>
          <t>SÖDERHAMN</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69613-2021</t>
        </is>
      </c>
      <c r="B11051" s="1" t="n">
        <v>44532</v>
      </c>
      <c r="C11051" s="1" t="n">
        <v>46086</v>
      </c>
      <c r="D11051" t="inlineStr">
        <is>
          <t>GÄVLEBORGS LÄN</t>
        </is>
      </c>
      <c r="E11051" t="inlineStr">
        <is>
          <t>BOLLNÄS</t>
        </is>
      </c>
      <c r="F11051" t="inlineStr">
        <is>
          <t>Bergvik skog väst AB</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50968-2024</t>
        </is>
      </c>
      <c r="B11052" s="1" t="n">
        <v>45603.33167824074</v>
      </c>
      <c r="C11052" s="1" t="n">
        <v>46086</v>
      </c>
      <c r="D11052" t="inlineStr">
        <is>
          <t>GÄVLEBORGS LÄN</t>
        </is>
      </c>
      <c r="E11052" t="inlineStr">
        <is>
          <t>OCKELBO</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58716-2023</t>
        </is>
      </c>
      <c r="B11053" s="1" t="n">
        <v>45251</v>
      </c>
      <c r="C11053" s="1" t="n">
        <v>46086</v>
      </c>
      <c r="D11053" t="inlineStr">
        <is>
          <t>GÄVLEBORGS LÄN</t>
        </is>
      </c>
      <c r="E11053" t="inlineStr">
        <is>
          <t>BOLLNÄS</t>
        </is>
      </c>
      <c r="G11053" t="n">
        <v>3.1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51003-2024</t>
        </is>
      </c>
      <c r="B11054" s="1" t="n">
        <v>45603</v>
      </c>
      <c r="C11054" s="1" t="n">
        <v>46086</v>
      </c>
      <c r="D11054" t="inlineStr">
        <is>
          <t>GÄVLEBORGS LÄN</t>
        </is>
      </c>
      <c r="E11054" t="inlineStr">
        <is>
          <t>OVANÅKER</t>
        </is>
      </c>
      <c r="G11054" t="n">
        <v>14.3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69007-2021</t>
        </is>
      </c>
      <c r="B11055" s="1" t="n">
        <v>44530.59005787037</v>
      </c>
      <c r="C11055" s="1" t="n">
        <v>46086</v>
      </c>
      <c r="D11055" t="inlineStr">
        <is>
          <t>GÄVLEBORGS LÄN</t>
        </is>
      </c>
      <c r="E11055" t="inlineStr">
        <is>
          <t>OVANÅKER</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22238-2023</t>
        </is>
      </c>
      <c r="B11056" s="1" t="n">
        <v>45070.28346064815</v>
      </c>
      <c r="C11056" s="1" t="n">
        <v>46086</v>
      </c>
      <c r="D11056" t="inlineStr">
        <is>
          <t>GÄVLEBORGS LÄN</t>
        </is>
      </c>
      <c r="E11056" t="inlineStr">
        <is>
          <t>SANDVIKEN</t>
        </is>
      </c>
      <c r="G11056" t="n">
        <v>2.1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3976-2023</t>
        </is>
      </c>
      <c r="B11057" s="1" t="n">
        <v>44952</v>
      </c>
      <c r="C11057" s="1" t="n">
        <v>46086</v>
      </c>
      <c r="D11057" t="inlineStr">
        <is>
          <t>GÄVLEBORGS LÄN</t>
        </is>
      </c>
      <c r="E11057" t="inlineStr">
        <is>
          <t>BOLLNÄS</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4001-2023</t>
        </is>
      </c>
      <c r="B11058" s="1" t="n">
        <v>44952.50115740741</v>
      </c>
      <c r="C11058" s="1" t="n">
        <v>46086</v>
      </c>
      <c r="D11058" t="inlineStr">
        <is>
          <t>GÄVLEBORGS LÄN</t>
        </is>
      </c>
      <c r="E11058" t="inlineStr">
        <is>
          <t>NORDANSTIG</t>
        </is>
      </c>
      <c r="F11058" t="inlineStr">
        <is>
          <t>Holmen skog AB</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4024-2023</t>
        </is>
      </c>
      <c r="B11059" s="1" t="n">
        <v>44952.55783564815</v>
      </c>
      <c r="C11059" s="1" t="n">
        <v>46086</v>
      </c>
      <c r="D11059" t="inlineStr">
        <is>
          <t>GÄVLEBORGS LÄN</t>
        </is>
      </c>
      <c r="E11059" t="inlineStr">
        <is>
          <t>NORDANSTIG</t>
        </is>
      </c>
      <c r="F11059" t="inlineStr">
        <is>
          <t>Holmen skog AB</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4582-2024</t>
        </is>
      </c>
      <c r="B11060" s="1" t="n">
        <v>45327</v>
      </c>
      <c r="C11060" s="1" t="n">
        <v>46086</v>
      </c>
      <c r="D11060" t="inlineStr">
        <is>
          <t>GÄVLEBORGS LÄN</t>
        </is>
      </c>
      <c r="E11060" t="inlineStr">
        <is>
          <t>LJUSDAL</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50066-2023</t>
        </is>
      </c>
      <c r="B11061" s="1" t="n">
        <v>45215</v>
      </c>
      <c r="C11061" s="1" t="n">
        <v>46086</v>
      </c>
      <c r="D11061" t="inlineStr">
        <is>
          <t>GÄVLEBORGS LÄN</t>
        </is>
      </c>
      <c r="E11061" t="inlineStr">
        <is>
          <t>SÖDERHAMN</t>
        </is>
      </c>
      <c r="G11061" t="n">
        <v>0.5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32602-2024</t>
        </is>
      </c>
      <c r="B11062" s="1" t="n">
        <v>45513.62717592593</v>
      </c>
      <c r="C11062" s="1" t="n">
        <v>46086</v>
      </c>
      <c r="D11062" t="inlineStr">
        <is>
          <t>GÄVLEBORGS LÄN</t>
        </is>
      </c>
      <c r="E11062" t="inlineStr">
        <is>
          <t>NORDANSTIG</t>
        </is>
      </c>
      <c r="F11062" t="inlineStr">
        <is>
          <t>Holmen skog AB</t>
        </is>
      </c>
      <c r="G11062" t="n">
        <v>2.6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7616-2025</t>
        </is>
      </c>
      <c r="B11063" s="1" t="n">
        <v>45705</v>
      </c>
      <c r="C11063" s="1" t="n">
        <v>46086</v>
      </c>
      <c r="D11063" t="inlineStr">
        <is>
          <t>GÄVLEBORGS LÄN</t>
        </is>
      </c>
      <c r="E11063" t="inlineStr">
        <is>
          <t>SANDVIKEN</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10326-2023</t>
        </is>
      </c>
      <c r="B11064" s="1" t="n">
        <v>44987.31462962963</v>
      </c>
      <c r="C11064" s="1" t="n">
        <v>46086</v>
      </c>
      <c r="D11064" t="inlineStr">
        <is>
          <t>GÄVLEBORGS LÄN</t>
        </is>
      </c>
      <c r="E11064" t="inlineStr">
        <is>
          <t>OCKELBO</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10332-2023</t>
        </is>
      </c>
      <c r="B11065" s="1" t="n">
        <v>44987</v>
      </c>
      <c r="C11065" s="1" t="n">
        <v>46086</v>
      </c>
      <c r="D11065" t="inlineStr">
        <is>
          <t>GÄVLEBORGS LÄN</t>
        </is>
      </c>
      <c r="E11065" t="inlineStr">
        <is>
          <t>HUDIKSVALL</t>
        </is>
      </c>
      <c r="F11065" t="inlineStr">
        <is>
          <t>Holmen skog AB</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46800-2021</t>
        </is>
      </c>
      <c r="B11066" s="1" t="n">
        <v>44446.30126157407</v>
      </c>
      <c r="C11066" s="1" t="n">
        <v>46086</v>
      </c>
      <c r="D11066" t="inlineStr">
        <is>
          <t>GÄVLEBORGS LÄN</t>
        </is>
      </c>
      <c r="E11066" t="inlineStr">
        <is>
          <t>GÄVLE</t>
        </is>
      </c>
      <c r="F11066" t="inlineStr">
        <is>
          <t>Bergvik skog väst AB</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61234-2023</t>
        </is>
      </c>
      <c r="B11067" s="1" t="n">
        <v>45264.45878472222</v>
      </c>
      <c r="C11067" s="1" t="n">
        <v>46086</v>
      </c>
      <c r="D11067" t="inlineStr">
        <is>
          <t>GÄVLEBORGS LÄN</t>
        </is>
      </c>
      <c r="E11067" t="inlineStr">
        <is>
          <t>HUDIKSVALL</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59616-2023</t>
        </is>
      </c>
      <c r="B11068" s="1" t="n">
        <v>45254.65175925926</v>
      </c>
      <c r="C11068" s="1" t="n">
        <v>46086</v>
      </c>
      <c r="D11068" t="inlineStr">
        <is>
          <t>GÄVLEBORGS LÄN</t>
        </is>
      </c>
      <c r="E11068" t="inlineStr">
        <is>
          <t>SANDVIKEN</t>
        </is>
      </c>
      <c r="F11068" t="inlineStr">
        <is>
          <t>Sveaskog</t>
        </is>
      </c>
      <c r="G11068" t="n">
        <v>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11691-2024</t>
        </is>
      </c>
      <c r="B11069" s="1" t="n">
        <v>45373.59789351852</v>
      </c>
      <c r="C11069" s="1" t="n">
        <v>46086</v>
      </c>
      <c r="D11069" t="inlineStr">
        <is>
          <t>GÄVLEBORGS LÄN</t>
        </is>
      </c>
      <c r="E11069" t="inlineStr">
        <is>
          <t>GÄVLE</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13825-2025</t>
        </is>
      </c>
      <c r="B11070" s="1" t="n">
        <v>45737.54068287037</v>
      </c>
      <c r="C11070" s="1" t="n">
        <v>46086</v>
      </c>
      <c r="D11070" t="inlineStr">
        <is>
          <t>GÄVLEBORGS LÄN</t>
        </is>
      </c>
      <c r="E11070" t="inlineStr">
        <is>
          <t>GÄVLE</t>
        </is>
      </c>
      <c r="G11070" t="n">
        <v>4.9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3453-2023</t>
        </is>
      </c>
      <c r="B11071" s="1" t="n">
        <v>44949.62175925926</v>
      </c>
      <c r="C11071" s="1" t="n">
        <v>46086</v>
      </c>
      <c r="D11071" t="inlineStr">
        <is>
          <t>GÄVLEBORGS LÄN</t>
        </is>
      </c>
      <c r="E11071" t="inlineStr">
        <is>
          <t>OVANÅKER</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62766-2022</t>
        </is>
      </c>
      <c r="B11072" s="1" t="n">
        <v>44885</v>
      </c>
      <c r="C11072" s="1" t="n">
        <v>46086</v>
      </c>
      <c r="D11072" t="inlineStr">
        <is>
          <t>GÄVLEBORGS LÄN</t>
        </is>
      </c>
      <c r="E11072" t="inlineStr">
        <is>
          <t>GÄVLE</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73389-2021</t>
        </is>
      </c>
      <c r="B11073" s="1" t="n">
        <v>44551</v>
      </c>
      <c r="C11073" s="1" t="n">
        <v>46086</v>
      </c>
      <c r="D11073" t="inlineStr">
        <is>
          <t>GÄVLEBORGS LÄN</t>
        </is>
      </c>
      <c r="E11073" t="inlineStr">
        <is>
          <t>NORDANSTIG</t>
        </is>
      </c>
      <c r="G11073" t="n">
        <v>4.2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4461-2023</t>
        </is>
      </c>
      <c r="B11074" s="1" t="n">
        <v>44956</v>
      </c>
      <c r="C11074" s="1" t="n">
        <v>46086</v>
      </c>
      <c r="D11074" t="inlineStr">
        <is>
          <t>GÄVLEBORGS LÄN</t>
        </is>
      </c>
      <c r="E11074" t="inlineStr">
        <is>
          <t>SANDVIKEN</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40695-2023</t>
        </is>
      </c>
      <c r="B11075" s="1" t="n">
        <v>45170.60664351852</v>
      </c>
      <c r="C11075" s="1" t="n">
        <v>46086</v>
      </c>
      <c r="D11075" t="inlineStr">
        <is>
          <t>GÄVLEBORGS LÄN</t>
        </is>
      </c>
      <c r="E11075" t="inlineStr">
        <is>
          <t>LJUSDAL</t>
        </is>
      </c>
      <c r="F11075" t="inlineStr">
        <is>
          <t>Holmen skog AB</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11643-2025</t>
        </is>
      </c>
      <c r="B11076" s="1" t="n">
        <v>45727.47241898148</v>
      </c>
      <c r="C11076" s="1" t="n">
        <v>46086</v>
      </c>
      <c r="D11076" t="inlineStr">
        <is>
          <t>GÄVLEBORGS LÄN</t>
        </is>
      </c>
      <c r="E11076" t="inlineStr">
        <is>
          <t>GÄVLE</t>
        </is>
      </c>
      <c r="G11076" t="n">
        <v>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34913-2023</t>
        </is>
      </c>
      <c r="B11077" s="1" t="n">
        <v>45142.46318287037</v>
      </c>
      <c r="C11077" s="1" t="n">
        <v>46086</v>
      </c>
      <c r="D11077" t="inlineStr">
        <is>
          <t>GÄVLEBORGS LÄN</t>
        </is>
      </c>
      <c r="E11077" t="inlineStr">
        <is>
          <t>NORDANSTIG</t>
        </is>
      </c>
      <c r="F11077" t="inlineStr">
        <is>
          <t>Holmen skog AB</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34918-2023</t>
        </is>
      </c>
      <c r="B11078" s="1" t="n">
        <v>45142.47361111111</v>
      </c>
      <c r="C11078" s="1" t="n">
        <v>46086</v>
      </c>
      <c r="D11078" t="inlineStr">
        <is>
          <t>GÄVLEBORGS LÄN</t>
        </is>
      </c>
      <c r="E11078" t="inlineStr">
        <is>
          <t>NORDANSTIG</t>
        </is>
      </c>
      <c r="F11078" t="inlineStr">
        <is>
          <t>Holmen skog AB</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60917-2023</t>
        </is>
      </c>
      <c r="B11079" s="1" t="n">
        <v>45261.40464120371</v>
      </c>
      <c r="C11079" s="1" t="n">
        <v>46086</v>
      </c>
      <c r="D11079" t="inlineStr">
        <is>
          <t>GÄVLEBORGS LÄN</t>
        </is>
      </c>
      <c r="E11079" t="inlineStr">
        <is>
          <t>HUDIKSVALL</t>
        </is>
      </c>
      <c r="F11079" t="inlineStr">
        <is>
          <t>Holmen skog AB</t>
        </is>
      </c>
      <c r="G11079" t="n">
        <v>3.4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60938-2023</t>
        </is>
      </c>
      <c r="B11080" s="1" t="n">
        <v>45261.43436342593</v>
      </c>
      <c r="C11080" s="1" t="n">
        <v>46086</v>
      </c>
      <c r="D11080" t="inlineStr">
        <is>
          <t>GÄVLEBORGS LÄN</t>
        </is>
      </c>
      <c r="E11080" t="inlineStr">
        <is>
          <t>HUDIKSVALL</t>
        </is>
      </c>
      <c r="F11080" t="inlineStr">
        <is>
          <t>Holmen skog AB</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716-2024</t>
        </is>
      </c>
      <c r="B11081" s="1" t="n">
        <v>45300</v>
      </c>
      <c r="C11081" s="1" t="n">
        <v>46086</v>
      </c>
      <c r="D11081" t="inlineStr">
        <is>
          <t>GÄVLEBORGS LÄN</t>
        </is>
      </c>
      <c r="E11081" t="inlineStr">
        <is>
          <t>SANDVIKEN</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25133-2022</t>
        </is>
      </c>
      <c r="B11082" s="1" t="n">
        <v>44729.49839120371</v>
      </c>
      <c r="C11082" s="1" t="n">
        <v>46086</v>
      </c>
      <c r="D11082" t="inlineStr">
        <is>
          <t>GÄVLEBORGS LÄN</t>
        </is>
      </c>
      <c r="E11082" t="inlineStr">
        <is>
          <t>OVANÅKER</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31163-2022</t>
        </is>
      </c>
      <c r="B11083" s="1" t="n">
        <v>44770.4959837963</v>
      </c>
      <c r="C11083" s="1" t="n">
        <v>46086</v>
      </c>
      <c r="D11083" t="inlineStr">
        <is>
          <t>GÄVLEBORGS LÄN</t>
        </is>
      </c>
      <c r="E11083" t="inlineStr">
        <is>
          <t>OVANÅKER</t>
        </is>
      </c>
      <c r="F11083" t="inlineStr">
        <is>
          <t>Bergvik skog öst AB</t>
        </is>
      </c>
      <c r="G11083" t="n">
        <v>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64801-2023</t>
        </is>
      </c>
      <c r="B11084" s="1" t="n">
        <v>45282.39997685186</v>
      </c>
      <c r="C11084" s="1" t="n">
        <v>46086</v>
      </c>
      <c r="D11084" t="inlineStr">
        <is>
          <t>GÄVLEBORGS LÄN</t>
        </is>
      </c>
      <c r="E11084" t="inlineStr">
        <is>
          <t>SANDVIKEN</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64873-2023</t>
        </is>
      </c>
      <c r="B11085" s="1" t="n">
        <v>45282</v>
      </c>
      <c r="C11085" s="1" t="n">
        <v>46086</v>
      </c>
      <c r="D11085" t="inlineStr">
        <is>
          <t>GÄVLEBORGS LÄN</t>
        </is>
      </c>
      <c r="E11085" t="inlineStr">
        <is>
          <t>GÄVLE</t>
        </is>
      </c>
      <c r="G11085" t="n">
        <v>0.4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16640-2025</t>
        </is>
      </c>
      <c r="B11086" s="1" t="n">
        <v>45754.36946759259</v>
      </c>
      <c r="C11086" s="1" t="n">
        <v>46086</v>
      </c>
      <c r="D11086" t="inlineStr">
        <is>
          <t>GÄVLEBORGS LÄN</t>
        </is>
      </c>
      <c r="E11086" t="inlineStr">
        <is>
          <t>NORDANSTIG</t>
        </is>
      </c>
      <c r="F11086" t="inlineStr">
        <is>
          <t>Holmen skog AB</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16745-2025</t>
        </is>
      </c>
      <c r="B11087" s="1" t="n">
        <v>45754.56126157408</v>
      </c>
      <c r="C11087" s="1" t="n">
        <v>46086</v>
      </c>
      <c r="D11087" t="inlineStr">
        <is>
          <t>GÄVLEBORGS LÄN</t>
        </is>
      </c>
      <c r="E11087" t="inlineStr">
        <is>
          <t>HUDIKSVALL</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12140-2021</t>
        </is>
      </c>
      <c r="B11088" s="1" t="n">
        <v>44266.56907407408</v>
      </c>
      <c r="C11088" s="1" t="n">
        <v>46086</v>
      </c>
      <c r="D11088" t="inlineStr">
        <is>
          <t>GÄVLEBORGS LÄN</t>
        </is>
      </c>
      <c r="E11088" t="inlineStr">
        <is>
          <t>OVANÅKER</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62628-2023</t>
        </is>
      </c>
      <c r="B11089" s="1" t="n">
        <v>45271.38574074074</v>
      </c>
      <c r="C11089" s="1" t="n">
        <v>46086</v>
      </c>
      <c r="D11089" t="inlineStr">
        <is>
          <t>GÄVLEBORGS LÄN</t>
        </is>
      </c>
      <c r="E11089" t="inlineStr">
        <is>
          <t>HUDIKSVALL</t>
        </is>
      </c>
      <c r="G11089" t="n">
        <v>0.5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13084-2021</t>
        </is>
      </c>
      <c r="B11090" s="1" t="n">
        <v>44272.37886574074</v>
      </c>
      <c r="C11090" s="1" t="n">
        <v>46086</v>
      </c>
      <c r="D11090" t="inlineStr">
        <is>
          <t>GÄVLEBORGS LÄN</t>
        </is>
      </c>
      <c r="E11090" t="inlineStr">
        <is>
          <t>SANDVIKEN</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30418-2023</t>
        </is>
      </c>
      <c r="B11091" s="1" t="n">
        <v>45111.52043981481</v>
      </c>
      <c r="C11091" s="1" t="n">
        <v>46086</v>
      </c>
      <c r="D11091" t="inlineStr">
        <is>
          <t>GÄVLEBORGS LÄN</t>
        </is>
      </c>
      <c r="E11091" t="inlineStr">
        <is>
          <t>OCKELBO</t>
        </is>
      </c>
      <c r="G11091" t="n">
        <v>2.6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18570-2025</t>
        </is>
      </c>
      <c r="B11092" s="1" t="n">
        <v>45763.4565162037</v>
      </c>
      <c r="C11092" s="1" t="n">
        <v>46086</v>
      </c>
      <c r="D11092" t="inlineStr">
        <is>
          <t>GÄVLEBORGS LÄN</t>
        </is>
      </c>
      <c r="E11092" t="inlineStr">
        <is>
          <t>OVANÅKER</t>
        </is>
      </c>
      <c r="F11092" t="inlineStr">
        <is>
          <t>Holmen skog AB</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27955-2024</t>
        </is>
      </c>
      <c r="B11093" s="1" t="n">
        <v>45476.3388425926</v>
      </c>
      <c r="C11093" s="1" t="n">
        <v>46086</v>
      </c>
      <c r="D11093" t="inlineStr">
        <is>
          <t>GÄVLEBORGS LÄN</t>
        </is>
      </c>
      <c r="E11093" t="inlineStr">
        <is>
          <t>HUDIKSVALL</t>
        </is>
      </c>
      <c r="F11093" t="inlineStr">
        <is>
          <t>Holmen skog AB</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46007-2024</t>
        </is>
      </c>
      <c r="B11094" s="1" t="n">
        <v>45580</v>
      </c>
      <c r="C11094" s="1" t="n">
        <v>46086</v>
      </c>
      <c r="D11094" t="inlineStr">
        <is>
          <t>GÄVLEBORGS LÄN</t>
        </is>
      </c>
      <c r="E11094" t="inlineStr">
        <is>
          <t>SÖDERHAMN</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58753-2021</t>
        </is>
      </c>
      <c r="B11095" s="1" t="n">
        <v>44489</v>
      </c>
      <c r="C11095" s="1" t="n">
        <v>46086</v>
      </c>
      <c r="D11095" t="inlineStr">
        <is>
          <t>GÄVLEBORGS LÄN</t>
        </is>
      </c>
      <c r="E11095" t="inlineStr">
        <is>
          <t>BOLLNÄS</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30798-2024</t>
        </is>
      </c>
      <c r="B11096" s="1" t="n">
        <v>45497.36582175926</v>
      </c>
      <c r="C11096" s="1" t="n">
        <v>46086</v>
      </c>
      <c r="D11096" t="inlineStr">
        <is>
          <t>GÄVLEBORGS LÄN</t>
        </is>
      </c>
      <c r="E11096" t="inlineStr">
        <is>
          <t>OCKELBO</t>
        </is>
      </c>
      <c r="G11096" t="n">
        <v>8.699999999999999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22821-2024</t>
        </is>
      </c>
      <c r="B11097" s="1" t="n">
        <v>45448</v>
      </c>
      <c r="C11097" s="1" t="n">
        <v>46086</v>
      </c>
      <c r="D11097" t="inlineStr">
        <is>
          <t>GÄVLEBORGS LÄN</t>
        </is>
      </c>
      <c r="E11097" t="inlineStr">
        <is>
          <t>OCKELBO</t>
        </is>
      </c>
      <c r="F11097" t="inlineStr">
        <is>
          <t>Bergvik skog väst AB</t>
        </is>
      </c>
      <c r="G11097" t="n">
        <v>2.5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25268-2024</t>
        </is>
      </c>
      <c r="B11098" s="1" t="n">
        <v>45462.62112268519</v>
      </c>
      <c r="C11098" s="1" t="n">
        <v>46086</v>
      </c>
      <c r="D11098" t="inlineStr">
        <is>
          <t>GÄVLEBORGS LÄN</t>
        </is>
      </c>
      <c r="E11098" t="inlineStr">
        <is>
          <t>HUDIKSVALL</t>
        </is>
      </c>
      <c r="F11098" t="inlineStr">
        <is>
          <t>Holmen skog AB</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25273-2024</t>
        </is>
      </c>
      <c r="B11099" s="1" t="n">
        <v>45462</v>
      </c>
      <c r="C11099" s="1" t="n">
        <v>46086</v>
      </c>
      <c r="D11099" t="inlineStr">
        <is>
          <t>GÄVLEBORGS LÄN</t>
        </is>
      </c>
      <c r="E11099" t="inlineStr">
        <is>
          <t>NORDANSTIG</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49178-2023</t>
        </is>
      </c>
      <c r="B11100" s="1" t="n">
        <v>45210</v>
      </c>
      <c r="C11100" s="1" t="n">
        <v>46086</v>
      </c>
      <c r="D11100" t="inlineStr">
        <is>
          <t>GÄVLEBORGS LÄN</t>
        </is>
      </c>
      <c r="E11100" t="inlineStr">
        <is>
          <t>OVANÅKER</t>
        </is>
      </c>
      <c r="F11100" t="inlineStr">
        <is>
          <t>Bergvik skog öst AB</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5806-2022</t>
        </is>
      </c>
      <c r="B11101" s="1" t="n">
        <v>44596.5728125</v>
      </c>
      <c r="C11101" s="1" t="n">
        <v>46086</v>
      </c>
      <c r="D11101" t="inlineStr">
        <is>
          <t>GÄVLEBORGS LÄN</t>
        </is>
      </c>
      <c r="E11101" t="inlineStr">
        <is>
          <t>BOLLNÄS</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26721-2024</t>
        </is>
      </c>
      <c r="B11102" s="1" t="n">
        <v>45470.41822916667</v>
      </c>
      <c r="C11102" s="1" t="n">
        <v>46086</v>
      </c>
      <c r="D11102" t="inlineStr">
        <is>
          <t>GÄVLEBORGS LÄN</t>
        </is>
      </c>
      <c r="E11102" t="inlineStr">
        <is>
          <t>LJUSDAL</t>
        </is>
      </c>
      <c r="F11102" t="inlineStr">
        <is>
          <t>Bergvik skog väst AB</t>
        </is>
      </c>
      <c r="G11102" t="n">
        <v>0.4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46377-2022</t>
        </is>
      </c>
      <c r="B11103" s="1" t="n">
        <v>44848.36462962963</v>
      </c>
      <c r="C11103" s="1" t="n">
        <v>46086</v>
      </c>
      <c r="D11103" t="inlineStr">
        <is>
          <t>GÄVLEBORGS LÄN</t>
        </is>
      </c>
      <c r="E11103" t="inlineStr">
        <is>
          <t>OVANÅKER</t>
        </is>
      </c>
      <c r="F11103" t="inlineStr">
        <is>
          <t>Sveaskog</t>
        </is>
      </c>
      <c r="G11103" t="n">
        <v>2.7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48307-2023</t>
        </is>
      </c>
      <c r="B11104" s="1" t="n">
        <v>45205.58381944444</v>
      </c>
      <c r="C11104" s="1" t="n">
        <v>46086</v>
      </c>
      <c r="D11104" t="inlineStr">
        <is>
          <t>GÄVLEBORGS LÄN</t>
        </is>
      </c>
      <c r="E11104" t="inlineStr">
        <is>
          <t>BOLLNÄS</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44229-2024</t>
        </is>
      </c>
      <c r="B11105" s="1" t="n">
        <v>45573.39869212963</v>
      </c>
      <c r="C11105" s="1" t="n">
        <v>46086</v>
      </c>
      <c r="D11105" t="inlineStr">
        <is>
          <t>GÄVLEBORGS LÄN</t>
        </is>
      </c>
      <c r="E11105" t="inlineStr">
        <is>
          <t>HUDIKSVALL</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30107-2024</t>
        </is>
      </c>
      <c r="B11106" s="1" t="n">
        <v>45489</v>
      </c>
      <c r="C11106" s="1" t="n">
        <v>46086</v>
      </c>
      <c r="D11106" t="inlineStr">
        <is>
          <t>GÄVLEBORGS LÄN</t>
        </is>
      </c>
      <c r="E11106" t="inlineStr">
        <is>
          <t>HUDIKSVALL</t>
        </is>
      </c>
      <c r="F11106" t="inlineStr">
        <is>
          <t>Holmen skog AB</t>
        </is>
      </c>
      <c r="G11106" t="n">
        <v>3.2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59924-2024</t>
        </is>
      </c>
      <c r="B11107" s="1" t="n">
        <v>45641</v>
      </c>
      <c r="C11107" s="1" t="n">
        <v>46086</v>
      </c>
      <c r="D11107" t="inlineStr">
        <is>
          <t>GÄVLEBORGS LÄN</t>
        </is>
      </c>
      <c r="E11107" t="inlineStr">
        <is>
          <t>NORDANSTIG</t>
        </is>
      </c>
      <c r="G11107" t="n">
        <v>4.3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59945-2024</t>
        </is>
      </c>
      <c r="B11108" s="1" t="n">
        <v>45642.33392361111</v>
      </c>
      <c r="C11108" s="1" t="n">
        <v>46086</v>
      </c>
      <c r="D11108" t="inlineStr">
        <is>
          <t>GÄVLEBORGS LÄN</t>
        </is>
      </c>
      <c r="E11108" t="inlineStr">
        <is>
          <t>NORDANSTIG</t>
        </is>
      </c>
      <c r="F11108" t="inlineStr">
        <is>
          <t>Holmen skog AB</t>
        </is>
      </c>
      <c r="G11108" t="n">
        <v>8.1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59974-2024</t>
        </is>
      </c>
      <c r="B11109" s="1" t="n">
        <v>45642.36561342593</v>
      </c>
      <c r="C11109" s="1" t="n">
        <v>46086</v>
      </c>
      <c r="D11109" t="inlineStr">
        <is>
          <t>GÄVLEBORGS LÄN</t>
        </is>
      </c>
      <c r="E11109" t="inlineStr">
        <is>
          <t>OVANÅKER</t>
        </is>
      </c>
      <c r="G11109" t="n">
        <v>4.6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47917-2022</t>
        </is>
      </c>
      <c r="B11110" s="1" t="n">
        <v>44855.49208333333</v>
      </c>
      <c r="C11110" s="1" t="n">
        <v>46086</v>
      </c>
      <c r="D11110" t="inlineStr">
        <is>
          <t>GÄVLEBORGS LÄN</t>
        </is>
      </c>
      <c r="E11110" t="inlineStr">
        <is>
          <t>OVANÅKER</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36316-2023</t>
        </is>
      </c>
      <c r="B11111" s="1" t="n">
        <v>45152.41521990741</v>
      </c>
      <c r="C11111" s="1" t="n">
        <v>46086</v>
      </c>
      <c r="D11111" t="inlineStr">
        <is>
          <t>GÄVLEBORGS LÄN</t>
        </is>
      </c>
      <c r="E11111" t="inlineStr">
        <is>
          <t>OVANÅKER</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36321-2023</t>
        </is>
      </c>
      <c r="B11112" s="1" t="n">
        <v>45152.425</v>
      </c>
      <c r="C11112" s="1" t="n">
        <v>46086</v>
      </c>
      <c r="D11112" t="inlineStr">
        <is>
          <t>GÄVLEBORGS LÄN</t>
        </is>
      </c>
      <c r="E11112" t="inlineStr">
        <is>
          <t>LJUSDAL</t>
        </is>
      </c>
      <c r="G11112" t="n">
        <v>2.6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30953-2024</t>
        </is>
      </c>
      <c r="B11113" s="1" t="n">
        <v>45499.41650462963</v>
      </c>
      <c r="C11113" s="1" t="n">
        <v>46086</v>
      </c>
      <c r="D11113" t="inlineStr">
        <is>
          <t>GÄVLEBORGS LÄN</t>
        </is>
      </c>
      <c r="E11113" t="inlineStr">
        <is>
          <t>SANDVIKEN</t>
        </is>
      </c>
      <c r="G11113" t="n">
        <v>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47954-2024</t>
        </is>
      </c>
      <c r="B11114" s="1" t="n">
        <v>45589.36817129629</v>
      </c>
      <c r="C11114" s="1" t="n">
        <v>46086</v>
      </c>
      <c r="D11114" t="inlineStr">
        <is>
          <t>GÄVLEBORGS LÄN</t>
        </is>
      </c>
      <c r="E11114" t="inlineStr">
        <is>
          <t>LJUSDAL</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13473-2024</t>
        </is>
      </c>
      <c r="B11115" s="1" t="n">
        <v>45387.5827662037</v>
      </c>
      <c r="C11115" s="1" t="n">
        <v>46086</v>
      </c>
      <c r="D11115" t="inlineStr">
        <is>
          <t>GÄVLEBORGS LÄN</t>
        </is>
      </c>
      <c r="E11115" t="inlineStr">
        <is>
          <t>HOFORS</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8308-2024</t>
        </is>
      </c>
      <c r="B11116" s="1" t="n">
        <v>45352</v>
      </c>
      <c r="C11116" s="1" t="n">
        <v>46086</v>
      </c>
      <c r="D11116" t="inlineStr">
        <is>
          <t>GÄVLEBORGS LÄN</t>
        </is>
      </c>
      <c r="E11116" t="inlineStr">
        <is>
          <t>BOLLNÄS</t>
        </is>
      </c>
      <c r="G11116" t="n">
        <v>3.3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18457-2025</t>
        </is>
      </c>
      <c r="B11117" s="1" t="n">
        <v>45762.67177083333</v>
      </c>
      <c r="C11117" s="1" t="n">
        <v>46086</v>
      </c>
      <c r="D11117" t="inlineStr">
        <is>
          <t>GÄVLEBORGS LÄN</t>
        </is>
      </c>
      <c r="E11117" t="inlineStr">
        <is>
          <t>HUDIKSVALL</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19569-2025</t>
        </is>
      </c>
      <c r="B11118" s="1" t="n">
        <v>45770.53775462963</v>
      </c>
      <c r="C11118" s="1" t="n">
        <v>46086</v>
      </c>
      <c r="D11118" t="inlineStr">
        <is>
          <t>GÄVLEBORGS LÄN</t>
        </is>
      </c>
      <c r="E11118" t="inlineStr">
        <is>
          <t>NORDANSTIG</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41597-2024</t>
        </is>
      </c>
      <c r="B11119" s="1" t="n">
        <v>45560.57574074074</v>
      </c>
      <c r="C11119" s="1" t="n">
        <v>46086</v>
      </c>
      <c r="D11119" t="inlineStr">
        <is>
          <t>GÄVLEBORGS LÄN</t>
        </is>
      </c>
      <c r="E11119" t="inlineStr">
        <is>
          <t>BOLLNÄS</t>
        </is>
      </c>
      <c r="G11119" t="n">
        <v>21.8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41649-2024</t>
        </is>
      </c>
      <c r="B11120" s="1" t="n">
        <v>45560.63702546297</v>
      </c>
      <c r="C11120" s="1" t="n">
        <v>46086</v>
      </c>
      <c r="D11120" t="inlineStr">
        <is>
          <t>GÄVLEBORGS LÄN</t>
        </is>
      </c>
      <c r="E11120" t="inlineStr">
        <is>
          <t>SÖDERHAMN</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41650-2024</t>
        </is>
      </c>
      <c r="B11121" s="1" t="n">
        <v>45560.63703703704</v>
      </c>
      <c r="C11121" s="1" t="n">
        <v>46086</v>
      </c>
      <c r="D11121" t="inlineStr">
        <is>
          <t>GÄVLEBORGS LÄN</t>
        </is>
      </c>
      <c r="E11121" t="inlineStr">
        <is>
          <t>SÖDERHAMN</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40364-2024</t>
        </is>
      </c>
      <c r="B11122" s="1" t="n">
        <v>45555.38417824074</v>
      </c>
      <c r="C11122" s="1" t="n">
        <v>46086</v>
      </c>
      <c r="D11122" t="inlineStr">
        <is>
          <t>GÄVLEBORGS LÄN</t>
        </is>
      </c>
      <c r="E11122" t="inlineStr">
        <is>
          <t>HUDIKSVALL</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11475-2024</t>
        </is>
      </c>
      <c r="B11123" s="1" t="n">
        <v>45372.61509259259</v>
      </c>
      <c r="C11123" s="1" t="n">
        <v>46086</v>
      </c>
      <c r="D11123" t="inlineStr">
        <is>
          <t>GÄVLEBORGS LÄN</t>
        </is>
      </c>
      <c r="E11123" t="inlineStr">
        <is>
          <t>HUDIKSVALL</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31723-2024</t>
        </is>
      </c>
      <c r="B11124" s="1" t="n">
        <v>45509.32942129629</v>
      </c>
      <c r="C11124" s="1" t="n">
        <v>46086</v>
      </c>
      <c r="D11124" t="inlineStr">
        <is>
          <t>GÄVLEBORGS LÄN</t>
        </is>
      </c>
      <c r="E11124" t="inlineStr">
        <is>
          <t>NORDANSTIG</t>
        </is>
      </c>
      <c r="G11124" t="n">
        <v>2.2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50331-2021</t>
        </is>
      </c>
      <c r="B11125" s="1" t="n">
        <v>44459.41059027778</v>
      </c>
      <c r="C11125" s="1" t="n">
        <v>46086</v>
      </c>
      <c r="D11125" t="inlineStr">
        <is>
          <t>GÄVLEBORGS LÄN</t>
        </is>
      </c>
      <c r="E11125" t="inlineStr">
        <is>
          <t>LJUSDAL</t>
        </is>
      </c>
      <c r="F11125" t="inlineStr">
        <is>
          <t>Bergvik skog väst AB</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28133-2024</t>
        </is>
      </c>
      <c r="B11126" s="1" t="n">
        <v>45476.69053240741</v>
      </c>
      <c r="C11126" s="1" t="n">
        <v>46086</v>
      </c>
      <c r="D11126" t="inlineStr">
        <is>
          <t>GÄVLEBORGS LÄN</t>
        </is>
      </c>
      <c r="E11126" t="inlineStr">
        <is>
          <t>HOFORS</t>
        </is>
      </c>
      <c r="G11126" t="n">
        <v>3.8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29769-2023</t>
        </is>
      </c>
      <c r="B11127" s="1" t="n">
        <v>45107</v>
      </c>
      <c r="C11127" s="1" t="n">
        <v>46086</v>
      </c>
      <c r="D11127" t="inlineStr">
        <is>
          <t>GÄVLEBORGS LÄN</t>
        </is>
      </c>
      <c r="E11127" t="inlineStr">
        <is>
          <t>BOLLNÄS</t>
        </is>
      </c>
      <c r="G11127" t="n">
        <v>0.5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29818-2023</t>
        </is>
      </c>
      <c r="B11128" s="1" t="n">
        <v>45107.55921296297</v>
      </c>
      <c r="C11128" s="1" t="n">
        <v>46086</v>
      </c>
      <c r="D11128" t="inlineStr">
        <is>
          <t>GÄVLEBORGS LÄN</t>
        </is>
      </c>
      <c r="E11128" t="inlineStr">
        <is>
          <t>SÖDERHAMN</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29845-2023</t>
        </is>
      </c>
      <c r="B11129" s="1" t="n">
        <v>45099</v>
      </c>
      <c r="C11129" s="1" t="n">
        <v>46086</v>
      </c>
      <c r="D11129" t="inlineStr">
        <is>
          <t>GÄVLEBORGS LÄN</t>
        </is>
      </c>
      <c r="E11129" t="inlineStr">
        <is>
          <t>LJUSDAL</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29862-2023</t>
        </is>
      </c>
      <c r="B11130" s="1" t="n">
        <v>45107.60888888889</v>
      </c>
      <c r="C11130" s="1" t="n">
        <v>46086</v>
      </c>
      <c r="D11130" t="inlineStr">
        <is>
          <t>GÄVLEBORGS LÄN</t>
        </is>
      </c>
      <c r="E11130" t="inlineStr">
        <is>
          <t>GÄVLE</t>
        </is>
      </c>
      <c r="G11130" t="n">
        <v>4.2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51273-2021</t>
        </is>
      </c>
      <c r="B11131" s="1" t="n">
        <v>44460</v>
      </c>
      <c r="C11131" s="1" t="n">
        <v>46086</v>
      </c>
      <c r="D11131" t="inlineStr">
        <is>
          <t>GÄVLEBORGS LÄN</t>
        </is>
      </c>
      <c r="E11131" t="inlineStr">
        <is>
          <t>SÖDERHAMN</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51250-2022</t>
        </is>
      </c>
      <c r="B11132" s="1" t="n">
        <v>44868.66506944445</v>
      </c>
      <c r="C11132" s="1" t="n">
        <v>46086</v>
      </c>
      <c r="D11132" t="inlineStr">
        <is>
          <t>GÄVLEBORGS LÄN</t>
        </is>
      </c>
      <c r="E11132" t="inlineStr">
        <is>
          <t>NORDANSTIG</t>
        </is>
      </c>
      <c r="F11132" t="inlineStr">
        <is>
          <t>Holmen skog AB</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48757-2024</t>
        </is>
      </c>
      <c r="B11133" s="1" t="n">
        <v>45593.5981712963</v>
      </c>
      <c r="C11133" s="1" t="n">
        <v>46086</v>
      </c>
      <c r="D11133" t="inlineStr">
        <is>
          <t>GÄVLEBORGS LÄN</t>
        </is>
      </c>
      <c r="E11133" t="inlineStr">
        <is>
          <t>OVANÅKER</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43799-2022</t>
        </is>
      </c>
      <c r="B11134" s="1" t="n">
        <v>44838</v>
      </c>
      <c r="C11134" s="1" t="n">
        <v>46086</v>
      </c>
      <c r="D11134" t="inlineStr">
        <is>
          <t>GÄVLEBORGS LÄN</t>
        </is>
      </c>
      <c r="E11134" t="inlineStr">
        <is>
          <t>OCKELBO</t>
        </is>
      </c>
      <c r="G11134" t="n">
        <v>3.7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617-2025</t>
        </is>
      </c>
      <c r="B11135" s="1" t="n">
        <v>45664.60994212963</v>
      </c>
      <c r="C11135" s="1" t="n">
        <v>46086</v>
      </c>
      <c r="D11135" t="inlineStr">
        <is>
          <t>GÄVLEBORGS LÄN</t>
        </is>
      </c>
      <c r="E11135" t="inlineStr">
        <is>
          <t>BOLLNÄS</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45289-2023</t>
        </is>
      </c>
      <c r="B11136" s="1" t="n">
        <v>45191.65313657407</v>
      </c>
      <c r="C11136" s="1" t="n">
        <v>46086</v>
      </c>
      <c r="D11136" t="inlineStr">
        <is>
          <t>GÄVLEBORGS LÄN</t>
        </is>
      </c>
      <c r="E11136" t="inlineStr">
        <is>
          <t>LJUSDAL</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34664-2022</t>
        </is>
      </c>
      <c r="B11137" s="1" t="n">
        <v>44795</v>
      </c>
      <c r="C11137" s="1" t="n">
        <v>46086</v>
      </c>
      <c r="D11137" t="inlineStr">
        <is>
          <t>GÄVLEBORGS LÄN</t>
        </is>
      </c>
      <c r="E11137" t="inlineStr">
        <is>
          <t>HUDIKSVALL</t>
        </is>
      </c>
      <c r="G11137" t="n">
        <v>2.6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23296-2024</t>
        </is>
      </c>
      <c r="B11138" s="1" t="n">
        <v>45453.43356481481</v>
      </c>
      <c r="C11138" s="1" t="n">
        <v>46086</v>
      </c>
      <c r="D11138" t="inlineStr">
        <is>
          <t>GÄVLEBORGS LÄN</t>
        </is>
      </c>
      <c r="E11138" t="inlineStr">
        <is>
          <t>HUDIKSVALL</t>
        </is>
      </c>
      <c r="G11138" t="n">
        <v>3.7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15105-2025</t>
        </is>
      </c>
      <c r="B11139" s="1" t="n">
        <v>45744.34733796296</v>
      </c>
      <c r="C11139" s="1" t="n">
        <v>46086</v>
      </c>
      <c r="D11139" t="inlineStr">
        <is>
          <t>GÄVLEBORGS LÄN</t>
        </is>
      </c>
      <c r="E11139" t="inlineStr">
        <is>
          <t>GÄVLE</t>
        </is>
      </c>
      <c r="F11139" t="inlineStr">
        <is>
          <t>Bergvik skog öst AB</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24834-2024</t>
        </is>
      </c>
      <c r="B11140" s="1" t="n">
        <v>45461.39347222223</v>
      </c>
      <c r="C11140" s="1" t="n">
        <v>46086</v>
      </c>
      <c r="D11140" t="inlineStr">
        <is>
          <t>GÄVLEBORGS LÄN</t>
        </is>
      </c>
      <c r="E11140" t="inlineStr">
        <is>
          <t>HUDIKSVALL</t>
        </is>
      </c>
      <c r="F11140" t="inlineStr">
        <is>
          <t>Holmen skog AB</t>
        </is>
      </c>
      <c r="G11140" t="n">
        <v>3.4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18802-2025</t>
        </is>
      </c>
      <c r="B11141" s="1" t="n">
        <v>45764.35001157408</v>
      </c>
      <c r="C11141" s="1" t="n">
        <v>46086</v>
      </c>
      <c r="D11141" t="inlineStr">
        <is>
          <t>GÄVLEBORGS LÄN</t>
        </is>
      </c>
      <c r="E11141" t="inlineStr">
        <is>
          <t>LJUSDAL</t>
        </is>
      </c>
      <c r="F11141" t="inlineStr">
        <is>
          <t>Sveaskog</t>
        </is>
      </c>
      <c r="G11141" t="n">
        <v>13.1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11075-2023</t>
        </is>
      </c>
      <c r="B11142" s="1" t="n">
        <v>44992</v>
      </c>
      <c r="C11142" s="1" t="n">
        <v>46086</v>
      </c>
      <c r="D11142" t="inlineStr">
        <is>
          <t>GÄVLEBORGS LÄN</t>
        </is>
      </c>
      <c r="E11142" t="inlineStr">
        <is>
          <t>SÖDERHAMN</t>
        </is>
      </c>
      <c r="G11142" t="n">
        <v>0.4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11082-2023</t>
        </is>
      </c>
      <c r="B11143" s="1" t="n">
        <v>44992</v>
      </c>
      <c r="C11143" s="1" t="n">
        <v>46086</v>
      </c>
      <c r="D11143" t="inlineStr">
        <is>
          <t>GÄVLEBORGS LÄN</t>
        </is>
      </c>
      <c r="E11143" t="inlineStr">
        <is>
          <t>HUDIKSVALL</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50701-2024</t>
        </is>
      </c>
      <c r="B11144" s="1" t="n">
        <v>45602.36033564815</v>
      </c>
      <c r="C11144" s="1" t="n">
        <v>46086</v>
      </c>
      <c r="D11144" t="inlineStr">
        <is>
          <t>GÄVLEBORGS LÄN</t>
        </is>
      </c>
      <c r="E11144" t="inlineStr">
        <is>
          <t>SANDVIKEN</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50765-2024</t>
        </is>
      </c>
      <c r="B11145" s="1" t="n">
        <v>45602.4396875</v>
      </c>
      <c r="C11145" s="1" t="n">
        <v>46086</v>
      </c>
      <c r="D11145" t="inlineStr">
        <is>
          <t>GÄVLEBORGS LÄN</t>
        </is>
      </c>
      <c r="E11145" t="inlineStr">
        <is>
          <t>SANDVIKEN</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27015-2024</t>
        </is>
      </c>
      <c r="B11146" s="1" t="n">
        <v>45471.40547453704</v>
      </c>
      <c r="C11146" s="1" t="n">
        <v>46086</v>
      </c>
      <c r="D11146" t="inlineStr">
        <is>
          <t>GÄVLEBORGS LÄN</t>
        </is>
      </c>
      <c r="E11146" t="inlineStr">
        <is>
          <t>BOLLNÄS</t>
        </is>
      </c>
      <c r="F11146" t="inlineStr">
        <is>
          <t>Sveaskog</t>
        </is>
      </c>
      <c r="G11146" t="n">
        <v>4.2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12057-2021</t>
        </is>
      </c>
      <c r="B11147" s="1" t="n">
        <v>44266</v>
      </c>
      <c r="C11147" s="1" t="n">
        <v>46086</v>
      </c>
      <c r="D11147" t="inlineStr">
        <is>
          <t>GÄVLEBORGS LÄN</t>
        </is>
      </c>
      <c r="E11147" t="inlineStr">
        <is>
          <t>HOFORS</t>
        </is>
      </c>
      <c r="G11147" t="n">
        <v>2.6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58363-2022</t>
        </is>
      </c>
      <c r="B11148" s="1" t="n">
        <v>44901</v>
      </c>
      <c r="C11148" s="1" t="n">
        <v>46086</v>
      </c>
      <c r="D11148" t="inlineStr">
        <is>
          <t>GÄVLEBORGS LÄN</t>
        </is>
      </c>
      <c r="E11148" t="inlineStr">
        <is>
          <t>SANDVIKEN</t>
        </is>
      </c>
      <c r="G11148" t="n">
        <v>7.3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36084-2024</t>
        </is>
      </c>
      <c r="B11149" s="1" t="n">
        <v>45533.67208333333</v>
      </c>
      <c r="C11149" s="1" t="n">
        <v>46086</v>
      </c>
      <c r="D11149" t="inlineStr">
        <is>
          <t>GÄVLEBORGS LÄN</t>
        </is>
      </c>
      <c r="E11149" t="inlineStr">
        <is>
          <t>HUDIKSVALL</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47438-2023</t>
        </is>
      </c>
      <c r="B11150" s="1" t="n">
        <v>45202</v>
      </c>
      <c r="C11150" s="1" t="n">
        <v>46086</v>
      </c>
      <c r="D11150" t="inlineStr">
        <is>
          <t>GÄVLEBORGS LÄN</t>
        </is>
      </c>
      <c r="E11150" t="inlineStr">
        <is>
          <t>BOLLNÄS</t>
        </is>
      </c>
      <c r="G11150" t="n">
        <v>9.1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37391-2023</t>
        </is>
      </c>
      <c r="B11151" s="1" t="n">
        <v>45156</v>
      </c>
      <c r="C11151" s="1" t="n">
        <v>46086</v>
      </c>
      <c r="D11151" t="inlineStr">
        <is>
          <t>GÄVLEBORGS LÄN</t>
        </is>
      </c>
      <c r="E11151" t="inlineStr">
        <is>
          <t>OCKELBO</t>
        </is>
      </c>
      <c r="F11151" t="inlineStr">
        <is>
          <t>Bergvik skog väst AB</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2248-2023</t>
        </is>
      </c>
      <c r="B11152" s="1" t="n">
        <v>44942.47626157408</v>
      </c>
      <c r="C11152" s="1" t="n">
        <v>46086</v>
      </c>
      <c r="D11152" t="inlineStr">
        <is>
          <t>GÄVLEBORGS LÄN</t>
        </is>
      </c>
      <c r="E11152" t="inlineStr">
        <is>
          <t>LJUSDAL</t>
        </is>
      </c>
      <c r="G11152" t="n">
        <v>2.5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40402-2024</t>
        </is>
      </c>
      <c r="B11153" s="1" t="n">
        <v>45555</v>
      </c>
      <c r="C11153" s="1" t="n">
        <v>46086</v>
      </c>
      <c r="D11153" t="inlineStr">
        <is>
          <t>GÄVLEBORGS LÄN</t>
        </is>
      </c>
      <c r="E11153" t="inlineStr">
        <is>
          <t>GÄVLE</t>
        </is>
      </c>
      <c r="F11153" t="inlineStr">
        <is>
          <t>Kyrkan</t>
        </is>
      </c>
      <c r="G11153" t="n">
        <v>5.3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31922-2024</t>
        </is>
      </c>
      <c r="B11154" s="1" t="n">
        <v>45510.39796296296</v>
      </c>
      <c r="C11154" s="1" t="n">
        <v>46086</v>
      </c>
      <c r="D11154" t="inlineStr">
        <is>
          <t>GÄVLEBORGS LÄN</t>
        </is>
      </c>
      <c r="E11154" t="inlineStr">
        <is>
          <t>BOLLNÄS</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34873-2024</t>
        </is>
      </c>
      <c r="B11155" s="1" t="n">
        <v>45527</v>
      </c>
      <c r="C11155" s="1" t="n">
        <v>46086</v>
      </c>
      <c r="D11155" t="inlineStr">
        <is>
          <t>GÄVLEBORGS LÄN</t>
        </is>
      </c>
      <c r="E11155" t="inlineStr">
        <is>
          <t>HUDIKSVALL</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2760-2024</t>
        </is>
      </c>
      <c r="B11156" s="1" t="n">
        <v>45314.59423611111</v>
      </c>
      <c r="C11156" s="1" t="n">
        <v>46086</v>
      </c>
      <c r="D11156" t="inlineStr">
        <is>
          <t>GÄVLEBORGS LÄN</t>
        </is>
      </c>
      <c r="E11156" t="inlineStr">
        <is>
          <t>HUDIKSVALL</t>
        </is>
      </c>
      <c r="G11156" t="n">
        <v>2.4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321-2024</t>
        </is>
      </c>
      <c r="B11157" s="1" t="n">
        <v>45295</v>
      </c>
      <c r="C11157" s="1" t="n">
        <v>46086</v>
      </c>
      <c r="D11157" t="inlineStr">
        <is>
          <t>GÄVLEBORGS LÄN</t>
        </is>
      </c>
      <c r="E11157" t="inlineStr">
        <is>
          <t>NORDANSTIG</t>
        </is>
      </c>
      <c r="F11157" t="inlineStr">
        <is>
          <t>Holmen skog AB</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50899-2021</t>
        </is>
      </c>
      <c r="B11158" s="1" t="n">
        <v>44460</v>
      </c>
      <c r="C11158" s="1" t="n">
        <v>46086</v>
      </c>
      <c r="D11158" t="inlineStr">
        <is>
          <t>GÄVLEBORGS LÄN</t>
        </is>
      </c>
      <c r="E11158" t="inlineStr">
        <is>
          <t>HUDIKSVALL</t>
        </is>
      </c>
      <c r="F11158" t="inlineStr">
        <is>
          <t>Holmen skog AB</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58983-2023</t>
        </is>
      </c>
      <c r="B11159" s="1" t="n">
        <v>45252</v>
      </c>
      <c r="C11159" s="1" t="n">
        <v>46086</v>
      </c>
      <c r="D11159" t="inlineStr">
        <is>
          <t>GÄVLEBORGS LÄN</t>
        </is>
      </c>
      <c r="E11159" t="inlineStr">
        <is>
          <t>SANDVIKEN</t>
        </is>
      </c>
      <c r="F11159" t="inlineStr">
        <is>
          <t>Bergvik skog öst AB</t>
        </is>
      </c>
      <c r="G11159" t="n">
        <v>0.4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58870-2023</t>
        </is>
      </c>
      <c r="B11160" s="1" t="n">
        <v>45252</v>
      </c>
      <c r="C11160" s="1" t="n">
        <v>46086</v>
      </c>
      <c r="D11160" t="inlineStr">
        <is>
          <t>GÄVLEBORGS LÄN</t>
        </is>
      </c>
      <c r="E11160" t="inlineStr">
        <is>
          <t>NORDANSTIG</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25058-2022</t>
        </is>
      </c>
      <c r="B11161" s="1" t="n">
        <v>44729.31721064815</v>
      </c>
      <c r="C11161" s="1" t="n">
        <v>46086</v>
      </c>
      <c r="D11161" t="inlineStr">
        <is>
          <t>GÄVLEBORGS LÄN</t>
        </is>
      </c>
      <c r="E11161" t="inlineStr">
        <is>
          <t>OVANÅKER</t>
        </is>
      </c>
      <c r="G11161" t="n">
        <v>2.5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35879-2024</t>
        </is>
      </c>
      <c r="B11162" s="1" t="n">
        <v>45533.35337962963</v>
      </c>
      <c r="C11162" s="1" t="n">
        <v>46086</v>
      </c>
      <c r="D11162" t="inlineStr">
        <is>
          <t>GÄVLEBORGS LÄN</t>
        </is>
      </c>
      <c r="E11162" t="inlineStr">
        <is>
          <t>HUDIKSVALL</t>
        </is>
      </c>
      <c r="G11162" t="n">
        <v>3.8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24465-2023</t>
        </is>
      </c>
      <c r="B11163" s="1" t="n">
        <v>45082.5808912037</v>
      </c>
      <c r="C11163" s="1" t="n">
        <v>46086</v>
      </c>
      <c r="D11163" t="inlineStr">
        <is>
          <t>GÄVLEBORGS LÄN</t>
        </is>
      </c>
      <c r="E11163" t="inlineStr">
        <is>
          <t>SANDVIKEN</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24478-2023</t>
        </is>
      </c>
      <c r="B11164" s="1" t="n">
        <v>45082</v>
      </c>
      <c r="C11164" s="1" t="n">
        <v>46086</v>
      </c>
      <c r="D11164" t="inlineStr">
        <is>
          <t>GÄVLEBORGS LÄN</t>
        </is>
      </c>
      <c r="E11164" t="inlineStr">
        <is>
          <t>GÄVLE</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40260-2023</t>
        </is>
      </c>
      <c r="B11165" s="1" t="n">
        <v>45169.51258101852</v>
      </c>
      <c r="C11165" s="1" t="n">
        <v>46086</v>
      </c>
      <c r="D11165" t="inlineStr">
        <is>
          <t>GÄVLEBORGS LÄN</t>
        </is>
      </c>
      <c r="E11165" t="inlineStr">
        <is>
          <t>LJUSDAL</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36713-2021</t>
        </is>
      </c>
      <c r="B11166" s="1" t="n">
        <v>44392.53925925926</v>
      </c>
      <c r="C11166" s="1" t="n">
        <v>46086</v>
      </c>
      <c r="D11166" t="inlineStr">
        <is>
          <t>GÄVLEBORGS LÄN</t>
        </is>
      </c>
      <c r="E11166" t="inlineStr">
        <is>
          <t>LJUSDAL</t>
        </is>
      </c>
      <c r="F11166" t="inlineStr">
        <is>
          <t>Holmen skog AB</t>
        </is>
      </c>
      <c r="G11166" t="n">
        <v>5.6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2539-2023</t>
        </is>
      </c>
      <c r="B11167" s="1" t="n">
        <v>44943.64569444444</v>
      </c>
      <c r="C11167" s="1" t="n">
        <v>46086</v>
      </c>
      <c r="D11167" t="inlineStr">
        <is>
          <t>GÄVLEBORGS LÄN</t>
        </is>
      </c>
      <c r="E11167" t="inlineStr">
        <is>
          <t>BOLLNÄS</t>
        </is>
      </c>
      <c r="G11167" t="n">
        <v>14.6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51738-2022</t>
        </is>
      </c>
      <c r="B11168" s="1" t="n">
        <v>44872.48086805556</v>
      </c>
      <c r="C11168" s="1" t="n">
        <v>46086</v>
      </c>
      <c r="D11168" t="inlineStr">
        <is>
          <t>GÄVLEBORGS LÄN</t>
        </is>
      </c>
      <c r="E11168" t="inlineStr">
        <is>
          <t>LJUSDAL</t>
        </is>
      </c>
      <c r="F11168" t="inlineStr">
        <is>
          <t>Bergvik skog väst AB</t>
        </is>
      </c>
      <c r="G11168" t="n">
        <v>6.6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39526-2023</t>
        </is>
      </c>
      <c r="B11169" s="1" t="n">
        <v>45167.33568287037</v>
      </c>
      <c r="C11169" s="1" t="n">
        <v>46086</v>
      </c>
      <c r="D11169" t="inlineStr">
        <is>
          <t>GÄVLEBORGS LÄN</t>
        </is>
      </c>
      <c r="E11169" t="inlineStr">
        <is>
          <t>LJUSDAL</t>
        </is>
      </c>
      <c r="G11169" t="n">
        <v>6.1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51091-2024</t>
        </is>
      </c>
      <c r="B11170" s="1" t="n">
        <v>45603.46905092592</v>
      </c>
      <c r="C11170" s="1" t="n">
        <v>46086</v>
      </c>
      <c r="D11170" t="inlineStr">
        <is>
          <t>GÄVLEBORGS LÄN</t>
        </is>
      </c>
      <c r="E11170" t="inlineStr">
        <is>
          <t>NORDANSTIG</t>
        </is>
      </c>
      <c r="F11170" t="inlineStr">
        <is>
          <t>SCA</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33634-2024</t>
        </is>
      </c>
      <c r="B11171" s="1" t="n">
        <v>45520.43453703704</v>
      </c>
      <c r="C11171" s="1" t="n">
        <v>46086</v>
      </c>
      <c r="D11171" t="inlineStr">
        <is>
          <t>GÄVLEBORGS LÄN</t>
        </is>
      </c>
      <c r="E11171" t="inlineStr">
        <is>
          <t>OVANÅKER</t>
        </is>
      </c>
      <c r="F11171" t="inlineStr">
        <is>
          <t>Bergvik skog öst AB</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45912-2024</t>
        </is>
      </c>
      <c r="B11172" s="1" t="n">
        <v>45580</v>
      </c>
      <c r="C11172" s="1" t="n">
        <v>46086</v>
      </c>
      <c r="D11172" t="inlineStr">
        <is>
          <t>GÄVLEBORGS LÄN</t>
        </is>
      </c>
      <c r="E11172" t="inlineStr">
        <is>
          <t>LJUSDAL</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37744-2022</t>
        </is>
      </c>
      <c r="B11173" s="1" t="n">
        <v>44810.58422453704</v>
      </c>
      <c r="C11173" s="1" t="n">
        <v>46086</v>
      </c>
      <c r="D11173" t="inlineStr">
        <is>
          <t>GÄVLEBORGS LÄN</t>
        </is>
      </c>
      <c r="E11173" t="inlineStr">
        <is>
          <t>HOFORS</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30130-2024</t>
        </is>
      </c>
      <c r="B11174" s="1" t="n">
        <v>45489</v>
      </c>
      <c r="C11174" s="1" t="n">
        <v>46086</v>
      </c>
      <c r="D11174" t="inlineStr">
        <is>
          <t>GÄVLEBORGS LÄN</t>
        </is>
      </c>
      <c r="E11174" t="inlineStr">
        <is>
          <t>NORDANSTIG</t>
        </is>
      </c>
      <c r="F11174" t="inlineStr">
        <is>
          <t>Holmen skog AB</t>
        </is>
      </c>
      <c r="G11174" t="n">
        <v>3.9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46733-2021</t>
        </is>
      </c>
      <c r="B11175" s="1" t="n">
        <v>44445.67016203704</v>
      </c>
      <c r="C11175" s="1" t="n">
        <v>46086</v>
      </c>
      <c r="D11175" t="inlineStr">
        <is>
          <t>GÄVLEBORGS LÄN</t>
        </is>
      </c>
      <c r="E11175" t="inlineStr">
        <is>
          <t>OVANÅKER</t>
        </is>
      </c>
      <c r="F11175" t="inlineStr">
        <is>
          <t>Sveaskog</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2290-2025</t>
        </is>
      </c>
      <c r="B11176" s="1" t="n">
        <v>45673</v>
      </c>
      <c r="C11176" s="1" t="n">
        <v>46086</v>
      </c>
      <c r="D11176" t="inlineStr">
        <is>
          <t>GÄVLEBORGS LÄN</t>
        </is>
      </c>
      <c r="E11176" t="inlineStr">
        <is>
          <t>SANDVIKEN</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53156-2024</t>
        </is>
      </c>
      <c r="B11177" s="1" t="n">
        <v>45611.63006944444</v>
      </c>
      <c r="C11177" s="1" t="n">
        <v>46086</v>
      </c>
      <c r="D11177" t="inlineStr">
        <is>
          <t>GÄVLEBORGS LÄN</t>
        </is>
      </c>
      <c r="E11177" t="inlineStr">
        <is>
          <t>HUDIKSVALL</t>
        </is>
      </c>
      <c r="G11177" t="n">
        <v>2.6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30336-2022</t>
        </is>
      </c>
      <c r="B11178" s="1" t="n">
        <v>44760.47226851852</v>
      </c>
      <c r="C11178" s="1" t="n">
        <v>46086</v>
      </c>
      <c r="D11178" t="inlineStr">
        <is>
          <t>GÄVLEBORGS LÄN</t>
        </is>
      </c>
      <c r="E11178" t="inlineStr">
        <is>
          <t>SÖDERHAMN</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19442-2021</t>
        </is>
      </c>
      <c r="B11179" s="1" t="n">
        <v>44310</v>
      </c>
      <c r="C11179" s="1" t="n">
        <v>46086</v>
      </c>
      <c r="D11179" t="inlineStr">
        <is>
          <t>GÄVLEBORGS LÄN</t>
        </is>
      </c>
      <c r="E11179" t="inlineStr">
        <is>
          <t>OVANÅKER</t>
        </is>
      </c>
      <c r="F11179" t="inlineStr">
        <is>
          <t>Bergvik skog väst AB</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33987-2023</t>
        </is>
      </c>
      <c r="B11180" s="1" t="n">
        <v>45134</v>
      </c>
      <c r="C11180" s="1" t="n">
        <v>46086</v>
      </c>
      <c r="D11180" t="inlineStr">
        <is>
          <t>GÄVLEBORGS LÄN</t>
        </is>
      </c>
      <c r="E11180" t="inlineStr">
        <is>
          <t>OCKELBO</t>
        </is>
      </c>
      <c r="F11180" t="inlineStr">
        <is>
          <t>Bergvik skog väst AB</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17088-2023</t>
        </is>
      </c>
      <c r="B11181" s="1" t="n">
        <v>45034.52115740741</v>
      </c>
      <c r="C11181" s="1" t="n">
        <v>46086</v>
      </c>
      <c r="D11181" t="inlineStr">
        <is>
          <t>GÄVLEBORGS LÄN</t>
        </is>
      </c>
      <c r="E11181" t="inlineStr">
        <is>
          <t>GÄVLE</t>
        </is>
      </c>
      <c r="F11181" t="inlineStr">
        <is>
          <t>Bergvik skog öst AB</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30359-2024</t>
        </is>
      </c>
      <c r="B11182" s="1" t="n">
        <v>45491.34340277778</v>
      </c>
      <c r="C11182" s="1" t="n">
        <v>46086</v>
      </c>
      <c r="D11182" t="inlineStr">
        <is>
          <t>GÄVLEBORGS LÄN</t>
        </is>
      </c>
      <c r="E11182" t="inlineStr">
        <is>
          <t>SÖDERHAMN</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20282-2025</t>
        </is>
      </c>
      <c r="B11183" s="1" t="n">
        <v>45774.49193287037</v>
      </c>
      <c r="C11183" s="1" t="n">
        <v>46086</v>
      </c>
      <c r="D11183" t="inlineStr">
        <is>
          <t>GÄVLEBORGS LÄN</t>
        </is>
      </c>
      <c r="E11183" t="inlineStr">
        <is>
          <t>BOLLNÄS</t>
        </is>
      </c>
      <c r="F11183" t="inlineStr">
        <is>
          <t>Bergvik skog väst AB</t>
        </is>
      </c>
      <c r="G11183" t="n">
        <v>5.3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20364-2025</t>
        </is>
      </c>
      <c r="B11184" s="1" t="n">
        <v>45775.40340277777</v>
      </c>
      <c r="C11184" s="1" t="n">
        <v>46086</v>
      </c>
      <c r="D11184" t="inlineStr">
        <is>
          <t>GÄVLEBORGS LÄN</t>
        </is>
      </c>
      <c r="E11184" t="inlineStr">
        <is>
          <t>GÄVLE</t>
        </is>
      </c>
      <c r="G11184" t="n">
        <v>3.4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43673-2023</t>
        </is>
      </c>
      <c r="B11185" s="1" t="n">
        <v>45187.37011574074</v>
      </c>
      <c r="C11185" s="1" t="n">
        <v>46086</v>
      </c>
      <c r="D11185" t="inlineStr">
        <is>
          <t>GÄVLEBORGS LÄN</t>
        </is>
      </c>
      <c r="E11185" t="inlineStr">
        <is>
          <t>LJUSDAL</t>
        </is>
      </c>
      <c r="F11185" t="inlineStr">
        <is>
          <t>Bergvik skog väst AB</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33879-2023</t>
        </is>
      </c>
      <c r="B11186" s="1" t="n">
        <v>45134.05142361111</v>
      </c>
      <c r="C11186" s="1" t="n">
        <v>46086</v>
      </c>
      <c r="D11186" t="inlineStr">
        <is>
          <t>GÄVLEBORGS LÄN</t>
        </is>
      </c>
      <c r="E11186" t="inlineStr">
        <is>
          <t>OCKELBO</t>
        </is>
      </c>
      <c r="F11186" t="inlineStr">
        <is>
          <t>Bergvik skog väst AB</t>
        </is>
      </c>
      <c r="G11186" t="n">
        <v>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7792-2023</t>
        </is>
      </c>
      <c r="B11187" s="1" t="n">
        <v>44973.42633101852</v>
      </c>
      <c r="C11187" s="1" t="n">
        <v>46086</v>
      </c>
      <c r="D11187" t="inlineStr">
        <is>
          <t>GÄVLEBORGS LÄN</t>
        </is>
      </c>
      <c r="E11187" t="inlineStr">
        <is>
          <t>GÄVLE</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25402-2024</t>
        </is>
      </c>
      <c r="B11188" s="1" t="n">
        <v>45463.33690972222</v>
      </c>
      <c r="C11188" s="1" t="n">
        <v>46086</v>
      </c>
      <c r="D11188" t="inlineStr">
        <is>
          <t>GÄVLEBORGS LÄN</t>
        </is>
      </c>
      <c r="E11188" t="inlineStr">
        <is>
          <t>NORDANSTIG</t>
        </is>
      </c>
      <c r="F11188" t="inlineStr">
        <is>
          <t>Holmen skog AB</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54385-2024</t>
        </is>
      </c>
      <c r="B11189" s="1" t="n">
        <v>45617.44668981482</v>
      </c>
      <c r="C11189" s="1" t="n">
        <v>46086</v>
      </c>
      <c r="D11189" t="inlineStr">
        <is>
          <t>GÄVLEBORGS LÄN</t>
        </is>
      </c>
      <c r="E11189" t="inlineStr">
        <is>
          <t>NORDANSTIG</t>
        </is>
      </c>
      <c r="F11189" t="inlineStr">
        <is>
          <t>Holmen skog AB</t>
        </is>
      </c>
      <c r="G11189" t="n">
        <v>2.9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49529-2024</t>
        </is>
      </c>
      <c r="B11190" s="1" t="n">
        <v>45596.4116087963</v>
      </c>
      <c r="C11190" s="1" t="n">
        <v>46086</v>
      </c>
      <c r="D11190" t="inlineStr">
        <is>
          <t>GÄVLEBORGS LÄN</t>
        </is>
      </c>
      <c r="E11190" t="inlineStr">
        <is>
          <t>OCKELBO</t>
        </is>
      </c>
      <c r="G11190" t="n">
        <v>2.4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14735-2024</t>
        </is>
      </c>
      <c r="B11191" s="1" t="n">
        <v>45397</v>
      </c>
      <c r="C11191" s="1" t="n">
        <v>46086</v>
      </c>
      <c r="D11191" t="inlineStr">
        <is>
          <t>GÄVLEBORGS LÄN</t>
        </is>
      </c>
      <c r="E11191" t="inlineStr">
        <is>
          <t>GÄVLE</t>
        </is>
      </c>
      <c r="F11191" t="inlineStr">
        <is>
          <t>Bergvik skog öst AB</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57384-2024</t>
        </is>
      </c>
      <c r="B11192" s="1" t="n">
        <v>45629.68210648148</v>
      </c>
      <c r="C11192" s="1" t="n">
        <v>46086</v>
      </c>
      <c r="D11192" t="inlineStr">
        <is>
          <t>GÄVLEBORGS LÄN</t>
        </is>
      </c>
      <c r="E11192" t="inlineStr">
        <is>
          <t>BOLLNÄS</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59638-2024</t>
        </is>
      </c>
      <c r="B11193" s="1" t="n">
        <v>45639.28372685185</v>
      </c>
      <c r="C11193" s="1" t="n">
        <v>46086</v>
      </c>
      <c r="D11193" t="inlineStr">
        <is>
          <t>GÄVLEBORGS LÄN</t>
        </is>
      </c>
      <c r="E11193" t="inlineStr">
        <is>
          <t>BOLLNÄS</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22892-2023</t>
        </is>
      </c>
      <c r="B11194" s="1" t="n">
        <v>45072.5287962963</v>
      </c>
      <c r="C11194" s="1" t="n">
        <v>46086</v>
      </c>
      <c r="D11194" t="inlineStr">
        <is>
          <t>GÄVLEBORGS LÄN</t>
        </is>
      </c>
      <c r="E11194" t="inlineStr">
        <is>
          <t>HUDIKSVALL</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34229-2024</t>
        </is>
      </c>
      <c r="B11195" s="1" t="n">
        <v>45524</v>
      </c>
      <c r="C11195" s="1" t="n">
        <v>46086</v>
      </c>
      <c r="D11195" t="inlineStr">
        <is>
          <t>GÄVLEBORGS LÄN</t>
        </is>
      </c>
      <c r="E11195" t="inlineStr">
        <is>
          <t>LJUSDAL</t>
        </is>
      </c>
      <c r="G11195" t="n">
        <v>3.2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52206-2022</t>
        </is>
      </c>
      <c r="B11196" s="1" t="n">
        <v>44869</v>
      </c>
      <c r="C11196" s="1" t="n">
        <v>46086</v>
      </c>
      <c r="D11196" t="inlineStr">
        <is>
          <t>GÄVLEBORGS LÄN</t>
        </is>
      </c>
      <c r="E11196" t="inlineStr">
        <is>
          <t>NORDANSTIG</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4556-2025</t>
        </is>
      </c>
      <c r="B11197" s="1" t="n">
        <v>45687.44737268519</v>
      </c>
      <c r="C11197" s="1" t="n">
        <v>46086</v>
      </c>
      <c r="D11197" t="inlineStr">
        <is>
          <t>GÄVLEBORGS LÄN</t>
        </is>
      </c>
      <c r="E11197" t="inlineStr">
        <is>
          <t>NORDANSTIG</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10184-2022</t>
        </is>
      </c>
      <c r="B11198" s="1" t="n">
        <v>44622</v>
      </c>
      <c r="C11198" s="1" t="n">
        <v>46086</v>
      </c>
      <c r="D11198" t="inlineStr">
        <is>
          <t>GÄVLEBORGS LÄN</t>
        </is>
      </c>
      <c r="E11198" t="inlineStr">
        <is>
          <t>HOFORS</t>
        </is>
      </c>
      <c r="G11198" t="n">
        <v>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35761-2022</t>
        </is>
      </c>
      <c r="B11199" s="1" t="n">
        <v>44800</v>
      </c>
      <c r="C11199" s="1" t="n">
        <v>46086</v>
      </c>
      <c r="D11199" t="inlineStr">
        <is>
          <t>GÄVLEBORGS LÄN</t>
        </is>
      </c>
      <c r="E11199" t="inlineStr">
        <is>
          <t>GÄVLE</t>
        </is>
      </c>
      <c r="G11199" t="n">
        <v>8.199999999999999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51788-2024</t>
        </is>
      </c>
      <c r="B11200" s="1" t="n">
        <v>45607.46204861111</v>
      </c>
      <c r="C11200" s="1" t="n">
        <v>46086</v>
      </c>
      <c r="D11200" t="inlineStr">
        <is>
          <t>GÄVLEBORGS LÄN</t>
        </is>
      </c>
      <c r="E11200" t="inlineStr">
        <is>
          <t>OVANÅKER</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28174-2023</t>
        </is>
      </c>
      <c r="B11201" s="1" t="n">
        <v>45099</v>
      </c>
      <c r="C11201" s="1" t="n">
        <v>46086</v>
      </c>
      <c r="D11201" t="inlineStr">
        <is>
          <t>GÄVLEBORGS LÄN</t>
        </is>
      </c>
      <c r="E11201" t="inlineStr">
        <is>
          <t>HUDIKSVALL</t>
        </is>
      </c>
      <c r="G11201" t="n">
        <v>3.3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28179-2023</t>
        </is>
      </c>
      <c r="B11202" s="1" t="n">
        <v>45099.53201388889</v>
      </c>
      <c r="C11202" s="1" t="n">
        <v>46086</v>
      </c>
      <c r="D11202" t="inlineStr">
        <is>
          <t>GÄVLEBORGS LÄN</t>
        </is>
      </c>
      <c r="E11202" t="inlineStr">
        <is>
          <t>BOLLNÄS</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10602-2022</t>
        </is>
      </c>
      <c r="B11203" s="1" t="n">
        <v>44624</v>
      </c>
      <c r="C11203" s="1" t="n">
        <v>46086</v>
      </c>
      <c r="D11203" t="inlineStr">
        <is>
          <t>GÄVLEBORGS LÄN</t>
        </is>
      </c>
      <c r="E11203" t="inlineStr">
        <is>
          <t>HOFORS</t>
        </is>
      </c>
      <c r="G11203" t="n">
        <v>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47531-2021</t>
        </is>
      </c>
      <c r="B11204" s="1" t="n">
        <v>44447</v>
      </c>
      <c r="C11204" s="1" t="n">
        <v>46086</v>
      </c>
      <c r="D11204" t="inlineStr">
        <is>
          <t>GÄVLEBORGS LÄN</t>
        </is>
      </c>
      <c r="E11204" t="inlineStr">
        <is>
          <t>HOFORS</t>
        </is>
      </c>
      <c r="G11204" t="n">
        <v>7.6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41249-2024</t>
        </is>
      </c>
      <c r="B11205" s="1" t="n">
        <v>45559.57722222222</v>
      </c>
      <c r="C11205" s="1" t="n">
        <v>46086</v>
      </c>
      <c r="D11205" t="inlineStr">
        <is>
          <t>GÄVLEBORGS LÄN</t>
        </is>
      </c>
      <c r="E11205" t="inlineStr">
        <is>
          <t>HUDIKSVALL</t>
        </is>
      </c>
      <c r="F11205" t="inlineStr">
        <is>
          <t>Holmen skog AB</t>
        </is>
      </c>
      <c r="G11205" t="n">
        <v>16.3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22440-2023</t>
        </is>
      </c>
      <c r="B11206" s="1" t="n">
        <v>45070.69100694444</v>
      </c>
      <c r="C11206" s="1" t="n">
        <v>46086</v>
      </c>
      <c r="D11206" t="inlineStr">
        <is>
          <t>GÄVLEBORGS LÄN</t>
        </is>
      </c>
      <c r="E11206" t="inlineStr">
        <is>
          <t>LJUSDAL</t>
        </is>
      </c>
      <c r="F11206" t="inlineStr">
        <is>
          <t>Holmen skog AB</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12398-2023</t>
        </is>
      </c>
      <c r="B11207" s="1" t="n">
        <v>44999.49780092593</v>
      </c>
      <c r="C11207" s="1" t="n">
        <v>46086</v>
      </c>
      <c r="D11207" t="inlineStr">
        <is>
          <t>GÄVLEBORGS LÄN</t>
        </is>
      </c>
      <c r="E11207" t="inlineStr">
        <is>
          <t>NORDANSTIG</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12451-2023</t>
        </is>
      </c>
      <c r="B11208" s="1" t="n">
        <v>44999.57931712963</v>
      </c>
      <c r="C11208" s="1" t="n">
        <v>46086</v>
      </c>
      <c r="D11208" t="inlineStr">
        <is>
          <t>GÄVLEBORGS LÄN</t>
        </is>
      </c>
      <c r="E11208" t="inlineStr">
        <is>
          <t>BOLLNÄS</t>
        </is>
      </c>
      <c r="G11208" t="n">
        <v>0.2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16820-2025</t>
        </is>
      </c>
      <c r="B11209" s="1" t="n">
        <v>45754.64225694445</v>
      </c>
      <c r="C11209" s="1" t="n">
        <v>46086</v>
      </c>
      <c r="D11209" t="inlineStr">
        <is>
          <t>GÄVLEBORGS LÄN</t>
        </is>
      </c>
      <c r="E11209" t="inlineStr">
        <is>
          <t>SANDVIKEN</t>
        </is>
      </c>
      <c r="G11209" t="n">
        <v>2.2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16895-2025</t>
        </is>
      </c>
      <c r="B11210" s="1" t="n">
        <v>45755.33472222222</v>
      </c>
      <c r="C11210" s="1" t="n">
        <v>46086</v>
      </c>
      <c r="D11210" t="inlineStr">
        <is>
          <t>GÄVLEBORGS LÄN</t>
        </is>
      </c>
      <c r="E11210" t="inlineStr">
        <is>
          <t>GÄVLE</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42306-2023</t>
        </is>
      </c>
      <c r="B11211" s="1" t="n">
        <v>45180.45332175926</v>
      </c>
      <c r="C11211" s="1" t="n">
        <v>46086</v>
      </c>
      <c r="D11211" t="inlineStr">
        <is>
          <t>GÄVLEBORGS LÄN</t>
        </is>
      </c>
      <c r="E11211" t="inlineStr">
        <is>
          <t>BOLLNÄS</t>
        </is>
      </c>
      <c r="G11211" t="n">
        <v>4.8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1372-2025</t>
        </is>
      </c>
      <c r="B11212" s="1" t="n">
        <v>45667.64702546296</v>
      </c>
      <c r="C11212" s="1" t="n">
        <v>46086</v>
      </c>
      <c r="D11212" t="inlineStr">
        <is>
          <t>GÄVLEBORGS LÄN</t>
        </is>
      </c>
      <c r="E11212" t="inlineStr">
        <is>
          <t>SANDVIKEN</t>
        </is>
      </c>
      <c r="G11212" t="n">
        <v>2.2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13443-2024</t>
        </is>
      </c>
      <c r="B11213" s="1" t="n">
        <v>45387.49703703704</v>
      </c>
      <c r="C11213" s="1" t="n">
        <v>46086</v>
      </c>
      <c r="D11213" t="inlineStr">
        <is>
          <t>GÄVLEBORGS LÄN</t>
        </is>
      </c>
      <c r="E11213" t="inlineStr">
        <is>
          <t>OVANÅKER</t>
        </is>
      </c>
      <c r="G11213" t="n">
        <v>2.9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14594-2021</t>
        </is>
      </c>
      <c r="B11214" s="1" t="n">
        <v>44279</v>
      </c>
      <c r="C11214" s="1" t="n">
        <v>46086</v>
      </c>
      <c r="D11214" t="inlineStr">
        <is>
          <t>GÄVLEBORGS LÄN</t>
        </is>
      </c>
      <c r="E11214" t="inlineStr">
        <is>
          <t>GÄVLE</t>
        </is>
      </c>
      <c r="G11214" t="n">
        <v>2.7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10486-2024</t>
        </is>
      </c>
      <c r="B11215" s="1" t="n">
        <v>45366</v>
      </c>
      <c r="C11215" s="1" t="n">
        <v>46086</v>
      </c>
      <c r="D11215" t="inlineStr">
        <is>
          <t>GÄVLEBORGS LÄN</t>
        </is>
      </c>
      <c r="E11215" t="inlineStr">
        <is>
          <t>BOLLNÄS</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46636-2024</t>
        </is>
      </c>
      <c r="B11216" s="1" t="n">
        <v>45583.34546296296</v>
      </c>
      <c r="C11216" s="1" t="n">
        <v>46086</v>
      </c>
      <c r="D11216" t="inlineStr">
        <is>
          <t>GÄVLEBORGS LÄN</t>
        </is>
      </c>
      <c r="E11216" t="inlineStr">
        <is>
          <t>OCKELBO</t>
        </is>
      </c>
      <c r="G11216" t="n">
        <v>3.4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18913-2025</t>
        </is>
      </c>
      <c r="B11217" s="1" t="n">
        <v>45764.46673611111</v>
      </c>
      <c r="C11217" s="1" t="n">
        <v>46086</v>
      </c>
      <c r="D11217" t="inlineStr">
        <is>
          <t>GÄVLEBORGS LÄN</t>
        </is>
      </c>
      <c r="E11217" t="inlineStr">
        <is>
          <t>SÖDERHAMN</t>
        </is>
      </c>
      <c r="F11217" t="inlineStr">
        <is>
          <t>Kommuner</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18924-2025</t>
        </is>
      </c>
      <c r="B11218" s="1" t="n">
        <v>45764.48153935185</v>
      </c>
      <c r="C11218" s="1" t="n">
        <v>46086</v>
      </c>
      <c r="D11218" t="inlineStr">
        <is>
          <t>GÄVLEBORGS LÄN</t>
        </is>
      </c>
      <c r="E11218" t="inlineStr">
        <is>
          <t>SÖDERHAMN</t>
        </is>
      </c>
      <c r="F11218" t="inlineStr">
        <is>
          <t>Kommuner</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6324-2023</t>
        </is>
      </c>
      <c r="B11219" s="1" t="n">
        <v>44965.48253472222</v>
      </c>
      <c r="C11219" s="1" t="n">
        <v>46086</v>
      </c>
      <c r="D11219" t="inlineStr">
        <is>
          <t>GÄVLEBORGS LÄN</t>
        </is>
      </c>
      <c r="E11219" t="inlineStr">
        <is>
          <t>NORDANSTIG</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49713-2023</t>
        </is>
      </c>
      <c r="B11220" s="1" t="n">
        <v>45212.43078703704</v>
      </c>
      <c r="C11220" s="1" t="n">
        <v>46086</v>
      </c>
      <c r="D11220" t="inlineStr">
        <is>
          <t>GÄVLEBORGS LÄN</t>
        </is>
      </c>
      <c r="E11220" t="inlineStr">
        <is>
          <t>BOLLNÄS</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56034-2023</t>
        </is>
      </c>
      <c r="B11221" s="1" t="n">
        <v>45240.43925925926</v>
      </c>
      <c r="C11221" s="1" t="n">
        <v>46086</v>
      </c>
      <c r="D11221" t="inlineStr">
        <is>
          <t>GÄVLEBORGS LÄN</t>
        </is>
      </c>
      <c r="E11221" t="inlineStr">
        <is>
          <t>OCKELBO</t>
        </is>
      </c>
      <c r="F11221" t="inlineStr">
        <is>
          <t>Bergvik skog väst AB</t>
        </is>
      </c>
      <c r="G11221" t="n">
        <v>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574-2025</t>
        </is>
      </c>
      <c r="B11222" s="1" t="n">
        <v>45664.56424768519</v>
      </c>
      <c r="C11222" s="1" t="n">
        <v>46086</v>
      </c>
      <c r="D11222" t="inlineStr">
        <is>
          <t>GÄVLEBORGS LÄN</t>
        </is>
      </c>
      <c r="E11222" t="inlineStr">
        <is>
          <t>LJUSDAL</t>
        </is>
      </c>
      <c r="F11222" t="inlineStr">
        <is>
          <t>Bergvik skog väst AB</t>
        </is>
      </c>
      <c r="G11222" t="n">
        <v>18.1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25208-2024</t>
        </is>
      </c>
      <c r="B11223" s="1" t="n">
        <v>45462.57657407408</v>
      </c>
      <c r="C11223" s="1" t="n">
        <v>46086</v>
      </c>
      <c r="D11223" t="inlineStr">
        <is>
          <t>GÄVLEBORGS LÄN</t>
        </is>
      </c>
      <c r="E11223" t="inlineStr">
        <is>
          <t>LJUSDAL</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27202-2024</t>
        </is>
      </c>
      <c r="B11224" s="1" t="n">
        <v>45471.6062962963</v>
      </c>
      <c r="C11224" s="1" t="n">
        <v>46086</v>
      </c>
      <c r="D11224" t="inlineStr">
        <is>
          <t>GÄVLEBORGS LÄN</t>
        </is>
      </c>
      <c r="E11224" t="inlineStr">
        <is>
          <t>BOLLNÄS</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34735-2024</t>
        </is>
      </c>
      <c r="B11225" s="1" t="n">
        <v>45526.58457175926</v>
      </c>
      <c r="C11225" s="1" t="n">
        <v>46086</v>
      </c>
      <c r="D11225" t="inlineStr">
        <is>
          <t>GÄVLEBORGS LÄN</t>
        </is>
      </c>
      <c r="E11225" t="inlineStr">
        <is>
          <t>NORDANSTIG</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1418-2025</t>
        </is>
      </c>
      <c r="B11226" s="1" t="n">
        <v>45668.41842592593</v>
      </c>
      <c r="C11226" s="1" t="n">
        <v>46086</v>
      </c>
      <c r="D11226" t="inlineStr">
        <is>
          <t>GÄVLEBORGS LÄN</t>
        </is>
      </c>
      <c r="E11226" t="inlineStr">
        <is>
          <t>SANDVIKEN</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63932-2023</t>
        </is>
      </c>
      <c r="B11227" s="1" t="n">
        <v>45278.6055324074</v>
      </c>
      <c r="C11227" s="1" t="n">
        <v>46086</v>
      </c>
      <c r="D11227" t="inlineStr">
        <is>
          <t>GÄVLEBORGS LÄN</t>
        </is>
      </c>
      <c r="E11227" t="inlineStr">
        <is>
          <t>SÖDERHAMN</t>
        </is>
      </c>
      <c r="G11227" t="n">
        <v>0.4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52330-2024</t>
        </is>
      </c>
      <c r="B11228" s="1" t="n">
        <v>45609.31627314815</v>
      </c>
      <c r="C11228" s="1" t="n">
        <v>46086</v>
      </c>
      <c r="D11228" t="inlineStr">
        <is>
          <t>GÄVLEBORGS LÄN</t>
        </is>
      </c>
      <c r="E11228" t="inlineStr">
        <is>
          <t>OCKELBO</t>
        </is>
      </c>
      <c r="F11228" t="inlineStr">
        <is>
          <t>Bergvik skog väst AB</t>
        </is>
      </c>
      <c r="G11228" t="n">
        <v>5.6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2105-2023</t>
        </is>
      </c>
      <c r="B11229" s="1" t="n">
        <v>44939.9237037037</v>
      </c>
      <c r="C11229" s="1" t="n">
        <v>46086</v>
      </c>
      <c r="D11229" t="inlineStr">
        <is>
          <t>GÄVLEBORGS LÄN</t>
        </is>
      </c>
      <c r="E11229" t="inlineStr">
        <is>
          <t>NORDANSTIG</t>
        </is>
      </c>
      <c r="G11229" t="n">
        <v>3.6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34449-2023</t>
        </is>
      </c>
      <c r="B11230" s="1" t="n">
        <v>45139.67980324074</v>
      </c>
      <c r="C11230" s="1" t="n">
        <v>46086</v>
      </c>
      <c r="D11230" t="inlineStr">
        <is>
          <t>GÄVLEBORGS LÄN</t>
        </is>
      </c>
      <c r="E11230" t="inlineStr">
        <is>
          <t>OCKELBO</t>
        </is>
      </c>
      <c r="G11230" t="n">
        <v>3.4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32630-2024</t>
        </is>
      </c>
      <c r="B11231" s="1" t="n">
        <v>45513.84513888889</v>
      </c>
      <c r="C11231" s="1" t="n">
        <v>46086</v>
      </c>
      <c r="D11231" t="inlineStr">
        <is>
          <t>GÄVLEBORGS LÄN</t>
        </is>
      </c>
      <c r="E11231" t="inlineStr">
        <is>
          <t>HUDIKSVALL</t>
        </is>
      </c>
      <c r="F11231" t="inlineStr">
        <is>
          <t>Holmen skog AB</t>
        </is>
      </c>
      <c r="G11231" t="n">
        <v>3.6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23125-2021</t>
        </is>
      </c>
      <c r="B11232" s="1" t="n">
        <v>44330.69190972222</v>
      </c>
      <c r="C11232" s="1" t="n">
        <v>46086</v>
      </c>
      <c r="D11232" t="inlineStr">
        <is>
          <t>GÄVLEBORGS LÄN</t>
        </is>
      </c>
      <c r="E11232" t="inlineStr">
        <is>
          <t>SÖDERHAMN</t>
        </is>
      </c>
      <c r="G11232" t="n">
        <v>9.5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59851-2024</t>
        </is>
      </c>
      <c r="B11233" s="1" t="n">
        <v>45639</v>
      </c>
      <c r="C11233" s="1" t="n">
        <v>46086</v>
      </c>
      <c r="D11233" t="inlineStr">
        <is>
          <t>GÄVLEBORGS LÄN</t>
        </is>
      </c>
      <c r="E11233" t="inlineStr">
        <is>
          <t>NORDANSTIG</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38040-2021</t>
        </is>
      </c>
      <c r="B11234" s="1" t="n">
        <v>44404</v>
      </c>
      <c r="C11234" s="1" t="n">
        <v>46086</v>
      </c>
      <c r="D11234" t="inlineStr">
        <is>
          <t>GÄVLEBORGS LÄN</t>
        </is>
      </c>
      <c r="E11234" t="inlineStr">
        <is>
          <t>LJUSDAL</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23230-2024</t>
        </is>
      </c>
      <c r="B11235" s="1" t="n">
        <v>45453</v>
      </c>
      <c r="C11235" s="1" t="n">
        <v>46086</v>
      </c>
      <c r="D11235" t="inlineStr">
        <is>
          <t>GÄVLEBORGS LÄN</t>
        </is>
      </c>
      <c r="E11235" t="inlineStr">
        <is>
          <t>SÖDERHAMN</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15464-2023</t>
        </is>
      </c>
      <c r="B11236" s="1" t="n">
        <v>45020.4343287037</v>
      </c>
      <c r="C11236" s="1" t="n">
        <v>46086</v>
      </c>
      <c r="D11236" t="inlineStr">
        <is>
          <t>GÄVLEBORGS LÄN</t>
        </is>
      </c>
      <c r="E11236" t="inlineStr">
        <is>
          <t>NORDANSTIG</t>
        </is>
      </c>
      <c r="F11236" t="inlineStr">
        <is>
          <t>Holmen skog AB</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24210-2023</t>
        </is>
      </c>
      <c r="B11237" s="1" t="n">
        <v>45079.57248842593</v>
      </c>
      <c r="C11237" s="1" t="n">
        <v>46086</v>
      </c>
      <c r="D11237" t="inlineStr">
        <is>
          <t>GÄVLEBORGS LÄN</t>
        </is>
      </c>
      <c r="E11237" t="inlineStr">
        <is>
          <t>HUDIKSVALL</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26531-2023</t>
        </is>
      </c>
      <c r="B11238" s="1" t="n">
        <v>45092.57606481481</v>
      </c>
      <c r="C11238" s="1" t="n">
        <v>46086</v>
      </c>
      <c r="D11238" t="inlineStr">
        <is>
          <t>GÄVLEBORGS LÄN</t>
        </is>
      </c>
      <c r="E11238" t="inlineStr">
        <is>
          <t>BOLLNÄS</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26554-2022</t>
        </is>
      </c>
      <c r="B11239" s="1" t="n">
        <v>44739.47634259259</v>
      </c>
      <c r="C11239" s="1" t="n">
        <v>46086</v>
      </c>
      <c r="D11239" t="inlineStr">
        <is>
          <t>GÄVLEBORGS LÄN</t>
        </is>
      </c>
      <c r="E11239" t="inlineStr">
        <is>
          <t>SÖDERHAMN</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22293-2024</t>
        </is>
      </c>
      <c r="B11240" s="1" t="n">
        <v>45446.55873842593</v>
      </c>
      <c r="C11240" s="1" t="n">
        <v>46086</v>
      </c>
      <c r="D11240" t="inlineStr">
        <is>
          <t>GÄVLEBORGS LÄN</t>
        </is>
      </c>
      <c r="E11240" t="inlineStr">
        <is>
          <t>OCKELBO</t>
        </is>
      </c>
      <c r="G11240" t="n">
        <v>3.9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22294-2024</t>
        </is>
      </c>
      <c r="B11241" s="1" t="n">
        <v>45446.56048611111</v>
      </c>
      <c r="C11241" s="1" t="n">
        <v>46086</v>
      </c>
      <c r="D11241" t="inlineStr">
        <is>
          <t>GÄVLEBORGS LÄN</t>
        </is>
      </c>
      <c r="E11241" t="inlineStr">
        <is>
          <t>LJUSDAL</t>
        </is>
      </c>
      <c r="F11241" t="inlineStr">
        <is>
          <t>Bergvik skog väst AB</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22347-2024</t>
        </is>
      </c>
      <c r="B11242" s="1" t="n">
        <v>45446.61068287037</v>
      </c>
      <c r="C11242" s="1" t="n">
        <v>46086</v>
      </c>
      <c r="D11242" t="inlineStr">
        <is>
          <t>GÄVLEBORGS LÄN</t>
        </is>
      </c>
      <c r="E11242" t="inlineStr">
        <is>
          <t>OVANÅKER</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32925-2023</t>
        </is>
      </c>
      <c r="B11243" s="1" t="n">
        <v>45125</v>
      </c>
      <c r="C11243" s="1" t="n">
        <v>46086</v>
      </c>
      <c r="D11243" t="inlineStr">
        <is>
          <t>GÄVLEBORGS LÄN</t>
        </is>
      </c>
      <c r="E11243" t="inlineStr">
        <is>
          <t>NORDANSTIG</t>
        </is>
      </c>
      <c r="F11243" t="inlineStr">
        <is>
          <t>Holmen skog AB</t>
        </is>
      </c>
      <c r="G11243" t="n">
        <v>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48139-2023</t>
        </is>
      </c>
      <c r="B11244" s="1" t="n">
        <v>45205.3875</v>
      </c>
      <c r="C11244" s="1" t="n">
        <v>46086</v>
      </c>
      <c r="D11244" t="inlineStr">
        <is>
          <t>GÄVLEBORGS LÄN</t>
        </is>
      </c>
      <c r="E11244" t="inlineStr">
        <is>
          <t>SÖDERHAMN</t>
        </is>
      </c>
      <c r="G11244" t="n">
        <v>2.9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43665-2024</t>
        </is>
      </c>
      <c r="B11245" s="1" t="n">
        <v>45569.56012731481</v>
      </c>
      <c r="C11245" s="1" t="n">
        <v>46086</v>
      </c>
      <c r="D11245" t="inlineStr">
        <is>
          <t>GÄVLEBORGS LÄN</t>
        </is>
      </c>
      <c r="E11245" t="inlineStr">
        <is>
          <t>HUDIKSVALL</t>
        </is>
      </c>
      <c r="F11245" t="inlineStr">
        <is>
          <t>Kommuner</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43716-2023</t>
        </is>
      </c>
      <c r="B11246" s="1" t="n">
        <v>45187</v>
      </c>
      <c r="C11246" s="1" t="n">
        <v>46086</v>
      </c>
      <c r="D11246" t="inlineStr">
        <is>
          <t>GÄVLEBORGS LÄN</t>
        </is>
      </c>
      <c r="E11246" t="inlineStr">
        <is>
          <t>SANDVIKEN</t>
        </is>
      </c>
      <c r="F11246" t="inlineStr">
        <is>
          <t>Sveaskog</t>
        </is>
      </c>
      <c r="G11246" t="n">
        <v>1.6</v>
      </c>
      <c r="H11246" t="n">
        <v>0</v>
      </c>
      <c r="I11246" t="n">
        <v>0</v>
      </c>
      <c r="J11246" t="n">
        <v>0</v>
      </c>
      <c r="K11246" t="n">
        <v>0</v>
      </c>
      <c r="L11246" t="n">
        <v>0</v>
      </c>
      <c r="M11246" t="n">
        <v>0</v>
      </c>
      <c r="N11246" t="n">
        <v>0</v>
      </c>
      <c r="O11246" t="n">
        <v>0</v>
      </c>
      <c r="P11246" t="n">
        <v>0</v>
      </c>
      <c r="Q11246" t="n">
        <v>0</v>
      </c>
      <c r="R11246" s="2" t="inlineStr"/>
      <c r="U11246">
        <f>HYPERLINK("https://klasma.github.io/Logging_2181/knärot/A 43716-2023 karta knärot.png", "A 43716-2023")</f>
        <v/>
      </c>
      <c r="V11246">
        <f>HYPERLINK("https://klasma.github.io/Logging_2181/klagomål/A 43716-2023 FSC-klagomål.docx", "A 43716-2023")</f>
        <v/>
      </c>
      <c r="W11246">
        <f>HYPERLINK("https://klasma.github.io/Logging_2181/klagomålsmail/A 43716-2023 FSC-klagomål mail.docx", "A 43716-2023")</f>
        <v/>
      </c>
      <c r="X11246">
        <f>HYPERLINK("https://klasma.github.io/Logging_2181/tillsyn/A 43716-2023 tillsynsbegäran.docx", "A 43716-2023")</f>
        <v/>
      </c>
      <c r="Y11246">
        <f>HYPERLINK("https://klasma.github.io/Logging_2181/tillsynsmail/A 43716-2023 tillsynsbegäran mail.docx", "A 43716-2023")</f>
        <v/>
      </c>
    </row>
    <row r="11247" ht="15" customHeight="1">
      <c r="A11247" t="inlineStr">
        <is>
          <t>A 21009-2022</t>
        </is>
      </c>
      <c r="B11247" s="1" t="n">
        <v>44704.34877314815</v>
      </c>
      <c r="C11247" s="1" t="n">
        <v>46086</v>
      </c>
      <c r="D11247" t="inlineStr">
        <is>
          <t>GÄVLEBORGS LÄN</t>
        </is>
      </c>
      <c r="E11247" t="inlineStr">
        <is>
          <t>BOLLNÄS</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60908-2022</t>
        </is>
      </c>
      <c r="B11248" s="1" t="n">
        <v>44914</v>
      </c>
      <c r="C11248" s="1" t="n">
        <v>46086</v>
      </c>
      <c r="D11248" t="inlineStr">
        <is>
          <t>GÄVLEBORGS LÄN</t>
        </is>
      </c>
      <c r="E11248" t="inlineStr">
        <is>
          <t>SANDVIKEN</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3474-2024</t>
        </is>
      </c>
      <c r="B11249" s="1" t="n">
        <v>45320</v>
      </c>
      <c r="C11249" s="1" t="n">
        <v>46086</v>
      </c>
      <c r="D11249" t="inlineStr">
        <is>
          <t>GÄVLEBORGS LÄN</t>
        </is>
      </c>
      <c r="E11249" t="inlineStr">
        <is>
          <t>NORDANSTIG</t>
        </is>
      </c>
      <c r="F11249" t="inlineStr">
        <is>
          <t>Holmen skog AB</t>
        </is>
      </c>
      <c r="G11249" t="n">
        <v>5.7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55741-2023</t>
        </is>
      </c>
      <c r="B11250" s="1" t="n">
        <v>45239.4411574074</v>
      </c>
      <c r="C11250" s="1" t="n">
        <v>46086</v>
      </c>
      <c r="D11250" t="inlineStr">
        <is>
          <t>GÄVLEBORGS LÄN</t>
        </is>
      </c>
      <c r="E11250" t="inlineStr">
        <is>
          <t>HUDIKSVALL</t>
        </is>
      </c>
      <c r="F11250" t="inlineStr">
        <is>
          <t>Holmen skog AB</t>
        </is>
      </c>
      <c r="G11250" t="n">
        <v>7.1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1409-2024</t>
        </is>
      </c>
      <c r="B11251" s="1" t="n">
        <v>45303.60253472222</v>
      </c>
      <c r="C11251" s="1" t="n">
        <v>46086</v>
      </c>
      <c r="D11251" t="inlineStr">
        <is>
          <t>GÄVLEBORGS LÄN</t>
        </is>
      </c>
      <c r="E11251" t="inlineStr">
        <is>
          <t>HUDIKSVALL</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40965-2023</t>
        </is>
      </c>
      <c r="B11252" s="1" t="n">
        <v>45173</v>
      </c>
      <c r="C11252" s="1" t="n">
        <v>46086</v>
      </c>
      <c r="D11252" t="inlineStr">
        <is>
          <t>GÄVLEBORGS LÄN</t>
        </is>
      </c>
      <c r="E11252" t="inlineStr">
        <is>
          <t>HUDIKSVALL</t>
        </is>
      </c>
      <c r="F11252" t="inlineStr">
        <is>
          <t>Holmen skog AB</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22977-2024</t>
        </is>
      </c>
      <c r="B11253" s="1" t="n">
        <v>45449.86233796296</v>
      </c>
      <c r="C11253" s="1" t="n">
        <v>46086</v>
      </c>
      <c r="D11253" t="inlineStr">
        <is>
          <t>GÄVLEBORGS LÄN</t>
        </is>
      </c>
      <c r="E11253" t="inlineStr">
        <is>
          <t>HUDIKSVALL</t>
        </is>
      </c>
      <c r="F11253" t="inlineStr">
        <is>
          <t>Holmen skog AB</t>
        </is>
      </c>
      <c r="G11253" t="n">
        <v>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29837-2023</t>
        </is>
      </c>
      <c r="B11254" s="1" t="n">
        <v>45107.58168981481</v>
      </c>
      <c r="C11254" s="1" t="n">
        <v>46086</v>
      </c>
      <c r="D11254" t="inlineStr">
        <is>
          <t>GÄVLEBORGS LÄN</t>
        </is>
      </c>
      <c r="E11254" t="inlineStr">
        <is>
          <t>LJUSDAL</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943-2024</t>
        </is>
      </c>
      <c r="B11255" s="1" t="n">
        <v>45301.53942129629</v>
      </c>
      <c r="C11255" s="1" t="n">
        <v>46086</v>
      </c>
      <c r="D11255" t="inlineStr">
        <is>
          <t>GÄVLEBORGS LÄN</t>
        </is>
      </c>
      <c r="E11255" t="inlineStr">
        <is>
          <t>OVANÅKER</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33487-2024</t>
        </is>
      </c>
      <c r="B11256" s="1" t="n">
        <v>45519.61461805556</v>
      </c>
      <c r="C11256" s="1" t="n">
        <v>46086</v>
      </c>
      <c r="D11256" t="inlineStr">
        <is>
          <t>GÄVLEBORGS LÄN</t>
        </is>
      </c>
      <c r="E11256" t="inlineStr">
        <is>
          <t>SANDVIKEN</t>
        </is>
      </c>
      <c r="G11256" t="n">
        <v>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58168-2024</t>
        </is>
      </c>
      <c r="B11257" s="1" t="n">
        <v>45632.45894675926</v>
      </c>
      <c r="C11257" s="1" t="n">
        <v>46086</v>
      </c>
      <c r="D11257" t="inlineStr">
        <is>
          <t>GÄVLEBORGS LÄN</t>
        </is>
      </c>
      <c r="E11257" t="inlineStr">
        <is>
          <t>LJUSDAL</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62619-2023</t>
        </is>
      </c>
      <c r="B11258" s="1" t="n">
        <v>45271.35469907407</v>
      </c>
      <c r="C11258" s="1" t="n">
        <v>46086</v>
      </c>
      <c r="D11258" t="inlineStr">
        <is>
          <t>GÄVLEBORGS LÄN</t>
        </is>
      </c>
      <c r="E11258" t="inlineStr">
        <is>
          <t>NORDANSTIG</t>
        </is>
      </c>
      <c r="F11258" t="inlineStr">
        <is>
          <t>Holmen skog AB</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4075-2025</t>
        </is>
      </c>
      <c r="B11259" s="1" t="n">
        <v>45684.64509259259</v>
      </c>
      <c r="C11259" s="1" t="n">
        <v>46086</v>
      </c>
      <c r="D11259" t="inlineStr">
        <is>
          <t>GÄVLEBORGS LÄN</t>
        </is>
      </c>
      <c r="E11259" t="inlineStr">
        <is>
          <t>HUDIKSVALL</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42959-2021</t>
        </is>
      </c>
      <c r="B11260" s="1" t="n">
        <v>44431.40888888889</v>
      </c>
      <c r="C11260" s="1" t="n">
        <v>46086</v>
      </c>
      <c r="D11260" t="inlineStr">
        <is>
          <t>GÄVLEBORGS LÄN</t>
        </is>
      </c>
      <c r="E11260" t="inlineStr">
        <is>
          <t>LJUSDAL</t>
        </is>
      </c>
      <c r="F11260" t="inlineStr">
        <is>
          <t>Bergvik skog väst AB</t>
        </is>
      </c>
      <c r="G11260" t="n">
        <v>4.2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60282-2024</t>
        </is>
      </c>
      <c r="B11261" s="1" t="n">
        <v>45642.91938657407</v>
      </c>
      <c r="C11261" s="1" t="n">
        <v>46086</v>
      </c>
      <c r="D11261" t="inlineStr">
        <is>
          <t>GÄVLEBORGS LÄN</t>
        </is>
      </c>
      <c r="E11261" t="inlineStr">
        <is>
          <t>LJUSDAL</t>
        </is>
      </c>
      <c r="G11261" t="n">
        <v>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60285-2024</t>
        </is>
      </c>
      <c r="B11262" s="1" t="n">
        <v>45642.92408564815</v>
      </c>
      <c r="C11262" s="1" t="n">
        <v>46086</v>
      </c>
      <c r="D11262" t="inlineStr">
        <is>
          <t>GÄVLEBORGS LÄN</t>
        </is>
      </c>
      <c r="E11262" t="inlineStr">
        <is>
          <t>NORDANSTIG</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51952-2023</t>
        </is>
      </c>
      <c r="B11263" s="1" t="n">
        <v>45223.53648148148</v>
      </c>
      <c r="C11263" s="1" t="n">
        <v>46086</v>
      </c>
      <c r="D11263" t="inlineStr">
        <is>
          <t>GÄVLEBORGS LÄN</t>
        </is>
      </c>
      <c r="E11263" t="inlineStr">
        <is>
          <t>BOLLNÄS</t>
        </is>
      </c>
      <c r="G11263" t="n">
        <v>0.4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9918-2025</t>
        </is>
      </c>
      <c r="B11264" s="1" t="n">
        <v>45717.44746527778</v>
      </c>
      <c r="C11264" s="1" t="n">
        <v>46086</v>
      </c>
      <c r="D11264" t="inlineStr">
        <is>
          <t>GÄVLEBORGS LÄN</t>
        </is>
      </c>
      <c r="E11264" t="inlineStr">
        <is>
          <t>HUDIKSVALL</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61366-2022</t>
        </is>
      </c>
      <c r="B11265" s="1" t="n">
        <v>44915</v>
      </c>
      <c r="C11265" s="1" t="n">
        <v>46086</v>
      </c>
      <c r="D11265" t="inlineStr">
        <is>
          <t>GÄVLEBORGS LÄN</t>
        </is>
      </c>
      <c r="E11265" t="inlineStr">
        <is>
          <t>NORDANSTIG</t>
        </is>
      </c>
      <c r="G11265" t="n">
        <v>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1377-2022</t>
        </is>
      </c>
      <c r="B11266" s="1" t="n">
        <v>44573</v>
      </c>
      <c r="C11266" s="1" t="n">
        <v>46086</v>
      </c>
      <c r="D11266" t="inlineStr">
        <is>
          <t>GÄVLEBORGS LÄN</t>
        </is>
      </c>
      <c r="E11266" t="inlineStr">
        <is>
          <t>HUDIKSVALL</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27956-2024</t>
        </is>
      </c>
      <c r="B11267" s="1" t="n">
        <v>45476.34413194445</v>
      </c>
      <c r="C11267" s="1" t="n">
        <v>46086</v>
      </c>
      <c r="D11267" t="inlineStr">
        <is>
          <t>GÄVLEBORGS LÄN</t>
        </is>
      </c>
      <c r="E11267" t="inlineStr">
        <is>
          <t>HUDIKSVALL</t>
        </is>
      </c>
      <c r="F11267" t="inlineStr">
        <is>
          <t>Holmen skog AB</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27971-2024</t>
        </is>
      </c>
      <c r="B11268" s="1" t="n">
        <v>45476.38420138889</v>
      </c>
      <c r="C11268" s="1" t="n">
        <v>46086</v>
      </c>
      <c r="D11268" t="inlineStr">
        <is>
          <t>GÄVLEBORGS LÄN</t>
        </is>
      </c>
      <c r="E11268" t="inlineStr">
        <is>
          <t>OVANÅKER</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58162-2024</t>
        </is>
      </c>
      <c r="B11269" s="1" t="n">
        <v>45632</v>
      </c>
      <c r="C11269" s="1" t="n">
        <v>46086</v>
      </c>
      <c r="D11269" t="inlineStr">
        <is>
          <t>GÄVLEBORGS LÄN</t>
        </is>
      </c>
      <c r="E11269" t="inlineStr">
        <is>
          <t>NORDANSTIG</t>
        </is>
      </c>
      <c r="F11269" t="inlineStr">
        <is>
          <t>Kyrkan</t>
        </is>
      </c>
      <c r="G11269" t="n">
        <v>0.5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3487-2025</t>
        </is>
      </c>
      <c r="B11270" s="1" t="n">
        <v>45680.5480787037</v>
      </c>
      <c r="C11270" s="1" t="n">
        <v>46086</v>
      </c>
      <c r="D11270" t="inlineStr">
        <is>
          <t>GÄVLEBORGS LÄN</t>
        </is>
      </c>
      <c r="E11270" t="inlineStr">
        <is>
          <t>SÖDERHAMN</t>
        </is>
      </c>
      <c r="G11270" t="n">
        <v>2.3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47875-2023</t>
        </is>
      </c>
      <c r="B11271" s="1" t="n">
        <v>45204.4600462963</v>
      </c>
      <c r="C11271" s="1" t="n">
        <v>46086</v>
      </c>
      <c r="D11271" t="inlineStr">
        <is>
          <t>GÄVLEBORGS LÄN</t>
        </is>
      </c>
      <c r="E11271" t="inlineStr">
        <is>
          <t>LJUSDAL</t>
        </is>
      </c>
      <c r="G11271" t="n">
        <v>0.5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59841-2023</t>
        </is>
      </c>
      <c r="B11272" s="1" t="n">
        <v>45257.56163194445</v>
      </c>
      <c r="C11272" s="1" t="n">
        <v>46086</v>
      </c>
      <c r="D11272" t="inlineStr">
        <is>
          <t>GÄVLEBORGS LÄN</t>
        </is>
      </c>
      <c r="E11272" t="inlineStr">
        <is>
          <t>SANDVIKEN</t>
        </is>
      </c>
      <c r="F11272" t="inlineStr">
        <is>
          <t>Bergvik skog öst AB</t>
        </is>
      </c>
      <c r="G11272" t="n">
        <v>3.9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55110-2024</t>
        </is>
      </c>
      <c r="B11273" s="1" t="n">
        <v>45621.44861111111</v>
      </c>
      <c r="C11273" s="1" t="n">
        <v>46086</v>
      </c>
      <c r="D11273" t="inlineStr">
        <is>
          <t>GÄVLEBORGS LÄN</t>
        </is>
      </c>
      <c r="E11273" t="inlineStr">
        <is>
          <t>GÄVLE</t>
        </is>
      </c>
      <c r="G11273" t="n">
        <v>4.8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55146-2024</t>
        </is>
      </c>
      <c r="B11274" s="1" t="n">
        <v>45621.48976851852</v>
      </c>
      <c r="C11274" s="1" t="n">
        <v>46086</v>
      </c>
      <c r="D11274" t="inlineStr">
        <is>
          <t>GÄVLEBORGS LÄN</t>
        </is>
      </c>
      <c r="E11274" t="inlineStr">
        <is>
          <t>OCKELBO</t>
        </is>
      </c>
      <c r="F11274" t="inlineStr">
        <is>
          <t>Bergvik skog väst AB</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18216-2024</t>
        </is>
      </c>
      <c r="B11275" s="1" t="n">
        <v>45420</v>
      </c>
      <c r="C11275" s="1" t="n">
        <v>46086</v>
      </c>
      <c r="D11275" t="inlineStr">
        <is>
          <t>GÄVLEBORGS LÄN</t>
        </is>
      </c>
      <c r="E11275" t="inlineStr">
        <is>
          <t>GÄVLE</t>
        </is>
      </c>
      <c r="F11275" t="inlineStr">
        <is>
          <t>Bergvik skog väst AB</t>
        </is>
      </c>
      <c r="G11275" t="n">
        <v>2.3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40261-2023</t>
        </is>
      </c>
      <c r="B11276" s="1" t="n">
        <v>45169.5165625</v>
      </c>
      <c r="C11276" s="1" t="n">
        <v>46086</v>
      </c>
      <c r="D11276" t="inlineStr">
        <is>
          <t>GÄVLEBORGS LÄN</t>
        </is>
      </c>
      <c r="E11276" t="inlineStr">
        <is>
          <t>NORDANSTIG</t>
        </is>
      </c>
      <c r="F11276" t="inlineStr">
        <is>
          <t>Holmen skog AB</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40281-2023</t>
        </is>
      </c>
      <c r="B11277" s="1" t="n">
        <v>45169</v>
      </c>
      <c r="C11277" s="1" t="n">
        <v>46086</v>
      </c>
      <c r="D11277" t="inlineStr">
        <is>
          <t>GÄVLEBORGS LÄN</t>
        </is>
      </c>
      <c r="E11277" t="inlineStr">
        <is>
          <t>LJUSDAL</t>
        </is>
      </c>
      <c r="F11277" t="inlineStr">
        <is>
          <t>Sveaskog</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54167-2023</t>
        </is>
      </c>
      <c r="B11278" s="1" t="n">
        <v>45232</v>
      </c>
      <c r="C11278" s="1" t="n">
        <v>46086</v>
      </c>
      <c r="D11278" t="inlineStr">
        <is>
          <t>GÄVLEBORGS LÄN</t>
        </is>
      </c>
      <c r="E11278" t="inlineStr">
        <is>
          <t>LJUSDAL</t>
        </is>
      </c>
      <c r="F11278" t="inlineStr">
        <is>
          <t>Sveaskog</t>
        </is>
      </c>
      <c r="G11278" t="n">
        <v>20.5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28080-2024</t>
        </is>
      </c>
      <c r="B11279" s="1" t="n">
        <v>45476.58725694445</v>
      </c>
      <c r="C11279" s="1" t="n">
        <v>46086</v>
      </c>
      <c r="D11279" t="inlineStr">
        <is>
          <t>GÄVLEBORGS LÄN</t>
        </is>
      </c>
      <c r="E11279" t="inlineStr">
        <is>
          <t>BOLLNÄS</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43657-2023</t>
        </is>
      </c>
      <c r="B11280" s="1" t="n">
        <v>45187.344375</v>
      </c>
      <c r="C11280" s="1" t="n">
        <v>46086</v>
      </c>
      <c r="D11280" t="inlineStr">
        <is>
          <t>GÄVLEBORGS LÄN</t>
        </is>
      </c>
      <c r="E11280" t="inlineStr">
        <is>
          <t>NORDANSTIG</t>
        </is>
      </c>
      <c r="F11280" t="inlineStr">
        <is>
          <t>Holmen skog AB</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49966-2024</t>
        </is>
      </c>
      <c r="B11281" s="1" t="n">
        <v>45597.63407407407</v>
      </c>
      <c r="C11281" s="1" t="n">
        <v>46086</v>
      </c>
      <c r="D11281" t="inlineStr">
        <is>
          <t>GÄVLEBORGS LÄN</t>
        </is>
      </c>
      <c r="E11281" t="inlineStr">
        <is>
          <t>SÖDERHAMN</t>
        </is>
      </c>
      <c r="G11281" t="n">
        <v>2.1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3031-2022</t>
        </is>
      </c>
      <c r="B11282" s="1" t="n">
        <v>44582.27614583333</v>
      </c>
      <c r="C11282" s="1" t="n">
        <v>46086</v>
      </c>
      <c r="D11282" t="inlineStr">
        <is>
          <t>GÄVLEBORGS LÄN</t>
        </is>
      </c>
      <c r="E11282" t="inlineStr">
        <is>
          <t>SÖDERHAMN</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61918-2023</t>
        </is>
      </c>
      <c r="B11283" s="1" t="n">
        <v>45266.48171296297</v>
      </c>
      <c r="C11283" s="1" t="n">
        <v>46086</v>
      </c>
      <c r="D11283" t="inlineStr">
        <is>
          <t>GÄVLEBORGS LÄN</t>
        </is>
      </c>
      <c r="E11283" t="inlineStr">
        <is>
          <t>GÄVLE</t>
        </is>
      </c>
      <c r="G11283" t="n">
        <v>5.3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1474-2022</t>
        </is>
      </c>
      <c r="B11284" s="1" t="n">
        <v>44573.50443287037</v>
      </c>
      <c r="C11284" s="1" t="n">
        <v>46086</v>
      </c>
      <c r="D11284" t="inlineStr">
        <is>
          <t>GÄVLEBORGS LÄN</t>
        </is>
      </c>
      <c r="E11284" t="inlineStr">
        <is>
          <t>BOLLNÄS</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13822-2024</t>
        </is>
      </c>
      <c r="B11285" s="1" t="n">
        <v>45391.42918981481</v>
      </c>
      <c r="C11285" s="1" t="n">
        <v>46086</v>
      </c>
      <c r="D11285" t="inlineStr">
        <is>
          <t>GÄVLEBORGS LÄN</t>
        </is>
      </c>
      <c r="E11285" t="inlineStr">
        <is>
          <t>LJUSDAL</t>
        </is>
      </c>
      <c r="F11285" t="inlineStr">
        <is>
          <t>Kommuner</t>
        </is>
      </c>
      <c r="G11285" t="n">
        <v>3.8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31117-2024</t>
        </is>
      </c>
      <c r="B11286" s="1" t="n">
        <v>45502.57020833333</v>
      </c>
      <c r="C11286" s="1" t="n">
        <v>46086</v>
      </c>
      <c r="D11286" t="inlineStr">
        <is>
          <t>GÄVLEBORGS LÄN</t>
        </is>
      </c>
      <c r="E11286" t="inlineStr">
        <is>
          <t>HUDIKSVALL</t>
        </is>
      </c>
      <c r="F11286" t="inlineStr">
        <is>
          <t>Holmen skog AB</t>
        </is>
      </c>
      <c r="G11286" t="n">
        <v>10.9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31119-2024</t>
        </is>
      </c>
      <c r="B11287" s="1" t="n">
        <v>45502.57400462963</v>
      </c>
      <c r="C11287" s="1" t="n">
        <v>46086</v>
      </c>
      <c r="D11287" t="inlineStr">
        <is>
          <t>GÄVLEBORGS LÄN</t>
        </is>
      </c>
      <c r="E11287" t="inlineStr">
        <is>
          <t>HUDIKSVALL</t>
        </is>
      </c>
      <c r="F11287" t="inlineStr">
        <is>
          <t>Holmen skog AB</t>
        </is>
      </c>
      <c r="G11287" t="n">
        <v>3.1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13829-2024</t>
        </is>
      </c>
      <c r="B11288" s="1" t="n">
        <v>45391.43280092593</v>
      </c>
      <c r="C11288" s="1" t="n">
        <v>46086</v>
      </c>
      <c r="D11288" t="inlineStr">
        <is>
          <t>GÄVLEBORGS LÄN</t>
        </is>
      </c>
      <c r="E11288" t="inlineStr">
        <is>
          <t>LJUSDAL</t>
        </is>
      </c>
      <c r="F11288" t="inlineStr">
        <is>
          <t>Kommuner</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58307-2022</t>
        </is>
      </c>
      <c r="B11289" s="1" t="n">
        <v>44901.53635416667</v>
      </c>
      <c r="C11289" s="1" t="n">
        <v>46086</v>
      </c>
      <c r="D11289" t="inlineStr">
        <is>
          <t>GÄVLEBORGS LÄN</t>
        </is>
      </c>
      <c r="E11289" t="inlineStr">
        <is>
          <t>OVANÅKER</t>
        </is>
      </c>
      <c r="G11289" t="n">
        <v>3.2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38578-2024</t>
        </is>
      </c>
      <c r="B11290" s="1" t="n">
        <v>45546.64511574074</v>
      </c>
      <c r="C11290" s="1" t="n">
        <v>46086</v>
      </c>
      <c r="D11290" t="inlineStr">
        <is>
          <t>GÄVLEBORGS LÄN</t>
        </is>
      </c>
      <c r="E11290" t="inlineStr">
        <is>
          <t>HUDIKSVALL</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4770-2025</t>
        </is>
      </c>
      <c r="B11291" s="1" t="n">
        <v>45688.49590277778</v>
      </c>
      <c r="C11291" s="1" t="n">
        <v>46086</v>
      </c>
      <c r="D11291" t="inlineStr">
        <is>
          <t>GÄVLEBORGS LÄN</t>
        </is>
      </c>
      <c r="E11291" t="inlineStr">
        <is>
          <t>HUDIKSVALL</t>
        </is>
      </c>
      <c r="G11291" t="n">
        <v>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4783-2025</t>
        </is>
      </c>
      <c r="B11292" s="1" t="n">
        <v>45688.52892361111</v>
      </c>
      <c r="C11292" s="1" t="n">
        <v>46086</v>
      </c>
      <c r="D11292" t="inlineStr">
        <is>
          <t>GÄVLEBORGS LÄN</t>
        </is>
      </c>
      <c r="E11292" t="inlineStr">
        <is>
          <t>SANDVIKEN</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17245-2024</t>
        </is>
      </c>
      <c r="B11293" s="1" t="n">
        <v>45414</v>
      </c>
      <c r="C11293" s="1" t="n">
        <v>46086</v>
      </c>
      <c r="D11293" t="inlineStr">
        <is>
          <t>GÄVLEBORGS LÄN</t>
        </is>
      </c>
      <c r="E11293" t="inlineStr">
        <is>
          <t>GÄVLE</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18576-2024</t>
        </is>
      </c>
      <c r="B11294" s="1" t="n">
        <v>45425</v>
      </c>
      <c r="C11294" s="1" t="n">
        <v>46086</v>
      </c>
      <c r="D11294" t="inlineStr">
        <is>
          <t>GÄVLEBORGS LÄN</t>
        </is>
      </c>
      <c r="E11294" t="inlineStr">
        <is>
          <t>LJUSDAL</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15454-2025</t>
        </is>
      </c>
      <c r="B11295" s="1" t="n">
        <v>45747.49863425926</v>
      </c>
      <c r="C11295" s="1" t="n">
        <v>46086</v>
      </c>
      <c r="D11295" t="inlineStr">
        <is>
          <t>GÄVLEBORGS LÄN</t>
        </is>
      </c>
      <c r="E11295" t="inlineStr">
        <is>
          <t>SÖDERHAMN</t>
        </is>
      </c>
      <c r="G11295" t="n">
        <v>6.2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30296-2024</t>
        </is>
      </c>
      <c r="B11296" s="1" t="n">
        <v>45490</v>
      </c>
      <c r="C11296" s="1" t="n">
        <v>46086</v>
      </c>
      <c r="D11296" t="inlineStr">
        <is>
          <t>GÄVLEBORGS LÄN</t>
        </is>
      </c>
      <c r="E11296" t="inlineStr">
        <is>
          <t>LJUSDAL</t>
        </is>
      </c>
      <c r="G11296" t="n">
        <v>5.7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6935-2023</t>
        </is>
      </c>
      <c r="B11297" s="1" t="n">
        <v>44967</v>
      </c>
      <c r="C11297" s="1" t="n">
        <v>46086</v>
      </c>
      <c r="D11297" t="inlineStr">
        <is>
          <t>GÄVLEBORGS LÄN</t>
        </is>
      </c>
      <c r="E11297" t="inlineStr">
        <is>
          <t>GÄVLE</t>
        </is>
      </c>
      <c r="F11297" t="inlineStr">
        <is>
          <t>Bergvik skog öst AB</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61431-2023</t>
        </is>
      </c>
      <c r="B11298" s="1" t="n">
        <v>45264</v>
      </c>
      <c r="C11298" s="1" t="n">
        <v>46086</v>
      </c>
      <c r="D11298" t="inlineStr">
        <is>
          <t>GÄVLEBORGS LÄN</t>
        </is>
      </c>
      <c r="E11298" t="inlineStr">
        <is>
          <t>LJUSDAL</t>
        </is>
      </c>
      <c r="G11298" t="n">
        <v>5.9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37837-2024</t>
        </is>
      </c>
      <c r="B11299" s="1" t="n">
        <v>45544.36217592593</v>
      </c>
      <c r="C11299" s="1" t="n">
        <v>46086</v>
      </c>
      <c r="D11299" t="inlineStr">
        <is>
          <t>GÄVLEBORGS LÄN</t>
        </is>
      </c>
      <c r="E11299" t="inlineStr">
        <is>
          <t>SÖDERHAMN</t>
        </is>
      </c>
      <c r="G11299" t="n">
        <v>2.1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37845-2024</t>
        </is>
      </c>
      <c r="B11300" s="1" t="n">
        <v>45544.3700462963</v>
      </c>
      <c r="C11300" s="1" t="n">
        <v>46086</v>
      </c>
      <c r="D11300" t="inlineStr">
        <is>
          <t>GÄVLEBORGS LÄN</t>
        </is>
      </c>
      <c r="E11300" t="inlineStr">
        <is>
          <t>OCKELBO</t>
        </is>
      </c>
      <c r="G11300" t="n">
        <v>5.1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31691-2024</t>
        </is>
      </c>
      <c r="B11301" s="1" t="n">
        <v>45507.84005787037</v>
      </c>
      <c r="C11301" s="1" t="n">
        <v>46086</v>
      </c>
      <c r="D11301" t="inlineStr">
        <is>
          <t>GÄVLEBORGS LÄN</t>
        </is>
      </c>
      <c r="E11301" t="inlineStr">
        <is>
          <t>HUDIKSVALL</t>
        </is>
      </c>
      <c r="F11301" t="inlineStr">
        <is>
          <t>Holmen skog AB</t>
        </is>
      </c>
      <c r="G11301" t="n">
        <v>2.6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72820-2021</t>
        </is>
      </c>
      <c r="B11302" s="1" t="n">
        <v>44547</v>
      </c>
      <c r="C11302" s="1" t="n">
        <v>46086</v>
      </c>
      <c r="D11302" t="inlineStr">
        <is>
          <t>GÄVLEBORGS LÄN</t>
        </is>
      </c>
      <c r="E11302" t="inlineStr">
        <is>
          <t>NORDANSTIG</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26930-2023</t>
        </is>
      </c>
      <c r="B11303" s="1" t="n">
        <v>45093.62233796297</v>
      </c>
      <c r="C11303" s="1" t="n">
        <v>46086</v>
      </c>
      <c r="D11303" t="inlineStr">
        <is>
          <t>GÄVLEBORGS LÄN</t>
        </is>
      </c>
      <c r="E11303" t="inlineStr">
        <is>
          <t>SÖDERHAMN</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27006-2023</t>
        </is>
      </c>
      <c r="B11304" s="1" t="n">
        <v>45094</v>
      </c>
      <c r="C11304" s="1" t="n">
        <v>46086</v>
      </c>
      <c r="D11304" t="inlineStr">
        <is>
          <t>GÄVLEBORGS LÄN</t>
        </is>
      </c>
      <c r="E11304" t="inlineStr">
        <is>
          <t>SANDVIKEN</t>
        </is>
      </c>
      <c r="F11304" t="inlineStr">
        <is>
          <t>Bergvik skog öst AB</t>
        </is>
      </c>
      <c r="G11304" t="n">
        <v>9.5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5331-2025</t>
        </is>
      </c>
      <c r="B11305" s="1" t="n">
        <v>45692</v>
      </c>
      <c r="C11305" s="1" t="n">
        <v>46086</v>
      </c>
      <c r="D11305" t="inlineStr">
        <is>
          <t>GÄVLEBORGS LÄN</t>
        </is>
      </c>
      <c r="E11305" t="inlineStr">
        <is>
          <t>OVANÅKER</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46210-2023</t>
        </is>
      </c>
      <c r="B11306" s="1" t="n">
        <v>45196.65177083333</v>
      </c>
      <c r="C11306" s="1" t="n">
        <v>46086</v>
      </c>
      <c r="D11306" t="inlineStr">
        <is>
          <t>GÄVLEBORGS LÄN</t>
        </is>
      </c>
      <c r="E11306" t="inlineStr">
        <is>
          <t>OVANÅKER</t>
        </is>
      </c>
      <c r="G11306" t="n">
        <v>5.9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13089-2025</t>
        </is>
      </c>
      <c r="B11307" s="1" t="n">
        <v>45734.64541666667</v>
      </c>
      <c r="C11307" s="1" t="n">
        <v>46086</v>
      </c>
      <c r="D11307" t="inlineStr">
        <is>
          <t>GÄVLEBORGS LÄN</t>
        </is>
      </c>
      <c r="E11307" t="inlineStr">
        <is>
          <t>NORDANSTIG</t>
        </is>
      </c>
      <c r="F11307" t="inlineStr">
        <is>
          <t>Holmen skog AB</t>
        </is>
      </c>
      <c r="G11307" t="n">
        <v>5.5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51930-2023</t>
        </is>
      </c>
      <c r="B11308" s="1" t="n">
        <v>45223.495</v>
      </c>
      <c r="C11308" s="1" t="n">
        <v>46086</v>
      </c>
      <c r="D11308" t="inlineStr">
        <is>
          <t>GÄVLEBORGS LÄN</t>
        </is>
      </c>
      <c r="E11308" t="inlineStr">
        <is>
          <t>NORDANSTIG</t>
        </is>
      </c>
      <c r="F11308" t="inlineStr">
        <is>
          <t>Holmen skog AB</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46177-2022</t>
        </is>
      </c>
      <c r="B11309" s="1" t="n">
        <v>44847.49043981481</v>
      </c>
      <c r="C11309" s="1" t="n">
        <v>46086</v>
      </c>
      <c r="D11309" t="inlineStr">
        <is>
          <t>GÄVLEBORGS LÄN</t>
        </is>
      </c>
      <c r="E11309" t="inlineStr">
        <is>
          <t>SANDVIKEN</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34250-2024</t>
        </is>
      </c>
      <c r="B11310" s="1" t="n">
        <v>45524.58820601852</v>
      </c>
      <c r="C11310" s="1" t="n">
        <v>46086</v>
      </c>
      <c r="D11310" t="inlineStr">
        <is>
          <t>GÄVLEBORGS LÄN</t>
        </is>
      </c>
      <c r="E11310" t="inlineStr">
        <is>
          <t>BOLLNÄS</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56805-2022</t>
        </is>
      </c>
      <c r="B11311" s="1" t="n">
        <v>44894.43539351852</v>
      </c>
      <c r="C11311" s="1" t="n">
        <v>46086</v>
      </c>
      <c r="D11311" t="inlineStr">
        <is>
          <t>GÄVLEBORGS LÄN</t>
        </is>
      </c>
      <c r="E11311" t="inlineStr">
        <is>
          <t>HUDIKSVALL</t>
        </is>
      </c>
      <c r="F11311" t="inlineStr">
        <is>
          <t>Holmen skog AB</t>
        </is>
      </c>
      <c r="G11311" t="n">
        <v>2.8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4414-2022</t>
        </is>
      </c>
      <c r="B11312" s="1" t="n">
        <v>44589</v>
      </c>
      <c r="C11312" s="1" t="n">
        <v>46086</v>
      </c>
      <c r="D11312" t="inlineStr">
        <is>
          <t>GÄVLEBORGS LÄN</t>
        </is>
      </c>
      <c r="E11312" t="inlineStr">
        <is>
          <t>NORDANSTIG</t>
        </is>
      </c>
      <c r="G11312" t="n">
        <v>12.6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19346-2023</t>
        </is>
      </c>
      <c r="B11313" s="1" t="n">
        <v>45049.58680555555</v>
      </c>
      <c r="C11313" s="1" t="n">
        <v>46086</v>
      </c>
      <c r="D11313" t="inlineStr">
        <is>
          <t>GÄVLEBORGS LÄN</t>
        </is>
      </c>
      <c r="E11313" t="inlineStr">
        <is>
          <t>SANDVIKEN</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11759-2022</t>
        </is>
      </c>
      <c r="B11314" s="1" t="n">
        <v>44634.57420138889</v>
      </c>
      <c r="C11314" s="1" t="n">
        <v>46086</v>
      </c>
      <c r="D11314" t="inlineStr">
        <is>
          <t>GÄVLEBORGS LÄN</t>
        </is>
      </c>
      <c r="E11314" t="inlineStr">
        <is>
          <t>HUDIKSVALL</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8967-2022</t>
        </is>
      </c>
      <c r="B11315" s="1" t="n">
        <v>44614</v>
      </c>
      <c r="C11315" s="1" t="n">
        <v>46086</v>
      </c>
      <c r="D11315" t="inlineStr">
        <is>
          <t>GÄVLEBORGS LÄN</t>
        </is>
      </c>
      <c r="E11315" t="inlineStr">
        <is>
          <t>OVANÅKER</t>
        </is>
      </c>
      <c r="G11315" t="n">
        <v>0.4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54511-2024</t>
        </is>
      </c>
      <c r="B11316" s="1" t="n">
        <v>45617</v>
      </c>
      <c r="C11316" s="1" t="n">
        <v>46086</v>
      </c>
      <c r="D11316" t="inlineStr">
        <is>
          <t>GÄVLEBORGS LÄN</t>
        </is>
      </c>
      <c r="E11316" t="inlineStr">
        <is>
          <t>BOLLNÄS</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10108-2024</t>
        </is>
      </c>
      <c r="B11317" s="1" t="n">
        <v>45364.5456712963</v>
      </c>
      <c r="C11317" s="1" t="n">
        <v>46086</v>
      </c>
      <c r="D11317" t="inlineStr">
        <is>
          <t>GÄVLEBORGS LÄN</t>
        </is>
      </c>
      <c r="E11317" t="inlineStr">
        <is>
          <t>HUDIKSVALL</t>
        </is>
      </c>
      <c r="F11317" t="inlineStr">
        <is>
          <t>Holmen skog AB</t>
        </is>
      </c>
      <c r="G11317" t="n">
        <v>23.1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62255-2022</t>
        </is>
      </c>
      <c r="B11318" s="1" t="n">
        <v>44922</v>
      </c>
      <c r="C11318" s="1" t="n">
        <v>46086</v>
      </c>
      <c r="D11318" t="inlineStr">
        <is>
          <t>GÄVLEBORGS LÄN</t>
        </is>
      </c>
      <c r="E11318" t="inlineStr">
        <is>
          <t>GÄVLE</t>
        </is>
      </c>
      <c r="G11318" t="n">
        <v>0.4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28162-2021</t>
        </is>
      </c>
      <c r="B11319" s="1" t="n">
        <v>44355.59233796296</v>
      </c>
      <c r="C11319" s="1" t="n">
        <v>46086</v>
      </c>
      <c r="D11319" t="inlineStr">
        <is>
          <t>GÄVLEBORGS LÄN</t>
        </is>
      </c>
      <c r="E11319" t="inlineStr">
        <is>
          <t>BOLLNÄS</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61363-2023</t>
        </is>
      </c>
      <c r="B11320" s="1" t="n">
        <v>45264.61790509259</v>
      </c>
      <c r="C11320" s="1" t="n">
        <v>46086</v>
      </c>
      <c r="D11320" t="inlineStr">
        <is>
          <t>GÄVLEBORGS LÄN</t>
        </is>
      </c>
      <c r="E11320" t="inlineStr">
        <is>
          <t>SANDVIKEN</t>
        </is>
      </c>
      <c r="G11320" t="n">
        <v>2.4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10763-2025</t>
        </is>
      </c>
      <c r="B11321" s="1" t="n">
        <v>45722.4603125</v>
      </c>
      <c r="C11321" s="1" t="n">
        <v>46086</v>
      </c>
      <c r="D11321" t="inlineStr">
        <is>
          <t>GÄVLEBORGS LÄN</t>
        </is>
      </c>
      <c r="E11321" t="inlineStr">
        <is>
          <t>SÖDERHAMN</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71070-2021</t>
        </is>
      </c>
      <c r="B11322" s="1" t="n">
        <v>44538.92322916666</v>
      </c>
      <c r="C11322" s="1" t="n">
        <v>46086</v>
      </c>
      <c r="D11322" t="inlineStr">
        <is>
          <t>GÄVLEBORGS LÄN</t>
        </is>
      </c>
      <c r="E11322" t="inlineStr">
        <is>
          <t>LJUSDAL</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5034-2025</t>
        </is>
      </c>
      <c r="B11323" s="1" t="n">
        <v>45691.42743055556</v>
      </c>
      <c r="C11323" s="1" t="n">
        <v>46086</v>
      </c>
      <c r="D11323" t="inlineStr">
        <is>
          <t>GÄVLEBORGS LÄN</t>
        </is>
      </c>
      <c r="E11323" t="inlineStr">
        <is>
          <t>LJUSDAL</t>
        </is>
      </c>
      <c r="F11323" t="inlineStr">
        <is>
          <t>SCA</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4563-2023</t>
        </is>
      </c>
      <c r="B11324" s="1" t="n">
        <v>44956</v>
      </c>
      <c r="C11324" s="1" t="n">
        <v>46086</v>
      </c>
      <c r="D11324" t="inlineStr">
        <is>
          <t>GÄVLEBORGS LÄN</t>
        </is>
      </c>
      <c r="E11324" t="inlineStr">
        <is>
          <t>SÖDERHAMN</t>
        </is>
      </c>
      <c r="G11324" t="n">
        <v>2.9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5861-2025</t>
        </is>
      </c>
      <c r="B11325" s="1" t="n">
        <v>45695.34664351852</v>
      </c>
      <c r="C11325" s="1" t="n">
        <v>46086</v>
      </c>
      <c r="D11325" t="inlineStr">
        <is>
          <t>GÄVLEBORGS LÄN</t>
        </is>
      </c>
      <c r="E11325" t="inlineStr">
        <is>
          <t>HUDIKSVALL</t>
        </is>
      </c>
      <c r="F11325" t="inlineStr">
        <is>
          <t>Holmen skog AB</t>
        </is>
      </c>
      <c r="G11325" t="n">
        <v>3.2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5942-2025</t>
        </is>
      </c>
      <c r="B11326" s="1" t="n">
        <v>45695.46841435185</v>
      </c>
      <c r="C11326" s="1" t="n">
        <v>46086</v>
      </c>
      <c r="D11326" t="inlineStr">
        <is>
          <t>GÄVLEBORGS LÄN</t>
        </is>
      </c>
      <c r="E11326" t="inlineStr">
        <is>
          <t>HUDIKSVALL</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55539-2023</t>
        </is>
      </c>
      <c r="B11327" s="1" t="n">
        <v>45238.60041666667</v>
      </c>
      <c r="C11327" s="1" t="n">
        <v>46086</v>
      </c>
      <c r="D11327" t="inlineStr">
        <is>
          <t>GÄVLEBORGS LÄN</t>
        </is>
      </c>
      <c r="E11327" t="inlineStr">
        <is>
          <t>SANDVIKEN</t>
        </is>
      </c>
      <c r="G11327" t="n">
        <v>3.6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57928-2024</t>
        </is>
      </c>
      <c r="B11328" s="1" t="n">
        <v>45631.52173611111</v>
      </c>
      <c r="C11328" s="1" t="n">
        <v>46086</v>
      </c>
      <c r="D11328" t="inlineStr">
        <is>
          <t>GÄVLEBORGS LÄN</t>
        </is>
      </c>
      <c r="E11328" t="inlineStr">
        <is>
          <t>GÄVLE</t>
        </is>
      </c>
      <c r="F11328" t="inlineStr">
        <is>
          <t>Bergvik skog öst AB</t>
        </is>
      </c>
      <c r="G11328" t="n">
        <v>10.9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9422-2025</t>
        </is>
      </c>
      <c r="B11329" s="1" t="n">
        <v>45715.39962962963</v>
      </c>
      <c r="C11329" s="1" t="n">
        <v>46086</v>
      </c>
      <c r="D11329" t="inlineStr">
        <is>
          <t>GÄVLEBORGS LÄN</t>
        </is>
      </c>
      <c r="E11329" t="inlineStr">
        <is>
          <t>GÄVLE</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4043-2024</t>
        </is>
      </c>
      <c r="B11330" s="1" t="n">
        <v>45323</v>
      </c>
      <c r="C11330" s="1" t="n">
        <v>46086</v>
      </c>
      <c r="D11330" t="inlineStr">
        <is>
          <t>GÄVLEBORGS LÄN</t>
        </is>
      </c>
      <c r="E11330" t="inlineStr">
        <is>
          <t>LJUSDAL</t>
        </is>
      </c>
      <c r="G11330" t="n">
        <v>9.9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8380-2025</t>
        </is>
      </c>
      <c r="B11331" s="1" t="n">
        <v>45709</v>
      </c>
      <c r="C11331" s="1" t="n">
        <v>46086</v>
      </c>
      <c r="D11331" t="inlineStr">
        <is>
          <t>GÄVLEBORGS LÄN</t>
        </is>
      </c>
      <c r="E11331" t="inlineStr">
        <is>
          <t>SANDVIKEN</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30701-2024</t>
        </is>
      </c>
      <c r="B11332" s="1" t="n">
        <v>45496.36615740741</v>
      </c>
      <c r="C11332" s="1" t="n">
        <v>46086</v>
      </c>
      <c r="D11332" t="inlineStr">
        <is>
          <t>GÄVLEBORGS LÄN</t>
        </is>
      </c>
      <c r="E11332" t="inlineStr">
        <is>
          <t>HUDIKSVALL</t>
        </is>
      </c>
      <c r="G11332" t="n">
        <v>1.6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9002-2025</t>
        </is>
      </c>
      <c r="B11333" s="1" t="n">
        <v>45713.56700231481</v>
      </c>
      <c r="C11333" s="1" t="n">
        <v>46086</v>
      </c>
      <c r="D11333" t="inlineStr">
        <is>
          <t>GÄVLEBORGS LÄN</t>
        </is>
      </c>
      <c r="E11333" t="inlineStr">
        <is>
          <t>BOLLNÄS</t>
        </is>
      </c>
      <c r="G11333" t="n">
        <v>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46482-2023</t>
        </is>
      </c>
      <c r="B11334" s="1" t="n">
        <v>45197.63974537037</v>
      </c>
      <c r="C11334" s="1" t="n">
        <v>46086</v>
      </c>
      <c r="D11334" t="inlineStr">
        <is>
          <t>GÄVLEBORGS LÄN</t>
        </is>
      </c>
      <c r="E11334" t="inlineStr">
        <is>
          <t>SANDVIKEN</t>
        </is>
      </c>
      <c r="G11334" t="n">
        <v>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33734-2024</t>
        </is>
      </c>
      <c r="B11335" s="1" t="n">
        <v>45520</v>
      </c>
      <c r="C11335" s="1" t="n">
        <v>46086</v>
      </c>
      <c r="D11335" t="inlineStr">
        <is>
          <t>GÄVLEBORGS LÄN</t>
        </is>
      </c>
      <c r="E11335" t="inlineStr">
        <is>
          <t>HOFORS</t>
        </is>
      </c>
      <c r="F11335" t="inlineStr">
        <is>
          <t>Sveaskog</t>
        </is>
      </c>
      <c r="G11335" t="n">
        <v>3.5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48636-2024</t>
        </is>
      </c>
      <c r="B11336" s="1" t="n">
        <v>45593.47171296296</v>
      </c>
      <c r="C11336" s="1" t="n">
        <v>46086</v>
      </c>
      <c r="D11336" t="inlineStr">
        <is>
          <t>GÄVLEBORGS LÄN</t>
        </is>
      </c>
      <c r="E11336" t="inlineStr">
        <is>
          <t>NORDANSTIG</t>
        </is>
      </c>
      <c r="G11336" t="n">
        <v>3.5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61843-2023</t>
        </is>
      </c>
      <c r="B11337" s="1" t="n">
        <v>45266.36988425926</v>
      </c>
      <c r="C11337" s="1" t="n">
        <v>46086</v>
      </c>
      <c r="D11337" t="inlineStr">
        <is>
          <t>GÄVLEBORGS LÄN</t>
        </is>
      </c>
      <c r="E11337" t="inlineStr">
        <is>
          <t>GÄVLE</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204-2025</t>
        </is>
      </c>
      <c r="B11338" s="1" t="n">
        <v>45660.31596064815</v>
      </c>
      <c r="C11338" s="1" t="n">
        <v>46086</v>
      </c>
      <c r="D11338" t="inlineStr">
        <is>
          <t>GÄVLEBORGS LÄN</t>
        </is>
      </c>
      <c r="E11338" t="inlineStr">
        <is>
          <t>LJUSDAL</t>
        </is>
      </c>
      <c r="G11338" t="n">
        <v>2.3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214-2025</t>
        </is>
      </c>
      <c r="B11339" s="1" t="n">
        <v>45660.34046296297</v>
      </c>
      <c r="C11339" s="1" t="n">
        <v>46086</v>
      </c>
      <c r="D11339" t="inlineStr">
        <is>
          <t>GÄVLEBORGS LÄN</t>
        </is>
      </c>
      <c r="E11339" t="inlineStr">
        <is>
          <t>GÄVLE</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62774-2021</t>
        </is>
      </c>
      <c r="B11340" s="1" t="n">
        <v>44503</v>
      </c>
      <c r="C11340" s="1" t="n">
        <v>46086</v>
      </c>
      <c r="D11340" t="inlineStr">
        <is>
          <t>GÄVLEBORGS LÄN</t>
        </is>
      </c>
      <c r="E11340" t="inlineStr">
        <is>
          <t>OVANÅKER</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3464-2023</t>
        </is>
      </c>
      <c r="B11341" s="1" t="n">
        <v>44949.65045138889</v>
      </c>
      <c r="C11341" s="1" t="n">
        <v>46086</v>
      </c>
      <c r="D11341" t="inlineStr">
        <is>
          <t>GÄVLEBORGS LÄN</t>
        </is>
      </c>
      <c r="E11341" t="inlineStr">
        <is>
          <t>LJUSDAL</t>
        </is>
      </c>
      <c r="G11341" t="n">
        <v>18.6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22678-2023</t>
        </is>
      </c>
      <c r="B11342" s="1" t="n">
        <v>45071</v>
      </c>
      <c r="C11342" s="1" t="n">
        <v>46086</v>
      </c>
      <c r="D11342" t="inlineStr">
        <is>
          <t>GÄVLEBORGS LÄN</t>
        </is>
      </c>
      <c r="E11342" t="inlineStr">
        <is>
          <t>LJUSDAL</t>
        </is>
      </c>
      <c r="G11342" t="n">
        <v>0.1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5701-2025</t>
        </is>
      </c>
      <c r="B11343" s="1" t="n">
        <v>45694</v>
      </c>
      <c r="C11343" s="1" t="n">
        <v>46086</v>
      </c>
      <c r="D11343" t="inlineStr">
        <is>
          <t>GÄVLEBORGS LÄN</t>
        </is>
      </c>
      <c r="E11343" t="inlineStr">
        <is>
          <t>LJUSDAL</t>
        </is>
      </c>
      <c r="F11343" t="inlineStr">
        <is>
          <t>Bergvik skog väst AB</t>
        </is>
      </c>
      <c r="G11343" t="n">
        <v>7.1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9884-2023</t>
        </is>
      </c>
      <c r="B11344" s="1" t="n">
        <v>44985.29388888889</v>
      </c>
      <c r="C11344" s="1" t="n">
        <v>46086</v>
      </c>
      <c r="D11344" t="inlineStr">
        <is>
          <t>GÄVLEBORGS LÄN</t>
        </is>
      </c>
      <c r="E11344" t="inlineStr">
        <is>
          <t>NORDANSTIG</t>
        </is>
      </c>
      <c r="F11344" t="inlineStr">
        <is>
          <t>Holmen skog AB</t>
        </is>
      </c>
      <c r="G11344" t="n">
        <v>2.6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41648-2024</t>
        </is>
      </c>
      <c r="B11345" s="1" t="n">
        <v>45560.63701388889</v>
      </c>
      <c r="C11345" s="1" t="n">
        <v>46086</v>
      </c>
      <c r="D11345" t="inlineStr">
        <is>
          <t>GÄVLEBORGS LÄN</t>
        </is>
      </c>
      <c r="E11345" t="inlineStr">
        <is>
          <t>SÖDERHAMN</t>
        </is>
      </c>
      <c r="G11345" t="n">
        <v>0.5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58431-2021</t>
        </is>
      </c>
      <c r="B11346" s="1" t="n">
        <v>44488</v>
      </c>
      <c r="C11346" s="1" t="n">
        <v>46086</v>
      </c>
      <c r="D11346" t="inlineStr">
        <is>
          <t>GÄVLEBORGS LÄN</t>
        </is>
      </c>
      <c r="E11346" t="inlineStr">
        <is>
          <t>BOLLNÄS</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15306-2023</t>
        </is>
      </c>
      <c r="B11347" s="1" t="n">
        <v>45019</v>
      </c>
      <c r="C11347" s="1" t="n">
        <v>46086</v>
      </c>
      <c r="D11347" t="inlineStr">
        <is>
          <t>GÄVLEBORGS LÄN</t>
        </is>
      </c>
      <c r="E11347" t="inlineStr">
        <is>
          <t>HUDIKSVALL</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11607-2023</t>
        </is>
      </c>
      <c r="B11348" s="1" t="n">
        <v>44994</v>
      </c>
      <c r="C11348" s="1" t="n">
        <v>46086</v>
      </c>
      <c r="D11348" t="inlineStr">
        <is>
          <t>GÄVLEBORGS LÄN</t>
        </is>
      </c>
      <c r="E11348" t="inlineStr">
        <is>
          <t>HOFORS</t>
        </is>
      </c>
      <c r="F11348" t="inlineStr">
        <is>
          <t>Övriga statliga verk och myndigheter</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55694-2024</t>
        </is>
      </c>
      <c r="B11349" s="1" t="n">
        <v>45622.68012731482</v>
      </c>
      <c r="C11349" s="1" t="n">
        <v>46086</v>
      </c>
      <c r="D11349" t="inlineStr">
        <is>
          <t>GÄVLEBORGS LÄN</t>
        </is>
      </c>
      <c r="E11349" t="inlineStr">
        <is>
          <t>NORDANSTIG</t>
        </is>
      </c>
      <c r="F11349" t="inlineStr">
        <is>
          <t>Holmen skog AB</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40332-2024</t>
        </is>
      </c>
      <c r="B11350" s="1" t="n">
        <v>45555.31811342593</v>
      </c>
      <c r="C11350" s="1" t="n">
        <v>46086</v>
      </c>
      <c r="D11350" t="inlineStr">
        <is>
          <t>GÄVLEBORGS LÄN</t>
        </is>
      </c>
      <c r="E11350" t="inlineStr">
        <is>
          <t>HUDIKSVALL</t>
        </is>
      </c>
      <c r="F11350" t="inlineStr">
        <is>
          <t>Naturvårdsverket</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44168-2022</t>
        </is>
      </c>
      <c r="B11351" s="1" t="n">
        <v>44839.44467592592</v>
      </c>
      <c r="C11351" s="1" t="n">
        <v>46086</v>
      </c>
      <c r="D11351" t="inlineStr">
        <is>
          <t>GÄVLEBORGS LÄN</t>
        </is>
      </c>
      <c r="E11351" t="inlineStr">
        <is>
          <t>HUDIKSVALL</t>
        </is>
      </c>
      <c r="G11351" t="n">
        <v>3.2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27152-2024</t>
        </is>
      </c>
      <c r="B11352" s="1" t="n">
        <v>45471.56072916667</v>
      </c>
      <c r="C11352" s="1" t="n">
        <v>46086</v>
      </c>
      <c r="D11352" t="inlineStr">
        <is>
          <t>GÄVLEBORGS LÄN</t>
        </is>
      </c>
      <c r="E11352" t="inlineStr">
        <is>
          <t>BOLLNÄS</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58538-2024</t>
        </is>
      </c>
      <c r="B11353" s="1" t="n">
        <v>45635.45099537037</v>
      </c>
      <c r="C11353" s="1" t="n">
        <v>46086</v>
      </c>
      <c r="D11353" t="inlineStr">
        <is>
          <t>GÄVLEBORGS LÄN</t>
        </is>
      </c>
      <c r="E11353" t="inlineStr">
        <is>
          <t>HUDIKSVALL</t>
        </is>
      </c>
      <c r="G11353" t="n">
        <v>6.3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29241-2022</t>
        </is>
      </c>
      <c r="B11354" s="1" t="n">
        <v>44750.61899305556</v>
      </c>
      <c r="C11354" s="1" t="n">
        <v>46086</v>
      </c>
      <c r="D11354" t="inlineStr">
        <is>
          <t>GÄVLEBORGS LÄN</t>
        </is>
      </c>
      <c r="E11354" t="inlineStr">
        <is>
          <t>BOLLNÄS</t>
        </is>
      </c>
      <c r="F11354" t="inlineStr">
        <is>
          <t>Sveaskog</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33449-2024</t>
        </is>
      </c>
      <c r="B11355" s="1" t="n">
        <v>45519.56657407407</v>
      </c>
      <c r="C11355" s="1" t="n">
        <v>46086</v>
      </c>
      <c r="D11355" t="inlineStr">
        <is>
          <t>GÄVLEBORGS LÄN</t>
        </is>
      </c>
      <c r="E11355" t="inlineStr">
        <is>
          <t>GÄVLE</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11434-2024</t>
        </is>
      </c>
      <c r="B11356" s="1" t="n">
        <v>45372.51966435185</v>
      </c>
      <c r="C11356" s="1" t="n">
        <v>46086</v>
      </c>
      <c r="D11356" t="inlineStr">
        <is>
          <t>GÄVLEBORGS LÄN</t>
        </is>
      </c>
      <c r="E11356" t="inlineStr">
        <is>
          <t>NORDANSTIG</t>
        </is>
      </c>
      <c r="F11356" t="inlineStr">
        <is>
          <t>Holmen skog AB</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18011-2025</t>
        </is>
      </c>
      <c r="B11357" s="1" t="n">
        <v>45761.43108796296</v>
      </c>
      <c r="C11357" s="1" t="n">
        <v>46086</v>
      </c>
      <c r="D11357" t="inlineStr">
        <is>
          <t>GÄVLEBORGS LÄN</t>
        </is>
      </c>
      <c r="E11357" t="inlineStr">
        <is>
          <t>LJUSDAL</t>
        </is>
      </c>
      <c r="F11357" t="inlineStr">
        <is>
          <t>Bergvik skog väst AB</t>
        </is>
      </c>
      <c r="G11357" t="n">
        <v>5.6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15226-2023</t>
        </is>
      </c>
      <c r="B11358" s="1" t="n">
        <v>45019</v>
      </c>
      <c r="C11358" s="1" t="n">
        <v>46086</v>
      </c>
      <c r="D11358" t="inlineStr">
        <is>
          <t>GÄVLEBORGS LÄN</t>
        </is>
      </c>
      <c r="E11358" t="inlineStr">
        <is>
          <t>NORDANSTIG</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51364-2024</t>
        </is>
      </c>
      <c r="B11359" s="1" t="n">
        <v>45604.36947916666</v>
      </c>
      <c r="C11359" s="1" t="n">
        <v>46086</v>
      </c>
      <c r="D11359" t="inlineStr">
        <is>
          <t>GÄVLEBORGS LÄN</t>
        </is>
      </c>
      <c r="E11359" t="inlineStr">
        <is>
          <t>LJUSDAL</t>
        </is>
      </c>
      <c r="G11359" t="n">
        <v>10.7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35440-2023</t>
        </is>
      </c>
      <c r="B11360" s="1" t="n">
        <v>45146.63849537037</v>
      </c>
      <c r="C11360" s="1" t="n">
        <v>46086</v>
      </c>
      <c r="D11360" t="inlineStr">
        <is>
          <t>GÄVLEBORGS LÄN</t>
        </is>
      </c>
      <c r="E11360" t="inlineStr">
        <is>
          <t>GÄVLE</t>
        </is>
      </c>
      <c r="G11360" t="n">
        <v>3.3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28965-2024</t>
        </is>
      </c>
      <c r="B11361" s="1" t="n">
        <v>45481.43787037037</v>
      </c>
      <c r="C11361" s="1" t="n">
        <v>46086</v>
      </c>
      <c r="D11361" t="inlineStr">
        <is>
          <t>GÄVLEBORGS LÄN</t>
        </is>
      </c>
      <c r="E11361" t="inlineStr">
        <is>
          <t>OCKELBO</t>
        </is>
      </c>
      <c r="G11361" t="n">
        <v>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55906-2024</t>
        </is>
      </c>
      <c r="B11362" s="1" t="n">
        <v>45623.58407407408</v>
      </c>
      <c r="C11362" s="1" t="n">
        <v>46086</v>
      </c>
      <c r="D11362" t="inlineStr">
        <is>
          <t>GÄVLEBORGS LÄN</t>
        </is>
      </c>
      <c r="E11362" t="inlineStr">
        <is>
          <t>OCKELBO</t>
        </is>
      </c>
      <c r="F11362" t="inlineStr">
        <is>
          <t>Bergvik skog väst AB</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14222-2025</t>
        </is>
      </c>
      <c r="B11363" s="1" t="n">
        <v>45740.58918981482</v>
      </c>
      <c r="C11363" s="1" t="n">
        <v>46086</v>
      </c>
      <c r="D11363" t="inlineStr">
        <is>
          <t>GÄVLEBORGS LÄN</t>
        </is>
      </c>
      <c r="E11363" t="inlineStr">
        <is>
          <t>GÄVLE</t>
        </is>
      </c>
      <c r="F11363" t="inlineStr">
        <is>
          <t>Bergvik skog öst AB</t>
        </is>
      </c>
      <c r="G11363" t="n">
        <v>19.5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19566-2025</t>
        </is>
      </c>
      <c r="B11364" s="1" t="n">
        <v>45770.53225694445</v>
      </c>
      <c r="C11364" s="1" t="n">
        <v>46086</v>
      </c>
      <c r="D11364" t="inlineStr">
        <is>
          <t>GÄVLEBORGS LÄN</t>
        </is>
      </c>
      <c r="E11364" t="inlineStr">
        <is>
          <t>NORDANSTIG</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3047-2022</t>
        </is>
      </c>
      <c r="B11365" s="1" t="n">
        <v>44581</v>
      </c>
      <c r="C11365" s="1" t="n">
        <v>46086</v>
      </c>
      <c r="D11365" t="inlineStr">
        <is>
          <t>GÄVLEBORGS LÄN</t>
        </is>
      </c>
      <c r="E11365" t="inlineStr">
        <is>
          <t>OVANÅKER</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22558-2023</t>
        </is>
      </c>
      <c r="B11366" s="1" t="n">
        <v>45071</v>
      </c>
      <c r="C11366" s="1" t="n">
        <v>46086</v>
      </c>
      <c r="D11366" t="inlineStr">
        <is>
          <t>GÄVLEBORGS LÄN</t>
        </is>
      </c>
      <c r="E11366" t="inlineStr">
        <is>
          <t>LJUSDAL</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43726-2023</t>
        </is>
      </c>
      <c r="B11367" s="1" t="n">
        <v>45187</v>
      </c>
      <c r="C11367" s="1" t="n">
        <v>46086</v>
      </c>
      <c r="D11367" t="inlineStr">
        <is>
          <t>GÄVLEBORGS LÄN</t>
        </is>
      </c>
      <c r="E11367" t="inlineStr">
        <is>
          <t>HOFORS</t>
        </is>
      </c>
      <c r="F11367" t="inlineStr">
        <is>
          <t>Sveaskog</t>
        </is>
      </c>
      <c r="G11367" t="n">
        <v>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42659-2024</t>
        </is>
      </c>
      <c r="B11368" s="1" t="n">
        <v>45566.33751157407</v>
      </c>
      <c r="C11368" s="1" t="n">
        <v>46086</v>
      </c>
      <c r="D11368" t="inlineStr">
        <is>
          <t>GÄVLEBORGS LÄN</t>
        </is>
      </c>
      <c r="E11368" t="inlineStr">
        <is>
          <t>HUDIKSVALL</t>
        </is>
      </c>
      <c r="F11368" t="inlineStr">
        <is>
          <t>Holmen skog AB</t>
        </is>
      </c>
      <c r="G11368" t="n">
        <v>10</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18591-2025</t>
        </is>
      </c>
      <c r="B11369" s="1" t="n">
        <v>45763.48015046296</v>
      </c>
      <c r="C11369" s="1" t="n">
        <v>46086</v>
      </c>
      <c r="D11369" t="inlineStr">
        <is>
          <t>GÄVLEBORGS LÄN</t>
        </is>
      </c>
      <c r="E11369" t="inlineStr">
        <is>
          <t>OVANÅKER</t>
        </is>
      </c>
      <c r="G11369" t="n">
        <v>4.7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19551-2025</t>
        </is>
      </c>
      <c r="B11370" s="1" t="n">
        <v>45770.50553240741</v>
      </c>
      <c r="C11370" s="1" t="n">
        <v>46086</v>
      </c>
      <c r="D11370" t="inlineStr">
        <is>
          <t>GÄVLEBORGS LÄN</t>
        </is>
      </c>
      <c r="E11370" t="inlineStr">
        <is>
          <t>GÄVLE</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3662-2022</t>
        </is>
      </c>
      <c r="B11371" s="1" t="n">
        <v>44586</v>
      </c>
      <c r="C11371" s="1" t="n">
        <v>46086</v>
      </c>
      <c r="D11371" t="inlineStr">
        <is>
          <t>GÄVLEBORGS LÄN</t>
        </is>
      </c>
      <c r="E11371" t="inlineStr">
        <is>
          <t>GÄVLE</t>
        </is>
      </c>
      <c r="F11371" t="inlineStr">
        <is>
          <t>Bergvik skog öst AB</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7410-2025</t>
        </is>
      </c>
      <c r="B11372" s="1" t="n">
        <v>45705.36710648148</v>
      </c>
      <c r="C11372" s="1" t="n">
        <v>46086</v>
      </c>
      <c r="D11372" t="inlineStr">
        <is>
          <t>GÄVLEBORGS LÄN</t>
        </is>
      </c>
      <c r="E11372" t="inlineStr">
        <is>
          <t>GÄVLE</t>
        </is>
      </c>
      <c r="G11372" t="n">
        <v>4.7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13557-2025</t>
        </is>
      </c>
      <c r="B11373" s="1" t="n">
        <v>45736.54907407407</v>
      </c>
      <c r="C11373" s="1" t="n">
        <v>46086</v>
      </c>
      <c r="D11373" t="inlineStr">
        <is>
          <t>GÄVLEBORGS LÄN</t>
        </is>
      </c>
      <c r="E11373" t="inlineStr">
        <is>
          <t>LJUSDAL</t>
        </is>
      </c>
      <c r="G11373" t="n">
        <v>2.4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50637-2022</t>
        </is>
      </c>
      <c r="B11374" s="1" t="n">
        <v>44866.9324537037</v>
      </c>
      <c r="C11374" s="1" t="n">
        <v>46086</v>
      </c>
      <c r="D11374" t="inlineStr">
        <is>
          <t>GÄVLEBORGS LÄN</t>
        </is>
      </c>
      <c r="E11374" t="inlineStr">
        <is>
          <t>OVANÅKER</t>
        </is>
      </c>
      <c r="G11374" t="n">
        <v>3.3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59773-2024</t>
        </is>
      </c>
      <c r="B11375" s="1" t="n">
        <v>45639</v>
      </c>
      <c r="C11375" s="1" t="n">
        <v>46086</v>
      </c>
      <c r="D11375" t="inlineStr">
        <is>
          <t>GÄVLEBORGS LÄN</t>
        </is>
      </c>
      <c r="E11375" t="inlineStr">
        <is>
          <t>SÖDERHAMN</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35331-2024</t>
        </is>
      </c>
      <c r="B11376" s="1" t="n">
        <v>45530.76390046296</v>
      </c>
      <c r="C11376" s="1" t="n">
        <v>46086</v>
      </c>
      <c r="D11376" t="inlineStr">
        <is>
          <t>GÄVLEBORGS LÄN</t>
        </is>
      </c>
      <c r="E11376" t="inlineStr">
        <is>
          <t>GÄVLE</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11206-2023</t>
        </is>
      </c>
      <c r="B11377" s="1" t="n">
        <v>44992.60256944445</v>
      </c>
      <c r="C11377" s="1" t="n">
        <v>46086</v>
      </c>
      <c r="D11377" t="inlineStr">
        <is>
          <t>GÄVLEBORGS LÄN</t>
        </is>
      </c>
      <c r="E11377" t="inlineStr">
        <is>
          <t>SÖDERHAMN</t>
        </is>
      </c>
      <c r="G11377" t="n">
        <v>2.6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11267-2023</t>
        </is>
      </c>
      <c r="B11378" s="1" t="n">
        <v>44992</v>
      </c>
      <c r="C11378" s="1" t="n">
        <v>46086</v>
      </c>
      <c r="D11378" t="inlineStr">
        <is>
          <t>GÄVLEBORGS LÄN</t>
        </is>
      </c>
      <c r="E11378" t="inlineStr">
        <is>
          <t>HUDIKSVALL</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14693-2025</t>
        </is>
      </c>
      <c r="B11379" s="1" t="n">
        <v>45742.58847222223</v>
      </c>
      <c r="C11379" s="1" t="n">
        <v>46086</v>
      </c>
      <c r="D11379" t="inlineStr">
        <is>
          <t>GÄVLEBORGS LÄN</t>
        </is>
      </c>
      <c r="E11379" t="inlineStr">
        <is>
          <t>OVANÅKER</t>
        </is>
      </c>
      <c r="G11379" t="n">
        <v>3.5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11-2023</t>
        </is>
      </c>
      <c r="B11380" s="1" t="n">
        <v>44927</v>
      </c>
      <c r="C11380" s="1" t="n">
        <v>46086</v>
      </c>
      <c r="D11380" t="inlineStr">
        <is>
          <t>GÄVLEBORGS LÄN</t>
        </is>
      </c>
      <c r="E11380" t="inlineStr">
        <is>
          <t>GÄVLE</t>
        </is>
      </c>
      <c r="G11380" t="n">
        <v>4.4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44720-2024</t>
        </is>
      </c>
      <c r="B11381" s="1" t="n">
        <v>45574.57549768518</v>
      </c>
      <c r="C11381" s="1" t="n">
        <v>46086</v>
      </c>
      <c r="D11381" t="inlineStr">
        <is>
          <t>GÄVLEBORGS LÄN</t>
        </is>
      </c>
      <c r="E11381" t="inlineStr">
        <is>
          <t>HUDIKSVALL</t>
        </is>
      </c>
      <c r="F11381" t="inlineStr">
        <is>
          <t>Holmen skog AB</t>
        </is>
      </c>
      <c r="G11381" t="n">
        <v>9.1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61130-2022</t>
        </is>
      </c>
      <c r="B11382" s="1" t="n">
        <v>44915</v>
      </c>
      <c r="C11382" s="1" t="n">
        <v>46086</v>
      </c>
      <c r="D11382" t="inlineStr">
        <is>
          <t>GÄVLEBORGS LÄN</t>
        </is>
      </c>
      <c r="E11382" t="inlineStr">
        <is>
          <t>OCKELBO</t>
        </is>
      </c>
      <c r="G11382" t="n">
        <v>5.5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5629-2025</t>
        </is>
      </c>
      <c r="B11383" s="1" t="n">
        <v>45693.65769675926</v>
      </c>
      <c r="C11383" s="1" t="n">
        <v>46086</v>
      </c>
      <c r="D11383" t="inlineStr">
        <is>
          <t>GÄVLEBORGS LÄN</t>
        </is>
      </c>
      <c r="E11383" t="inlineStr">
        <is>
          <t>OVANÅKER</t>
        </is>
      </c>
      <c r="G11383" t="n">
        <v>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27612-2024</t>
        </is>
      </c>
      <c r="B11384" s="1" t="n">
        <v>45474.7375925926</v>
      </c>
      <c r="C11384" s="1" t="n">
        <v>46086</v>
      </c>
      <c r="D11384" t="inlineStr">
        <is>
          <t>GÄVLEBORGS LÄN</t>
        </is>
      </c>
      <c r="E11384" t="inlineStr">
        <is>
          <t>BOLLNÄS</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43562-2024</t>
        </is>
      </c>
      <c r="B11385" s="1" t="n">
        <v>45569.40412037037</v>
      </c>
      <c r="C11385" s="1" t="n">
        <v>46086</v>
      </c>
      <c r="D11385" t="inlineStr">
        <is>
          <t>GÄVLEBORGS LÄN</t>
        </is>
      </c>
      <c r="E11385" t="inlineStr">
        <is>
          <t>LJUSDAL</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44806-2024</t>
        </is>
      </c>
      <c r="B11386" s="1" t="n">
        <v>45574.65305555556</v>
      </c>
      <c r="C11386" s="1" t="n">
        <v>46086</v>
      </c>
      <c r="D11386" t="inlineStr">
        <is>
          <t>GÄVLEBORGS LÄN</t>
        </is>
      </c>
      <c r="E11386" t="inlineStr">
        <is>
          <t>GÄVLE</t>
        </is>
      </c>
      <c r="F11386" t="inlineStr">
        <is>
          <t>Bergvik skog öst AB</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44813-2024</t>
        </is>
      </c>
      <c r="B11387" s="1" t="n">
        <v>45574</v>
      </c>
      <c r="C11387" s="1" t="n">
        <v>46086</v>
      </c>
      <c r="D11387" t="inlineStr">
        <is>
          <t>GÄVLEBORGS LÄN</t>
        </is>
      </c>
      <c r="E11387" t="inlineStr">
        <is>
          <t>HUDIKSVALL</t>
        </is>
      </c>
      <c r="G11387" t="n">
        <v>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10606-2024</t>
        </is>
      </c>
      <c r="B11388" s="1" t="n">
        <v>45366.96065972222</v>
      </c>
      <c r="C11388" s="1" t="n">
        <v>46086</v>
      </c>
      <c r="D11388" t="inlineStr">
        <is>
          <t>GÄVLEBORGS LÄN</t>
        </is>
      </c>
      <c r="E11388" t="inlineStr">
        <is>
          <t>BOLLNÄS</t>
        </is>
      </c>
      <c r="G11388" t="n">
        <v>2.6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23369-2022</t>
        </is>
      </c>
      <c r="B11389" s="1" t="n">
        <v>44720.60880787037</v>
      </c>
      <c r="C11389" s="1" t="n">
        <v>46086</v>
      </c>
      <c r="D11389" t="inlineStr">
        <is>
          <t>GÄVLEBORGS LÄN</t>
        </is>
      </c>
      <c r="E11389" t="inlineStr">
        <is>
          <t>NORDANSTIG</t>
        </is>
      </c>
      <c r="G11389" t="n">
        <v>5.3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11629-2024</t>
        </is>
      </c>
      <c r="B11390" s="1" t="n">
        <v>45373</v>
      </c>
      <c r="C11390" s="1" t="n">
        <v>46086</v>
      </c>
      <c r="D11390" t="inlineStr">
        <is>
          <t>GÄVLEBORGS LÄN</t>
        </is>
      </c>
      <c r="E11390" t="inlineStr">
        <is>
          <t>HUDIKSVALL</t>
        </is>
      </c>
      <c r="F11390" t="inlineStr">
        <is>
          <t>Holmen skog AB</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10843-2022</t>
        </is>
      </c>
      <c r="B11391" s="1" t="n">
        <v>44627</v>
      </c>
      <c r="C11391" s="1" t="n">
        <v>46086</v>
      </c>
      <c r="D11391" t="inlineStr">
        <is>
          <t>GÄVLEBORGS LÄN</t>
        </is>
      </c>
      <c r="E11391" t="inlineStr">
        <is>
          <t>HUDIKSVALL</t>
        </is>
      </c>
      <c r="G11391" t="n">
        <v>15.4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13806-2024</t>
        </is>
      </c>
      <c r="B11392" s="1" t="n">
        <v>45391.39333333333</v>
      </c>
      <c r="C11392" s="1" t="n">
        <v>46086</v>
      </c>
      <c r="D11392" t="inlineStr">
        <is>
          <t>GÄVLEBORGS LÄN</t>
        </is>
      </c>
      <c r="E11392" t="inlineStr">
        <is>
          <t>HUDIKSVALL</t>
        </is>
      </c>
      <c r="G11392" t="n">
        <v>0.5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14913-2025</t>
        </is>
      </c>
      <c r="B11393" s="1" t="n">
        <v>45743.52796296297</v>
      </c>
      <c r="C11393" s="1" t="n">
        <v>46086</v>
      </c>
      <c r="D11393" t="inlineStr">
        <is>
          <t>GÄVLEBORGS LÄN</t>
        </is>
      </c>
      <c r="E11393" t="inlineStr">
        <is>
          <t>BOLLNÄS</t>
        </is>
      </c>
      <c r="F11393" t="inlineStr">
        <is>
          <t>Bergvik skog väst AB</t>
        </is>
      </c>
      <c r="G11393" t="n">
        <v>9.199999999999999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30330-2021</t>
        </is>
      </c>
      <c r="B11394" s="1" t="n">
        <v>44364.38038194444</v>
      </c>
      <c r="C11394" s="1" t="n">
        <v>46086</v>
      </c>
      <c r="D11394" t="inlineStr">
        <is>
          <t>GÄVLEBORGS LÄN</t>
        </is>
      </c>
      <c r="E11394" t="inlineStr">
        <is>
          <t>GÄVLE</t>
        </is>
      </c>
      <c r="F11394" t="inlineStr">
        <is>
          <t>Bergvik skog öst AB</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13369-2021</t>
        </is>
      </c>
      <c r="B11395" s="1" t="n">
        <v>44273.39921296296</v>
      </c>
      <c r="C11395" s="1" t="n">
        <v>46086</v>
      </c>
      <c r="D11395" t="inlineStr">
        <is>
          <t>GÄVLEBORGS LÄN</t>
        </is>
      </c>
      <c r="E11395" t="inlineStr">
        <is>
          <t>LJUSDAL</t>
        </is>
      </c>
      <c r="G11395" t="n">
        <v>8.699999999999999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38814-2024</t>
        </is>
      </c>
      <c r="B11396" s="1" t="n">
        <v>45547.54760416667</v>
      </c>
      <c r="C11396" s="1" t="n">
        <v>46086</v>
      </c>
      <c r="D11396" t="inlineStr">
        <is>
          <t>GÄVLEBORGS LÄN</t>
        </is>
      </c>
      <c r="E11396" t="inlineStr">
        <is>
          <t>LJUSDAL</t>
        </is>
      </c>
      <c r="G11396" t="n">
        <v>5.8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11349-2024</t>
        </is>
      </c>
      <c r="B11397" s="1" t="n">
        <v>45372.34134259259</v>
      </c>
      <c r="C11397" s="1" t="n">
        <v>46086</v>
      </c>
      <c r="D11397" t="inlineStr">
        <is>
          <t>GÄVLEBORGS LÄN</t>
        </is>
      </c>
      <c r="E11397" t="inlineStr">
        <is>
          <t>HUDIKSVALL</t>
        </is>
      </c>
      <c r="F11397" t="inlineStr">
        <is>
          <t>Holmen skog AB</t>
        </is>
      </c>
      <c r="G11397" t="n">
        <v>4.3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53259-2024</t>
        </is>
      </c>
      <c r="B11398" s="1" t="n">
        <v>45614.34181712963</v>
      </c>
      <c r="C11398" s="1" t="n">
        <v>46086</v>
      </c>
      <c r="D11398" t="inlineStr">
        <is>
          <t>GÄVLEBORGS LÄN</t>
        </is>
      </c>
      <c r="E11398" t="inlineStr">
        <is>
          <t>HUDIKSVALL</t>
        </is>
      </c>
      <c r="F11398" t="inlineStr">
        <is>
          <t>Holmen skog AB</t>
        </is>
      </c>
      <c r="G11398" t="n">
        <v>35.7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24228-2022</t>
        </is>
      </c>
      <c r="B11399" s="1" t="n">
        <v>44725</v>
      </c>
      <c r="C11399" s="1" t="n">
        <v>46086</v>
      </c>
      <c r="D11399" t="inlineStr">
        <is>
          <t>GÄVLEBORGS LÄN</t>
        </is>
      </c>
      <c r="E11399" t="inlineStr">
        <is>
          <t>OCKELBO</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34298-2021</t>
        </is>
      </c>
      <c r="B11400" s="1" t="n">
        <v>44379</v>
      </c>
      <c r="C11400" s="1" t="n">
        <v>46086</v>
      </c>
      <c r="D11400" t="inlineStr">
        <is>
          <t>GÄVLEBORGS LÄN</t>
        </is>
      </c>
      <c r="E11400" t="inlineStr">
        <is>
          <t>OVANÅKER</t>
        </is>
      </c>
      <c r="F11400" t="inlineStr">
        <is>
          <t>Holmen skog AB</t>
        </is>
      </c>
      <c r="G11400" t="n">
        <v>4.2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50797-2023</t>
        </is>
      </c>
      <c r="B11401" s="1" t="n">
        <v>45217.65972222222</v>
      </c>
      <c r="C11401" s="1" t="n">
        <v>46086</v>
      </c>
      <c r="D11401" t="inlineStr">
        <is>
          <t>GÄVLEBORGS LÄN</t>
        </is>
      </c>
      <c r="E11401" t="inlineStr">
        <is>
          <t>SANDVIKEN</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12825-2021</t>
        </is>
      </c>
      <c r="B11402" s="1" t="n">
        <v>44270</v>
      </c>
      <c r="C11402" s="1" t="n">
        <v>46086</v>
      </c>
      <c r="D11402" t="inlineStr">
        <is>
          <t>GÄVLEBORGS LÄN</t>
        </is>
      </c>
      <c r="E11402" t="inlineStr">
        <is>
          <t>OVANÅKER</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12607-2024</t>
        </is>
      </c>
      <c r="B11403" s="1" t="n">
        <v>45382.54315972222</v>
      </c>
      <c r="C11403" s="1" t="n">
        <v>46086</v>
      </c>
      <c r="D11403" t="inlineStr">
        <is>
          <t>GÄVLEBORGS LÄN</t>
        </is>
      </c>
      <c r="E11403" t="inlineStr">
        <is>
          <t>NORDANSTIG</t>
        </is>
      </c>
      <c r="G11403" t="n">
        <v>0.4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139-2022</t>
        </is>
      </c>
      <c r="B11404" s="1" t="n">
        <v>44564.57825231482</v>
      </c>
      <c r="C11404" s="1" t="n">
        <v>46086</v>
      </c>
      <c r="D11404" t="inlineStr">
        <is>
          <t>GÄVLEBORGS LÄN</t>
        </is>
      </c>
      <c r="E11404" t="inlineStr">
        <is>
          <t>SANDVIKEN</t>
        </is>
      </c>
      <c r="G11404" t="n">
        <v>2.9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48007-2022</t>
        </is>
      </c>
      <c r="B11405" s="1" t="n">
        <v>44855.65891203703</v>
      </c>
      <c r="C11405" s="1" t="n">
        <v>46086</v>
      </c>
      <c r="D11405" t="inlineStr">
        <is>
          <t>GÄVLEBORGS LÄN</t>
        </is>
      </c>
      <c r="E11405" t="inlineStr">
        <is>
          <t>BOLLNÄS</t>
        </is>
      </c>
      <c r="G11405" t="n">
        <v>4.3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35504-2024</t>
        </is>
      </c>
      <c r="B11406" s="1" t="n">
        <v>45531.53686342593</v>
      </c>
      <c r="C11406" s="1" t="n">
        <v>46086</v>
      </c>
      <c r="D11406" t="inlineStr">
        <is>
          <t>GÄVLEBORGS LÄN</t>
        </is>
      </c>
      <c r="E11406" t="inlineStr">
        <is>
          <t>HOFORS</t>
        </is>
      </c>
      <c r="F11406" t="inlineStr">
        <is>
          <t>Sveaskog</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36252-2024</t>
        </is>
      </c>
      <c r="B11407" s="1" t="n">
        <v>45534</v>
      </c>
      <c r="C11407" s="1" t="n">
        <v>46086</v>
      </c>
      <c r="D11407" t="inlineStr">
        <is>
          <t>GÄVLEBORGS LÄN</t>
        </is>
      </c>
      <c r="E11407" t="inlineStr">
        <is>
          <t>OVANÅKER</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36254-2024</t>
        </is>
      </c>
      <c r="B11408" s="1" t="n">
        <v>45534</v>
      </c>
      <c r="C11408" s="1" t="n">
        <v>46086</v>
      </c>
      <c r="D11408" t="inlineStr">
        <is>
          <t>GÄVLEBORGS LÄN</t>
        </is>
      </c>
      <c r="E11408" t="inlineStr">
        <is>
          <t>OVANÅKER</t>
        </is>
      </c>
      <c r="G11408" t="n">
        <v>0.3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30286-2024</t>
        </is>
      </c>
      <c r="B11409" s="1" t="n">
        <v>45490</v>
      </c>
      <c r="C11409" s="1" t="n">
        <v>46086</v>
      </c>
      <c r="D11409" t="inlineStr">
        <is>
          <t>GÄVLEBORGS LÄN</t>
        </is>
      </c>
      <c r="E11409" t="inlineStr">
        <is>
          <t>LJUSDAL</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30292-2024</t>
        </is>
      </c>
      <c r="B11410" s="1" t="n">
        <v>45490</v>
      </c>
      <c r="C11410" s="1" t="n">
        <v>46086</v>
      </c>
      <c r="D11410" t="inlineStr">
        <is>
          <t>GÄVLEBORGS LÄN</t>
        </is>
      </c>
      <c r="E11410" t="inlineStr">
        <is>
          <t>LJUSDAL</t>
        </is>
      </c>
      <c r="G11410" t="n">
        <v>3.6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68079-2021</t>
        </is>
      </c>
      <c r="B11411" s="1" t="n">
        <v>44526.31943287037</v>
      </c>
      <c r="C11411" s="1" t="n">
        <v>46086</v>
      </c>
      <c r="D11411" t="inlineStr">
        <is>
          <t>GÄVLEBORGS LÄN</t>
        </is>
      </c>
      <c r="E11411" t="inlineStr">
        <is>
          <t>HOFORS</t>
        </is>
      </c>
      <c r="G11411" t="n">
        <v>2.3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68112-2021</t>
        </is>
      </c>
      <c r="B11412" s="1" t="n">
        <v>44526.37672453704</v>
      </c>
      <c r="C11412" s="1" t="n">
        <v>46086</v>
      </c>
      <c r="D11412" t="inlineStr">
        <is>
          <t>GÄVLEBORGS LÄN</t>
        </is>
      </c>
      <c r="E11412" t="inlineStr">
        <is>
          <t>BOLLNÄS</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23394-2024</t>
        </is>
      </c>
      <c r="B11413" s="1" t="n">
        <v>45453</v>
      </c>
      <c r="C11413" s="1" t="n">
        <v>46086</v>
      </c>
      <c r="D11413" t="inlineStr">
        <is>
          <t>GÄVLEBORGS LÄN</t>
        </is>
      </c>
      <c r="E11413" t="inlineStr">
        <is>
          <t>LJUSDAL</t>
        </is>
      </c>
      <c r="G11413" t="n">
        <v>3.3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4384-2023</t>
        </is>
      </c>
      <c r="B11414" s="1" t="n">
        <v>44955</v>
      </c>
      <c r="C11414" s="1" t="n">
        <v>46086</v>
      </c>
      <c r="D11414" t="inlineStr">
        <is>
          <t>GÄVLEBORGS LÄN</t>
        </is>
      </c>
      <c r="E11414" t="inlineStr">
        <is>
          <t>SANDVIKEN</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36087-2023</t>
        </is>
      </c>
      <c r="B11415" s="1" t="n">
        <v>45149</v>
      </c>
      <c r="C11415" s="1" t="n">
        <v>46086</v>
      </c>
      <c r="D11415" t="inlineStr">
        <is>
          <t>GÄVLEBORGS LÄN</t>
        </is>
      </c>
      <c r="E11415" t="inlineStr">
        <is>
          <t>BOLLNÄS</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52250-2024</t>
        </is>
      </c>
      <c r="B11416" s="1" t="n">
        <v>45608.62623842592</v>
      </c>
      <c r="C11416" s="1" t="n">
        <v>46086</v>
      </c>
      <c r="D11416" t="inlineStr">
        <is>
          <t>GÄVLEBORGS LÄN</t>
        </is>
      </c>
      <c r="E11416" t="inlineStr">
        <is>
          <t>GÄVLE</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17788-2025</t>
        </is>
      </c>
      <c r="B11417" s="1" t="n">
        <v>45758.5408912037</v>
      </c>
      <c r="C11417" s="1" t="n">
        <v>46086</v>
      </c>
      <c r="D11417" t="inlineStr">
        <is>
          <t>GÄVLEBORGS LÄN</t>
        </is>
      </c>
      <c r="E11417" t="inlineStr">
        <is>
          <t>GÄVLE</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30067-2023</t>
        </is>
      </c>
      <c r="B11418" s="1" t="n">
        <v>45110.42435185185</v>
      </c>
      <c r="C11418" s="1" t="n">
        <v>46086</v>
      </c>
      <c r="D11418" t="inlineStr">
        <is>
          <t>GÄVLEBORGS LÄN</t>
        </is>
      </c>
      <c r="E11418" t="inlineStr">
        <is>
          <t>BOLLNÄS</t>
        </is>
      </c>
      <c r="G11418" t="n">
        <v>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28340-2024</t>
        </is>
      </c>
      <c r="B11419" s="1" t="n">
        <v>45477.54754629629</v>
      </c>
      <c r="C11419" s="1" t="n">
        <v>46086</v>
      </c>
      <c r="D11419" t="inlineStr">
        <is>
          <t>GÄVLEBORGS LÄN</t>
        </is>
      </c>
      <c r="E11419" t="inlineStr">
        <is>
          <t>SÖDERHAMN</t>
        </is>
      </c>
      <c r="G11419" t="n">
        <v>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50299-2024</t>
        </is>
      </c>
      <c r="B11420" s="1" t="n">
        <v>45600.62952546297</v>
      </c>
      <c r="C11420" s="1" t="n">
        <v>46086</v>
      </c>
      <c r="D11420" t="inlineStr">
        <is>
          <t>GÄVLEBORGS LÄN</t>
        </is>
      </c>
      <c r="E11420" t="inlineStr">
        <is>
          <t>SANDVIKEN</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11817-2024</t>
        </is>
      </c>
      <c r="B11421" s="1" t="n">
        <v>45376.33392361111</v>
      </c>
      <c r="C11421" s="1" t="n">
        <v>46086</v>
      </c>
      <c r="D11421" t="inlineStr">
        <is>
          <t>GÄVLEBORGS LÄN</t>
        </is>
      </c>
      <c r="E11421" t="inlineStr">
        <is>
          <t>HUDIKSVALL</t>
        </is>
      </c>
      <c r="F11421" t="inlineStr">
        <is>
          <t>Holmen skog AB</t>
        </is>
      </c>
      <c r="G11421" t="n">
        <v>6.2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27867-2024</t>
        </is>
      </c>
      <c r="B11422" s="1" t="n">
        <v>45475</v>
      </c>
      <c r="C11422" s="1" t="n">
        <v>46086</v>
      </c>
      <c r="D11422" t="inlineStr">
        <is>
          <t>GÄVLEBORGS LÄN</t>
        </is>
      </c>
      <c r="E11422" t="inlineStr">
        <is>
          <t>LJUSDAL</t>
        </is>
      </c>
      <c r="F11422" t="inlineStr">
        <is>
          <t>Allmännings- och besparingsskogar</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20756-2022</t>
        </is>
      </c>
      <c r="B11423" s="1" t="n">
        <v>44701.33546296296</v>
      </c>
      <c r="C11423" s="1" t="n">
        <v>46086</v>
      </c>
      <c r="D11423" t="inlineStr">
        <is>
          <t>GÄVLEBORGS LÄN</t>
        </is>
      </c>
      <c r="E11423" t="inlineStr">
        <is>
          <t>LJUSDAL</t>
        </is>
      </c>
      <c r="F11423" t="inlineStr">
        <is>
          <t>Sveaskog</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30558-2024</t>
        </is>
      </c>
      <c r="B11424" s="1" t="n">
        <v>45492.92803240741</v>
      </c>
      <c r="C11424" s="1" t="n">
        <v>46086</v>
      </c>
      <c r="D11424" t="inlineStr">
        <is>
          <t>GÄVLEBORGS LÄN</t>
        </is>
      </c>
      <c r="E11424" t="inlineStr">
        <is>
          <t>SÖDERHAMN</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30559-2024</t>
        </is>
      </c>
      <c r="B11425" s="1" t="n">
        <v>45492</v>
      </c>
      <c r="C11425" s="1" t="n">
        <v>46086</v>
      </c>
      <c r="D11425" t="inlineStr">
        <is>
          <t>GÄVLEBORGS LÄN</t>
        </is>
      </c>
      <c r="E11425" t="inlineStr">
        <is>
          <t>SÖDERHAMN</t>
        </is>
      </c>
      <c r="G11425" t="n">
        <v>3.3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30875-2022</t>
        </is>
      </c>
      <c r="B11426" s="1" t="n">
        <v>44767.55229166667</v>
      </c>
      <c r="C11426" s="1" t="n">
        <v>46086</v>
      </c>
      <c r="D11426" t="inlineStr">
        <is>
          <t>GÄVLEBORGS LÄN</t>
        </is>
      </c>
      <c r="E11426" t="inlineStr">
        <is>
          <t>GÄVLE</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45310-2022</t>
        </is>
      </c>
      <c r="B11427" s="1" t="n">
        <v>44844.57421296297</v>
      </c>
      <c r="C11427" s="1" t="n">
        <v>46086</v>
      </c>
      <c r="D11427" t="inlineStr">
        <is>
          <t>GÄVLEBORGS LÄN</t>
        </is>
      </c>
      <c r="E11427" t="inlineStr">
        <is>
          <t>NORDANSTIG</t>
        </is>
      </c>
      <c r="F11427" t="inlineStr">
        <is>
          <t>Holmen skog AB</t>
        </is>
      </c>
      <c r="G11427" t="n">
        <v>4.5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37646-2021</t>
        </is>
      </c>
      <c r="B11428" s="1" t="n">
        <v>44400.37629629629</v>
      </c>
      <c r="C11428" s="1" t="n">
        <v>46086</v>
      </c>
      <c r="D11428" t="inlineStr">
        <is>
          <t>GÄVLEBORGS LÄN</t>
        </is>
      </c>
      <c r="E11428" t="inlineStr">
        <is>
          <t>LJUSDAL</t>
        </is>
      </c>
      <c r="F11428" t="inlineStr">
        <is>
          <t>Sveaskog</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53435-2023</t>
        </is>
      </c>
      <c r="B11429" s="1" t="n">
        <v>45229.92756944444</v>
      </c>
      <c r="C11429" s="1" t="n">
        <v>46086</v>
      </c>
      <c r="D11429" t="inlineStr">
        <is>
          <t>GÄVLEBORGS LÄN</t>
        </is>
      </c>
      <c r="E11429" t="inlineStr">
        <is>
          <t>HUDIKSVALL</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63632-2023</t>
        </is>
      </c>
      <c r="B11430" s="1" t="n">
        <v>45275.56056712963</v>
      </c>
      <c r="C11430" s="1" t="n">
        <v>46086</v>
      </c>
      <c r="D11430" t="inlineStr">
        <is>
          <t>GÄVLEBORGS LÄN</t>
        </is>
      </c>
      <c r="E11430" t="inlineStr">
        <is>
          <t>SÖDERHAMN</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60884-2022</t>
        </is>
      </c>
      <c r="B11431" s="1" t="n">
        <v>44914.56515046296</v>
      </c>
      <c r="C11431" s="1" t="n">
        <v>46086</v>
      </c>
      <c r="D11431" t="inlineStr">
        <is>
          <t>GÄVLEBORGS LÄN</t>
        </is>
      </c>
      <c r="E11431" t="inlineStr">
        <is>
          <t>BOLLNÄS</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64609-2023</t>
        </is>
      </c>
      <c r="B11432" s="1" t="n">
        <v>45281.50811342592</v>
      </c>
      <c r="C11432" s="1" t="n">
        <v>46086</v>
      </c>
      <c r="D11432" t="inlineStr">
        <is>
          <t>GÄVLEBORGS LÄN</t>
        </is>
      </c>
      <c r="E11432" t="inlineStr">
        <is>
          <t>OCKELBO</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28793-2024</t>
        </is>
      </c>
      <c r="B11433" s="1" t="n">
        <v>45478.61469907407</v>
      </c>
      <c r="C11433" s="1" t="n">
        <v>46086</v>
      </c>
      <c r="D11433" t="inlineStr">
        <is>
          <t>GÄVLEBORGS LÄN</t>
        </is>
      </c>
      <c r="E11433" t="inlineStr">
        <is>
          <t>BOLLNÄS</t>
        </is>
      </c>
      <c r="F11433" t="inlineStr">
        <is>
          <t>Bergvik skog väst AB</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6820-2023</t>
        </is>
      </c>
      <c r="B11434" s="1" t="n">
        <v>44967.38015046297</v>
      </c>
      <c r="C11434" s="1" t="n">
        <v>46086</v>
      </c>
      <c r="D11434" t="inlineStr">
        <is>
          <t>GÄVLEBORGS LÄN</t>
        </is>
      </c>
      <c r="E11434" t="inlineStr">
        <is>
          <t>NORDANSTIG</t>
        </is>
      </c>
      <c r="F11434" t="inlineStr">
        <is>
          <t>Holmen skog AB</t>
        </is>
      </c>
      <c r="G11434" t="n">
        <v>2.4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32402-2024</t>
        </is>
      </c>
      <c r="B11435" s="1" t="n">
        <v>45512.66758101852</v>
      </c>
      <c r="C11435" s="1" t="n">
        <v>46086</v>
      </c>
      <c r="D11435" t="inlineStr">
        <is>
          <t>GÄVLEBORGS LÄN</t>
        </is>
      </c>
      <c r="E11435" t="inlineStr">
        <is>
          <t>HUDIKSVALL</t>
        </is>
      </c>
      <c r="F11435" t="inlineStr">
        <is>
          <t>Holmen skog AB</t>
        </is>
      </c>
      <c r="G11435" t="n">
        <v>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27151-2023</t>
        </is>
      </c>
      <c r="B11436" s="1" t="n">
        <v>45096.47592592592</v>
      </c>
      <c r="C11436" s="1" t="n">
        <v>46086</v>
      </c>
      <c r="D11436" t="inlineStr">
        <is>
          <t>GÄVLEBORGS LÄN</t>
        </is>
      </c>
      <c r="E11436" t="inlineStr">
        <is>
          <t>SÖDERHAMN</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43018-2023</t>
        </is>
      </c>
      <c r="B11437" s="1" t="n">
        <v>45182.64844907408</v>
      </c>
      <c r="C11437" s="1" t="n">
        <v>46086</v>
      </c>
      <c r="D11437" t="inlineStr">
        <is>
          <t>GÄVLEBORGS LÄN</t>
        </is>
      </c>
      <c r="E11437" t="inlineStr">
        <is>
          <t>LJUSDAL</t>
        </is>
      </c>
      <c r="G11437" t="n">
        <v>8.199999999999999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53852-2023</t>
        </is>
      </c>
      <c r="B11438" s="1" t="n">
        <v>45231.46224537037</v>
      </c>
      <c r="C11438" s="1" t="n">
        <v>46086</v>
      </c>
      <c r="D11438" t="inlineStr">
        <is>
          <t>GÄVLEBORGS LÄN</t>
        </is>
      </c>
      <c r="E11438" t="inlineStr">
        <is>
          <t>LJUSDAL</t>
        </is>
      </c>
      <c r="G11438" t="n">
        <v>0.1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60349-2022</t>
        </is>
      </c>
      <c r="B11439" s="1" t="n">
        <v>44910</v>
      </c>
      <c r="C11439" s="1" t="n">
        <v>46086</v>
      </c>
      <c r="D11439" t="inlineStr">
        <is>
          <t>GÄVLEBORGS LÄN</t>
        </is>
      </c>
      <c r="E11439" t="inlineStr">
        <is>
          <t>GÄVLE</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23657-2023</t>
        </is>
      </c>
      <c r="B11440" s="1" t="n">
        <v>45077.56275462963</v>
      </c>
      <c r="C11440" s="1" t="n">
        <v>46086</v>
      </c>
      <c r="D11440" t="inlineStr">
        <is>
          <t>GÄVLEBORGS LÄN</t>
        </is>
      </c>
      <c r="E11440" t="inlineStr">
        <is>
          <t>HUDIKSVALL</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2592-2023</t>
        </is>
      </c>
      <c r="B11441" s="1" t="n">
        <v>44943.92533564815</v>
      </c>
      <c r="C11441" s="1" t="n">
        <v>46086</v>
      </c>
      <c r="D11441" t="inlineStr">
        <is>
          <t>GÄVLEBORGS LÄN</t>
        </is>
      </c>
      <c r="E11441" t="inlineStr">
        <is>
          <t>NORDANSTIG</t>
        </is>
      </c>
      <c r="G11441" t="n">
        <v>4.1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11956-2023</t>
        </is>
      </c>
      <c r="B11442" s="1" t="n">
        <v>44995.54887731482</v>
      </c>
      <c r="C11442" s="1" t="n">
        <v>46086</v>
      </c>
      <c r="D11442" t="inlineStr">
        <is>
          <t>GÄVLEBORGS LÄN</t>
        </is>
      </c>
      <c r="E11442" t="inlineStr">
        <is>
          <t>BOLLNÄS</t>
        </is>
      </c>
      <c r="G11442" t="n">
        <v>3.2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3626-2023</t>
        </is>
      </c>
      <c r="B11443" s="1" t="n">
        <v>44950</v>
      </c>
      <c r="C11443" s="1" t="n">
        <v>46086</v>
      </c>
      <c r="D11443" t="inlineStr">
        <is>
          <t>GÄVLEBORGS LÄN</t>
        </is>
      </c>
      <c r="E11443" t="inlineStr">
        <is>
          <t>OCKELBO</t>
        </is>
      </c>
      <c r="G11443" t="n">
        <v>3.1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41100-2024</t>
        </is>
      </c>
      <c r="B11444" s="1" t="n">
        <v>45559</v>
      </c>
      <c r="C11444" s="1" t="n">
        <v>46086</v>
      </c>
      <c r="D11444" t="inlineStr">
        <is>
          <t>GÄVLEBORGS LÄN</t>
        </is>
      </c>
      <c r="E11444" t="inlineStr">
        <is>
          <t>GÄVLE</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4300-2024</t>
        </is>
      </c>
      <c r="B11445" s="1" t="n">
        <v>45324.62636574074</v>
      </c>
      <c r="C11445" s="1" t="n">
        <v>46086</v>
      </c>
      <c r="D11445" t="inlineStr">
        <is>
          <t>GÄVLEBORGS LÄN</t>
        </is>
      </c>
      <c r="E11445" t="inlineStr">
        <is>
          <t>HUDIKSVALL</t>
        </is>
      </c>
      <c r="G11445" t="n">
        <v>3.6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18025-2025</t>
        </is>
      </c>
      <c r="B11446" s="1" t="n">
        <v>45761.44814814815</v>
      </c>
      <c r="C11446" s="1" t="n">
        <v>46086</v>
      </c>
      <c r="D11446" t="inlineStr">
        <is>
          <t>GÄVLEBORGS LÄN</t>
        </is>
      </c>
      <c r="E11446" t="inlineStr">
        <is>
          <t>LJUSDAL</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32164-2024</t>
        </is>
      </c>
      <c r="B11447" s="1" t="n">
        <v>45511.59428240741</v>
      </c>
      <c r="C11447" s="1" t="n">
        <v>46086</v>
      </c>
      <c r="D11447" t="inlineStr">
        <is>
          <t>GÄVLEBORGS LÄN</t>
        </is>
      </c>
      <c r="E11447" t="inlineStr">
        <is>
          <t>LJUSDAL</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34228-2023</t>
        </is>
      </c>
      <c r="B11448" s="1" t="n">
        <v>45127</v>
      </c>
      <c r="C11448" s="1" t="n">
        <v>46086</v>
      </c>
      <c r="D11448" t="inlineStr">
        <is>
          <t>GÄVLEBORGS LÄN</t>
        </is>
      </c>
      <c r="E11448" t="inlineStr">
        <is>
          <t>LJUSDAL</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43075-2024</t>
        </is>
      </c>
      <c r="B11449" s="1" t="n">
        <v>45567.4943287037</v>
      </c>
      <c r="C11449" s="1" t="n">
        <v>46086</v>
      </c>
      <c r="D11449" t="inlineStr">
        <is>
          <t>GÄVLEBORGS LÄN</t>
        </is>
      </c>
      <c r="E11449" t="inlineStr">
        <is>
          <t>NORDANSTIG</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48888-2024</t>
        </is>
      </c>
      <c r="B11450" s="1" t="n">
        <v>45594.33530092592</v>
      </c>
      <c r="C11450" s="1" t="n">
        <v>46086</v>
      </c>
      <c r="D11450" t="inlineStr">
        <is>
          <t>GÄVLEBORGS LÄN</t>
        </is>
      </c>
      <c r="E11450" t="inlineStr">
        <is>
          <t>HUDIKSVALL</t>
        </is>
      </c>
      <c r="F11450" t="inlineStr">
        <is>
          <t>Holmen skog AB</t>
        </is>
      </c>
      <c r="G11450" t="n">
        <v>6.6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48907-2024</t>
        </is>
      </c>
      <c r="B11451" s="1" t="n">
        <v>45594.36177083333</v>
      </c>
      <c r="C11451" s="1" t="n">
        <v>46086</v>
      </c>
      <c r="D11451" t="inlineStr">
        <is>
          <t>GÄVLEBORGS LÄN</t>
        </is>
      </c>
      <c r="E11451" t="inlineStr">
        <is>
          <t>OVANÅKER</t>
        </is>
      </c>
      <c r="G11451" t="n">
        <v>3.7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49533-2024</t>
        </is>
      </c>
      <c r="B11452" s="1" t="n">
        <v>45596.42138888889</v>
      </c>
      <c r="C11452" s="1" t="n">
        <v>46086</v>
      </c>
      <c r="D11452" t="inlineStr">
        <is>
          <t>GÄVLEBORGS LÄN</t>
        </is>
      </c>
      <c r="E11452" t="inlineStr">
        <is>
          <t>SANDVIKEN</t>
        </is>
      </c>
      <c r="G11452" t="n">
        <v>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4227-2025</t>
        </is>
      </c>
      <c r="B11453" s="1" t="n">
        <v>45685.54583333333</v>
      </c>
      <c r="C11453" s="1" t="n">
        <v>46086</v>
      </c>
      <c r="D11453" t="inlineStr">
        <is>
          <t>GÄVLEBORGS LÄN</t>
        </is>
      </c>
      <c r="E11453" t="inlineStr">
        <is>
          <t>NORDANSTIG</t>
        </is>
      </c>
      <c r="G11453" t="n">
        <v>4.7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7699-2025</t>
        </is>
      </c>
      <c r="B11454" s="1" t="n">
        <v>45706</v>
      </c>
      <c r="C11454" s="1" t="n">
        <v>46086</v>
      </c>
      <c r="D11454" t="inlineStr">
        <is>
          <t>GÄVLEBORGS LÄN</t>
        </is>
      </c>
      <c r="E11454" t="inlineStr">
        <is>
          <t>SANDVIKEN</t>
        </is>
      </c>
      <c r="F11454" t="inlineStr">
        <is>
          <t>Kommuner</t>
        </is>
      </c>
      <c r="G11454" t="n">
        <v>8.199999999999999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73331-2021</t>
        </is>
      </c>
      <c r="B11455" s="1" t="n">
        <v>44551.36337962963</v>
      </c>
      <c r="C11455" s="1" t="n">
        <v>46086</v>
      </c>
      <c r="D11455" t="inlineStr">
        <is>
          <t>GÄVLEBORGS LÄN</t>
        </is>
      </c>
      <c r="E11455" t="inlineStr">
        <is>
          <t>SANDVIKEN</t>
        </is>
      </c>
      <c r="F11455" t="inlineStr">
        <is>
          <t>Bergvik skog öst AB</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58885-2024</t>
        </is>
      </c>
      <c r="B11456" s="1" t="n">
        <v>45636.45076388889</v>
      </c>
      <c r="C11456" s="1" t="n">
        <v>46086</v>
      </c>
      <c r="D11456" t="inlineStr">
        <is>
          <t>GÄVLEBORGS LÄN</t>
        </is>
      </c>
      <c r="E11456" t="inlineStr">
        <is>
          <t>SANDVIKEN</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58891-2024</t>
        </is>
      </c>
      <c r="B11457" s="1" t="n">
        <v>45636.46212962963</v>
      </c>
      <c r="C11457" s="1" t="n">
        <v>46086</v>
      </c>
      <c r="D11457" t="inlineStr">
        <is>
          <t>GÄVLEBORGS LÄN</t>
        </is>
      </c>
      <c r="E11457" t="inlineStr">
        <is>
          <t>NORDANSTIG</t>
        </is>
      </c>
      <c r="F11457" t="inlineStr">
        <is>
          <t>Holmen skog AB</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6432-2023</t>
        </is>
      </c>
      <c r="B11458" s="1" t="n">
        <v>44965.82097222222</v>
      </c>
      <c r="C11458" s="1" t="n">
        <v>46086</v>
      </c>
      <c r="D11458" t="inlineStr">
        <is>
          <t>GÄVLEBORGS LÄN</t>
        </is>
      </c>
      <c r="E11458" t="inlineStr">
        <is>
          <t>LJUSDAL</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56351-2024</t>
        </is>
      </c>
      <c r="B11459" s="1" t="n">
        <v>45624.91649305556</v>
      </c>
      <c r="C11459" s="1" t="n">
        <v>46086</v>
      </c>
      <c r="D11459" t="inlineStr">
        <is>
          <t>GÄVLEBORGS LÄN</t>
        </is>
      </c>
      <c r="E11459" t="inlineStr">
        <is>
          <t>NORDANSTIG</t>
        </is>
      </c>
      <c r="G11459" t="n">
        <v>4.2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56356-2024</t>
        </is>
      </c>
      <c r="B11460" s="1" t="n">
        <v>45624.93702546296</v>
      </c>
      <c r="C11460" s="1" t="n">
        <v>46086</v>
      </c>
      <c r="D11460" t="inlineStr">
        <is>
          <t>GÄVLEBORGS LÄN</t>
        </is>
      </c>
      <c r="E11460" t="inlineStr">
        <is>
          <t>LJUSDAL</t>
        </is>
      </c>
      <c r="G11460" t="n">
        <v>3.5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48301-2023</t>
        </is>
      </c>
      <c r="B11461" s="1" t="n">
        <v>45205</v>
      </c>
      <c r="C11461" s="1" t="n">
        <v>46086</v>
      </c>
      <c r="D11461" t="inlineStr">
        <is>
          <t>GÄVLEBORGS LÄN</t>
        </is>
      </c>
      <c r="E11461" t="inlineStr">
        <is>
          <t>BOLLNÄS</t>
        </is>
      </c>
      <c r="G11461" t="n">
        <v>5.1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21900-2023</t>
        </is>
      </c>
      <c r="B11462" s="1" t="n">
        <v>45068.53083333333</v>
      </c>
      <c r="C11462" s="1" t="n">
        <v>46086</v>
      </c>
      <c r="D11462" t="inlineStr">
        <is>
          <t>GÄVLEBORGS LÄN</t>
        </is>
      </c>
      <c r="E11462" t="inlineStr">
        <is>
          <t>OCKELBO</t>
        </is>
      </c>
      <c r="F11462" t="inlineStr">
        <is>
          <t>Bergvik skog väst AB</t>
        </is>
      </c>
      <c r="G11462" t="n">
        <v>0.5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54007-2023</t>
        </is>
      </c>
      <c r="B11463" s="1" t="n">
        <v>45231</v>
      </c>
      <c r="C11463" s="1" t="n">
        <v>46086</v>
      </c>
      <c r="D11463" t="inlineStr">
        <is>
          <t>GÄVLEBORGS LÄN</t>
        </is>
      </c>
      <c r="E11463" t="inlineStr">
        <is>
          <t>SÖDERHAMN</t>
        </is>
      </c>
      <c r="F11463" t="inlineStr">
        <is>
          <t>Kommuner</t>
        </is>
      </c>
      <c r="G11463" t="n">
        <v>2.6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26539-2023</t>
        </is>
      </c>
      <c r="B11464" s="1" t="n">
        <v>45092</v>
      </c>
      <c r="C11464" s="1" t="n">
        <v>46086</v>
      </c>
      <c r="D11464" t="inlineStr">
        <is>
          <t>GÄVLEBORGS LÄN</t>
        </is>
      </c>
      <c r="E11464" t="inlineStr">
        <is>
          <t>LJUSDAL</t>
        </is>
      </c>
      <c r="F11464" t="inlineStr">
        <is>
          <t>Sveaskog</t>
        </is>
      </c>
      <c r="G11464" t="n">
        <v>11.4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35122-2024</t>
        </is>
      </c>
      <c r="B11465" s="1" t="n">
        <v>45530</v>
      </c>
      <c r="C11465" s="1" t="n">
        <v>46086</v>
      </c>
      <c r="D11465" t="inlineStr">
        <is>
          <t>GÄVLEBORGS LÄN</t>
        </is>
      </c>
      <c r="E11465" t="inlineStr">
        <is>
          <t>LJUSDAL</t>
        </is>
      </c>
      <c r="F11465" t="inlineStr">
        <is>
          <t>Sveaskog</t>
        </is>
      </c>
      <c r="G11465" t="n">
        <v>0.1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35857-2024</t>
        </is>
      </c>
      <c r="B11466" s="1" t="n">
        <v>45533.32619212963</v>
      </c>
      <c r="C11466" s="1" t="n">
        <v>46086</v>
      </c>
      <c r="D11466" t="inlineStr">
        <is>
          <t>GÄVLEBORGS LÄN</t>
        </is>
      </c>
      <c r="E11466" t="inlineStr">
        <is>
          <t>BOLLNÄS</t>
        </is>
      </c>
      <c r="F11466" t="inlineStr">
        <is>
          <t>Bergvik skog väst AB</t>
        </is>
      </c>
      <c r="G11466" t="n">
        <v>13.1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58112-2024</t>
        </is>
      </c>
      <c r="B11467" s="1" t="n">
        <v>45632.38268518518</v>
      </c>
      <c r="C11467" s="1" t="n">
        <v>46086</v>
      </c>
      <c r="D11467" t="inlineStr">
        <is>
          <t>GÄVLEBORGS LÄN</t>
        </is>
      </c>
      <c r="E11467" t="inlineStr">
        <is>
          <t>NORDANSTIG</t>
        </is>
      </c>
      <c r="F11467" t="inlineStr">
        <is>
          <t>Holmen skog AB</t>
        </is>
      </c>
      <c r="G11467" t="n">
        <v>2.4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26506-2023</t>
        </is>
      </c>
      <c r="B11468" s="1" t="n">
        <v>45092.52630787037</v>
      </c>
      <c r="C11468" s="1" t="n">
        <v>46086</v>
      </c>
      <c r="D11468" t="inlineStr">
        <is>
          <t>GÄVLEBORGS LÄN</t>
        </is>
      </c>
      <c r="E11468" t="inlineStr">
        <is>
          <t>LJUSDAL</t>
        </is>
      </c>
      <c r="F11468" t="inlineStr">
        <is>
          <t>Sveaskog</t>
        </is>
      </c>
      <c r="G11468" t="n">
        <v>3.4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13849-2025</t>
        </is>
      </c>
      <c r="B11469" s="1" t="n">
        <v>45737.56753472222</v>
      </c>
      <c r="C11469" s="1" t="n">
        <v>46086</v>
      </c>
      <c r="D11469" t="inlineStr">
        <is>
          <t>GÄVLEBORGS LÄN</t>
        </is>
      </c>
      <c r="E11469" t="inlineStr">
        <is>
          <t>LJUSDAL</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13853-2025</t>
        </is>
      </c>
      <c r="B11470" s="1" t="n">
        <v>45737.56875</v>
      </c>
      <c r="C11470" s="1" t="n">
        <v>46086</v>
      </c>
      <c r="D11470" t="inlineStr">
        <is>
          <t>GÄVLEBORGS LÄN</t>
        </is>
      </c>
      <c r="E11470" t="inlineStr">
        <is>
          <t>HUDIKSVALL</t>
        </is>
      </c>
      <c r="G11470" t="n">
        <v>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52608-2021</t>
        </is>
      </c>
      <c r="B11471" s="1" t="n">
        <v>44466.599375</v>
      </c>
      <c r="C11471" s="1" t="n">
        <v>46086</v>
      </c>
      <c r="D11471" t="inlineStr">
        <is>
          <t>GÄVLEBORGS LÄN</t>
        </is>
      </c>
      <c r="E11471" t="inlineStr">
        <is>
          <t>OVANÅKER</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29979-2023</t>
        </is>
      </c>
      <c r="B11472" s="1" t="n">
        <v>45108</v>
      </c>
      <c r="C11472" s="1" t="n">
        <v>46086</v>
      </c>
      <c r="D11472" t="inlineStr">
        <is>
          <t>GÄVLEBORGS LÄN</t>
        </is>
      </c>
      <c r="E11472" t="inlineStr">
        <is>
          <t>SÖDERHAMN</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18545-2025</t>
        </is>
      </c>
      <c r="B11473" s="1" t="n">
        <v>45763.42251157408</v>
      </c>
      <c r="C11473" s="1" t="n">
        <v>46086</v>
      </c>
      <c r="D11473" t="inlineStr">
        <is>
          <t>GÄVLEBORGS LÄN</t>
        </is>
      </c>
      <c r="E11473" t="inlineStr">
        <is>
          <t>OVANÅKER</t>
        </is>
      </c>
      <c r="F11473" t="inlineStr">
        <is>
          <t>Holmen skog AB</t>
        </is>
      </c>
      <c r="G11473" t="n">
        <v>2.6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5366-2025</t>
        </is>
      </c>
      <c r="B11474" s="1" t="n">
        <v>45692.58184027778</v>
      </c>
      <c r="C11474" s="1" t="n">
        <v>46086</v>
      </c>
      <c r="D11474" t="inlineStr">
        <is>
          <t>GÄVLEBORGS LÄN</t>
        </is>
      </c>
      <c r="E11474" t="inlineStr">
        <is>
          <t>BOLLNÄS</t>
        </is>
      </c>
      <c r="G11474" t="n">
        <v>3.7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5368-2025</t>
        </is>
      </c>
      <c r="B11475" s="1" t="n">
        <v>45692.58333333334</v>
      </c>
      <c r="C11475" s="1" t="n">
        <v>46086</v>
      </c>
      <c r="D11475" t="inlineStr">
        <is>
          <t>GÄVLEBORGS LÄN</t>
        </is>
      </c>
      <c r="E11475" t="inlineStr">
        <is>
          <t>BOLLNÄS</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19774-2025</t>
        </is>
      </c>
      <c r="B11476" s="1" t="n">
        <v>45771.42100694445</v>
      </c>
      <c r="C11476" s="1" t="n">
        <v>46086</v>
      </c>
      <c r="D11476" t="inlineStr">
        <is>
          <t>GÄVLEBORGS LÄN</t>
        </is>
      </c>
      <c r="E11476" t="inlineStr">
        <is>
          <t>OCKELBO</t>
        </is>
      </c>
      <c r="F11476" t="inlineStr">
        <is>
          <t>Bergvik skog väst AB</t>
        </is>
      </c>
      <c r="G11476" t="n">
        <v>5.3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41790-2024</t>
        </is>
      </c>
      <c r="B11477" s="1" t="n">
        <v>45561.35392361111</v>
      </c>
      <c r="C11477" s="1" t="n">
        <v>46086</v>
      </c>
      <c r="D11477" t="inlineStr">
        <is>
          <t>GÄVLEBORGS LÄN</t>
        </is>
      </c>
      <c r="E11477" t="inlineStr">
        <is>
          <t>SANDVIKEN</t>
        </is>
      </c>
      <c r="G11477" t="n">
        <v>2.1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20612-2024</t>
        </is>
      </c>
      <c r="B11478" s="1" t="n">
        <v>45436</v>
      </c>
      <c r="C11478" s="1" t="n">
        <v>46086</v>
      </c>
      <c r="D11478" t="inlineStr">
        <is>
          <t>GÄVLEBORGS LÄN</t>
        </is>
      </c>
      <c r="E11478" t="inlineStr">
        <is>
          <t>HUDIKSVALL</t>
        </is>
      </c>
      <c r="G11478" t="n">
        <v>0.4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21878-2023</t>
        </is>
      </c>
      <c r="B11479" s="1" t="n">
        <v>45068.47928240741</v>
      </c>
      <c r="C11479" s="1" t="n">
        <v>46086</v>
      </c>
      <c r="D11479" t="inlineStr">
        <is>
          <t>GÄVLEBORGS LÄN</t>
        </is>
      </c>
      <c r="E11479" t="inlineStr">
        <is>
          <t>OCKELBO</t>
        </is>
      </c>
      <c r="F11479" t="inlineStr">
        <is>
          <t>Bergvik skog väst AB</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21456-2023</t>
        </is>
      </c>
      <c r="B11480" s="1" t="n">
        <v>45063.45789351852</v>
      </c>
      <c r="C11480" s="1" t="n">
        <v>46086</v>
      </c>
      <c r="D11480" t="inlineStr">
        <is>
          <t>GÄVLEBORGS LÄN</t>
        </is>
      </c>
      <c r="E11480" t="inlineStr">
        <is>
          <t>SANDVIKEN</t>
        </is>
      </c>
      <c r="F11480" t="inlineStr">
        <is>
          <t>Kommuner</t>
        </is>
      </c>
      <c r="G11480" t="n">
        <v>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36295-2024</t>
        </is>
      </c>
      <c r="B11481" s="1" t="n">
        <v>45534.60523148148</v>
      </c>
      <c r="C11481" s="1" t="n">
        <v>46086</v>
      </c>
      <c r="D11481" t="inlineStr">
        <is>
          <t>GÄVLEBORGS LÄN</t>
        </is>
      </c>
      <c r="E11481" t="inlineStr">
        <is>
          <t>OCKELBO</t>
        </is>
      </c>
      <c r="G11481" t="n">
        <v>7.9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71657-2021</t>
        </is>
      </c>
      <c r="B11482" s="1" t="n">
        <v>44543.37199074074</v>
      </c>
      <c r="C11482" s="1" t="n">
        <v>46086</v>
      </c>
      <c r="D11482" t="inlineStr">
        <is>
          <t>GÄVLEBORGS LÄN</t>
        </is>
      </c>
      <c r="E11482" t="inlineStr">
        <is>
          <t>BOLLNÄS</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50704-2024</t>
        </is>
      </c>
      <c r="B11483" s="1" t="n">
        <v>45602.36324074074</v>
      </c>
      <c r="C11483" s="1" t="n">
        <v>46086</v>
      </c>
      <c r="D11483" t="inlineStr">
        <is>
          <t>GÄVLEBORGS LÄN</t>
        </is>
      </c>
      <c r="E11483" t="inlineStr">
        <is>
          <t>SANDVIKEN</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37792-2022</t>
        </is>
      </c>
      <c r="B11484" s="1" t="n">
        <v>44810.68939814815</v>
      </c>
      <c r="C11484" s="1" t="n">
        <v>46086</v>
      </c>
      <c r="D11484" t="inlineStr">
        <is>
          <t>GÄVLEBORGS LÄN</t>
        </is>
      </c>
      <c r="E11484" t="inlineStr">
        <is>
          <t>LJUSDAL</t>
        </is>
      </c>
      <c r="G11484" t="n">
        <v>3.4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56028-2024</t>
        </is>
      </c>
      <c r="B11485" s="1" t="n">
        <v>45624.30975694444</v>
      </c>
      <c r="C11485" s="1" t="n">
        <v>46086</v>
      </c>
      <c r="D11485" t="inlineStr">
        <is>
          <t>GÄVLEBORGS LÄN</t>
        </is>
      </c>
      <c r="E11485" t="inlineStr">
        <is>
          <t>NORDANSTIG</t>
        </is>
      </c>
      <c r="F11485" t="inlineStr">
        <is>
          <t>Holmen skog AB</t>
        </is>
      </c>
      <c r="G11485" t="n">
        <v>18.8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44045-2023</t>
        </is>
      </c>
      <c r="B11486" s="1" t="n">
        <v>45188.38197916667</v>
      </c>
      <c r="C11486" s="1" t="n">
        <v>46086</v>
      </c>
      <c r="D11486" t="inlineStr">
        <is>
          <t>GÄVLEBORGS LÄN</t>
        </is>
      </c>
      <c r="E11486" t="inlineStr">
        <is>
          <t>HUDIKSVALL</t>
        </is>
      </c>
      <c r="F11486" t="inlineStr">
        <is>
          <t>Holmen skog AB</t>
        </is>
      </c>
      <c r="G11486" t="n">
        <v>2.6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23365-2024</t>
        </is>
      </c>
      <c r="B11487" s="1" t="n">
        <v>45453.54730324074</v>
      </c>
      <c r="C11487" s="1" t="n">
        <v>46086</v>
      </c>
      <c r="D11487" t="inlineStr">
        <is>
          <t>GÄVLEBORGS LÄN</t>
        </is>
      </c>
      <c r="E11487" t="inlineStr">
        <is>
          <t>BOLLNÄS</t>
        </is>
      </c>
      <c r="G11487" t="n">
        <v>0.5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28070-2024</t>
        </is>
      </c>
      <c r="B11488" s="1" t="n">
        <v>45476</v>
      </c>
      <c r="C11488" s="1" t="n">
        <v>46086</v>
      </c>
      <c r="D11488" t="inlineStr">
        <is>
          <t>GÄVLEBORGS LÄN</t>
        </is>
      </c>
      <c r="E11488" t="inlineStr">
        <is>
          <t>SÖDERHAMN</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63045-2023</t>
        </is>
      </c>
      <c r="B11489" s="1" t="n">
        <v>45272.90516203704</v>
      </c>
      <c r="C11489" s="1" t="n">
        <v>46086</v>
      </c>
      <c r="D11489" t="inlineStr">
        <is>
          <t>GÄVLEBORGS LÄN</t>
        </is>
      </c>
      <c r="E11489" t="inlineStr">
        <is>
          <t>HUDIKSVALL</t>
        </is>
      </c>
      <c r="G11489" t="n">
        <v>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35205-2024</t>
        </is>
      </c>
      <c r="B11490" s="1" t="n">
        <v>45530</v>
      </c>
      <c r="C11490" s="1" t="n">
        <v>46086</v>
      </c>
      <c r="D11490" t="inlineStr">
        <is>
          <t>GÄVLEBORGS LÄN</t>
        </is>
      </c>
      <c r="E11490" t="inlineStr">
        <is>
          <t>GÄVLE</t>
        </is>
      </c>
      <c r="F11490" t="inlineStr">
        <is>
          <t>Bergvik skog öst AB</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4565-2024</t>
        </is>
      </c>
      <c r="B11491" s="1" t="n">
        <v>45327</v>
      </c>
      <c r="C11491" s="1" t="n">
        <v>46086</v>
      </c>
      <c r="D11491" t="inlineStr">
        <is>
          <t>GÄVLEBORGS LÄN</t>
        </is>
      </c>
      <c r="E11491" t="inlineStr">
        <is>
          <t>HUDIKSVALL</t>
        </is>
      </c>
      <c r="F11491" t="inlineStr">
        <is>
          <t>Holmen skog AB</t>
        </is>
      </c>
      <c r="G11491" t="n">
        <v>34.7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49786-2024</t>
        </is>
      </c>
      <c r="B11492" s="1" t="n">
        <v>45597.35850694445</v>
      </c>
      <c r="C11492" s="1" t="n">
        <v>46086</v>
      </c>
      <c r="D11492" t="inlineStr">
        <is>
          <t>GÄVLEBORGS LÄN</t>
        </is>
      </c>
      <c r="E11492" t="inlineStr">
        <is>
          <t>SÖDERHAMN</t>
        </is>
      </c>
      <c r="G11492" t="n">
        <v>0.4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52057-2023</t>
        </is>
      </c>
      <c r="B11493" s="1" t="n">
        <v>45223.65407407407</v>
      </c>
      <c r="C11493" s="1" t="n">
        <v>46086</v>
      </c>
      <c r="D11493" t="inlineStr">
        <is>
          <t>GÄVLEBORGS LÄN</t>
        </is>
      </c>
      <c r="E11493" t="inlineStr">
        <is>
          <t>LJUSDAL</t>
        </is>
      </c>
      <c r="G11493" t="n">
        <v>4.7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60283-2022</t>
        </is>
      </c>
      <c r="B11494" s="1" t="n">
        <v>44910</v>
      </c>
      <c r="C11494" s="1" t="n">
        <v>46086</v>
      </c>
      <c r="D11494" t="inlineStr">
        <is>
          <t>GÄVLEBORGS LÄN</t>
        </is>
      </c>
      <c r="E11494" t="inlineStr">
        <is>
          <t>HUDIKSVALL</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42537-2024</t>
        </is>
      </c>
      <c r="B11495" s="1" t="n">
        <v>45565.58545138889</v>
      </c>
      <c r="C11495" s="1" t="n">
        <v>46086</v>
      </c>
      <c r="D11495" t="inlineStr">
        <is>
          <t>GÄVLEBORGS LÄN</t>
        </is>
      </c>
      <c r="E11495" t="inlineStr">
        <is>
          <t>LJUSDAL</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6958-2024</t>
        </is>
      </c>
      <c r="B11496" s="1" t="n">
        <v>45343</v>
      </c>
      <c r="C11496" s="1" t="n">
        <v>46086</v>
      </c>
      <c r="D11496" t="inlineStr">
        <is>
          <t>GÄVLEBORGS LÄN</t>
        </is>
      </c>
      <c r="E11496" t="inlineStr">
        <is>
          <t>HOFORS</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64632-2021</t>
        </is>
      </c>
      <c r="B11497" s="1" t="n">
        <v>44511.92248842592</v>
      </c>
      <c r="C11497" s="1" t="n">
        <v>46086</v>
      </c>
      <c r="D11497" t="inlineStr">
        <is>
          <t>GÄVLEBORGS LÄN</t>
        </is>
      </c>
      <c r="E11497" t="inlineStr">
        <is>
          <t>HUDIKSVALL</t>
        </is>
      </c>
      <c r="G11497" t="n">
        <v>4.2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19652-2024</t>
        </is>
      </c>
      <c r="B11498" s="1" t="n">
        <v>45432.44259259259</v>
      </c>
      <c r="C11498" s="1" t="n">
        <v>46086</v>
      </c>
      <c r="D11498" t="inlineStr">
        <is>
          <t>GÄVLEBORGS LÄN</t>
        </is>
      </c>
      <c r="E11498" t="inlineStr">
        <is>
          <t>SÖDERHAMN</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32376-2024</t>
        </is>
      </c>
      <c r="B11499" s="1" t="n">
        <v>45512.6081712963</v>
      </c>
      <c r="C11499" s="1" t="n">
        <v>46086</v>
      </c>
      <c r="D11499" t="inlineStr">
        <is>
          <t>GÄVLEBORGS LÄN</t>
        </is>
      </c>
      <c r="E11499" t="inlineStr">
        <is>
          <t>HUDIKSVALL</t>
        </is>
      </c>
      <c r="F11499" t="inlineStr">
        <is>
          <t>Holmen skog AB</t>
        </is>
      </c>
      <c r="G11499" t="n">
        <v>6.7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18525-2025</t>
        </is>
      </c>
      <c r="B11500" s="1" t="n">
        <v>45763.40003472222</v>
      </c>
      <c r="C11500" s="1" t="n">
        <v>46086</v>
      </c>
      <c r="D11500" t="inlineStr">
        <is>
          <t>GÄVLEBORGS LÄN</t>
        </is>
      </c>
      <c r="E11500" t="inlineStr">
        <is>
          <t>NORDANSTIG</t>
        </is>
      </c>
      <c r="F11500" t="inlineStr">
        <is>
          <t>Holmen skog AB</t>
        </is>
      </c>
      <c r="G11500" t="n">
        <v>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46828-2024</t>
        </is>
      </c>
      <c r="B11501" s="1" t="n">
        <v>45583</v>
      </c>
      <c r="C11501" s="1" t="n">
        <v>46086</v>
      </c>
      <c r="D11501" t="inlineStr">
        <is>
          <t>GÄVLEBORGS LÄN</t>
        </is>
      </c>
      <c r="E11501" t="inlineStr">
        <is>
          <t>HUDIKSVALL</t>
        </is>
      </c>
      <c r="F11501" t="inlineStr">
        <is>
          <t>Holmen skog AB</t>
        </is>
      </c>
      <c r="G11501" t="n">
        <v>19.1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15788-2025</t>
        </is>
      </c>
      <c r="B11502" s="1" t="n">
        <v>45748.62546296296</v>
      </c>
      <c r="C11502" s="1" t="n">
        <v>46086</v>
      </c>
      <c r="D11502" t="inlineStr">
        <is>
          <t>GÄVLEBORGS LÄN</t>
        </is>
      </c>
      <c r="E11502" t="inlineStr">
        <is>
          <t>SANDVIKEN</t>
        </is>
      </c>
      <c r="G11502" t="n">
        <v>4.7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12325-2025</t>
        </is>
      </c>
      <c r="B11503" s="1" t="n">
        <v>45730.30092592593</v>
      </c>
      <c r="C11503" s="1" t="n">
        <v>46086</v>
      </c>
      <c r="D11503" t="inlineStr">
        <is>
          <t>GÄVLEBORGS LÄN</t>
        </is>
      </c>
      <c r="E11503" t="inlineStr">
        <is>
          <t>OVANÅKER</t>
        </is>
      </c>
      <c r="G11503" t="n">
        <v>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12326-2025</t>
        </is>
      </c>
      <c r="B11504" s="1" t="n">
        <v>45730.30270833334</v>
      </c>
      <c r="C11504" s="1" t="n">
        <v>46086</v>
      </c>
      <c r="D11504" t="inlineStr">
        <is>
          <t>GÄVLEBORGS LÄN</t>
        </is>
      </c>
      <c r="E11504" t="inlineStr">
        <is>
          <t>OVANÅKER</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3942-2023</t>
        </is>
      </c>
      <c r="B11505" s="1" t="n">
        <v>44952</v>
      </c>
      <c r="C11505" s="1" t="n">
        <v>46086</v>
      </c>
      <c r="D11505" t="inlineStr">
        <is>
          <t>GÄVLEBORGS LÄN</t>
        </is>
      </c>
      <c r="E11505" t="inlineStr">
        <is>
          <t>HUDIKSVALL</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34363-2022</t>
        </is>
      </c>
      <c r="B11506" s="1" t="n">
        <v>44792.46133101852</v>
      </c>
      <c r="C11506" s="1" t="n">
        <v>46086</v>
      </c>
      <c r="D11506" t="inlineStr">
        <is>
          <t>GÄVLEBORGS LÄN</t>
        </is>
      </c>
      <c r="E11506" t="inlineStr">
        <is>
          <t>HUDIKSVALL</t>
        </is>
      </c>
      <c r="F11506" t="inlineStr">
        <is>
          <t>Holmen skog AB</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30083-2024</t>
        </is>
      </c>
      <c r="B11507" s="1" t="n">
        <v>45489</v>
      </c>
      <c r="C11507" s="1" t="n">
        <v>46086</v>
      </c>
      <c r="D11507" t="inlineStr">
        <is>
          <t>GÄVLEBORGS LÄN</t>
        </is>
      </c>
      <c r="E11507" t="inlineStr">
        <is>
          <t>HUDIKSVALL</t>
        </is>
      </c>
      <c r="F11507" t="inlineStr">
        <is>
          <t>Holmen skog AB</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40577-2022</t>
        </is>
      </c>
      <c r="B11508" s="1" t="n">
        <v>44823.69696759259</v>
      </c>
      <c r="C11508" s="1" t="n">
        <v>46086</v>
      </c>
      <c r="D11508" t="inlineStr">
        <is>
          <t>GÄVLEBORGS LÄN</t>
        </is>
      </c>
      <c r="E11508" t="inlineStr">
        <is>
          <t>SÖDERHAMN</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38144-2023</t>
        </is>
      </c>
      <c r="B11509" s="1" t="n">
        <v>45161.37980324074</v>
      </c>
      <c r="C11509" s="1" t="n">
        <v>46086</v>
      </c>
      <c r="D11509" t="inlineStr">
        <is>
          <t>GÄVLEBORGS LÄN</t>
        </is>
      </c>
      <c r="E11509" t="inlineStr">
        <is>
          <t>OVANÅKER</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70258-2021</t>
        </is>
      </c>
      <c r="B11510" s="1" t="n">
        <v>44536.33039351852</v>
      </c>
      <c r="C11510" s="1" t="n">
        <v>46086</v>
      </c>
      <c r="D11510" t="inlineStr">
        <is>
          <t>GÄVLEBORGS LÄN</t>
        </is>
      </c>
      <c r="E11510" t="inlineStr">
        <is>
          <t>HUDIKSVALL</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20876-2024</t>
        </is>
      </c>
      <c r="B11511" s="1" t="n">
        <v>45439.44590277778</v>
      </c>
      <c r="C11511" s="1" t="n">
        <v>46086</v>
      </c>
      <c r="D11511" t="inlineStr">
        <is>
          <t>GÄVLEBORGS LÄN</t>
        </is>
      </c>
      <c r="E11511" t="inlineStr">
        <is>
          <t>BOLLNÄS</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38535-2023</t>
        </is>
      </c>
      <c r="B11512" s="1" t="n">
        <v>45162</v>
      </c>
      <c r="C11512" s="1" t="n">
        <v>46086</v>
      </c>
      <c r="D11512" t="inlineStr">
        <is>
          <t>GÄVLEBORGS LÄN</t>
        </is>
      </c>
      <c r="E11512" t="inlineStr">
        <is>
          <t>HUDIKSVALL</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62816-2023</t>
        </is>
      </c>
      <c r="B11513" s="1" t="n">
        <v>45271.92625</v>
      </c>
      <c r="C11513" s="1" t="n">
        <v>46086</v>
      </c>
      <c r="D11513" t="inlineStr">
        <is>
          <t>GÄVLEBORGS LÄN</t>
        </is>
      </c>
      <c r="E11513" t="inlineStr">
        <is>
          <t>NORDANSTIG</t>
        </is>
      </c>
      <c r="G11513" t="n">
        <v>3.5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22165-2022</t>
        </is>
      </c>
      <c r="B11514" s="1" t="n">
        <v>44712</v>
      </c>
      <c r="C11514" s="1" t="n">
        <v>46086</v>
      </c>
      <c r="D11514" t="inlineStr">
        <is>
          <t>GÄVLEBORGS LÄN</t>
        </is>
      </c>
      <c r="E11514" t="inlineStr">
        <is>
          <t>HUDIKSVALL</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15147-2023</t>
        </is>
      </c>
      <c r="B11515" s="1" t="n">
        <v>45016</v>
      </c>
      <c r="C11515" s="1" t="n">
        <v>46086</v>
      </c>
      <c r="D11515" t="inlineStr">
        <is>
          <t>GÄVLEBORGS LÄN</t>
        </is>
      </c>
      <c r="E11515" t="inlineStr">
        <is>
          <t>BOLLNÄS</t>
        </is>
      </c>
      <c r="G11515" t="n">
        <v>3.1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15150-2023</t>
        </is>
      </c>
      <c r="B11516" s="1" t="n">
        <v>45016</v>
      </c>
      <c r="C11516" s="1" t="n">
        <v>46086</v>
      </c>
      <c r="D11516" t="inlineStr">
        <is>
          <t>GÄVLEBORGS LÄN</t>
        </is>
      </c>
      <c r="E11516" t="inlineStr">
        <is>
          <t>BOLLNÄS</t>
        </is>
      </c>
      <c r="G11516" t="n">
        <v>0.5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18433-2025</t>
        </is>
      </c>
      <c r="B11517" s="1" t="n">
        <v>45762.63892361111</v>
      </c>
      <c r="C11517" s="1" t="n">
        <v>46086</v>
      </c>
      <c r="D11517" t="inlineStr">
        <is>
          <t>GÄVLEBORGS LÄN</t>
        </is>
      </c>
      <c r="E11517" t="inlineStr">
        <is>
          <t>NORDANSTIG</t>
        </is>
      </c>
      <c r="F11517" t="inlineStr">
        <is>
          <t>Holmen skog AB</t>
        </is>
      </c>
      <c r="G11517" t="n">
        <v>2.4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16401-2025</t>
        </is>
      </c>
      <c r="B11518" s="1" t="n">
        <v>45751</v>
      </c>
      <c r="C11518" s="1" t="n">
        <v>46086</v>
      </c>
      <c r="D11518" t="inlineStr">
        <is>
          <t>GÄVLEBORGS LÄN</t>
        </is>
      </c>
      <c r="E11518" t="inlineStr">
        <is>
          <t>GÄVLE</t>
        </is>
      </c>
      <c r="F11518" t="inlineStr">
        <is>
          <t>Bergvik skog väst AB</t>
        </is>
      </c>
      <c r="G11518" t="n">
        <v>2.1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30408-2024</t>
        </is>
      </c>
      <c r="B11519" s="1" t="n">
        <v>45491</v>
      </c>
      <c r="C11519" s="1" t="n">
        <v>46086</v>
      </c>
      <c r="D11519" t="inlineStr">
        <is>
          <t>GÄVLEBORGS LÄN</t>
        </is>
      </c>
      <c r="E11519" t="inlineStr">
        <is>
          <t>HUDIKSVALL</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50900-2024</t>
        </is>
      </c>
      <c r="B11520" s="1" t="n">
        <v>45602.68607638889</v>
      </c>
      <c r="C11520" s="1" t="n">
        <v>46086</v>
      </c>
      <c r="D11520" t="inlineStr">
        <is>
          <t>GÄVLEBORGS LÄN</t>
        </is>
      </c>
      <c r="E11520" t="inlineStr">
        <is>
          <t>SANDVIKEN</t>
        </is>
      </c>
      <c r="G11520" t="n">
        <v>2.7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54826-2021</t>
        </is>
      </c>
      <c r="B11521" s="1" t="n">
        <v>44473</v>
      </c>
      <c r="C11521" s="1" t="n">
        <v>46086</v>
      </c>
      <c r="D11521" t="inlineStr">
        <is>
          <t>GÄVLEBORGS LÄN</t>
        </is>
      </c>
      <c r="E11521" t="inlineStr">
        <is>
          <t>HOFORS</t>
        </is>
      </c>
      <c r="F11521" t="inlineStr">
        <is>
          <t>Bergvik skog väst AB</t>
        </is>
      </c>
      <c r="G11521" t="n">
        <v>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53857-2023</t>
        </is>
      </c>
      <c r="B11522" s="1" t="n">
        <v>45231.46946759259</v>
      </c>
      <c r="C11522" s="1" t="n">
        <v>46086</v>
      </c>
      <c r="D11522" t="inlineStr">
        <is>
          <t>GÄVLEBORGS LÄN</t>
        </is>
      </c>
      <c r="E11522" t="inlineStr">
        <is>
          <t>LJUSDAL</t>
        </is>
      </c>
      <c r="G11522" t="n">
        <v>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37295-2022</t>
        </is>
      </c>
      <c r="B11523" s="1" t="n">
        <v>44808</v>
      </c>
      <c r="C11523" s="1" t="n">
        <v>46086</v>
      </c>
      <c r="D11523" t="inlineStr">
        <is>
          <t>GÄVLEBORGS LÄN</t>
        </is>
      </c>
      <c r="E11523" t="inlineStr">
        <is>
          <t>NORDANSTIG</t>
        </is>
      </c>
      <c r="G11523" t="n">
        <v>0</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54187-2024</t>
        </is>
      </c>
      <c r="B11524" s="1" t="n">
        <v>45616.64136574074</v>
      </c>
      <c r="C11524" s="1" t="n">
        <v>46086</v>
      </c>
      <c r="D11524" t="inlineStr">
        <is>
          <t>GÄVLEBORGS LÄN</t>
        </is>
      </c>
      <c r="E11524" t="inlineStr">
        <is>
          <t>OVANÅKER</t>
        </is>
      </c>
      <c r="F11524" t="inlineStr">
        <is>
          <t>Holmen skog AB</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2297-2024</t>
        </is>
      </c>
      <c r="B11525" s="1" t="n">
        <v>45310.43618055555</v>
      </c>
      <c r="C11525" s="1" t="n">
        <v>46086</v>
      </c>
      <c r="D11525" t="inlineStr">
        <is>
          <t>GÄVLEBORGS LÄN</t>
        </is>
      </c>
      <c r="E11525" t="inlineStr">
        <is>
          <t>BOLLNÄS</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34983-2024</t>
        </is>
      </c>
      <c r="B11526" s="1" t="n">
        <v>45527.54850694445</v>
      </c>
      <c r="C11526" s="1" t="n">
        <v>46086</v>
      </c>
      <c r="D11526" t="inlineStr">
        <is>
          <t>GÄVLEBORGS LÄN</t>
        </is>
      </c>
      <c r="E11526" t="inlineStr">
        <is>
          <t>HUDIKSVALL</t>
        </is>
      </c>
      <c r="F11526" t="inlineStr">
        <is>
          <t>Holmen skog AB</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9194-2022</t>
        </is>
      </c>
      <c r="B11527" s="1" t="n">
        <v>44615</v>
      </c>
      <c r="C11527" s="1" t="n">
        <v>46086</v>
      </c>
      <c r="D11527" t="inlineStr">
        <is>
          <t>GÄVLEBORGS LÄN</t>
        </is>
      </c>
      <c r="E11527" t="inlineStr">
        <is>
          <t>LJUSDAL</t>
        </is>
      </c>
      <c r="G11527" t="n">
        <v>2.4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5633-2024</t>
        </is>
      </c>
      <c r="B11528" s="1" t="n">
        <v>45334.61027777778</v>
      </c>
      <c r="C11528" s="1" t="n">
        <v>46086</v>
      </c>
      <c r="D11528" t="inlineStr">
        <is>
          <t>GÄVLEBORGS LÄN</t>
        </is>
      </c>
      <c r="E11528" t="inlineStr">
        <is>
          <t>GÄVLE</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50191-2024</t>
        </is>
      </c>
      <c r="B11529" s="1" t="n">
        <v>45600.48091435185</v>
      </c>
      <c r="C11529" s="1" t="n">
        <v>46086</v>
      </c>
      <c r="D11529" t="inlineStr">
        <is>
          <t>GÄVLEBORGS LÄN</t>
        </is>
      </c>
      <c r="E11529" t="inlineStr">
        <is>
          <t>GÄVLE</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33591-2021</t>
        </is>
      </c>
      <c r="B11530" s="1" t="n">
        <v>44378</v>
      </c>
      <c r="C11530" s="1" t="n">
        <v>46086</v>
      </c>
      <c r="D11530" t="inlineStr">
        <is>
          <t>GÄVLEBORGS LÄN</t>
        </is>
      </c>
      <c r="E11530" t="inlineStr">
        <is>
          <t>HUDIKSVALL</t>
        </is>
      </c>
      <c r="F11530" t="inlineStr">
        <is>
          <t>Kyrkan</t>
        </is>
      </c>
      <c r="G11530" t="n">
        <v>16.5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15385-2023</t>
        </is>
      </c>
      <c r="B11531" s="1" t="n">
        <v>45019.6284837963</v>
      </c>
      <c r="C11531" s="1" t="n">
        <v>46086</v>
      </c>
      <c r="D11531" t="inlineStr">
        <is>
          <t>GÄVLEBORGS LÄN</t>
        </is>
      </c>
      <c r="E11531" t="inlineStr">
        <is>
          <t>NORDANSTIG</t>
        </is>
      </c>
      <c r="G11531" t="n">
        <v>5.9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7149-2022</t>
        </is>
      </c>
      <c r="B11532" s="1" t="n">
        <v>44603</v>
      </c>
      <c r="C11532" s="1" t="n">
        <v>46086</v>
      </c>
      <c r="D11532" t="inlineStr">
        <is>
          <t>GÄVLEBORGS LÄN</t>
        </is>
      </c>
      <c r="E11532" t="inlineStr">
        <is>
          <t>NORDANSTIG</t>
        </is>
      </c>
      <c r="G11532" t="n">
        <v>2.2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19875-2025</t>
        </is>
      </c>
      <c r="B11533" s="1" t="n">
        <v>45771.55023148148</v>
      </c>
      <c r="C11533" s="1" t="n">
        <v>46086</v>
      </c>
      <c r="D11533" t="inlineStr">
        <is>
          <t>GÄVLEBORGS LÄN</t>
        </is>
      </c>
      <c r="E11533" t="inlineStr">
        <is>
          <t>OVANÅKER</t>
        </is>
      </c>
      <c r="G11533" t="n">
        <v>0.4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23118-2024</t>
        </is>
      </c>
      <c r="B11534" s="1" t="n">
        <v>45450</v>
      </c>
      <c r="C11534" s="1" t="n">
        <v>46086</v>
      </c>
      <c r="D11534" t="inlineStr">
        <is>
          <t>GÄVLEBORGS LÄN</t>
        </is>
      </c>
      <c r="E11534" t="inlineStr">
        <is>
          <t>BOLLNÄS</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13961-2024</t>
        </is>
      </c>
      <c r="B11535" s="1" t="n">
        <v>45392.3412962963</v>
      </c>
      <c r="C11535" s="1" t="n">
        <v>46086</v>
      </c>
      <c r="D11535" t="inlineStr">
        <is>
          <t>GÄVLEBORGS LÄN</t>
        </is>
      </c>
      <c r="E11535" t="inlineStr">
        <is>
          <t>GÄVLE</t>
        </is>
      </c>
      <c r="G11535" t="n">
        <v>1.8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55531-2024</t>
        </is>
      </c>
      <c r="B11536" s="1" t="n">
        <v>45622.48667824074</v>
      </c>
      <c r="C11536" s="1" t="n">
        <v>46086</v>
      </c>
      <c r="D11536" t="inlineStr">
        <is>
          <t>GÄVLEBORGS LÄN</t>
        </is>
      </c>
      <c r="E11536" t="inlineStr">
        <is>
          <t>NORDANSTIG</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50809-2024</t>
        </is>
      </c>
      <c r="B11537" s="1" t="n">
        <v>45602.53582175926</v>
      </c>
      <c r="C11537" s="1" t="n">
        <v>46086</v>
      </c>
      <c r="D11537" t="inlineStr">
        <is>
          <t>GÄVLEBORGS LÄN</t>
        </is>
      </c>
      <c r="E11537" t="inlineStr">
        <is>
          <t>SÖDERHAMN</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2418-2024</t>
        </is>
      </c>
      <c r="B11538" s="1" t="n">
        <v>45310.92701388889</v>
      </c>
      <c r="C11538" s="1" t="n">
        <v>46086</v>
      </c>
      <c r="D11538" t="inlineStr">
        <is>
          <t>GÄVLEBORGS LÄN</t>
        </is>
      </c>
      <c r="E11538" t="inlineStr">
        <is>
          <t>HUDIKSVALL</t>
        </is>
      </c>
      <c r="G11538" t="n">
        <v>0.5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54625-2023</t>
        </is>
      </c>
      <c r="B11539" s="1" t="n">
        <v>45234</v>
      </c>
      <c r="C11539" s="1" t="n">
        <v>46086</v>
      </c>
      <c r="D11539" t="inlineStr">
        <is>
          <t>GÄVLEBORGS LÄN</t>
        </is>
      </c>
      <c r="E11539" t="inlineStr">
        <is>
          <t>HUDIKSVALL</t>
        </is>
      </c>
      <c r="G11539" t="n">
        <v>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20284-2025</t>
        </is>
      </c>
      <c r="B11540" s="1" t="n">
        <v>45774.50434027778</v>
      </c>
      <c r="C11540" s="1" t="n">
        <v>46086</v>
      </c>
      <c r="D11540" t="inlineStr">
        <is>
          <t>GÄVLEBORGS LÄN</t>
        </is>
      </c>
      <c r="E11540" t="inlineStr">
        <is>
          <t>BOLLNÄS</t>
        </is>
      </c>
      <c r="F11540" t="inlineStr">
        <is>
          <t>Bergvik skog väst AB</t>
        </is>
      </c>
      <c r="G11540" t="n">
        <v>0.4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60743-2024</t>
        </is>
      </c>
      <c r="B11541" s="1" t="n">
        <v>45644.55494212963</v>
      </c>
      <c r="C11541" s="1" t="n">
        <v>46086</v>
      </c>
      <c r="D11541" t="inlineStr">
        <is>
          <t>GÄVLEBORGS LÄN</t>
        </is>
      </c>
      <c r="E11541" t="inlineStr">
        <is>
          <t>BOLLNÄS</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10021-2025</t>
        </is>
      </c>
      <c r="B11542" s="1" t="n">
        <v>45719</v>
      </c>
      <c r="C11542" s="1" t="n">
        <v>46086</v>
      </c>
      <c r="D11542" t="inlineStr">
        <is>
          <t>GÄVLEBORGS LÄN</t>
        </is>
      </c>
      <c r="E11542" t="inlineStr">
        <is>
          <t>BOLLNÄS</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59636-2024</t>
        </is>
      </c>
      <c r="B11543" s="1" t="n">
        <v>45639.25746527778</v>
      </c>
      <c r="C11543" s="1" t="n">
        <v>46086</v>
      </c>
      <c r="D11543" t="inlineStr">
        <is>
          <t>GÄVLEBORGS LÄN</t>
        </is>
      </c>
      <c r="E11543" t="inlineStr">
        <is>
          <t>BOLLNÄS</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53488-2023</t>
        </is>
      </c>
      <c r="B11544" s="1" t="n">
        <v>45230.35541666667</v>
      </c>
      <c r="C11544" s="1" t="n">
        <v>46086</v>
      </c>
      <c r="D11544" t="inlineStr">
        <is>
          <t>GÄVLEBORGS LÄN</t>
        </is>
      </c>
      <c r="E11544" t="inlineStr">
        <is>
          <t>OCKELBO</t>
        </is>
      </c>
      <c r="F11544" t="inlineStr">
        <is>
          <t>Bergvik skog väst AB</t>
        </is>
      </c>
      <c r="G11544" t="n">
        <v>13.3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55473-2023</t>
        </is>
      </c>
      <c r="B11545" s="1" t="n">
        <v>45231</v>
      </c>
      <c r="C11545" s="1" t="n">
        <v>46086</v>
      </c>
      <c r="D11545" t="inlineStr">
        <is>
          <t>GÄVLEBORGS LÄN</t>
        </is>
      </c>
      <c r="E11545" t="inlineStr">
        <is>
          <t>GÄVLE</t>
        </is>
      </c>
      <c r="F11545" t="inlineStr">
        <is>
          <t>Bergvik skog väst AB</t>
        </is>
      </c>
      <c r="G11545" t="n">
        <v>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19536-2025</t>
        </is>
      </c>
      <c r="B11546" s="1" t="n">
        <v>45770.47952546296</v>
      </c>
      <c r="C11546" s="1" t="n">
        <v>46086</v>
      </c>
      <c r="D11546" t="inlineStr">
        <is>
          <t>GÄVLEBORGS LÄN</t>
        </is>
      </c>
      <c r="E11546" t="inlineStr">
        <is>
          <t>SÖDERHAMN</t>
        </is>
      </c>
      <c r="G11546" t="n">
        <v>6.6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44177-2022</t>
        </is>
      </c>
      <c r="B11547" s="1" t="n">
        <v>44839</v>
      </c>
      <c r="C11547" s="1" t="n">
        <v>46086</v>
      </c>
      <c r="D11547" t="inlineStr">
        <is>
          <t>GÄVLEBORGS LÄN</t>
        </is>
      </c>
      <c r="E11547" t="inlineStr">
        <is>
          <t>BOLLNÄS</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19567-2024</t>
        </is>
      </c>
      <c r="B11548" s="1" t="n">
        <v>45429.92321759259</v>
      </c>
      <c r="C11548" s="1" t="n">
        <v>46086</v>
      </c>
      <c r="D11548" t="inlineStr">
        <is>
          <t>GÄVLEBORGS LÄN</t>
        </is>
      </c>
      <c r="E11548" t="inlineStr">
        <is>
          <t>NORDANSTIG</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52014-2023</t>
        </is>
      </c>
      <c r="B11549" s="1" t="n">
        <v>45223.60538194444</v>
      </c>
      <c r="C11549" s="1" t="n">
        <v>46086</v>
      </c>
      <c r="D11549" t="inlineStr">
        <is>
          <t>GÄVLEBORGS LÄN</t>
        </is>
      </c>
      <c r="E11549" t="inlineStr">
        <is>
          <t>HUDIKSVALL</t>
        </is>
      </c>
      <c r="F11549" t="inlineStr">
        <is>
          <t>Holmen skog AB</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35941-2022</t>
        </is>
      </c>
      <c r="B11550" s="1" t="n">
        <v>44802.5419675926</v>
      </c>
      <c r="C11550" s="1" t="n">
        <v>46086</v>
      </c>
      <c r="D11550" t="inlineStr">
        <is>
          <t>GÄVLEBORGS LÄN</t>
        </is>
      </c>
      <c r="E11550" t="inlineStr">
        <is>
          <t>BOLLNÄS</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7593-2023</t>
        </is>
      </c>
      <c r="B11551" s="1" t="n">
        <v>44972</v>
      </c>
      <c r="C11551" s="1" t="n">
        <v>46086</v>
      </c>
      <c r="D11551" t="inlineStr">
        <is>
          <t>GÄVLEBORGS LÄN</t>
        </is>
      </c>
      <c r="E11551" t="inlineStr">
        <is>
          <t>HUDIKSVALL</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7013-2023</t>
        </is>
      </c>
      <c r="B11552" s="1" t="n">
        <v>44967.96155092592</v>
      </c>
      <c r="C11552" s="1" t="n">
        <v>46086</v>
      </c>
      <c r="D11552" t="inlineStr">
        <is>
          <t>GÄVLEBORGS LÄN</t>
        </is>
      </c>
      <c r="E11552" t="inlineStr">
        <is>
          <t>NORDANSTIG</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7014-2023</t>
        </is>
      </c>
      <c r="B11553" s="1" t="n">
        <v>44967.968125</v>
      </c>
      <c r="C11553" s="1" t="n">
        <v>46086</v>
      </c>
      <c r="D11553" t="inlineStr">
        <is>
          <t>GÄVLEBORGS LÄN</t>
        </is>
      </c>
      <c r="E11553" t="inlineStr">
        <is>
          <t>NORDANSTIG</t>
        </is>
      </c>
      <c r="G11553" t="n">
        <v>0.5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58797-2024</t>
        </is>
      </c>
      <c r="B11554" s="1" t="n">
        <v>45636.29861111111</v>
      </c>
      <c r="C11554" s="1" t="n">
        <v>46086</v>
      </c>
      <c r="D11554" t="inlineStr">
        <is>
          <t>GÄVLEBORGS LÄN</t>
        </is>
      </c>
      <c r="E11554" t="inlineStr">
        <is>
          <t>SANDVIKEN</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58802-2024</t>
        </is>
      </c>
      <c r="B11555" s="1" t="n">
        <v>45636.33385416667</v>
      </c>
      <c r="C11555" s="1" t="n">
        <v>46086</v>
      </c>
      <c r="D11555" t="inlineStr">
        <is>
          <t>GÄVLEBORGS LÄN</t>
        </is>
      </c>
      <c r="E11555" t="inlineStr">
        <is>
          <t>LJUSDAL</t>
        </is>
      </c>
      <c r="G11555" t="n">
        <v>2.4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26246-2024</t>
        </is>
      </c>
      <c r="B11556" s="1" t="n">
        <v>45468.63453703704</v>
      </c>
      <c r="C11556" s="1" t="n">
        <v>46086</v>
      </c>
      <c r="D11556" t="inlineStr">
        <is>
          <t>GÄVLEBORGS LÄN</t>
        </is>
      </c>
      <c r="E11556" t="inlineStr">
        <is>
          <t>BOLLNÄS</t>
        </is>
      </c>
      <c r="G11556" t="n">
        <v>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9546-2025</t>
        </is>
      </c>
      <c r="B11557" s="1" t="n">
        <v>45715.59042824074</v>
      </c>
      <c r="C11557" s="1" t="n">
        <v>46086</v>
      </c>
      <c r="D11557" t="inlineStr">
        <is>
          <t>GÄVLEBORGS LÄN</t>
        </is>
      </c>
      <c r="E11557" t="inlineStr">
        <is>
          <t>HUDIKSVALL</t>
        </is>
      </c>
      <c r="F11557" t="inlineStr">
        <is>
          <t>Holmen skog AB</t>
        </is>
      </c>
      <c r="G11557" t="n">
        <v>29.4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37974-2024</t>
        </is>
      </c>
      <c r="B11558" s="1" t="n">
        <v>45544.57392361111</v>
      </c>
      <c r="C11558" s="1" t="n">
        <v>46086</v>
      </c>
      <c r="D11558" t="inlineStr">
        <is>
          <t>GÄVLEBORGS LÄN</t>
        </is>
      </c>
      <c r="E11558" t="inlineStr">
        <is>
          <t>NORDANSTIG</t>
        </is>
      </c>
      <c r="G11558" t="n">
        <v>2.2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46593-2024</t>
        </is>
      </c>
      <c r="B11559" s="1" t="n">
        <v>45582.816875</v>
      </c>
      <c r="C11559" s="1" t="n">
        <v>46086</v>
      </c>
      <c r="D11559" t="inlineStr">
        <is>
          <t>GÄVLEBORGS LÄN</t>
        </is>
      </c>
      <c r="E11559" t="inlineStr">
        <is>
          <t>HUDIKSVALL</t>
        </is>
      </c>
      <c r="F11559" t="inlineStr">
        <is>
          <t>Holmen skog AB</t>
        </is>
      </c>
      <c r="G11559" t="n">
        <v>5.3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46598-2024</t>
        </is>
      </c>
      <c r="B11560" s="1" t="n">
        <v>45582</v>
      </c>
      <c r="C11560" s="1" t="n">
        <v>46086</v>
      </c>
      <c r="D11560" t="inlineStr">
        <is>
          <t>GÄVLEBORGS LÄN</t>
        </is>
      </c>
      <c r="E11560" t="inlineStr">
        <is>
          <t>HUDIKSVALL</t>
        </is>
      </c>
      <c r="F11560" t="inlineStr">
        <is>
          <t>Holmen skog AB</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54524-2024</t>
        </is>
      </c>
      <c r="B11561" s="1" t="n">
        <v>45617</v>
      </c>
      <c r="C11561" s="1" t="n">
        <v>46086</v>
      </c>
      <c r="D11561" t="inlineStr">
        <is>
          <t>GÄVLEBORGS LÄN</t>
        </is>
      </c>
      <c r="E11561" t="inlineStr">
        <is>
          <t>NORDANSTIG</t>
        </is>
      </c>
      <c r="F11561" t="inlineStr">
        <is>
          <t>Holmen skog AB</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57949-2023</t>
        </is>
      </c>
      <c r="B11562" s="1" t="n">
        <v>45244</v>
      </c>
      <c r="C11562" s="1" t="n">
        <v>46086</v>
      </c>
      <c r="D11562" t="inlineStr">
        <is>
          <t>GÄVLEBORGS LÄN</t>
        </is>
      </c>
      <c r="E11562" t="inlineStr">
        <is>
          <t>HUDIKSVALL</t>
        </is>
      </c>
      <c r="G11562" t="n">
        <v>3.9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10118-2024</t>
        </is>
      </c>
      <c r="B11563" s="1" t="n">
        <v>45364.56001157407</v>
      </c>
      <c r="C11563" s="1" t="n">
        <v>46086</v>
      </c>
      <c r="D11563" t="inlineStr">
        <is>
          <t>GÄVLEBORGS LÄN</t>
        </is>
      </c>
      <c r="E11563" t="inlineStr">
        <is>
          <t>BOLLNÄS</t>
        </is>
      </c>
      <c r="G11563" t="n">
        <v>0.3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10119-2024</t>
        </is>
      </c>
      <c r="B11564" s="1" t="n">
        <v>45364.56122685185</v>
      </c>
      <c r="C11564" s="1" t="n">
        <v>46086</v>
      </c>
      <c r="D11564" t="inlineStr">
        <is>
          <t>GÄVLEBORGS LÄN</t>
        </is>
      </c>
      <c r="E11564" t="inlineStr">
        <is>
          <t>BOLLNÄS</t>
        </is>
      </c>
      <c r="G11564" t="n">
        <v>0.4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10123-2024</t>
        </is>
      </c>
      <c r="B11565" s="1" t="n">
        <v>45364.56289351852</v>
      </c>
      <c r="C11565" s="1" t="n">
        <v>46086</v>
      </c>
      <c r="D11565" t="inlineStr">
        <is>
          <t>GÄVLEBORGS LÄN</t>
        </is>
      </c>
      <c r="E11565" t="inlineStr">
        <is>
          <t>BOLLNÄS</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37442-2023</t>
        </is>
      </c>
      <c r="B11566" s="1" t="n">
        <v>45156</v>
      </c>
      <c r="C11566" s="1" t="n">
        <v>46086</v>
      </c>
      <c r="D11566" t="inlineStr">
        <is>
          <t>GÄVLEBORGS LÄN</t>
        </is>
      </c>
      <c r="E11566" t="inlineStr">
        <is>
          <t>OCKELBO</t>
        </is>
      </c>
      <c r="F11566" t="inlineStr">
        <is>
          <t>Bergvik skog väst AB</t>
        </is>
      </c>
      <c r="G11566" t="n">
        <v>4.2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60500-2022</t>
        </is>
      </c>
      <c r="B11567" s="1" t="n">
        <v>44911</v>
      </c>
      <c r="C11567" s="1" t="n">
        <v>46086</v>
      </c>
      <c r="D11567" t="inlineStr">
        <is>
          <t>GÄVLEBORGS LÄN</t>
        </is>
      </c>
      <c r="E11567" t="inlineStr">
        <is>
          <t>HUDIKSVALL</t>
        </is>
      </c>
      <c r="F11567" t="inlineStr">
        <is>
          <t>Holmen skog AB</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33710-2024</t>
        </is>
      </c>
      <c r="B11568" s="1" t="n">
        <v>45520</v>
      </c>
      <c r="C11568" s="1" t="n">
        <v>46086</v>
      </c>
      <c r="D11568" t="inlineStr">
        <is>
          <t>GÄVLEBORGS LÄN</t>
        </is>
      </c>
      <c r="E11568" t="inlineStr">
        <is>
          <t>HOFORS</t>
        </is>
      </c>
      <c r="F11568" t="inlineStr">
        <is>
          <t>Sveaskog</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17170-2025</t>
        </is>
      </c>
      <c r="B11569" s="1" t="n">
        <v>45756.3708912037</v>
      </c>
      <c r="C11569" s="1" t="n">
        <v>46086</v>
      </c>
      <c r="D11569" t="inlineStr">
        <is>
          <t>GÄVLEBORGS LÄN</t>
        </is>
      </c>
      <c r="E11569" t="inlineStr">
        <is>
          <t>GÄVLE</t>
        </is>
      </c>
      <c r="G11569" t="n">
        <v>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19405-2021</t>
        </is>
      </c>
      <c r="B11570" s="1" t="n">
        <v>44309</v>
      </c>
      <c r="C11570" s="1" t="n">
        <v>46086</v>
      </c>
      <c r="D11570" t="inlineStr">
        <is>
          <t>GÄVLEBORGS LÄN</t>
        </is>
      </c>
      <c r="E11570" t="inlineStr">
        <is>
          <t>LJUSDAL</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22385-2023</t>
        </is>
      </c>
      <c r="B11571" s="1" t="n">
        <v>45070.61877314815</v>
      </c>
      <c r="C11571" s="1" t="n">
        <v>46086</v>
      </c>
      <c r="D11571" t="inlineStr">
        <is>
          <t>GÄVLEBORGS LÄN</t>
        </is>
      </c>
      <c r="E11571" t="inlineStr">
        <is>
          <t>OCKELBO</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46588-2022</t>
        </is>
      </c>
      <c r="B11572" s="1" t="n">
        <v>44848.69696759259</v>
      </c>
      <c r="C11572" s="1" t="n">
        <v>46086</v>
      </c>
      <c r="D11572" t="inlineStr">
        <is>
          <t>GÄVLEBORGS LÄN</t>
        </is>
      </c>
      <c r="E11572" t="inlineStr">
        <is>
          <t>NORDANSTIG</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24992-2023</t>
        </is>
      </c>
      <c r="B11573" s="1" t="n">
        <v>45085.64475694444</v>
      </c>
      <c r="C11573" s="1" t="n">
        <v>46086</v>
      </c>
      <c r="D11573" t="inlineStr">
        <is>
          <t>GÄVLEBORGS LÄN</t>
        </is>
      </c>
      <c r="E11573" t="inlineStr">
        <is>
          <t>SANDVIKEN</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59422-2022</t>
        </is>
      </c>
      <c r="B11574" s="1" t="n">
        <v>44907.35174768518</v>
      </c>
      <c r="C11574" s="1" t="n">
        <v>46086</v>
      </c>
      <c r="D11574" t="inlineStr">
        <is>
          <t>GÄVLEBORGS LÄN</t>
        </is>
      </c>
      <c r="E11574" t="inlineStr">
        <is>
          <t>NORDANSTIG</t>
        </is>
      </c>
      <c r="F11574" t="inlineStr">
        <is>
          <t>Holmen skog AB</t>
        </is>
      </c>
      <c r="G11574" t="n">
        <v>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25466-2023</t>
        </is>
      </c>
      <c r="B11575" s="1" t="n">
        <v>45089.45114583334</v>
      </c>
      <c r="C11575" s="1" t="n">
        <v>46086</v>
      </c>
      <c r="D11575" t="inlineStr">
        <is>
          <t>GÄVLEBORGS LÄN</t>
        </is>
      </c>
      <c r="E11575" t="inlineStr">
        <is>
          <t>GÄVLE</t>
        </is>
      </c>
      <c r="G11575" t="n">
        <v>5.5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35302-2024</t>
        </is>
      </c>
      <c r="B11576" s="1" t="n">
        <v>45530.66972222222</v>
      </c>
      <c r="C11576" s="1" t="n">
        <v>46086</v>
      </c>
      <c r="D11576" t="inlineStr">
        <is>
          <t>GÄVLEBORGS LÄN</t>
        </is>
      </c>
      <c r="E11576" t="inlineStr">
        <is>
          <t>HUDIKSVALL</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45179-2024</t>
        </is>
      </c>
      <c r="B11577" s="1" t="n">
        <v>45575.66247685185</v>
      </c>
      <c r="C11577" s="1" t="n">
        <v>46086</v>
      </c>
      <c r="D11577" t="inlineStr">
        <is>
          <t>GÄVLEBORGS LÄN</t>
        </is>
      </c>
      <c r="E11577" t="inlineStr">
        <is>
          <t>HUDIKSVALL</t>
        </is>
      </c>
      <c r="F11577" t="inlineStr">
        <is>
          <t>Holmen skog AB</t>
        </is>
      </c>
      <c r="G11577" t="n">
        <v>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29982-2023</t>
        </is>
      </c>
      <c r="B11578" s="1" t="n">
        <v>45108.92460648148</v>
      </c>
      <c r="C11578" s="1" t="n">
        <v>46086</v>
      </c>
      <c r="D11578" t="inlineStr">
        <is>
          <t>GÄVLEBORGS LÄN</t>
        </is>
      </c>
      <c r="E11578" t="inlineStr">
        <is>
          <t>SÖDERHAMN</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56127-2023</t>
        </is>
      </c>
      <c r="B11579" s="1" t="n">
        <v>45240.58010416666</v>
      </c>
      <c r="C11579" s="1" t="n">
        <v>46086</v>
      </c>
      <c r="D11579" t="inlineStr">
        <is>
          <t>GÄVLEBORGS LÄN</t>
        </is>
      </c>
      <c r="E11579" t="inlineStr">
        <is>
          <t>OVANÅKER</t>
        </is>
      </c>
      <c r="G11579" t="n">
        <v>0.4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2345-2024</t>
        </is>
      </c>
      <c r="B11580" s="1" t="n">
        <v>45310.581875</v>
      </c>
      <c r="C11580" s="1" t="n">
        <v>46086</v>
      </c>
      <c r="D11580" t="inlineStr">
        <is>
          <t>GÄVLEBORGS LÄN</t>
        </is>
      </c>
      <c r="E11580" t="inlineStr">
        <is>
          <t>BOLLNÄS</t>
        </is>
      </c>
      <c r="G11580" t="n">
        <v>0.5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52519-2024</t>
        </is>
      </c>
      <c r="B11581" s="1" t="n">
        <v>45609.5986574074</v>
      </c>
      <c r="C11581" s="1" t="n">
        <v>46086</v>
      </c>
      <c r="D11581" t="inlineStr">
        <is>
          <t>GÄVLEBORGS LÄN</t>
        </is>
      </c>
      <c r="E11581" t="inlineStr">
        <is>
          <t>SÖDERHAMN</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56741-2024</t>
        </is>
      </c>
      <c r="B11582" s="1" t="n">
        <v>45628.36787037037</v>
      </c>
      <c r="C11582" s="1" t="n">
        <v>46086</v>
      </c>
      <c r="D11582" t="inlineStr">
        <is>
          <t>GÄVLEBORGS LÄN</t>
        </is>
      </c>
      <c r="E11582" t="inlineStr">
        <is>
          <t>OCKELBO</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46724-2024</t>
        </is>
      </c>
      <c r="B11583" s="1" t="n">
        <v>45583.46032407408</v>
      </c>
      <c r="C11583" s="1" t="n">
        <v>46086</v>
      </c>
      <c r="D11583" t="inlineStr">
        <is>
          <t>GÄVLEBORGS LÄN</t>
        </is>
      </c>
      <c r="E11583" t="inlineStr">
        <is>
          <t>BOLLNÄS</t>
        </is>
      </c>
      <c r="G11583" t="n">
        <v>6.9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46739-2024</t>
        </is>
      </c>
      <c r="B11584" s="1" t="n">
        <v>45583.4724074074</v>
      </c>
      <c r="C11584" s="1" t="n">
        <v>46086</v>
      </c>
      <c r="D11584" t="inlineStr">
        <is>
          <t>GÄVLEBORGS LÄN</t>
        </is>
      </c>
      <c r="E11584" t="inlineStr">
        <is>
          <t>BOLLNÄS</t>
        </is>
      </c>
      <c r="G11584" t="n">
        <v>5.1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19772-2025</t>
        </is>
      </c>
      <c r="B11585" s="1" t="n">
        <v>45771.4179050926</v>
      </c>
      <c r="C11585" s="1" t="n">
        <v>46086</v>
      </c>
      <c r="D11585" t="inlineStr">
        <is>
          <t>GÄVLEBORGS LÄN</t>
        </is>
      </c>
      <c r="E11585" t="inlineStr">
        <is>
          <t>OCKELBO</t>
        </is>
      </c>
      <c r="F11585" t="inlineStr">
        <is>
          <t>Bergvik skog väst AB</t>
        </is>
      </c>
      <c r="G11585" t="n">
        <v>4.8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49282-2024</t>
        </is>
      </c>
      <c r="B11586" s="1" t="n">
        <v>45595.50844907408</v>
      </c>
      <c r="C11586" s="1" t="n">
        <v>46086</v>
      </c>
      <c r="D11586" t="inlineStr">
        <is>
          <t>GÄVLEBORGS LÄN</t>
        </is>
      </c>
      <c r="E11586" t="inlineStr">
        <is>
          <t>SÖDERHAMN</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19782-2025</t>
        </is>
      </c>
      <c r="B11587" s="1" t="n">
        <v>45771.43126157407</v>
      </c>
      <c r="C11587" s="1" t="n">
        <v>46086</v>
      </c>
      <c r="D11587" t="inlineStr">
        <is>
          <t>GÄVLEBORGS LÄN</t>
        </is>
      </c>
      <c r="E11587" t="inlineStr">
        <is>
          <t>SÖDERHAMN</t>
        </is>
      </c>
      <c r="G11587" t="n">
        <v>6.4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37031-2024</t>
        </is>
      </c>
      <c r="B11588" s="1" t="n">
        <v>45539.38991898148</v>
      </c>
      <c r="C11588" s="1" t="n">
        <v>46086</v>
      </c>
      <c r="D11588" t="inlineStr">
        <is>
          <t>GÄVLEBORGS LÄN</t>
        </is>
      </c>
      <c r="E11588" t="inlineStr">
        <is>
          <t>NORDANSTIG</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31892-2023</t>
        </is>
      </c>
      <c r="B11589" s="1" t="n">
        <v>45118</v>
      </c>
      <c r="C11589" s="1" t="n">
        <v>46086</v>
      </c>
      <c r="D11589" t="inlineStr">
        <is>
          <t>GÄVLEBORGS LÄN</t>
        </is>
      </c>
      <c r="E11589" t="inlineStr">
        <is>
          <t>LJUSDAL</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2412-2025</t>
        </is>
      </c>
      <c r="B11590" s="1" t="n">
        <v>45674.37393518518</v>
      </c>
      <c r="C11590" s="1" t="n">
        <v>46086</v>
      </c>
      <c r="D11590" t="inlineStr">
        <is>
          <t>GÄVLEBORGS LÄN</t>
        </is>
      </c>
      <c r="E11590" t="inlineStr">
        <is>
          <t>LJUSDAL</t>
        </is>
      </c>
      <c r="F11590" t="inlineStr">
        <is>
          <t>Sveaskog</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3289-2023</t>
        </is>
      </c>
      <c r="B11591" s="1" t="n">
        <v>44949.37563657408</v>
      </c>
      <c r="C11591" s="1" t="n">
        <v>46086</v>
      </c>
      <c r="D11591" t="inlineStr">
        <is>
          <t>GÄVLEBORGS LÄN</t>
        </is>
      </c>
      <c r="E11591" t="inlineStr">
        <is>
          <t>LJUSDAL</t>
        </is>
      </c>
      <c r="F11591" t="inlineStr">
        <is>
          <t>Holmen skog AB</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6755-2024</t>
        </is>
      </c>
      <c r="B11592" s="1" t="n">
        <v>45342</v>
      </c>
      <c r="C11592" s="1" t="n">
        <v>46086</v>
      </c>
      <c r="D11592" t="inlineStr">
        <is>
          <t>GÄVLEBORGS LÄN</t>
        </is>
      </c>
      <c r="E11592" t="inlineStr">
        <is>
          <t>BOLLNÄS</t>
        </is>
      </c>
      <c r="G11592" t="n">
        <v>2.4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10190-2023</t>
        </is>
      </c>
      <c r="B11593" s="1" t="n">
        <v>44986</v>
      </c>
      <c r="C11593" s="1" t="n">
        <v>46086</v>
      </c>
      <c r="D11593" t="inlineStr">
        <is>
          <t>GÄVLEBORGS LÄN</t>
        </is>
      </c>
      <c r="E11593" t="inlineStr">
        <is>
          <t>HUDIKSVALL</t>
        </is>
      </c>
      <c r="G11593" t="n">
        <v>2.2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51380-2024</t>
        </is>
      </c>
      <c r="B11594" s="1" t="n">
        <v>45604.38657407407</v>
      </c>
      <c r="C11594" s="1" t="n">
        <v>46086</v>
      </c>
      <c r="D11594" t="inlineStr">
        <is>
          <t>GÄVLEBORGS LÄN</t>
        </is>
      </c>
      <c r="E11594" t="inlineStr">
        <is>
          <t>NORDANSTIG</t>
        </is>
      </c>
      <c r="F11594" t="inlineStr">
        <is>
          <t>Holmen skog AB</t>
        </is>
      </c>
      <c r="G11594" t="n">
        <v>2.4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6780-2025</t>
        </is>
      </c>
      <c r="B11595" s="1" t="n">
        <v>45700.64942129629</v>
      </c>
      <c r="C11595" s="1" t="n">
        <v>46086</v>
      </c>
      <c r="D11595" t="inlineStr">
        <is>
          <t>GÄVLEBORGS LÄN</t>
        </is>
      </c>
      <c r="E11595" t="inlineStr">
        <is>
          <t>GÄVLE</t>
        </is>
      </c>
      <c r="F11595" t="inlineStr">
        <is>
          <t>Bergvik skog öst AB</t>
        </is>
      </c>
      <c r="G11595" t="n">
        <v>2.8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60118-2022</t>
        </is>
      </c>
      <c r="B11596" s="1" t="n">
        <v>44909</v>
      </c>
      <c r="C11596" s="1" t="n">
        <v>46086</v>
      </c>
      <c r="D11596" t="inlineStr">
        <is>
          <t>GÄVLEBORGS LÄN</t>
        </is>
      </c>
      <c r="E11596" t="inlineStr">
        <is>
          <t>LJUSDAL</t>
        </is>
      </c>
      <c r="F11596" t="inlineStr">
        <is>
          <t>Bergvik skog väst AB</t>
        </is>
      </c>
      <c r="G11596" t="n">
        <v>4.2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63798-2021</t>
        </is>
      </c>
      <c r="B11597" s="1" t="n">
        <v>44509</v>
      </c>
      <c r="C11597" s="1" t="n">
        <v>46086</v>
      </c>
      <c r="D11597" t="inlineStr">
        <is>
          <t>GÄVLEBORGS LÄN</t>
        </is>
      </c>
      <c r="E11597" t="inlineStr">
        <is>
          <t>HUDIKSVALL</t>
        </is>
      </c>
      <c r="G11597" t="n">
        <v>2.4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43070-2024</t>
        </is>
      </c>
      <c r="B11598" s="1" t="n">
        <v>45567.47835648148</v>
      </c>
      <c r="C11598" s="1" t="n">
        <v>46086</v>
      </c>
      <c r="D11598" t="inlineStr">
        <is>
          <t>GÄVLEBORGS LÄN</t>
        </is>
      </c>
      <c r="E11598" t="inlineStr">
        <is>
          <t>HUDIKSVALL</t>
        </is>
      </c>
      <c r="G11598" t="n">
        <v>3.7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7060-2022</t>
        </is>
      </c>
      <c r="B11599" s="1" t="n">
        <v>44603.53943287037</v>
      </c>
      <c r="C11599" s="1" t="n">
        <v>46086</v>
      </c>
      <c r="D11599" t="inlineStr">
        <is>
          <t>GÄVLEBORGS LÄN</t>
        </is>
      </c>
      <c r="E11599" t="inlineStr">
        <is>
          <t>GÄVLE</t>
        </is>
      </c>
      <c r="G11599" t="n">
        <v>10</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19700-2023</t>
        </is>
      </c>
      <c r="B11600" s="1" t="n">
        <v>45051.44525462963</v>
      </c>
      <c r="C11600" s="1" t="n">
        <v>46086</v>
      </c>
      <c r="D11600" t="inlineStr">
        <is>
          <t>GÄVLEBORGS LÄN</t>
        </is>
      </c>
      <c r="E11600" t="inlineStr">
        <is>
          <t>SÖDERHAMN</t>
        </is>
      </c>
      <c r="F11600" t="inlineStr">
        <is>
          <t>Bergvik skog väst AB</t>
        </is>
      </c>
      <c r="G11600" t="n">
        <v>4.1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9459-2025</t>
        </is>
      </c>
      <c r="B11601" s="1" t="n">
        <v>45715.44862268519</v>
      </c>
      <c r="C11601" s="1" t="n">
        <v>46086</v>
      </c>
      <c r="D11601" t="inlineStr">
        <is>
          <t>GÄVLEBORGS LÄN</t>
        </is>
      </c>
      <c r="E11601" t="inlineStr">
        <is>
          <t>OCKELBO</t>
        </is>
      </c>
      <c r="F11601" t="inlineStr">
        <is>
          <t>Bergvik skog öst AB</t>
        </is>
      </c>
      <c r="G11601" t="n">
        <v>3.3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9462-2025</t>
        </is>
      </c>
      <c r="B11602" s="1" t="n">
        <v>45715.45438657407</v>
      </c>
      <c r="C11602" s="1" t="n">
        <v>46086</v>
      </c>
      <c r="D11602" t="inlineStr">
        <is>
          <t>GÄVLEBORGS LÄN</t>
        </is>
      </c>
      <c r="E11602" t="inlineStr">
        <is>
          <t>HUDIKSVALL</t>
        </is>
      </c>
      <c r="F11602" t="inlineStr">
        <is>
          <t>Holmen skog AB</t>
        </is>
      </c>
      <c r="G11602" t="n">
        <v>24.3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51988-2024</t>
        </is>
      </c>
      <c r="B11603" s="1" t="n">
        <v>45607.68701388889</v>
      </c>
      <c r="C11603" s="1" t="n">
        <v>46086</v>
      </c>
      <c r="D11603" t="inlineStr">
        <is>
          <t>GÄVLEBORGS LÄN</t>
        </is>
      </c>
      <c r="E11603" t="inlineStr">
        <is>
          <t>NORDANSTIG</t>
        </is>
      </c>
      <c r="G11603" t="n">
        <v>4.8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17159-2025</t>
        </is>
      </c>
      <c r="B11604" s="1" t="n">
        <v>45756.34729166667</v>
      </c>
      <c r="C11604" s="1" t="n">
        <v>46086</v>
      </c>
      <c r="D11604" t="inlineStr">
        <is>
          <t>GÄVLEBORGS LÄN</t>
        </is>
      </c>
      <c r="E11604" t="inlineStr">
        <is>
          <t>SANDVIKEN</t>
        </is>
      </c>
      <c r="F11604" t="inlineStr">
        <is>
          <t>Bergvik skog öst AB</t>
        </is>
      </c>
      <c r="G11604" t="n">
        <v>4.5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17185-2025</t>
        </is>
      </c>
      <c r="B11605" s="1" t="n">
        <v>45755</v>
      </c>
      <c r="C11605" s="1" t="n">
        <v>46086</v>
      </c>
      <c r="D11605" t="inlineStr">
        <is>
          <t>GÄVLEBORGS LÄN</t>
        </is>
      </c>
      <c r="E11605" t="inlineStr">
        <is>
          <t>HOFORS</t>
        </is>
      </c>
      <c r="F11605" t="inlineStr">
        <is>
          <t>Bergvik skog väst AB</t>
        </is>
      </c>
      <c r="G11605" t="n">
        <v>10.3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17206-2025</t>
        </is>
      </c>
      <c r="B11606" s="1" t="n">
        <v>45756.42607638889</v>
      </c>
      <c r="C11606" s="1" t="n">
        <v>46086</v>
      </c>
      <c r="D11606" t="inlineStr">
        <is>
          <t>GÄVLEBORGS LÄN</t>
        </is>
      </c>
      <c r="E11606" t="inlineStr">
        <is>
          <t>HUDIKSVALL</t>
        </is>
      </c>
      <c r="F11606" t="inlineStr">
        <is>
          <t>Holmen skog AB</t>
        </is>
      </c>
      <c r="G11606" t="n">
        <v>15.7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41708-2023</t>
        </is>
      </c>
      <c r="B11607" s="1" t="n">
        <v>45176</v>
      </c>
      <c r="C11607" s="1" t="n">
        <v>46086</v>
      </c>
      <c r="D11607" t="inlineStr">
        <is>
          <t>GÄVLEBORGS LÄN</t>
        </is>
      </c>
      <c r="E11607" t="inlineStr">
        <is>
          <t>GÄVLE</t>
        </is>
      </c>
      <c r="G11607" t="n">
        <v>6.5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41712-2023</t>
        </is>
      </c>
      <c r="B11608" s="1" t="n">
        <v>45176</v>
      </c>
      <c r="C11608" s="1" t="n">
        <v>46086</v>
      </c>
      <c r="D11608" t="inlineStr">
        <is>
          <t>GÄVLEBORGS LÄN</t>
        </is>
      </c>
      <c r="E11608" t="inlineStr">
        <is>
          <t>GÄVLE</t>
        </is>
      </c>
      <c r="G11608" t="n">
        <v>7.8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41735-2023</t>
        </is>
      </c>
      <c r="B11609" s="1" t="n">
        <v>45176</v>
      </c>
      <c r="C11609" s="1" t="n">
        <v>46086</v>
      </c>
      <c r="D11609" t="inlineStr">
        <is>
          <t>GÄVLEBORGS LÄN</t>
        </is>
      </c>
      <c r="E11609" t="inlineStr">
        <is>
          <t>HUDIKSVALL</t>
        </is>
      </c>
      <c r="F11609" t="inlineStr">
        <is>
          <t>Holmen skog AB</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41745-2023</t>
        </is>
      </c>
      <c r="B11610" s="1" t="n">
        <v>45176.42905092592</v>
      </c>
      <c r="C11610" s="1" t="n">
        <v>46086</v>
      </c>
      <c r="D11610" t="inlineStr">
        <is>
          <t>GÄVLEBORGS LÄN</t>
        </is>
      </c>
      <c r="E11610" t="inlineStr">
        <is>
          <t>HUDIKSVALL</t>
        </is>
      </c>
      <c r="F11610" t="inlineStr">
        <is>
          <t>Holmen skog AB</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60942-2024</t>
        </is>
      </c>
      <c r="B11611" s="1" t="n">
        <v>45645.37174768518</v>
      </c>
      <c r="C11611" s="1" t="n">
        <v>46086</v>
      </c>
      <c r="D11611" t="inlineStr">
        <is>
          <t>GÄVLEBORGS LÄN</t>
        </is>
      </c>
      <c r="E11611" t="inlineStr">
        <is>
          <t>HUDIKSVALL</t>
        </is>
      </c>
      <c r="G11611" t="n">
        <v>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5413-2023</t>
        </is>
      </c>
      <c r="B11612" s="1" t="n">
        <v>44959.72408564815</v>
      </c>
      <c r="C11612" s="1" t="n">
        <v>46086</v>
      </c>
      <c r="D11612" t="inlineStr">
        <is>
          <t>GÄVLEBORGS LÄN</t>
        </is>
      </c>
      <c r="E11612" t="inlineStr">
        <is>
          <t>GÄVLE</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57967-2022</t>
        </is>
      </c>
      <c r="B11613" s="1" t="n">
        <v>44900.43909722222</v>
      </c>
      <c r="C11613" s="1" t="n">
        <v>46086</v>
      </c>
      <c r="D11613" t="inlineStr">
        <is>
          <t>GÄVLEBORGS LÄN</t>
        </is>
      </c>
      <c r="E11613" t="inlineStr">
        <is>
          <t>HUDIKSVALL</t>
        </is>
      </c>
      <c r="F11613" t="inlineStr">
        <is>
          <t>Holmen skog AB</t>
        </is>
      </c>
      <c r="G11613" t="n">
        <v>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34757-2023</t>
        </is>
      </c>
      <c r="B11614" s="1" t="n">
        <v>45141.4600462963</v>
      </c>
      <c r="C11614" s="1" t="n">
        <v>46086</v>
      </c>
      <c r="D11614" t="inlineStr">
        <is>
          <t>GÄVLEBORGS LÄN</t>
        </is>
      </c>
      <c r="E11614" t="inlineStr">
        <is>
          <t>HUDIKSVALL</t>
        </is>
      </c>
      <c r="G11614" t="n">
        <v>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28853-2024</t>
        </is>
      </c>
      <c r="B11615" s="1" t="n">
        <v>45478.82053240741</v>
      </c>
      <c r="C11615" s="1" t="n">
        <v>46086</v>
      </c>
      <c r="D11615" t="inlineStr">
        <is>
          <t>GÄVLEBORGS LÄN</t>
        </is>
      </c>
      <c r="E11615" t="inlineStr">
        <is>
          <t>HUDIKSVALL</t>
        </is>
      </c>
      <c r="F11615" t="inlineStr">
        <is>
          <t>Holmen skog AB</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19910-2025</t>
        </is>
      </c>
      <c r="B11616" s="1" t="n">
        <v>45771.60747685185</v>
      </c>
      <c r="C11616" s="1" t="n">
        <v>46086</v>
      </c>
      <c r="D11616" t="inlineStr">
        <is>
          <t>GÄVLEBORGS LÄN</t>
        </is>
      </c>
      <c r="E11616" t="inlineStr">
        <is>
          <t>OVANÅKER</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19921-2025</t>
        </is>
      </c>
      <c r="B11617" s="1" t="n">
        <v>45771.62862268519</v>
      </c>
      <c r="C11617" s="1" t="n">
        <v>46086</v>
      </c>
      <c r="D11617" t="inlineStr">
        <is>
          <t>GÄVLEBORGS LÄN</t>
        </is>
      </c>
      <c r="E11617" t="inlineStr">
        <is>
          <t>SÖDERHAMN</t>
        </is>
      </c>
      <c r="G11617" t="n">
        <v>5.2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27302-2023</t>
        </is>
      </c>
      <c r="B11618" s="1" t="n">
        <v>45096</v>
      </c>
      <c r="C11618" s="1" t="n">
        <v>46086</v>
      </c>
      <c r="D11618" t="inlineStr">
        <is>
          <t>GÄVLEBORGS LÄN</t>
        </is>
      </c>
      <c r="E11618" t="inlineStr">
        <is>
          <t>HUDIKSVALL</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50286-2023</t>
        </is>
      </c>
      <c r="B11619" s="1" t="n">
        <v>45216</v>
      </c>
      <c r="C11619" s="1" t="n">
        <v>46086</v>
      </c>
      <c r="D11619" t="inlineStr">
        <is>
          <t>GÄVLEBORGS LÄN</t>
        </is>
      </c>
      <c r="E11619" t="inlineStr">
        <is>
          <t>NORDANSTIG</t>
        </is>
      </c>
      <c r="F11619" t="inlineStr">
        <is>
          <t>Holmen skog AB</t>
        </is>
      </c>
      <c r="G11619" t="n">
        <v>10.3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29567-2024</t>
        </is>
      </c>
      <c r="B11620" s="1" t="n">
        <v>45484</v>
      </c>
      <c r="C11620" s="1" t="n">
        <v>46086</v>
      </c>
      <c r="D11620" t="inlineStr">
        <is>
          <t>GÄVLEBORGS LÄN</t>
        </is>
      </c>
      <c r="E11620" t="inlineStr">
        <is>
          <t>OCKELBO</t>
        </is>
      </c>
      <c r="G11620" t="n">
        <v>3.7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52656-2024</t>
        </is>
      </c>
      <c r="B11621" s="1" t="n">
        <v>45610.35722222222</v>
      </c>
      <c r="C11621" s="1" t="n">
        <v>46086</v>
      </c>
      <c r="D11621" t="inlineStr">
        <is>
          <t>GÄVLEBORGS LÄN</t>
        </is>
      </c>
      <c r="E11621" t="inlineStr">
        <is>
          <t>HUDIKSVALL</t>
        </is>
      </c>
      <c r="G11621" t="n">
        <v>15.6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64367-2023</t>
        </is>
      </c>
      <c r="B11622" s="1" t="n">
        <v>45280.53886574074</v>
      </c>
      <c r="C11622" s="1" t="n">
        <v>46086</v>
      </c>
      <c r="D11622" t="inlineStr">
        <is>
          <t>GÄVLEBORGS LÄN</t>
        </is>
      </c>
      <c r="E11622" t="inlineStr">
        <is>
          <t>OCKELBO</t>
        </is>
      </c>
      <c r="G11622" t="n">
        <v>0.4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49654-2022</t>
        </is>
      </c>
      <c r="B11623" s="1" t="n">
        <v>44862</v>
      </c>
      <c r="C11623" s="1" t="n">
        <v>46086</v>
      </c>
      <c r="D11623" t="inlineStr">
        <is>
          <t>GÄVLEBORGS LÄN</t>
        </is>
      </c>
      <c r="E11623" t="inlineStr">
        <is>
          <t>OVANÅKER</t>
        </is>
      </c>
      <c r="G11623" t="n">
        <v>2.8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56263-2024</t>
        </is>
      </c>
      <c r="B11624" s="1" t="n">
        <v>45624.65340277777</v>
      </c>
      <c r="C11624" s="1" t="n">
        <v>46086</v>
      </c>
      <c r="D11624" t="inlineStr">
        <is>
          <t>GÄVLEBORGS LÄN</t>
        </is>
      </c>
      <c r="E11624" t="inlineStr">
        <is>
          <t>NORDANSTIG</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14700-2024</t>
        </is>
      </c>
      <c r="B11625" s="1" t="n">
        <v>45397</v>
      </c>
      <c r="C11625" s="1" t="n">
        <v>46086</v>
      </c>
      <c r="D11625" t="inlineStr">
        <is>
          <t>GÄVLEBORGS LÄN</t>
        </is>
      </c>
      <c r="E11625" t="inlineStr">
        <is>
          <t>HUDIKSVALL</t>
        </is>
      </c>
      <c r="G11625" t="n">
        <v>3.8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48308-2024</t>
        </is>
      </c>
      <c r="B11626" s="1" t="n">
        <v>45590.47798611111</v>
      </c>
      <c r="C11626" s="1" t="n">
        <v>46086</v>
      </c>
      <c r="D11626" t="inlineStr">
        <is>
          <t>GÄVLEBORGS LÄN</t>
        </is>
      </c>
      <c r="E11626" t="inlineStr">
        <is>
          <t>BOLLNÄS</t>
        </is>
      </c>
      <c r="G11626" t="n">
        <v>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48313-2024</t>
        </is>
      </c>
      <c r="B11627" s="1" t="n">
        <v>45590.48979166667</v>
      </c>
      <c r="C11627" s="1" t="n">
        <v>46086</v>
      </c>
      <c r="D11627" t="inlineStr">
        <is>
          <t>GÄVLEBORGS LÄN</t>
        </is>
      </c>
      <c r="E11627" t="inlineStr">
        <is>
          <t>SÖDERHAMN</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6219-2025</t>
        </is>
      </c>
      <c r="B11628" s="1" t="n">
        <v>45698.53550925926</v>
      </c>
      <c r="C11628" s="1" t="n">
        <v>46086</v>
      </c>
      <c r="D11628" t="inlineStr">
        <is>
          <t>GÄVLEBORGS LÄN</t>
        </is>
      </c>
      <c r="E11628" t="inlineStr">
        <is>
          <t>BOLLNÄS</t>
        </is>
      </c>
      <c r="G11628" t="n">
        <v>3.7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63134-2023</t>
        </is>
      </c>
      <c r="B11629" s="1" t="n">
        <v>45273.46143518519</v>
      </c>
      <c r="C11629" s="1" t="n">
        <v>46086</v>
      </c>
      <c r="D11629" t="inlineStr">
        <is>
          <t>GÄVLEBORGS LÄN</t>
        </is>
      </c>
      <c r="E11629" t="inlineStr">
        <is>
          <t>HUDIKSVALL</t>
        </is>
      </c>
      <c r="F11629" t="inlineStr">
        <is>
          <t>Holmen skog AB</t>
        </is>
      </c>
      <c r="G11629" t="n">
        <v>5.3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47551-2021</t>
        </is>
      </c>
      <c r="B11630" s="1" t="n">
        <v>44447.92180555555</v>
      </c>
      <c r="C11630" s="1" t="n">
        <v>46086</v>
      </c>
      <c r="D11630" t="inlineStr">
        <is>
          <t>GÄVLEBORGS LÄN</t>
        </is>
      </c>
      <c r="E11630" t="inlineStr">
        <is>
          <t>LJUSDAL</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34651-2021</t>
        </is>
      </c>
      <c r="B11631" s="1" t="n">
        <v>44382</v>
      </c>
      <c r="C11631" s="1" t="n">
        <v>46086</v>
      </c>
      <c r="D11631" t="inlineStr">
        <is>
          <t>GÄVLEBORGS LÄN</t>
        </is>
      </c>
      <c r="E11631" t="inlineStr">
        <is>
          <t>LJUSDAL</t>
        </is>
      </c>
      <c r="F11631" t="inlineStr">
        <is>
          <t>SCA</t>
        </is>
      </c>
      <c r="G11631" t="n">
        <v>15.5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47639-2021</t>
        </is>
      </c>
      <c r="B11632" s="1" t="n">
        <v>44448.3966087963</v>
      </c>
      <c r="C11632" s="1" t="n">
        <v>46086</v>
      </c>
      <c r="D11632" t="inlineStr">
        <is>
          <t>GÄVLEBORGS LÄN</t>
        </is>
      </c>
      <c r="E11632" t="inlineStr">
        <is>
          <t>HOFORS</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47762-2021</t>
        </is>
      </c>
      <c r="B11633" s="1" t="n">
        <v>44448</v>
      </c>
      <c r="C11633" s="1" t="n">
        <v>46086</v>
      </c>
      <c r="D11633" t="inlineStr">
        <is>
          <t>GÄVLEBORGS LÄN</t>
        </is>
      </c>
      <c r="E11633" t="inlineStr">
        <is>
          <t>NORDANSTIG</t>
        </is>
      </c>
      <c r="F11633" t="inlineStr">
        <is>
          <t>Holmen skog AB</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7461-2025</t>
        </is>
      </c>
      <c r="B11634" s="1" t="n">
        <v>45705.4404050926</v>
      </c>
      <c r="C11634" s="1" t="n">
        <v>46086</v>
      </c>
      <c r="D11634" t="inlineStr">
        <is>
          <t>GÄVLEBORGS LÄN</t>
        </is>
      </c>
      <c r="E11634" t="inlineStr">
        <is>
          <t>LJUSDAL</t>
        </is>
      </c>
      <c r="G11634" t="n">
        <v>26.4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7533-2025</t>
        </is>
      </c>
      <c r="B11635" s="1" t="n">
        <v>45705.5609375</v>
      </c>
      <c r="C11635" s="1" t="n">
        <v>46086</v>
      </c>
      <c r="D11635" t="inlineStr">
        <is>
          <t>GÄVLEBORGS LÄN</t>
        </is>
      </c>
      <c r="E11635" t="inlineStr">
        <is>
          <t>SÖDERHAMN</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7538-2025</t>
        </is>
      </c>
      <c r="B11636" s="1" t="n">
        <v>45705.56700231481</v>
      </c>
      <c r="C11636" s="1" t="n">
        <v>46086</v>
      </c>
      <c r="D11636" t="inlineStr">
        <is>
          <t>GÄVLEBORGS LÄN</t>
        </is>
      </c>
      <c r="E11636" t="inlineStr">
        <is>
          <t>HUDIKSVALL</t>
        </is>
      </c>
      <c r="F11636" t="inlineStr">
        <is>
          <t>Holmen skog AB</t>
        </is>
      </c>
      <c r="G11636" t="n">
        <v>2.9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26533-2021</t>
        </is>
      </c>
      <c r="B11637" s="1" t="n">
        <v>44348.48729166666</v>
      </c>
      <c r="C11637" s="1" t="n">
        <v>46086</v>
      </c>
      <c r="D11637" t="inlineStr">
        <is>
          <t>GÄVLEBORGS LÄN</t>
        </is>
      </c>
      <c r="E11637" t="inlineStr">
        <is>
          <t>SÖDERHAMN</t>
        </is>
      </c>
      <c r="G11637" t="n">
        <v>2.7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7056-2025</t>
        </is>
      </c>
      <c r="B11638" s="1" t="n">
        <v>45701.65290509259</v>
      </c>
      <c r="C11638" s="1" t="n">
        <v>46086</v>
      </c>
      <c r="D11638" t="inlineStr">
        <is>
          <t>GÄVLEBORGS LÄN</t>
        </is>
      </c>
      <c r="E11638" t="inlineStr">
        <is>
          <t>SANDVIKEN</t>
        </is>
      </c>
      <c r="G11638" t="n">
        <v>6.4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38346-2024</t>
        </is>
      </c>
      <c r="B11639" s="1" t="n">
        <v>45545.70670138889</v>
      </c>
      <c r="C11639" s="1" t="n">
        <v>46086</v>
      </c>
      <c r="D11639" t="inlineStr">
        <is>
          <t>GÄVLEBORGS LÄN</t>
        </is>
      </c>
      <c r="E11639" t="inlineStr">
        <is>
          <t>NORDANSTIG</t>
        </is>
      </c>
      <c r="F11639" t="inlineStr">
        <is>
          <t>Holmen skog AB</t>
        </is>
      </c>
      <c r="G11639" t="n">
        <v>3.4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43499-2024</t>
        </is>
      </c>
      <c r="B11640" s="1" t="n">
        <v>45569.29876157407</v>
      </c>
      <c r="C11640" s="1" t="n">
        <v>46086</v>
      </c>
      <c r="D11640" t="inlineStr">
        <is>
          <t>GÄVLEBORGS LÄN</t>
        </is>
      </c>
      <c r="E11640" t="inlineStr">
        <is>
          <t>LJUSDAL</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15142-2023</t>
        </is>
      </c>
      <c r="B11641" s="1" t="n">
        <v>45016</v>
      </c>
      <c r="C11641" s="1" t="n">
        <v>46086</v>
      </c>
      <c r="D11641" t="inlineStr">
        <is>
          <t>GÄVLEBORGS LÄN</t>
        </is>
      </c>
      <c r="E11641" t="inlineStr">
        <is>
          <t>BOLLNÄS</t>
        </is>
      </c>
      <c r="G11641" t="n">
        <v>4.7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15171-2023</t>
        </is>
      </c>
      <c r="B11642" s="1" t="n">
        <v>45016</v>
      </c>
      <c r="C11642" s="1" t="n">
        <v>46086</v>
      </c>
      <c r="D11642" t="inlineStr">
        <is>
          <t>GÄVLEBORGS LÄN</t>
        </is>
      </c>
      <c r="E11642" t="inlineStr">
        <is>
          <t>LJUSDAL</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6765-2025</t>
        </is>
      </c>
      <c r="B11643" s="1" t="n">
        <v>45700.63459490741</v>
      </c>
      <c r="C11643" s="1" t="n">
        <v>46086</v>
      </c>
      <c r="D11643" t="inlineStr">
        <is>
          <t>GÄVLEBORGS LÄN</t>
        </is>
      </c>
      <c r="E11643" t="inlineStr">
        <is>
          <t>SANDVIKEN</t>
        </is>
      </c>
      <c r="G11643" t="n">
        <v>7.1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6767-2025</t>
        </is>
      </c>
      <c r="B11644" s="1" t="n">
        <v>45700.63662037037</v>
      </c>
      <c r="C11644" s="1" t="n">
        <v>46086</v>
      </c>
      <c r="D11644" t="inlineStr">
        <is>
          <t>GÄVLEBORGS LÄN</t>
        </is>
      </c>
      <c r="E11644" t="inlineStr">
        <is>
          <t>BOLLNÄS</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55715-2023</t>
        </is>
      </c>
      <c r="B11645" s="1" t="n">
        <v>45239</v>
      </c>
      <c r="C11645" s="1" t="n">
        <v>46086</v>
      </c>
      <c r="D11645" t="inlineStr">
        <is>
          <t>GÄVLEBORGS LÄN</t>
        </is>
      </c>
      <c r="E11645" t="inlineStr">
        <is>
          <t>OCKELBO</t>
        </is>
      </c>
      <c r="G11645" t="n">
        <v>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34312-2021</t>
        </is>
      </c>
      <c r="B11646" s="1" t="n">
        <v>44379</v>
      </c>
      <c r="C11646" s="1" t="n">
        <v>46086</v>
      </c>
      <c r="D11646" t="inlineStr">
        <is>
          <t>GÄVLEBORGS LÄN</t>
        </is>
      </c>
      <c r="E11646" t="inlineStr">
        <is>
          <t>SANDVIKEN</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4235-2025</t>
        </is>
      </c>
      <c r="B11647" s="1" t="n">
        <v>45685.56496527778</v>
      </c>
      <c r="C11647" s="1" t="n">
        <v>46086</v>
      </c>
      <c r="D11647" t="inlineStr">
        <is>
          <t>GÄVLEBORGS LÄN</t>
        </is>
      </c>
      <c r="E11647" t="inlineStr">
        <is>
          <t>GÄVLE</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47889-2022</t>
        </is>
      </c>
      <c r="B11648" s="1" t="n">
        <v>44855</v>
      </c>
      <c r="C11648" s="1" t="n">
        <v>46086</v>
      </c>
      <c r="D11648" t="inlineStr">
        <is>
          <t>GÄVLEBORGS LÄN</t>
        </is>
      </c>
      <c r="E11648" t="inlineStr">
        <is>
          <t>SANDVIKEN</t>
        </is>
      </c>
      <c r="F11648" t="inlineStr">
        <is>
          <t>Sveaskog</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4497-2024</t>
        </is>
      </c>
      <c r="B11649" s="1" t="n">
        <v>45327</v>
      </c>
      <c r="C11649" s="1" t="n">
        <v>46086</v>
      </c>
      <c r="D11649" t="inlineStr">
        <is>
          <t>GÄVLEBORGS LÄN</t>
        </is>
      </c>
      <c r="E11649" t="inlineStr">
        <is>
          <t>SÖDERHAMN</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4226-2023</t>
        </is>
      </c>
      <c r="B11650" s="1" t="n">
        <v>44953</v>
      </c>
      <c r="C11650" s="1" t="n">
        <v>46086</v>
      </c>
      <c r="D11650" t="inlineStr">
        <is>
          <t>GÄVLEBORGS LÄN</t>
        </is>
      </c>
      <c r="E11650" t="inlineStr">
        <is>
          <t>OCKELBO</t>
        </is>
      </c>
      <c r="F11650" t="inlineStr">
        <is>
          <t>Bergvik skog väst AB</t>
        </is>
      </c>
      <c r="G11650" t="n">
        <v>2.4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29260-2023</t>
        </is>
      </c>
      <c r="B11651" s="1" t="n">
        <v>45105.6580787037</v>
      </c>
      <c r="C11651" s="1" t="n">
        <v>46086</v>
      </c>
      <c r="D11651" t="inlineStr">
        <is>
          <t>GÄVLEBORGS LÄN</t>
        </is>
      </c>
      <c r="E11651" t="inlineStr">
        <is>
          <t>LJUSDAL</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29972-2022</t>
        </is>
      </c>
      <c r="B11652" s="1" t="n">
        <v>44756.68119212963</v>
      </c>
      <c r="C11652" s="1" t="n">
        <v>46086</v>
      </c>
      <c r="D11652" t="inlineStr">
        <is>
          <t>GÄVLEBORGS LÄN</t>
        </is>
      </c>
      <c r="E11652" t="inlineStr">
        <is>
          <t>SANDVIKEN</t>
        </is>
      </c>
      <c r="G11652" t="n">
        <v>2.9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18997-2025</t>
        </is>
      </c>
      <c r="B11653" s="1" t="n">
        <v>45764.57668981481</v>
      </c>
      <c r="C11653" s="1" t="n">
        <v>46086</v>
      </c>
      <c r="D11653" t="inlineStr">
        <is>
          <t>GÄVLEBORGS LÄN</t>
        </is>
      </c>
      <c r="E11653" t="inlineStr">
        <is>
          <t>HUDIKSVALL</t>
        </is>
      </c>
      <c r="F11653" t="inlineStr">
        <is>
          <t>Holmen skog AB</t>
        </is>
      </c>
      <c r="G11653" t="n">
        <v>3.5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19064-2025</t>
        </is>
      </c>
      <c r="B11654" s="1" t="n">
        <v>45765.40659722222</v>
      </c>
      <c r="C11654" s="1" t="n">
        <v>46086</v>
      </c>
      <c r="D11654" t="inlineStr">
        <is>
          <t>GÄVLEBORGS LÄN</t>
        </is>
      </c>
      <c r="E11654" t="inlineStr">
        <is>
          <t>LJUSDAL</t>
        </is>
      </c>
      <c r="F11654" t="inlineStr">
        <is>
          <t>SCA</t>
        </is>
      </c>
      <c r="G11654" t="n">
        <v>6.9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18322-2024</t>
        </is>
      </c>
      <c r="B11655" s="1" t="n">
        <v>45422.53849537037</v>
      </c>
      <c r="C11655" s="1" t="n">
        <v>46086</v>
      </c>
      <c r="D11655" t="inlineStr">
        <is>
          <t>GÄVLEBORGS LÄN</t>
        </is>
      </c>
      <c r="E11655" t="inlineStr">
        <is>
          <t>NORDANSTIG</t>
        </is>
      </c>
      <c r="F11655" t="inlineStr">
        <is>
          <t>Holmen skog AB</t>
        </is>
      </c>
      <c r="G11655" t="n">
        <v>3.3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16385-2023</t>
        </is>
      </c>
      <c r="B11656" s="1" t="n">
        <v>45022</v>
      </c>
      <c r="C11656" s="1" t="n">
        <v>46086</v>
      </c>
      <c r="D11656" t="inlineStr">
        <is>
          <t>GÄVLEBORGS LÄN</t>
        </is>
      </c>
      <c r="E11656" t="inlineStr">
        <is>
          <t>SANDVIKEN</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59998-2022</t>
        </is>
      </c>
      <c r="B11657" s="1" t="n">
        <v>44909</v>
      </c>
      <c r="C11657" s="1" t="n">
        <v>46086</v>
      </c>
      <c r="D11657" t="inlineStr">
        <is>
          <t>GÄVLEBORGS LÄN</t>
        </is>
      </c>
      <c r="E11657" t="inlineStr">
        <is>
          <t>OVANÅKER</t>
        </is>
      </c>
      <c r="F11657" t="inlineStr">
        <is>
          <t>Bergvik skog väst AB</t>
        </is>
      </c>
      <c r="G11657" t="n">
        <v>4.5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33802-2023</t>
        </is>
      </c>
      <c r="B11658" s="1" t="n">
        <v>45133.57393518519</v>
      </c>
      <c r="C11658" s="1" t="n">
        <v>46086</v>
      </c>
      <c r="D11658" t="inlineStr">
        <is>
          <t>GÄVLEBORGS LÄN</t>
        </is>
      </c>
      <c r="E11658" t="inlineStr">
        <is>
          <t>LJUSDAL</t>
        </is>
      </c>
      <c r="F11658" t="inlineStr">
        <is>
          <t>Bergvik skog väst AB</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54685-2024</t>
        </is>
      </c>
      <c r="B11659" s="1" t="n">
        <v>45618.36010416667</v>
      </c>
      <c r="C11659" s="1" t="n">
        <v>46086</v>
      </c>
      <c r="D11659" t="inlineStr">
        <is>
          <t>GÄVLEBORGS LÄN</t>
        </is>
      </c>
      <c r="E11659" t="inlineStr">
        <is>
          <t>NORDANSTIG</t>
        </is>
      </c>
      <c r="F11659" t="inlineStr">
        <is>
          <t>Holmen skog AB</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6331-2022</t>
        </is>
      </c>
      <c r="B11660" s="1" t="n">
        <v>44600</v>
      </c>
      <c r="C11660" s="1" t="n">
        <v>46086</v>
      </c>
      <c r="D11660" t="inlineStr">
        <is>
          <t>GÄVLEBORGS LÄN</t>
        </is>
      </c>
      <c r="E11660" t="inlineStr">
        <is>
          <t>GÄVLE</t>
        </is>
      </c>
      <c r="F11660" t="inlineStr">
        <is>
          <t>Kyrkan</t>
        </is>
      </c>
      <c r="G11660" t="n">
        <v>3.5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427-2024</t>
        </is>
      </c>
      <c r="B11661" s="1" t="n">
        <v>45296</v>
      </c>
      <c r="C11661" s="1" t="n">
        <v>46086</v>
      </c>
      <c r="D11661" t="inlineStr">
        <is>
          <t>GÄVLEBORGS LÄN</t>
        </is>
      </c>
      <c r="E11661" t="inlineStr">
        <is>
          <t>OCKELBO</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29905-2024</t>
        </is>
      </c>
      <c r="B11662" s="1" t="n">
        <v>45487</v>
      </c>
      <c r="C11662" s="1" t="n">
        <v>46086</v>
      </c>
      <c r="D11662" t="inlineStr">
        <is>
          <t>GÄVLEBORGS LÄN</t>
        </is>
      </c>
      <c r="E11662" t="inlineStr">
        <is>
          <t>HUDIKSVALL</t>
        </is>
      </c>
      <c r="F11662" t="inlineStr">
        <is>
          <t>Holmen skog AB</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250-2025</t>
        </is>
      </c>
      <c r="B11663" s="1" t="n">
        <v>45660.42574074074</v>
      </c>
      <c r="C11663" s="1" t="n">
        <v>46086</v>
      </c>
      <c r="D11663" t="inlineStr">
        <is>
          <t>GÄVLEBORGS LÄN</t>
        </is>
      </c>
      <c r="E11663" t="inlineStr">
        <is>
          <t>GÄVLE</t>
        </is>
      </c>
      <c r="G11663" t="n">
        <v>3.1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18151-2024</t>
        </is>
      </c>
      <c r="B11664" s="1" t="n">
        <v>45420.60313657407</v>
      </c>
      <c r="C11664" s="1" t="n">
        <v>46086</v>
      </c>
      <c r="D11664" t="inlineStr">
        <is>
          <t>GÄVLEBORGS LÄN</t>
        </is>
      </c>
      <c r="E11664" t="inlineStr">
        <is>
          <t>BOLLNÄS</t>
        </is>
      </c>
      <c r="G11664" t="n">
        <v>7.2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55781-2022</t>
        </is>
      </c>
      <c r="B11665" s="1" t="n">
        <v>44888</v>
      </c>
      <c r="C11665" s="1" t="n">
        <v>46086</v>
      </c>
      <c r="D11665" t="inlineStr">
        <is>
          <t>GÄVLEBORGS LÄN</t>
        </is>
      </c>
      <c r="E11665" t="inlineStr">
        <is>
          <t>LJUSDAL</t>
        </is>
      </c>
      <c r="F11665" t="inlineStr">
        <is>
          <t>Kommuner</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56138-2023</t>
        </is>
      </c>
      <c r="B11666" s="1" t="n">
        <v>45240.59244212963</v>
      </c>
      <c r="C11666" s="1" t="n">
        <v>46086</v>
      </c>
      <c r="D11666" t="inlineStr">
        <is>
          <t>GÄVLEBORGS LÄN</t>
        </is>
      </c>
      <c r="E11666" t="inlineStr">
        <is>
          <t>GÄVLE</t>
        </is>
      </c>
      <c r="G11666" t="n">
        <v>2.9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13911-2024</t>
        </is>
      </c>
      <c r="B11667" s="1" t="n">
        <v>45391.70934027778</v>
      </c>
      <c r="C11667" s="1" t="n">
        <v>46086</v>
      </c>
      <c r="D11667" t="inlineStr">
        <is>
          <t>GÄVLEBORGS LÄN</t>
        </is>
      </c>
      <c r="E11667" t="inlineStr">
        <is>
          <t>LJUSDAL</t>
        </is>
      </c>
      <c r="G11667" t="n">
        <v>18.2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33231-2023</t>
        </is>
      </c>
      <c r="B11668" s="1" t="n">
        <v>45127.48289351852</v>
      </c>
      <c r="C11668" s="1" t="n">
        <v>46086</v>
      </c>
      <c r="D11668" t="inlineStr">
        <is>
          <t>GÄVLEBORGS LÄN</t>
        </is>
      </c>
      <c r="E11668" t="inlineStr">
        <is>
          <t>OVANÅKER</t>
        </is>
      </c>
      <c r="F11668" t="inlineStr">
        <is>
          <t>Bergvik skog öst AB</t>
        </is>
      </c>
      <c r="G11668" t="n">
        <v>5.8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47849-2021</t>
        </is>
      </c>
      <c r="B11669" s="1" t="n">
        <v>44448.65805555556</v>
      </c>
      <c r="C11669" s="1" t="n">
        <v>46086</v>
      </c>
      <c r="D11669" t="inlineStr">
        <is>
          <t>GÄVLEBORGS LÄN</t>
        </is>
      </c>
      <c r="E11669" t="inlineStr">
        <is>
          <t>OCKELBO</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29568-2021</t>
        </is>
      </c>
      <c r="B11670" s="1" t="n">
        <v>44361.91872685185</v>
      </c>
      <c r="C11670" s="1" t="n">
        <v>46086</v>
      </c>
      <c r="D11670" t="inlineStr">
        <is>
          <t>GÄVLEBORGS LÄN</t>
        </is>
      </c>
      <c r="E11670" t="inlineStr">
        <is>
          <t>LJUSDAL</t>
        </is>
      </c>
      <c r="G11670" t="n">
        <v>0.8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3532-2023</t>
        </is>
      </c>
      <c r="B11671" s="1" t="n">
        <v>44950</v>
      </c>
      <c r="C11671" s="1" t="n">
        <v>46086</v>
      </c>
      <c r="D11671" t="inlineStr">
        <is>
          <t>GÄVLEBORGS LÄN</t>
        </is>
      </c>
      <c r="E11671" t="inlineStr">
        <is>
          <t>LJUSDAL</t>
        </is>
      </c>
      <c r="G11671" t="n">
        <v>4.6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27590-2023</t>
        </is>
      </c>
      <c r="B11672" s="1" t="n">
        <v>45097</v>
      </c>
      <c r="C11672" s="1" t="n">
        <v>46086</v>
      </c>
      <c r="D11672" t="inlineStr">
        <is>
          <t>GÄVLEBORGS LÄN</t>
        </is>
      </c>
      <c r="E11672" t="inlineStr">
        <is>
          <t>BOLLNÄS</t>
        </is>
      </c>
      <c r="G11672" t="n">
        <v>3.8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21965-2022</t>
        </is>
      </c>
      <c r="B11673" s="1" t="n">
        <v>44711</v>
      </c>
      <c r="C11673" s="1" t="n">
        <v>46086</v>
      </c>
      <c r="D11673" t="inlineStr">
        <is>
          <t>GÄVLEBORGS LÄN</t>
        </is>
      </c>
      <c r="E11673" t="inlineStr">
        <is>
          <t>LJUSDAL</t>
        </is>
      </c>
      <c r="F11673" t="inlineStr">
        <is>
          <t>Bergvik skog väst AB</t>
        </is>
      </c>
      <c r="G11673" t="n">
        <v>3.7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60099-2022</t>
        </is>
      </c>
      <c r="B11674" s="1" t="n">
        <v>44909.62553240741</v>
      </c>
      <c r="C11674" s="1" t="n">
        <v>46086</v>
      </c>
      <c r="D11674" t="inlineStr">
        <is>
          <t>GÄVLEBORGS LÄN</t>
        </is>
      </c>
      <c r="E11674" t="inlineStr">
        <is>
          <t>LJUSDAL</t>
        </is>
      </c>
      <c r="F11674" t="inlineStr">
        <is>
          <t>Bergvik skog väst AB</t>
        </is>
      </c>
      <c r="G11674" t="n">
        <v>2.7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20456-2024</t>
        </is>
      </c>
      <c r="B11675" s="1" t="n">
        <v>45435.6531712963</v>
      </c>
      <c r="C11675" s="1" t="n">
        <v>46086</v>
      </c>
      <c r="D11675" t="inlineStr">
        <is>
          <t>GÄVLEBORGS LÄN</t>
        </is>
      </c>
      <c r="E11675" t="inlineStr">
        <is>
          <t>SÖDERHAMN</t>
        </is>
      </c>
      <c r="G11675" t="n">
        <v>0.5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47149-2024</t>
        </is>
      </c>
      <c r="B11676" s="1" t="n">
        <v>45586.59251157408</v>
      </c>
      <c r="C11676" s="1" t="n">
        <v>46086</v>
      </c>
      <c r="D11676" t="inlineStr">
        <is>
          <t>GÄVLEBORGS LÄN</t>
        </is>
      </c>
      <c r="E11676" t="inlineStr">
        <is>
          <t>HUDIKSVALL</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30523-2021</t>
        </is>
      </c>
      <c r="B11677" s="1" t="n">
        <v>44364</v>
      </c>
      <c r="C11677" s="1" t="n">
        <v>46086</v>
      </c>
      <c r="D11677" t="inlineStr">
        <is>
          <t>GÄVLEBORGS LÄN</t>
        </is>
      </c>
      <c r="E11677" t="inlineStr">
        <is>
          <t>BOLLNÄS</t>
        </is>
      </c>
      <c r="G11677" t="n">
        <v>3.2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32827-2024</t>
        </is>
      </c>
      <c r="B11678" s="1" t="n">
        <v>45516.59273148148</v>
      </c>
      <c r="C11678" s="1" t="n">
        <v>46086</v>
      </c>
      <c r="D11678" t="inlineStr">
        <is>
          <t>GÄVLEBORGS LÄN</t>
        </is>
      </c>
      <c r="E11678" t="inlineStr">
        <is>
          <t>HOFORS</t>
        </is>
      </c>
      <c r="F11678" t="inlineStr">
        <is>
          <t>Sveaskog</t>
        </is>
      </c>
      <c r="G11678" t="n">
        <v>8.5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25544-2024</t>
        </is>
      </c>
      <c r="B11679" s="1" t="n">
        <v>45463</v>
      </c>
      <c r="C11679" s="1" t="n">
        <v>46086</v>
      </c>
      <c r="D11679" t="inlineStr">
        <is>
          <t>GÄVLEBORGS LÄN</t>
        </is>
      </c>
      <c r="E11679" t="inlineStr">
        <is>
          <t>SANDVIKEN</t>
        </is>
      </c>
      <c r="G11679" t="n">
        <v>2.9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50194-2024</t>
        </is>
      </c>
      <c r="B11680" s="1" t="n">
        <v>45600.48512731482</v>
      </c>
      <c r="C11680" s="1" t="n">
        <v>46086</v>
      </c>
      <c r="D11680" t="inlineStr">
        <is>
          <t>GÄVLEBORGS LÄN</t>
        </is>
      </c>
      <c r="E11680" t="inlineStr">
        <is>
          <t>OCKELBO</t>
        </is>
      </c>
      <c r="G11680" t="n">
        <v>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55613-2024</t>
        </is>
      </c>
      <c r="B11681" s="1" t="n">
        <v>45622</v>
      </c>
      <c r="C11681" s="1" t="n">
        <v>46086</v>
      </c>
      <c r="D11681" t="inlineStr">
        <is>
          <t>GÄVLEBORGS LÄN</t>
        </is>
      </c>
      <c r="E11681" t="inlineStr">
        <is>
          <t>HUDIKSVALL</t>
        </is>
      </c>
      <c r="F11681" t="inlineStr">
        <is>
          <t>Holmen skog AB</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15247-2025</t>
        </is>
      </c>
      <c r="B11682" s="1" t="n">
        <v>45744.62528935185</v>
      </c>
      <c r="C11682" s="1" t="n">
        <v>46086</v>
      </c>
      <c r="D11682" t="inlineStr">
        <is>
          <t>GÄVLEBORGS LÄN</t>
        </is>
      </c>
      <c r="E11682" t="inlineStr">
        <is>
          <t>OCKELBO</t>
        </is>
      </c>
      <c r="F11682" t="inlineStr">
        <is>
          <t>Bergvik skog väst AB</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15347-2025</t>
        </is>
      </c>
      <c r="B11683" s="1" t="n">
        <v>45747.38072916667</v>
      </c>
      <c r="C11683" s="1" t="n">
        <v>46086</v>
      </c>
      <c r="D11683" t="inlineStr">
        <is>
          <t>GÄVLEBORGS LÄN</t>
        </is>
      </c>
      <c r="E11683" t="inlineStr">
        <is>
          <t>SANDVIKEN</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37641-2024</t>
        </is>
      </c>
      <c r="B11684" s="1" t="n">
        <v>45541</v>
      </c>
      <c r="C11684" s="1" t="n">
        <v>46086</v>
      </c>
      <c r="D11684" t="inlineStr">
        <is>
          <t>GÄVLEBORGS LÄN</t>
        </is>
      </c>
      <c r="E11684" t="inlineStr">
        <is>
          <t>SANDVIKEN</t>
        </is>
      </c>
      <c r="F11684" t="inlineStr">
        <is>
          <t>Sveaskog</t>
        </is>
      </c>
      <c r="G11684" t="n">
        <v>4.8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32832-2022</t>
        </is>
      </c>
      <c r="B11685" s="1" t="n">
        <v>44784.42042824074</v>
      </c>
      <c r="C11685" s="1" t="n">
        <v>46086</v>
      </c>
      <c r="D11685" t="inlineStr">
        <is>
          <t>GÄVLEBORGS LÄN</t>
        </is>
      </c>
      <c r="E11685" t="inlineStr">
        <is>
          <t>LJUSDAL</t>
        </is>
      </c>
      <c r="F11685" t="inlineStr">
        <is>
          <t>Bergvik skog väst AB</t>
        </is>
      </c>
      <c r="G11685" t="n">
        <v>2.4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52915-2024</t>
        </is>
      </c>
      <c r="B11686" s="1" t="n">
        <v>45610.71055555555</v>
      </c>
      <c r="C11686" s="1" t="n">
        <v>46086</v>
      </c>
      <c r="D11686" t="inlineStr">
        <is>
          <t>GÄVLEBORGS LÄN</t>
        </is>
      </c>
      <c r="E11686" t="inlineStr">
        <is>
          <t>LJUSDAL</t>
        </is>
      </c>
      <c r="F11686" t="inlineStr">
        <is>
          <t>Allmännings- och besparingsskogar</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37643-2024</t>
        </is>
      </c>
      <c r="B11687" s="1" t="n">
        <v>45541</v>
      </c>
      <c r="C11687" s="1" t="n">
        <v>46086</v>
      </c>
      <c r="D11687" t="inlineStr">
        <is>
          <t>GÄVLEBORGS LÄN</t>
        </is>
      </c>
      <c r="E11687" t="inlineStr">
        <is>
          <t>SANDVIKEN</t>
        </is>
      </c>
      <c r="F11687" t="inlineStr">
        <is>
          <t>Sveaskog</t>
        </is>
      </c>
      <c r="G11687" t="n">
        <v>4.1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10159-2025</t>
        </is>
      </c>
      <c r="B11688" s="1" t="n">
        <v>45719.64797453704</v>
      </c>
      <c r="C11688" s="1" t="n">
        <v>46086</v>
      </c>
      <c r="D11688" t="inlineStr">
        <is>
          <t>GÄVLEBORGS LÄN</t>
        </is>
      </c>
      <c r="E11688" t="inlineStr">
        <is>
          <t>HUDIKSVALL</t>
        </is>
      </c>
      <c r="F11688" t="inlineStr">
        <is>
          <t>Kommuner</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1408-2024</t>
        </is>
      </c>
      <c r="B11689" s="1" t="n">
        <v>45303.60203703704</v>
      </c>
      <c r="C11689" s="1" t="n">
        <v>46086</v>
      </c>
      <c r="D11689" t="inlineStr">
        <is>
          <t>GÄVLEBORGS LÄN</t>
        </is>
      </c>
      <c r="E11689" t="inlineStr">
        <is>
          <t>SANDVIKEN</t>
        </is>
      </c>
      <c r="G11689" t="n">
        <v>4.1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8642-2025</t>
        </is>
      </c>
      <c r="B11690" s="1" t="n">
        <v>45712.27693287037</v>
      </c>
      <c r="C11690" s="1" t="n">
        <v>46086</v>
      </c>
      <c r="D11690" t="inlineStr">
        <is>
          <t>GÄVLEBORGS LÄN</t>
        </is>
      </c>
      <c r="E11690" t="inlineStr">
        <is>
          <t>HUDIKSVALL</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8670-2025</t>
        </is>
      </c>
      <c r="B11691" s="1" t="n">
        <v>45712</v>
      </c>
      <c r="C11691" s="1" t="n">
        <v>46086</v>
      </c>
      <c r="D11691" t="inlineStr">
        <is>
          <t>GÄVLEBORGS LÄN</t>
        </is>
      </c>
      <c r="E11691" t="inlineStr">
        <is>
          <t>GÄVLE</t>
        </is>
      </c>
      <c r="F11691" t="inlineStr">
        <is>
          <t>Kyrkan</t>
        </is>
      </c>
      <c r="G11691" t="n">
        <v>4.3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15126-2025</t>
        </is>
      </c>
      <c r="B11692" s="1" t="n">
        <v>45744.37953703704</v>
      </c>
      <c r="C11692" s="1" t="n">
        <v>46086</v>
      </c>
      <c r="D11692" t="inlineStr">
        <is>
          <t>GÄVLEBORGS LÄN</t>
        </is>
      </c>
      <c r="E11692" t="inlineStr">
        <is>
          <t>GÄVLE</t>
        </is>
      </c>
      <c r="F11692" t="inlineStr">
        <is>
          <t>Bergvik skog öst AB</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31610-2024</t>
        </is>
      </c>
      <c r="B11693" s="1" t="n">
        <v>45506.43253472223</v>
      </c>
      <c r="C11693" s="1" t="n">
        <v>46086</v>
      </c>
      <c r="D11693" t="inlineStr">
        <is>
          <t>GÄVLEBORGS LÄN</t>
        </is>
      </c>
      <c r="E11693" t="inlineStr">
        <is>
          <t>BOLLNÄS</t>
        </is>
      </c>
      <c r="F11693" t="inlineStr">
        <is>
          <t>Sveaskog</t>
        </is>
      </c>
      <c r="G11693" t="n">
        <v>2.8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55352-2024</t>
        </is>
      </c>
      <c r="B11694" s="1" t="n">
        <v>45621</v>
      </c>
      <c r="C11694" s="1" t="n">
        <v>46086</v>
      </c>
      <c r="D11694" t="inlineStr">
        <is>
          <t>GÄVLEBORGS LÄN</t>
        </is>
      </c>
      <c r="E11694" t="inlineStr">
        <is>
          <t>HUDIKSVALL</t>
        </is>
      </c>
      <c r="F11694" t="inlineStr">
        <is>
          <t>Holmen skog AB</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23417-2023</t>
        </is>
      </c>
      <c r="B11695" s="1" t="n">
        <v>45076</v>
      </c>
      <c r="C11695" s="1" t="n">
        <v>46086</v>
      </c>
      <c r="D11695" t="inlineStr">
        <is>
          <t>GÄVLEBORGS LÄN</t>
        </is>
      </c>
      <c r="E11695" t="inlineStr">
        <is>
          <t>NORDANSTIG</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21063-2024</t>
        </is>
      </c>
      <c r="B11696" s="1" t="n">
        <v>45439.8161574074</v>
      </c>
      <c r="C11696" s="1" t="n">
        <v>46086</v>
      </c>
      <c r="D11696" t="inlineStr">
        <is>
          <t>GÄVLEBORGS LÄN</t>
        </is>
      </c>
      <c r="E11696" t="inlineStr">
        <is>
          <t>NORDANSTIG</t>
        </is>
      </c>
      <c r="F11696" t="inlineStr">
        <is>
          <t>Holmen skog AB</t>
        </is>
      </c>
      <c r="G11696" t="n">
        <v>4.5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21085-2024</t>
        </is>
      </c>
      <c r="B11697" s="1" t="n">
        <v>45439</v>
      </c>
      <c r="C11697" s="1" t="n">
        <v>46086</v>
      </c>
      <c r="D11697" t="inlineStr">
        <is>
          <t>GÄVLEBORGS LÄN</t>
        </is>
      </c>
      <c r="E11697" t="inlineStr">
        <is>
          <t>NORDANSTIG</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20288-2024</t>
        </is>
      </c>
      <c r="B11698" s="1" t="n">
        <v>45435</v>
      </c>
      <c r="C11698" s="1" t="n">
        <v>46086</v>
      </c>
      <c r="D11698" t="inlineStr">
        <is>
          <t>GÄVLEBORGS LÄN</t>
        </is>
      </c>
      <c r="E11698" t="inlineStr">
        <is>
          <t>LJUSDAL</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30697-2024</t>
        </is>
      </c>
      <c r="B11699" s="1" t="n">
        <v>45496.34385416667</v>
      </c>
      <c r="C11699" s="1" t="n">
        <v>46086</v>
      </c>
      <c r="D11699" t="inlineStr">
        <is>
          <t>GÄVLEBORGS LÄN</t>
        </is>
      </c>
      <c r="E11699" t="inlineStr">
        <is>
          <t>HUDIKSVALL</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59718-2021</t>
        </is>
      </c>
      <c r="B11700" s="1" t="n">
        <v>44494</v>
      </c>
      <c r="C11700" s="1" t="n">
        <v>46086</v>
      </c>
      <c r="D11700" t="inlineStr">
        <is>
          <t>GÄVLEBORGS LÄN</t>
        </is>
      </c>
      <c r="E11700" t="inlineStr">
        <is>
          <t>OVANÅKER</t>
        </is>
      </c>
      <c r="G11700" t="n">
        <v>2.1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33635-2024</t>
        </is>
      </c>
      <c r="B11701" s="1" t="n">
        <v>45520.4345949074</v>
      </c>
      <c r="C11701" s="1" t="n">
        <v>46086</v>
      </c>
      <c r="D11701" t="inlineStr">
        <is>
          <t>GÄVLEBORGS LÄN</t>
        </is>
      </c>
      <c r="E11701" t="inlineStr">
        <is>
          <t>GÄVLE</t>
        </is>
      </c>
      <c r="G11701" t="n">
        <v>3.9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33637-2024</t>
        </is>
      </c>
      <c r="B11702" s="1" t="n">
        <v>45520.44162037037</v>
      </c>
      <c r="C11702" s="1" t="n">
        <v>46086</v>
      </c>
      <c r="D11702" t="inlineStr">
        <is>
          <t>GÄVLEBORGS LÄN</t>
        </is>
      </c>
      <c r="E11702" t="inlineStr">
        <is>
          <t>GÄVLE</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35071-2023</t>
        </is>
      </c>
      <c r="B11703" s="1" t="n">
        <v>45145.42189814815</v>
      </c>
      <c r="C11703" s="1" t="n">
        <v>46086</v>
      </c>
      <c r="D11703" t="inlineStr">
        <is>
          <t>GÄVLEBORGS LÄN</t>
        </is>
      </c>
      <c r="E11703" t="inlineStr">
        <is>
          <t>BOLLNÄS</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22945-2023</t>
        </is>
      </c>
      <c r="B11704" s="1" t="n">
        <v>45072</v>
      </c>
      <c r="C11704" s="1" t="n">
        <v>46086</v>
      </c>
      <c r="D11704" t="inlineStr">
        <is>
          <t>GÄVLEBORGS LÄN</t>
        </is>
      </c>
      <c r="E11704" t="inlineStr">
        <is>
          <t>HUDIKSVALL</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22952-2023</t>
        </is>
      </c>
      <c r="B11705" s="1" t="n">
        <v>45072</v>
      </c>
      <c r="C11705" s="1" t="n">
        <v>46086</v>
      </c>
      <c r="D11705" t="inlineStr">
        <is>
          <t>GÄVLEBORGS LÄN</t>
        </is>
      </c>
      <c r="E11705" t="inlineStr">
        <is>
          <t>OCKELBO</t>
        </is>
      </c>
      <c r="G11705" t="n">
        <v>5.6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1149-2024</t>
        </is>
      </c>
      <c r="B11706" s="1" t="n">
        <v>45302.49834490741</v>
      </c>
      <c r="C11706" s="1" t="n">
        <v>46086</v>
      </c>
      <c r="D11706" t="inlineStr">
        <is>
          <t>GÄVLEBORGS LÄN</t>
        </is>
      </c>
      <c r="E11706" t="inlineStr">
        <is>
          <t>HOFORS</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54126-2021</t>
        </is>
      </c>
      <c r="B11707" s="1" t="n">
        <v>44470.51221064815</v>
      </c>
      <c r="C11707" s="1" t="n">
        <v>46086</v>
      </c>
      <c r="D11707" t="inlineStr">
        <is>
          <t>GÄVLEBORGS LÄN</t>
        </is>
      </c>
      <c r="E11707" t="inlineStr">
        <is>
          <t>HUDIKSVALL</t>
        </is>
      </c>
      <c r="G11707" t="n">
        <v>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57871-2023</t>
        </is>
      </c>
      <c r="B11708" s="1" t="n">
        <v>45247.45946759259</v>
      </c>
      <c r="C11708" s="1" t="n">
        <v>46086</v>
      </c>
      <c r="D11708" t="inlineStr">
        <is>
          <t>GÄVLEBORGS LÄN</t>
        </is>
      </c>
      <c r="E11708" t="inlineStr">
        <is>
          <t>HUDIKSVALL</t>
        </is>
      </c>
      <c r="F11708" t="inlineStr">
        <is>
          <t>Holmen skog AB</t>
        </is>
      </c>
      <c r="G11708" t="n">
        <v>2.3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25645-2023</t>
        </is>
      </c>
      <c r="B11709" s="1" t="n">
        <v>45089.77170138889</v>
      </c>
      <c r="C11709" s="1" t="n">
        <v>46086</v>
      </c>
      <c r="D11709" t="inlineStr">
        <is>
          <t>GÄVLEBORGS LÄN</t>
        </is>
      </c>
      <c r="E11709" t="inlineStr">
        <is>
          <t>GÄVLE</t>
        </is>
      </c>
      <c r="F11709" t="inlineStr">
        <is>
          <t>Bergvik skog öst AB</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7998-2023</t>
        </is>
      </c>
      <c r="B11710" s="1" t="n">
        <v>44973</v>
      </c>
      <c r="C11710" s="1" t="n">
        <v>46086</v>
      </c>
      <c r="D11710" t="inlineStr">
        <is>
          <t>GÄVLEBORGS LÄN</t>
        </is>
      </c>
      <c r="E11710" t="inlineStr">
        <is>
          <t>GÄVLE</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9905-2024</t>
        </is>
      </c>
      <c r="B11711" s="1" t="n">
        <v>45363</v>
      </c>
      <c r="C11711" s="1" t="n">
        <v>46086</v>
      </c>
      <c r="D11711" t="inlineStr">
        <is>
          <t>GÄVLEBORGS LÄN</t>
        </is>
      </c>
      <c r="E11711" t="inlineStr">
        <is>
          <t>HUDIKSVALL</t>
        </is>
      </c>
      <c r="F11711" t="inlineStr">
        <is>
          <t>Holmen skog AB</t>
        </is>
      </c>
      <c r="G11711" t="n">
        <v>16.5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20512-2022</t>
        </is>
      </c>
      <c r="B11712" s="1" t="n">
        <v>44699</v>
      </c>
      <c r="C11712" s="1" t="n">
        <v>46086</v>
      </c>
      <c r="D11712" t="inlineStr">
        <is>
          <t>GÄVLEBORGS LÄN</t>
        </is>
      </c>
      <c r="E11712" t="inlineStr">
        <is>
          <t>NORDANSTIG</t>
        </is>
      </c>
      <c r="G11712" t="n">
        <v>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8898-2024</t>
        </is>
      </c>
      <c r="B11713" s="1" t="n">
        <v>45357</v>
      </c>
      <c r="C11713" s="1" t="n">
        <v>46086</v>
      </c>
      <c r="D11713" t="inlineStr">
        <is>
          <t>GÄVLEBORGS LÄN</t>
        </is>
      </c>
      <c r="E11713" t="inlineStr">
        <is>
          <t>NORDANSTIG</t>
        </is>
      </c>
      <c r="G11713" t="n">
        <v>8.199999999999999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3635-2023</t>
        </is>
      </c>
      <c r="B11714" s="1" t="n">
        <v>44950</v>
      </c>
      <c r="C11714" s="1" t="n">
        <v>46086</v>
      </c>
      <c r="D11714" t="inlineStr">
        <is>
          <t>GÄVLEBORGS LÄN</t>
        </is>
      </c>
      <c r="E11714" t="inlineStr">
        <is>
          <t>LJUSDAL</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6833-2023</t>
        </is>
      </c>
      <c r="B11715" s="1" t="n">
        <v>44967</v>
      </c>
      <c r="C11715" s="1" t="n">
        <v>46086</v>
      </c>
      <c r="D11715" t="inlineStr">
        <is>
          <t>GÄVLEBORGS LÄN</t>
        </is>
      </c>
      <c r="E11715" t="inlineStr">
        <is>
          <t>BOLLNÄS</t>
        </is>
      </c>
      <c r="G11715" t="n">
        <v>11.1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51869-2024</t>
        </is>
      </c>
      <c r="B11716" s="1" t="n">
        <v>45607.553125</v>
      </c>
      <c r="C11716" s="1" t="n">
        <v>46086</v>
      </c>
      <c r="D11716" t="inlineStr">
        <is>
          <t>GÄVLEBORGS LÄN</t>
        </is>
      </c>
      <c r="E11716" t="inlineStr">
        <is>
          <t>LJUSDAL</t>
        </is>
      </c>
      <c r="F11716" t="inlineStr">
        <is>
          <t>Naturvårdsverket</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41544-2023</t>
        </is>
      </c>
      <c r="B11717" s="1" t="n">
        <v>45175.56778935185</v>
      </c>
      <c r="C11717" s="1" t="n">
        <v>46086</v>
      </c>
      <c r="D11717" t="inlineStr">
        <is>
          <t>GÄVLEBORGS LÄN</t>
        </is>
      </c>
      <c r="E11717" t="inlineStr">
        <is>
          <t>OVANÅKER</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41620-2023</t>
        </is>
      </c>
      <c r="B11718" s="1" t="n">
        <v>45175.67440972223</v>
      </c>
      <c r="C11718" s="1" t="n">
        <v>46086</v>
      </c>
      <c r="D11718" t="inlineStr">
        <is>
          <t>GÄVLEBORGS LÄN</t>
        </is>
      </c>
      <c r="E11718" t="inlineStr">
        <is>
          <t>NORDANSTIG</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12764-2025</t>
        </is>
      </c>
      <c r="B11719" s="1" t="n">
        <v>45733.57371527778</v>
      </c>
      <c r="C11719" s="1" t="n">
        <v>46086</v>
      </c>
      <c r="D11719" t="inlineStr">
        <is>
          <t>GÄVLEBORGS LÄN</t>
        </is>
      </c>
      <c r="E11719" t="inlineStr">
        <is>
          <t>NORDANSTIG</t>
        </is>
      </c>
      <c r="F11719" t="inlineStr">
        <is>
          <t>Holmen skog AB</t>
        </is>
      </c>
      <c r="G11719" t="n">
        <v>4.4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42643-2024</t>
        </is>
      </c>
      <c r="B11720" s="1" t="n">
        <v>45566.28908564815</v>
      </c>
      <c r="C11720" s="1" t="n">
        <v>46086</v>
      </c>
      <c r="D11720" t="inlineStr">
        <is>
          <t>GÄVLEBORGS LÄN</t>
        </is>
      </c>
      <c r="E11720" t="inlineStr">
        <is>
          <t>BOLLNÄS</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42644-2024</t>
        </is>
      </c>
      <c r="B11721" s="1" t="n">
        <v>45566.29006944445</v>
      </c>
      <c r="C11721" s="1" t="n">
        <v>46086</v>
      </c>
      <c r="D11721" t="inlineStr">
        <is>
          <t>GÄVLEBORGS LÄN</t>
        </is>
      </c>
      <c r="E11721" t="inlineStr">
        <is>
          <t>BOLLNÄS</t>
        </is>
      </c>
      <c r="G11721" t="n">
        <v>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40745-2024</t>
        </is>
      </c>
      <c r="B11722" s="1" t="n">
        <v>45558.45087962963</v>
      </c>
      <c r="C11722" s="1" t="n">
        <v>46086</v>
      </c>
      <c r="D11722" t="inlineStr">
        <is>
          <t>GÄVLEBORGS LÄN</t>
        </is>
      </c>
      <c r="E11722" t="inlineStr">
        <is>
          <t>SANDVIKEN</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53691-2024</t>
        </is>
      </c>
      <c r="B11723" s="1" t="n">
        <v>45615.37226851852</v>
      </c>
      <c r="C11723" s="1" t="n">
        <v>46086</v>
      </c>
      <c r="D11723" t="inlineStr">
        <is>
          <t>GÄVLEBORGS LÄN</t>
        </is>
      </c>
      <c r="E11723" t="inlineStr">
        <is>
          <t>NORDANSTIG</t>
        </is>
      </c>
      <c r="G11723" t="n">
        <v>3.8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33225-2023</t>
        </is>
      </c>
      <c r="B11724" s="1" t="n">
        <v>45127.47550925926</v>
      </c>
      <c r="C11724" s="1" t="n">
        <v>46086</v>
      </c>
      <c r="D11724" t="inlineStr">
        <is>
          <t>GÄVLEBORGS LÄN</t>
        </is>
      </c>
      <c r="E11724" t="inlineStr">
        <is>
          <t>OVANÅKER</t>
        </is>
      </c>
      <c r="F11724" t="inlineStr">
        <is>
          <t>Bergvik skog öst AB</t>
        </is>
      </c>
      <c r="G11724" t="n">
        <v>19.8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51634-2022</t>
        </is>
      </c>
      <c r="B11725" s="1" t="n">
        <v>44872</v>
      </c>
      <c r="C11725" s="1" t="n">
        <v>46086</v>
      </c>
      <c r="D11725" t="inlineStr">
        <is>
          <t>GÄVLEBORGS LÄN</t>
        </is>
      </c>
      <c r="E11725" t="inlineStr">
        <is>
          <t>LJUSDAL</t>
        </is>
      </c>
      <c r="G11725" t="n">
        <v>3.1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7298-2025</t>
        </is>
      </c>
      <c r="B11726" s="1" t="n">
        <v>45702.65122685185</v>
      </c>
      <c r="C11726" s="1" t="n">
        <v>46086</v>
      </c>
      <c r="D11726" t="inlineStr">
        <is>
          <t>GÄVLEBORGS LÄN</t>
        </is>
      </c>
      <c r="E11726" t="inlineStr">
        <is>
          <t>GÄVLE</t>
        </is>
      </c>
      <c r="F11726" t="inlineStr">
        <is>
          <t>Bergvik skog öst AB</t>
        </is>
      </c>
      <c r="G11726" t="n">
        <v>4.4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54207-2023</t>
        </is>
      </c>
      <c r="B11727" s="1" t="n">
        <v>45232.56643518519</v>
      </c>
      <c r="C11727" s="1" t="n">
        <v>46086</v>
      </c>
      <c r="D11727" t="inlineStr">
        <is>
          <t>GÄVLEBORGS LÄN</t>
        </is>
      </c>
      <c r="E11727" t="inlineStr">
        <is>
          <t>GÄVLE</t>
        </is>
      </c>
      <c r="F11727" t="inlineStr">
        <is>
          <t>Bergvik skog väst AB</t>
        </is>
      </c>
      <c r="G11727" t="n">
        <v>3.3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54209-2023</t>
        </is>
      </c>
      <c r="B11728" s="1" t="n">
        <v>45232.56831018518</v>
      </c>
      <c r="C11728" s="1" t="n">
        <v>46086</v>
      </c>
      <c r="D11728" t="inlineStr">
        <is>
          <t>GÄVLEBORGS LÄN</t>
        </is>
      </c>
      <c r="E11728" t="inlineStr">
        <is>
          <t>BOLLNÄS</t>
        </is>
      </c>
      <c r="G11728" t="n">
        <v>0.4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17962-2025</t>
        </is>
      </c>
      <c r="B11729" s="1" t="n">
        <v>45761.33565972222</v>
      </c>
      <c r="C11729" s="1" t="n">
        <v>46086</v>
      </c>
      <c r="D11729" t="inlineStr">
        <is>
          <t>GÄVLEBORGS LÄN</t>
        </is>
      </c>
      <c r="E11729" t="inlineStr">
        <is>
          <t>OVANÅKER</t>
        </is>
      </c>
      <c r="F11729" t="inlineStr">
        <is>
          <t>Holmen skog AB</t>
        </is>
      </c>
      <c r="G11729" t="n">
        <v>12.6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4402-2025</t>
        </is>
      </c>
      <c r="B11730" s="1" t="n">
        <v>45686</v>
      </c>
      <c r="C11730" s="1" t="n">
        <v>46086</v>
      </c>
      <c r="D11730" t="inlineStr">
        <is>
          <t>GÄVLEBORGS LÄN</t>
        </is>
      </c>
      <c r="E11730" t="inlineStr">
        <is>
          <t>GÄVLE</t>
        </is>
      </c>
      <c r="F11730" t="inlineStr">
        <is>
          <t>Bergvik skog öst AB</t>
        </is>
      </c>
      <c r="G11730" t="n">
        <v>4.8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15935-2025</t>
        </is>
      </c>
      <c r="B11731" s="1" t="n">
        <v>45749</v>
      </c>
      <c r="C11731" s="1" t="n">
        <v>46086</v>
      </c>
      <c r="D11731" t="inlineStr">
        <is>
          <t>GÄVLEBORGS LÄN</t>
        </is>
      </c>
      <c r="E11731" t="inlineStr">
        <is>
          <t>GÄVLE</t>
        </is>
      </c>
      <c r="G11731" t="n">
        <v>2.2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10514-2024</t>
        </is>
      </c>
      <c r="B11732" s="1" t="n">
        <v>45366</v>
      </c>
      <c r="C11732" s="1" t="n">
        <v>46086</v>
      </c>
      <c r="D11732" t="inlineStr">
        <is>
          <t>GÄVLEBORGS LÄN</t>
        </is>
      </c>
      <c r="E11732" t="inlineStr">
        <is>
          <t>LJUSDAL</t>
        </is>
      </c>
      <c r="G11732" t="n">
        <v>3.3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10894-2025</t>
        </is>
      </c>
      <c r="B11733" s="1" t="n">
        <v>45722.68009259259</v>
      </c>
      <c r="C11733" s="1" t="n">
        <v>46086</v>
      </c>
      <c r="D11733" t="inlineStr">
        <is>
          <t>GÄVLEBORGS LÄN</t>
        </is>
      </c>
      <c r="E11733" t="inlineStr">
        <is>
          <t>SANDVIKEN</t>
        </is>
      </c>
      <c r="G11733" t="n">
        <v>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6093-2023</t>
        </is>
      </c>
      <c r="B11734" s="1" t="n">
        <v>44964.56496527778</v>
      </c>
      <c r="C11734" s="1" t="n">
        <v>46086</v>
      </c>
      <c r="D11734" t="inlineStr">
        <is>
          <t>GÄVLEBORGS LÄN</t>
        </is>
      </c>
      <c r="E11734" t="inlineStr">
        <is>
          <t>NORDANSTIG</t>
        </is>
      </c>
      <c r="F11734" t="inlineStr">
        <is>
          <t>Holmen skog AB</t>
        </is>
      </c>
      <c r="G11734" t="n">
        <v>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12545-2024</t>
        </is>
      </c>
      <c r="B11735" s="1" t="n">
        <v>45379</v>
      </c>
      <c r="C11735" s="1" t="n">
        <v>46086</v>
      </c>
      <c r="D11735" t="inlineStr">
        <is>
          <t>GÄVLEBORGS LÄN</t>
        </is>
      </c>
      <c r="E11735" t="inlineStr">
        <is>
          <t>HUDIKSVALL</t>
        </is>
      </c>
      <c r="G11735" t="n">
        <v>2.6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72899-2021</t>
        </is>
      </c>
      <c r="B11736" s="1" t="n">
        <v>44547.58841435185</v>
      </c>
      <c r="C11736" s="1" t="n">
        <v>46086</v>
      </c>
      <c r="D11736" t="inlineStr">
        <is>
          <t>GÄVLEBORGS LÄN</t>
        </is>
      </c>
      <c r="E11736" t="inlineStr">
        <is>
          <t>HUDIKSVALL</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8276-2025</t>
        </is>
      </c>
      <c r="B11737" s="1" t="n">
        <v>45708.54879629629</v>
      </c>
      <c r="C11737" s="1" t="n">
        <v>46086</v>
      </c>
      <c r="D11737" t="inlineStr">
        <is>
          <t>GÄVLEBORGS LÄN</t>
        </is>
      </c>
      <c r="E11737" t="inlineStr">
        <is>
          <t>SÖDERHAMN</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36607-2023</t>
        </is>
      </c>
      <c r="B11738" s="1" t="n">
        <v>45153.48958333334</v>
      </c>
      <c r="C11738" s="1" t="n">
        <v>46086</v>
      </c>
      <c r="D11738" t="inlineStr">
        <is>
          <t>GÄVLEBORGS LÄN</t>
        </is>
      </c>
      <c r="E11738" t="inlineStr">
        <is>
          <t>BOLLNÄS</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50242-2024</t>
        </is>
      </c>
      <c r="B11739" s="1" t="n">
        <v>45600.56403935186</v>
      </c>
      <c r="C11739" s="1" t="n">
        <v>46086</v>
      </c>
      <c r="D11739" t="inlineStr">
        <is>
          <t>GÄVLEBORGS LÄN</t>
        </is>
      </c>
      <c r="E11739" t="inlineStr">
        <is>
          <t>HUDIKSVALL</t>
        </is>
      </c>
      <c r="G11739" t="n">
        <v>3.9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26304-2022</t>
        </is>
      </c>
      <c r="B11740" s="1" t="n">
        <v>44735.58756944445</v>
      </c>
      <c r="C11740" s="1" t="n">
        <v>46086</v>
      </c>
      <c r="D11740" t="inlineStr">
        <is>
          <t>GÄVLEBORGS LÄN</t>
        </is>
      </c>
      <c r="E11740" t="inlineStr">
        <is>
          <t>BOLLNÄS</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25814-2023</t>
        </is>
      </c>
      <c r="B11741" s="1" t="n">
        <v>45090.53184027778</v>
      </c>
      <c r="C11741" s="1" t="n">
        <v>46086</v>
      </c>
      <c r="D11741" t="inlineStr">
        <is>
          <t>GÄVLEBORGS LÄN</t>
        </is>
      </c>
      <c r="E11741" t="inlineStr">
        <is>
          <t>GÄVLE</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21756-2024</t>
        </is>
      </c>
      <c r="B11742" s="1" t="n">
        <v>45442</v>
      </c>
      <c r="C11742" s="1" t="n">
        <v>46086</v>
      </c>
      <c r="D11742" t="inlineStr">
        <is>
          <t>GÄVLEBORGS LÄN</t>
        </is>
      </c>
      <c r="E11742" t="inlineStr">
        <is>
          <t>LJUSDAL</t>
        </is>
      </c>
      <c r="G11742" t="n">
        <v>0.3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3899-2022</t>
        </is>
      </c>
      <c r="B11743" s="1" t="n">
        <v>44587</v>
      </c>
      <c r="C11743" s="1" t="n">
        <v>46086</v>
      </c>
      <c r="D11743" t="inlineStr">
        <is>
          <t>GÄVLEBORGS LÄN</t>
        </is>
      </c>
      <c r="E11743" t="inlineStr">
        <is>
          <t>SANDVIKEN</t>
        </is>
      </c>
      <c r="F11743" t="inlineStr">
        <is>
          <t>Kyrkan</t>
        </is>
      </c>
      <c r="G11743" t="n">
        <v>3.2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18347-2025</t>
        </is>
      </c>
      <c r="B11744" s="1" t="n">
        <v>45762.52913194444</v>
      </c>
      <c r="C11744" s="1" t="n">
        <v>46086</v>
      </c>
      <c r="D11744" t="inlineStr">
        <is>
          <t>GÄVLEBORGS LÄN</t>
        </is>
      </c>
      <c r="E11744" t="inlineStr">
        <is>
          <t>HOFORS</t>
        </is>
      </c>
      <c r="G11744" t="n">
        <v>3.8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7785-2022</t>
        </is>
      </c>
      <c r="B11745" s="1" t="n">
        <v>44608.47659722222</v>
      </c>
      <c r="C11745" s="1" t="n">
        <v>46086</v>
      </c>
      <c r="D11745" t="inlineStr">
        <is>
          <t>GÄVLEBORGS LÄN</t>
        </is>
      </c>
      <c r="E11745" t="inlineStr">
        <is>
          <t>OVANÅKER</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36576-2022</t>
        </is>
      </c>
      <c r="B11746" s="1" t="n">
        <v>44804</v>
      </c>
      <c r="C11746" s="1" t="n">
        <v>46086</v>
      </c>
      <c r="D11746" t="inlineStr">
        <is>
          <t>GÄVLEBORGS LÄN</t>
        </is>
      </c>
      <c r="E11746" t="inlineStr">
        <is>
          <t>OVANÅKER</t>
        </is>
      </c>
      <c r="G11746" t="n">
        <v>4.9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35679-2023</t>
        </is>
      </c>
      <c r="B11747" s="1" t="n">
        <v>45147</v>
      </c>
      <c r="C11747" s="1" t="n">
        <v>46086</v>
      </c>
      <c r="D11747" t="inlineStr">
        <is>
          <t>GÄVLEBORGS LÄN</t>
        </is>
      </c>
      <c r="E11747" t="inlineStr">
        <is>
          <t>HUDIKSVALL</t>
        </is>
      </c>
      <c r="F11747" t="inlineStr">
        <is>
          <t>Holmen skog AB</t>
        </is>
      </c>
      <c r="G11747" t="n">
        <v>6.5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29586-2021</t>
        </is>
      </c>
      <c r="B11748" s="1" t="n">
        <v>44361.9196875</v>
      </c>
      <c r="C11748" s="1" t="n">
        <v>46086</v>
      </c>
      <c r="D11748" t="inlineStr">
        <is>
          <t>GÄVLEBORGS LÄN</t>
        </is>
      </c>
      <c r="E11748" t="inlineStr">
        <is>
          <t>LJUSDAL</t>
        </is>
      </c>
      <c r="G11748" t="n">
        <v>6.5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59799-2022</t>
        </is>
      </c>
      <c r="B11749" s="1" t="n">
        <v>44908.56585648148</v>
      </c>
      <c r="C11749" s="1" t="n">
        <v>46086</v>
      </c>
      <c r="D11749" t="inlineStr">
        <is>
          <t>GÄVLEBORGS LÄN</t>
        </is>
      </c>
      <c r="E11749" t="inlineStr">
        <is>
          <t>NORDANSTIG</t>
        </is>
      </c>
      <c r="F11749" t="inlineStr">
        <is>
          <t>Holmen skog AB</t>
        </is>
      </c>
      <c r="G11749" t="n">
        <v>0.5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19156-2023</t>
        </is>
      </c>
      <c r="B11750" s="1" t="n">
        <v>45048</v>
      </c>
      <c r="C11750" s="1" t="n">
        <v>46086</v>
      </c>
      <c r="D11750" t="inlineStr">
        <is>
          <t>GÄVLEBORGS LÄN</t>
        </is>
      </c>
      <c r="E11750" t="inlineStr">
        <is>
          <t>HUDIKSVALL</t>
        </is>
      </c>
      <c r="G11750" t="n">
        <v>3.7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48148-2024</t>
        </is>
      </c>
      <c r="B11751" s="1" t="n">
        <v>45589.67875</v>
      </c>
      <c r="C11751" s="1" t="n">
        <v>46086</v>
      </c>
      <c r="D11751" t="inlineStr">
        <is>
          <t>GÄVLEBORGS LÄN</t>
        </is>
      </c>
      <c r="E11751" t="inlineStr">
        <is>
          <t>LJUSDAL</t>
        </is>
      </c>
      <c r="G11751" t="n">
        <v>2.9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4511-2024</t>
        </is>
      </c>
      <c r="B11752" s="1" t="n">
        <v>45327.6296412037</v>
      </c>
      <c r="C11752" s="1" t="n">
        <v>46086</v>
      </c>
      <c r="D11752" t="inlineStr">
        <is>
          <t>GÄVLEBORGS LÄN</t>
        </is>
      </c>
      <c r="E11752" t="inlineStr">
        <is>
          <t>SANDVIKEN</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32754-2023</t>
        </is>
      </c>
      <c r="B11753" s="1" t="n">
        <v>45123</v>
      </c>
      <c r="C11753" s="1" t="n">
        <v>46086</v>
      </c>
      <c r="D11753" t="inlineStr">
        <is>
          <t>GÄVLEBORGS LÄN</t>
        </is>
      </c>
      <c r="E11753" t="inlineStr">
        <is>
          <t>BOLLNÄS</t>
        </is>
      </c>
      <c r="G11753" t="n">
        <v>0.5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35303-2023</t>
        </is>
      </c>
      <c r="B11754" s="1" t="n">
        <v>45146.34653935185</v>
      </c>
      <c r="C11754" s="1" t="n">
        <v>46086</v>
      </c>
      <c r="D11754" t="inlineStr">
        <is>
          <t>GÄVLEBORGS LÄN</t>
        </is>
      </c>
      <c r="E11754" t="inlineStr">
        <is>
          <t>HUDIKSVALL</t>
        </is>
      </c>
      <c r="F11754" t="inlineStr">
        <is>
          <t>Holmen skog AB</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14792-2023</t>
        </is>
      </c>
      <c r="B11755" s="1" t="n">
        <v>45014</v>
      </c>
      <c r="C11755" s="1" t="n">
        <v>46086</v>
      </c>
      <c r="D11755" t="inlineStr">
        <is>
          <t>GÄVLEBORGS LÄN</t>
        </is>
      </c>
      <c r="E11755" t="inlineStr">
        <is>
          <t>GÄVLE</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18332-2024</t>
        </is>
      </c>
      <c r="B11756" s="1" t="n">
        <v>45422.56459490741</v>
      </c>
      <c r="C11756" s="1" t="n">
        <v>46086</v>
      </c>
      <c r="D11756" t="inlineStr">
        <is>
          <t>GÄVLEBORGS LÄN</t>
        </is>
      </c>
      <c r="E11756" t="inlineStr">
        <is>
          <t>NORDANSTIG</t>
        </is>
      </c>
      <c r="F11756" t="inlineStr">
        <is>
          <t>Holmen skog AB</t>
        </is>
      </c>
      <c r="G11756" t="n">
        <v>3.5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18334-2024</t>
        </is>
      </c>
      <c r="B11757" s="1" t="n">
        <v>45422.56760416667</v>
      </c>
      <c r="C11757" s="1" t="n">
        <v>46086</v>
      </c>
      <c r="D11757" t="inlineStr">
        <is>
          <t>GÄVLEBORGS LÄN</t>
        </is>
      </c>
      <c r="E11757" t="inlineStr">
        <is>
          <t>BOLLNÄS</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52842-2023</t>
        </is>
      </c>
      <c r="B11758" s="1" t="n">
        <v>45226.43016203704</v>
      </c>
      <c r="C11758" s="1" t="n">
        <v>46086</v>
      </c>
      <c r="D11758" t="inlineStr">
        <is>
          <t>GÄVLEBORGS LÄN</t>
        </is>
      </c>
      <c r="E11758" t="inlineStr">
        <is>
          <t>LJUSDAL</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9111-2024</t>
        </is>
      </c>
      <c r="B11759" s="1" t="n">
        <v>45357.96122685185</v>
      </c>
      <c r="C11759" s="1" t="n">
        <v>46086</v>
      </c>
      <c r="D11759" t="inlineStr">
        <is>
          <t>GÄVLEBORGS LÄN</t>
        </is>
      </c>
      <c r="E11759" t="inlineStr">
        <is>
          <t>LJUSDAL</t>
        </is>
      </c>
      <c r="G11759" t="n">
        <v>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47268-2021</t>
        </is>
      </c>
      <c r="B11760" s="1" t="n">
        <v>44447</v>
      </c>
      <c r="C11760" s="1" t="n">
        <v>46086</v>
      </c>
      <c r="D11760" t="inlineStr">
        <is>
          <t>GÄVLEBORGS LÄN</t>
        </is>
      </c>
      <c r="E11760" t="inlineStr">
        <is>
          <t>LJUSDAL</t>
        </is>
      </c>
      <c r="F11760" t="inlineStr">
        <is>
          <t>Bergvik skog väst AB</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4428-2025</t>
        </is>
      </c>
      <c r="B11761" s="1" t="n">
        <v>45686.48658564815</v>
      </c>
      <c r="C11761" s="1" t="n">
        <v>46086</v>
      </c>
      <c r="D11761" t="inlineStr">
        <is>
          <t>GÄVLEBORGS LÄN</t>
        </is>
      </c>
      <c r="E11761" t="inlineStr">
        <is>
          <t>HUDIKSVALL</t>
        </is>
      </c>
      <c r="F11761" t="inlineStr">
        <is>
          <t>Holmen skog AB</t>
        </is>
      </c>
      <c r="G11761" t="n">
        <v>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41730-2023</t>
        </is>
      </c>
      <c r="B11762" s="1" t="n">
        <v>45176</v>
      </c>
      <c r="C11762" s="1" t="n">
        <v>46086</v>
      </c>
      <c r="D11762" t="inlineStr">
        <is>
          <t>GÄVLEBORGS LÄN</t>
        </is>
      </c>
      <c r="E11762" t="inlineStr">
        <is>
          <t>BOLLNÄS</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41747-2023</t>
        </is>
      </c>
      <c r="B11763" s="1" t="n">
        <v>45176.43505787037</v>
      </c>
      <c r="C11763" s="1" t="n">
        <v>46086</v>
      </c>
      <c r="D11763" t="inlineStr">
        <is>
          <t>GÄVLEBORGS LÄN</t>
        </is>
      </c>
      <c r="E11763" t="inlineStr">
        <is>
          <t>HUDIKSVALL</t>
        </is>
      </c>
      <c r="F11763" t="inlineStr">
        <is>
          <t>Holmen skog AB</t>
        </is>
      </c>
      <c r="G11763" t="n">
        <v>0.5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28879-2021</t>
        </is>
      </c>
      <c r="B11764" s="1" t="n">
        <v>44357</v>
      </c>
      <c r="C11764" s="1" t="n">
        <v>46086</v>
      </c>
      <c r="D11764" t="inlineStr">
        <is>
          <t>GÄVLEBORGS LÄN</t>
        </is>
      </c>
      <c r="E11764" t="inlineStr">
        <is>
          <t>NORDANSTIG</t>
        </is>
      </c>
      <c r="G11764" t="n">
        <v>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12079-2025</t>
        </is>
      </c>
      <c r="B11765" s="1" t="n">
        <v>45728.88731481481</v>
      </c>
      <c r="C11765" s="1" t="n">
        <v>46086</v>
      </c>
      <c r="D11765" t="inlineStr">
        <is>
          <t>GÄVLEBORGS LÄN</t>
        </is>
      </c>
      <c r="E11765" t="inlineStr">
        <is>
          <t>GÄVLE</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35201-2024</t>
        </is>
      </c>
      <c r="B11766" s="1" t="n">
        <v>45530</v>
      </c>
      <c r="C11766" s="1" t="n">
        <v>46086</v>
      </c>
      <c r="D11766" t="inlineStr">
        <is>
          <t>GÄVLEBORGS LÄN</t>
        </is>
      </c>
      <c r="E11766" t="inlineStr">
        <is>
          <t>HUDIKSVALL</t>
        </is>
      </c>
      <c r="F11766" t="inlineStr">
        <is>
          <t>Holmen skog AB</t>
        </is>
      </c>
      <c r="G11766" t="n">
        <v>7.3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35204-2024</t>
        </is>
      </c>
      <c r="B11767" s="1" t="n">
        <v>45530</v>
      </c>
      <c r="C11767" s="1" t="n">
        <v>46086</v>
      </c>
      <c r="D11767" t="inlineStr">
        <is>
          <t>GÄVLEBORGS LÄN</t>
        </is>
      </c>
      <c r="E11767" t="inlineStr">
        <is>
          <t>GÄVLE</t>
        </is>
      </c>
      <c r="F11767" t="inlineStr">
        <is>
          <t>Bergvik skog öst AB</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20513-2025</t>
        </is>
      </c>
      <c r="B11768" s="1" t="n">
        <v>45775.59555555556</v>
      </c>
      <c r="C11768" s="1" t="n">
        <v>46086</v>
      </c>
      <c r="D11768" t="inlineStr">
        <is>
          <t>GÄVLEBORGS LÄN</t>
        </is>
      </c>
      <c r="E11768" t="inlineStr">
        <is>
          <t>LJUSDAL</t>
        </is>
      </c>
      <c r="F11768" t="inlineStr">
        <is>
          <t>Sveaskog</t>
        </is>
      </c>
      <c r="G11768" t="n">
        <v>13.1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20517-2025</t>
        </is>
      </c>
      <c r="B11769" s="1" t="n">
        <v>45775.59769675926</v>
      </c>
      <c r="C11769" s="1" t="n">
        <v>46086</v>
      </c>
      <c r="D11769" t="inlineStr">
        <is>
          <t>GÄVLEBORGS LÄN</t>
        </is>
      </c>
      <c r="E11769" t="inlineStr">
        <is>
          <t>BOLLNÄS</t>
        </is>
      </c>
      <c r="G11769" t="n">
        <v>8.4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20566-2025</t>
        </is>
      </c>
      <c r="B11770" s="1" t="n">
        <v>45775.66376157408</v>
      </c>
      <c r="C11770" s="1" t="n">
        <v>46086</v>
      </c>
      <c r="D11770" t="inlineStr">
        <is>
          <t>GÄVLEBORGS LÄN</t>
        </is>
      </c>
      <c r="E11770" t="inlineStr">
        <is>
          <t>NORDANSTIG</t>
        </is>
      </c>
      <c r="F11770" t="inlineStr">
        <is>
          <t>Holmen skog AB</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1594-2024</t>
        </is>
      </c>
      <c r="B11771" s="1" t="n">
        <v>45306.58793981482</v>
      </c>
      <c r="C11771" s="1" t="n">
        <v>46086</v>
      </c>
      <c r="D11771" t="inlineStr">
        <is>
          <t>GÄVLEBORGS LÄN</t>
        </is>
      </c>
      <c r="E11771" t="inlineStr">
        <is>
          <t>GÄVLE</t>
        </is>
      </c>
      <c r="G11771" t="n">
        <v>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12083-2025</t>
        </is>
      </c>
      <c r="B11772" s="1" t="n">
        <v>45728.9183449074</v>
      </c>
      <c r="C11772" s="1" t="n">
        <v>46086</v>
      </c>
      <c r="D11772" t="inlineStr">
        <is>
          <t>GÄVLEBORGS LÄN</t>
        </is>
      </c>
      <c r="E11772" t="inlineStr">
        <is>
          <t>GÄVLE</t>
        </is>
      </c>
      <c r="G11772" t="n">
        <v>6.3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12087-2025</t>
        </is>
      </c>
      <c r="B11773" s="1" t="n">
        <v>45729.27089120371</v>
      </c>
      <c r="C11773" s="1" t="n">
        <v>46086</v>
      </c>
      <c r="D11773" t="inlineStr">
        <is>
          <t>GÄVLEBORGS LÄN</t>
        </is>
      </c>
      <c r="E11773" t="inlineStr">
        <is>
          <t>BOLLNÄS</t>
        </is>
      </c>
      <c r="F11773" t="inlineStr">
        <is>
          <t>Bergvik skog väst AB</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36204-2024</t>
        </is>
      </c>
      <c r="B11774" s="1" t="n">
        <v>45534.43899305556</v>
      </c>
      <c r="C11774" s="1" t="n">
        <v>46086</v>
      </c>
      <c r="D11774" t="inlineStr">
        <is>
          <t>GÄVLEBORGS LÄN</t>
        </is>
      </c>
      <c r="E11774" t="inlineStr">
        <is>
          <t>SÖDERHAMN</t>
        </is>
      </c>
      <c r="F11774" t="inlineStr">
        <is>
          <t>Bergvik skog väst AB</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31613-2023</t>
        </is>
      </c>
      <c r="B11775" s="1" t="n">
        <v>45117</v>
      </c>
      <c r="C11775" s="1" t="n">
        <v>46086</v>
      </c>
      <c r="D11775" t="inlineStr">
        <is>
          <t>GÄVLEBORGS LÄN</t>
        </is>
      </c>
      <c r="E11775" t="inlineStr">
        <is>
          <t>HOFORS</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61474-2024</t>
        </is>
      </c>
      <c r="B11776" s="1" t="n">
        <v>45646.51774305556</v>
      </c>
      <c r="C11776" s="1" t="n">
        <v>46086</v>
      </c>
      <c r="D11776" t="inlineStr">
        <is>
          <t>GÄVLEBORGS LÄN</t>
        </is>
      </c>
      <c r="E11776" t="inlineStr">
        <is>
          <t>LJUSDAL</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15654-2025</t>
        </is>
      </c>
      <c r="B11777" s="1" t="n">
        <v>45748.40988425926</v>
      </c>
      <c r="C11777" s="1" t="n">
        <v>46086</v>
      </c>
      <c r="D11777" t="inlineStr">
        <is>
          <t>GÄVLEBORGS LÄN</t>
        </is>
      </c>
      <c r="E11777" t="inlineStr">
        <is>
          <t>BOLLNÄS</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21039-2024</t>
        </is>
      </c>
      <c r="B11778" s="1" t="n">
        <v>45439</v>
      </c>
      <c r="C11778" s="1" t="n">
        <v>46086</v>
      </c>
      <c r="D11778" t="inlineStr">
        <is>
          <t>GÄVLEBORGS LÄN</t>
        </is>
      </c>
      <c r="E11778" t="inlineStr">
        <is>
          <t>HOFORS</t>
        </is>
      </c>
      <c r="F11778" t="inlineStr">
        <is>
          <t>Sveaskog</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40136-2023</t>
        </is>
      </c>
      <c r="B11779" s="1" t="n">
        <v>45169.34298611111</v>
      </c>
      <c r="C11779" s="1" t="n">
        <v>46086</v>
      </c>
      <c r="D11779" t="inlineStr">
        <is>
          <t>GÄVLEBORGS LÄN</t>
        </is>
      </c>
      <c r="E11779" t="inlineStr">
        <is>
          <t>HUDIKSVALL</t>
        </is>
      </c>
      <c r="F11779" t="inlineStr">
        <is>
          <t>Holmen skog AB</t>
        </is>
      </c>
      <c r="G11779" t="n">
        <v>6.3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2667-2025</t>
        </is>
      </c>
      <c r="B11780" s="1" t="n">
        <v>45677.27587962963</v>
      </c>
      <c r="C11780" s="1" t="n">
        <v>46086</v>
      </c>
      <c r="D11780" t="inlineStr">
        <is>
          <t>GÄVLEBORGS LÄN</t>
        </is>
      </c>
      <c r="E11780" t="inlineStr">
        <is>
          <t>BOLLNÄS</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44736-2024</t>
        </is>
      </c>
      <c r="B11781" s="1" t="n">
        <v>45574.59299768518</v>
      </c>
      <c r="C11781" s="1" t="n">
        <v>46086</v>
      </c>
      <c r="D11781" t="inlineStr">
        <is>
          <t>GÄVLEBORGS LÄN</t>
        </is>
      </c>
      <c r="E11781" t="inlineStr">
        <is>
          <t>HUDIKSVALL</t>
        </is>
      </c>
      <c r="G11781" t="n">
        <v>43.7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31571-2024</t>
        </is>
      </c>
      <c r="B11782" s="1" t="n">
        <v>45506.3241087963</v>
      </c>
      <c r="C11782" s="1" t="n">
        <v>46086</v>
      </c>
      <c r="D11782" t="inlineStr">
        <is>
          <t>GÄVLEBORGS LÄN</t>
        </is>
      </c>
      <c r="E11782" t="inlineStr">
        <is>
          <t>NORDANSTIG</t>
        </is>
      </c>
      <c r="F11782" t="inlineStr">
        <is>
          <t>Holmen skog AB</t>
        </is>
      </c>
      <c r="G11782" t="n">
        <v>5.7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34242-2021</t>
        </is>
      </c>
      <c r="B11783" s="1" t="n">
        <v>44379.5612962963</v>
      </c>
      <c r="C11783" s="1" t="n">
        <v>46086</v>
      </c>
      <c r="D11783" t="inlineStr">
        <is>
          <t>GÄVLEBORGS LÄN</t>
        </is>
      </c>
      <c r="E11783" t="inlineStr">
        <is>
          <t>SANDVIKEN</t>
        </is>
      </c>
      <c r="F11783" t="inlineStr">
        <is>
          <t>Bergvik skog öst AB</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5411-2022</t>
        </is>
      </c>
      <c r="B11784" s="1" t="n">
        <v>44595.38513888889</v>
      </c>
      <c r="C11784" s="1" t="n">
        <v>46086</v>
      </c>
      <c r="D11784" t="inlineStr">
        <is>
          <t>GÄVLEBORGS LÄN</t>
        </is>
      </c>
      <c r="E11784" t="inlineStr">
        <is>
          <t>NORDANSTIG</t>
        </is>
      </c>
      <c r="G11784" t="n">
        <v>3.5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6998-2022</t>
        </is>
      </c>
      <c r="B11785" s="1" t="n">
        <v>44603</v>
      </c>
      <c r="C11785" s="1" t="n">
        <v>46086</v>
      </c>
      <c r="D11785" t="inlineStr">
        <is>
          <t>GÄVLEBORGS LÄN</t>
        </is>
      </c>
      <c r="E11785" t="inlineStr">
        <is>
          <t>SANDVIKEN</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22824-2024</t>
        </is>
      </c>
      <c r="B11786" s="1" t="n">
        <v>45448</v>
      </c>
      <c r="C11786" s="1" t="n">
        <v>46086</v>
      </c>
      <c r="D11786" t="inlineStr">
        <is>
          <t>GÄVLEBORGS LÄN</t>
        </is>
      </c>
      <c r="E11786" t="inlineStr">
        <is>
          <t>OCKELBO</t>
        </is>
      </c>
      <c r="F11786" t="inlineStr">
        <is>
          <t>Bergvik skog väst AB</t>
        </is>
      </c>
      <c r="G11786" t="n">
        <v>0.1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22835-2024</t>
        </is>
      </c>
      <c r="B11787" s="1" t="n">
        <v>45448</v>
      </c>
      <c r="C11787" s="1" t="n">
        <v>46086</v>
      </c>
      <c r="D11787" t="inlineStr">
        <is>
          <t>GÄVLEBORGS LÄN</t>
        </is>
      </c>
      <c r="E11787" t="inlineStr">
        <is>
          <t>BOLLNÄS</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48943-2024</t>
        </is>
      </c>
      <c r="B11788" s="1" t="n">
        <v>45594.42071759259</v>
      </c>
      <c r="C11788" s="1" t="n">
        <v>46086</v>
      </c>
      <c r="D11788" t="inlineStr">
        <is>
          <t>GÄVLEBORGS LÄN</t>
        </is>
      </c>
      <c r="E11788" t="inlineStr">
        <is>
          <t>SÖDERHAMN</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55450-2024</t>
        </is>
      </c>
      <c r="B11789" s="1" t="n">
        <v>45622</v>
      </c>
      <c r="C11789" s="1" t="n">
        <v>46086</v>
      </c>
      <c r="D11789" t="inlineStr">
        <is>
          <t>GÄVLEBORGS LÄN</t>
        </is>
      </c>
      <c r="E11789" t="inlineStr">
        <is>
          <t>NORDANSTIG</t>
        </is>
      </c>
      <c r="F11789" t="inlineStr">
        <is>
          <t>Holmen skog AB</t>
        </is>
      </c>
      <c r="G11789" t="n">
        <v>3.2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25349-2022</t>
        </is>
      </c>
      <c r="B11790" s="1" t="n">
        <v>44732.32744212963</v>
      </c>
      <c r="C11790" s="1" t="n">
        <v>46086</v>
      </c>
      <c r="D11790" t="inlineStr">
        <is>
          <t>GÄVLEBORGS LÄN</t>
        </is>
      </c>
      <c r="E11790" t="inlineStr">
        <is>
          <t>HUDIKSVALL</t>
        </is>
      </c>
      <c r="G11790" t="n">
        <v>5.4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28114-2023</t>
        </is>
      </c>
      <c r="B11791" s="1" t="n">
        <v>45099</v>
      </c>
      <c r="C11791" s="1" t="n">
        <v>46086</v>
      </c>
      <c r="D11791" t="inlineStr">
        <is>
          <t>GÄVLEBORGS LÄN</t>
        </is>
      </c>
      <c r="E11791" t="inlineStr">
        <is>
          <t>LJUSDAL</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55498-2024</t>
        </is>
      </c>
      <c r="B11792" s="1" t="n">
        <v>45622</v>
      </c>
      <c r="C11792" s="1" t="n">
        <v>46086</v>
      </c>
      <c r="D11792" t="inlineStr">
        <is>
          <t>GÄVLEBORGS LÄN</t>
        </is>
      </c>
      <c r="E11792" t="inlineStr">
        <is>
          <t>NORDANSTIG</t>
        </is>
      </c>
      <c r="F11792" t="inlineStr">
        <is>
          <t>Holmen skog AB</t>
        </is>
      </c>
      <c r="G11792" t="n">
        <v>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55511-2024</t>
        </is>
      </c>
      <c r="B11793" s="1" t="n">
        <v>45622.46751157408</v>
      </c>
      <c r="C11793" s="1" t="n">
        <v>46086</v>
      </c>
      <c r="D11793" t="inlineStr">
        <is>
          <t>GÄVLEBORGS LÄN</t>
        </is>
      </c>
      <c r="E11793" t="inlineStr">
        <is>
          <t>HUDIKSVALL</t>
        </is>
      </c>
      <c r="F11793" t="inlineStr">
        <is>
          <t>Holmen skog AB</t>
        </is>
      </c>
      <c r="G11793" t="n">
        <v>4.9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18706-2024</t>
        </is>
      </c>
      <c r="B11794" s="1" t="n">
        <v>45426</v>
      </c>
      <c r="C11794" s="1" t="n">
        <v>46086</v>
      </c>
      <c r="D11794" t="inlineStr">
        <is>
          <t>GÄVLEBORGS LÄN</t>
        </is>
      </c>
      <c r="E11794" t="inlineStr">
        <is>
          <t>HUDIKSVALL</t>
        </is>
      </c>
      <c r="F11794" t="inlineStr">
        <is>
          <t>Holmen skog AB</t>
        </is>
      </c>
      <c r="G11794" t="n">
        <v>9.199999999999999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41957-2023</t>
        </is>
      </c>
      <c r="B11795" s="1" t="n">
        <v>45177.35335648148</v>
      </c>
      <c r="C11795" s="1" t="n">
        <v>46086</v>
      </c>
      <c r="D11795" t="inlineStr">
        <is>
          <t>GÄVLEBORGS LÄN</t>
        </is>
      </c>
      <c r="E11795" t="inlineStr">
        <is>
          <t>NORDANSTIG</t>
        </is>
      </c>
      <c r="F11795" t="inlineStr">
        <is>
          <t>Holmen skog AB</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58799-2024</t>
        </is>
      </c>
      <c r="B11796" s="1" t="n">
        <v>45636.32105324074</v>
      </c>
      <c r="C11796" s="1" t="n">
        <v>46086</v>
      </c>
      <c r="D11796" t="inlineStr">
        <is>
          <t>GÄVLEBORGS LÄN</t>
        </is>
      </c>
      <c r="E11796" t="inlineStr">
        <is>
          <t>SÖDERHAMN</t>
        </is>
      </c>
      <c r="G11796" t="n">
        <v>2.6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61536-2022</t>
        </is>
      </c>
      <c r="B11797" s="1" t="n">
        <v>44916</v>
      </c>
      <c r="C11797" s="1" t="n">
        <v>46086</v>
      </c>
      <c r="D11797" t="inlineStr">
        <is>
          <t>GÄVLEBORGS LÄN</t>
        </is>
      </c>
      <c r="E11797" t="inlineStr">
        <is>
          <t>HUDIKSVALL</t>
        </is>
      </c>
      <c r="G11797" t="n">
        <v>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61592-2022</t>
        </is>
      </c>
      <c r="B11798" s="1" t="n">
        <v>44916</v>
      </c>
      <c r="C11798" s="1" t="n">
        <v>46086</v>
      </c>
      <c r="D11798" t="inlineStr">
        <is>
          <t>GÄVLEBORGS LÄN</t>
        </is>
      </c>
      <c r="E11798" t="inlineStr">
        <is>
          <t>BOLLNÄS</t>
        </is>
      </c>
      <c r="G11798" t="n">
        <v>0.5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10069-2025</t>
        </is>
      </c>
      <c r="B11799" s="1" t="n">
        <v>45719.54538194444</v>
      </c>
      <c r="C11799" s="1" t="n">
        <v>46086</v>
      </c>
      <c r="D11799" t="inlineStr">
        <is>
          <t>GÄVLEBORGS LÄN</t>
        </is>
      </c>
      <c r="E11799" t="inlineStr">
        <is>
          <t>NORDANSTIG</t>
        </is>
      </c>
      <c r="F11799" t="inlineStr">
        <is>
          <t>Holmen skog AB</t>
        </is>
      </c>
      <c r="G11799" t="n">
        <v>4.6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60839-2023</t>
        </is>
      </c>
      <c r="B11800" s="1" t="n">
        <v>45260.92565972222</v>
      </c>
      <c r="C11800" s="1" t="n">
        <v>46086</v>
      </c>
      <c r="D11800" t="inlineStr">
        <is>
          <t>GÄVLEBORGS LÄN</t>
        </is>
      </c>
      <c r="E11800" t="inlineStr">
        <is>
          <t>NORDANSTIG</t>
        </is>
      </c>
      <c r="G11800" t="n">
        <v>3.7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19884-2025</t>
        </is>
      </c>
      <c r="B11801" s="1" t="n">
        <v>45771.56451388889</v>
      </c>
      <c r="C11801" s="1" t="n">
        <v>46086</v>
      </c>
      <c r="D11801" t="inlineStr">
        <is>
          <t>GÄVLEBORGS LÄN</t>
        </is>
      </c>
      <c r="E11801" t="inlineStr">
        <is>
          <t>OVANÅKER</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19886-2025</t>
        </is>
      </c>
      <c r="B11802" s="1" t="n">
        <v>45771.5715162037</v>
      </c>
      <c r="C11802" s="1" t="n">
        <v>46086</v>
      </c>
      <c r="D11802" t="inlineStr">
        <is>
          <t>GÄVLEBORGS LÄN</t>
        </is>
      </c>
      <c r="E11802" t="inlineStr">
        <is>
          <t>HUDIKSVALL</t>
        </is>
      </c>
      <c r="G11802" t="n">
        <v>4.3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19887-2025</t>
        </is>
      </c>
      <c r="B11803" s="1" t="n">
        <v>45771.57215277778</v>
      </c>
      <c r="C11803" s="1" t="n">
        <v>46086</v>
      </c>
      <c r="D11803" t="inlineStr">
        <is>
          <t>GÄVLEBORGS LÄN</t>
        </is>
      </c>
      <c r="E11803" t="inlineStr">
        <is>
          <t>HUDIKSVALL</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19269-2025</t>
        </is>
      </c>
      <c r="B11804" s="1" t="n">
        <v>45769.51464120371</v>
      </c>
      <c r="C11804" s="1" t="n">
        <v>46086</v>
      </c>
      <c r="D11804" t="inlineStr">
        <is>
          <t>GÄVLEBORGS LÄN</t>
        </is>
      </c>
      <c r="E11804" t="inlineStr">
        <is>
          <t>SANDVIKEN</t>
        </is>
      </c>
      <c r="G11804" t="n">
        <v>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19303-2025</t>
        </is>
      </c>
      <c r="B11805" s="1" t="n">
        <v>45769.56547453703</v>
      </c>
      <c r="C11805" s="1" t="n">
        <v>46086</v>
      </c>
      <c r="D11805" t="inlineStr">
        <is>
          <t>GÄVLEBORGS LÄN</t>
        </is>
      </c>
      <c r="E11805" t="inlineStr">
        <is>
          <t>OVANÅKER</t>
        </is>
      </c>
      <c r="G11805" t="n">
        <v>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7129-2025</t>
        </is>
      </c>
      <c r="B11806" s="1" t="n">
        <v>45702</v>
      </c>
      <c r="C11806" s="1" t="n">
        <v>46086</v>
      </c>
      <c r="D11806" t="inlineStr">
        <is>
          <t>GÄVLEBORGS LÄN</t>
        </is>
      </c>
      <c r="E11806" t="inlineStr">
        <is>
          <t>BOLLNÄS</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67088-2021</t>
        </is>
      </c>
      <c r="B11807" s="1" t="n">
        <v>44522</v>
      </c>
      <c r="C11807" s="1" t="n">
        <v>46086</v>
      </c>
      <c r="D11807" t="inlineStr">
        <is>
          <t>GÄVLEBORGS LÄN</t>
        </is>
      </c>
      <c r="E11807" t="inlineStr">
        <is>
          <t>HUDIKSVALL</t>
        </is>
      </c>
      <c r="G11807" t="n">
        <v>2.3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18313-2025</t>
        </is>
      </c>
      <c r="B11808" s="1" t="n">
        <v>45762.44820601852</v>
      </c>
      <c r="C11808" s="1" t="n">
        <v>46086</v>
      </c>
      <c r="D11808" t="inlineStr">
        <is>
          <t>GÄVLEBORGS LÄN</t>
        </is>
      </c>
      <c r="E11808" t="inlineStr">
        <is>
          <t>HUDIKSVALL</t>
        </is>
      </c>
      <c r="G11808" t="n">
        <v>2.8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39249-2024</t>
        </is>
      </c>
      <c r="B11809" s="1" t="n">
        <v>45551.31310185185</v>
      </c>
      <c r="C11809" s="1" t="n">
        <v>46086</v>
      </c>
      <c r="D11809" t="inlineStr">
        <is>
          <t>GÄVLEBORGS LÄN</t>
        </is>
      </c>
      <c r="E11809" t="inlineStr">
        <is>
          <t>OVANÅKER</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4559-2025</t>
        </is>
      </c>
      <c r="B11810" s="1" t="n">
        <v>45687.45087962963</v>
      </c>
      <c r="C11810" s="1" t="n">
        <v>46086</v>
      </c>
      <c r="D11810" t="inlineStr">
        <is>
          <t>GÄVLEBORGS LÄN</t>
        </is>
      </c>
      <c r="E11810" t="inlineStr">
        <is>
          <t>NORDANSTIG</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55570-2024</t>
        </is>
      </c>
      <c r="B11811" s="1" t="n">
        <v>45622.5512037037</v>
      </c>
      <c r="C11811" s="1" t="n">
        <v>46086</v>
      </c>
      <c r="D11811" t="inlineStr">
        <is>
          <t>GÄVLEBORGS LÄN</t>
        </is>
      </c>
      <c r="E11811" t="inlineStr">
        <is>
          <t>BOLLNÄS</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1143-2025</t>
        </is>
      </c>
      <c r="B11812" s="1" t="n">
        <v>45666.7081712963</v>
      </c>
      <c r="C11812" s="1" t="n">
        <v>46086</v>
      </c>
      <c r="D11812" t="inlineStr">
        <is>
          <t>GÄVLEBORGS LÄN</t>
        </is>
      </c>
      <c r="E11812" t="inlineStr">
        <is>
          <t>OCKELBO</t>
        </is>
      </c>
      <c r="G11812" t="n">
        <v>3.5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11579-2025</t>
        </is>
      </c>
      <c r="B11813" s="1" t="n">
        <v>45727.3865162037</v>
      </c>
      <c r="C11813" s="1" t="n">
        <v>46086</v>
      </c>
      <c r="D11813" t="inlineStr">
        <is>
          <t>GÄVLEBORGS LÄN</t>
        </is>
      </c>
      <c r="E11813" t="inlineStr">
        <is>
          <t>BOLLNÄS</t>
        </is>
      </c>
      <c r="F11813" t="inlineStr">
        <is>
          <t>Kyrkan</t>
        </is>
      </c>
      <c r="G11813" t="n">
        <v>5.7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62983-2023</t>
        </is>
      </c>
      <c r="B11814" s="1" t="n">
        <v>45272</v>
      </c>
      <c r="C11814" s="1" t="n">
        <v>46086</v>
      </c>
      <c r="D11814" t="inlineStr">
        <is>
          <t>GÄVLEBORGS LÄN</t>
        </is>
      </c>
      <c r="E11814" t="inlineStr">
        <is>
          <t>GÄVLE</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14402-2025</t>
        </is>
      </c>
      <c r="B11815" s="1" t="n">
        <v>45741.4575</v>
      </c>
      <c r="C11815" s="1" t="n">
        <v>46086</v>
      </c>
      <c r="D11815" t="inlineStr">
        <is>
          <t>GÄVLEBORGS LÄN</t>
        </is>
      </c>
      <c r="E11815" t="inlineStr">
        <is>
          <t>NORDANSTIG</t>
        </is>
      </c>
      <c r="G11815" t="n">
        <v>17.1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13465-2025</t>
        </is>
      </c>
      <c r="B11816" s="1" t="n">
        <v>45736.39627314815</v>
      </c>
      <c r="C11816" s="1" t="n">
        <v>46086</v>
      </c>
      <c r="D11816" t="inlineStr">
        <is>
          <t>GÄVLEBORGS LÄN</t>
        </is>
      </c>
      <c r="E11816" t="inlineStr">
        <is>
          <t>BOLLNÄS</t>
        </is>
      </c>
      <c r="G11816" t="n">
        <v>0.3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16925-2021</t>
        </is>
      </c>
      <c r="B11817" s="1" t="n">
        <v>44295</v>
      </c>
      <c r="C11817" s="1" t="n">
        <v>46086</v>
      </c>
      <c r="D11817" t="inlineStr">
        <is>
          <t>GÄVLEBORGS LÄN</t>
        </is>
      </c>
      <c r="E11817" t="inlineStr">
        <is>
          <t>LJUSDAL</t>
        </is>
      </c>
      <c r="F11817" t="inlineStr">
        <is>
          <t>Bergvik skog väst AB</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11967-2025</t>
        </is>
      </c>
      <c r="B11818" s="1" t="n">
        <v>45728</v>
      </c>
      <c r="C11818" s="1" t="n">
        <v>46086</v>
      </c>
      <c r="D11818" t="inlineStr">
        <is>
          <t>GÄVLEBORGS LÄN</t>
        </is>
      </c>
      <c r="E11818" t="inlineStr">
        <is>
          <t>SANDVIKEN</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13470-2025</t>
        </is>
      </c>
      <c r="B11819" s="1" t="n">
        <v>45736.40509259259</v>
      </c>
      <c r="C11819" s="1" t="n">
        <v>46086</v>
      </c>
      <c r="D11819" t="inlineStr">
        <is>
          <t>GÄVLEBORGS LÄN</t>
        </is>
      </c>
      <c r="E11819" t="inlineStr">
        <is>
          <t>NORDANSTIG</t>
        </is>
      </c>
      <c r="F11819" t="inlineStr">
        <is>
          <t>Holmen skog AB</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13227-2024</t>
        </is>
      </c>
      <c r="B11820" s="1" t="n">
        <v>45386</v>
      </c>
      <c r="C11820" s="1" t="n">
        <v>46086</v>
      </c>
      <c r="D11820" t="inlineStr">
        <is>
          <t>GÄVLEBORGS LÄN</t>
        </is>
      </c>
      <c r="E11820" t="inlineStr">
        <is>
          <t>GÄVLE</t>
        </is>
      </c>
      <c r="F11820" t="inlineStr">
        <is>
          <t>Övriga statliga verk och myndigheter</t>
        </is>
      </c>
      <c r="G11820" t="n">
        <v>5.9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52626-2022</t>
        </is>
      </c>
      <c r="B11821" s="1" t="n">
        <v>44874</v>
      </c>
      <c r="C11821" s="1" t="n">
        <v>46086</v>
      </c>
      <c r="D11821" t="inlineStr">
        <is>
          <t>GÄVLEBORGS LÄN</t>
        </is>
      </c>
      <c r="E11821" t="inlineStr">
        <is>
          <t>LJUSDAL</t>
        </is>
      </c>
      <c r="F11821" t="inlineStr">
        <is>
          <t>Kyrkan</t>
        </is>
      </c>
      <c r="G11821" t="n">
        <v>3.4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33928-2023</t>
        </is>
      </c>
      <c r="B11822" s="1" t="n">
        <v>45134</v>
      </c>
      <c r="C11822" s="1" t="n">
        <v>46086</v>
      </c>
      <c r="D11822" t="inlineStr">
        <is>
          <t>GÄVLEBORGS LÄN</t>
        </is>
      </c>
      <c r="E11822" t="inlineStr">
        <is>
          <t>SÖDERHAMN</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26073-2024</t>
        </is>
      </c>
      <c r="B11823" s="1" t="n">
        <v>45468.3650462963</v>
      </c>
      <c r="C11823" s="1" t="n">
        <v>46086</v>
      </c>
      <c r="D11823" t="inlineStr">
        <is>
          <t>GÄVLEBORGS LÄN</t>
        </is>
      </c>
      <c r="E11823" t="inlineStr">
        <is>
          <t>LJUSDAL</t>
        </is>
      </c>
      <c r="G11823" t="n">
        <v>5.9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26078-2024</t>
        </is>
      </c>
      <c r="B11824" s="1" t="n">
        <v>45468.37726851852</v>
      </c>
      <c r="C11824" s="1" t="n">
        <v>46086</v>
      </c>
      <c r="D11824" t="inlineStr">
        <is>
          <t>GÄVLEBORGS LÄN</t>
        </is>
      </c>
      <c r="E11824" t="inlineStr">
        <is>
          <t>LJUSDAL</t>
        </is>
      </c>
      <c r="G11824" t="n">
        <v>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21805-2024</t>
        </is>
      </c>
      <c r="B11825" s="1" t="n">
        <v>45442</v>
      </c>
      <c r="C11825" s="1" t="n">
        <v>46086</v>
      </c>
      <c r="D11825" t="inlineStr">
        <is>
          <t>GÄVLEBORGS LÄN</t>
        </is>
      </c>
      <c r="E11825" t="inlineStr">
        <is>
          <t>HUDIKSVALL</t>
        </is>
      </c>
      <c r="G11825" t="n">
        <v>2.8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48832-2022</t>
        </is>
      </c>
      <c r="B11826" s="1" t="n">
        <v>44859.65696759259</v>
      </c>
      <c r="C11826" s="1" t="n">
        <v>46086</v>
      </c>
      <c r="D11826" t="inlineStr">
        <is>
          <t>GÄVLEBORGS LÄN</t>
        </is>
      </c>
      <c r="E11826" t="inlineStr">
        <is>
          <t>NORDANSTIG</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33901-2024</t>
        </is>
      </c>
      <c r="B11827" s="1" t="n">
        <v>45523</v>
      </c>
      <c r="C11827" s="1" t="n">
        <v>46086</v>
      </c>
      <c r="D11827" t="inlineStr">
        <is>
          <t>GÄVLEBORGS LÄN</t>
        </is>
      </c>
      <c r="E11827" t="inlineStr">
        <is>
          <t>GÄVLE</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18854-2025</t>
        </is>
      </c>
      <c r="B11828" s="1" t="n">
        <v>45764.42233796296</v>
      </c>
      <c r="C11828" s="1" t="n">
        <v>46086</v>
      </c>
      <c r="D11828" t="inlineStr">
        <is>
          <t>GÄVLEBORGS LÄN</t>
        </is>
      </c>
      <c r="E11828" t="inlineStr">
        <is>
          <t>LJUSDAL</t>
        </is>
      </c>
      <c r="F11828" t="inlineStr">
        <is>
          <t>Sveaskog</t>
        </is>
      </c>
      <c r="G11828" t="n">
        <v>6.5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18909-2025</t>
        </is>
      </c>
      <c r="B11829" s="1" t="n">
        <v>45764.46388888889</v>
      </c>
      <c r="C11829" s="1" t="n">
        <v>46086</v>
      </c>
      <c r="D11829" t="inlineStr">
        <is>
          <t>GÄVLEBORGS LÄN</t>
        </is>
      </c>
      <c r="E11829" t="inlineStr">
        <is>
          <t>SÖDERHAMN</t>
        </is>
      </c>
      <c r="F11829" t="inlineStr">
        <is>
          <t>Kommuner</t>
        </is>
      </c>
      <c r="G11829" t="n">
        <v>4.1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61750-2023</t>
        </is>
      </c>
      <c r="B11830" s="1" t="n">
        <v>45265.79518518518</v>
      </c>
      <c r="C11830" s="1" t="n">
        <v>46086</v>
      </c>
      <c r="D11830" t="inlineStr">
        <is>
          <t>GÄVLEBORGS LÄN</t>
        </is>
      </c>
      <c r="E11830" t="inlineStr">
        <is>
          <t>OCKELBO</t>
        </is>
      </c>
      <c r="G11830" t="n">
        <v>11.2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16919-2025</t>
        </is>
      </c>
      <c r="B11831" s="1" t="n">
        <v>45755.37341435185</v>
      </c>
      <c r="C11831" s="1" t="n">
        <v>46086</v>
      </c>
      <c r="D11831" t="inlineStr">
        <is>
          <t>GÄVLEBORGS LÄN</t>
        </is>
      </c>
      <c r="E11831" t="inlineStr">
        <is>
          <t>BOLLNÄS</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16962-2025</t>
        </is>
      </c>
      <c r="B11832" s="1" t="n">
        <v>45755</v>
      </c>
      <c r="C11832" s="1" t="n">
        <v>46086</v>
      </c>
      <c r="D11832" t="inlineStr">
        <is>
          <t>GÄVLEBORGS LÄN</t>
        </is>
      </c>
      <c r="E11832" t="inlineStr">
        <is>
          <t>LJUSDAL</t>
        </is>
      </c>
      <c r="F11832" t="inlineStr">
        <is>
          <t>Bergvik skog väst AB</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19185-2025</t>
        </is>
      </c>
      <c r="B11833" s="1" t="n">
        <v>45769.40646990741</v>
      </c>
      <c r="C11833" s="1" t="n">
        <v>46086</v>
      </c>
      <c r="D11833" t="inlineStr">
        <is>
          <t>GÄVLEBORGS LÄN</t>
        </is>
      </c>
      <c r="E11833" t="inlineStr">
        <is>
          <t>NORDANSTIG</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19839-2025</t>
        </is>
      </c>
      <c r="B11834" s="1" t="n">
        <v>45771.47800925926</v>
      </c>
      <c r="C11834" s="1" t="n">
        <v>46086</v>
      </c>
      <c r="D11834" t="inlineStr">
        <is>
          <t>GÄVLEBORGS LÄN</t>
        </is>
      </c>
      <c r="E11834" t="inlineStr">
        <is>
          <t>NORDANSTIG</t>
        </is>
      </c>
      <c r="F11834" t="inlineStr">
        <is>
          <t>Holmen skog AB</t>
        </is>
      </c>
      <c r="G11834" t="n">
        <v>3.5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19894-2025</t>
        </is>
      </c>
      <c r="B11835" s="1" t="n">
        <v>45771.57770833333</v>
      </c>
      <c r="C11835" s="1" t="n">
        <v>46086</v>
      </c>
      <c r="D11835" t="inlineStr">
        <is>
          <t>GÄVLEBORGS LÄN</t>
        </is>
      </c>
      <c r="E11835" t="inlineStr">
        <is>
          <t>HUDIKSVALL</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33985-2023</t>
        </is>
      </c>
      <c r="B11836" s="1" t="n">
        <v>45134.82828703704</v>
      </c>
      <c r="C11836" s="1" t="n">
        <v>46086</v>
      </c>
      <c r="D11836" t="inlineStr">
        <is>
          <t>GÄVLEBORGS LÄN</t>
        </is>
      </c>
      <c r="E11836" t="inlineStr">
        <is>
          <t>OCKELBO</t>
        </is>
      </c>
      <c r="F11836" t="inlineStr">
        <is>
          <t>Bergvik skog väst AB</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38332-2024</t>
        </is>
      </c>
      <c r="B11837" s="1" t="n">
        <v>45545.68222222223</v>
      </c>
      <c r="C11837" s="1" t="n">
        <v>46086</v>
      </c>
      <c r="D11837" t="inlineStr">
        <is>
          <t>GÄVLEBORGS LÄN</t>
        </is>
      </c>
      <c r="E11837" t="inlineStr">
        <is>
          <t>NORDANSTIG</t>
        </is>
      </c>
      <c r="G11837" t="n">
        <v>11.5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30928-2023</t>
        </is>
      </c>
      <c r="B11838" s="1" t="n">
        <v>45113.44694444445</v>
      </c>
      <c r="C11838" s="1" t="n">
        <v>46086</v>
      </c>
      <c r="D11838" t="inlineStr">
        <is>
          <t>GÄVLEBORGS LÄN</t>
        </is>
      </c>
      <c r="E11838" t="inlineStr">
        <is>
          <t>SÖDERHAMN</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51880-2024</t>
        </is>
      </c>
      <c r="B11839" s="1" t="n">
        <v>45607.5674537037</v>
      </c>
      <c r="C11839" s="1" t="n">
        <v>46086</v>
      </c>
      <c r="D11839" t="inlineStr">
        <is>
          <t>GÄVLEBORGS LÄN</t>
        </is>
      </c>
      <c r="E11839" t="inlineStr">
        <is>
          <t>LJUSDAL</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8913-2025</t>
        </is>
      </c>
      <c r="B11840" s="1" t="n">
        <v>45713.42717592593</v>
      </c>
      <c r="C11840" s="1" t="n">
        <v>46086</v>
      </c>
      <c r="D11840" t="inlineStr">
        <is>
          <t>GÄVLEBORGS LÄN</t>
        </is>
      </c>
      <c r="E11840" t="inlineStr">
        <is>
          <t>OCKELBO</t>
        </is>
      </c>
      <c r="F11840" t="inlineStr">
        <is>
          <t>Bergvik skog öst AB</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30906-2024</t>
        </is>
      </c>
      <c r="B11841" s="1" t="n">
        <v>45498.55421296296</v>
      </c>
      <c r="C11841" s="1" t="n">
        <v>46086</v>
      </c>
      <c r="D11841" t="inlineStr">
        <is>
          <t>GÄVLEBORGS LÄN</t>
        </is>
      </c>
      <c r="E11841" t="inlineStr">
        <is>
          <t>OVANÅKER</t>
        </is>
      </c>
      <c r="F11841" t="inlineStr">
        <is>
          <t>Bergvik skog öst AB</t>
        </is>
      </c>
      <c r="G11841" t="n">
        <v>5.3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15671-2024</t>
        </is>
      </c>
      <c r="B11842" s="1" t="n">
        <v>45404</v>
      </c>
      <c r="C11842" s="1" t="n">
        <v>46086</v>
      </c>
      <c r="D11842" t="inlineStr">
        <is>
          <t>GÄVLEBORGS LÄN</t>
        </is>
      </c>
      <c r="E11842" t="inlineStr">
        <is>
          <t>SANDVIKEN</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13670-2024</t>
        </is>
      </c>
      <c r="B11843" s="1" t="n">
        <v>45390.52055555556</v>
      </c>
      <c r="C11843" s="1" t="n">
        <v>46086</v>
      </c>
      <c r="D11843" t="inlineStr">
        <is>
          <t>GÄVLEBORGS LÄN</t>
        </is>
      </c>
      <c r="E11843" t="inlineStr">
        <is>
          <t>HUDIKSVALL</t>
        </is>
      </c>
      <c r="F11843" t="inlineStr">
        <is>
          <t>Holmen skog AB</t>
        </is>
      </c>
      <c r="G11843" t="n">
        <v>3.3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40554-2022</t>
        </is>
      </c>
      <c r="B11844" s="1" t="n">
        <v>44823.66243055555</v>
      </c>
      <c r="C11844" s="1" t="n">
        <v>46086</v>
      </c>
      <c r="D11844" t="inlineStr">
        <is>
          <t>GÄVLEBORGS LÄN</t>
        </is>
      </c>
      <c r="E11844" t="inlineStr">
        <is>
          <t>LJUSDAL</t>
        </is>
      </c>
      <c r="F11844" t="inlineStr">
        <is>
          <t>Bergvik skog väst AB</t>
        </is>
      </c>
      <c r="G11844" t="n">
        <v>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62089-2021</t>
        </is>
      </c>
      <c r="B11845" s="1" t="n">
        <v>44502.61646990741</v>
      </c>
      <c r="C11845" s="1" t="n">
        <v>46086</v>
      </c>
      <c r="D11845" t="inlineStr">
        <is>
          <t>GÄVLEBORGS LÄN</t>
        </is>
      </c>
      <c r="E11845" t="inlineStr">
        <is>
          <t>NORDANSTIG</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14986-2025</t>
        </is>
      </c>
      <c r="B11846" s="1" t="n">
        <v>45743.60083333333</v>
      </c>
      <c r="C11846" s="1" t="n">
        <v>46086</v>
      </c>
      <c r="D11846" t="inlineStr">
        <is>
          <t>GÄVLEBORGS LÄN</t>
        </is>
      </c>
      <c r="E11846" t="inlineStr">
        <is>
          <t>BOLLNÄS</t>
        </is>
      </c>
      <c r="F11846" t="inlineStr">
        <is>
          <t>Bergvik skog väst AB</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35964-2024</t>
        </is>
      </c>
      <c r="B11847" s="1" t="n">
        <v>45533.48047453703</v>
      </c>
      <c r="C11847" s="1" t="n">
        <v>46086</v>
      </c>
      <c r="D11847" t="inlineStr">
        <is>
          <t>GÄVLEBORGS LÄN</t>
        </is>
      </c>
      <c r="E11847" t="inlineStr">
        <is>
          <t>HUDIKSVALL</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35985-2024</t>
        </is>
      </c>
      <c r="B11848" s="1" t="n">
        <v>45533.51108796296</v>
      </c>
      <c r="C11848" s="1" t="n">
        <v>46086</v>
      </c>
      <c r="D11848" t="inlineStr">
        <is>
          <t>GÄVLEBORGS LÄN</t>
        </is>
      </c>
      <c r="E11848" t="inlineStr">
        <is>
          <t>HUDIKSVALL</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35989-2024</t>
        </is>
      </c>
      <c r="B11849" s="1" t="n">
        <v>45533.52966435185</v>
      </c>
      <c r="C11849" s="1" t="n">
        <v>46086</v>
      </c>
      <c r="D11849" t="inlineStr">
        <is>
          <t>GÄVLEBORGS LÄN</t>
        </is>
      </c>
      <c r="E11849" t="inlineStr">
        <is>
          <t>GÄVLE</t>
        </is>
      </c>
      <c r="F11849" t="inlineStr">
        <is>
          <t>Bergvik skog väst AB</t>
        </is>
      </c>
      <c r="G11849" t="n">
        <v>3.1</v>
      </c>
      <c r="H11849" t="n">
        <v>0</v>
      </c>
      <c r="I11849" t="n">
        <v>0</v>
      </c>
      <c r="J11849" t="n">
        <v>0</v>
      </c>
      <c r="K11849" t="n">
        <v>0</v>
      </c>
      <c r="L11849" t="n">
        <v>0</v>
      </c>
      <c r="M11849" t="n">
        <v>0</v>
      </c>
      <c r="N11849" t="n">
        <v>0</v>
      </c>
      <c r="O11849" t="n">
        <v>0</v>
      </c>
      <c r="P11849" t="n">
        <v>0</v>
      </c>
      <c r="Q11849" t="n">
        <v>0</v>
      </c>
      <c r="R11849" s="2" t="inlineStr"/>
      <c r="U11849">
        <f>HYPERLINK("https://klasma.github.io/Logging_2180/knärot/A 35989-2024 karta knärot.png", "A 35989-2024")</f>
        <v/>
      </c>
      <c r="V11849">
        <f>HYPERLINK("https://klasma.github.io/Logging_2180/klagomål/A 35989-2024 FSC-klagomål.docx", "A 35989-2024")</f>
        <v/>
      </c>
      <c r="W11849">
        <f>HYPERLINK("https://klasma.github.io/Logging_2180/klagomålsmail/A 35989-2024 FSC-klagomål mail.docx", "A 35989-2024")</f>
        <v/>
      </c>
      <c r="X11849">
        <f>HYPERLINK("https://klasma.github.io/Logging_2180/tillsyn/A 35989-2024 tillsynsbegäran.docx", "A 35989-2024")</f>
        <v/>
      </c>
      <c r="Y11849">
        <f>HYPERLINK("https://klasma.github.io/Logging_2180/tillsynsmail/A 35989-2024 tillsynsbegäran mail.docx", "A 35989-2024")</f>
        <v/>
      </c>
    </row>
    <row r="11850" ht="15" customHeight="1">
      <c r="A11850" t="inlineStr">
        <is>
          <t>A 48435-2024</t>
        </is>
      </c>
      <c r="B11850" s="1" t="n">
        <v>45590.66225694444</v>
      </c>
      <c r="C11850" s="1" t="n">
        <v>46086</v>
      </c>
      <c r="D11850" t="inlineStr">
        <is>
          <t>GÄVLEBORGS LÄN</t>
        </is>
      </c>
      <c r="E11850" t="inlineStr">
        <is>
          <t>SANDVIKEN</t>
        </is>
      </c>
      <c r="G11850" t="n">
        <v>6.7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32827-2023</t>
        </is>
      </c>
      <c r="B11851" s="1" t="n">
        <v>45124.57927083333</v>
      </c>
      <c r="C11851" s="1" t="n">
        <v>46086</v>
      </c>
      <c r="D11851" t="inlineStr">
        <is>
          <t>GÄVLEBORGS LÄN</t>
        </is>
      </c>
      <c r="E11851" t="inlineStr">
        <is>
          <t>NORDANSTIG</t>
        </is>
      </c>
      <c r="G11851" t="n">
        <v>1.7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970-2025</t>
        </is>
      </c>
      <c r="B11852" s="1" t="n">
        <v>45666.39425925926</v>
      </c>
      <c r="C11852" s="1" t="n">
        <v>46086</v>
      </c>
      <c r="D11852" t="inlineStr">
        <is>
          <t>GÄVLEBORGS LÄN</t>
        </is>
      </c>
      <c r="E11852" t="inlineStr">
        <is>
          <t>SANDVIKEN</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33535-2022</t>
        </is>
      </c>
      <c r="B11853" s="1" t="n">
        <v>44789.34496527778</v>
      </c>
      <c r="C11853" s="1" t="n">
        <v>46086</v>
      </c>
      <c r="D11853" t="inlineStr">
        <is>
          <t>GÄVLEBORGS LÄN</t>
        </is>
      </c>
      <c r="E11853" t="inlineStr">
        <is>
          <t>NORDANSTIG</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33559-2022</t>
        </is>
      </c>
      <c r="B11854" s="1" t="n">
        <v>44789</v>
      </c>
      <c r="C11854" s="1" t="n">
        <v>46086</v>
      </c>
      <c r="D11854" t="inlineStr">
        <is>
          <t>GÄVLEBORGS LÄN</t>
        </is>
      </c>
      <c r="E11854" t="inlineStr">
        <is>
          <t>NORDANSTIG</t>
        </is>
      </c>
      <c r="G11854" t="n">
        <v>3.3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30078-2024</t>
        </is>
      </c>
      <c r="B11855" s="1" t="n">
        <v>45489</v>
      </c>
      <c r="C11855" s="1" t="n">
        <v>46086</v>
      </c>
      <c r="D11855" t="inlineStr">
        <is>
          <t>GÄVLEBORGS LÄN</t>
        </is>
      </c>
      <c r="E11855" t="inlineStr">
        <is>
          <t>NORDANSTIG</t>
        </is>
      </c>
      <c r="F11855" t="inlineStr">
        <is>
          <t>Holmen skog AB</t>
        </is>
      </c>
      <c r="G11855" t="n">
        <v>4.7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853-2024</t>
        </is>
      </c>
      <c r="B11856" s="1" t="n">
        <v>45300</v>
      </c>
      <c r="C11856" s="1" t="n">
        <v>46086</v>
      </c>
      <c r="D11856" t="inlineStr">
        <is>
          <t>GÄVLEBORGS LÄN</t>
        </is>
      </c>
      <c r="E11856" t="inlineStr">
        <is>
          <t>NORDANSTIG</t>
        </is>
      </c>
      <c r="G11856" t="n">
        <v>8.1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884-2024</t>
        </is>
      </c>
      <c r="B11857" s="1" t="n">
        <v>45301.39141203704</v>
      </c>
      <c r="C11857" s="1" t="n">
        <v>46086</v>
      </c>
      <c r="D11857" t="inlineStr">
        <is>
          <t>GÄVLEBORGS LÄN</t>
        </is>
      </c>
      <c r="E11857" t="inlineStr">
        <is>
          <t>NORDANSTIG</t>
        </is>
      </c>
      <c r="G11857" t="n">
        <v>3.1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30116-2024</t>
        </is>
      </c>
      <c r="B11858" s="1" t="n">
        <v>45489</v>
      </c>
      <c r="C11858" s="1" t="n">
        <v>46086</v>
      </c>
      <c r="D11858" t="inlineStr">
        <is>
          <t>GÄVLEBORGS LÄN</t>
        </is>
      </c>
      <c r="E11858" t="inlineStr">
        <is>
          <t>HUDIKSVALL</t>
        </is>
      </c>
      <c r="F11858" t="inlineStr">
        <is>
          <t>Holmen skog AB</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59571-2022</t>
        </is>
      </c>
      <c r="B11859" s="1" t="n">
        <v>44907.6153125</v>
      </c>
      <c r="C11859" s="1" t="n">
        <v>46086</v>
      </c>
      <c r="D11859" t="inlineStr">
        <is>
          <t>GÄVLEBORGS LÄN</t>
        </is>
      </c>
      <c r="E11859" t="inlineStr">
        <is>
          <t>HUDIKSVALL</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59043-2024</t>
        </is>
      </c>
      <c r="B11860" s="1" t="n">
        <v>45636</v>
      </c>
      <c r="C11860" s="1" t="n">
        <v>46086</v>
      </c>
      <c r="D11860" t="inlineStr">
        <is>
          <t>GÄVLEBORGS LÄN</t>
        </is>
      </c>
      <c r="E11860" t="inlineStr">
        <is>
          <t>NORDANSTIG</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59586-2024</t>
        </is>
      </c>
      <c r="B11861" s="1" t="n">
        <v>45638.68046296296</v>
      </c>
      <c r="C11861" s="1" t="n">
        <v>46086</v>
      </c>
      <c r="D11861" t="inlineStr">
        <is>
          <t>GÄVLEBORGS LÄN</t>
        </is>
      </c>
      <c r="E11861" t="inlineStr">
        <is>
          <t>SÖDERHAMN</t>
        </is>
      </c>
      <c r="G11861" t="n">
        <v>6.3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59637-2024</t>
        </is>
      </c>
      <c r="B11862" s="1" t="n">
        <v>45639.27597222223</v>
      </c>
      <c r="C11862" s="1" t="n">
        <v>46086</v>
      </c>
      <c r="D11862" t="inlineStr">
        <is>
          <t>GÄVLEBORGS LÄN</t>
        </is>
      </c>
      <c r="E11862" t="inlineStr">
        <is>
          <t>BOLLNÄS</t>
        </is>
      </c>
      <c r="G11862" t="n">
        <v>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8153-2022</t>
        </is>
      </c>
      <c r="B11863" s="1" t="n">
        <v>44609.62958333334</v>
      </c>
      <c r="C11863" s="1" t="n">
        <v>46086</v>
      </c>
      <c r="D11863" t="inlineStr">
        <is>
          <t>GÄVLEBORGS LÄN</t>
        </is>
      </c>
      <c r="E11863" t="inlineStr">
        <is>
          <t>LJUSDAL</t>
        </is>
      </c>
      <c r="F11863" t="inlineStr">
        <is>
          <t>Holmen skog AB</t>
        </is>
      </c>
      <c r="G11863" t="n">
        <v>3.8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32151-2023</t>
        </is>
      </c>
      <c r="B11864" s="1" t="n">
        <v>45119.70157407408</v>
      </c>
      <c r="C11864" s="1" t="n">
        <v>46086</v>
      </c>
      <c r="D11864" t="inlineStr">
        <is>
          <t>GÄVLEBORGS LÄN</t>
        </is>
      </c>
      <c r="E11864" t="inlineStr">
        <is>
          <t>LJUSDAL</t>
        </is>
      </c>
      <c r="F11864" t="inlineStr">
        <is>
          <t>Bergvik skog väst AB</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60449-2022</t>
        </is>
      </c>
      <c r="B11865" s="1" t="n">
        <v>44911.37099537037</v>
      </c>
      <c r="C11865" s="1" t="n">
        <v>46086</v>
      </c>
      <c r="D11865" t="inlineStr">
        <is>
          <t>GÄVLEBORGS LÄN</t>
        </is>
      </c>
      <c r="E11865" t="inlineStr">
        <is>
          <t>OVANÅKER</t>
        </is>
      </c>
      <c r="F11865" t="inlineStr">
        <is>
          <t>Sveaskog</t>
        </is>
      </c>
      <c r="G11865" t="n">
        <v>2.7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45639-2023</t>
        </is>
      </c>
      <c r="B11866" s="1" t="n">
        <v>45194.68771990741</v>
      </c>
      <c r="C11866" s="1" t="n">
        <v>46086</v>
      </c>
      <c r="D11866" t="inlineStr">
        <is>
          <t>GÄVLEBORGS LÄN</t>
        </is>
      </c>
      <c r="E11866" t="inlineStr">
        <is>
          <t>BOLLNÄS</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2131-2025</t>
        </is>
      </c>
      <c r="B11867" s="1" t="n">
        <v>45672.65636574074</v>
      </c>
      <c r="C11867" s="1" t="n">
        <v>46086</v>
      </c>
      <c r="D11867" t="inlineStr">
        <is>
          <t>GÄVLEBORGS LÄN</t>
        </is>
      </c>
      <c r="E11867" t="inlineStr">
        <is>
          <t>SANDVIKEN</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2176-2025</t>
        </is>
      </c>
      <c r="B11868" s="1" t="n">
        <v>45673.33479166667</v>
      </c>
      <c r="C11868" s="1" t="n">
        <v>46086</v>
      </c>
      <c r="D11868" t="inlineStr">
        <is>
          <t>GÄVLEBORGS LÄN</t>
        </is>
      </c>
      <c r="E11868" t="inlineStr">
        <is>
          <t>OVANÅKER</t>
        </is>
      </c>
      <c r="G11868" t="n">
        <v>2.7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47291-2024</t>
        </is>
      </c>
      <c r="B11869" s="1" t="n">
        <v>45587.33782407407</v>
      </c>
      <c r="C11869" s="1" t="n">
        <v>46086</v>
      </c>
      <c r="D11869" t="inlineStr">
        <is>
          <t>GÄVLEBORGS LÄN</t>
        </is>
      </c>
      <c r="E11869" t="inlineStr">
        <is>
          <t>LJUSDAL</t>
        </is>
      </c>
      <c r="F11869" t="inlineStr">
        <is>
          <t>Holmen skog AB</t>
        </is>
      </c>
      <c r="G11869" t="n">
        <v>2.6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36283-2024</t>
        </is>
      </c>
      <c r="B11870" s="1" t="n">
        <v>45534.58899305556</v>
      </c>
      <c r="C11870" s="1" t="n">
        <v>46086</v>
      </c>
      <c r="D11870" t="inlineStr">
        <is>
          <t>GÄVLEBORGS LÄN</t>
        </is>
      </c>
      <c r="E11870" t="inlineStr">
        <is>
          <t>HOFORS</t>
        </is>
      </c>
      <c r="F11870" t="inlineStr">
        <is>
          <t>Sveaskog</t>
        </is>
      </c>
      <c r="G11870" t="n">
        <v>6.9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41545-2024</t>
        </is>
      </c>
      <c r="B11871" s="1" t="n">
        <v>45560.51070601852</v>
      </c>
      <c r="C11871" s="1" t="n">
        <v>46086</v>
      </c>
      <c r="D11871" t="inlineStr">
        <is>
          <t>GÄVLEBORGS LÄN</t>
        </is>
      </c>
      <c r="E11871" t="inlineStr">
        <is>
          <t>OVANÅKER</t>
        </is>
      </c>
      <c r="G11871" t="n">
        <v>0.4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63716-2021</t>
        </is>
      </c>
      <c r="B11872" s="1" t="n">
        <v>44509.43005787037</v>
      </c>
      <c r="C11872" s="1" t="n">
        <v>46086</v>
      </c>
      <c r="D11872" t="inlineStr">
        <is>
          <t>GÄVLEBORGS LÄN</t>
        </is>
      </c>
      <c r="E11872" t="inlineStr">
        <is>
          <t>BOLLNÄS</t>
        </is>
      </c>
      <c r="G11872" t="n">
        <v>3.8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17412-2023</t>
        </is>
      </c>
      <c r="B11873" s="1" t="n">
        <v>45035</v>
      </c>
      <c r="C11873" s="1" t="n">
        <v>46086</v>
      </c>
      <c r="D11873" t="inlineStr">
        <is>
          <t>GÄVLEBORGS LÄN</t>
        </is>
      </c>
      <c r="E11873" t="inlineStr">
        <is>
          <t>SÖDERHAMN</t>
        </is>
      </c>
      <c r="G11873" t="n">
        <v>4.8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42703-2024</t>
        </is>
      </c>
      <c r="B11874" s="1" t="n">
        <v>45566.43296296296</v>
      </c>
      <c r="C11874" s="1" t="n">
        <v>46086</v>
      </c>
      <c r="D11874" t="inlineStr">
        <is>
          <t>GÄVLEBORGS LÄN</t>
        </is>
      </c>
      <c r="E11874" t="inlineStr">
        <is>
          <t>LJUSDAL</t>
        </is>
      </c>
      <c r="F11874" t="inlineStr">
        <is>
          <t>Kommuner</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15144-2025</t>
        </is>
      </c>
      <c r="B11875" s="1" t="n">
        <v>45744.43273148148</v>
      </c>
      <c r="C11875" s="1" t="n">
        <v>46086</v>
      </c>
      <c r="D11875" t="inlineStr">
        <is>
          <t>GÄVLEBORGS LÄN</t>
        </is>
      </c>
      <c r="E11875" t="inlineStr">
        <is>
          <t>GÄVLE</t>
        </is>
      </c>
      <c r="G11875" t="n">
        <v>2.4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15146-2025</t>
        </is>
      </c>
      <c r="B11876" s="1" t="n">
        <v>45744.45096064815</v>
      </c>
      <c r="C11876" s="1" t="n">
        <v>46086</v>
      </c>
      <c r="D11876" t="inlineStr">
        <is>
          <t>GÄVLEBORGS LÄN</t>
        </is>
      </c>
      <c r="E11876" t="inlineStr">
        <is>
          <t>GÄVLE</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2620-2025</t>
        </is>
      </c>
      <c r="B11877" s="1" t="n">
        <v>45675.58435185185</v>
      </c>
      <c r="C11877" s="1" t="n">
        <v>46086</v>
      </c>
      <c r="D11877" t="inlineStr">
        <is>
          <t>GÄVLEBORGS LÄN</t>
        </is>
      </c>
      <c r="E11877" t="inlineStr">
        <is>
          <t>BOLLNÄS</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3285-2025</t>
        </is>
      </c>
      <c r="B11878" s="1" t="n">
        <v>45679.6203125</v>
      </c>
      <c r="C11878" s="1" t="n">
        <v>46086</v>
      </c>
      <c r="D11878" t="inlineStr">
        <is>
          <t>GÄVLEBORGS LÄN</t>
        </is>
      </c>
      <c r="E11878" t="inlineStr">
        <is>
          <t>SANDVIKEN</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2663-2025</t>
        </is>
      </c>
      <c r="B11879" s="1" t="n">
        <v>45676.87730324074</v>
      </c>
      <c r="C11879" s="1" t="n">
        <v>46086</v>
      </c>
      <c r="D11879" t="inlineStr">
        <is>
          <t>GÄVLEBORGS LÄN</t>
        </is>
      </c>
      <c r="E11879" t="inlineStr">
        <is>
          <t>HUDIKSVALL</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46449-2024</t>
        </is>
      </c>
      <c r="B11880" s="1" t="n">
        <v>45582.5039699074</v>
      </c>
      <c r="C11880" s="1" t="n">
        <v>46086</v>
      </c>
      <c r="D11880" t="inlineStr">
        <is>
          <t>GÄVLEBORGS LÄN</t>
        </is>
      </c>
      <c r="E11880" t="inlineStr">
        <is>
          <t>GÄVLE</t>
        </is>
      </c>
      <c r="F11880" t="inlineStr">
        <is>
          <t>Bergvik skog väst AB</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50283-2024</t>
        </is>
      </c>
      <c r="B11881" s="1" t="n">
        <v>45600.6139699074</v>
      </c>
      <c r="C11881" s="1" t="n">
        <v>46086</v>
      </c>
      <c r="D11881" t="inlineStr">
        <is>
          <t>GÄVLEBORGS LÄN</t>
        </is>
      </c>
      <c r="E11881" t="inlineStr">
        <is>
          <t>SÖDERHAMN</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49518-2023</t>
        </is>
      </c>
      <c r="B11882" s="1" t="n">
        <v>45211.58746527778</v>
      </c>
      <c r="C11882" s="1" t="n">
        <v>46086</v>
      </c>
      <c r="D11882" t="inlineStr">
        <is>
          <t>GÄVLEBORGS LÄN</t>
        </is>
      </c>
      <c r="E11882" t="inlineStr">
        <is>
          <t>SANDVIKEN</t>
        </is>
      </c>
      <c r="G11882" t="n">
        <v>7.4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59522-2022</t>
        </is>
      </c>
      <c r="B11883" s="1" t="n">
        <v>44907.54619212963</v>
      </c>
      <c r="C11883" s="1" t="n">
        <v>46086</v>
      </c>
      <c r="D11883" t="inlineStr">
        <is>
          <t>GÄVLEBORGS LÄN</t>
        </is>
      </c>
      <c r="E11883" t="inlineStr">
        <is>
          <t>HUDIKSVALL</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4864-2023</t>
        </is>
      </c>
      <c r="B11884" s="1" t="n">
        <v>44957.92511574074</v>
      </c>
      <c r="C11884" s="1" t="n">
        <v>46086</v>
      </c>
      <c r="D11884" t="inlineStr">
        <is>
          <t>GÄVLEBORGS LÄN</t>
        </is>
      </c>
      <c r="E11884" t="inlineStr">
        <is>
          <t>LJUSDAL</t>
        </is>
      </c>
      <c r="G11884" t="n">
        <v>3.4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10593-2025</t>
        </is>
      </c>
      <c r="B11885" s="1" t="n">
        <v>45721.56726851852</v>
      </c>
      <c r="C11885" s="1" t="n">
        <v>46086</v>
      </c>
      <c r="D11885" t="inlineStr">
        <is>
          <t>GÄVLEBORGS LÄN</t>
        </is>
      </c>
      <c r="E11885" t="inlineStr">
        <is>
          <t>OVANÅKER</t>
        </is>
      </c>
      <c r="F11885" t="inlineStr">
        <is>
          <t>Bergvik skog öst AB</t>
        </is>
      </c>
      <c r="G11885" t="n">
        <v>2.9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57344-2021</t>
        </is>
      </c>
      <c r="B11886" s="1" t="n">
        <v>44483.48961805556</v>
      </c>
      <c r="C11886" s="1" t="n">
        <v>46086</v>
      </c>
      <c r="D11886" t="inlineStr">
        <is>
          <t>GÄVLEBORGS LÄN</t>
        </is>
      </c>
      <c r="E11886" t="inlineStr">
        <is>
          <t>LJUSDAL</t>
        </is>
      </c>
      <c r="G11886" t="n">
        <v>2.7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48765-2024</t>
        </is>
      </c>
      <c r="B11887" s="1" t="n">
        <v>45593.60655092593</v>
      </c>
      <c r="C11887" s="1" t="n">
        <v>46086</v>
      </c>
      <c r="D11887" t="inlineStr">
        <is>
          <t>GÄVLEBORGS LÄN</t>
        </is>
      </c>
      <c r="E11887" t="inlineStr">
        <is>
          <t>SÖDERHAMN</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3628-2023</t>
        </is>
      </c>
      <c r="B11888" s="1" t="n">
        <v>44950.64807870371</v>
      </c>
      <c r="C11888" s="1" t="n">
        <v>46086</v>
      </c>
      <c r="D11888" t="inlineStr">
        <is>
          <t>GÄVLEBORGS LÄN</t>
        </is>
      </c>
      <c r="E11888" t="inlineStr">
        <is>
          <t>OCKELBO</t>
        </is>
      </c>
      <c r="G11888" t="n">
        <v>0.5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13018-2025</t>
        </is>
      </c>
      <c r="B11889" s="1" t="n">
        <v>45734.54376157407</v>
      </c>
      <c r="C11889" s="1" t="n">
        <v>46086</v>
      </c>
      <c r="D11889" t="inlineStr">
        <is>
          <t>GÄVLEBORGS LÄN</t>
        </is>
      </c>
      <c r="E11889" t="inlineStr">
        <is>
          <t>NORDANSTIG</t>
        </is>
      </c>
      <c r="G11889" t="n">
        <v>33.1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549-2022</t>
        </is>
      </c>
      <c r="B11890" s="1" t="n">
        <v>44566.65258101852</v>
      </c>
      <c r="C11890" s="1" t="n">
        <v>46086</v>
      </c>
      <c r="D11890" t="inlineStr">
        <is>
          <t>GÄVLEBORGS LÄN</t>
        </is>
      </c>
      <c r="E11890" t="inlineStr">
        <is>
          <t>SANDVIKEN</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574-2022</t>
        </is>
      </c>
      <c r="B11891" s="1" t="n">
        <v>44566</v>
      </c>
      <c r="C11891" s="1" t="n">
        <v>46086</v>
      </c>
      <c r="D11891" t="inlineStr">
        <is>
          <t>GÄVLEBORGS LÄN</t>
        </is>
      </c>
      <c r="E11891" t="inlineStr">
        <is>
          <t>LJUSDAL</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28966-2024</t>
        </is>
      </c>
      <c r="B11892" s="1" t="n">
        <v>45481.43993055556</v>
      </c>
      <c r="C11892" s="1" t="n">
        <v>46086</v>
      </c>
      <c r="D11892" t="inlineStr">
        <is>
          <t>GÄVLEBORGS LÄN</t>
        </is>
      </c>
      <c r="E11892" t="inlineStr">
        <is>
          <t>OCKELBO</t>
        </is>
      </c>
      <c r="G11892" t="n">
        <v>5.7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22559-2023</t>
        </is>
      </c>
      <c r="B11893" s="1" t="n">
        <v>45071.44723379629</v>
      </c>
      <c r="C11893" s="1" t="n">
        <v>46086</v>
      </c>
      <c r="D11893" t="inlineStr">
        <is>
          <t>GÄVLEBORGS LÄN</t>
        </is>
      </c>
      <c r="E11893" t="inlineStr">
        <is>
          <t>LJUSDAL</t>
        </is>
      </c>
      <c r="F11893" t="inlineStr">
        <is>
          <t>Holmen skog AB</t>
        </is>
      </c>
      <c r="G11893" t="n">
        <v>4.4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36656-2023</t>
        </is>
      </c>
      <c r="B11894" s="1" t="n">
        <v>45153.56925925926</v>
      </c>
      <c r="C11894" s="1" t="n">
        <v>46086</v>
      </c>
      <c r="D11894" t="inlineStr">
        <is>
          <t>GÄVLEBORGS LÄN</t>
        </is>
      </c>
      <c r="E11894" t="inlineStr">
        <is>
          <t>SANDVIKEN</t>
        </is>
      </c>
      <c r="G11894" t="n">
        <v>3.2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1445-2023</t>
        </is>
      </c>
      <c r="B11895" s="1" t="n">
        <v>44937.38020833334</v>
      </c>
      <c r="C11895" s="1" t="n">
        <v>46086</v>
      </c>
      <c r="D11895" t="inlineStr">
        <is>
          <t>GÄVLEBORGS LÄN</t>
        </is>
      </c>
      <c r="E11895" t="inlineStr">
        <is>
          <t>LJUSDAL</t>
        </is>
      </c>
      <c r="G11895" t="n">
        <v>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13882-2025</t>
        </is>
      </c>
      <c r="B11896" s="1" t="n">
        <v>45737.60047453704</v>
      </c>
      <c r="C11896" s="1" t="n">
        <v>46086</v>
      </c>
      <c r="D11896" t="inlineStr">
        <is>
          <t>GÄVLEBORGS LÄN</t>
        </is>
      </c>
      <c r="E11896" t="inlineStr">
        <is>
          <t>LJUSDAL</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8665-2025</t>
        </is>
      </c>
      <c r="B11897" s="1" t="n">
        <v>45712.40818287037</v>
      </c>
      <c r="C11897" s="1" t="n">
        <v>46086</v>
      </c>
      <c r="D11897" t="inlineStr">
        <is>
          <t>GÄVLEBORGS LÄN</t>
        </is>
      </c>
      <c r="E11897" t="inlineStr">
        <is>
          <t>BOLLNÄS</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18680-2025</t>
        </is>
      </c>
      <c r="B11898" s="1" t="n">
        <v>45763.60581018519</v>
      </c>
      <c r="C11898" s="1" t="n">
        <v>46086</v>
      </c>
      <c r="D11898" t="inlineStr">
        <is>
          <t>GÄVLEBORGS LÄN</t>
        </is>
      </c>
      <c r="E11898" t="inlineStr">
        <is>
          <t>NORDANSTIG</t>
        </is>
      </c>
      <c r="G11898" t="n">
        <v>9.4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15864-2025</t>
        </is>
      </c>
      <c r="B11899" s="1" t="n">
        <v>45749.35642361111</v>
      </c>
      <c r="C11899" s="1" t="n">
        <v>46086</v>
      </c>
      <c r="D11899" t="inlineStr">
        <is>
          <t>GÄVLEBORGS LÄN</t>
        </is>
      </c>
      <c r="E11899" t="inlineStr">
        <is>
          <t>LJUSDAL</t>
        </is>
      </c>
      <c r="F11899" t="inlineStr">
        <is>
          <t>SCA</t>
        </is>
      </c>
      <c r="G11899" t="n">
        <v>3.6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15881-2025</t>
        </is>
      </c>
      <c r="B11900" s="1" t="n">
        <v>45749.39025462963</v>
      </c>
      <c r="C11900" s="1" t="n">
        <v>46086</v>
      </c>
      <c r="D11900" t="inlineStr">
        <is>
          <t>GÄVLEBORGS LÄN</t>
        </is>
      </c>
      <c r="E11900" t="inlineStr">
        <is>
          <t>SÖDERHAMN</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19509-2025</t>
        </is>
      </c>
      <c r="B11901" s="1" t="n">
        <v>45770.41881944444</v>
      </c>
      <c r="C11901" s="1" t="n">
        <v>46086</v>
      </c>
      <c r="D11901" t="inlineStr">
        <is>
          <t>GÄVLEBORGS LÄN</t>
        </is>
      </c>
      <c r="E11901" t="inlineStr">
        <is>
          <t>HUDIKSVALL</t>
        </is>
      </c>
      <c r="G11901" t="n">
        <v>13.7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16258-2023</t>
        </is>
      </c>
      <c r="B11902" s="1" t="n">
        <v>45022</v>
      </c>
      <c r="C11902" s="1" t="n">
        <v>46086</v>
      </c>
      <c r="D11902" t="inlineStr">
        <is>
          <t>GÄVLEBORGS LÄN</t>
        </is>
      </c>
      <c r="E11902" t="inlineStr">
        <is>
          <t>SANDVIKEN</t>
        </is>
      </c>
      <c r="F11902" t="inlineStr">
        <is>
          <t>Bergvik skog väst AB</t>
        </is>
      </c>
      <c r="G11902" t="n">
        <v>5.2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35233-2024</t>
        </is>
      </c>
      <c r="B11903" s="1" t="n">
        <v>45530.53810185185</v>
      </c>
      <c r="C11903" s="1" t="n">
        <v>46086</v>
      </c>
      <c r="D11903" t="inlineStr">
        <is>
          <t>GÄVLEBORGS LÄN</t>
        </is>
      </c>
      <c r="E11903" t="inlineStr">
        <is>
          <t>GÄVLE</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20705-2025</t>
        </is>
      </c>
      <c r="B11904" s="1" t="n">
        <v>45776.48304398148</v>
      </c>
      <c r="C11904" s="1" t="n">
        <v>46086</v>
      </c>
      <c r="D11904" t="inlineStr">
        <is>
          <t>GÄVLEBORGS LÄN</t>
        </is>
      </c>
      <c r="E11904" t="inlineStr">
        <is>
          <t>BOLLNÄS</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20621-2025</t>
        </is>
      </c>
      <c r="B11905" s="1" t="n">
        <v>45776.32197916666</v>
      </c>
      <c r="C11905" s="1" t="n">
        <v>46086</v>
      </c>
      <c r="D11905" t="inlineStr">
        <is>
          <t>GÄVLEBORGS LÄN</t>
        </is>
      </c>
      <c r="E11905" t="inlineStr">
        <is>
          <t>GÄVLE</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11390-2025</t>
        </is>
      </c>
      <c r="B11906" s="1" t="n">
        <v>45726.57084490741</v>
      </c>
      <c r="C11906" s="1" t="n">
        <v>46086</v>
      </c>
      <c r="D11906" t="inlineStr">
        <is>
          <t>GÄVLEBORGS LÄN</t>
        </is>
      </c>
      <c r="E11906" t="inlineStr">
        <is>
          <t>GÄVLE</t>
        </is>
      </c>
      <c r="G11906" t="n">
        <v>2.5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20760-2025</t>
        </is>
      </c>
      <c r="B11907" s="1" t="n">
        <v>45776.57601851852</v>
      </c>
      <c r="C11907" s="1" t="n">
        <v>46086</v>
      </c>
      <c r="D11907" t="inlineStr">
        <is>
          <t>GÄVLEBORGS LÄN</t>
        </is>
      </c>
      <c r="E11907" t="inlineStr">
        <is>
          <t>GÄVLE</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20782-2025</t>
        </is>
      </c>
      <c r="B11908" s="1" t="n">
        <v>45776</v>
      </c>
      <c r="C11908" s="1" t="n">
        <v>46086</v>
      </c>
      <c r="D11908" t="inlineStr">
        <is>
          <t>GÄVLEBORGS LÄN</t>
        </is>
      </c>
      <c r="E11908" t="inlineStr">
        <is>
          <t>OCKELBO</t>
        </is>
      </c>
      <c r="G11908" t="n">
        <v>5.7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20847-2025</t>
        </is>
      </c>
      <c r="B11909" s="1" t="n">
        <v>45777.29842592592</v>
      </c>
      <c r="C11909" s="1" t="n">
        <v>46086</v>
      </c>
      <c r="D11909" t="inlineStr">
        <is>
          <t>GÄVLEBORGS LÄN</t>
        </is>
      </c>
      <c r="E11909" t="inlineStr">
        <is>
          <t>LJUSDAL</t>
        </is>
      </c>
      <c r="G11909" t="n">
        <v>21.6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19957-2025</t>
        </is>
      </c>
      <c r="B11910" s="1" t="n">
        <v>45771.66318287037</v>
      </c>
      <c r="C11910" s="1" t="n">
        <v>46086</v>
      </c>
      <c r="D11910" t="inlineStr">
        <is>
          <t>GÄVLEBORGS LÄN</t>
        </is>
      </c>
      <c r="E11910" t="inlineStr">
        <is>
          <t>OVANÅKER</t>
        </is>
      </c>
      <c r="G11910" t="n">
        <v>2.2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20761-2025</t>
        </is>
      </c>
      <c r="B11911" s="1" t="n">
        <v>45776.57763888889</v>
      </c>
      <c r="C11911" s="1" t="n">
        <v>46086</v>
      </c>
      <c r="D11911" t="inlineStr">
        <is>
          <t>GÄVLEBORGS LÄN</t>
        </is>
      </c>
      <c r="E11911" t="inlineStr">
        <is>
          <t>GÄVLE</t>
        </is>
      </c>
      <c r="G11911" t="n">
        <v>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20873-2025</t>
        </is>
      </c>
      <c r="B11912" s="1" t="n">
        <v>45777.34825231481</v>
      </c>
      <c r="C11912" s="1" t="n">
        <v>46086</v>
      </c>
      <c r="D11912" t="inlineStr">
        <is>
          <t>GÄVLEBORGS LÄN</t>
        </is>
      </c>
      <c r="E11912" t="inlineStr">
        <is>
          <t>SANDVIKEN</t>
        </is>
      </c>
      <c r="G11912" t="n">
        <v>7.1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19960-2025</t>
        </is>
      </c>
      <c r="B11913" s="1" t="n">
        <v>45771.66837962963</v>
      </c>
      <c r="C11913" s="1" t="n">
        <v>46086</v>
      </c>
      <c r="D11913" t="inlineStr">
        <is>
          <t>GÄVLEBORGS LÄN</t>
        </is>
      </c>
      <c r="E11913" t="inlineStr">
        <is>
          <t>OVANÅKER</t>
        </is>
      </c>
      <c r="G11913" t="n">
        <v>3.9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20927-2025</t>
        </is>
      </c>
      <c r="B11914" s="1" t="n">
        <v>45777.42354166666</v>
      </c>
      <c r="C11914" s="1" t="n">
        <v>46086</v>
      </c>
      <c r="D11914" t="inlineStr">
        <is>
          <t>GÄVLEBORGS LÄN</t>
        </is>
      </c>
      <c r="E11914" t="inlineStr">
        <is>
          <t>OVANÅKER</t>
        </is>
      </c>
      <c r="F11914" t="inlineStr">
        <is>
          <t>Sveaskog</t>
        </is>
      </c>
      <c r="G11914" t="n">
        <v>2.6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20932-2025</t>
        </is>
      </c>
      <c r="B11915" s="1" t="n">
        <v>45777.42674768518</v>
      </c>
      <c r="C11915" s="1" t="n">
        <v>46086</v>
      </c>
      <c r="D11915" t="inlineStr">
        <is>
          <t>GÄVLEBORGS LÄN</t>
        </is>
      </c>
      <c r="E11915" t="inlineStr">
        <is>
          <t>HUDIKSVALL</t>
        </is>
      </c>
      <c r="F11915" t="inlineStr">
        <is>
          <t>Holmen skog AB</t>
        </is>
      </c>
      <c r="G11915" t="n">
        <v>2.3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20946-2025</t>
        </is>
      </c>
      <c r="B11916" s="1" t="n">
        <v>45777.4344212963</v>
      </c>
      <c r="C11916" s="1" t="n">
        <v>46086</v>
      </c>
      <c r="D11916" t="inlineStr">
        <is>
          <t>GÄVLEBORGS LÄN</t>
        </is>
      </c>
      <c r="E11916" t="inlineStr">
        <is>
          <t>SÖDERHAMN</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21071-2025</t>
        </is>
      </c>
      <c r="B11917" s="1" t="n">
        <v>45777.59451388889</v>
      </c>
      <c r="C11917" s="1" t="n">
        <v>46086</v>
      </c>
      <c r="D11917" t="inlineStr">
        <is>
          <t>GÄVLEBORGS LÄN</t>
        </is>
      </c>
      <c r="E11917" t="inlineStr">
        <is>
          <t>LJUSDAL</t>
        </is>
      </c>
      <c r="F11917" t="inlineStr">
        <is>
          <t>SCA</t>
        </is>
      </c>
      <c r="G11917" t="n">
        <v>3.1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19963-2025</t>
        </is>
      </c>
      <c r="B11918" s="1" t="n">
        <v>45771.67196759259</v>
      </c>
      <c r="C11918" s="1" t="n">
        <v>46086</v>
      </c>
      <c r="D11918" t="inlineStr">
        <is>
          <t>GÄVLEBORGS LÄN</t>
        </is>
      </c>
      <c r="E11918" t="inlineStr">
        <is>
          <t>OVANÅKER</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20876-2025</t>
        </is>
      </c>
      <c r="B11919" s="1" t="n">
        <v>45777.35241898148</v>
      </c>
      <c r="C11919" s="1" t="n">
        <v>46086</v>
      </c>
      <c r="D11919" t="inlineStr">
        <is>
          <t>GÄVLEBORGS LÄN</t>
        </is>
      </c>
      <c r="E11919" t="inlineStr">
        <is>
          <t>NORDANSTIG</t>
        </is>
      </c>
      <c r="F11919" t="inlineStr">
        <is>
          <t>Holmen skog AB</t>
        </is>
      </c>
      <c r="G11919" t="n">
        <v>5.5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21098-2025</t>
        </is>
      </c>
      <c r="B11920" s="1" t="n">
        <v>45777.6434837963</v>
      </c>
      <c r="C11920" s="1" t="n">
        <v>46086</v>
      </c>
      <c r="D11920" t="inlineStr">
        <is>
          <t>GÄVLEBORGS LÄN</t>
        </is>
      </c>
      <c r="E11920" t="inlineStr">
        <is>
          <t>LJUSDAL</t>
        </is>
      </c>
      <c r="F11920" t="inlineStr">
        <is>
          <t>Sveaskog</t>
        </is>
      </c>
      <c r="G11920" t="n">
        <v>30.7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20972-2025</t>
        </is>
      </c>
      <c r="B11921" s="1" t="n">
        <v>45777.45725694444</v>
      </c>
      <c r="C11921" s="1" t="n">
        <v>46086</v>
      </c>
      <c r="D11921" t="inlineStr">
        <is>
          <t>GÄVLEBORGS LÄN</t>
        </is>
      </c>
      <c r="E11921" t="inlineStr">
        <is>
          <t>HOFORS</t>
        </is>
      </c>
      <c r="F11921" t="inlineStr">
        <is>
          <t>Sveaskog</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11768-2025</t>
        </is>
      </c>
      <c r="B11922" s="1" t="n">
        <v>45727.67243055555</v>
      </c>
      <c r="C11922" s="1" t="n">
        <v>46086</v>
      </c>
      <c r="D11922" t="inlineStr">
        <is>
          <t>GÄVLEBORGS LÄN</t>
        </is>
      </c>
      <c r="E11922" t="inlineStr">
        <is>
          <t>GÄVLE</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20710-2025</t>
        </is>
      </c>
      <c r="B11923" s="1" t="n">
        <v>45776.48524305555</v>
      </c>
      <c r="C11923" s="1" t="n">
        <v>46086</v>
      </c>
      <c r="D11923" t="inlineStr">
        <is>
          <t>GÄVLEBORGS LÄN</t>
        </is>
      </c>
      <c r="E11923" t="inlineStr">
        <is>
          <t>BOLLNÄS</t>
        </is>
      </c>
      <c r="G11923" t="n">
        <v>0.4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20742-2025</t>
        </is>
      </c>
      <c r="B11924" s="1" t="n">
        <v>45776.54644675926</v>
      </c>
      <c r="C11924" s="1" t="n">
        <v>46086</v>
      </c>
      <c r="D11924" t="inlineStr">
        <is>
          <t>GÄVLEBORGS LÄN</t>
        </is>
      </c>
      <c r="E11924" t="inlineStr">
        <is>
          <t>OVANÅKER</t>
        </is>
      </c>
      <c r="G11924" t="n">
        <v>9.1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45938-2024</t>
        </is>
      </c>
      <c r="B11925" s="1" t="n">
        <v>45580</v>
      </c>
      <c r="C11925" s="1" t="n">
        <v>46086</v>
      </c>
      <c r="D11925" t="inlineStr">
        <is>
          <t>GÄVLEBORGS LÄN</t>
        </is>
      </c>
      <c r="E11925" t="inlineStr">
        <is>
          <t>GÄVLE</t>
        </is>
      </c>
      <c r="F11925" t="inlineStr">
        <is>
          <t>Bergvik skog öst AB</t>
        </is>
      </c>
      <c r="G11925" t="n">
        <v>5.3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20795-2025</t>
        </is>
      </c>
      <c r="B11926" s="1" t="n">
        <v>45776.63881944444</v>
      </c>
      <c r="C11926" s="1" t="n">
        <v>46086</v>
      </c>
      <c r="D11926" t="inlineStr">
        <is>
          <t>GÄVLEBORGS LÄN</t>
        </is>
      </c>
      <c r="E11926" t="inlineStr">
        <is>
          <t>OVANÅKER</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20799-2025</t>
        </is>
      </c>
      <c r="B11927" s="1" t="n">
        <v>45776.64336805556</v>
      </c>
      <c r="C11927" s="1" t="n">
        <v>46086</v>
      </c>
      <c r="D11927" t="inlineStr">
        <is>
          <t>GÄVLEBORGS LÄN</t>
        </is>
      </c>
      <c r="E11927" t="inlineStr">
        <is>
          <t>OVANÅKER</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20775-2025</t>
        </is>
      </c>
      <c r="B11928" s="1" t="n">
        <v>45776.59355324074</v>
      </c>
      <c r="C11928" s="1" t="n">
        <v>46086</v>
      </c>
      <c r="D11928" t="inlineStr">
        <is>
          <t>GÄVLEBORGS LÄN</t>
        </is>
      </c>
      <c r="E11928" t="inlineStr">
        <is>
          <t>OCKELBO</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6949-2025</t>
        </is>
      </c>
      <c r="B11929" s="1" t="n">
        <v>45701</v>
      </c>
      <c r="C11929" s="1" t="n">
        <v>46086</v>
      </c>
      <c r="D11929" t="inlineStr">
        <is>
          <t>GÄVLEBORGS LÄN</t>
        </is>
      </c>
      <c r="E11929" t="inlineStr">
        <is>
          <t>HUDIKSVALL</t>
        </is>
      </c>
      <c r="G11929" t="n">
        <v>4.5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21178-2025</t>
        </is>
      </c>
      <c r="B11930" s="1" t="n">
        <v>45779.42856481481</v>
      </c>
      <c r="C11930" s="1" t="n">
        <v>46086</v>
      </c>
      <c r="D11930" t="inlineStr">
        <is>
          <t>GÄVLEBORGS LÄN</t>
        </is>
      </c>
      <c r="E11930" t="inlineStr">
        <is>
          <t>SANDVIKEN</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21179-2025</t>
        </is>
      </c>
      <c r="B11931" s="1" t="n">
        <v>45779.43439814815</v>
      </c>
      <c r="C11931" s="1" t="n">
        <v>46086</v>
      </c>
      <c r="D11931" t="inlineStr">
        <is>
          <t>GÄVLEBORGS LÄN</t>
        </is>
      </c>
      <c r="E11931" t="inlineStr">
        <is>
          <t>HUDIKSVALL</t>
        </is>
      </c>
      <c r="F11931" t="inlineStr">
        <is>
          <t>Holmen skog AB</t>
        </is>
      </c>
      <c r="G11931" t="n">
        <v>14.1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21200-2025</t>
        </is>
      </c>
      <c r="B11932" s="1" t="n">
        <v>45779.4734837963</v>
      </c>
      <c r="C11932" s="1" t="n">
        <v>46086</v>
      </c>
      <c r="D11932" t="inlineStr">
        <is>
          <t>GÄVLEBORGS LÄN</t>
        </is>
      </c>
      <c r="E11932" t="inlineStr">
        <is>
          <t>HUDIKSVALL</t>
        </is>
      </c>
      <c r="G11932" t="n">
        <v>5.2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21252-2025</t>
        </is>
      </c>
      <c r="B11933" s="1" t="n">
        <v>45779.57425925926</v>
      </c>
      <c r="C11933" s="1" t="n">
        <v>46086</v>
      </c>
      <c r="D11933" t="inlineStr">
        <is>
          <t>GÄVLEBORGS LÄN</t>
        </is>
      </c>
      <c r="E11933" t="inlineStr">
        <is>
          <t>SÖDERHAMN</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19454-2025</t>
        </is>
      </c>
      <c r="B11934" s="1" t="n">
        <v>45770.35150462963</v>
      </c>
      <c r="C11934" s="1" t="n">
        <v>46086</v>
      </c>
      <c r="D11934" t="inlineStr">
        <is>
          <t>GÄVLEBORGS LÄN</t>
        </is>
      </c>
      <c r="E11934" t="inlineStr">
        <is>
          <t>GÄVLE</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21182-2025</t>
        </is>
      </c>
      <c r="B11935" s="1" t="n">
        <v>45779.4387037037</v>
      </c>
      <c r="C11935" s="1" t="n">
        <v>46086</v>
      </c>
      <c r="D11935" t="inlineStr">
        <is>
          <t>GÄVLEBORGS LÄN</t>
        </is>
      </c>
      <c r="E11935" t="inlineStr">
        <is>
          <t>SANDVIKEN</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21287-2025</t>
        </is>
      </c>
      <c r="B11936" s="1" t="n">
        <v>45779.70166666667</v>
      </c>
      <c r="C11936" s="1" t="n">
        <v>46086</v>
      </c>
      <c r="D11936" t="inlineStr">
        <is>
          <t>GÄVLEBORGS LÄN</t>
        </is>
      </c>
      <c r="E11936" t="inlineStr">
        <is>
          <t>NORDANSTIG</t>
        </is>
      </c>
      <c r="G11936" t="n">
        <v>3.7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21431-2025</t>
        </is>
      </c>
      <c r="B11937" s="1" t="n">
        <v>45782.51104166666</v>
      </c>
      <c r="C11937" s="1" t="n">
        <v>46086</v>
      </c>
      <c r="D11937" t="inlineStr">
        <is>
          <t>GÄVLEBORGS LÄN</t>
        </is>
      </c>
      <c r="E11937" t="inlineStr">
        <is>
          <t>GÄVLE</t>
        </is>
      </c>
      <c r="G11937" t="n">
        <v>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31298-2024</t>
        </is>
      </c>
      <c r="B11938" s="1" t="n">
        <v>45504.49959490741</v>
      </c>
      <c r="C11938" s="1" t="n">
        <v>46086</v>
      </c>
      <c r="D11938" t="inlineStr">
        <is>
          <t>GÄVLEBORGS LÄN</t>
        </is>
      </c>
      <c r="E11938" t="inlineStr">
        <is>
          <t>OVANÅKER</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21734-2025</t>
        </is>
      </c>
      <c r="B11939" s="1" t="n">
        <v>45783.58751157407</v>
      </c>
      <c r="C11939" s="1" t="n">
        <v>46086</v>
      </c>
      <c r="D11939" t="inlineStr">
        <is>
          <t>GÄVLEBORGS LÄN</t>
        </is>
      </c>
      <c r="E11939" t="inlineStr">
        <is>
          <t>OVANÅKER</t>
        </is>
      </c>
      <c r="F11939" t="inlineStr">
        <is>
          <t>Bergvik skog öst AB</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21744-2025</t>
        </is>
      </c>
      <c r="B11940" s="1" t="n">
        <v>45783.60194444445</v>
      </c>
      <c r="C11940" s="1" t="n">
        <v>46086</v>
      </c>
      <c r="D11940" t="inlineStr">
        <is>
          <t>GÄVLEBORGS LÄN</t>
        </is>
      </c>
      <c r="E11940" t="inlineStr">
        <is>
          <t>OVANÅKER</t>
        </is>
      </c>
      <c r="F11940" t="inlineStr">
        <is>
          <t>Bergvik skog öst AB</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46800-2024</t>
        </is>
      </c>
      <c r="B11941" s="1" t="n">
        <v>45583.54946759259</v>
      </c>
      <c r="C11941" s="1" t="n">
        <v>46086</v>
      </c>
      <c r="D11941" t="inlineStr">
        <is>
          <t>GÄVLEBORGS LÄN</t>
        </is>
      </c>
      <c r="E11941" t="inlineStr">
        <is>
          <t>BOLLNÄS</t>
        </is>
      </c>
      <c r="G11941" t="n">
        <v>2.2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18707-2025</t>
        </is>
      </c>
      <c r="B11942" s="1" t="n">
        <v>45763.63564814815</v>
      </c>
      <c r="C11942" s="1" t="n">
        <v>46086</v>
      </c>
      <c r="D11942" t="inlineStr">
        <is>
          <t>GÄVLEBORGS LÄN</t>
        </is>
      </c>
      <c r="E11942" t="inlineStr">
        <is>
          <t>NORDANSTIG</t>
        </is>
      </c>
      <c r="F11942" t="inlineStr">
        <is>
          <t>Holmen skog AB</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7179-2025</t>
        </is>
      </c>
      <c r="B11943" s="1" t="n">
        <v>45702</v>
      </c>
      <c r="C11943" s="1" t="n">
        <v>46086</v>
      </c>
      <c r="D11943" t="inlineStr">
        <is>
          <t>GÄVLEBORGS LÄN</t>
        </is>
      </c>
      <c r="E11943" t="inlineStr">
        <is>
          <t>LJUSDAL</t>
        </is>
      </c>
      <c r="F11943" t="inlineStr">
        <is>
          <t>Kommuner</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21592-2025</t>
        </is>
      </c>
      <c r="B11944" s="1" t="n">
        <v>45783.34420138889</v>
      </c>
      <c r="C11944" s="1" t="n">
        <v>46086</v>
      </c>
      <c r="D11944" t="inlineStr">
        <is>
          <t>GÄVLEBORGS LÄN</t>
        </is>
      </c>
      <c r="E11944" t="inlineStr">
        <is>
          <t>LJUSDAL</t>
        </is>
      </c>
      <c r="F11944" t="inlineStr">
        <is>
          <t>SCA</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21369-2025</t>
        </is>
      </c>
      <c r="B11945" s="1" t="n">
        <v>45782.44831018519</v>
      </c>
      <c r="C11945" s="1" t="n">
        <v>46086</v>
      </c>
      <c r="D11945" t="inlineStr">
        <is>
          <t>GÄVLEBORGS LÄN</t>
        </is>
      </c>
      <c r="E11945" t="inlineStr">
        <is>
          <t>HUDIKSVALL</t>
        </is>
      </c>
      <c r="F11945" t="inlineStr">
        <is>
          <t>Holmen skog AB</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21393-2025</t>
        </is>
      </c>
      <c r="B11946" s="1" t="n">
        <v>45782.48126157407</v>
      </c>
      <c r="C11946" s="1" t="n">
        <v>46086</v>
      </c>
      <c r="D11946" t="inlineStr">
        <is>
          <t>GÄVLEBORGS LÄN</t>
        </is>
      </c>
      <c r="E11946" t="inlineStr">
        <is>
          <t>BOLLNÄS</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18716-2025</t>
        </is>
      </c>
      <c r="B11947" s="1" t="n">
        <v>45763.64425925926</v>
      </c>
      <c r="C11947" s="1" t="n">
        <v>46086</v>
      </c>
      <c r="D11947" t="inlineStr">
        <is>
          <t>GÄVLEBORGS LÄN</t>
        </is>
      </c>
      <c r="E11947" t="inlineStr">
        <is>
          <t>NORDANSTIG</t>
        </is>
      </c>
      <c r="F11947" t="inlineStr">
        <is>
          <t>Holmen skog AB</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21446-2025</t>
        </is>
      </c>
      <c r="B11948" s="1" t="n">
        <v>45782.54756944445</v>
      </c>
      <c r="C11948" s="1" t="n">
        <v>46086</v>
      </c>
      <c r="D11948" t="inlineStr">
        <is>
          <t>GÄVLEBORGS LÄN</t>
        </is>
      </c>
      <c r="E11948" t="inlineStr">
        <is>
          <t>OVANÅKER</t>
        </is>
      </c>
      <c r="F11948" t="inlineStr">
        <is>
          <t>Bergvik skog öst AB</t>
        </is>
      </c>
      <c r="G11948" t="n">
        <v>5.9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21725-2025</t>
        </is>
      </c>
      <c r="B11949" s="1" t="n">
        <v>45783.56886574074</v>
      </c>
      <c r="C11949" s="1" t="n">
        <v>46086</v>
      </c>
      <c r="D11949" t="inlineStr">
        <is>
          <t>GÄVLEBORGS LÄN</t>
        </is>
      </c>
      <c r="E11949" t="inlineStr">
        <is>
          <t>NORDANSTIG</t>
        </is>
      </c>
      <c r="G11949" t="n">
        <v>6.4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35086-2024</t>
        </is>
      </c>
      <c r="B11950" s="1" t="n">
        <v>45527.70609953703</v>
      </c>
      <c r="C11950" s="1" t="n">
        <v>46086</v>
      </c>
      <c r="D11950" t="inlineStr">
        <is>
          <t>GÄVLEBORGS LÄN</t>
        </is>
      </c>
      <c r="E11950" t="inlineStr">
        <is>
          <t>OVANÅKER</t>
        </is>
      </c>
      <c r="G11950" t="n">
        <v>2.1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18681-2025</t>
        </is>
      </c>
      <c r="B11951" s="1" t="n">
        <v>45763.60788194444</v>
      </c>
      <c r="C11951" s="1" t="n">
        <v>46086</v>
      </c>
      <c r="D11951" t="inlineStr">
        <is>
          <t>GÄVLEBORGS LÄN</t>
        </is>
      </c>
      <c r="E11951" t="inlineStr">
        <is>
          <t>NORDANSTIG</t>
        </is>
      </c>
      <c r="F11951" t="inlineStr">
        <is>
          <t>Holmen skog AB</t>
        </is>
      </c>
      <c r="G11951" t="n">
        <v>6.7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21352-2025</t>
        </is>
      </c>
      <c r="B11952" s="1" t="n">
        <v>45782.41087962963</v>
      </c>
      <c r="C11952" s="1" t="n">
        <v>46086</v>
      </c>
      <c r="D11952" t="inlineStr">
        <is>
          <t>GÄVLEBORGS LÄN</t>
        </is>
      </c>
      <c r="E11952" t="inlineStr">
        <is>
          <t>BOLLNÄS</t>
        </is>
      </c>
      <c r="G11952" t="n">
        <v>2.4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467-2024</t>
        </is>
      </c>
      <c r="B11953" s="1" t="n">
        <v>45297.58568287037</v>
      </c>
      <c r="C11953" s="1" t="n">
        <v>46086</v>
      </c>
      <c r="D11953" t="inlineStr">
        <is>
          <t>GÄVLEBORGS LÄN</t>
        </is>
      </c>
      <c r="E11953" t="inlineStr">
        <is>
          <t>HUDIKSVALL</t>
        </is>
      </c>
      <c r="F11953" t="inlineStr">
        <is>
          <t>Holmen skog AB</t>
        </is>
      </c>
      <c r="G11953" t="n">
        <v>5</v>
      </c>
      <c r="H11953" t="n">
        <v>0</v>
      </c>
      <c r="I11953" t="n">
        <v>0</v>
      </c>
      <c r="J11953" t="n">
        <v>0</v>
      </c>
      <c r="K11953" t="n">
        <v>0</v>
      </c>
      <c r="L11953" t="n">
        <v>0</v>
      </c>
      <c r="M11953" t="n">
        <v>0</v>
      </c>
      <c r="N11953" t="n">
        <v>0</v>
      </c>
      <c r="O11953" t="n">
        <v>0</v>
      </c>
      <c r="P11953" t="n">
        <v>0</v>
      </c>
      <c r="Q11953" t="n">
        <v>0</v>
      </c>
      <c r="R11953" s="2" t="inlineStr"/>
      <c r="U11953">
        <f>HYPERLINK("https://klasma.github.io/Logging_2184/knärot/A 467-2024 karta knärot.png", "A 467-2024")</f>
        <v/>
      </c>
      <c r="V11953">
        <f>HYPERLINK("https://klasma.github.io/Logging_2184/klagomål/A 467-2024 FSC-klagomål.docx", "A 467-2024")</f>
        <v/>
      </c>
      <c r="W11953">
        <f>HYPERLINK("https://klasma.github.io/Logging_2184/klagomålsmail/A 467-2024 FSC-klagomål mail.docx", "A 467-2024")</f>
        <v/>
      </c>
      <c r="X11953">
        <f>HYPERLINK("https://klasma.github.io/Logging_2184/tillsyn/A 467-2024 tillsynsbegäran.docx", "A 467-2024")</f>
        <v/>
      </c>
      <c r="Y11953">
        <f>HYPERLINK("https://klasma.github.io/Logging_2184/tillsynsmail/A 467-2024 tillsynsbegäran mail.docx", "A 467-2024")</f>
        <v/>
      </c>
    </row>
    <row r="11954" ht="15" customHeight="1">
      <c r="A11954" t="inlineStr">
        <is>
          <t>A 1144-2024</t>
        </is>
      </c>
      <c r="B11954" s="1" t="n">
        <v>45302.49138888889</v>
      </c>
      <c r="C11954" s="1" t="n">
        <v>46086</v>
      </c>
      <c r="D11954" t="inlineStr">
        <is>
          <t>GÄVLEBORGS LÄN</t>
        </is>
      </c>
      <c r="E11954" t="inlineStr">
        <is>
          <t>HOFORS</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21327-2025</t>
        </is>
      </c>
      <c r="B11955" s="1" t="n">
        <v>45782.35456018519</v>
      </c>
      <c r="C11955" s="1" t="n">
        <v>46086</v>
      </c>
      <c r="D11955" t="inlineStr">
        <is>
          <t>GÄVLEBORGS LÄN</t>
        </is>
      </c>
      <c r="E11955" t="inlineStr">
        <is>
          <t>SÖDERHAMN</t>
        </is>
      </c>
      <c r="F11955" t="inlineStr">
        <is>
          <t>Kyrkan</t>
        </is>
      </c>
      <c r="G11955" t="n">
        <v>5.1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45782-2024</t>
        </is>
      </c>
      <c r="B11956" s="1" t="n">
        <v>45579.66521990741</v>
      </c>
      <c r="C11956" s="1" t="n">
        <v>46086</v>
      </c>
      <c r="D11956" t="inlineStr">
        <is>
          <t>GÄVLEBORGS LÄN</t>
        </is>
      </c>
      <c r="E11956" t="inlineStr">
        <is>
          <t>BOLLNÄS</t>
        </is>
      </c>
      <c r="G11956" t="n">
        <v>9.199999999999999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21798-2025</t>
        </is>
      </c>
      <c r="B11957" s="1" t="n">
        <v>45783.6865625</v>
      </c>
      <c r="C11957" s="1" t="n">
        <v>46086</v>
      </c>
      <c r="D11957" t="inlineStr">
        <is>
          <t>GÄVLEBORGS LÄN</t>
        </is>
      </c>
      <c r="E11957" t="inlineStr">
        <is>
          <t>SANDVIKEN</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21505-2025</t>
        </is>
      </c>
      <c r="B11958" s="1" t="n">
        <v>45782.61508101852</v>
      </c>
      <c r="C11958" s="1" t="n">
        <v>46086</v>
      </c>
      <c r="D11958" t="inlineStr">
        <is>
          <t>GÄVLEBORGS LÄN</t>
        </is>
      </c>
      <c r="E11958" t="inlineStr">
        <is>
          <t>HUDIKSVALL</t>
        </is>
      </c>
      <c r="G11958" t="n">
        <v>0.5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37459-2024</t>
        </is>
      </c>
      <c r="B11959" s="1" t="n">
        <v>45540.71594907407</v>
      </c>
      <c r="C11959" s="1" t="n">
        <v>46086</v>
      </c>
      <c r="D11959" t="inlineStr">
        <is>
          <t>GÄVLEBORGS LÄN</t>
        </is>
      </c>
      <c r="E11959" t="inlineStr">
        <is>
          <t>SANDVIKEN</t>
        </is>
      </c>
      <c r="G11959" t="n">
        <v>2.4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21394-2025</t>
        </is>
      </c>
      <c r="B11960" s="1" t="n">
        <v>45782.48197916667</v>
      </c>
      <c r="C11960" s="1" t="n">
        <v>46086</v>
      </c>
      <c r="D11960" t="inlineStr">
        <is>
          <t>GÄVLEBORGS LÄN</t>
        </is>
      </c>
      <c r="E11960" t="inlineStr">
        <is>
          <t>OVANÅKER</t>
        </is>
      </c>
      <c r="F11960" t="inlineStr">
        <is>
          <t>Bergvik skog öst AB</t>
        </is>
      </c>
      <c r="G11960" t="n">
        <v>2.6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21500-2025</t>
        </is>
      </c>
      <c r="B11961" s="1" t="n">
        <v>45782.60820601852</v>
      </c>
      <c r="C11961" s="1" t="n">
        <v>46086</v>
      </c>
      <c r="D11961" t="inlineStr">
        <is>
          <t>GÄVLEBORGS LÄN</t>
        </is>
      </c>
      <c r="E11961" t="inlineStr">
        <is>
          <t>SÖDERHAMN</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21538-2025</t>
        </is>
      </c>
      <c r="B11962" s="1" t="n">
        <v>45782.65975694444</v>
      </c>
      <c r="C11962" s="1" t="n">
        <v>46086</v>
      </c>
      <c r="D11962" t="inlineStr">
        <is>
          <t>GÄVLEBORGS LÄN</t>
        </is>
      </c>
      <c r="E11962" t="inlineStr">
        <is>
          <t>SÖDERHAMN</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21524-2025</t>
        </is>
      </c>
      <c r="B11963" s="1" t="n">
        <v>45782.64039351852</v>
      </c>
      <c r="C11963" s="1" t="n">
        <v>46086</v>
      </c>
      <c r="D11963" t="inlineStr">
        <is>
          <t>GÄVLEBORGS LÄN</t>
        </is>
      </c>
      <c r="E11963" t="inlineStr">
        <is>
          <t>HUDIKSVALL</t>
        </is>
      </c>
      <c r="G11963" t="n">
        <v>3.7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46799-2024</t>
        </is>
      </c>
      <c r="B11964" s="1" t="n">
        <v>45583.54844907407</v>
      </c>
      <c r="C11964" s="1" t="n">
        <v>46086</v>
      </c>
      <c r="D11964" t="inlineStr">
        <is>
          <t>GÄVLEBORGS LÄN</t>
        </is>
      </c>
      <c r="E11964" t="inlineStr">
        <is>
          <t>BOLLNÄS</t>
        </is>
      </c>
      <c r="G11964" t="n">
        <v>2.2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42722-2024</t>
        </is>
      </c>
      <c r="B11965" s="1" t="n">
        <v>45566.46315972223</v>
      </c>
      <c r="C11965" s="1" t="n">
        <v>46086</v>
      </c>
      <c r="D11965" t="inlineStr">
        <is>
          <t>GÄVLEBORGS LÄN</t>
        </is>
      </c>
      <c r="E11965" t="inlineStr">
        <is>
          <t>OVANÅKER</t>
        </is>
      </c>
      <c r="G11965" t="n">
        <v>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12389-2023</t>
        </is>
      </c>
      <c r="B11966" s="1" t="n">
        <v>44999.47921296296</v>
      </c>
      <c r="C11966" s="1" t="n">
        <v>46086</v>
      </c>
      <c r="D11966" t="inlineStr">
        <is>
          <t>GÄVLEBORGS LÄN</t>
        </is>
      </c>
      <c r="E11966" t="inlineStr">
        <is>
          <t>NORDANSTIG</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20224-2024</t>
        </is>
      </c>
      <c r="B11967" s="1" t="n">
        <v>45434.70263888889</v>
      </c>
      <c r="C11967" s="1" t="n">
        <v>46086</v>
      </c>
      <c r="D11967" t="inlineStr">
        <is>
          <t>GÄVLEBORGS LÄN</t>
        </is>
      </c>
      <c r="E11967" t="inlineStr">
        <is>
          <t>BOLLNÄS</t>
        </is>
      </c>
      <c r="G11967" t="n">
        <v>4.8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21588-2025</t>
        </is>
      </c>
      <c r="B11968" s="1" t="n">
        <v>45783.30799768519</v>
      </c>
      <c r="C11968" s="1" t="n">
        <v>46086</v>
      </c>
      <c r="D11968" t="inlineStr">
        <is>
          <t>GÄVLEBORGS LÄN</t>
        </is>
      </c>
      <c r="E11968" t="inlineStr">
        <is>
          <t>LJUSDAL</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19135-2024</t>
        </is>
      </c>
      <c r="B11969" s="1" t="n">
        <v>45428</v>
      </c>
      <c r="C11969" s="1" t="n">
        <v>46086</v>
      </c>
      <c r="D11969" t="inlineStr">
        <is>
          <t>GÄVLEBORGS LÄN</t>
        </is>
      </c>
      <c r="E11969" t="inlineStr">
        <is>
          <t>BOLLNÄS</t>
        </is>
      </c>
      <c r="G11969" t="n">
        <v>4.7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21562-2025</t>
        </is>
      </c>
      <c r="B11970" s="1" t="n">
        <v>45782.69534722222</v>
      </c>
      <c r="C11970" s="1" t="n">
        <v>46086</v>
      </c>
      <c r="D11970" t="inlineStr">
        <is>
          <t>GÄVLEBORGS LÄN</t>
        </is>
      </c>
      <c r="E11970" t="inlineStr">
        <is>
          <t>BOLLNÄS</t>
        </is>
      </c>
      <c r="F11970" t="inlineStr">
        <is>
          <t>Sveaskog</t>
        </is>
      </c>
      <c r="G11970" t="n">
        <v>0.4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21334-2025</t>
        </is>
      </c>
      <c r="B11971" s="1" t="n">
        <v>45782.37358796296</v>
      </c>
      <c r="C11971" s="1" t="n">
        <v>46086</v>
      </c>
      <c r="D11971" t="inlineStr">
        <is>
          <t>GÄVLEBORGS LÄN</t>
        </is>
      </c>
      <c r="E11971" t="inlineStr">
        <is>
          <t>LJUSDAL</t>
        </is>
      </c>
      <c r="G11971" t="n">
        <v>6.8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21340-2025</t>
        </is>
      </c>
      <c r="B11972" s="1" t="n">
        <v>45782.38909722222</v>
      </c>
      <c r="C11972" s="1" t="n">
        <v>46086</v>
      </c>
      <c r="D11972" t="inlineStr">
        <is>
          <t>GÄVLEBORGS LÄN</t>
        </is>
      </c>
      <c r="E11972" t="inlineStr">
        <is>
          <t>HOFORS</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23780-2024</t>
        </is>
      </c>
      <c r="B11973" s="1" t="n">
        <v>45455.39258101852</v>
      </c>
      <c r="C11973" s="1" t="n">
        <v>46086</v>
      </c>
      <c r="D11973" t="inlineStr">
        <is>
          <t>GÄVLEBORGS LÄN</t>
        </is>
      </c>
      <c r="E11973" t="inlineStr">
        <is>
          <t>OCKELBO</t>
        </is>
      </c>
      <c r="G11973" t="n">
        <v>3.2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21873-2025</t>
        </is>
      </c>
      <c r="B11974" s="1" t="n">
        <v>45784.38891203704</v>
      </c>
      <c r="C11974" s="1" t="n">
        <v>46086</v>
      </c>
      <c r="D11974" t="inlineStr">
        <is>
          <t>GÄVLEBORGS LÄN</t>
        </is>
      </c>
      <c r="E11974" t="inlineStr">
        <is>
          <t>BOLLNÄS</t>
        </is>
      </c>
      <c r="G11974" t="n">
        <v>2.8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33199-2024</t>
        </is>
      </c>
      <c r="B11975" s="1" t="n">
        <v>45518.51728009259</v>
      </c>
      <c r="C11975" s="1" t="n">
        <v>46086</v>
      </c>
      <c r="D11975" t="inlineStr">
        <is>
          <t>GÄVLEBORGS LÄN</t>
        </is>
      </c>
      <c r="E11975" t="inlineStr">
        <is>
          <t>LJUSDAL</t>
        </is>
      </c>
      <c r="F11975" t="inlineStr">
        <is>
          <t>Bergvik skog väst AB</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36256-2024</t>
        </is>
      </c>
      <c r="B11976" s="1" t="n">
        <v>45534</v>
      </c>
      <c r="C11976" s="1" t="n">
        <v>46086</v>
      </c>
      <c r="D11976" t="inlineStr">
        <is>
          <t>GÄVLEBORGS LÄN</t>
        </is>
      </c>
      <c r="E11976" t="inlineStr">
        <is>
          <t>BOLLNÄS</t>
        </is>
      </c>
      <c r="G11976" t="n">
        <v>3.1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42541-2024</t>
        </is>
      </c>
      <c r="B11977" s="1" t="n">
        <v>45565.58790509259</v>
      </c>
      <c r="C11977" s="1" t="n">
        <v>46086</v>
      </c>
      <c r="D11977" t="inlineStr">
        <is>
          <t>GÄVLEBORGS LÄN</t>
        </is>
      </c>
      <c r="E11977" t="inlineStr">
        <is>
          <t>BOLLNÄS</t>
        </is>
      </c>
      <c r="G11977" t="n">
        <v>3.3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42579-2024</t>
        </is>
      </c>
      <c r="B11978" s="1" t="n">
        <v>45565.65407407407</v>
      </c>
      <c r="C11978" s="1" t="n">
        <v>46086</v>
      </c>
      <c r="D11978" t="inlineStr">
        <is>
          <t>GÄVLEBORGS LÄN</t>
        </is>
      </c>
      <c r="E11978" t="inlineStr">
        <is>
          <t>BOLLNÄS</t>
        </is>
      </c>
      <c r="G11978" t="n">
        <v>7.9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48319-2023</t>
        </is>
      </c>
      <c r="B11979" s="1" t="n">
        <v>45205.59666666666</v>
      </c>
      <c r="C11979" s="1" t="n">
        <v>46086</v>
      </c>
      <c r="D11979" t="inlineStr">
        <is>
          <t>GÄVLEBORGS LÄN</t>
        </is>
      </c>
      <c r="E11979" t="inlineStr">
        <is>
          <t>SANDVIKEN</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21886-2025</t>
        </is>
      </c>
      <c r="B11980" s="1" t="n">
        <v>45784.42454861111</v>
      </c>
      <c r="C11980" s="1" t="n">
        <v>46086</v>
      </c>
      <c r="D11980" t="inlineStr">
        <is>
          <t>GÄVLEBORGS LÄN</t>
        </is>
      </c>
      <c r="E11980" t="inlineStr">
        <is>
          <t>OCKELBO</t>
        </is>
      </c>
      <c r="G11980" t="n">
        <v>4.8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30879-2024</t>
        </is>
      </c>
      <c r="B11981" s="1" t="n">
        <v>45498.35340277778</v>
      </c>
      <c r="C11981" s="1" t="n">
        <v>46086</v>
      </c>
      <c r="D11981" t="inlineStr">
        <is>
          <t>GÄVLEBORGS LÄN</t>
        </is>
      </c>
      <c r="E11981" t="inlineStr">
        <is>
          <t>NORDANSTIG</t>
        </is>
      </c>
      <c r="F11981" t="inlineStr">
        <is>
          <t>Holmen skog AB</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33384-2024</t>
        </is>
      </c>
      <c r="B11982" s="1" t="n">
        <v>45519.47035879629</v>
      </c>
      <c r="C11982" s="1" t="n">
        <v>46086</v>
      </c>
      <c r="D11982" t="inlineStr">
        <is>
          <t>GÄVLEBORGS LÄN</t>
        </is>
      </c>
      <c r="E11982" t="inlineStr">
        <is>
          <t>OCKELBO</t>
        </is>
      </c>
      <c r="G11982" t="n">
        <v>3.8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55446-2024</t>
        </is>
      </c>
      <c r="B11983" s="1" t="n">
        <v>45622.41663194444</v>
      </c>
      <c r="C11983" s="1" t="n">
        <v>46086</v>
      </c>
      <c r="D11983" t="inlineStr">
        <is>
          <t>GÄVLEBORGS LÄN</t>
        </is>
      </c>
      <c r="E11983" t="inlineStr">
        <is>
          <t>SANDVIKEN</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37916-2024</t>
        </is>
      </c>
      <c r="B11984" s="1" t="n">
        <v>45544.46974537037</v>
      </c>
      <c r="C11984" s="1" t="n">
        <v>46086</v>
      </c>
      <c r="D11984" t="inlineStr">
        <is>
          <t>GÄVLEBORGS LÄN</t>
        </is>
      </c>
      <c r="E11984" t="inlineStr">
        <is>
          <t>SÖDERHAMN</t>
        </is>
      </c>
      <c r="G11984" t="n">
        <v>2.6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47676-2024</t>
        </is>
      </c>
      <c r="B11985" s="1" t="n">
        <v>45588.40865740741</v>
      </c>
      <c r="C11985" s="1" t="n">
        <v>46086</v>
      </c>
      <c r="D11985" t="inlineStr">
        <is>
          <t>GÄVLEBORGS LÄN</t>
        </is>
      </c>
      <c r="E11985" t="inlineStr">
        <is>
          <t>SÖDERHAMN</t>
        </is>
      </c>
      <c r="G11985" t="n">
        <v>2.9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22188-2025</t>
        </is>
      </c>
      <c r="B11986" s="1" t="n">
        <v>45785.62377314815</v>
      </c>
      <c r="C11986" s="1" t="n">
        <v>46086</v>
      </c>
      <c r="D11986" t="inlineStr">
        <is>
          <t>GÄVLEBORGS LÄN</t>
        </is>
      </c>
      <c r="E11986" t="inlineStr">
        <is>
          <t>HUDIKSVALL</t>
        </is>
      </c>
      <c r="G11986" t="n">
        <v>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22194-2025</t>
        </is>
      </c>
      <c r="B11987" s="1" t="n">
        <v>45785.64438657407</v>
      </c>
      <c r="C11987" s="1" t="n">
        <v>46086</v>
      </c>
      <c r="D11987" t="inlineStr">
        <is>
          <t>GÄVLEBORGS LÄN</t>
        </is>
      </c>
      <c r="E11987" t="inlineStr">
        <is>
          <t>LJUSDAL</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63952-2023</t>
        </is>
      </c>
      <c r="B11988" s="1" t="n">
        <v>45278</v>
      </c>
      <c r="C11988" s="1" t="n">
        <v>46086</v>
      </c>
      <c r="D11988" t="inlineStr">
        <is>
          <t>GÄVLEBORGS LÄN</t>
        </is>
      </c>
      <c r="E11988" t="inlineStr">
        <is>
          <t>HUDIKSVALL</t>
        </is>
      </c>
      <c r="F11988" t="inlineStr">
        <is>
          <t>Holmen skog AB</t>
        </is>
      </c>
      <c r="G11988" t="n">
        <v>7.2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3256-2025</t>
        </is>
      </c>
      <c r="B11989" s="1" t="n">
        <v>45679.55258101852</v>
      </c>
      <c r="C11989" s="1" t="n">
        <v>46086</v>
      </c>
      <c r="D11989" t="inlineStr">
        <is>
          <t>GÄVLEBORGS LÄN</t>
        </is>
      </c>
      <c r="E11989" t="inlineStr">
        <is>
          <t>SANDVIKEN</t>
        </is>
      </c>
      <c r="G11989" t="n">
        <v>2.2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48270-2024</t>
        </is>
      </c>
      <c r="B11990" s="1" t="n">
        <v>45590.4315162037</v>
      </c>
      <c r="C11990" s="1" t="n">
        <v>46086</v>
      </c>
      <c r="D11990" t="inlineStr">
        <is>
          <t>GÄVLEBORGS LÄN</t>
        </is>
      </c>
      <c r="E11990" t="inlineStr">
        <is>
          <t>BOLLNÄS</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23335-2024</t>
        </is>
      </c>
      <c r="B11991" s="1" t="n">
        <v>45453</v>
      </c>
      <c r="C11991" s="1" t="n">
        <v>46086</v>
      </c>
      <c r="D11991" t="inlineStr">
        <is>
          <t>GÄVLEBORGS LÄN</t>
        </is>
      </c>
      <c r="E11991" t="inlineStr">
        <is>
          <t>BOLLNÄS</t>
        </is>
      </c>
      <c r="G11991" t="n">
        <v>2.7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27545-2024</t>
        </is>
      </c>
      <c r="B11992" s="1" t="n">
        <v>45474.60293981482</v>
      </c>
      <c r="C11992" s="1" t="n">
        <v>46086</v>
      </c>
      <c r="D11992" t="inlineStr">
        <is>
          <t>GÄVLEBORGS LÄN</t>
        </is>
      </c>
      <c r="E11992" t="inlineStr">
        <is>
          <t>HUDIKSVALL</t>
        </is>
      </c>
      <c r="G11992" t="n">
        <v>9.300000000000001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40520-2024</t>
        </is>
      </c>
      <c r="B11993" s="1" t="n">
        <v>45555.5937962963</v>
      </c>
      <c r="C11993" s="1" t="n">
        <v>46086</v>
      </c>
      <c r="D11993" t="inlineStr">
        <is>
          <t>GÄVLEBORGS LÄN</t>
        </is>
      </c>
      <c r="E11993" t="inlineStr">
        <is>
          <t>BOLLNÄS</t>
        </is>
      </c>
      <c r="G11993" t="n">
        <v>3.4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19144-2024</t>
        </is>
      </c>
      <c r="B11994" s="1" t="n">
        <v>45428</v>
      </c>
      <c r="C11994" s="1" t="n">
        <v>46086</v>
      </c>
      <c r="D11994" t="inlineStr">
        <is>
          <t>GÄVLEBORGS LÄN</t>
        </is>
      </c>
      <c r="E11994" t="inlineStr">
        <is>
          <t>BOLLNÄS</t>
        </is>
      </c>
      <c r="G11994" t="n">
        <v>3.2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31649-2024</t>
        </is>
      </c>
      <c r="B11995" s="1" t="n">
        <v>45506.62546296296</v>
      </c>
      <c r="C11995" s="1" t="n">
        <v>46086</v>
      </c>
      <c r="D11995" t="inlineStr">
        <is>
          <t>GÄVLEBORGS LÄN</t>
        </is>
      </c>
      <c r="E11995" t="inlineStr">
        <is>
          <t>BOLLNÄS</t>
        </is>
      </c>
      <c r="G11995" t="n">
        <v>2.3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22713-2024</t>
        </is>
      </c>
      <c r="B11996" s="1" t="n">
        <v>45448.35930555555</v>
      </c>
      <c r="C11996" s="1" t="n">
        <v>46086</v>
      </c>
      <c r="D11996" t="inlineStr">
        <is>
          <t>GÄVLEBORGS LÄN</t>
        </is>
      </c>
      <c r="E11996" t="inlineStr">
        <is>
          <t>LJUSDAL</t>
        </is>
      </c>
      <c r="G11996" t="n">
        <v>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43504-2024</t>
        </is>
      </c>
      <c r="B11997" s="1" t="n">
        <v>45569.30541666667</v>
      </c>
      <c r="C11997" s="1" t="n">
        <v>46086</v>
      </c>
      <c r="D11997" t="inlineStr">
        <is>
          <t>GÄVLEBORGS LÄN</t>
        </is>
      </c>
      <c r="E11997" t="inlineStr">
        <is>
          <t>OVANÅKER</t>
        </is>
      </c>
      <c r="G11997" t="n">
        <v>6.5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13630-2024</t>
        </is>
      </c>
      <c r="B11998" s="1" t="n">
        <v>45390.40768518519</v>
      </c>
      <c r="C11998" s="1" t="n">
        <v>46086</v>
      </c>
      <c r="D11998" t="inlineStr">
        <is>
          <t>GÄVLEBORGS LÄN</t>
        </is>
      </c>
      <c r="E11998" t="inlineStr">
        <is>
          <t>BOLLNÄS</t>
        </is>
      </c>
      <c r="F11998" t="inlineStr">
        <is>
          <t>Holmen skog AB</t>
        </is>
      </c>
      <c r="G11998" t="n">
        <v>6.4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22015-2025</t>
        </is>
      </c>
      <c r="B11999" s="1" t="n">
        <v>45784.78133101852</v>
      </c>
      <c r="C11999" s="1" t="n">
        <v>46086</v>
      </c>
      <c r="D11999" t="inlineStr">
        <is>
          <t>GÄVLEBORGS LÄN</t>
        </is>
      </c>
      <c r="E11999" t="inlineStr">
        <is>
          <t>HUDIKSVALL</t>
        </is>
      </c>
      <c r="F11999" t="inlineStr">
        <is>
          <t>Holmen skog AB</t>
        </is>
      </c>
      <c r="G11999" t="n">
        <v>14.3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31023-2024</t>
        </is>
      </c>
      <c r="B12000" s="1" t="n">
        <v>45500.43938657407</v>
      </c>
      <c r="C12000" s="1" t="n">
        <v>46086</v>
      </c>
      <c r="D12000" t="inlineStr">
        <is>
          <t>GÄVLEBORGS LÄN</t>
        </is>
      </c>
      <c r="E12000" t="inlineStr">
        <is>
          <t>BOLLNÄS</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40460-2024</t>
        </is>
      </c>
      <c r="B12001" s="1" t="n">
        <v>45555.50784722222</v>
      </c>
      <c r="C12001" s="1" t="n">
        <v>46086</v>
      </c>
      <c r="D12001" t="inlineStr">
        <is>
          <t>GÄVLEBORGS LÄN</t>
        </is>
      </c>
      <c r="E12001" t="inlineStr">
        <is>
          <t>SANDVIKEN</t>
        </is>
      </c>
      <c r="G12001" t="n">
        <v>2.4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42580-2024</t>
        </is>
      </c>
      <c r="B12002" s="1" t="n">
        <v>45565.65543981481</v>
      </c>
      <c r="C12002" s="1" t="n">
        <v>46086</v>
      </c>
      <c r="D12002" t="inlineStr">
        <is>
          <t>GÄVLEBORGS LÄN</t>
        </is>
      </c>
      <c r="E12002" t="inlineStr">
        <is>
          <t>BOLLNÄS</t>
        </is>
      </c>
      <c r="G12002" t="n">
        <v>7.9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7202-2025</t>
        </is>
      </c>
      <c r="B12003" s="1" t="n">
        <v>45702.46539351852</v>
      </c>
      <c r="C12003" s="1" t="n">
        <v>46086</v>
      </c>
      <c r="D12003" t="inlineStr">
        <is>
          <t>GÄVLEBORGS LÄN</t>
        </is>
      </c>
      <c r="E12003" t="inlineStr">
        <is>
          <t>GÄVLE</t>
        </is>
      </c>
      <c r="F12003" t="inlineStr">
        <is>
          <t>Bergvik skog öst AB</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15775-2025</t>
        </is>
      </c>
      <c r="B12004" s="1" t="n">
        <v>45748.59644675926</v>
      </c>
      <c r="C12004" s="1" t="n">
        <v>46086</v>
      </c>
      <c r="D12004" t="inlineStr">
        <is>
          <t>GÄVLEBORGS LÄN</t>
        </is>
      </c>
      <c r="E12004" t="inlineStr">
        <is>
          <t>HUDIKSVALL</t>
        </is>
      </c>
      <c r="F12004" t="inlineStr">
        <is>
          <t>Kommuner</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21928-2025</t>
        </is>
      </c>
      <c r="B12005" s="1" t="n">
        <v>45784.54953703703</v>
      </c>
      <c r="C12005" s="1" t="n">
        <v>46086</v>
      </c>
      <c r="D12005" t="inlineStr">
        <is>
          <t>GÄVLEBORGS LÄN</t>
        </is>
      </c>
      <c r="E12005" t="inlineStr">
        <is>
          <t>NORDANSTIG</t>
        </is>
      </c>
      <c r="G12005" t="n">
        <v>2.8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21940-2025</t>
        </is>
      </c>
      <c r="B12006" s="1" t="n">
        <v>45784.58482638889</v>
      </c>
      <c r="C12006" s="1" t="n">
        <v>46086</v>
      </c>
      <c r="D12006" t="inlineStr">
        <is>
          <t>GÄVLEBORGS LÄN</t>
        </is>
      </c>
      <c r="E12006" t="inlineStr">
        <is>
          <t>LJUSDAL</t>
        </is>
      </c>
      <c r="G12006" t="n">
        <v>4.1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52273-2024</t>
        </is>
      </c>
      <c r="B12007" s="1" t="n">
        <v>45608.66064814815</v>
      </c>
      <c r="C12007" s="1" t="n">
        <v>46086</v>
      </c>
      <c r="D12007" t="inlineStr">
        <is>
          <t>GÄVLEBORGS LÄN</t>
        </is>
      </c>
      <c r="E12007" t="inlineStr">
        <is>
          <t>OCKELBO</t>
        </is>
      </c>
      <c r="G12007" t="n">
        <v>2.9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52748-2024</t>
        </is>
      </c>
      <c r="B12008" s="1" t="n">
        <v>45610.48736111111</v>
      </c>
      <c r="C12008" s="1" t="n">
        <v>46086</v>
      </c>
      <c r="D12008" t="inlineStr">
        <is>
          <t>GÄVLEBORGS LÄN</t>
        </is>
      </c>
      <c r="E12008" t="inlineStr">
        <is>
          <t>BOLLNÄS</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56229-2024</t>
        </is>
      </c>
      <c r="B12009" s="1" t="n">
        <v>45624.61965277778</v>
      </c>
      <c r="C12009" s="1" t="n">
        <v>46086</v>
      </c>
      <c r="D12009" t="inlineStr">
        <is>
          <t>GÄVLEBORGS LÄN</t>
        </is>
      </c>
      <c r="E12009" t="inlineStr">
        <is>
          <t>BOLLNÄS</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41385-2024</t>
        </is>
      </c>
      <c r="B12010" s="1" t="n">
        <v>45560.29936342593</v>
      </c>
      <c r="C12010" s="1" t="n">
        <v>46086</v>
      </c>
      <c r="D12010" t="inlineStr">
        <is>
          <t>GÄVLEBORGS LÄN</t>
        </is>
      </c>
      <c r="E12010" t="inlineStr">
        <is>
          <t>LJUSDAL</t>
        </is>
      </c>
      <c r="G12010" t="n">
        <v>3.4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28083-2024</t>
        </is>
      </c>
      <c r="B12011" s="1" t="n">
        <v>45476.59189814814</v>
      </c>
      <c r="C12011" s="1" t="n">
        <v>46086</v>
      </c>
      <c r="D12011" t="inlineStr">
        <is>
          <t>GÄVLEBORGS LÄN</t>
        </is>
      </c>
      <c r="E12011" t="inlineStr">
        <is>
          <t>BOLLNÄS</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41525-2022</t>
        </is>
      </c>
      <c r="B12012" s="1" t="n">
        <v>44827.34787037037</v>
      </c>
      <c r="C12012" s="1" t="n">
        <v>46086</v>
      </c>
      <c r="D12012" t="inlineStr">
        <is>
          <t>GÄVLEBORGS LÄN</t>
        </is>
      </c>
      <c r="E12012" t="inlineStr">
        <is>
          <t>LJUSDAL</t>
        </is>
      </c>
      <c r="F12012" t="inlineStr">
        <is>
          <t>Holmen skog AB</t>
        </is>
      </c>
      <c r="G12012" t="n">
        <v>1.4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44344-2024</t>
        </is>
      </c>
      <c r="B12013" s="1" t="n">
        <v>45573.62100694444</v>
      </c>
      <c r="C12013" s="1" t="n">
        <v>46086</v>
      </c>
      <c r="D12013" t="inlineStr">
        <is>
          <t>GÄVLEBORGS LÄN</t>
        </is>
      </c>
      <c r="E12013" t="inlineStr">
        <is>
          <t>BOLLNÄS</t>
        </is>
      </c>
      <c r="G12013" t="n">
        <v>3.1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44120-2022</t>
        </is>
      </c>
      <c r="B12014" s="1" t="n">
        <v>44839.39199074074</v>
      </c>
      <c r="C12014" s="1" t="n">
        <v>46086</v>
      </c>
      <c r="D12014" t="inlineStr">
        <is>
          <t>GÄVLEBORGS LÄN</t>
        </is>
      </c>
      <c r="E12014" t="inlineStr">
        <is>
          <t>BOLLNÄS</t>
        </is>
      </c>
      <c r="G12014" t="n">
        <v>10.3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43750-2023</t>
        </is>
      </c>
      <c r="B12015" s="1" t="n">
        <v>45187</v>
      </c>
      <c r="C12015" s="1" t="n">
        <v>46086</v>
      </c>
      <c r="D12015" t="inlineStr">
        <is>
          <t>GÄVLEBORGS LÄN</t>
        </is>
      </c>
      <c r="E12015" t="inlineStr">
        <is>
          <t>BOLLNÄS</t>
        </is>
      </c>
      <c r="G12015" t="n">
        <v>2.8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37071-2024</t>
        </is>
      </c>
      <c r="B12016" s="1" t="n">
        <v>45539.46820601852</v>
      </c>
      <c r="C12016" s="1" t="n">
        <v>46086</v>
      </c>
      <c r="D12016" t="inlineStr">
        <is>
          <t>GÄVLEBORGS LÄN</t>
        </is>
      </c>
      <c r="E12016" t="inlineStr">
        <is>
          <t>OVANÅKER</t>
        </is>
      </c>
      <c r="F12016" t="inlineStr">
        <is>
          <t>Bergvik skog väst AB</t>
        </is>
      </c>
      <c r="G12016" t="n">
        <v>2.7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37848-2024</t>
        </is>
      </c>
      <c r="B12017" s="1" t="n">
        <v>45544.3709837963</v>
      </c>
      <c r="C12017" s="1" t="n">
        <v>46086</v>
      </c>
      <c r="D12017" t="inlineStr">
        <is>
          <t>GÄVLEBORGS LÄN</t>
        </is>
      </c>
      <c r="E12017" t="inlineStr">
        <is>
          <t>OCKELBO</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22105-2025</t>
        </is>
      </c>
      <c r="B12018" s="1" t="n">
        <v>45785.48791666667</v>
      </c>
      <c r="C12018" s="1" t="n">
        <v>46086</v>
      </c>
      <c r="D12018" t="inlineStr">
        <is>
          <t>GÄVLEBORGS LÄN</t>
        </is>
      </c>
      <c r="E12018" t="inlineStr">
        <is>
          <t>OCKELBO</t>
        </is>
      </c>
      <c r="G12018" t="n">
        <v>2.2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22148-2025</t>
        </is>
      </c>
      <c r="B12019" s="1" t="n">
        <v>45785.5562037037</v>
      </c>
      <c r="C12019" s="1" t="n">
        <v>46086</v>
      </c>
      <c r="D12019" t="inlineStr">
        <is>
          <t>GÄVLEBORGS LÄN</t>
        </is>
      </c>
      <c r="E12019" t="inlineStr">
        <is>
          <t>HUDIKSVALL</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52165-2023</t>
        </is>
      </c>
      <c r="B12020" s="1" t="n">
        <v>45224.33109953703</v>
      </c>
      <c r="C12020" s="1" t="n">
        <v>46086</v>
      </c>
      <c r="D12020" t="inlineStr">
        <is>
          <t>GÄVLEBORGS LÄN</t>
        </is>
      </c>
      <c r="E12020" t="inlineStr">
        <is>
          <t>OVANÅKER</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58645-2024</t>
        </is>
      </c>
      <c r="B12021" s="1" t="n">
        <v>45632</v>
      </c>
      <c r="C12021" s="1" t="n">
        <v>46086</v>
      </c>
      <c r="D12021" t="inlineStr">
        <is>
          <t>GÄVLEBORGS LÄN</t>
        </is>
      </c>
      <c r="E12021" t="inlineStr">
        <is>
          <t>OVANÅKER</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21933-2025</t>
        </is>
      </c>
      <c r="B12022" s="1" t="n">
        <v>45784</v>
      </c>
      <c r="C12022" s="1" t="n">
        <v>46086</v>
      </c>
      <c r="D12022" t="inlineStr">
        <is>
          <t>GÄVLEBORGS LÄN</t>
        </is>
      </c>
      <c r="E12022" t="inlineStr">
        <is>
          <t>HUDIKSVALL</t>
        </is>
      </c>
      <c r="F12022" t="inlineStr">
        <is>
          <t>Holmen skog AB</t>
        </is>
      </c>
      <c r="G12022" t="n">
        <v>10.5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22786-2024</t>
        </is>
      </c>
      <c r="B12023" s="1" t="n">
        <v>45448.48175925926</v>
      </c>
      <c r="C12023" s="1" t="n">
        <v>46086</v>
      </c>
      <c r="D12023" t="inlineStr">
        <is>
          <t>GÄVLEBORGS LÄN</t>
        </is>
      </c>
      <c r="E12023" t="inlineStr">
        <is>
          <t>LJUSDAL</t>
        </is>
      </c>
      <c r="F12023" t="inlineStr">
        <is>
          <t>Sveaskog</t>
        </is>
      </c>
      <c r="G12023" t="n">
        <v>4.2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36059-2023</t>
        </is>
      </c>
      <c r="B12024" s="1" t="n">
        <v>45149.45503472222</v>
      </c>
      <c r="C12024" s="1" t="n">
        <v>46086</v>
      </c>
      <c r="D12024" t="inlineStr">
        <is>
          <t>GÄVLEBORGS LÄN</t>
        </is>
      </c>
      <c r="E12024" t="inlineStr">
        <is>
          <t>SÖDERHAMN</t>
        </is>
      </c>
      <c r="G12024" t="n">
        <v>6.2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41284-2023</t>
        </is>
      </c>
      <c r="B12025" s="1" t="n">
        <v>45174</v>
      </c>
      <c r="C12025" s="1" t="n">
        <v>46086</v>
      </c>
      <c r="D12025" t="inlineStr">
        <is>
          <t>GÄVLEBORGS LÄN</t>
        </is>
      </c>
      <c r="E12025" t="inlineStr">
        <is>
          <t>SANDVIKEN</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59044-2023</t>
        </is>
      </c>
      <c r="B12026" s="1" t="n">
        <v>45252.72782407407</v>
      </c>
      <c r="C12026" s="1" t="n">
        <v>46086</v>
      </c>
      <c r="D12026" t="inlineStr">
        <is>
          <t>GÄVLEBORGS LÄN</t>
        </is>
      </c>
      <c r="E12026" t="inlineStr">
        <is>
          <t>GÄVLE</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60253-2023</t>
        </is>
      </c>
      <c r="B12027" s="1" t="n">
        <v>45258</v>
      </c>
      <c r="C12027" s="1" t="n">
        <v>46086</v>
      </c>
      <c r="D12027" t="inlineStr">
        <is>
          <t>GÄVLEBORGS LÄN</t>
        </is>
      </c>
      <c r="E12027" t="inlineStr">
        <is>
          <t>OCKELBO</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21966-2025</t>
        </is>
      </c>
      <c r="B12028" s="1" t="n">
        <v>45784.62677083333</v>
      </c>
      <c r="C12028" s="1" t="n">
        <v>46086</v>
      </c>
      <c r="D12028" t="inlineStr">
        <is>
          <t>GÄVLEBORGS LÄN</t>
        </is>
      </c>
      <c r="E12028" t="inlineStr">
        <is>
          <t>GÄVLE</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18297-2024</t>
        </is>
      </c>
      <c r="B12029" s="1" t="n">
        <v>45422.43357638889</v>
      </c>
      <c r="C12029" s="1" t="n">
        <v>46086</v>
      </c>
      <c r="D12029" t="inlineStr">
        <is>
          <t>GÄVLEBORGS LÄN</t>
        </is>
      </c>
      <c r="E12029" t="inlineStr">
        <is>
          <t>LJUSDAL</t>
        </is>
      </c>
      <c r="F12029" t="inlineStr">
        <is>
          <t>Holmen skog AB</t>
        </is>
      </c>
      <c r="G12029" t="n">
        <v>1.6</v>
      </c>
      <c r="H12029" t="n">
        <v>0</v>
      </c>
      <c r="I12029" t="n">
        <v>0</v>
      </c>
      <c r="J12029" t="n">
        <v>0</v>
      </c>
      <c r="K12029" t="n">
        <v>0</v>
      </c>
      <c r="L12029" t="n">
        <v>0</v>
      </c>
      <c r="M12029" t="n">
        <v>0</v>
      </c>
      <c r="N12029" t="n">
        <v>0</v>
      </c>
      <c r="O12029" t="n">
        <v>0</v>
      </c>
      <c r="P12029" t="n">
        <v>0</v>
      </c>
      <c r="Q12029" t="n">
        <v>0</v>
      </c>
      <c r="R12029" s="2" t="inlineStr"/>
      <c r="U12029">
        <f>HYPERLINK("https://klasma.github.io/Logging_2161/knärot/A 18297-2024 karta knärot.png", "A 18297-2024")</f>
        <v/>
      </c>
      <c r="V12029">
        <f>HYPERLINK("https://klasma.github.io/Logging_2161/klagomål/A 18297-2024 FSC-klagomål.docx", "A 18297-2024")</f>
        <v/>
      </c>
      <c r="W12029">
        <f>HYPERLINK("https://klasma.github.io/Logging_2161/klagomålsmail/A 18297-2024 FSC-klagomål mail.docx", "A 18297-2024")</f>
        <v/>
      </c>
      <c r="X12029">
        <f>HYPERLINK("https://klasma.github.io/Logging_2161/tillsyn/A 18297-2024 tillsynsbegäran.docx", "A 18297-2024")</f>
        <v/>
      </c>
      <c r="Y12029">
        <f>HYPERLINK("https://klasma.github.io/Logging_2161/tillsynsmail/A 18297-2024 tillsynsbegäran mail.docx", "A 18297-2024")</f>
        <v/>
      </c>
    </row>
    <row r="12030" ht="15" customHeight="1">
      <c r="A12030" t="inlineStr">
        <is>
          <t>A 10105-2024</t>
        </is>
      </c>
      <c r="B12030" s="1" t="n">
        <v>45364.53116898148</v>
      </c>
      <c r="C12030" s="1" t="n">
        <v>46086</v>
      </c>
      <c r="D12030" t="inlineStr">
        <is>
          <t>GÄVLEBORGS LÄN</t>
        </is>
      </c>
      <c r="E12030" t="inlineStr">
        <is>
          <t>LJUSDAL</t>
        </is>
      </c>
      <c r="G12030" t="n">
        <v>4.4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18189-2024</t>
        </is>
      </c>
      <c r="B12031" s="1" t="n">
        <v>45420.65974537037</v>
      </c>
      <c r="C12031" s="1" t="n">
        <v>46086</v>
      </c>
      <c r="D12031" t="inlineStr">
        <is>
          <t>GÄVLEBORGS LÄN</t>
        </is>
      </c>
      <c r="E12031" t="inlineStr">
        <is>
          <t>SÖDERHAMN</t>
        </is>
      </c>
      <c r="F12031" t="inlineStr">
        <is>
          <t>Bergvik skog väst AB</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22163-2025</t>
        </is>
      </c>
      <c r="B12032" s="1" t="n">
        <v>45785.59113425926</v>
      </c>
      <c r="C12032" s="1" t="n">
        <v>46086</v>
      </c>
      <c r="D12032" t="inlineStr">
        <is>
          <t>GÄVLEBORGS LÄN</t>
        </is>
      </c>
      <c r="E12032" t="inlineStr">
        <is>
          <t>LJUSDAL</t>
        </is>
      </c>
      <c r="G12032" t="n">
        <v>2.6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69521-2021</t>
        </is>
      </c>
      <c r="B12033" s="1" t="n">
        <v>44531.86046296296</v>
      </c>
      <c r="C12033" s="1" t="n">
        <v>46086</v>
      </c>
      <c r="D12033" t="inlineStr">
        <is>
          <t>GÄVLEBORGS LÄN</t>
        </is>
      </c>
      <c r="E12033" t="inlineStr">
        <is>
          <t>SANDVIKEN</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23093-2022</t>
        </is>
      </c>
      <c r="B12034" s="1" t="n">
        <v>44719.4865625</v>
      </c>
      <c r="C12034" s="1" t="n">
        <v>46086</v>
      </c>
      <c r="D12034" t="inlineStr">
        <is>
          <t>GÄVLEBORGS LÄN</t>
        </is>
      </c>
      <c r="E12034" t="inlineStr">
        <is>
          <t>OVANÅKER</t>
        </is>
      </c>
      <c r="G12034" t="n">
        <v>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56019-2023</t>
        </is>
      </c>
      <c r="B12035" s="1" t="n">
        <v>45240.42166666667</v>
      </c>
      <c r="C12035" s="1" t="n">
        <v>46086</v>
      </c>
      <c r="D12035" t="inlineStr">
        <is>
          <t>GÄVLEBORGS LÄN</t>
        </is>
      </c>
      <c r="E12035" t="inlineStr">
        <is>
          <t>SANDVIKEN</t>
        </is>
      </c>
      <c r="G12035" t="n">
        <v>3.3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22134-2025</t>
        </is>
      </c>
      <c r="B12036" s="1" t="n">
        <v>45785.54400462963</v>
      </c>
      <c r="C12036" s="1" t="n">
        <v>46086</v>
      </c>
      <c r="D12036" t="inlineStr">
        <is>
          <t>GÄVLEBORGS LÄN</t>
        </is>
      </c>
      <c r="E12036" t="inlineStr">
        <is>
          <t>BOLLNÄS</t>
        </is>
      </c>
      <c r="G12036" t="n">
        <v>3.3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55910-2024</t>
        </is>
      </c>
      <c r="B12037" s="1" t="n">
        <v>45623.58634259259</v>
      </c>
      <c r="C12037" s="1" t="n">
        <v>46086</v>
      </c>
      <c r="D12037" t="inlineStr">
        <is>
          <t>GÄVLEBORGS LÄN</t>
        </is>
      </c>
      <c r="E12037" t="inlineStr">
        <is>
          <t>OVANÅKER</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32470-2023</t>
        </is>
      </c>
      <c r="B12038" s="1" t="n">
        <v>45120.92684027777</v>
      </c>
      <c r="C12038" s="1" t="n">
        <v>46086</v>
      </c>
      <c r="D12038" t="inlineStr">
        <is>
          <t>GÄVLEBORGS LÄN</t>
        </is>
      </c>
      <c r="E12038" t="inlineStr">
        <is>
          <t>NORDANSTIG</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20897-2024</t>
        </is>
      </c>
      <c r="B12039" s="1" t="n">
        <v>45439.46805555555</v>
      </c>
      <c r="C12039" s="1" t="n">
        <v>46086</v>
      </c>
      <c r="D12039" t="inlineStr">
        <is>
          <t>GÄVLEBORGS LÄN</t>
        </is>
      </c>
      <c r="E12039" t="inlineStr">
        <is>
          <t>LJUSDAL</t>
        </is>
      </c>
      <c r="G12039" t="n">
        <v>4.6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21921-2025</t>
        </is>
      </c>
      <c r="B12040" s="1" t="n">
        <v>45784.52148148148</v>
      </c>
      <c r="C12040" s="1" t="n">
        <v>46086</v>
      </c>
      <c r="D12040" t="inlineStr">
        <is>
          <t>GÄVLEBORGS LÄN</t>
        </is>
      </c>
      <c r="E12040" t="inlineStr">
        <is>
          <t>NORDANSTIG</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21957-2025</t>
        </is>
      </c>
      <c r="B12041" s="1" t="n">
        <v>45784.6053587963</v>
      </c>
      <c r="C12041" s="1" t="n">
        <v>46086</v>
      </c>
      <c r="D12041" t="inlineStr">
        <is>
          <t>GÄVLEBORGS LÄN</t>
        </is>
      </c>
      <c r="E12041" t="inlineStr">
        <is>
          <t>LJUSDAL</t>
        </is>
      </c>
      <c r="G12041" t="n">
        <v>5.5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42950-2023</t>
        </is>
      </c>
      <c r="B12042" s="1" t="n">
        <v>45178</v>
      </c>
      <c r="C12042" s="1" t="n">
        <v>46086</v>
      </c>
      <c r="D12042" t="inlineStr">
        <is>
          <t>GÄVLEBORGS LÄN</t>
        </is>
      </c>
      <c r="E12042" t="inlineStr">
        <is>
          <t>SANDVIKEN</t>
        </is>
      </c>
      <c r="F12042" t="inlineStr">
        <is>
          <t>Bergvik skog väst AB</t>
        </is>
      </c>
      <c r="G12042" t="n">
        <v>16.5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35789-2024</t>
        </is>
      </c>
      <c r="B12043" s="1" t="n">
        <v>45532</v>
      </c>
      <c r="C12043" s="1" t="n">
        <v>46086</v>
      </c>
      <c r="D12043" t="inlineStr">
        <is>
          <t>GÄVLEBORGS LÄN</t>
        </is>
      </c>
      <c r="E12043" t="inlineStr">
        <is>
          <t>LJUSDAL</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3862-2024</t>
        </is>
      </c>
      <c r="B12044" s="1" t="n">
        <v>45322.38930555555</v>
      </c>
      <c r="C12044" s="1" t="n">
        <v>46086</v>
      </c>
      <c r="D12044" t="inlineStr">
        <is>
          <t>GÄVLEBORGS LÄN</t>
        </is>
      </c>
      <c r="E12044" t="inlineStr">
        <is>
          <t>GÄVLE</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33947-2024</t>
        </is>
      </c>
      <c r="B12045" s="1" t="n">
        <v>45523</v>
      </c>
      <c r="C12045" s="1" t="n">
        <v>46086</v>
      </c>
      <c r="D12045" t="inlineStr">
        <is>
          <t>GÄVLEBORGS LÄN</t>
        </is>
      </c>
      <c r="E12045" t="inlineStr">
        <is>
          <t>LJUSDAL</t>
        </is>
      </c>
      <c r="G12045" t="n">
        <v>2.8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41670-2024</t>
        </is>
      </c>
      <c r="B12046" s="1" t="n">
        <v>45560.65509259259</v>
      </c>
      <c r="C12046" s="1" t="n">
        <v>46086</v>
      </c>
      <c r="D12046" t="inlineStr">
        <is>
          <t>GÄVLEBORGS LÄN</t>
        </is>
      </c>
      <c r="E12046" t="inlineStr">
        <is>
          <t>BOLLNÄS</t>
        </is>
      </c>
      <c r="G12046" t="n">
        <v>11.5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5554-2024</t>
        </is>
      </c>
      <c r="B12047" s="1" t="n">
        <v>45334</v>
      </c>
      <c r="C12047" s="1" t="n">
        <v>46086</v>
      </c>
      <c r="D12047" t="inlineStr">
        <is>
          <t>GÄVLEBORGS LÄN</t>
        </is>
      </c>
      <c r="E12047" t="inlineStr">
        <is>
          <t>HOFORS</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36864-2024</t>
        </is>
      </c>
      <c r="B12048" s="1" t="n">
        <v>45538.57896990741</v>
      </c>
      <c r="C12048" s="1" t="n">
        <v>46086</v>
      </c>
      <c r="D12048" t="inlineStr">
        <is>
          <t>GÄVLEBORGS LÄN</t>
        </is>
      </c>
      <c r="E12048" t="inlineStr">
        <is>
          <t>OVANÅKER</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22622-2025</t>
        </is>
      </c>
      <c r="B12049" s="1" t="n">
        <v>45789.43271990741</v>
      </c>
      <c r="C12049" s="1" t="n">
        <v>46086</v>
      </c>
      <c r="D12049" t="inlineStr">
        <is>
          <t>GÄVLEBORGS LÄN</t>
        </is>
      </c>
      <c r="E12049" t="inlineStr">
        <is>
          <t>BOLLNÄS</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22454-2025</t>
        </is>
      </c>
      <c r="B12050" s="1" t="n">
        <v>45786.60467592593</v>
      </c>
      <c r="C12050" s="1" t="n">
        <v>46086</v>
      </c>
      <c r="D12050" t="inlineStr">
        <is>
          <t>GÄVLEBORGS LÄN</t>
        </is>
      </c>
      <c r="E12050" t="inlineStr">
        <is>
          <t>HUDIKSVALL</t>
        </is>
      </c>
      <c r="F12050" t="inlineStr">
        <is>
          <t>Holmen skog AB</t>
        </is>
      </c>
      <c r="G12050" t="n">
        <v>5.3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22784-2025</t>
        </is>
      </c>
      <c r="B12051" s="1" t="n">
        <v>45789.63913194444</v>
      </c>
      <c r="C12051" s="1" t="n">
        <v>46086</v>
      </c>
      <c r="D12051" t="inlineStr">
        <is>
          <t>GÄVLEBORGS LÄN</t>
        </is>
      </c>
      <c r="E12051" t="inlineStr">
        <is>
          <t>NORDANSTIG</t>
        </is>
      </c>
      <c r="F12051" t="inlineStr">
        <is>
          <t>Holmen skog AB</t>
        </is>
      </c>
      <c r="G12051" t="n">
        <v>55.6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38146-2023</t>
        </is>
      </c>
      <c r="B12052" s="1" t="n">
        <v>45161</v>
      </c>
      <c r="C12052" s="1" t="n">
        <v>46086</v>
      </c>
      <c r="D12052" t="inlineStr">
        <is>
          <t>GÄVLEBORGS LÄN</t>
        </is>
      </c>
      <c r="E12052" t="inlineStr">
        <is>
          <t>BOLLNÄS</t>
        </is>
      </c>
      <c r="F12052" t="inlineStr">
        <is>
          <t>Bergvik skog väst AB</t>
        </is>
      </c>
      <c r="G12052" t="n">
        <v>2.6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22664-2025</t>
        </is>
      </c>
      <c r="B12053" s="1" t="n">
        <v>45789.48466435185</v>
      </c>
      <c r="C12053" s="1" t="n">
        <v>46086</v>
      </c>
      <c r="D12053" t="inlineStr">
        <is>
          <t>GÄVLEBORGS LÄN</t>
        </is>
      </c>
      <c r="E12053" t="inlineStr">
        <is>
          <t>GÄVLE</t>
        </is>
      </c>
      <c r="F12053" t="inlineStr">
        <is>
          <t>Bergvik skog väst AB</t>
        </is>
      </c>
      <c r="G12053" t="n">
        <v>3.2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22312-2025</t>
        </is>
      </c>
      <c r="B12054" s="1" t="n">
        <v>45786.384375</v>
      </c>
      <c r="C12054" s="1" t="n">
        <v>46086</v>
      </c>
      <c r="D12054" t="inlineStr">
        <is>
          <t>GÄVLEBORGS LÄN</t>
        </is>
      </c>
      <c r="E12054" t="inlineStr">
        <is>
          <t>OVANÅKER</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22385-2025</t>
        </is>
      </c>
      <c r="B12055" s="1" t="n">
        <v>45786.50641203704</v>
      </c>
      <c r="C12055" s="1" t="n">
        <v>46086</v>
      </c>
      <c r="D12055" t="inlineStr">
        <is>
          <t>GÄVLEBORGS LÄN</t>
        </is>
      </c>
      <c r="E12055" t="inlineStr">
        <is>
          <t>OCKELBO</t>
        </is>
      </c>
      <c r="F12055" t="inlineStr">
        <is>
          <t>Bergvik skog väst AB</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22387-2025</t>
        </is>
      </c>
      <c r="B12056" s="1" t="n">
        <v>45786.50910879629</v>
      </c>
      <c r="C12056" s="1" t="n">
        <v>46086</v>
      </c>
      <c r="D12056" t="inlineStr">
        <is>
          <t>GÄVLEBORGS LÄN</t>
        </is>
      </c>
      <c r="E12056" t="inlineStr">
        <is>
          <t>OCKELBO</t>
        </is>
      </c>
      <c r="F12056" t="inlineStr">
        <is>
          <t>Bergvik skog väst AB</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22689-2025</t>
        </is>
      </c>
      <c r="B12057" s="1" t="n">
        <v>45789.52925925926</v>
      </c>
      <c r="C12057" s="1" t="n">
        <v>46086</v>
      </c>
      <c r="D12057" t="inlineStr">
        <is>
          <t>GÄVLEBORGS LÄN</t>
        </is>
      </c>
      <c r="E12057" t="inlineStr">
        <is>
          <t>NORDANSTIG</t>
        </is>
      </c>
      <c r="F12057" t="inlineStr">
        <is>
          <t>Holmen skog AB</t>
        </is>
      </c>
      <c r="G12057" t="n">
        <v>3.5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22608-2025</t>
        </is>
      </c>
      <c r="B12058" s="1" t="n">
        <v>45789.42083333333</v>
      </c>
      <c r="C12058" s="1" t="n">
        <v>46086</v>
      </c>
      <c r="D12058" t="inlineStr">
        <is>
          <t>GÄVLEBORGS LÄN</t>
        </is>
      </c>
      <c r="E12058" t="inlineStr">
        <is>
          <t>HUDIKSVALL</t>
        </is>
      </c>
      <c r="F12058" t="inlineStr">
        <is>
          <t>Holmen skog AB</t>
        </is>
      </c>
      <c r="G12058" t="n">
        <v>6.2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22310-2025</t>
        </is>
      </c>
      <c r="B12059" s="1" t="n">
        <v>45786.36578703704</v>
      </c>
      <c r="C12059" s="1" t="n">
        <v>46086</v>
      </c>
      <c r="D12059" t="inlineStr">
        <is>
          <t>GÄVLEBORGS LÄN</t>
        </is>
      </c>
      <c r="E12059" t="inlineStr">
        <is>
          <t>NORDANSTIG</t>
        </is>
      </c>
      <c r="F12059" t="inlineStr">
        <is>
          <t>Holmen skog AB</t>
        </is>
      </c>
      <c r="G12059" t="n">
        <v>27.9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22579-2025</t>
        </is>
      </c>
      <c r="B12060" s="1" t="n">
        <v>45789.37967592593</v>
      </c>
      <c r="C12060" s="1" t="n">
        <v>46086</v>
      </c>
      <c r="D12060" t="inlineStr">
        <is>
          <t>GÄVLEBORGS LÄN</t>
        </is>
      </c>
      <c r="E12060" t="inlineStr">
        <is>
          <t>HUDIKSVALL</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22355-2025</t>
        </is>
      </c>
      <c r="B12061" s="1" t="n">
        <v>45786.45901620371</v>
      </c>
      <c r="C12061" s="1" t="n">
        <v>46086</v>
      </c>
      <c r="D12061" t="inlineStr">
        <is>
          <t>GÄVLEBORGS LÄN</t>
        </is>
      </c>
      <c r="E12061" t="inlineStr">
        <is>
          <t>GÄVLE</t>
        </is>
      </c>
      <c r="F12061" t="inlineStr">
        <is>
          <t>Bergvik skog väst AB</t>
        </is>
      </c>
      <c r="G12061" t="n">
        <v>2.5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22319-2025</t>
        </is>
      </c>
      <c r="B12062" s="1" t="n">
        <v>45786.39515046297</v>
      </c>
      <c r="C12062" s="1" t="n">
        <v>46086</v>
      </c>
      <c r="D12062" t="inlineStr">
        <is>
          <t>GÄVLEBORGS LÄN</t>
        </is>
      </c>
      <c r="E12062" t="inlineStr">
        <is>
          <t>NORDANSTIG</t>
        </is>
      </c>
      <c r="F12062" t="inlineStr">
        <is>
          <t>Holmen skog AB</t>
        </is>
      </c>
      <c r="G12062" t="n">
        <v>4.3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22722-2025</t>
        </is>
      </c>
      <c r="B12063" s="1" t="n">
        <v>45789.57319444444</v>
      </c>
      <c r="C12063" s="1" t="n">
        <v>46086</v>
      </c>
      <c r="D12063" t="inlineStr">
        <is>
          <t>GÄVLEBORGS LÄN</t>
        </is>
      </c>
      <c r="E12063" t="inlineStr">
        <is>
          <t>HUDIKSVALL</t>
        </is>
      </c>
      <c r="G12063" t="n">
        <v>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22598-2025</t>
        </is>
      </c>
      <c r="B12064" s="1" t="n">
        <v>45789.41481481482</v>
      </c>
      <c r="C12064" s="1" t="n">
        <v>46086</v>
      </c>
      <c r="D12064" t="inlineStr">
        <is>
          <t>GÄVLEBORGS LÄN</t>
        </is>
      </c>
      <c r="E12064" t="inlineStr">
        <is>
          <t>LJUSDAL</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22600-2025</t>
        </is>
      </c>
      <c r="B12065" s="1" t="n">
        <v>45789.41515046296</v>
      </c>
      <c r="C12065" s="1" t="n">
        <v>46086</v>
      </c>
      <c r="D12065" t="inlineStr">
        <is>
          <t>GÄVLEBORGS LÄN</t>
        </is>
      </c>
      <c r="E12065" t="inlineStr">
        <is>
          <t>HUDIKSVALL</t>
        </is>
      </c>
      <c r="F12065" t="inlineStr">
        <is>
          <t>Holmen skog AB</t>
        </is>
      </c>
      <c r="G12065" t="n">
        <v>4.9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33623-2024</t>
        </is>
      </c>
      <c r="B12066" s="1" t="n">
        <v>45520.41766203703</v>
      </c>
      <c r="C12066" s="1" t="n">
        <v>46086</v>
      </c>
      <c r="D12066" t="inlineStr">
        <is>
          <t>GÄVLEBORGS LÄN</t>
        </is>
      </c>
      <c r="E12066" t="inlineStr">
        <is>
          <t>SANDVIKEN</t>
        </is>
      </c>
      <c r="G12066" t="n">
        <v>2.8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67879-2021</t>
        </is>
      </c>
      <c r="B12067" s="1" t="n">
        <v>44525.53486111111</v>
      </c>
      <c r="C12067" s="1" t="n">
        <v>46086</v>
      </c>
      <c r="D12067" t="inlineStr">
        <is>
          <t>GÄVLEBORGS LÄN</t>
        </is>
      </c>
      <c r="E12067" t="inlineStr">
        <is>
          <t>NORDANSTIG</t>
        </is>
      </c>
      <c r="F12067" t="inlineStr">
        <is>
          <t>Holmen skog AB</t>
        </is>
      </c>
      <c r="G12067" t="n">
        <v>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28584-2024</t>
        </is>
      </c>
      <c r="B12068" s="1" t="n">
        <v>45478</v>
      </c>
      <c r="C12068" s="1" t="n">
        <v>46086</v>
      </c>
      <c r="D12068" t="inlineStr">
        <is>
          <t>GÄVLEBORGS LÄN</t>
        </is>
      </c>
      <c r="E12068" t="inlineStr">
        <is>
          <t>OCKELBO</t>
        </is>
      </c>
      <c r="F12068" t="inlineStr">
        <is>
          <t>Bergvik skog väst AB</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54323-2024</t>
        </is>
      </c>
      <c r="B12069" s="1" t="n">
        <v>45617.35549768519</v>
      </c>
      <c r="C12069" s="1" t="n">
        <v>46086</v>
      </c>
      <c r="D12069" t="inlineStr">
        <is>
          <t>GÄVLEBORGS LÄN</t>
        </is>
      </c>
      <c r="E12069" t="inlineStr">
        <is>
          <t>OCKELBO</t>
        </is>
      </c>
      <c r="F12069" t="inlineStr">
        <is>
          <t>Bergvik skog väst AB</t>
        </is>
      </c>
      <c r="G12069" t="n">
        <v>2.2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7451-2025</t>
        </is>
      </c>
      <c r="B12070" s="1" t="n">
        <v>45705.42418981482</v>
      </c>
      <c r="C12070" s="1" t="n">
        <v>46086</v>
      </c>
      <c r="D12070" t="inlineStr">
        <is>
          <t>GÄVLEBORGS LÄN</t>
        </is>
      </c>
      <c r="E12070" t="inlineStr">
        <is>
          <t>GÄVLE</t>
        </is>
      </c>
      <c r="F12070" t="inlineStr">
        <is>
          <t>Bergvik skog öst AB</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22495-2025</t>
        </is>
      </c>
      <c r="B12071" s="1" t="n">
        <v>45786.65537037037</v>
      </c>
      <c r="C12071" s="1" t="n">
        <v>46086</v>
      </c>
      <c r="D12071" t="inlineStr">
        <is>
          <t>GÄVLEBORGS LÄN</t>
        </is>
      </c>
      <c r="E12071" t="inlineStr">
        <is>
          <t>SANDVIKEN</t>
        </is>
      </c>
      <c r="F12071" t="inlineStr">
        <is>
          <t>Sveaskog</t>
        </is>
      </c>
      <c r="G12071" t="n">
        <v>1.8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28181-2022</t>
        </is>
      </c>
      <c r="B12072" s="1" t="n">
        <v>44746.58283564815</v>
      </c>
      <c r="C12072" s="1" t="n">
        <v>46086</v>
      </c>
      <c r="D12072" t="inlineStr">
        <is>
          <t>GÄVLEBORGS LÄN</t>
        </is>
      </c>
      <c r="E12072" t="inlineStr">
        <is>
          <t>OCKELBO</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23255-2024</t>
        </is>
      </c>
      <c r="B12073" s="1" t="n">
        <v>45453.36412037037</v>
      </c>
      <c r="C12073" s="1" t="n">
        <v>46086</v>
      </c>
      <c r="D12073" t="inlineStr">
        <is>
          <t>GÄVLEBORGS LÄN</t>
        </is>
      </c>
      <c r="E12073" t="inlineStr">
        <is>
          <t>OCKELBO</t>
        </is>
      </c>
      <c r="G12073" t="n">
        <v>4.5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6964-2025</t>
        </is>
      </c>
      <c r="B12074" s="1" t="n">
        <v>45701</v>
      </c>
      <c r="C12074" s="1" t="n">
        <v>46086</v>
      </c>
      <c r="D12074" t="inlineStr">
        <is>
          <t>GÄVLEBORGS LÄN</t>
        </is>
      </c>
      <c r="E12074" t="inlineStr">
        <is>
          <t>LJUSDAL</t>
        </is>
      </c>
      <c r="G12074" t="n">
        <v>4.2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34429-2024</t>
        </is>
      </c>
      <c r="B12075" s="1" t="n">
        <v>45525.51678240741</v>
      </c>
      <c r="C12075" s="1" t="n">
        <v>46086</v>
      </c>
      <c r="D12075" t="inlineStr">
        <is>
          <t>GÄVLEBORGS LÄN</t>
        </is>
      </c>
      <c r="E12075" t="inlineStr">
        <is>
          <t>SANDVIKEN</t>
        </is>
      </c>
      <c r="F12075" t="inlineStr">
        <is>
          <t>Bergvik skog öst AB</t>
        </is>
      </c>
      <c r="G12075" t="n">
        <v>2.8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22376-2025</t>
        </is>
      </c>
      <c r="B12076" s="1" t="n">
        <v>45786.48606481482</v>
      </c>
      <c r="C12076" s="1" t="n">
        <v>46086</v>
      </c>
      <c r="D12076" t="inlineStr">
        <is>
          <t>GÄVLEBORGS LÄN</t>
        </is>
      </c>
      <c r="E12076" t="inlineStr">
        <is>
          <t>OCKELBO</t>
        </is>
      </c>
      <c r="F12076" t="inlineStr">
        <is>
          <t>Bergvik skog väst AB</t>
        </is>
      </c>
      <c r="G12076" t="n">
        <v>11.1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22611-2025</t>
        </is>
      </c>
      <c r="B12077" s="1" t="n">
        <v>45789.42327546296</v>
      </c>
      <c r="C12077" s="1" t="n">
        <v>46086</v>
      </c>
      <c r="D12077" t="inlineStr">
        <is>
          <t>GÄVLEBORGS LÄN</t>
        </is>
      </c>
      <c r="E12077" t="inlineStr">
        <is>
          <t>HUDIKSVALL</t>
        </is>
      </c>
      <c r="F12077" t="inlineStr">
        <is>
          <t>Holmen skog AB</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33414-2022</t>
        </is>
      </c>
      <c r="B12078" s="1" t="n">
        <v>44788.60025462963</v>
      </c>
      <c r="C12078" s="1" t="n">
        <v>46086</v>
      </c>
      <c r="D12078" t="inlineStr">
        <is>
          <t>GÄVLEBORGS LÄN</t>
        </is>
      </c>
      <c r="E12078" t="inlineStr">
        <is>
          <t>NORDANSTIG</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17678-2025</t>
        </is>
      </c>
      <c r="B12079" s="1" t="n">
        <v>45758.37297453704</v>
      </c>
      <c r="C12079" s="1" t="n">
        <v>46086</v>
      </c>
      <c r="D12079" t="inlineStr">
        <is>
          <t>GÄVLEBORGS LÄN</t>
        </is>
      </c>
      <c r="E12079" t="inlineStr">
        <is>
          <t>NORDANSTIG</t>
        </is>
      </c>
      <c r="F12079" t="inlineStr">
        <is>
          <t>Holmen skog AB</t>
        </is>
      </c>
      <c r="G12079" t="n">
        <v>3.8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21821-2025</t>
        </is>
      </c>
      <c r="B12080" s="1" t="n">
        <v>45783.79831018519</v>
      </c>
      <c r="C12080" s="1" t="n">
        <v>46086</v>
      </c>
      <c r="D12080" t="inlineStr">
        <is>
          <t>GÄVLEBORGS LÄN</t>
        </is>
      </c>
      <c r="E12080" t="inlineStr">
        <is>
          <t>HUDIKSVALL</t>
        </is>
      </c>
      <c r="F12080" t="inlineStr">
        <is>
          <t>Holmen skog AB</t>
        </is>
      </c>
      <c r="G12080" t="n">
        <v>44.8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22844-2025</t>
        </is>
      </c>
      <c r="B12081" s="1" t="n">
        <v>45790.32160879629</v>
      </c>
      <c r="C12081" s="1" t="n">
        <v>46086</v>
      </c>
      <c r="D12081" t="inlineStr">
        <is>
          <t>GÄVLEBORGS LÄN</t>
        </is>
      </c>
      <c r="E12081" t="inlineStr">
        <is>
          <t>HOFORS</t>
        </is>
      </c>
      <c r="G12081" t="n">
        <v>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23098-2025</t>
        </is>
      </c>
      <c r="B12082" s="1" t="n">
        <v>45791.3475</v>
      </c>
      <c r="C12082" s="1" t="n">
        <v>46086</v>
      </c>
      <c r="D12082" t="inlineStr">
        <is>
          <t>GÄVLEBORGS LÄN</t>
        </is>
      </c>
      <c r="E12082" t="inlineStr">
        <is>
          <t>OVANÅKER</t>
        </is>
      </c>
      <c r="F12082" t="inlineStr">
        <is>
          <t>Bergvik skog väst AB</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23106-2025</t>
        </is>
      </c>
      <c r="B12083" s="1" t="n">
        <v>45791.35957175926</v>
      </c>
      <c r="C12083" s="1" t="n">
        <v>46086</v>
      </c>
      <c r="D12083" t="inlineStr">
        <is>
          <t>GÄVLEBORGS LÄN</t>
        </is>
      </c>
      <c r="E12083" t="inlineStr">
        <is>
          <t>OVANÅKER</t>
        </is>
      </c>
      <c r="F12083" t="inlineStr">
        <is>
          <t>Bergvik skog väst AB</t>
        </is>
      </c>
      <c r="G12083" t="n">
        <v>3.8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23340-2025</t>
        </is>
      </c>
      <c r="B12084" s="1" t="n">
        <v>45791.65630787037</v>
      </c>
      <c r="C12084" s="1" t="n">
        <v>46086</v>
      </c>
      <c r="D12084" t="inlineStr">
        <is>
          <t>GÄVLEBORGS LÄN</t>
        </is>
      </c>
      <c r="E12084" t="inlineStr">
        <is>
          <t>LJUSDAL</t>
        </is>
      </c>
      <c r="F12084" t="inlineStr">
        <is>
          <t>Bergvik skog väst AB</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23178-2025</t>
        </is>
      </c>
      <c r="B12085" s="1" t="n">
        <v>45791.43634259259</v>
      </c>
      <c r="C12085" s="1" t="n">
        <v>46086</v>
      </c>
      <c r="D12085" t="inlineStr">
        <is>
          <t>GÄVLEBORGS LÄN</t>
        </is>
      </c>
      <c r="E12085" t="inlineStr">
        <is>
          <t>OVANÅKER</t>
        </is>
      </c>
      <c r="F12085" t="inlineStr">
        <is>
          <t>Bergvik skog väst AB</t>
        </is>
      </c>
      <c r="G12085" t="n">
        <v>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20208-2025</t>
        </is>
      </c>
      <c r="B12086" s="1" t="n">
        <v>45772.61755787037</v>
      </c>
      <c r="C12086" s="1" t="n">
        <v>46086</v>
      </c>
      <c r="D12086" t="inlineStr">
        <is>
          <t>GÄVLEBORGS LÄN</t>
        </is>
      </c>
      <c r="E12086" t="inlineStr">
        <is>
          <t>HUDIKSVALL</t>
        </is>
      </c>
      <c r="G12086" t="n">
        <v>10.1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23261-2025</t>
        </is>
      </c>
      <c r="B12087" s="1" t="n">
        <v>45791.55123842593</v>
      </c>
      <c r="C12087" s="1" t="n">
        <v>46086</v>
      </c>
      <c r="D12087" t="inlineStr">
        <is>
          <t>GÄVLEBORGS LÄN</t>
        </is>
      </c>
      <c r="E12087" t="inlineStr">
        <is>
          <t>SÖDERHAMN</t>
        </is>
      </c>
      <c r="F12087" t="inlineStr">
        <is>
          <t>Bergvik skog väst AB</t>
        </is>
      </c>
      <c r="G12087" t="n">
        <v>3.3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23072-2025</t>
        </is>
      </c>
      <c r="B12088" s="1" t="n">
        <v>45790.89</v>
      </c>
      <c r="C12088" s="1" t="n">
        <v>46086</v>
      </c>
      <c r="D12088" t="inlineStr">
        <is>
          <t>GÄVLEBORGS LÄN</t>
        </is>
      </c>
      <c r="E12088" t="inlineStr">
        <is>
          <t>NORDANSTIG</t>
        </is>
      </c>
      <c r="G12088" t="n">
        <v>2.2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23119-2025</t>
        </is>
      </c>
      <c r="B12089" s="1" t="n">
        <v>45791</v>
      </c>
      <c r="C12089" s="1" t="n">
        <v>46086</v>
      </c>
      <c r="D12089" t="inlineStr">
        <is>
          <t>GÄVLEBORGS LÄN</t>
        </is>
      </c>
      <c r="E12089" t="inlineStr">
        <is>
          <t>NORDANSTIG</t>
        </is>
      </c>
      <c r="G12089" t="n">
        <v>3.7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44041-2022</t>
        </is>
      </c>
      <c r="B12090" s="1" t="n">
        <v>44838.94871527778</v>
      </c>
      <c r="C12090" s="1" t="n">
        <v>46086</v>
      </c>
      <c r="D12090" t="inlineStr">
        <is>
          <t>GÄVLEBORGS LÄN</t>
        </is>
      </c>
      <c r="E12090" t="inlineStr">
        <is>
          <t>LJUSDAL</t>
        </is>
      </c>
      <c r="F12090" t="inlineStr">
        <is>
          <t>Naturvårdsverket</t>
        </is>
      </c>
      <c r="G12090" t="n">
        <v>2.5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23242-2025</t>
        </is>
      </c>
      <c r="B12091" s="1" t="n">
        <v>45791.50158564815</v>
      </c>
      <c r="C12091" s="1" t="n">
        <v>46086</v>
      </c>
      <c r="D12091" t="inlineStr">
        <is>
          <t>GÄVLEBORGS LÄN</t>
        </is>
      </c>
      <c r="E12091" t="inlineStr">
        <is>
          <t>OVANÅKER</t>
        </is>
      </c>
      <c r="G12091" t="n">
        <v>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23265-2025</t>
        </is>
      </c>
      <c r="B12092" s="1" t="n">
        <v>45791.5553125</v>
      </c>
      <c r="C12092" s="1" t="n">
        <v>46086</v>
      </c>
      <c r="D12092" t="inlineStr">
        <is>
          <t>GÄVLEBORGS LÄN</t>
        </is>
      </c>
      <c r="E12092" t="inlineStr">
        <is>
          <t>SÖDERHAMN</t>
        </is>
      </c>
      <c r="F12092" t="inlineStr">
        <is>
          <t>Bergvik skog väst AB</t>
        </is>
      </c>
      <c r="G12092" t="n">
        <v>0.5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23014-2025</t>
        </is>
      </c>
      <c r="B12093" s="1" t="n">
        <v>45790.63721064815</v>
      </c>
      <c r="C12093" s="1" t="n">
        <v>46086</v>
      </c>
      <c r="D12093" t="inlineStr">
        <is>
          <t>GÄVLEBORGS LÄN</t>
        </is>
      </c>
      <c r="E12093" t="inlineStr">
        <is>
          <t>HUDIKSVALL</t>
        </is>
      </c>
      <c r="G12093" t="n">
        <v>2.7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23316-2025</t>
        </is>
      </c>
      <c r="B12094" s="1" t="n">
        <v>45791.61199074074</v>
      </c>
      <c r="C12094" s="1" t="n">
        <v>46086</v>
      </c>
      <c r="D12094" t="inlineStr">
        <is>
          <t>GÄVLEBORGS LÄN</t>
        </is>
      </c>
      <c r="E12094" t="inlineStr">
        <is>
          <t>OCKELBO</t>
        </is>
      </c>
      <c r="F12094" t="inlineStr">
        <is>
          <t>Bergvik skog väst AB</t>
        </is>
      </c>
      <c r="G12094" t="n">
        <v>4.9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23135-2025</t>
        </is>
      </c>
      <c r="B12095" s="1" t="n">
        <v>45791.38993055555</v>
      </c>
      <c r="C12095" s="1" t="n">
        <v>46086</v>
      </c>
      <c r="D12095" t="inlineStr">
        <is>
          <t>GÄVLEBORGS LÄN</t>
        </is>
      </c>
      <c r="E12095" t="inlineStr">
        <is>
          <t>OVANÅKER</t>
        </is>
      </c>
      <c r="F12095" t="inlineStr">
        <is>
          <t>Bergvik skog väst AB</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22832-2025</t>
        </is>
      </c>
      <c r="B12096" s="1" t="n">
        <v>45789.88387731482</v>
      </c>
      <c r="C12096" s="1" t="n">
        <v>46086</v>
      </c>
      <c r="D12096" t="inlineStr">
        <is>
          <t>GÄVLEBORGS LÄN</t>
        </is>
      </c>
      <c r="E12096" t="inlineStr">
        <is>
          <t>HUDIKSVALL</t>
        </is>
      </c>
      <c r="F12096" t="inlineStr">
        <is>
          <t>Holmen skog AB</t>
        </is>
      </c>
      <c r="G12096" t="n">
        <v>82.3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23291-2025</t>
        </is>
      </c>
      <c r="B12097" s="1" t="n">
        <v>45791.58666666667</v>
      </c>
      <c r="C12097" s="1" t="n">
        <v>46086</v>
      </c>
      <c r="D12097" t="inlineStr">
        <is>
          <t>GÄVLEBORGS LÄN</t>
        </is>
      </c>
      <c r="E12097" t="inlineStr">
        <is>
          <t>GÄVLE</t>
        </is>
      </c>
      <c r="F12097" t="inlineStr">
        <is>
          <t>Bergvik skog väst AB</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22938-2025</t>
        </is>
      </c>
      <c r="B12098" s="1" t="n">
        <v>45790.46480324074</v>
      </c>
      <c r="C12098" s="1" t="n">
        <v>46086</v>
      </c>
      <c r="D12098" t="inlineStr">
        <is>
          <t>GÄVLEBORGS LÄN</t>
        </is>
      </c>
      <c r="E12098" t="inlineStr">
        <is>
          <t>OVANÅKER</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23353-2025</t>
        </is>
      </c>
      <c r="B12099" s="1" t="n">
        <v>45791.66635416666</v>
      </c>
      <c r="C12099" s="1" t="n">
        <v>46086</v>
      </c>
      <c r="D12099" t="inlineStr">
        <is>
          <t>GÄVLEBORGS LÄN</t>
        </is>
      </c>
      <c r="E12099" t="inlineStr">
        <is>
          <t>LJUSDAL</t>
        </is>
      </c>
      <c r="F12099" t="inlineStr">
        <is>
          <t>Bergvik skog väst AB</t>
        </is>
      </c>
      <c r="G12099" t="n">
        <v>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20689-2025</t>
        </is>
      </c>
      <c r="B12100" s="1" t="n">
        <v>45776.45578703703</v>
      </c>
      <c r="C12100" s="1" t="n">
        <v>46086</v>
      </c>
      <c r="D12100" t="inlineStr">
        <is>
          <t>GÄVLEBORGS LÄN</t>
        </is>
      </c>
      <c r="E12100" t="inlineStr">
        <is>
          <t>OCKELBO</t>
        </is>
      </c>
      <c r="F12100" t="inlineStr">
        <is>
          <t>Bergvik skog väst AB</t>
        </is>
      </c>
      <c r="G12100" t="n">
        <v>16.2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23143-2025</t>
        </is>
      </c>
      <c r="B12101" s="1" t="n">
        <v>45791.39702546296</v>
      </c>
      <c r="C12101" s="1" t="n">
        <v>46086</v>
      </c>
      <c r="D12101" t="inlineStr">
        <is>
          <t>GÄVLEBORGS LÄN</t>
        </is>
      </c>
      <c r="E12101" t="inlineStr">
        <is>
          <t>OVANÅKER</t>
        </is>
      </c>
      <c r="F12101" t="inlineStr">
        <is>
          <t>Bergvik skog väst AB</t>
        </is>
      </c>
      <c r="G12101" t="n">
        <v>6.1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23184-2025</t>
        </is>
      </c>
      <c r="B12102" s="1" t="n">
        <v>45791.44305555556</v>
      </c>
      <c r="C12102" s="1" t="n">
        <v>46086</v>
      </c>
      <c r="D12102" t="inlineStr">
        <is>
          <t>GÄVLEBORGS LÄN</t>
        </is>
      </c>
      <c r="E12102" t="inlineStr">
        <is>
          <t>OVANÅKER</t>
        </is>
      </c>
      <c r="F12102" t="inlineStr">
        <is>
          <t>Bergvik skog väst AB</t>
        </is>
      </c>
      <c r="G12102" t="n">
        <v>6.9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23217-2025</t>
        </is>
      </c>
      <c r="B12103" s="1" t="n">
        <v>45791.47516203704</v>
      </c>
      <c r="C12103" s="1" t="n">
        <v>46086</v>
      </c>
      <c r="D12103" t="inlineStr">
        <is>
          <t>GÄVLEBORGS LÄN</t>
        </is>
      </c>
      <c r="E12103" t="inlineStr">
        <is>
          <t>OVANÅKER</t>
        </is>
      </c>
      <c r="F12103" t="inlineStr">
        <is>
          <t>Bergvik skog väst AB</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23307-2025</t>
        </is>
      </c>
      <c r="B12104" s="1" t="n">
        <v>45791.60163194445</v>
      </c>
      <c r="C12104" s="1" t="n">
        <v>46086</v>
      </c>
      <c r="D12104" t="inlineStr">
        <is>
          <t>GÄVLEBORGS LÄN</t>
        </is>
      </c>
      <c r="E12104" t="inlineStr">
        <is>
          <t>SÖDERHAMN</t>
        </is>
      </c>
      <c r="F12104" t="inlineStr">
        <is>
          <t>Bergvik skog väst AB</t>
        </is>
      </c>
      <c r="G12104" t="n">
        <v>13.5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23332-2025</t>
        </is>
      </c>
      <c r="B12105" s="1" t="n">
        <v>45791.64822916667</v>
      </c>
      <c r="C12105" s="1" t="n">
        <v>46086</v>
      </c>
      <c r="D12105" t="inlineStr">
        <is>
          <t>GÄVLEBORGS LÄN</t>
        </is>
      </c>
      <c r="E12105" t="inlineStr">
        <is>
          <t>SÖDERHAMN</t>
        </is>
      </c>
      <c r="F12105" t="inlineStr">
        <is>
          <t>Bergvik skog väst AB</t>
        </is>
      </c>
      <c r="G12105" t="n">
        <v>3.8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23350-2025</t>
        </is>
      </c>
      <c r="B12106" s="1" t="n">
        <v>45791.660625</v>
      </c>
      <c r="C12106" s="1" t="n">
        <v>46086</v>
      </c>
      <c r="D12106" t="inlineStr">
        <is>
          <t>GÄVLEBORGS LÄN</t>
        </is>
      </c>
      <c r="E12106" t="inlineStr">
        <is>
          <t>LJUSDAL</t>
        </is>
      </c>
      <c r="F12106" t="inlineStr">
        <is>
          <t>Bergvik skog väst AB</t>
        </is>
      </c>
      <c r="G12106" t="n">
        <v>2.6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23140-2025</t>
        </is>
      </c>
      <c r="B12107" s="1" t="n">
        <v>45791.3959375</v>
      </c>
      <c r="C12107" s="1" t="n">
        <v>46086</v>
      </c>
      <c r="D12107" t="inlineStr">
        <is>
          <t>GÄVLEBORGS LÄN</t>
        </is>
      </c>
      <c r="E12107" t="inlineStr">
        <is>
          <t>OVANÅKER</t>
        </is>
      </c>
      <c r="G12107" t="n">
        <v>1.8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23154-2025</t>
        </is>
      </c>
      <c r="B12108" s="1" t="n">
        <v>45791</v>
      </c>
      <c r="C12108" s="1" t="n">
        <v>46086</v>
      </c>
      <c r="D12108" t="inlineStr">
        <is>
          <t>GÄVLEBORGS LÄN</t>
        </is>
      </c>
      <c r="E12108" t="inlineStr">
        <is>
          <t>NORDANSTIG</t>
        </is>
      </c>
      <c r="G12108" t="n">
        <v>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23167-2025</t>
        </is>
      </c>
      <c r="B12109" s="1" t="n">
        <v>45791.42684027777</v>
      </c>
      <c r="C12109" s="1" t="n">
        <v>46086</v>
      </c>
      <c r="D12109" t="inlineStr">
        <is>
          <t>GÄVLEBORGS LÄN</t>
        </is>
      </c>
      <c r="E12109" t="inlineStr">
        <is>
          <t>OVANÅKER</t>
        </is>
      </c>
      <c r="F12109" t="inlineStr">
        <is>
          <t>Bergvik skog väst AB</t>
        </is>
      </c>
      <c r="G12109" t="n">
        <v>4.7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23232-2025</t>
        </is>
      </c>
      <c r="B12110" s="1" t="n">
        <v>45791.49224537037</v>
      </c>
      <c r="C12110" s="1" t="n">
        <v>46086</v>
      </c>
      <c r="D12110" t="inlineStr">
        <is>
          <t>GÄVLEBORGS LÄN</t>
        </is>
      </c>
      <c r="E12110" t="inlineStr">
        <is>
          <t>GÄVLE</t>
        </is>
      </c>
      <c r="G12110" t="n">
        <v>10</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22859-2025</t>
        </is>
      </c>
      <c r="B12111" s="1" t="n">
        <v>45790</v>
      </c>
      <c r="C12111" s="1" t="n">
        <v>46086</v>
      </c>
      <c r="D12111" t="inlineStr">
        <is>
          <t>GÄVLEBORGS LÄN</t>
        </is>
      </c>
      <c r="E12111" t="inlineStr">
        <is>
          <t>HUDIKSVALL</t>
        </is>
      </c>
      <c r="F12111" t="inlineStr">
        <is>
          <t>Holmen skog AB</t>
        </is>
      </c>
      <c r="G12111" t="n">
        <v>14.7</v>
      </c>
      <c r="H12111" t="n">
        <v>0</v>
      </c>
      <c r="I12111" t="n">
        <v>0</v>
      </c>
      <c r="J12111" t="n">
        <v>0</v>
      </c>
      <c r="K12111" t="n">
        <v>0</v>
      </c>
      <c r="L12111" t="n">
        <v>0</v>
      </c>
      <c r="M12111" t="n">
        <v>0</v>
      </c>
      <c r="N12111" t="n">
        <v>0</v>
      </c>
      <c r="O12111" t="n">
        <v>0</v>
      </c>
      <c r="P12111" t="n">
        <v>0</v>
      </c>
      <c r="Q12111" t="n">
        <v>0</v>
      </c>
      <c r="R12111" s="2" t="inlineStr"/>
      <c r="U12111">
        <f>HYPERLINK("https://klasma.github.io/Logging_2184/knärot/A 22859-2025 karta knärot.png", "A 22859-2025")</f>
        <v/>
      </c>
      <c r="V12111">
        <f>HYPERLINK("https://klasma.github.io/Logging_2184/klagomål/A 22859-2025 FSC-klagomål.docx", "A 22859-2025")</f>
        <v/>
      </c>
      <c r="W12111">
        <f>HYPERLINK("https://klasma.github.io/Logging_2184/klagomålsmail/A 22859-2025 FSC-klagomål mail.docx", "A 22859-2025")</f>
        <v/>
      </c>
      <c r="X12111">
        <f>HYPERLINK("https://klasma.github.io/Logging_2184/tillsyn/A 22859-2025 tillsynsbegäran.docx", "A 22859-2025")</f>
        <v/>
      </c>
      <c r="Y12111">
        <f>HYPERLINK("https://klasma.github.io/Logging_2184/tillsynsmail/A 22859-2025 tillsynsbegäran mail.docx", "A 22859-2025")</f>
        <v/>
      </c>
    </row>
    <row r="12112" ht="15" customHeight="1">
      <c r="A12112" t="inlineStr">
        <is>
          <t>A 22879-2025</t>
        </is>
      </c>
      <c r="B12112" s="1" t="n">
        <v>45790.38057870371</v>
      </c>
      <c r="C12112" s="1" t="n">
        <v>46086</v>
      </c>
      <c r="D12112" t="inlineStr">
        <is>
          <t>GÄVLEBORGS LÄN</t>
        </is>
      </c>
      <c r="E12112" t="inlineStr">
        <is>
          <t>GÄVLE</t>
        </is>
      </c>
      <c r="G12112" t="n">
        <v>3.9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22916-2025</t>
        </is>
      </c>
      <c r="B12113" s="1" t="n">
        <v>45790.43091435185</v>
      </c>
      <c r="C12113" s="1" t="n">
        <v>46086</v>
      </c>
      <c r="D12113" t="inlineStr">
        <is>
          <t>GÄVLEBORGS LÄN</t>
        </is>
      </c>
      <c r="E12113" t="inlineStr">
        <is>
          <t>HUDIKSVALL</t>
        </is>
      </c>
      <c r="F12113" t="inlineStr">
        <is>
          <t>Holmen skog AB</t>
        </is>
      </c>
      <c r="G12113" t="n">
        <v>15.8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23122-2025</t>
        </is>
      </c>
      <c r="B12114" s="1" t="n">
        <v>45791</v>
      </c>
      <c r="C12114" s="1" t="n">
        <v>46086</v>
      </c>
      <c r="D12114" t="inlineStr">
        <is>
          <t>GÄVLEBORGS LÄN</t>
        </is>
      </c>
      <c r="E12114" t="inlineStr">
        <is>
          <t>NORDANSTIG</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9359-2024</t>
        </is>
      </c>
      <c r="B12115" s="1" t="n">
        <v>45359.32847222222</v>
      </c>
      <c r="C12115" s="1" t="n">
        <v>46086</v>
      </c>
      <c r="D12115" t="inlineStr">
        <is>
          <t>GÄVLEBORGS LÄN</t>
        </is>
      </c>
      <c r="E12115" t="inlineStr">
        <is>
          <t>LJUSDAL</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23175-2025</t>
        </is>
      </c>
      <c r="B12116" s="1" t="n">
        <v>45791.43109953704</v>
      </c>
      <c r="C12116" s="1" t="n">
        <v>46086</v>
      </c>
      <c r="D12116" t="inlineStr">
        <is>
          <t>GÄVLEBORGS LÄN</t>
        </is>
      </c>
      <c r="E12116" t="inlineStr">
        <is>
          <t>OVANÅKER</t>
        </is>
      </c>
      <c r="F12116" t="inlineStr">
        <is>
          <t>Bergvik skog väst AB</t>
        </is>
      </c>
      <c r="G12116" t="n">
        <v>5.6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23180-2025</t>
        </is>
      </c>
      <c r="B12117" s="1" t="n">
        <v>45791.44038194444</v>
      </c>
      <c r="C12117" s="1" t="n">
        <v>46086</v>
      </c>
      <c r="D12117" t="inlineStr">
        <is>
          <t>GÄVLEBORGS LÄN</t>
        </is>
      </c>
      <c r="E12117" t="inlineStr">
        <is>
          <t>OVANÅKER</t>
        </is>
      </c>
      <c r="F12117" t="inlineStr">
        <is>
          <t>Bergvik skog väst AB</t>
        </is>
      </c>
      <c r="G12117" t="n">
        <v>12.1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16616-2025</t>
        </is>
      </c>
      <c r="B12118" s="1" t="n">
        <v>45754</v>
      </c>
      <c r="C12118" s="1" t="n">
        <v>46086</v>
      </c>
      <c r="D12118" t="inlineStr">
        <is>
          <t>GÄVLEBORGS LÄN</t>
        </is>
      </c>
      <c r="E12118" t="inlineStr">
        <is>
          <t>NORDANSTIG</t>
        </is>
      </c>
      <c r="F12118" t="inlineStr">
        <is>
          <t>Holmen skog AB</t>
        </is>
      </c>
      <c r="G12118" t="n">
        <v>2.5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23324-2025</t>
        </is>
      </c>
      <c r="B12119" s="1" t="n">
        <v>45791.62157407407</v>
      </c>
      <c r="C12119" s="1" t="n">
        <v>46086</v>
      </c>
      <c r="D12119" t="inlineStr">
        <is>
          <t>GÄVLEBORGS LÄN</t>
        </is>
      </c>
      <c r="E12119" t="inlineStr">
        <is>
          <t>GÄVLE</t>
        </is>
      </c>
      <c r="G12119" t="n">
        <v>6.2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22927-2025</t>
        </is>
      </c>
      <c r="B12120" s="1" t="n">
        <v>45790.4482175926</v>
      </c>
      <c r="C12120" s="1" t="n">
        <v>46086</v>
      </c>
      <c r="D12120" t="inlineStr">
        <is>
          <t>GÄVLEBORGS LÄN</t>
        </is>
      </c>
      <c r="E12120" t="inlineStr">
        <is>
          <t>BOLLNÄS</t>
        </is>
      </c>
      <c r="F12120" t="inlineStr">
        <is>
          <t>Bergvik skog väst AB</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23189-2025</t>
        </is>
      </c>
      <c r="B12121" s="1" t="n">
        <v>45791.44717592592</v>
      </c>
      <c r="C12121" s="1" t="n">
        <v>46086</v>
      </c>
      <c r="D12121" t="inlineStr">
        <is>
          <t>GÄVLEBORGS LÄN</t>
        </is>
      </c>
      <c r="E12121" t="inlineStr">
        <is>
          <t>SÖDERHAMN</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23220-2025</t>
        </is>
      </c>
      <c r="B12122" s="1" t="n">
        <v>45791.48085648148</v>
      </c>
      <c r="C12122" s="1" t="n">
        <v>46086</v>
      </c>
      <c r="D12122" t="inlineStr">
        <is>
          <t>GÄVLEBORGS LÄN</t>
        </is>
      </c>
      <c r="E12122" t="inlineStr">
        <is>
          <t>OVANÅKER</t>
        </is>
      </c>
      <c r="F12122" t="inlineStr">
        <is>
          <t>Bergvik skog väst AB</t>
        </is>
      </c>
      <c r="G12122" t="n">
        <v>18.6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23223-2025</t>
        </is>
      </c>
      <c r="B12123" s="1" t="n">
        <v>45791.4846875</v>
      </c>
      <c r="C12123" s="1" t="n">
        <v>46086</v>
      </c>
      <c r="D12123" t="inlineStr">
        <is>
          <t>GÄVLEBORGS LÄN</t>
        </is>
      </c>
      <c r="E12123" t="inlineStr">
        <is>
          <t>OVANÅKER</t>
        </is>
      </c>
      <c r="F12123" t="inlineStr">
        <is>
          <t>Bergvik skog väst AB</t>
        </is>
      </c>
      <c r="G12123" t="n">
        <v>11.1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22903-2025</t>
        </is>
      </c>
      <c r="B12124" s="1" t="n">
        <v>45790.41447916667</v>
      </c>
      <c r="C12124" s="1" t="n">
        <v>46086</v>
      </c>
      <c r="D12124" t="inlineStr">
        <is>
          <t>GÄVLEBORGS LÄN</t>
        </is>
      </c>
      <c r="E12124" t="inlineStr">
        <is>
          <t>HUDIKSVALL</t>
        </is>
      </c>
      <c r="F12124" t="inlineStr">
        <is>
          <t>Holmen skog AB</t>
        </is>
      </c>
      <c r="G12124" t="n">
        <v>2.1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23304-2025</t>
        </is>
      </c>
      <c r="B12125" s="1" t="n">
        <v>45791.60046296296</v>
      </c>
      <c r="C12125" s="1" t="n">
        <v>46086</v>
      </c>
      <c r="D12125" t="inlineStr">
        <is>
          <t>GÄVLEBORGS LÄN</t>
        </is>
      </c>
      <c r="E12125" t="inlineStr">
        <is>
          <t>GÄVLE</t>
        </is>
      </c>
      <c r="F12125" t="inlineStr">
        <is>
          <t>Bergvik skog väst AB</t>
        </is>
      </c>
      <c r="G12125" t="n">
        <v>4.5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23176-2025</t>
        </is>
      </c>
      <c r="B12126" s="1" t="n">
        <v>45791.4331712963</v>
      </c>
      <c r="C12126" s="1" t="n">
        <v>46086</v>
      </c>
      <c r="D12126" t="inlineStr">
        <is>
          <t>GÄVLEBORGS LÄN</t>
        </is>
      </c>
      <c r="E12126" t="inlineStr">
        <is>
          <t>OVANÅKER</t>
        </is>
      </c>
      <c r="F12126" t="inlineStr">
        <is>
          <t>Bergvik skog väst AB</t>
        </is>
      </c>
      <c r="G12126" t="n">
        <v>2.7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20137-2023</t>
        </is>
      </c>
      <c r="B12127" s="1" t="n">
        <v>45055</v>
      </c>
      <c r="C12127" s="1" t="n">
        <v>46086</v>
      </c>
      <c r="D12127" t="inlineStr">
        <is>
          <t>GÄVLEBORGS LÄN</t>
        </is>
      </c>
      <c r="E12127" t="inlineStr">
        <is>
          <t>NORDANSTIG</t>
        </is>
      </c>
      <c r="G12127" t="n">
        <v>3.4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50161-2024</t>
        </is>
      </c>
      <c r="B12128" s="1" t="n">
        <v>45600</v>
      </c>
      <c r="C12128" s="1" t="n">
        <v>46086</v>
      </c>
      <c r="D12128" t="inlineStr">
        <is>
          <t>GÄVLEBORGS LÄN</t>
        </is>
      </c>
      <c r="E12128" t="inlineStr">
        <is>
          <t>HUDIKSVALL</t>
        </is>
      </c>
      <c r="G12128" t="n">
        <v>2.3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22923-2025</t>
        </is>
      </c>
      <c r="B12129" s="1" t="n">
        <v>45790.44008101852</v>
      </c>
      <c r="C12129" s="1" t="n">
        <v>46086</v>
      </c>
      <c r="D12129" t="inlineStr">
        <is>
          <t>GÄVLEBORGS LÄN</t>
        </is>
      </c>
      <c r="E12129" t="inlineStr">
        <is>
          <t>GÄVLE</t>
        </is>
      </c>
      <c r="G12129" t="n">
        <v>20.8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22935-2025</t>
        </is>
      </c>
      <c r="B12130" s="1" t="n">
        <v>45790.45569444444</v>
      </c>
      <c r="C12130" s="1" t="n">
        <v>46086</v>
      </c>
      <c r="D12130" t="inlineStr">
        <is>
          <t>GÄVLEBORGS LÄN</t>
        </is>
      </c>
      <c r="E12130" t="inlineStr">
        <is>
          <t>HUDIKSVALL</t>
        </is>
      </c>
      <c r="F12130" t="inlineStr">
        <is>
          <t>Holmen skog AB</t>
        </is>
      </c>
      <c r="G12130" t="n">
        <v>11.5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23004-2025</t>
        </is>
      </c>
      <c r="B12131" s="1" t="n">
        <v>45790.60747685185</v>
      </c>
      <c r="C12131" s="1" t="n">
        <v>46086</v>
      </c>
      <c r="D12131" t="inlineStr">
        <is>
          <t>GÄVLEBORGS LÄN</t>
        </is>
      </c>
      <c r="E12131" t="inlineStr">
        <is>
          <t>OCKELBO</t>
        </is>
      </c>
      <c r="G12131" t="n">
        <v>1.4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23036-2025</t>
        </is>
      </c>
      <c r="B12132" s="1" t="n">
        <v>45790.66123842593</v>
      </c>
      <c r="C12132" s="1" t="n">
        <v>46086</v>
      </c>
      <c r="D12132" t="inlineStr">
        <is>
          <t>GÄVLEBORGS LÄN</t>
        </is>
      </c>
      <c r="E12132" t="inlineStr">
        <is>
          <t>LJUSDAL</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23016-2025</t>
        </is>
      </c>
      <c r="B12133" s="1" t="n">
        <v>45790.6394212963</v>
      </c>
      <c r="C12133" s="1" t="n">
        <v>46086</v>
      </c>
      <c r="D12133" t="inlineStr">
        <is>
          <t>GÄVLEBORGS LÄN</t>
        </is>
      </c>
      <c r="E12133" t="inlineStr">
        <is>
          <t>LJUSDAL</t>
        </is>
      </c>
      <c r="G12133" t="n">
        <v>3.7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55011-2024</t>
        </is>
      </c>
      <c r="B12134" s="1" t="n">
        <v>45621.34652777778</v>
      </c>
      <c r="C12134" s="1" t="n">
        <v>46086</v>
      </c>
      <c r="D12134" t="inlineStr">
        <is>
          <t>GÄVLEBORGS LÄN</t>
        </is>
      </c>
      <c r="E12134" t="inlineStr">
        <is>
          <t>OCKELBO</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23416-2025</t>
        </is>
      </c>
      <c r="B12135" s="1" t="n">
        <v>45792.34644675926</v>
      </c>
      <c r="C12135" s="1" t="n">
        <v>46086</v>
      </c>
      <c r="D12135" t="inlineStr">
        <is>
          <t>GÄVLEBORGS LÄN</t>
        </is>
      </c>
      <c r="E12135" t="inlineStr">
        <is>
          <t>OVANÅKER</t>
        </is>
      </c>
      <c r="F12135" t="inlineStr">
        <is>
          <t>Bergvik skog väst AB</t>
        </is>
      </c>
      <c r="G12135" t="n">
        <v>4.4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23822-2025</t>
        </is>
      </c>
      <c r="B12136" s="1" t="n">
        <v>45793.58898148148</v>
      </c>
      <c r="C12136" s="1" t="n">
        <v>46086</v>
      </c>
      <c r="D12136" t="inlineStr">
        <is>
          <t>GÄVLEBORGS LÄN</t>
        </is>
      </c>
      <c r="E12136" t="inlineStr">
        <is>
          <t>SÖDERHAMN</t>
        </is>
      </c>
      <c r="F12136" t="inlineStr">
        <is>
          <t>Bergvik skog väst AB</t>
        </is>
      </c>
      <c r="G12136" t="n">
        <v>4.4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23880-2025</t>
        </is>
      </c>
      <c r="B12137" s="1" t="n">
        <v>45793.69190972222</v>
      </c>
      <c r="C12137" s="1" t="n">
        <v>46086</v>
      </c>
      <c r="D12137" t="inlineStr">
        <is>
          <t>GÄVLEBORGS LÄN</t>
        </is>
      </c>
      <c r="E12137" t="inlineStr">
        <is>
          <t>BOLLNÄS</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13405-2022</t>
        </is>
      </c>
      <c r="B12138" s="1" t="n">
        <v>44645.53158564815</v>
      </c>
      <c r="C12138" s="1" t="n">
        <v>46086</v>
      </c>
      <c r="D12138" t="inlineStr">
        <is>
          <t>GÄVLEBORGS LÄN</t>
        </is>
      </c>
      <c r="E12138" t="inlineStr">
        <is>
          <t>BOLLNÄS</t>
        </is>
      </c>
      <c r="G12138" t="n">
        <v>3.5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23420-2025</t>
        </is>
      </c>
      <c r="B12139" s="1" t="n">
        <v>45792.35361111111</v>
      </c>
      <c r="C12139" s="1" t="n">
        <v>46086</v>
      </c>
      <c r="D12139" t="inlineStr">
        <is>
          <t>GÄVLEBORGS LÄN</t>
        </is>
      </c>
      <c r="E12139" t="inlineStr">
        <is>
          <t>BOLLNÄS</t>
        </is>
      </c>
      <c r="G12139" t="n">
        <v>1.8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23541-2025</t>
        </is>
      </c>
      <c r="B12140" s="1" t="n">
        <v>45792.55434027778</v>
      </c>
      <c r="C12140" s="1" t="n">
        <v>46086</v>
      </c>
      <c r="D12140" t="inlineStr">
        <is>
          <t>GÄVLEBORGS LÄN</t>
        </is>
      </c>
      <c r="E12140" t="inlineStr">
        <is>
          <t>OCKELBO</t>
        </is>
      </c>
      <c r="F12140" t="inlineStr">
        <is>
          <t>Bergvik skog väst AB</t>
        </is>
      </c>
      <c r="G12140" t="n">
        <v>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23846-2025</t>
        </is>
      </c>
      <c r="B12141" s="1" t="n">
        <v>45793</v>
      </c>
      <c r="C12141" s="1" t="n">
        <v>46086</v>
      </c>
      <c r="D12141" t="inlineStr">
        <is>
          <t>GÄVLEBORGS LÄN</t>
        </is>
      </c>
      <c r="E12141" t="inlineStr">
        <is>
          <t>BOLLNÄS</t>
        </is>
      </c>
      <c r="G12141" t="n">
        <v>1.5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47820-2024</t>
        </is>
      </c>
      <c r="B12142" s="1" t="n">
        <v>45588.62625</v>
      </c>
      <c r="C12142" s="1" t="n">
        <v>46086</v>
      </c>
      <c r="D12142" t="inlineStr">
        <is>
          <t>GÄVLEBORGS LÄN</t>
        </is>
      </c>
      <c r="E12142" t="inlineStr">
        <is>
          <t>BOLLNÄS</t>
        </is>
      </c>
      <c r="G12142" t="n">
        <v>1.7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47894-2024</t>
        </is>
      </c>
      <c r="B12143" s="1" t="n">
        <v>45588.87435185185</v>
      </c>
      <c r="C12143" s="1" t="n">
        <v>46086</v>
      </c>
      <c r="D12143" t="inlineStr">
        <is>
          <t>GÄVLEBORGS LÄN</t>
        </is>
      </c>
      <c r="E12143" t="inlineStr">
        <is>
          <t>BOLLNÄS</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50480-2024</t>
        </is>
      </c>
      <c r="B12144" s="1" t="n">
        <v>45601.47907407407</v>
      </c>
      <c r="C12144" s="1" t="n">
        <v>46086</v>
      </c>
      <c r="D12144" t="inlineStr">
        <is>
          <t>GÄVLEBORGS LÄN</t>
        </is>
      </c>
      <c r="E12144" t="inlineStr">
        <is>
          <t>OVANÅKER</t>
        </is>
      </c>
      <c r="G12144" t="n">
        <v>3.8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8519-2025</t>
        </is>
      </c>
      <c r="B12145" s="1" t="n">
        <v>45709.55436342592</v>
      </c>
      <c r="C12145" s="1" t="n">
        <v>46086</v>
      </c>
      <c r="D12145" t="inlineStr">
        <is>
          <t>GÄVLEBORGS LÄN</t>
        </is>
      </c>
      <c r="E12145" t="inlineStr">
        <is>
          <t>BOLLNÄS</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23791-2025</t>
        </is>
      </c>
      <c r="B12146" s="1" t="n">
        <v>45793.53853009259</v>
      </c>
      <c r="C12146" s="1" t="n">
        <v>46086</v>
      </c>
      <c r="D12146" t="inlineStr">
        <is>
          <t>GÄVLEBORGS LÄN</t>
        </is>
      </c>
      <c r="E12146" t="inlineStr">
        <is>
          <t>NORDANSTIG</t>
        </is>
      </c>
      <c r="F12146" t="inlineStr">
        <is>
          <t>Holmen skog AB</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23883-2025</t>
        </is>
      </c>
      <c r="B12147" s="1" t="n">
        <v>45793.72311342593</v>
      </c>
      <c r="C12147" s="1" t="n">
        <v>46086</v>
      </c>
      <c r="D12147" t="inlineStr">
        <is>
          <t>GÄVLEBORGS LÄN</t>
        </is>
      </c>
      <c r="E12147" t="inlineStr">
        <is>
          <t>BOLLNÄS</t>
        </is>
      </c>
      <c r="G12147" t="n">
        <v>1.7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23575-2025</t>
        </is>
      </c>
      <c r="B12148" s="1" t="n">
        <v>45792.62024305556</v>
      </c>
      <c r="C12148" s="1" t="n">
        <v>46086</v>
      </c>
      <c r="D12148" t="inlineStr">
        <is>
          <t>GÄVLEBORGS LÄN</t>
        </is>
      </c>
      <c r="E12148" t="inlineStr">
        <is>
          <t>GÄVLE</t>
        </is>
      </c>
      <c r="F12148" t="inlineStr">
        <is>
          <t>Bergvik skog väst AB</t>
        </is>
      </c>
      <c r="G12148" t="n">
        <v>6.1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26085-2024</t>
        </is>
      </c>
      <c r="B12149" s="1" t="n">
        <v>45468.38417824074</v>
      </c>
      <c r="C12149" s="1" t="n">
        <v>46086</v>
      </c>
      <c r="D12149" t="inlineStr">
        <is>
          <t>GÄVLEBORGS LÄN</t>
        </is>
      </c>
      <c r="E12149" t="inlineStr">
        <is>
          <t>OCKELBO</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36710-2023</t>
        </is>
      </c>
      <c r="B12150" s="1" t="n">
        <v>45153.65484953704</v>
      </c>
      <c r="C12150" s="1" t="n">
        <v>46086</v>
      </c>
      <c r="D12150" t="inlineStr">
        <is>
          <t>GÄVLEBORGS LÄN</t>
        </is>
      </c>
      <c r="E12150" t="inlineStr">
        <is>
          <t>BOLLNÄS</t>
        </is>
      </c>
      <c r="G12150" t="n">
        <v>3.2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48803-2024</t>
        </is>
      </c>
      <c r="B12151" s="1" t="n">
        <v>45593.66165509259</v>
      </c>
      <c r="C12151" s="1" t="n">
        <v>46086</v>
      </c>
      <c r="D12151" t="inlineStr">
        <is>
          <t>GÄVLEBORGS LÄN</t>
        </is>
      </c>
      <c r="E12151" t="inlineStr">
        <is>
          <t>OCKELBO</t>
        </is>
      </c>
      <c r="G12151" t="n">
        <v>9.4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54803-2023</t>
        </is>
      </c>
      <c r="B12152" s="1" t="n">
        <v>45236</v>
      </c>
      <c r="C12152" s="1" t="n">
        <v>46086</v>
      </c>
      <c r="D12152" t="inlineStr">
        <is>
          <t>GÄVLEBORGS LÄN</t>
        </is>
      </c>
      <c r="E12152" t="inlineStr">
        <is>
          <t>NORDANSTIG</t>
        </is>
      </c>
      <c r="F12152" t="inlineStr">
        <is>
          <t>Holmen skog AB</t>
        </is>
      </c>
      <c r="G12152" t="n">
        <v>2.5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255-2025</t>
        </is>
      </c>
      <c r="B12153" s="1" t="n">
        <v>45660.43380787037</v>
      </c>
      <c r="C12153" s="1" t="n">
        <v>46086</v>
      </c>
      <c r="D12153" t="inlineStr">
        <is>
          <t>GÄVLEBORGS LÄN</t>
        </is>
      </c>
      <c r="E12153" t="inlineStr">
        <is>
          <t>GÄVLE</t>
        </is>
      </c>
      <c r="F12153" t="inlineStr">
        <is>
          <t>Bergvik skog väst AB</t>
        </is>
      </c>
      <c r="G12153" t="n">
        <v>3.7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23419-2025</t>
        </is>
      </c>
      <c r="B12154" s="1" t="n">
        <v>45792.35172453704</v>
      </c>
      <c r="C12154" s="1" t="n">
        <v>46086</v>
      </c>
      <c r="D12154" t="inlineStr">
        <is>
          <t>GÄVLEBORGS LÄN</t>
        </is>
      </c>
      <c r="E12154" t="inlineStr">
        <is>
          <t>BOLLNÄS</t>
        </is>
      </c>
      <c r="G12154" t="n">
        <v>2.4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23424-2025</t>
        </is>
      </c>
      <c r="B12155" s="1" t="n">
        <v>45792.35974537037</v>
      </c>
      <c r="C12155" s="1" t="n">
        <v>46086</v>
      </c>
      <c r="D12155" t="inlineStr">
        <is>
          <t>GÄVLEBORGS LÄN</t>
        </is>
      </c>
      <c r="E12155" t="inlineStr">
        <is>
          <t>OVANÅKER</t>
        </is>
      </c>
      <c r="F12155" t="inlineStr">
        <is>
          <t>Bergvik skog väst AB</t>
        </is>
      </c>
      <c r="G12155" t="n">
        <v>0.4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23434-2025</t>
        </is>
      </c>
      <c r="B12156" s="1" t="n">
        <v>45792.36770833333</v>
      </c>
      <c r="C12156" s="1" t="n">
        <v>46086</v>
      </c>
      <c r="D12156" t="inlineStr">
        <is>
          <t>GÄVLEBORGS LÄN</t>
        </is>
      </c>
      <c r="E12156" t="inlineStr">
        <is>
          <t>OVANÅKER</t>
        </is>
      </c>
      <c r="F12156" t="inlineStr">
        <is>
          <t>Bergvik skog väst AB</t>
        </is>
      </c>
      <c r="G12156" t="n">
        <v>14.6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23594-2025</t>
        </is>
      </c>
      <c r="B12157" s="1" t="n">
        <v>45792.64136574074</v>
      </c>
      <c r="C12157" s="1" t="n">
        <v>46086</v>
      </c>
      <c r="D12157" t="inlineStr">
        <is>
          <t>GÄVLEBORGS LÄN</t>
        </is>
      </c>
      <c r="E12157" t="inlineStr">
        <is>
          <t>LJUSDAL</t>
        </is>
      </c>
      <c r="F12157" t="inlineStr">
        <is>
          <t>Bergvik skog väst AB</t>
        </is>
      </c>
      <c r="G12157" t="n">
        <v>10.6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19970-2024</t>
        </is>
      </c>
      <c r="B12158" s="1" t="n">
        <v>45433.75060185185</v>
      </c>
      <c r="C12158" s="1" t="n">
        <v>46086</v>
      </c>
      <c r="D12158" t="inlineStr">
        <is>
          <t>GÄVLEBORGS LÄN</t>
        </is>
      </c>
      <c r="E12158" t="inlineStr">
        <is>
          <t>BOLLNÄS</t>
        </is>
      </c>
      <c r="G12158" t="n">
        <v>3.4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10485-2024</t>
        </is>
      </c>
      <c r="B12159" s="1" t="n">
        <v>45366</v>
      </c>
      <c r="C12159" s="1" t="n">
        <v>46086</v>
      </c>
      <c r="D12159" t="inlineStr">
        <is>
          <t>GÄVLEBORGS LÄN</t>
        </is>
      </c>
      <c r="E12159" t="inlineStr">
        <is>
          <t>BOLLNÄS</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23623-2025</t>
        </is>
      </c>
      <c r="B12160" s="1" t="n">
        <v>45792</v>
      </c>
      <c r="C12160" s="1" t="n">
        <v>46086</v>
      </c>
      <c r="D12160" t="inlineStr">
        <is>
          <t>GÄVLEBORGS LÄN</t>
        </is>
      </c>
      <c r="E12160" t="inlineStr">
        <is>
          <t>NORDANSTIG</t>
        </is>
      </c>
      <c r="G12160" t="n">
        <v>12.9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23666-2025</t>
        </is>
      </c>
      <c r="B12161" s="1" t="n">
        <v>45792.84364583333</v>
      </c>
      <c r="C12161" s="1" t="n">
        <v>46086</v>
      </c>
      <c r="D12161" t="inlineStr">
        <is>
          <t>GÄVLEBORGS LÄN</t>
        </is>
      </c>
      <c r="E12161" t="inlineStr">
        <is>
          <t>HOFORS</t>
        </is>
      </c>
      <c r="G12161" t="n">
        <v>0.4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15682-2024</t>
        </is>
      </c>
      <c r="B12162" s="1" t="n">
        <v>45404.42548611111</v>
      </c>
      <c r="C12162" s="1" t="n">
        <v>46086</v>
      </c>
      <c r="D12162" t="inlineStr">
        <is>
          <t>GÄVLEBORGS LÄN</t>
        </is>
      </c>
      <c r="E12162" t="inlineStr">
        <is>
          <t>SANDVIKEN</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23591-2025</t>
        </is>
      </c>
      <c r="B12163" s="1" t="n">
        <v>45792.63633101852</v>
      </c>
      <c r="C12163" s="1" t="n">
        <v>46086</v>
      </c>
      <c r="D12163" t="inlineStr">
        <is>
          <t>GÄVLEBORGS LÄN</t>
        </is>
      </c>
      <c r="E12163" t="inlineStr">
        <is>
          <t>LJUSDAL</t>
        </is>
      </c>
      <c r="F12163" t="inlineStr">
        <is>
          <t>SCA</t>
        </is>
      </c>
      <c r="G12163" t="n">
        <v>0.5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23603-2025</t>
        </is>
      </c>
      <c r="B12164" s="1" t="n">
        <v>45792.65420138889</v>
      </c>
      <c r="C12164" s="1" t="n">
        <v>46086</v>
      </c>
      <c r="D12164" t="inlineStr">
        <is>
          <t>GÄVLEBORGS LÄN</t>
        </is>
      </c>
      <c r="E12164" t="inlineStr">
        <is>
          <t>LJUSDAL</t>
        </is>
      </c>
      <c r="F12164" t="inlineStr">
        <is>
          <t>Bergvik skog väst AB</t>
        </is>
      </c>
      <c r="G12164" t="n">
        <v>5.6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23788-2025</t>
        </is>
      </c>
      <c r="B12165" s="1" t="n">
        <v>45793.5347800926</v>
      </c>
      <c r="C12165" s="1" t="n">
        <v>46086</v>
      </c>
      <c r="D12165" t="inlineStr">
        <is>
          <t>GÄVLEBORGS LÄN</t>
        </is>
      </c>
      <c r="E12165" t="inlineStr">
        <is>
          <t>NORDANSTIG</t>
        </is>
      </c>
      <c r="F12165" t="inlineStr">
        <is>
          <t>Holmen skog AB</t>
        </is>
      </c>
      <c r="G12165" t="n">
        <v>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23710-2025</t>
        </is>
      </c>
      <c r="B12166" s="1" t="n">
        <v>45793.38253472222</v>
      </c>
      <c r="C12166" s="1" t="n">
        <v>46086</v>
      </c>
      <c r="D12166" t="inlineStr">
        <is>
          <t>GÄVLEBORGS LÄN</t>
        </is>
      </c>
      <c r="E12166" t="inlineStr">
        <is>
          <t>LJUSDAL</t>
        </is>
      </c>
      <c r="F12166" t="inlineStr">
        <is>
          <t>Bergvik skog väst AB</t>
        </is>
      </c>
      <c r="G12166" t="n">
        <v>11.7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23571-2025</t>
        </is>
      </c>
      <c r="B12167" s="1" t="n">
        <v>45792.61167824074</v>
      </c>
      <c r="C12167" s="1" t="n">
        <v>46086</v>
      </c>
      <c r="D12167" t="inlineStr">
        <is>
          <t>GÄVLEBORGS LÄN</t>
        </is>
      </c>
      <c r="E12167" t="inlineStr">
        <is>
          <t>LJUSDAL</t>
        </is>
      </c>
      <c r="F12167" t="inlineStr">
        <is>
          <t>Sveaskog</t>
        </is>
      </c>
      <c r="G12167" t="n">
        <v>3.1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56755-2022</t>
        </is>
      </c>
      <c r="B12168" s="1" t="n">
        <v>44894</v>
      </c>
      <c r="C12168" s="1" t="n">
        <v>46086</v>
      </c>
      <c r="D12168" t="inlineStr">
        <is>
          <t>GÄVLEBORGS LÄN</t>
        </is>
      </c>
      <c r="E12168" t="inlineStr">
        <is>
          <t>BOLLNÄS</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62738-2023</t>
        </is>
      </c>
      <c r="B12169" s="1" t="n">
        <v>45268</v>
      </c>
      <c r="C12169" s="1" t="n">
        <v>46086</v>
      </c>
      <c r="D12169" t="inlineStr">
        <is>
          <t>GÄVLEBORGS LÄN</t>
        </is>
      </c>
      <c r="E12169" t="inlineStr">
        <is>
          <t>OVANÅKER</t>
        </is>
      </c>
      <c r="G12169" t="n">
        <v>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7569-2022</t>
        </is>
      </c>
      <c r="B12170" s="1" t="n">
        <v>44607</v>
      </c>
      <c r="C12170" s="1" t="n">
        <v>46086</v>
      </c>
      <c r="D12170" t="inlineStr">
        <is>
          <t>GÄVLEBORGS LÄN</t>
        </is>
      </c>
      <c r="E12170" t="inlineStr">
        <is>
          <t>OVANÅKER</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48666-2022</t>
        </is>
      </c>
      <c r="B12171" s="1" t="n">
        <v>44859.44630787037</v>
      </c>
      <c r="C12171" s="1" t="n">
        <v>46086</v>
      </c>
      <c r="D12171" t="inlineStr">
        <is>
          <t>GÄVLEBORGS LÄN</t>
        </is>
      </c>
      <c r="E12171" t="inlineStr">
        <is>
          <t>BOLLNÄS</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23595-2025</t>
        </is>
      </c>
      <c r="B12172" s="1" t="n">
        <v>45792.64585648148</v>
      </c>
      <c r="C12172" s="1" t="n">
        <v>46086</v>
      </c>
      <c r="D12172" t="inlineStr">
        <is>
          <t>GÄVLEBORGS LÄN</t>
        </is>
      </c>
      <c r="E12172" t="inlineStr">
        <is>
          <t>LJUSDAL</t>
        </is>
      </c>
      <c r="G12172" t="n">
        <v>2.3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23599-2025</t>
        </is>
      </c>
      <c r="B12173" s="1" t="n">
        <v>45792.6493287037</v>
      </c>
      <c r="C12173" s="1" t="n">
        <v>46086</v>
      </c>
      <c r="D12173" t="inlineStr">
        <is>
          <t>GÄVLEBORGS LÄN</t>
        </is>
      </c>
      <c r="E12173" t="inlineStr">
        <is>
          <t>SÖDERHAMN</t>
        </is>
      </c>
      <c r="F12173" t="inlineStr">
        <is>
          <t>Bergvik skog väst AB</t>
        </is>
      </c>
      <c r="G12173" t="n">
        <v>3.1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46795-2024</t>
        </is>
      </c>
      <c r="B12174" s="1" t="n">
        <v>45583.54359953704</v>
      </c>
      <c r="C12174" s="1" t="n">
        <v>46086</v>
      </c>
      <c r="D12174" t="inlineStr">
        <is>
          <t>GÄVLEBORGS LÄN</t>
        </is>
      </c>
      <c r="E12174" t="inlineStr">
        <is>
          <t>BOLLNÄS</t>
        </is>
      </c>
      <c r="G12174" t="n">
        <v>1.7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23656-2025</t>
        </is>
      </c>
      <c r="B12175" s="1" t="n">
        <v>45792.7308449074</v>
      </c>
      <c r="C12175" s="1" t="n">
        <v>46086</v>
      </c>
      <c r="D12175" t="inlineStr">
        <is>
          <t>GÄVLEBORGS LÄN</t>
        </is>
      </c>
      <c r="E12175" t="inlineStr">
        <is>
          <t>LJUSDAL</t>
        </is>
      </c>
      <c r="F12175" t="inlineStr">
        <is>
          <t>Sveaskog</t>
        </is>
      </c>
      <c r="G12175" t="n">
        <v>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49883-2023</t>
        </is>
      </c>
      <c r="B12176" s="1" t="n">
        <v>45213.37230324074</v>
      </c>
      <c r="C12176" s="1" t="n">
        <v>46086</v>
      </c>
      <c r="D12176" t="inlineStr">
        <is>
          <t>GÄVLEBORGS LÄN</t>
        </is>
      </c>
      <c r="E12176" t="inlineStr">
        <is>
          <t>BOLLNÄS</t>
        </is>
      </c>
      <c r="G12176" t="n">
        <v>1.8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4420-2024</t>
        </is>
      </c>
      <c r="B12177" s="1" t="n">
        <v>45327</v>
      </c>
      <c r="C12177" s="1" t="n">
        <v>46086</v>
      </c>
      <c r="D12177" t="inlineStr">
        <is>
          <t>GÄVLEBORGS LÄN</t>
        </is>
      </c>
      <c r="E12177" t="inlineStr">
        <is>
          <t>LJUSDAL</t>
        </is>
      </c>
      <c r="F12177" t="inlineStr">
        <is>
          <t>Holmen skog AB</t>
        </is>
      </c>
      <c r="G12177" t="n">
        <v>3.6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47145-2023</t>
        </is>
      </c>
      <c r="B12178" s="1" t="n">
        <v>45201.83716435185</v>
      </c>
      <c r="C12178" s="1" t="n">
        <v>46086</v>
      </c>
      <c r="D12178" t="inlineStr">
        <is>
          <t>GÄVLEBORGS LÄN</t>
        </is>
      </c>
      <c r="E12178" t="inlineStr">
        <is>
          <t>HUDIKSVALL</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12480-2021</t>
        </is>
      </c>
      <c r="B12179" s="1" t="n">
        <v>44267.69099537037</v>
      </c>
      <c r="C12179" s="1" t="n">
        <v>46086</v>
      </c>
      <c r="D12179" t="inlineStr">
        <is>
          <t>GÄVLEBORGS LÄN</t>
        </is>
      </c>
      <c r="E12179" t="inlineStr">
        <is>
          <t>OCKELBO</t>
        </is>
      </c>
      <c r="F12179" t="inlineStr">
        <is>
          <t>Bergvik skog väst AB</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23882-2025</t>
        </is>
      </c>
      <c r="B12180" s="1" t="n">
        <v>45793.71438657407</v>
      </c>
      <c r="C12180" s="1" t="n">
        <v>46086</v>
      </c>
      <c r="D12180" t="inlineStr">
        <is>
          <t>GÄVLEBORGS LÄN</t>
        </is>
      </c>
      <c r="E12180" t="inlineStr">
        <is>
          <t>BOLLNÄS</t>
        </is>
      </c>
      <c r="G12180" t="n">
        <v>3.7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23467-2025</t>
        </is>
      </c>
      <c r="B12181" s="1" t="n">
        <v>45792.43704861111</v>
      </c>
      <c r="C12181" s="1" t="n">
        <v>46086</v>
      </c>
      <c r="D12181" t="inlineStr">
        <is>
          <t>GÄVLEBORGS LÄN</t>
        </is>
      </c>
      <c r="E12181" t="inlineStr">
        <is>
          <t>NORDANSTIG</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44289-2023</t>
        </is>
      </c>
      <c r="B12182" s="1" t="n">
        <v>45188.63613425926</v>
      </c>
      <c r="C12182" s="1" t="n">
        <v>46086</v>
      </c>
      <c r="D12182" t="inlineStr">
        <is>
          <t>GÄVLEBORGS LÄN</t>
        </is>
      </c>
      <c r="E12182" t="inlineStr">
        <is>
          <t>SANDVIKEN</t>
        </is>
      </c>
      <c r="G12182" t="n">
        <v>1.5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16752-2025</t>
        </is>
      </c>
      <c r="B12183" s="1" t="n">
        <v>45754.56815972222</v>
      </c>
      <c r="C12183" s="1" t="n">
        <v>46086</v>
      </c>
      <c r="D12183" t="inlineStr">
        <is>
          <t>GÄVLEBORGS LÄN</t>
        </is>
      </c>
      <c r="E12183" t="inlineStr">
        <is>
          <t>OCKELBO</t>
        </is>
      </c>
      <c r="G12183" t="n">
        <v>4.5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23447-2025</t>
        </is>
      </c>
      <c r="B12184" s="1" t="n">
        <v>45792.39951388889</v>
      </c>
      <c r="C12184" s="1" t="n">
        <v>46086</v>
      </c>
      <c r="D12184" t="inlineStr">
        <is>
          <t>GÄVLEBORGS LÄN</t>
        </is>
      </c>
      <c r="E12184" t="inlineStr">
        <is>
          <t>GÄVLE</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23477-2025</t>
        </is>
      </c>
      <c r="B12185" s="1" t="n">
        <v>45792.45667824074</v>
      </c>
      <c r="C12185" s="1" t="n">
        <v>46086</v>
      </c>
      <c r="D12185" t="inlineStr">
        <is>
          <t>GÄVLEBORGS LÄN</t>
        </is>
      </c>
      <c r="E12185" t="inlineStr">
        <is>
          <t>LJUSDAL</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23481-2025</t>
        </is>
      </c>
      <c r="B12186" s="1" t="n">
        <v>45792.45871527777</v>
      </c>
      <c r="C12186" s="1" t="n">
        <v>46086</v>
      </c>
      <c r="D12186" t="inlineStr">
        <is>
          <t>GÄVLEBORGS LÄN</t>
        </is>
      </c>
      <c r="E12186" t="inlineStr">
        <is>
          <t>BOLLNÄS</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23497-2025</t>
        </is>
      </c>
      <c r="B12187" s="1" t="n">
        <v>45792.47788194445</v>
      </c>
      <c r="C12187" s="1" t="n">
        <v>46086</v>
      </c>
      <c r="D12187" t="inlineStr">
        <is>
          <t>GÄVLEBORGS LÄN</t>
        </is>
      </c>
      <c r="E12187" t="inlineStr">
        <is>
          <t>SANDVIKEN</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27872-2024</t>
        </is>
      </c>
      <c r="B12188" s="1" t="n">
        <v>45475.71920138889</v>
      </c>
      <c r="C12188" s="1" t="n">
        <v>46086</v>
      </c>
      <c r="D12188" t="inlineStr">
        <is>
          <t>GÄVLEBORGS LÄN</t>
        </is>
      </c>
      <c r="E12188" t="inlineStr">
        <is>
          <t>SANDVIKEN</t>
        </is>
      </c>
      <c r="G12188" t="n">
        <v>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55941-2024</t>
        </is>
      </c>
      <c r="B12189" s="1" t="n">
        <v>45623.61159722223</v>
      </c>
      <c r="C12189" s="1" t="n">
        <v>46086</v>
      </c>
      <c r="D12189" t="inlineStr">
        <is>
          <t>GÄVLEBORGS LÄN</t>
        </is>
      </c>
      <c r="E12189" t="inlineStr">
        <is>
          <t>BOLLNÄS</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9889-2022</t>
        </is>
      </c>
      <c r="B12190" s="1" t="n">
        <v>44620</v>
      </c>
      <c r="C12190" s="1" t="n">
        <v>46086</v>
      </c>
      <c r="D12190" t="inlineStr">
        <is>
          <t>GÄVLEBORGS LÄN</t>
        </is>
      </c>
      <c r="E12190" t="inlineStr">
        <is>
          <t>BOLLNÄS</t>
        </is>
      </c>
      <c r="G12190" t="n">
        <v>2.4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4164-2024</t>
        </is>
      </c>
      <c r="B12191" s="1" t="n">
        <v>45323</v>
      </c>
      <c r="C12191" s="1" t="n">
        <v>46086</v>
      </c>
      <c r="D12191" t="inlineStr">
        <is>
          <t>GÄVLEBORGS LÄN</t>
        </is>
      </c>
      <c r="E12191" t="inlineStr">
        <is>
          <t>HUDIKSVALL</t>
        </is>
      </c>
      <c r="G12191" t="n">
        <v>2.7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44277-2024</t>
        </is>
      </c>
      <c r="B12192" s="1" t="n">
        <v>45573.4915625</v>
      </c>
      <c r="C12192" s="1" t="n">
        <v>46086</v>
      </c>
      <c r="D12192" t="inlineStr">
        <is>
          <t>GÄVLEBORGS LÄN</t>
        </is>
      </c>
      <c r="E12192" t="inlineStr">
        <is>
          <t>HUDIKSVALL</t>
        </is>
      </c>
      <c r="G12192" t="n">
        <v>5.6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38594-2024</t>
        </is>
      </c>
      <c r="B12193" s="1" t="n">
        <v>45546.65759259259</v>
      </c>
      <c r="C12193" s="1" t="n">
        <v>46086</v>
      </c>
      <c r="D12193" t="inlineStr">
        <is>
          <t>GÄVLEBORGS LÄN</t>
        </is>
      </c>
      <c r="E12193" t="inlineStr">
        <is>
          <t>BOLLNÄS</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26631-2024</t>
        </is>
      </c>
      <c r="B12194" s="1" t="n">
        <v>45469</v>
      </c>
      <c r="C12194" s="1" t="n">
        <v>46086</v>
      </c>
      <c r="D12194" t="inlineStr">
        <is>
          <t>GÄVLEBORGS LÄN</t>
        </is>
      </c>
      <c r="E12194" t="inlineStr">
        <is>
          <t>LJUSDAL</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1105-2025</t>
        </is>
      </c>
      <c r="B12195" s="1" t="n">
        <v>45666.64752314815</v>
      </c>
      <c r="C12195" s="1" t="n">
        <v>46086</v>
      </c>
      <c r="D12195" t="inlineStr">
        <is>
          <t>GÄVLEBORGS LÄN</t>
        </is>
      </c>
      <c r="E12195" t="inlineStr">
        <is>
          <t>HUDIKSVALL</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17376-2024</t>
        </is>
      </c>
      <c r="B12196" s="1" t="n">
        <v>45414.639375</v>
      </c>
      <c r="C12196" s="1" t="n">
        <v>46086</v>
      </c>
      <c r="D12196" t="inlineStr">
        <is>
          <t>GÄVLEBORGS LÄN</t>
        </is>
      </c>
      <c r="E12196" t="inlineStr">
        <is>
          <t>BOLLNÄS</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39862-2023</t>
        </is>
      </c>
      <c r="B12197" s="1" t="n">
        <v>45168.38649305556</v>
      </c>
      <c r="C12197" s="1" t="n">
        <v>46086</v>
      </c>
      <c r="D12197" t="inlineStr">
        <is>
          <t>GÄVLEBORGS LÄN</t>
        </is>
      </c>
      <c r="E12197" t="inlineStr">
        <is>
          <t>OVANÅKER</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60957-2023</t>
        </is>
      </c>
      <c r="B12198" s="1" t="n">
        <v>45261</v>
      </c>
      <c r="C12198" s="1" t="n">
        <v>46086</v>
      </c>
      <c r="D12198" t="inlineStr">
        <is>
          <t>GÄVLEBORGS LÄN</t>
        </is>
      </c>
      <c r="E12198" t="inlineStr">
        <is>
          <t>LJUSDAL</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14482-2021</t>
        </is>
      </c>
      <c r="B12199" s="1" t="n">
        <v>44279</v>
      </c>
      <c r="C12199" s="1" t="n">
        <v>46086</v>
      </c>
      <c r="D12199" t="inlineStr">
        <is>
          <t>GÄVLEBORGS LÄN</t>
        </is>
      </c>
      <c r="E12199" t="inlineStr">
        <is>
          <t>BOLLNÄS</t>
        </is>
      </c>
      <c r="F12199" t="inlineStr">
        <is>
          <t>Kommuner</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64579-2023</t>
        </is>
      </c>
      <c r="B12200" s="1" t="n">
        <v>45281</v>
      </c>
      <c r="C12200" s="1" t="n">
        <v>46086</v>
      </c>
      <c r="D12200" t="inlineStr">
        <is>
          <t>GÄVLEBORGS LÄN</t>
        </is>
      </c>
      <c r="E12200" t="inlineStr">
        <is>
          <t>HUDIKSVALL</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24307-2025</t>
        </is>
      </c>
      <c r="B12201" s="1" t="n">
        <v>45797.49787037037</v>
      </c>
      <c r="C12201" s="1" t="n">
        <v>46086</v>
      </c>
      <c r="D12201" t="inlineStr">
        <is>
          <t>GÄVLEBORGS LÄN</t>
        </is>
      </c>
      <c r="E12201" t="inlineStr">
        <is>
          <t>SÖDERHAMN</t>
        </is>
      </c>
      <c r="F12201" t="inlineStr">
        <is>
          <t>Bergvik skog väst AB</t>
        </is>
      </c>
      <c r="G12201" t="n">
        <v>2.4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24398-2025</t>
        </is>
      </c>
      <c r="B12202" s="1" t="n">
        <v>45797.64421296296</v>
      </c>
      <c r="C12202" s="1" t="n">
        <v>46086</v>
      </c>
      <c r="D12202" t="inlineStr">
        <is>
          <t>GÄVLEBORGS LÄN</t>
        </is>
      </c>
      <c r="E12202" t="inlineStr">
        <is>
          <t>LJUSDAL</t>
        </is>
      </c>
      <c r="G12202" t="n">
        <v>3.5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24400-2025</t>
        </is>
      </c>
      <c r="B12203" s="1" t="n">
        <v>45797.64821759259</v>
      </c>
      <c r="C12203" s="1" t="n">
        <v>46086</v>
      </c>
      <c r="D12203" t="inlineStr">
        <is>
          <t>GÄVLEBORGS LÄN</t>
        </is>
      </c>
      <c r="E12203" t="inlineStr">
        <is>
          <t>LJUSDAL</t>
        </is>
      </c>
      <c r="G12203" t="n">
        <v>4.9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15403-2022</t>
        </is>
      </c>
      <c r="B12204" s="1" t="n">
        <v>44659</v>
      </c>
      <c r="C12204" s="1" t="n">
        <v>46086</v>
      </c>
      <c r="D12204" t="inlineStr">
        <is>
          <t>GÄVLEBORGS LÄN</t>
        </is>
      </c>
      <c r="E12204" t="inlineStr">
        <is>
          <t>OCKELBO</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20166-2022</t>
        </is>
      </c>
      <c r="B12205" s="1" t="n">
        <v>44698</v>
      </c>
      <c r="C12205" s="1" t="n">
        <v>46086</v>
      </c>
      <c r="D12205" t="inlineStr">
        <is>
          <t>GÄVLEBORGS LÄN</t>
        </is>
      </c>
      <c r="E12205" t="inlineStr">
        <is>
          <t>SÖDERHAMN</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23992-2025</t>
        </is>
      </c>
      <c r="B12206" s="1" t="n">
        <v>45796.40662037037</v>
      </c>
      <c r="C12206" s="1" t="n">
        <v>46086</v>
      </c>
      <c r="D12206" t="inlineStr">
        <is>
          <t>GÄVLEBORGS LÄN</t>
        </is>
      </c>
      <c r="E12206" t="inlineStr">
        <is>
          <t>BOLLNÄS</t>
        </is>
      </c>
      <c r="G12206" t="n">
        <v>3.3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25187-2023</t>
        </is>
      </c>
      <c r="B12207" s="1" t="n">
        <v>45086.56450231482</v>
      </c>
      <c r="C12207" s="1" t="n">
        <v>46086</v>
      </c>
      <c r="D12207" t="inlineStr">
        <is>
          <t>GÄVLEBORGS LÄN</t>
        </is>
      </c>
      <c r="E12207" t="inlineStr">
        <is>
          <t>OVANÅKER</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53624-2024</t>
        </is>
      </c>
      <c r="B12208" s="1" t="n">
        <v>45614</v>
      </c>
      <c r="C12208" s="1" t="n">
        <v>46086</v>
      </c>
      <c r="D12208" t="inlineStr">
        <is>
          <t>GÄVLEBORGS LÄN</t>
        </is>
      </c>
      <c r="E12208" t="inlineStr">
        <is>
          <t>HUDIKSVALL</t>
        </is>
      </c>
      <c r="G12208" t="n">
        <v>1.8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24305-2025</t>
        </is>
      </c>
      <c r="B12209" s="1" t="n">
        <v>45797.49285879629</v>
      </c>
      <c r="C12209" s="1" t="n">
        <v>46086</v>
      </c>
      <c r="D12209" t="inlineStr">
        <is>
          <t>GÄVLEBORGS LÄN</t>
        </is>
      </c>
      <c r="E12209" t="inlineStr">
        <is>
          <t>SÖDERHAMN</t>
        </is>
      </c>
      <c r="F12209" t="inlineStr">
        <is>
          <t>Bergvik skog väst AB</t>
        </is>
      </c>
      <c r="G12209" t="n">
        <v>2.5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24314-2025</t>
        </is>
      </c>
      <c r="B12210" s="1" t="n">
        <v>45797.52796296297</v>
      </c>
      <c r="C12210" s="1" t="n">
        <v>46086</v>
      </c>
      <c r="D12210" t="inlineStr">
        <is>
          <t>GÄVLEBORGS LÄN</t>
        </is>
      </c>
      <c r="E12210" t="inlineStr">
        <is>
          <t>BOLLNÄS</t>
        </is>
      </c>
      <c r="G12210" t="n">
        <v>3.9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34978-2024</t>
        </is>
      </c>
      <c r="B12211" s="1" t="n">
        <v>45527.54472222222</v>
      </c>
      <c r="C12211" s="1" t="n">
        <v>46086</v>
      </c>
      <c r="D12211" t="inlineStr">
        <is>
          <t>GÄVLEBORGS LÄN</t>
        </is>
      </c>
      <c r="E12211" t="inlineStr">
        <is>
          <t>SÖDERHAMN</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21789-2024</t>
        </is>
      </c>
      <c r="B12212" s="1" t="n">
        <v>45442.64026620371</v>
      </c>
      <c r="C12212" s="1" t="n">
        <v>46086</v>
      </c>
      <c r="D12212" t="inlineStr">
        <is>
          <t>GÄVLEBORGS LÄN</t>
        </is>
      </c>
      <c r="E12212" t="inlineStr">
        <is>
          <t>SÖDERHAMN</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23993-2025</t>
        </is>
      </c>
      <c r="B12213" s="1" t="n">
        <v>45796.40721064815</v>
      </c>
      <c r="C12213" s="1" t="n">
        <v>46086</v>
      </c>
      <c r="D12213" t="inlineStr">
        <is>
          <t>GÄVLEBORGS LÄN</t>
        </is>
      </c>
      <c r="E12213" t="inlineStr">
        <is>
          <t>NORDANSTIG</t>
        </is>
      </c>
      <c r="F12213" t="inlineStr">
        <is>
          <t>Holmen skog AB</t>
        </is>
      </c>
      <c r="G12213" t="n">
        <v>41.3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21927-2024</t>
        </is>
      </c>
      <c r="B12214" s="1" t="n">
        <v>45443.46575231481</v>
      </c>
      <c r="C12214" s="1" t="n">
        <v>46086</v>
      </c>
      <c r="D12214" t="inlineStr">
        <is>
          <t>GÄVLEBORGS LÄN</t>
        </is>
      </c>
      <c r="E12214" t="inlineStr">
        <is>
          <t>HUDIKSVALL</t>
        </is>
      </c>
      <c r="F12214" t="inlineStr">
        <is>
          <t>Holmen skog AB</t>
        </is>
      </c>
      <c r="G12214" t="n">
        <v>1.2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24206-2025</t>
        </is>
      </c>
      <c r="B12215" s="1" t="n">
        <v>45797</v>
      </c>
      <c r="C12215" s="1" t="n">
        <v>46086</v>
      </c>
      <c r="D12215" t="inlineStr">
        <is>
          <t>GÄVLEBORGS LÄN</t>
        </is>
      </c>
      <c r="E12215" t="inlineStr">
        <is>
          <t>SÖDERHAMN</t>
        </is>
      </c>
      <c r="F12215" t="inlineStr">
        <is>
          <t>Bergvik skog väst AB</t>
        </is>
      </c>
      <c r="G12215" t="n">
        <v>2.5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45312-2023</t>
        </is>
      </c>
      <c r="B12216" s="1" t="n">
        <v>45191.70572916666</v>
      </c>
      <c r="C12216" s="1" t="n">
        <v>46086</v>
      </c>
      <c r="D12216" t="inlineStr">
        <is>
          <t>GÄVLEBORGS LÄN</t>
        </is>
      </c>
      <c r="E12216" t="inlineStr">
        <is>
          <t>NORDANSTIG</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48870-2023</t>
        </is>
      </c>
      <c r="B12217" s="1" t="n">
        <v>45209.46043981481</v>
      </c>
      <c r="C12217" s="1" t="n">
        <v>46086</v>
      </c>
      <c r="D12217" t="inlineStr">
        <is>
          <t>GÄVLEBORGS LÄN</t>
        </is>
      </c>
      <c r="E12217" t="inlineStr">
        <is>
          <t>LJUSDAL</t>
        </is>
      </c>
      <c r="G12217" t="n">
        <v>1.8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2358-2025</t>
        </is>
      </c>
      <c r="B12218" s="1" t="n">
        <v>45673</v>
      </c>
      <c r="C12218" s="1" t="n">
        <v>46086</v>
      </c>
      <c r="D12218" t="inlineStr">
        <is>
          <t>GÄVLEBORGS LÄN</t>
        </is>
      </c>
      <c r="E12218" t="inlineStr">
        <is>
          <t>SANDVIKEN</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44571-2024</t>
        </is>
      </c>
      <c r="B12219" s="1" t="n">
        <v>45574</v>
      </c>
      <c r="C12219" s="1" t="n">
        <v>46086</v>
      </c>
      <c r="D12219" t="inlineStr">
        <is>
          <t>GÄVLEBORGS LÄN</t>
        </is>
      </c>
      <c r="E12219" t="inlineStr">
        <is>
          <t>OVANÅKER</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44577-2024</t>
        </is>
      </c>
      <c r="B12220" s="1" t="n">
        <v>45574.4846875</v>
      </c>
      <c r="C12220" s="1" t="n">
        <v>46086</v>
      </c>
      <c r="D12220" t="inlineStr">
        <is>
          <t>GÄVLEBORGS LÄN</t>
        </is>
      </c>
      <c r="E12220" t="inlineStr">
        <is>
          <t>OVANÅKER</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24405-2025</t>
        </is>
      </c>
      <c r="B12221" s="1" t="n">
        <v>45797.65386574074</v>
      </c>
      <c r="C12221" s="1" t="n">
        <v>46086</v>
      </c>
      <c r="D12221" t="inlineStr">
        <is>
          <t>GÄVLEBORGS LÄN</t>
        </is>
      </c>
      <c r="E12221" t="inlineStr">
        <is>
          <t>LJUSDAL</t>
        </is>
      </c>
      <c r="G12221" t="n">
        <v>9.1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24228-2025</t>
        </is>
      </c>
      <c r="B12222" s="1" t="n">
        <v>45797.37373842593</v>
      </c>
      <c r="C12222" s="1" t="n">
        <v>46086</v>
      </c>
      <c r="D12222" t="inlineStr">
        <is>
          <t>GÄVLEBORGS LÄN</t>
        </is>
      </c>
      <c r="E12222" t="inlineStr">
        <is>
          <t>GÄVLE</t>
        </is>
      </c>
      <c r="G12222" t="n">
        <v>0.4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52722-2024</t>
        </is>
      </c>
      <c r="B12223" s="1" t="n">
        <v>45610.43961805556</v>
      </c>
      <c r="C12223" s="1" t="n">
        <v>46086</v>
      </c>
      <c r="D12223" t="inlineStr">
        <is>
          <t>GÄVLEBORGS LÄN</t>
        </is>
      </c>
      <c r="E12223" t="inlineStr">
        <is>
          <t>LJUSDAL</t>
        </is>
      </c>
      <c r="G12223" t="n">
        <v>4.4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24257-2025</t>
        </is>
      </c>
      <c r="B12224" s="1" t="n">
        <v>45797.40664351852</v>
      </c>
      <c r="C12224" s="1" t="n">
        <v>46086</v>
      </c>
      <c r="D12224" t="inlineStr">
        <is>
          <t>GÄVLEBORGS LÄN</t>
        </is>
      </c>
      <c r="E12224" t="inlineStr">
        <is>
          <t>LJUSDAL</t>
        </is>
      </c>
      <c r="G12224" t="n">
        <v>26.5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47700-2024</t>
        </is>
      </c>
      <c r="B12225" s="1" t="n">
        <v>45588.46262731482</v>
      </c>
      <c r="C12225" s="1" t="n">
        <v>46086</v>
      </c>
      <c r="D12225" t="inlineStr">
        <is>
          <t>GÄVLEBORGS LÄN</t>
        </is>
      </c>
      <c r="E12225" t="inlineStr">
        <is>
          <t>HUDIKSVALL</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55878-2024</t>
        </is>
      </c>
      <c r="B12226" s="1" t="n">
        <v>45623</v>
      </c>
      <c r="C12226" s="1" t="n">
        <v>46086</v>
      </c>
      <c r="D12226" t="inlineStr">
        <is>
          <t>GÄVLEBORGS LÄN</t>
        </is>
      </c>
      <c r="E12226" t="inlineStr">
        <is>
          <t>GÄVLE</t>
        </is>
      </c>
      <c r="G12226" t="n">
        <v>2.5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64924-2023</t>
        </is>
      </c>
      <c r="B12227" s="1" t="n">
        <v>45282</v>
      </c>
      <c r="C12227" s="1" t="n">
        <v>46086</v>
      </c>
      <c r="D12227" t="inlineStr">
        <is>
          <t>GÄVLEBORGS LÄN</t>
        </is>
      </c>
      <c r="E12227" t="inlineStr">
        <is>
          <t>OCKELBO</t>
        </is>
      </c>
      <c r="G12227" t="n">
        <v>6.8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46667-2024</t>
        </is>
      </c>
      <c r="B12228" s="1" t="n">
        <v>45583.37123842593</v>
      </c>
      <c r="C12228" s="1" t="n">
        <v>46086</v>
      </c>
      <c r="D12228" t="inlineStr">
        <is>
          <t>GÄVLEBORGS LÄN</t>
        </is>
      </c>
      <c r="E12228" t="inlineStr">
        <is>
          <t>HUDIKSVALL</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18725-2025</t>
        </is>
      </c>
      <c r="B12229" s="1" t="n">
        <v>45763.66766203703</v>
      </c>
      <c r="C12229" s="1" t="n">
        <v>46086</v>
      </c>
      <c r="D12229" t="inlineStr">
        <is>
          <t>GÄVLEBORGS LÄN</t>
        </is>
      </c>
      <c r="E12229" t="inlineStr">
        <is>
          <t>SANDVIKEN</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24382-2025</t>
        </is>
      </c>
      <c r="B12230" s="1" t="n">
        <v>45797.62836805556</v>
      </c>
      <c r="C12230" s="1" t="n">
        <v>46086</v>
      </c>
      <c r="D12230" t="inlineStr">
        <is>
          <t>GÄVLEBORGS LÄN</t>
        </is>
      </c>
      <c r="E12230" t="inlineStr">
        <is>
          <t>HUDIKSVALL</t>
        </is>
      </c>
      <c r="G12230" t="n">
        <v>11.6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24417-2025</t>
        </is>
      </c>
      <c r="B12231" s="1" t="n">
        <v>45797.67623842593</v>
      </c>
      <c r="C12231" s="1" t="n">
        <v>46086</v>
      </c>
      <c r="D12231" t="inlineStr">
        <is>
          <t>GÄVLEBORGS LÄN</t>
        </is>
      </c>
      <c r="E12231" t="inlineStr">
        <is>
          <t>SÖDERHAMN</t>
        </is>
      </c>
      <c r="F12231" t="inlineStr">
        <is>
          <t>Bergvik skog väst AB</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23914-2025</t>
        </is>
      </c>
      <c r="B12232" s="1" t="n">
        <v>45795.34452546296</v>
      </c>
      <c r="C12232" s="1" t="n">
        <v>46086</v>
      </c>
      <c r="D12232" t="inlineStr">
        <is>
          <t>GÄVLEBORGS LÄN</t>
        </is>
      </c>
      <c r="E12232" t="inlineStr">
        <is>
          <t>LJUSDAL</t>
        </is>
      </c>
      <c r="F12232" t="inlineStr">
        <is>
          <t>SCA</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64000-2023</t>
        </is>
      </c>
      <c r="B12233" s="1" t="n">
        <v>45278</v>
      </c>
      <c r="C12233" s="1" t="n">
        <v>46086</v>
      </c>
      <c r="D12233" t="inlineStr">
        <is>
          <t>GÄVLEBORGS LÄN</t>
        </is>
      </c>
      <c r="E12233" t="inlineStr">
        <is>
          <t>SANDVIKEN</t>
        </is>
      </c>
      <c r="G12233" t="n">
        <v>2.9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24101-2025</t>
        </is>
      </c>
      <c r="B12234" s="1" t="n">
        <v>45796.59533564815</v>
      </c>
      <c r="C12234" s="1" t="n">
        <v>46086</v>
      </c>
      <c r="D12234" t="inlineStr">
        <is>
          <t>GÄVLEBORGS LÄN</t>
        </is>
      </c>
      <c r="E12234" t="inlineStr">
        <is>
          <t>NORDANSTIG</t>
        </is>
      </c>
      <c r="G12234" t="n">
        <v>4.9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24119-2025</t>
        </is>
      </c>
      <c r="B12235" s="1" t="n">
        <v>45796</v>
      </c>
      <c r="C12235" s="1" t="n">
        <v>46086</v>
      </c>
      <c r="D12235" t="inlineStr">
        <is>
          <t>GÄVLEBORGS LÄN</t>
        </is>
      </c>
      <c r="E12235" t="inlineStr">
        <is>
          <t>BOLLNÄS</t>
        </is>
      </c>
      <c r="G12235" t="n">
        <v>3.6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24215-2025</t>
        </is>
      </c>
      <c r="B12236" s="1" t="n">
        <v>45797.35431712963</v>
      </c>
      <c r="C12236" s="1" t="n">
        <v>46086</v>
      </c>
      <c r="D12236" t="inlineStr">
        <is>
          <t>GÄVLEBORGS LÄN</t>
        </is>
      </c>
      <c r="E12236" t="inlineStr">
        <is>
          <t>GÄVLE</t>
        </is>
      </c>
      <c r="G12236" t="n">
        <v>1.8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24319-2025</t>
        </is>
      </c>
      <c r="B12237" s="1" t="n">
        <v>45797.55027777778</v>
      </c>
      <c r="C12237" s="1" t="n">
        <v>46086</v>
      </c>
      <c r="D12237" t="inlineStr">
        <is>
          <t>GÄVLEBORGS LÄN</t>
        </is>
      </c>
      <c r="E12237" t="inlineStr">
        <is>
          <t>BOLLNÄS</t>
        </is>
      </c>
      <c r="G12237" t="n">
        <v>7.6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438-2025</t>
        </is>
      </c>
      <c r="B12238" s="1" t="n">
        <v>45664.38258101852</v>
      </c>
      <c r="C12238" s="1" t="n">
        <v>46086</v>
      </c>
      <c r="D12238" t="inlineStr">
        <is>
          <t>GÄVLEBORGS LÄN</t>
        </is>
      </c>
      <c r="E12238" t="inlineStr">
        <is>
          <t>OVANÅKER</t>
        </is>
      </c>
      <c r="G12238" t="n">
        <v>5.1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23918-2025</t>
        </is>
      </c>
      <c r="B12239" s="1" t="n">
        <v>45795.34489583333</v>
      </c>
      <c r="C12239" s="1" t="n">
        <v>46086</v>
      </c>
      <c r="D12239" t="inlineStr">
        <is>
          <t>GÄVLEBORGS LÄN</t>
        </is>
      </c>
      <c r="E12239" t="inlineStr">
        <is>
          <t>LJUSDAL</t>
        </is>
      </c>
      <c r="F12239" t="inlineStr">
        <is>
          <t>SCA</t>
        </is>
      </c>
      <c r="G12239" t="n">
        <v>3.7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13267-2025</t>
        </is>
      </c>
      <c r="B12240" s="1" t="n">
        <v>45735</v>
      </c>
      <c r="C12240" s="1" t="n">
        <v>46086</v>
      </c>
      <c r="D12240" t="inlineStr">
        <is>
          <t>GÄVLEBORGS LÄN</t>
        </is>
      </c>
      <c r="E12240" t="inlineStr">
        <is>
          <t>HUDIKSVALL</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23701-2025</t>
        </is>
      </c>
      <c r="B12241" s="1" t="n">
        <v>45793.36111111111</v>
      </c>
      <c r="C12241" s="1" t="n">
        <v>46086</v>
      </c>
      <c r="D12241" t="inlineStr">
        <is>
          <t>GÄVLEBORGS LÄN</t>
        </is>
      </c>
      <c r="E12241" t="inlineStr">
        <is>
          <t>HUDIKSVALL</t>
        </is>
      </c>
      <c r="G12241" t="n">
        <v>4.7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24229-2025</t>
        </is>
      </c>
      <c r="B12242" s="1" t="n">
        <v>45797.37581018519</v>
      </c>
      <c r="C12242" s="1" t="n">
        <v>46086</v>
      </c>
      <c r="D12242" t="inlineStr">
        <is>
          <t>GÄVLEBORGS LÄN</t>
        </is>
      </c>
      <c r="E12242" t="inlineStr">
        <is>
          <t>GÄVLE</t>
        </is>
      </c>
      <c r="G12242" t="n">
        <v>1.6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24241-2025</t>
        </is>
      </c>
      <c r="B12243" s="1" t="n">
        <v>45797.38637731481</v>
      </c>
      <c r="C12243" s="1" t="n">
        <v>46086</v>
      </c>
      <c r="D12243" t="inlineStr">
        <is>
          <t>GÄVLEBORGS LÄN</t>
        </is>
      </c>
      <c r="E12243" t="inlineStr">
        <is>
          <t>HUDIKSVALL</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24286-2025</t>
        </is>
      </c>
      <c r="B12244" s="1" t="n">
        <v>45797.46030092592</v>
      </c>
      <c r="C12244" s="1" t="n">
        <v>46086</v>
      </c>
      <c r="D12244" t="inlineStr">
        <is>
          <t>GÄVLEBORGS LÄN</t>
        </is>
      </c>
      <c r="E12244" t="inlineStr">
        <is>
          <t>LJUSDAL</t>
        </is>
      </c>
      <c r="G12244" t="n">
        <v>1.9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24320-2025</t>
        </is>
      </c>
      <c r="B12245" s="1" t="n">
        <v>45797.55208333334</v>
      </c>
      <c r="C12245" s="1" t="n">
        <v>46086</v>
      </c>
      <c r="D12245" t="inlineStr">
        <is>
          <t>GÄVLEBORGS LÄN</t>
        </is>
      </c>
      <c r="E12245" t="inlineStr">
        <is>
          <t>HUDIKSVALL</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48913-2024</t>
        </is>
      </c>
      <c r="B12246" s="1" t="n">
        <v>45594.36701388889</v>
      </c>
      <c r="C12246" s="1" t="n">
        <v>46086</v>
      </c>
      <c r="D12246" t="inlineStr">
        <is>
          <t>GÄVLEBORGS LÄN</t>
        </is>
      </c>
      <c r="E12246" t="inlineStr">
        <is>
          <t>GÄVLE</t>
        </is>
      </c>
      <c r="F12246" t="inlineStr">
        <is>
          <t>Bergvik skog öst AB</t>
        </is>
      </c>
      <c r="G12246" t="n">
        <v>2.5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20207-2024</t>
        </is>
      </c>
      <c r="B12247" s="1" t="n">
        <v>45434.65519675926</v>
      </c>
      <c r="C12247" s="1" t="n">
        <v>46086</v>
      </c>
      <c r="D12247" t="inlineStr">
        <is>
          <t>GÄVLEBORGS LÄN</t>
        </is>
      </c>
      <c r="E12247" t="inlineStr">
        <is>
          <t>OCKELBO</t>
        </is>
      </c>
      <c r="G12247" t="n">
        <v>7.6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24225-2025</t>
        </is>
      </c>
      <c r="B12248" s="1" t="n">
        <v>45797.36991898148</v>
      </c>
      <c r="C12248" s="1" t="n">
        <v>46086</v>
      </c>
      <c r="D12248" t="inlineStr">
        <is>
          <t>GÄVLEBORGS LÄN</t>
        </is>
      </c>
      <c r="E12248" t="inlineStr">
        <is>
          <t>GÄVLE</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5345-2025</t>
        </is>
      </c>
      <c r="B12249" s="1" t="n">
        <v>45688</v>
      </c>
      <c r="C12249" s="1" t="n">
        <v>46086</v>
      </c>
      <c r="D12249" t="inlineStr">
        <is>
          <t>GÄVLEBORGS LÄN</t>
        </is>
      </c>
      <c r="E12249" t="inlineStr">
        <is>
          <t>HUDIKSVALL</t>
        </is>
      </c>
      <c r="G12249" t="n">
        <v>3.6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43523-2024</t>
        </is>
      </c>
      <c r="B12250" s="1" t="n">
        <v>45569</v>
      </c>
      <c r="C12250" s="1" t="n">
        <v>46086</v>
      </c>
      <c r="D12250" t="inlineStr">
        <is>
          <t>GÄVLEBORGS LÄN</t>
        </is>
      </c>
      <c r="E12250" t="inlineStr">
        <is>
          <t>NORDANSTIG</t>
        </is>
      </c>
      <c r="F12250" t="inlineStr">
        <is>
          <t>Holmen skog AB</t>
        </is>
      </c>
      <c r="G12250" t="n">
        <v>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10427-2025</t>
        </is>
      </c>
      <c r="B12251" s="1" t="n">
        <v>45720.65511574074</v>
      </c>
      <c r="C12251" s="1" t="n">
        <v>46086</v>
      </c>
      <c r="D12251" t="inlineStr">
        <is>
          <t>GÄVLEBORGS LÄN</t>
        </is>
      </c>
      <c r="E12251" t="inlineStr">
        <is>
          <t>HUDIKSVALL</t>
        </is>
      </c>
      <c r="G12251" t="n">
        <v>2.8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24395-2025</t>
        </is>
      </c>
      <c r="B12252" s="1" t="n">
        <v>45797.63881944444</v>
      </c>
      <c r="C12252" s="1" t="n">
        <v>46086</v>
      </c>
      <c r="D12252" t="inlineStr">
        <is>
          <t>GÄVLEBORGS LÄN</t>
        </is>
      </c>
      <c r="E12252" t="inlineStr">
        <is>
          <t>HOFORS</t>
        </is>
      </c>
      <c r="G12252" t="n">
        <v>3.5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29742-2024</t>
        </is>
      </c>
      <c r="B12253" s="1" t="n">
        <v>45485</v>
      </c>
      <c r="C12253" s="1" t="n">
        <v>46086</v>
      </c>
      <c r="D12253" t="inlineStr">
        <is>
          <t>GÄVLEBORGS LÄN</t>
        </is>
      </c>
      <c r="E12253" t="inlineStr">
        <is>
          <t>BOLLNÄS</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47284-2024</t>
        </is>
      </c>
      <c r="B12254" s="1" t="n">
        <v>45587.22604166667</v>
      </c>
      <c r="C12254" s="1" t="n">
        <v>46086</v>
      </c>
      <c r="D12254" t="inlineStr">
        <is>
          <t>GÄVLEBORGS LÄN</t>
        </is>
      </c>
      <c r="E12254" t="inlineStr">
        <is>
          <t>HUDIKSVALL</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23930-2025</t>
        </is>
      </c>
      <c r="B12255" s="1" t="n">
        <v>45795.6452662037</v>
      </c>
      <c r="C12255" s="1" t="n">
        <v>46086</v>
      </c>
      <c r="D12255" t="inlineStr">
        <is>
          <t>GÄVLEBORGS LÄN</t>
        </is>
      </c>
      <c r="E12255" t="inlineStr">
        <is>
          <t>BOLLNÄS</t>
        </is>
      </c>
      <c r="G12255" t="n">
        <v>7.9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17735-2024</t>
        </is>
      </c>
      <c r="B12256" s="1" t="n">
        <v>45418.5744675926</v>
      </c>
      <c r="C12256" s="1" t="n">
        <v>46086</v>
      </c>
      <c r="D12256" t="inlineStr">
        <is>
          <t>GÄVLEBORGS LÄN</t>
        </is>
      </c>
      <c r="E12256" t="inlineStr">
        <is>
          <t>SANDVIKEN</t>
        </is>
      </c>
      <c r="G12256" t="n">
        <v>5.1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25900-2024</t>
        </is>
      </c>
      <c r="B12257" s="1" t="n">
        <v>45467.55809027778</v>
      </c>
      <c r="C12257" s="1" t="n">
        <v>46086</v>
      </c>
      <c r="D12257" t="inlineStr">
        <is>
          <t>GÄVLEBORGS LÄN</t>
        </is>
      </c>
      <c r="E12257" t="inlineStr">
        <is>
          <t>SÖDERHAMN</t>
        </is>
      </c>
      <c r="G12257" t="n">
        <v>2.5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24748-2025</t>
        </is>
      </c>
      <c r="B12258" s="1" t="n">
        <v>45799.34690972222</v>
      </c>
      <c r="C12258" s="1" t="n">
        <v>46086</v>
      </c>
      <c r="D12258" t="inlineStr">
        <is>
          <t>GÄVLEBORGS LÄN</t>
        </is>
      </c>
      <c r="E12258" t="inlineStr">
        <is>
          <t>HUDIKSVALL</t>
        </is>
      </c>
      <c r="G12258" t="n">
        <v>3.3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24452-2025</t>
        </is>
      </c>
      <c r="B12259" s="1" t="n">
        <v>45798.34284722222</v>
      </c>
      <c r="C12259" s="1" t="n">
        <v>46086</v>
      </c>
      <c r="D12259" t="inlineStr">
        <is>
          <t>GÄVLEBORGS LÄN</t>
        </is>
      </c>
      <c r="E12259" t="inlineStr">
        <is>
          <t>LJUSDAL</t>
        </is>
      </c>
      <c r="F12259" t="inlineStr">
        <is>
          <t>Holmen skog AB</t>
        </is>
      </c>
      <c r="G12259" t="n">
        <v>19.7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24937-2025</t>
        </is>
      </c>
      <c r="B12260" s="1" t="n">
        <v>45799.55748842593</v>
      </c>
      <c r="C12260" s="1" t="n">
        <v>46086</v>
      </c>
      <c r="D12260" t="inlineStr">
        <is>
          <t>GÄVLEBORGS LÄN</t>
        </is>
      </c>
      <c r="E12260" t="inlineStr">
        <is>
          <t>BOLLNÄS</t>
        </is>
      </c>
      <c r="G12260" t="n">
        <v>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31676-2022</t>
        </is>
      </c>
      <c r="B12261" s="1" t="n">
        <v>44776</v>
      </c>
      <c r="C12261" s="1" t="n">
        <v>46086</v>
      </c>
      <c r="D12261" t="inlineStr">
        <is>
          <t>GÄVLEBORGS LÄN</t>
        </is>
      </c>
      <c r="E12261" t="inlineStr">
        <is>
          <t>SÖDERHAMN</t>
        </is>
      </c>
      <c r="F12261" t="inlineStr">
        <is>
          <t>Bergvik skog väst AB</t>
        </is>
      </c>
      <c r="G12261" t="n">
        <v>4.6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58373-2024</t>
        </is>
      </c>
      <c r="B12262" s="1" t="n">
        <v>45632</v>
      </c>
      <c r="C12262" s="1" t="n">
        <v>46086</v>
      </c>
      <c r="D12262" t="inlineStr">
        <is>
          <t>GÄVLEBORGS LÄN</t>
        </is>
      </c>
      <c r="E12262" t="inlineStr">
        <is>
          <t>GÄVLE</t>
        </is>
      </c>
      <c r="G12262" t="n">
        <v>13.1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31367-2024</t>
        </is>
      </c>
      <c r="B12263" s="1" t="n">
        <v>45505.38290509259</v>
      </c>
      <c r="C12263" s="1" t="n">
        <v>46086</v>
      </c>
      <c r="D12263" t="inlineStr">
        <is>
          <t>GÄVLEBORGS LÄN</t>
        </is>
      </c>
      <c r="E12263" t="inlineStr">
        <is>
          <t>GÄVLE</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24918-2025</t>
        </is>
      </c>
      <c r="B12264" s="1" t="n">
        <v>45799.54648148148</v>
      </c>
      <c r="C12264" s="1" t="n">
        <v>46086</v>
      </c>
      <c r="D12264" t="inlineStr">
        <is>
          <t>GÄVLEBORGS LÄN</t>
        </is>
      </c>
      <c r="E12264" t="inlineStr">
        <is>
          <t>BOLLNÄS</t>
        </is>
      </c>
      <c r="G12264" t="n">
        <v>2.6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25047-2025</t>
        </is>
      </c>
      <c r="B12265" s="1" t="n">
        <v>45799.66768518519</v>
      </c>
      <c r="C12265" s="1" t="n">
        <v>46086</v>
      </c>
      <c r="D12265" t="inlineStr">
        <is>
          <t>GÄVLEBORGS LÄN</t>
        </is>
      </c>
      <c r="E12265" t="inlineStr">
        <is>
          <t>LJUSDAL</t>
        </is>
      </c>
      <c r="F12265" t="inlineStr">
        <is>
          <t>Holmen skog AB</t>
        </is>
      </c>
      <c r="G12265" t="n">
        <v>24.1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25048-2025</t>
        </is>
      </c>
      <c r="B12266" s="1" t="n">
        <v>45799.66791666667</v>
      </c>
      <c r="C12266" s="1" t="n">
        <v>46086</v>
      </c>
      <c r="D12266" t="inlineStr">
        <is>
          <t>GÄVLEBORGS LÄN</t>
        </is>
      </c>
      <c r="E12266" t="inlineStr">
        <is>
          <t>LJUSDAL</t>
        </is>
      </c>
      <c r="F12266" t="inlineStr">
        <is>
          <t>Holmen skog AB</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56820-2023</t>
        </is>
      </c>
      <c r="B12267" s="1" t="n">
        <v>45244.45385416667</v>
      </c>
      <c r="C12267" s="1" t="n">
        <v>46086</v>
      </c>
      <c r="D12267" t="inlineStr">
        <is>
          <t>GÄVLEBORGS LÄN</t>
        </is>
      </c>
      <c r="E12267" t="inlineStr">
        <is>
          <t>HUDIKSVALL</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24612-2025</t>
        </is>
      </c>
      <c r="B12268" s="1" t="n">
        <v>45798</v>
      </c>
      <c r="C12268" s="1" t="n">
        <v>46086</v>
      </c>
      <c r="D12268" t="inlineStr">
        <is>
          <t>GÄVLEBORGS LÄN</t>
        </is>
      </c>
      <c r="E12268" t="inlineStr">
        <is>
          <t>GÄVLE</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24614-2025</t>
        </is>
      </c>
      <c r="B12269" s="1" t="n">
        <v>45798.58292824074</v>
      </c>
      <c r="C12269" s="1" t="n">
        <v>46086</v>
      </c>
      <c r="D12269" t="inlineStr">
        <is>
          <t>GÄVLEBORGS LÄN</t>
        </is>
      </c>
      <c r="E12269" t="inlineStr">
        <is>
          <t>GÄVLE</t>
        </is>
      </c>
      <c r="G12269" t="n">
        <v>0.6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24943-2025</t>
        </is>
      </c>
      <c r="B12270" s="1" t="n">
        <v>45799.56239583333</v>
      </c>
      <c r="C12270" s="1" t="n">
        <v>46086</v>
      </c>
      <c r="D12270" t="inlineStr">
        <is>
          <t>GÄVLEBORGS LÄN</t>
        </is>
      </c>
      <c r="E12270" t="inlineStr">
        <is>
          <t>LJUSDAL</t>
        </is>
      </c>
      <c r="F12270" t="inlineStr">
        <is>
          <t>Sveaskog</t>
        </is>
      </c>
      <c r="G12270" t="n">
        <v>5.5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24945-2025</t>
        </is>
      </c>
      <c r="B12271" s="1" t="n">
        <v>45799.56395833333</v>
      </c>
      <c r="C12271" s="1" t="n">
        <v>46086</v>
      </c>
      <c r="D12271" t="inlineStr">
        <is>
          <t>GÄVLEBORGS LÄN</t>
        </is>
      </c>
      <c r="E12271" t="inlineStr">
        <is>
          <t>LJUSDAL</t>
        </is>
      </c>
      <c r="F12271" t="inlineStr">
        <is>
          <t>Sveaskog</t>
        </is>
      </c>
      <c r="G12271" t="n">
        <v>3.1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25068-2025</t>
        </is>
      </c>
      <c r="B12272" s="1" t="n">
        <v>45799.72726851852</v>
      </c>
      <c r="C12272" s="1" t="n">
        <v>46086</v>
      </c>
      <c r="D12272" t="inlineStr">
        <is>
          <t>GÄVLEBORGS LÄN</t>
        </is>
      </c>
      <c r="E12272" t="inlineStr">
        <is>
          <t>NORDANSTIG</t>
        </is>
      </c>
      <c r="F12272" t="inlineStr">
        <is>
          <t>Holmen skog AB</t>
        </is>
      </c>
      <c r="G12272" t="n">
        <v>16.7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24610-2025</t>
        </is>
      </c>
      <c r="B12273" s="1" t="n">
        <v>45798.58113425926</v>
      </c>
      <c r="C12273" s="1" t="n">
        <v>46086</v>
      </c>
      <c r="D12273" t="inlineStr">
        <is>
          <t>GÄVLEBORGS LÄN</t>
        </is>
      </c>
      <c r="E12273" t="inlineStr">
        <is>
          <t>SÖDERHAMN</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24616-2025</t>
        </is>
      </c>
      <c r="B12274" s="1" t="n">
        <v>45798.5837962963</v>
      </c>
      <c r="C12274" s="1" t="n">
        <v>46086</v>
      </c>
      <c r="D12274" t="inlineStr">
        <is>
          <t>GÄVLEBORGS LÄN</t>
        </is>
      </c>
      <c r="E12274" t="inlineStr">
        <is>
          <t>GÄVLE</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25723-2024</t>
        </is>
      </c>
      <c r="B12275" s="1" t="n">
        <v>45463.95457175926</v>
      </c>
      <c r="C12275" s="1" t="n">
        <v>46086</v>
      </c>
      <c r="D12275" t="inlineStr">
        <is>
          <t>GÄVLEBORGS LÄN</t>
        </is>
      </c>
      <c r="E12275" t="inlineStr">
        <is>
          <t>NORDANSTIG</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24778-2025</t>
        </is>
      </c>
      <c r="B12276" s="1" t="n">
        <v>45799.40810185186</v>
      </c>
      <c r="C12276" s="1" t="n">
        <v>46086</v>
      </c>
      <c r="D12276" t="inlineStr">
        <is>
          <t>GÄVLEBORGS LÄN</t>
        </is>
      </c>
      <c r="E12276" t="inlineStr">
        <is>
          <t>LJUSDAL</t>
        </is>
      </c>
      <c r="G12276" t="n">
        <v>6.3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24810-2025</t>
        </is>
      </c>
      <c r="B12277" s="1" t="n">
        <v>45799.44596064815</v>
      </c>
      <c r="C12277" s="1" t="n">
        <v>46086</v>
      </c>
      <c r="D12277" t="inlineStr">
        <is>
          <t>GÄVLEBORGS LÄN</t>
        </is>
      </c>
      <c r="E12277" t="inlineStr">
        <is>
          <t>LJUSDAL</t>
        </is>
      </c>
      <c r="G12277" t="n">
        <v>3.5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33981-2024</t>
        </is>
      </c>
      <c r="B12278" s="1" t="n">
        <v>45523.52111111111</v>
      </c>
      <c r="C12278" s="1" t="n">
        <v>46086</v>
      </c>
      <c r="D12278" t="inlineStr">
        <is>
          <t>GÄVLEBORGS LÄN</t>
        </is>
      </c>
      <c r="E12278" t="inlineStr">
        <is>
          <t>HOFORS</t>
        </is>
      </c>
      <c r="G12278" t="n">
        <v>2.3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53322-2024</t>
        </is>
      </c>
      <c r="B12279" s="1" t="n">
        <v>45614.40765046296</v>
      </c>
      <c r="C12279" s="1" t="n">
        <v>46086</v>
      </c>
      <c r="D12279" t="inlineStr">
        <is>
          <t>GÄVLEBORGS LÄN</t>
        </is>
      </c>
      <c r="E12279" t="inlineStr">
        <is>
          <t>SANDVIKEN</t>
        </is>
      </c>
      <c r="G12279" t="n">
        <v>2.7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25057-2025</t>
        </is>
      </c>
      <c r="B12280" s="1" t="n">
        <v>45799.68395833333</v>
      </c>
      <c r="C12280" s="1" t="n">
        <v>46086</v>
      </c>
      <c r="D12280" t="inlineStr">
        <is>
          <t>GÄVLEBORGS LÄN</t>
        </is>
      </c>
      <c r="E12280" t="inlineStr">
        <is>
          <t>LJUSDAL</t>
        </is>
      </c>
      <c r="G12280" t="n">
        <v>2.7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24920-2025</t>
        </is>
      </c>
      <c r="B12281" s="1" t="n">
        <v>45799.55019675926</v>
      </c>
      <c r="C12281" s="1" t="n">
        <v>46086</v>
      </c>
      <c r="D12281" t="inlineStr">
        <is>
          <t>GÄVLEBORGS LÄN</t>
        </is>
      </c>
      <c r="E12281" t="inlineStr">
        <is>
          <t>BOLLNÄS</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24942-2025</t>
        </is>
      </c>
      <c r="B12282" s="1" t="n">
        <v>45799.56214120371</v>
      </c>
      <c r="C12282" s="1" t="n">
        <v>46086</v>
      </c>
      <c r="D12282" t="inlineStr">
        <is>
          <t>GÄVLEBORGS LÄN</t>
        </is>
      </c>
      <c r="E12282" t="inlineStr">
        <is>
          <t>HUDIKSVALL</t>
        </is>
      </c>
      <c r="F12282" t="inlineStr">
        <is>
          <t>Holmen skog AB</t>
        </is>
      </c>
      <c r="G12282" t="n">
        <v>33.5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25022-2025</t>
        </is>
      </c>
      <c r="B12283" s="1" t="n">
        <v>45799.64637731481</v>
      </c>
      <c r="C12283" s="1" t="n">
        <v>46086</v>
      </c>
      <c r="D12283" t="inlineStr">
        <is>
          <t>GÄVLEBORGS LÄN</t>
        </is>
      </c>
      <c r="E12283" t="inlineStr">
        <is>
          <t>OVANÅKER</t>
        </is>
      </c>
      <c r="F12283" t="inlineStr">
        <is>
          <t>Bergvik skog väst AB</t>
        </is>
      </c>
      <c r="G12283" t="n">
        <v>4.2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24584-2025</t>
        </is>
      </c>
      <c r="B12284" s="1" t="n">
        <v>45798.5106712963</v>
      </c>
      <c r="C12284" s="1" t="n">
        <v>46086</v>
      </c>
      <c r="D12284" t="inlineStr">
        <is>
          <t>GÄVLEBORGS LÄN</t>
        </is>
      </c>
      <c r="E12284" t="inlineStr">
        <is>
          <t>HUDIKSVALL</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37294-2024</t>
        </is>
      </c>
      <c r="B12285" s="1" t="n">
        <v>45540.44701388889</v>
      </c>
      <c r="C12285" s="1" t="n">
        <v>46086</v>
      </c>
      <c r="D12285" t="inlineStr">
        <is>
          <t>GÄVLEBORGS LÄN</t>
        </is>
      </c>
      <c r="E12285" t="inlineStr">
        <is>
          <t>NORDANSTIG</t>
        </is>
      </c>
      <c r="G12285" t="n">
        <v>3.9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21940-2024</t>
        </is>
      </c>
      <c r="B12286" s="1" t="n">
        <v>45443.4759375</v>
      </c>
      <c r="C12286" s="1" t="n">
        <v>46086</v>
      </c>
      <c r="D12286" t="inlineStr">
        <is>
          <t>GÄVLEBORGS LÄN</t>
        </is>
      </c>
      <c r="E12286" t="inlineStr">
        <is>
          <t>HUDIKSVALL</t>
        </is>
      </c>
      <c r="F12286" t="inlineStr">
        <is>
          <t>Holmen skog AB</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47238-2024</t>
        </is>
      </c>
      <c r="B12287" s="1" t="n">
        <v>45586.69104166667</v>
      </c>
      <c r="C12287" s="1" t="n">
        <v>46086</v>
      </c>
      <c r="D12287" t="inlineStr">
        <is>
          <t>GÄVLEBORGS LÄN</t>
        </is>
      </c>
      <c r="E12287" t="inlineStr">
        <is>
          <t>NORDANSTIG</t>
        </is>
      </c>
      <c r="G12287" t="n">
        <v>4.2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35741-2024</t>
        </is>
      </c>
      <c r="B12288" s="1" t="n">
        <v>45532.53859953704</v>
      </c>
      <c r="C12288" s="1" t="n">
        <v>46086</v>
      </c>
      <c r="D12288" t="inlineStr">
        <is>
          <t>GÄVLEBORGS LÄN</t>
        </is>
      </c>
      <c r="E12288" t="inlineStr">
        <is>
          <t>NORDANSTIG</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25037-2025</t>
        </is>
      </c>
      <c r="B12289" s="1" t="n">
        <v>45799.65700231482</v>
      </c>
      <c r="C12289" s="1" t="n">
        <v>46086</v>
      </c>
      <c r="D12289" t="inlineStr">
        <is>
          <t>GÄVLEBORGS LÄN</t>
        </is>
      </c>
      <c r="E12289" t="inlineStr">
        <is>
          <t>LJUSDAL</t>
        </is>
      </c>
      <c r="G12289" t="n">
        <v>12.3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24999-2025</t>
        </is>
      </c>
      <c r="B12290" s="1" t="n">
        <v>45799.6178125</v>
      </c>
      <c r="C12290" s="1" t="n">
        <v>46086</v>
      </c>
      <c r="D12290" t="inlineStr">
        <is>
          <t>GÄVLEBORGS LÄN</t>
        </is>
      </c>
      <c r="E12290" t="inlineStr">
        <is>
          <t>HUDIKSVALL</t>
        </is>
      </c>
      <c r="F12290" t="inlineStr">
        <is>
          <t>Holmen skog AB</t>
        </is>
      </c>
      <c r="G12290" t="n">
        <v>6.9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17456-2025</t>
        </is>
      </c>
      <c r="B12291" s="1" t="n">
        <v>45757</v>
      </c>
      <c r="C12291" s="1" t="n">
        <v>46086</v>
      </c>
      <c r="D12291" t="inlineStr">
        <is>
          <t>GÄVLEBORGS LÄN</t>
        </is>
      </c>
      <c r="E12291" t="inlineStr">
        <is>
          <t>SÖDERHAMN</t>
        </is>
      </c>
      <c r="F12291" t="inlineStr">
        <is>
          <t>Bergvik skog väst AB</t>
        </is>
      </c>
      <c r="G12291" t="n">
        <v>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49470-2024</t>
        </is>
      </c>
      <c r="B12292" s="1" t="n">
        <v>45596.34179398148</v>
      </c>
      <c r="C12292" s="1" t="n">
        <v>46086</v>
      </c>
      <c r="D12292" t="inlineStr">
        <is>
          <t>GÄVLEBORGS LÄN</t>
        </is>
      </c>
      <c r="E12292" t="inlineStr">
        <is>
          <t>OCKELBO</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24758-2025</t>
        </is>
      </c>
      <c r="B12293" s="1" t="n">
        <v>45799.3827662037</v>
      </c>
      <c r="C12293" s="1" t="n">
        <v>46086</v>
      </c>
      <c r="D12293" t="inlineStr">
        <is>
          <t>GÄVLEBORGS LÄN</t>
        </is>
      </c>
      <c r="E12293" t="inlineStr">
        <is>
          <t>NORDANSTIG</t>
        </is>
      </c>
      <c r="F12293" t="inlineStr">
        <is>
          <t>Holmen skog AB</t>
        </is>
      </c>
      <c r="G12293" t="n">
        <v>23.2</v>
      </c>
      <c r="H12293" t="n">
        <v>0</v>
      </c>
      <c r="I12293" t="n">
        <v>0</v>
      </c>
      <c r="J12293" t="n">
        <v>0</v>
      </c>
      <c r="K12293" t="n">
        <v>0</v>
      </c>
      <c r="L12293" t="n">
        <v>0</v>
      </c>
      <c r="M12293" t="n">
        <v>0</v>
      </c>
      <c r="N12293" t="n">
        <v>0</v>
      </c>
      <c r="O12293" t="n">
        <v>0</v>
      </c>
      <c r="P12293" t="n">
        <v>0</v>
      </c>
      <c r="Q12293" t="n">
        <v>0</v>
      </c>
      <c r="R12293" s="2" t="inlineStr"/>
      <c r="U12293">
        <f>HYPERLINK("https://klasma.github.io/Logging_2132/knärot/A 24758-2025 karta knärot.png", "A 24758-2025")</f>
        <v/>
      </c>
      <c r="V12293">
        <f>HYPERLINK("https://klasma.github.io/Logging_2132/klagomål/A 24758-2025 FSC-klagomål.docx", "A 24758-2025")</f>
        <v/>
      </c>
      <c r="W12293">
        <f>HYPERLINK("https://klasma.github.io/Logging_2132/klagomålsmail/A 24758-2025 FSC-klagomål mail.docx", "A 24758-2025")</f>
        <v/>
      </c>
      <c r="X12293">
        <f>HYPERLINK("https://klasma.github.io/Logging_2132/tillsyn/A 24758-2025 tillsynsbegäran.docx", "A 24758-2025")</f>
        <v/>
      </c>
      <c r="Y12293">
        <f>HYPERLINK("https://klasma.github.io/Logging_2132/tillsynsmail/A 24758-2025 tillsynsbegäran mail.docx", "A 24758-2025")</f>
        <v/>
      </c>
    </row>
    <row r="12294" ht="15" customHeight="1">
      <c r="A12294" t="inlineStr">
        <is>
          <t>A 59615-2023</t>
        </is>
      </c>
      <c r="B12294" s="1" t="n">
        <v>45254</v>
      </c>
      <c r="C12294" s="1" t="n">
        <v>46086</v>
      </c>
      <c r="D12294" t="inlineStr">
        <is>
          <t>GÄVLEBORGS LÄN</t>
        </is>
      </c>
      <c r="E12294" t="inlineStr">
        <is>
          <t>HOFORS</t>
        </is>
      </c>
      <c r="F12294" t="inlineStr">
        <is>
          <t>Sveaskog</t>
        </is>
      </c>
      <c r="G12294" t="n">
        <v>3.4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24938-2025</t>
        </is>
      </c>
      <c r="B12295" s="1" t="n">
        <v>45799.55915509259</v>
      </c>
      <c r="C12295" s="1" t="n">
        <v>46086</v>
      </c>
      <c r="D12295" t="inlineStr">
        <is>
          <t>GÄVLEBORGS LÄN</t>
        </is>
      </c>
      <c r="E12295" t="inlineStr">
        <is>
          <t>NORDANSTIG</t>
        </is>
      </c>
      <c r="F12295" t="inlineStr">
        <is>
          <t>Holmen skog AB</t>
        </is>
      </c>
      <c r="G12295" t="n">
        <v>30.1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24840-2025</t>
        </is>
      </c>
      <c r="B12296" s="1" t="n">
        <v>45799.46436342593</v>
      </c>
      <c r="C12296" s="1" t="n">
        <v>46086</v>
      </c>
      <c r="D12296" t="inlineStr">
        <is>
          <t>GÄVLEBORGS LÄN</t>
        </is>
      </c>
      <c r="E12296" t="inlineStr">
        <is>
          <t>LJUSDAL</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24881-2025</t>
        </is>
      </c>
      <c r="B12297" s="1" t="n">
        <v>45799.49890046296</v>
      </c>
      <c r="C12297" s="1" t="n">
        <v>46086</v>
      </c>
      <c r="D12297" t="inlineStr">
        <is>
          <t>GÄVLEBORGS LÄN</t>
        </is>
      </c>
      <c r="E12297" t="inlineStr">
        <is>
          <t>LJUSDAL</t>
        </is>
      </c>
      <c r="F12297" t="inlineStr">
        <is>
          <t>Holmen skog AB</t>
        </is>
      </c>
      <c r="G12297" t="n">
        <v>3.4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24585-2025</t>
        </is>
      </c>
      <c r="B12298" s="1" t="n">
        <v>45798.5110300926</v>
      </c>
      <c r="C12298" s="1" t="n">
        <v>46086</v>
      </c>
      <c r="D12298" t="inlineStr">
        <is>
          <t>GÄVLEBORGS LÄN</t>
        </is>
      </c>
      <c r="E12298" t="inlineStr">
        <is>
          <t>SANDVIKEN</t>
        </is>
      </c>
      <c r="G12298" t="n">
        <v>10.5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24713-2025</t>
        </is>
      </c>
      <c r="B12299" s="1" t="n">
        <v>45798.91952546296</v>
      </c>
      <c r="C12299" s="1" t="n">
        <v>46086</v>
      </c>
      <c r="D12299" t="inlineStr">
        <is>
          <t>GÄVLEBORGS LÄN</t>
        </is>
      </c>
      <c r="E12299" t="inlineStr">
        <is>
          <t>LJUSDAL</t>
        </is>
      </c>
      <c r="G12299" t="n">
        <v>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24940-2025</t>
        </is>
      </c>
      <c r="B12300" s="1" t="n">
        <v>45799.56048611111</v>
      </c>
      <c r="C12300" s="1" t="n">
        <v>46086</v>
      </c>
      <c r="D12300" t="inlineStr">
        <is>
          <t>GÄVLEBORGS LÄN</t>
        </is>
      </c>
      <c r="E12300" t="inlineStr">
        <is>
          <t>SANDVIKEN</t>
        </is>
      </c>
      <c r="G12300" t="n">
        <v>3.8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24948-2025</t>
        </is>
      </c>
      <c r="B12301" s="1" t="n">
        <v>45799.56586805556</v>
      </c>
      <c r="C12301" s="1" t="n">
        <v>46086</v>
      </c>
      <c r="D12301" t="inlineStr">
        <is>
          <t>GÄVLEBORGS LÄN</t>
        </is>
      </c>
      <c r="E12301" t="inlineStr">
        <is>
          <t>SANDVIKEN</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24953-2025</t>
        </is>
      </c>
      <c r="B12302" s="1" t="n">
        <v>45799.57369212963</v>
      </c>
      <c r="C12302" s="1" t="n">
        <v>46086</v>
      </c>
      <c r="D12302" t="inlineStr">
        <is>
          <t>GÄVLEBORGS LÄN</t>
        </is>
      </c>
      <c r="E12302" t="inlineStr">
        <is>
          <t>SANDVIKEN</t>
        </is>
      </c>
      <c r="G12302" t="n">
        <v>10</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15502-2025</t>
        </is>
      </c>
      <c r="B12303" s="1" t="n">
        <v>45747.58980324074</v>
      </c>
      <c r="C12303" s="1" t="n">
        <v>46086</v>
      </c>
      <c r="D12303" t="inlineStr">
        <is>
          <t>GÄVLEBORGS LÄN</t>
        </is>
      </c>
      <c r="E12303" t="inlineStr">
        <is>
          <t>OCKELBO</t>
        </is>
      </c>
      <c r="F12303" t="inlineStr">
        <is>
          <t>Bergvik skog väst AB</t>
        </is>
      </c>
      <c r="G12303" t="n">
        <v>5.7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53517-2024</t>
        </is>
      </c>
      <c r="B12304" s="1" t="n">
        <v>45614.60436342593</v>
      </c>
      <c r="C12304" s="1" t="n">
        <v>46086</v>
      </c>
      <c r="D12304" t="inlineStr">
        <is>
          <t>GÄVLEBORGS LÄN</t>
        </is>
      </c>
      <c r="E12304" t="inlineStr">
        <is>
          <t>HOFORS</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24917-2025</t>
        </is>
      </c>
      <c r="B12305" s="1" t="n">
        <v>45799.54292824074</v>
      </c>
      <c r="C12305" s="1" t="n">
        <v>46086</v>
      </c>
      <c r="D12305" t="inlineStr">
        <is>
          <t>GÄVLEBORGS LÄN</t>
        </is>
      </c>
      <c r="E12305" t="inlineStr">
        <is>
          <t>HUDIKSVALL</t>
        </is>
      </c>
      <c r="F12305" t="inlineStr">
        <is>
          <t>Sveaskog</t>
        </is>
      </c>
      <c r="G12305" t="n">
        <v>36.9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25036-2025</t>
        </is>
      </c>
      <c r="B12306" s="1" t="n">
        <v>45799.65690972222</v>
      </c>
      <c r="C12306" s="1" t="n">
        <v>46086</v>
      </c>
      <c r="D12306" t="inlineStr">
        <is>
          <t>GÄVLEBORGS LÄN</t>
        </is>
      </c>
      <c r="E12306" t="inlineStr">
        <is>
          <t>SÖDERHAMN</t>
        </is>
      </c>
      <c r="F12306" t="inlineStr">
        <is>
          <t>Bergvik skog väst AB</t>
        </is>
      </c>
      <c r="G12306" t="n">
        <v>3.2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60292-2024</t>
        </is>
      </c>
      <c r="B12307" s="1" t="n">
        <v>45643.28773148148</v>
      </c>
      <c r="C12307" s="1" t="n">
        <v>46086</v>
      </c>
      <c r="D12307" t="inlineStr">
        <is>
          <t>GÄVLEBORGS LÄN</t>
        </is>
      </c>
      <c r="E12307" t="inlineStr">
        <is>
          <t>SÖDERHAMN</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25384-2025</t>
        </is>
      </c>
      <c r="B12308" s="1" t="n">
        <v>45800.64162037037</v>
      </c>
      <c r="C12308" s="1" t="n">
        <v>46086</v>
      </c>
      <c r="D12308" t="inlineStr">
        <is>
          <t>GÄVLEBORGS LÄN</t>
        </is>
      </c>
      <c r="E12308" t="inlineStr">
        <is>
          <t>GÄVLE</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25614-2025</t>
        </is>
      </c>
      <c r="B12309" s="1" t="n">
        <v>45803.56303240741</v>
      </c>
      <c r="C12309" s="1" t="n">
        <v>46086</v>
      </c>
      <c r="D12309" t="inlineStr">
        <is>
          <t>GÄVLEBORGS LÄN</t>
        </is>
      </c>
      <c r="E12309" t="inlineStr">
        <is>
          <t>LJUSDAL</t>
        </is>
      </c>
      <c r="F12309" t="inlineStr">
        <is>
          <t>Holmen skog AB</t>
        </is>
      </c>
      <c r="G12309" t="n">
        <v>16.3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25684-2025</t>
        </is>
      </c>
      <c r="B12310" s="1" t="n">
        <v>45803.65211805556</v>
      </c>
      <c r="C12310" s="1" t="n">
        <v>46086</v>
      </c>
      <c r="D12310" t="inlineStr">
        <is>
          <t>GÄVLEBORGS LÄN</t>
        </is>
      </c>
      <c r="E12310" t="inlineStr">
        <is>
          <t>LJUSDAL</t>
        </is>
      </c>
      <c r="F12310" t="inlineStr">
        <is>
          <t>Holmen skog AB</t>
        </is>
      </c>
      <c r="G12310" t="n">
        <v>22.6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25108-2025</t>
        </is>
      </c>
      <c r="B12311" s="1" t="n">
        <v>45800.3503125</v>
      </c>
      <c r="C12311" s="1" t="n">
        <v>46086</v>
      </c>
      <c r="D12311" t="inlineStr">
        <is>
          <t>GÄVLEBORGS LÄN</t>
        </is>
      </c>
      <c r="E12311" t="inlineStr">
        <is>
          <t>OVANÅKER</t>
        </is>
      </c>
      <c r="F12311" t="inlineStr">
        <is>
          <t>Bergvik skog väst AB</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25613-2025</t>
        </is>
      </c>
      <c r="B12312" s="1" t="n">
        <v>45800</v>
      </c>
      <c r="C12312" s="1" t="n">
        <v>46086</v>
      </c>
      <c r="D12312" t="inlineStr">
        <is>
          <t>GÄVLEBORGS LÄN</t>
        </is>
      </c>
      <c r="E12312" t="inlineStr">
        <is>
          <t>LJUSDAL</t>
        </is>
      </c>
      <c r="G12312" t="n">
        <v>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25410-2025</t>
        </is>
      </c>
      <c r="B12313" s="1" t="n">
        <v>45800.66126157407</v>
      </c>
      <c r="C12313" s="1" t="n">
        <v>46086</v>
      </c>
      <c r="D12313" t="inlineStr">
        <is>
          <t>GÄVLEBORGS LÄN</t>
        </is>
      </c>
      <c r="E12313" t="inlineStr">
        <is>
          <t>SANDVIKEN</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25467-2025</t>
        </is>
      </c>
      <c r="B12314" s="1" t="n">
        <v>45802.66018518519</v>
      </c>
      <c r="C12314" s="1" t="n">
        <v>46086</v>
      </c>
      <c r="D12314" t="inlineStr">
        <is>
          <t>GÄVLEBORGS LÄN</t>
        </is>
      </c>
      <c r="E12314" t="inlineStr">
        <is>
          <t>NORDANSTIG</t>
        </is>
      </c>
      <c r="F12314" t="inlineStr">
        <is>
          <t>Holmen skog AB</t>
        </is>
      </c>
      <c r="G12314" t="n">
        <v>2.2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25468-2025</t>
        </is>
      </c>
      <c r="B12315" s="1" t="n">
        <v>45802.68767361111</v>
      </c>
      <c r="C12315" s="1" t="n">
        <v>46086</v>
      </c>
      <c r="D12315" t="inlineStr">
        <is>
          <t>GÄVLEBORGS LÄN</t>
        </is>
      </c>
      <c r="E12315" t="inlineStr">
        <is>
          <t>NORDANSTIG</t>
        </is>
      </c>
      <c r="F12315" t="inlineStr">
        <is>
          <t>Holmen skog AB</t>
        </is>
      </c>
      <c r="G12315" t="n">
        <v>5.5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25497-2025</t>
        </is>
      </c>
      <c r="B12316" s="1" t="n">
        <v>45803.34307870371</v>
      </c>
      <c r="C12316" s="1" t="n">
        <v>46086</v>
      </c>
      <c r="D12316" t="inlineStr">
        <is>
          <t>GÄVLEBORGS LÄN</t>
        </is>
      </c>
      <c r="E12316" t="inlineStr">
        <is>
          <t>HUDIKSVALL</t>
        </is>
      </c>
      <c r="G12316" t="n">
        <v>1.9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25551-2025</t>
        </is>
      </c>
      <c r="B12317" s="1" t="n">
        <v>45803.44678240741</v>
      </c>
      <c r="C12317" s="1" t="n">
        <v>46086</v>
      </c>
      <c r="D12317" t="inlineStr">
        <is>
          <t>GÄVLEBORGS LÄN</t>
        </is>
      </c>
      <c r="E12317" t="inlineStr">
        <is>
          <t>HUDIKSVALL</t>
        </is>
      </c>
      <c r="F12317" t="inlineStr">
        <is>
          <t>Holmen skog AB</t>
        </is>
      </c>
      <c r="G12317" t="n">
        <v>5.2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25569-2025</t>
        </is>
      </c>
      <c r="B12318" s="1" t="n">
        <v>45803.4665625</v>
      </c>
      <c r="C12318" s="1" t="n">
        <v>46086</v>
      </c>
      <c r="D12318" t="inlineStr">
        <is>
          <t>GÄVLEBORGS LÄN</t>
        </is>
      </c>
      <c r="E12318" t="inlineStr">
        <is>
          <t>LJUSDAL</t>
        </is>
      </c>
      <c r="F12318" t="inlineStr">
        <is>
          <t>Bergvik skog väst AB</t>
        </is>
      </c>
      <c r="G12318" t="n">
        <v>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47642-2024</t>
        </is>
      </c>
      <c r="B12319" s="1" t="n">
        <v>45588.3656712963</v>
      </c>
      <c r="C12319" s="1" t="n">
        <v>46086</v>
      </c>
      <c r="D12319" t="inlineStr">
        <is>
          <t>GÄVLEBORGS LÄN</t>
        </is>
      </c>
      <c r="E12319" t="inlineStr">
        <is>
          <t>GÄVLE</t>
        </is>
      </c>
      <c r="F12319" t="inlineStr">
        <is>
          <t>Bergvik skog väst AB</t>
        </is>
      </c>
      <c r="G12319" t="n">
        <v>8.199999999999999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25640-2025</t>
        </is>
      </c>
      <c r="B12320" s="1" t="n">
        <v>45803.60325231482</v>
      </c>
      <c r="C12320" s="1" t="n">
        <v>46086</v>
      </c>
      <c r="D12320" t="inlineStr">
        <is>
          <t>GÄVLEBORGS LÄN</t>
        </is>
      </c>
      <c r="E12320" t="inlineStr">
        <is>
          <t>OCKELBO</t>
        </is>
      </c>
      <c r="G12320" t="n">
        <v>2.5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25281-2025</t>
        </is>
      </c>
      <c r="B12321" s="1" t="n">
        <v>45800.5583912037</v>
      </c>
      <c r="C12321" s="1" t="n">
        <v>46086</v>
      </c>
      <c r="D12321" t="inlineStr">
        <is>
          <t>GÄVLEBORGS LÄN</t>
        </is>
      </c>
      <c r="E12321" t="inlineStr">
        <is>
          <t>OVANÅKER</t>
        </is>
      </c>
      <c r="F12321" t="inlineStr">
        <is>
          <t>Bergvik skog öst AB</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25673-2025</t>
        </is>
      </c>
      <c r="B12322" s="1" t="n">
        <v>45803.63233796296</v>
      </c>
      <c r="C12322" s="1" t="n">
        <v>46086</v>
      </c>
      <c r="D12322" t="inlineStr">
        <is>
          <t>GÄVLEBORGS LÄN</t>
        </is>
      </c>
      <c r="E12322" t="inlineStr">
        <is>
          <t>HUDIKSVALL</t>
        </is>
      </c>
      <c r="F12322" t="inlineStr">
        <is>
          <t>Holmen skog AB</t>
        </is>
      </c>
      <c r="G12322" t="n">
        <v>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44696-2021</t>
        </is>
      </c>
      <c r="B12323" s="1" t="n">
        <v>44438.34721064815</v>
      </c>
      <c r="C12323" s="1" t="n">
        <v>46086</v>
      </c>
      <c r="D12323" t="inlineStr">
        <is>
          <t>GÄVLEBORGS LÄN</t>
        </is>
      </c>
      <c r="E12323" t="inlineStr">
        <is>
          <t>LJUSDAL</t>
        </is>
      </c>
      <c r="F12323" t="inlineStr">
        <is>
          <t>Sveaskog</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25538-2025</t>
        </is>
      </c>
      <c r="B12324" s="1" t="n">
        <v>45803.42084490741</v>
      </c>
      <c r="C12324" s="1" t="n">
        <v>46086</v>
      </c>
      <c r="D12324" t="inlineStr">
        <is>
          <t>GÄVLEBORGS LÄN</t>
        </is>
      </c>
      <c r="E12324" t="inlineStr">
        <is>
          <t>HUDIKSVALL</t>
        </is>
      </c>
      <c r="F12324" t="inlineStr">
        <is>
          <t>Holmen skog AB</t>
        </is>
      </c>
      <c r="G12324" t="n">
        <v>3.6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25346-2025</t>
        </is>
      </c>
      <c r="B12325" s="1" t="n">
        <v>45800.61052083333</v>
      </c>
      <c r="C12325" s="1" t="n">
        <v>46086</v>
      </c>
      <c r="D12325" t="inlineStr">
        <is>
          <t>GÄVLEBORGS LÄN</t>
        </is>
      </c>
      <c r="E12325" t="inlineStr">
        <is>
          <t>OVANÅKER</t>
        </is>
      </c>
      <c r="F12325" t="inlineStr">
        <is>
          <t>Bergvik skog väst AB</t>
        </is>
      </c>
      <c r="G12325" t="n">
        <v>2.5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25844-2025</t>
        </is>
      </c>
      <c r="B12326" s="1" t="n">
        <v>45800</v>
      </c>
      <c r="C12326" s="1" t="n">
        <v>46086</v>
      </c>
      <c r="D12326" t="inlineStr">
        <is>
          <t>GÄVLEBORGS LÄN</t>
        </is>
      </c>
      <c r="E12326" t="inlineStr">
        <is>
          <t>HUDIKSVALL</t>
        </is>
      </c>
      <c r="G12326" t="n">
        <v>5.4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25337-2025</t>
        </is>
      </c>
      <c r="B12327" s="1" t="n">
        <v>45800.59858796297</v>
      </c>
      <c r="C12327" s="1" t="n">
        <v>46086</v>
      </c>
      <c r="D12327" t="inlineStr">
        <is>
          <t>GÄVLEBORGS LÄN</t>
        </is>
      </c>
      <c r="E12327" t="inlineStr">
        <is>
          <t>OVANÅKER</t>
        </is>
      </c>
      <c r="F12327" t="inlineStr">
        <is>
          <t>Bergvik skog väst AB</t>
        </is>
      </c>
      <c r="G12327" t="n">
        <v>4.5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17392-2025</t>
        </is>
      </c>
      <c r="B12328" s="1" t="n">
        <v>45757.33837962963</v>
      </c>
      <c r="C12328" s="1" t="n">
        <v>46086</v>
      </c>
      <c r="D12328" t="inlineStr">
        <is>
          <t>GÄVLEBORGS LÄN</t>
        </is>
      </c>
      <c r="E12328" t="inlineStr">
        <is>
          <t>OVANÅKER</t>
        </is>
      </c>
      <c r="F12328" t="inlineStr">
        <is>
          <t>Bergvik skog öst AB</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25233-2025</t>
        </is>
      </c>
      <c r="B12329" s="1" t="n">
        <v>45800.48542824074</v>
      </c>
      <c r="C12329" s="1" t="n">
        <v>46086</v>
      </c>
      <c r="D12329" t="inlineStr">
        <is>
          <t>GÄVLEBORGS LÄN</t>
        </is>
      </c>
      <c r="E12329" t="inlineStr">
        <is>
          <t>OCKELBO</t>
        </is>
      </c>
      <c r="F12329" t="inlineStr">
        <is>
          <t>Bergvik skog väst AB</t>
        </is>
      </c>
      <c r="G12329" t="n">
        <v>6.1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25168-2025</t>
        </is>
      </c>
      <c r="B12330" s="1" t="n">
        <v>45800.43626157408</v>
      </c>
      <c r="C12330" s="1" t="n">
        <v>46086</v>
      </c>
      <c r="D12330" t="inlineStr">
        <is>
          <t>GÄVLEBORGS LÄN</t>
        </is>
      </c>
      <c r="E12330" t="inlineStr">
        <is>
          <t>OCKELBO</t>
        </is>
      </c>
      <c r="G12330" t="n">
        <v>2.3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25404-2025</t>
        </is>
      </c>
      <c r="B12331" s="1" t="n">
        <v>45800.65675925926</v>
      </c>
      <c r="C12331" s="1" t="n">
        <v>46086</v>
      </c>
      <c r="D12331" t="inlineStr">
        <is>
          <t>GÄVLEBORGS LÄN</t>
        </is>
      </c>
      <c r="E12331" t="inlineStr">
        <is>
          <t>OCKELBO</t>
        </is>
      </c>
      <c r="F12331" t="inlineStr">
        <is>
          <t>Bergvik skog väst AB</t>
        </is>
      </c>
      <c r="G12331" t="n">
        <v>11.1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25425-2025</t>
        </is>
      </c>
      <c r="B12332" s="1" t="n">
        <v>45800.7003125</v>
      </c>
      <c r="C12332" s="1" t="n">
        <v>46086</v>
      </c>
      <c r="D12332" t="inlineStr">
        <is>
          <t>GÄVLEBORGS LÄN</t>
        </is>
      </c>
      <c r="E12332" t="inlineStr">
        <is>
          <t>SANDVIKEN</t>
        </is>
      </c>
      <c r="F12332" t="inlineStr">
        <is>
          <t>Sveaskog</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25564-2025</t>
        </is>
      </c>
      <c r="B12333" s="1" t="n">
        <v>45803.45716435185</v>
      </c>
      <c r="C12333" s="1" t="n">
        <v>46086</v>
      </c>
      <c r="D12333" t="inlineStr">
        <is>
          <t>GÄVLEBORGS LÄN</t>
        </is>
      </c>
      <c r="E12333" t="inlineStr">
        <is>
          <t>OCKELBO</t>
        </is>
      </c>
      <c r="F12333" t="inlineStr">
        <is>
          <t>Bergvik skog väst AB</t>
        </is>
      </c>
      <c r="G12333" t="n">
        <v>11.7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25724-2025</t>
        </is>
      </c>
      <c r="B12334" s="1" t="n">
        <v>45803.71337962963</v>
      </c>
      <c r="C12334" s="1" t="n">
        <v>46086</v>
      </c>
      <c r="D12334" t="inlineStr">
        <is>
          <t>GÄVLEBORGS LÄN</t>
        </is>
      </c>
      <c r="E12334" t="inlineStr">
        <is>
          <t>NORDANSTIG</t>
        </is>
      </c>
      <c r="F12334" t="inlineStr">
        <is>
          <t>Holmen skog AB</t>
        </is>
      </c>
      <c r="G12334" t="n">
        <v>10.1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25492-2025</t>
        </is>
      </c>
      <c r="B12335" s="1" t="n">
        <v>45803.32609953704</v>
      </c>
      <c r="C12335" s="1" t="n">
        <v>46086</v>
      </c>
      <c r="D12335" t="inlineStr">
        <is>
          <t>GÄVLEBORGS LÄN</t>
        </is>
      </c>
      <c r="E12335" t="inlineStr">
        <is>
          <t>HUDIKSVALL</t>
        </is>
      </c>
      <c r="G12335" t="n">
        <v>2.2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25512-2025</t>
        </is>
      </c>
      <c r="B12336" s="1" t="n">
        <v>45803.36275462963</v>
      </c>
      <c r="C12336" s="1" t="n">
        <v>46086</v>
      </c>
      <c r="D12336" t="inlineStr">
        <is>
          <t>GÄVLEBORGS LÄN</t>
        </is>
      </c>
      <c r="E12336" t="inlineStr">
        <is>
          <t>OCKELBO</t>
        </is>
      </c>
      <c r="G12336" t="n">
        <v>2.6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25518-2025</t>
        </is>
      </c>
      <c r="B12337" s="1" t="n">
        <v>45803.38435185186</v>
      </c>
      <c r="C12337" s="1" t="n">
        <v>46086</v>
      </c>
      <c r="D12337" t="inlineStr">
        <is>
          <t>GÄVLEBORGS LÄN</t>
        </is>
      </c>
      <c r="E12337" t="inlineStr">
        <is>
          <t>OCKELBO</t>
        </is>
      </c>
      <c r="F12337" t="inlineStr">
        <is>
          <t>Bergvik skog väst AB</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25539-2025</t>
        </is>
      </c>
      <c r="B12338" s="1" t="n">
        <v>45803.42452546296</v>
      </c>
      <c r="C12338" s="1" t="n">
        <v>46086</v>
      </c>
      <c r="D12338" t="inlineStr">
        <is>
          <t>GÄVLEBORGS LÄN</t>
        </is>
      </c>
      <c r="E12338" t="inlineStr">
        <is>
          <t>LJUSDAL</t>
        </is>
      </c>
      <c r="F12338" t="inlineStr">
        <is>
          <t>Holmen skog AB</t>
        </is>
      </c>
      <c r="G12338" t="n">
        <v>12.9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33136-2023</t>
        </is>
      </c>
      <c r="B12339" s="1" t="n">
        <v>45126.63739583334</v>
      </c>
      <c r="C12339" s="1" t="n">
        <v>46086</v>
      </c>
      <c r="D12339" t="inlineStr">
        <is>
          <t>GÄVLEBORGS LÄN</t>
        </is>
      </c>
      <c r="E12339" t="inlineStr">
        <is>
          <t>SANDVIKEN</t>
        </is>
      </c>
      <c r="G12339" t="n">
        <v>4.5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25246-2025</t>
        </is>
      </c>
      <c r="B12340" s="1" t="n">
        <v>45800.49399305556</v>
      </c>
      <c r="C12340" s="1" t="n">
        <v>46086</v>
      </c>
      <c r="D12340" t="inlineStr">
        <is>
          <t>GÄVLEBORGS LÄN</t>
        </is>
      </c>
      <c r="E12340" t="inlineStr">
        <is>
          <t>OCKELBO</t>
        </is>
      </c>
      <c r="F12340" t="inlineStr">
        <is>
          <t>Bergvik skog väst AB</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25248-2025</t>
        </is>
      </c>
      <c r="B12341" s="1" t="n">
        <v>45800.49638888889</v>
      </c>
      <c r="C12341" s="1" t="n">
        <v>46086</v>
      </c>
      <c r="D12341" t="inlineStr">
        <is>
          <t>GÄVLEBORGS LÄN</t>
        </is>
      </c>
      <c r="E12341" t="inlineStr">
        <is>
          <t>OCKELBO</t>
        </is>
      </c>
      <c r="F12341" t="inlineStr">
        <is>
          <t>Bergvik skog väst AB</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25187-2025</t>
        </is>
      </c>
      <c r="B12342" s="1" t="n">
        <v>45800.455</v>
      </c>
      <c r="C12342" s="1" t="n">
        <v>46086</v>
      </c>
      <c r="D12342" t="inlineStr">
        <is>
          <t>GÄVLEBORGS LÄN</t>
        </is>
      </c>
      <c r="E12342" t="inlineStr">
        <is>
          <t>HUDIKSVALL</t>
        </is>
      </c>
      <c r="F12342" t="inlineStr">
        <is>
          <t>Holmen skog AB</t>
        </is>
      </c>
      <c r="G12342" t="n">
        <v>53.6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25191-2025</t>
        </is>
      </c>
      <c r="B12343" s="1" t="n">
        <v>45800.45778935185</v>
      </c>
      <c r="C12343" s="1" t="n">
        <v>46086</v>
      </c>
      <c r="D12343" t="inlineStr">
        <is>
          <t>GÄVLEBORGS LÄN</t>
        </is>
      </c>
      <c r="E12343" t="inlineStr">
        <is>
          <t>OCKELBO</t>
        </is>
      </c>
      <c r="F12343" t="inlineStr">
        <is>
          <t>Bergvik skog väst AB</t>
        </is>
      </c>
      <c r="G12343" t="n">
        <v>5.1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25216-2025</t>
        </is>
      </c>
      <c r="B12344" s="1" t="n">
        <v>45800.4756712963</v>
      </c>
      <c r="C12344" s="1" t="n">
        <v>46086</v>
      </c>
      <c r="D12344" t="inlineStr">
        <is>
          <t>GÄVLEBORGS LÄN</t>
        </is>
      </c>
      <c r="E12344" t="inlineStr">
        <is>
          <t>BOLLNÄS</t>
        </is>
      </c>
      <c r="G12344" t="n">
        <v>2.1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25234-2025</t>
        </is>
      </c>
      <c r="B12345" s="1" t="n">
        <v>45800.48849537037</v>
      </c>
      <c r="C12345" s="1" t="n">
        <v>46086</v>
      </c>
      <c r="D12345" t="inlineStr">
        <is>
          <t>GÄVLEBORGS LÄN</t>
        </is>
      </c>
      <c r="E12345" t="inlineStr">
        <is>
          <t>OCKELBO</t>
        </is>
      </c>
      <c r="F12345" t="inlineStr">
        <is>
          <t>Bergvik skog väst AB</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25278-2025</t>
        </is>
      </c>
      <c r="B12346" s="1" t="n">
        <v>45800.55554398148</v>
      </c>
      <c r="C12346" s="1" t="n">
        <v>46086</v>
      </c>
      <c r="D12346" t="inlineStr">
        <is>
          <t>GÄVLEBORGS LÄN</t>
        </is>
      </c>
      <c r="E12346" t="inlineStr">
        <is>
          <t>OVANÅKER</t>
        </is>
      </c>
      <c r="F12346" t="inlineStr">
        <is>
          <t>Bergvik skog öst AB</t>
        </is>
      </c>
      <c r="G12346" t="n">
        <v>6.1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25283-2025</t>
        </is>
      </c>
      <c r="B12347" s="1" t="n">
        <v>45800.5616087963</v>
      </c>
      <c r="C12347" s="1" t="n">
        <v>46086</v>
      </c>
      <c r="D12347" t="inlineStr">
        <is>
          <t>GÄVLEBORGS LÄN</t>
        </is>
      </c>
      <c r="E12347" t="inlineStr">
        <is>
          <t>OVANÅKER</t>
        </is>
      </c>
      <c r="F12347" t="inlineStr">
        <is>
          <t>Bergvik skog öst AB</t>
        </is>
      </c>
      <c r="G12347" t="n">
        <v>2.4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25300-2025</t>
        </is>
      </c>
      <c r="B12348" s="1" t="n">
        <v>45800.57034722222</v>
      </c>
      <c r="C12348" s="1" t="n">
        <v>46086</v>
      </c>
      <c r="D12348" t="inlineStr">
        <is>
          <t>GÄVLEBORGS LÄN</t>
        </is>
      </c>
      <c r="E12348" t="inlineStr">
        <is>
          <t>SANDVIKEN</t>
        </is>
      </c>
      <c r="F12348" t="inlineStr">
        <is>
          <t>Sveaskog</t>
        </is>
      </c>
      <c r="G12348" t="n">
        <v>2.5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25327-2025</t>
        </is>
      </c>
      <c r="B12349" s="1" t="n">
        <v>45800.58903935185</v>
      </c>
      <c r="C12349" s="1" t="n">
        <v>46086</v>
      </c>
      <c r="D12349" t="inlineStr">
        <is>
          <t>GÄVLEBORGS LÄN</t>
        </is>
      </c>
      <c r="E12349" t="inlineStr">
        <is>
          <t>SANDVIKEN</t>
        </is>
      </c>
      <c r="F12349" t="inlineStr">
        <is>
          <t>Sveaskog</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25382-2025</t>
        </is>
      </c>
      <c r="B12350" s="1" t="n">
        <v>45800.64026620371</v>
      </c>
      <c r="C12350" s="1" t="n">
        <v>46086</v>
      </c>
      <c r="D12350" t="inlineStr">
        <is>
          <t>GÄVLEBORGS LÄN</t>
        </is>
      </c>
      <c r="E12350" t="inlineStr">
        <is>
          <t>GÄVLE</t>
        </is>
      </c>
      <c r="G12350" t="n">
        <v>3.6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25130-2025</t>
        </is>
      </c>
      <c r="B12351" s="1" t="n">
        <v>45800.38216435185</v>
      </c>
      <c r="C12351" s="1" t="n">
        <v>46086</v>
      </c>
      <c r="D12351" t="inlineStr">
        <is>
          <t>GÄVLEBORGS LÄN</t>
        </is>
      </c>
      <c r="E12351" t="inlineStr">
        <is>
          <t>OVANÅKER</t>
        </is>
      </c>
      <c r="F12351" t="inlineStr">
        <is>
          <t>Bergvik skog väst AB</t>
        </is>
      </c>
      <c r="G12351" t="n">
        <v>8.699999999999999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25192-2025</t>
        </is>
      </c>
      <c r="B12352" s="1" t="n">
        <v>45800.45829861111</v>
      </c>
      <c r="C12352" s="1" t="n">
        <v>46086</v>
      </c>
      <c r="D12352" t="inlineStr">
        <is>
          <t>GÄVLEBORGS LÄN</t>
        </is>
      </c>
      <c r="E12352" t="inlineStr">
        <is>
          <t>BOLLNÄS</t>
        </is>
      </c>
      <c r="F12352" t="inlineStr">
        <is>
          <t>Bergvik skog väst AB</t>
        </is>
      </c>
      <c r="G12352" t="n">
        <v>3.5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25193-2025</t>
        </is>
      </c>
      <c r="B12353" s="1" t="n">
        <v>45800.4584837963</v>
      </c>
      <c r="C12353" s="1" t="n">
        <v>46086</v>
      </c>
      <c r="D12353" t="inlineStr">
        <is>
          <t>GÄVLEBORGS LÄN</t>
        </is>
      </c>
      <c r="E12353" t="inlineStr">
        <is>
          <t>OVANÅKER</t>
        </is>
      </c>
      <c r="F12353" t="inlineStr">
        <is>
          <t>Bergvik skog väst AB</t>
        </is>
      </c>
      <c r="G12353" t="n">
        <v>0.8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61478-2023</t>
        </is>
      </c>
      <c r="B12354" s="1" t="n">
        <v>45264.92703703704</v>
      </c>
      <c r="C12354" s="1" t="n">
        <v>46086</v>
      </c>
      <c r="D12354" t="inlineStr">
        <is>
          <t>GÄVLEBORGS LÄN</t>
        </is>
      </c>
      <c r="E12354" t="inlineStr">
        <is>
          <t>HUDIKSVALL</t>
        </is>
      </c>
      <c r="G12354" t="n">
        <v>4.1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25226-2025</t>
        </is>
      </c>
      <c r="B12355" s="1" t="n">
        <v>45800</v>
      </c>
      <c r="C12355" s="1" t="n">
        <v>46086</v>
      </c>
      <c r="D12355" t="inlineStr">
        <is>
          <t>GÄVLEBORGS LÄN</t>
        </is>
      </c>
      <c r="E12355" t="inlineStr">
        <is>
          <t>BOLLNÄS</t>
        </is>
      </c>
      <c r="F12355" t="inlineStr">
        <is>
          <t>Holmen skog AB</t>
        </is>
      </c>
      <c r="G12355" t="n">
        <v>17.7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25596-2025</t>
        </is>
      </c>
      <c r="B12356" s="1" t="n">
        <v>45803.52922453704</v>
      </c>
      <c r="C12356" s="1" t="n">
        <v>46086</v>
      </c>
      <c r="D12356" t="inlineStr">
        <is>
          <t>GÄVLEBORGS LÄN</t>
        </is>
      </c>
      <c r="E12356" t="inlineStr">
        <is>
          <t>BOLLNÄS</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25602-2025</t>
        </is>
      </c>
      <c r="B12357" s="1" t="n">
        <v>45800</v>
      </c>
      <c r="C12357" s="1" t="n">
        <v>46086</v>
      </c>
      <c r="D12357" t="inlineStr">
        <is>
          <t>GÄVLEBORGS LÄN</t>
        </is>
      </c>
      <c r="E12357" t="inlineStr">
        <is>
          <t>LJUSDAL</t>
        </is>
      </c>
      <c r="G12357" t="n">
        <v>4.7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19188-2024</t>
        </is>
      </c>
      <c r="B12358" s="1" t="n">
        <v>45428.48818287037</v>
      </c>
      <c r="C12358" s="1" t="n">
        <v>46086</v>
      </c>
      <c r="D12358" t="inlineStr">
        <is>
          <t>GÄVLEBORGS LÄN</t>
        </is>
      </c>
      <c r="E12358" t="inlineStr">
        <is>
          <t>SÖDERHAMN</t>
        </is>
      </c>
      <c r="F12358" t="inlineStr">
        <is>
          <t>Bergvik skog väst AB</t>
        </is>
      </c>
      <c r="G12358" t="n">
        <v>1.7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25080-2025</t>
        </is>
      </c>
      <c r="B12359" s="1" t="n">
        <v>45799.91233796296</v>
      </c>
      <c r="C12359" s="1" t="n">
        <v>46086</v>
      </c>
      <c r="D12359" t="inlineStr">
        <is>
          <t>GÄVLEBORGS LÄN</t>
        </is>
      </c>
      <c r="E12359" t="inlineStr">
        <is>
          <t>NORDANSTIG</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25110-2025</t>
        </is>
      </c>
      <c r="B12360" s="1" t="n">
        <v>45800.3528125</v>
      </c>
      <c r="C12360" s="1" t="n">
        <v>46086</v>
      </c>
      <c r="D12360" t="inlineStr">
        <is>
          <t>GÄVLEBORGS LÄN</t>
        </is>
      </c>
      <c r="E12360" t="inlineStr">
        <is>
          <t>OVANÅKER</t>
        </is>
      </c>
      <c r="F12360" t="inlineStr">
        <is>
          <t>Bergvik skog väst AB</t>
        </is>
      </c>
      <c r="G12360" t="n">
        <v>10.1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25650-2025</t>
        </is>
      </c>
      <c r="B12361" s="1" t="n">
        <v>45803.61027777778</v>
      </c>
      <c r="C12361" s="1" t="n">
        <v>46086</v>
      </c>
      <c r="D12361" t="inlineStr">
        <is>
          <t>GÄVLEBORGS LÄN</t>
        </is>
      </c>
      <c r="E12361" t="inlineStr">
        <is>
          <t>OVANÅKER</t>
        </is>
      </c>
      <c r="G12361" t="n">
        <v>6.1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25082-2025</t>
        </is>
      </c>
      <c r="B12362" s="1" t="n">
        <v>45800.26887731482</v>
      </c>
      <c r="C12362" s="1" t="n">
        <v>46086</v>
      </c>
      <c r="D12362" t="inlineStr">
        <is>
          <t>GÄVLEBORGS LÄN</t>
        </is>
      </c>
      <c r="E12362" t="inlineStr">
        <is>
          <t>OVANÅKER</t>
        </is>
      </c>
      <c r="F12362" t="inlineStr">
        <is>
          <t>Bergvik skog väst AB</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25104-2025</t>
        </is>
      </c>
      <c r="B12363" s="1" t="n">
        <v>45800.34629629629</v>
      </c>
      <c r="C12363" s="1" t="n">
        <v>46086</v>
      </c>
      <c r="D12363" t="inlineStr">
        <is>
          <t>GÄVLEBORGS LÄN</t>
        </is>
      </c>
      <c r="E12363" t="inlineStr">
        <is>
          <t>OVANÅKER</t>
        </is>
      </c>
      <c r="F12363" t="inlineStr">
        <is>
          <t>Bergvik skog väst AB</t>
        </is>
      </c>
      <c r="G12363" t="n">
        <v>4.3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25111-2025</t>
        </is>
      </c>
      <c r="B12364" s="1" t="n">
        <v>45800.35587962963</v>
      </c>
      <c r="C12364" s="1" t="n">
        <v>46086</v>
      </c>
      <c r="D12364" t="inlineStr">
        <is>
          <t>GÄVLEBORGS LÄN</t>
        </is>
      </c>
      <c r="E12364" t="inlineStr">
        <is>
          <t>SANDVIKEN</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25148-2025</t>
        </is>
      </c>
      <c r="B12365" s="1" t="n">
        <v>45800.42070601852</v>
      </c>
      <c r="C12365" s="1" t="n">
        <v>46086</v>
      </c>
      <c r="D12365" t="inlineStr">
        <is>
          <t>GÄVLEBORGS LÄN</t>
        </is>
      </c>
      <c r="E12365" t="inlineStr">
        <is>
          <t>HUDIKSVALL</t>
        </is>
      </c>
      <c r="F12365" t="inlineStr">
        <is>
          <t>Holmen skog AB</t>
        </is>
      </c>
      <c r="G12365" t="n">
        <v>20</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25250-2025</t>
        </is>
      </c>
      <c r="B12366" s="1" t="n">
        <v>45800.49899305555</v>
      </c>
      <c r="C12366" s="1" t="n">
        <v>46086</v>
      </c>
      <c r="D12366" t="inlineStr">
        <is>
          <t>GÄVLEBORGS LÄN</t>
        </is>
      </c>
      <c r="E12366" t="inlineStr">
        <is>
          <t>OCKELBO</t>
        </is>
      </c>
      <c r="F12366" t="inlineStr">
        <is>
          <t>Bergvik skog väst AB</t>
        </is>
      </c>
      <c r="G12366" t="n">
        <v>0.4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25256-2025</t>
        </is>
      </c>
      <c r="B12367" s="1" t="n">
        <v>45800.50966435186</v>
      </c>
      <c r="C12367" s="1" t="n">
        <v>46086</v>
      </c>
      <c r="D12367" t="inlineStr">
        <is>
          <t>GÄVLEBORGS LÄN</t>
        </is>
      </c>
      <c r="E12367" t="inlineStr">
        <is>
          <t>BOLLNÄS</t>
        </is>
      </c>
      <c r="F12367" t="inlineStr">
        <is>
          <t>Bergvik skog väst AB</t>
        </is>
      </c>
      <c r="G12367" t="n">
        <v>13.8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25292-2025</t>
        </is>
      </c>
      <c r="B12368" s="1" t="n">
        <v>45800.56613425926</v>
      </c>
      <c r="C12368" s="1" t="n">
        <v>46086</v>
      </c>
      <c r="D12368" t="inlineStr">
        <is>
          <t>GÄVLEBORGS LÄN</t>
        </is>
      </c>
      <c r="E12368" t="inlineStr">
        <is>
          <t>OVANÅKER</t>
        </is>
      </c>
      <c r="F12368" t="inlineStr">
        <is>
          <t>Bergvik skog öst AB</t>
        </is>
      </c>
      <c r="G12368" t="n">
        <v>2.2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25314-2025</t>
        </is>
      </c>
      <c r="B12369" s="1" t="n">
        <v>45800.57782407408</v>
      </c>
      <c r="C12369" s="1" t="n">
        <v>46086</v>
      </c>
      <c r="D12369" t="inlineStr">
        <is>
          <t>GÄVLEBORGS LÄN</t>
        </is>
      </c>
      <c r="E12369" t="inlineStr">
        <is>
          <t>SANDVIKEN</t>
        </is>
      </c>
      <c r="F12369" t="inlineStr">
        <is>
          <t>Sveaskog</t>
        </is>
      </c>
      <c r="G12369" t="n">
        <v>2.1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25469-2025</t>
        </is>
      </c>
      <c r="B12370" s="1" t="n">
        <v>45802.70565972223</v>
      </c>
      <c r="C12370" s="1" t="n">
        <v>46086</v>
      </c>
      <c r="D12370" t="inlineStr">
        <is>
          <t>GÄVLEBORGS LÄN</t>
        </is>
      </c>
      <c r="E12370" t="inlineStr">
        <is>
          <t>NORDANSTIG</t>
        </is>
      </c>
      <c r="F12370" t="inlineStr">
        <is>
          <t>Holmen skog AB</t>
        </is>
      </c>
      <c r="G12370" t="n">
        <v>6.4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25289-2025</t>
        </is>
      </c>
      <c r="B12371" s="1" t="n">
        <v>45800.5633912037</v>
      </c>
      <c r="C12371" s="1" t="n">
        <v>46086</v>
      </c>
      <c r="D12371" t="inlineStr">
        <is>
          <t>GÄVLEBORGS LÄN</t>
        </is>
      </c>
      <c r="E12371" t="inlineStr">
        <is>
          <t>OVANÅKER</t>
        </is>
      </c>
      <c r="F12371" t="inlineStr">
        <is>
          <t>Bergvik skog öst AB</t>
        </is>
      </c>
      <c r="G12371" t="n">
        <v>0.4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25317-2025</t>
        </is>
      </c>
      <c r="B12372" s="1" t="n">
        <v>45800.58108796296</v>
      </c>
      <c r="C12372" s="1" t="n">
        <v>46086</v>
      </c>
      <c r="D12372" t="inlineStr">
        <is>
          <t>GÄVLEBORGS LÄN</t>
        </is>
      </c>
      <c r="E12372" t="inlineStr">
        <is>
          <t>SANDVIKEN</t>
        </is>
      </c>
      <c r="F12372" t="inlineStr">
        <is>
          <t>Sveaskog</t>
        </is>
      </c>
      <c r="G12372" t="n">
        <v>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54171-2024</t>
        </is>
      </c>
      <c r="B12373" s="1" t="n">
        <v>45616.62708333333</v>
      </c>
      <c r="C12373" s="1" t="n">
        <v>46086</v>
      </c>
      <c r="D12373" t="inlineStr">
        <is>
          <t>GÄVLEBORGS LÄN</t>
        </is>
      </c>
      <c r="E12373" t="inlineStr">
        <is>
          <t>SÖDERHAMN</t>
        </is>
      </c>
      <c r="G12373" t="n">
        <v>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25151-2025</t>
        </is>
      </c>
      <c r="B12374" s="1" t="n">
        <v>45800.42427083333</v>
      </c>
      <c r="C12374" s="1" t="n">
        <v>46086</v>
      </c>
      <c r="D12374" t="inlineStr">
        <is>
          <t>GÄVLEBORGS LÄN</t>
        </is>
      </c>
      <c r="E12374" t="inlineStr">
        <is>
          <t>OVANÅKER</t>
        </is>
      </c>
      <c r="G12374" t="n">
        <v>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26564-2022</t>
        </is>
      </c>
      <c r="B12375" s="1" t="n">
        <v>44739.48752314815</v>
      </c>
      <c r="C12375" s="1" t="n">
        <v>46086</v>
      </c>
      <c r="D12375" t="inlineStr">
        <is>
          <t>GÄVLEBORGS LÄN</t>
        </is>
      </c>
      <c r="E12375" t="inlineStr">
        <is>
          <t>GÄVLE</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25503-2025</t>
        </is>
      </c>
      <c r="B12376" s="1" t="n">
        <v>45803.34987268518</v>
      </c>
      <c r="C12376" s="1" t="n">
        <v>46086</v>
      </c>
      <c r="D12376" t="inlineStr">
        <is>
          <t>GÄVLEBORGS LÄN</t>
        </is>
      </c>
      <c r="E12376" t="inlineStr">
        <is>
          <t>HUDIKSVALL</t>
        </is>
      </c>
      <c r="F12376" t="inlineStr">
        <is>
          <t>Holmen skog AB</t>
        </is>
      </c>
      <c r="G12376" t="n">
        <v>7.8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25504-2025</t>
        </is>
      </c>
      <c r="B12377" s="1" t="n">
        <v>45803.35074074074</v>
      </c>
      <c r="C12377" s="1" t="n">
        <v>46086</v>
      </c>
      <c r="D12377" t="inlineStr">
        <is>
          <t>GÄVLEBORGS LÄN</t>
        </is>
      </c>
      <c r="E12377" t="inlineStr">
        <is>
          <t>LJUSDAL</t>
        </is>
      </c>
      <c r="G12377" t="n">
        <v>3.1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25784-2025</t>
        </is>
      </c>
      <c r="B12378" s="1" t="n">
        <v>45804.3675</v>
      </c>
      <c r="C12378" s="1" t="n">
        <v>46086</v>
      </c>
      <c r="D12378" t="inlineStr">
        <is>
          <t>GÄVLEBORGS LÄN</t>
        </is>
      </c>
      <c r="E12378" t="inlineStr">
        <is>
          <t>HUDIKSVALL</t>
        </is>
      </c>
      <c r="F12378" t="inlineStr">
        <is>
          <t>Holmen skog AB</t>
        </is>
      </c>
      <c r="G12378" t="n">
        <v>18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26303-2025</t>
        </is>
      </c>
      <c r="B12379" s="1" t="n">
        <v>45805.64239583333</v>
      </c>
      <c r="C12379" s="1" t="n">
        <v>46086</v>
      </c>
      <c r="D12379" t="inlineStr">
        <is>
          <t>GÄVLEBORGS LÄN</t>
        </is>
      </c>
      <c r="E12379" t="inlineStr">
        <is>
          <t>BOLLNÄS</t>
        </is>
      </c>
      <c r="G12379" t="n">
        <v>1.4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25832-2025</t>
        </is>
      </c>
      <c r="B12380" s="1" t="n">
        <v>45804.44728009259</v>
      </c>
      <c r="C12380" s="1" t="n">
        <v>46086</v>
      </c>
      <c r="D12380" t="inlineStr">
        <is>
          <t>GÄVLEBORGS LÄN</t>
        </is>
      </c>
      <c r="E12380" t="inlineStr">
        <is>
          <t>LJUSDAL</t>
        </is>
      </c>
      <c r="F12380" t="inlineStr">
        <is>
          <t>Holmen skog AB</t>
        </is>
      </c>
      <c r="G12380" t="n">
        <v>23.1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25965-2025</t>
        </is>
      </c>
      <c r="B12381" s="1" t="n">
        <v>45804.61806712963</v>
      </c>
      <c r="C12381" s="1" t="n">
        <v>46086</v>
      </c>
      <c r="D12381" t="inlineStr">
        <is>
          <t>GÄVLEBORGS LÄN</t>
        </is>
      </c>
      <c r="E12381" t="inlineStr">
        <is>
          <t>OVANÅKER</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26195-2025</t>
        </is>
      </c>
      <c r="B12382" s="1" t="n">
        <v>45805.49575231481</v>
      </c>
      <c r="C12382" s="1" t="n">
        <v>46086</v>
      </c>
      <c r="D12382" t="inlineStr">
        <is>
          <t>GÄVLEBORGS LÄN</t>
        </is>
      </c>
      <c r="E12382" t="inlineStr">
        <is>
          <t>OCKELBO</t>
        </is>
      </c>
      <c r="G12382" t="n">
        <v>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25993-2025</t>
        </is>
      </c>
      <c r="B12383" s="1" t="n">
        <v>45804.65660879629</v>
      </c>
      <c r="C12383" s="1" t="n">
        <v>46086</v>
      </c>
      <c r="D12383" t="inlineStr">
        <is>
          <t>GÄVLEBORGS LÄN</t>
        </is>
      </c>
      <c r="E12383" t="inlineStr">
        <is>
          <t>LJUSDAL</t>
        </is>
      </c>
      <c r="F12383" t="inlineStr">
        <is>
          <t>Holmen skog AB</t>
        </is>
      </c>
      <c r="G12383" t="n">
        <v>26.6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26294-2025</t>
        </is>
      </c>
      <c r="B12384" s="1" t="n">
        <v>45805</v>
      </c>
      <c r="C12384" s="1" t="n">
        <v>46086</v>
      </c>
      <c r="D12384" t="inlineStr">
        <is>
          <t>GÄVLEBORGS LÄN</t>
        </is>
      </c>
      <c r="E12384" t="inlineStr">
        <is>
          <t>SANDVIKEN</t>
        </is>
      </c>
      <c r="F12384" t="inlineStr">
        <is>
          <t>Sveaskog</t>
        </is>
      </c>
      <c r="G12384" t="n">
        <v>3.1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26323-2025</t>
        </is>
      </c>
      <c r="B12385" s="1" t="n">
        <v>45805.66572916666</v>
      </c>
      <c r="C12385" s="1" t="n">
        <v>46086</v>
      </c>
      <c r="D12385" t="inlineStr">
        <is>
          <t>GÄVLEBORGS LÄN</t>
        </is>
      </c>
      <c r="E12385" t="inlineStr">
        <is>
          <t>BOLLNÄS</t>
        </is>
      </c>
      <c r="G12385" t="n">
        <v>2.2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26268-2025</t>
        </is>
      </c>
      <c r="B12386" s="1" t="n">
        <v>45805.59122685185</v>
      </c>
      <c r="C12386" s="1" t="n">
        <v>46086</v>
      </c>
      <c r="D12386" t="inlineStr">
        <is>
          <t>GÄVLEBORGS LÄN</t>
        </is>
      </c>
      <c r="E12386" t="inlineStr">
        <is>
          <t>LJUSDAL</t>
        </is>
      </c>
      <c r="F12386" t="inlineStr">
        <is>
          <t>Kommuner</t>
        </is>
      </c>
      <c r="G12386" t="n">
        <v>4.9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26308-2025</t>
        </is>
      </c>
      <c r="B12387" s="1" t="n">
        <v>45805.64973379629</v>
      </c>
      <c r="C12387" s="1" t="n">
        <v>46086</v>
      </c>
      <c r="D12387" t="inlineStr">
        <is>
          <t>GÄVLEBORGS LÄN</t>
        </is>
      </c>
      <c r="E12387" t="inlineStr">
        <is>
          <t>BOLLNÄS</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25787-2025</t>
        </is>
      </c>
      <c r="B12388" s="1" t="n">
        <v>45804.37753472223</v>
      </c>
      <c r="C12388" s="1" t="n">
        <v>46086</v>
      </c>
      <c r="D12388" t="inlineStr">
        <is>
          <t>GÄVLEBORGS LÄN</t>
        </is>
      </c>
      <c r="E12388" t="inlineStr">
        <is>
          <t>BOLLNÄS</t>
        </is>
      </c>
      <c r="F12388" t="inlineStr">
        <is>
          <t>Bergvik skog väst AB</t>
        </is>
      </c>
      <c r="G12388" t="n">
        <v>5.1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26266-2025</t>
        </is>
      </c>
      <c r="B12389" s="1" t="n">
        <v>45805.5902199074</v>
      </c>
      <c r="C12389" s="1" t="n">
        <v>46086</v>
      </c>
      <c r="D12389" t="inlineStr">
        <is>
          <t>GÄVLEBORGS LÄN</t>
        </is>
      </c>
      <c r="E12389" t="inlineStr">
        <is>
          <t>SÖDERHAMN</t>
        </is>
      </c>
      <c r="G12389" t="n">
        <v>2.1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26289-2025</t>
        </is>
      </c>
      <c r="B12390" s="1" t="n">
        <v>45805.62409722222</v>
      </c>
      <c r="C12390" s="1" t="n">
        <v>46086</v>
      </c>
      <c r="D12390" t="inlineStr">
        <is>
          <t>GÄVLEBORGS LÄN</t>
        </is>
      </c>
      <c r="E12390" t="inlineStr">
        <is>
          <t>BOLLNÄS</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26091-2025</t>
        </is>
      </c>
      <c r="B12391" s="1" t="n">
        <v>45805.34539351852</v>
      </c>
      <c r="C12391" s="1" t="n">
        <v>46086</v>
      </c>
      <c r="D12391" t="inlineStr">
        <is>
          <t>GÄVLEBORGS LÄN</t>
        </is>
      </c>
      <c r="E12391" t="inlineStr">
        <is>
          <t>LJUSDAL</t>
        </is>
      </c>
      <c r="F12391" t="inlineStr">
        <is>
          <t>SCA</t>
        </is>
      </c>
      <c r="G12391" t="n">
        <v>5.2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25987-2025</t>
        </is>
      </c>
      <c r="B12392" s="1" t="n">
        <v>45804.64680555555</v>
      </c>
      <c r="C12392" s="1" t="n">
        <v>46086</v>
      </c>
      <c r="D12392" t="inlineStr">
        <is>
          <t>GÄVLEBORGS LÄN</t>
        </is>
      </c>
      <c r="E12392" t="inlineStr">
        <is>
          <t>BOLLNÄS</t>
        </is>
      </c>
      <c r="F12392" t="inlineStr">
        <is>
          <t>Bergvik skog väst AB</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4142-2023</t>
        </is>
      </c>
      <c r="B12393" s="1" t="n">
        <v>44953</v>
      </c>
      <c r="C12393" s="1" t="n">
        <v>46086</v>
      </c>
      <c r="D12393" t="inlineStr">
        <is>
          <t>GÄVLEBORGS LÄN</t>
        </is>
      </c>
      <c r="E12393" t="inlineStr">
        <is>
          <t>NORDANSTIG</t>
        </is>
      </c>
      <c r="F12393" t="inlineStr">
        <is>
          <t>Holmen skog AB</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20016-2023</t>
        </is>
      </c>
      <c r="B12394" s="1" t="n">
        <v>45054.63719907407</v>
      </c>
      <c r="C12394" s="1" t="n">
        <v>46086</v>
      </c>
      <c r="D12394" t="inlineStr">
        <is>
          <t>GÄVLEBORGS LÄN</t>
        </is>
      </c>
      <c r="E12394" t="inlineStr">
        <is>
          <t>LJUSDAL</t>
        </is>
      </c>
      <c r="F12394" t="inlineStr">
        <is>
          <t>Kommuner</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26201-2025</t>
        </is>
      </c>
      <c r="B12395" s="1" t="n">
        <v>45805.50863425926</v>
      </c>
      <c r="C12395" s="1" t="n">
        <v>46086</v>
      </c>
      <c r="D12395" t="inlineStr">
        <is>
          <t>GÄVLEBORGS LÄN</t>
        </is>
      </c>
      <c r="E12395" t="inlineStr">
        <is>
          <t>SANDVIKEN</t>
        </is>
      </c>
      <c r="F12395" t="inlineStr">
        <is>
          <t>Sveaskog</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55319-2021</t>
        </is>
      </c>
      <c r="B12396" s="1" t="n">
        <v>44475</v>
      </c>
      <c r="C12396" s="1" t="n">
        <v>46086</v>
      </c>
      <c r="D12396" t="inlineStr">
        <is>
          <t>GÄVLEBORGS LÄN</t>
        </is>
      </c>
      <c r="E12396" t="inlineStr">
        <is>
          <t>HUDIKSVALL</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25756-2025</t>
        </is>
      </c>
      <c r="B12397" s="1" t="n">
        <v>45804.32913194445</v>
      </c>
      <c r="C12397" s="1" t="n">
        <v>46086</v>
      </c>
      <c r="D12397" t="inlineStr">
        <is>
          <t>GÄVLEBORGS LÄN</t>
        </is>
      </c>
      <c r="E12397" t="inlineStr">
        <is>
          <t>LJUSDAL</t>
        </is>
      </c>
      <c r="F12397" t="inlineStr">
        <is>
          <t>Holmen skog AB</t>
        </is>
      </c>
      <c r="G12397" t="n">
        <v>7.5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25740-2025</t>
        </is>
      </c>
      <c r="B12398" s="1" t="n">
        <v>45803.86391203704</v>
      </c>
      <c r="C12398" s="1" t="n">
        <v>46086</v>
      </c>
      <c r="D12398" t="inlineStr">
        <is>
          <t>GÄVLEBORGS LÄN</t>
        </is>
      </c>
      <c r="E12398" t="inlineStr">
        <is>
          <t>BOLLNÄS</t>
        </is>
      </c>
      <c r="G12398" t="n">
        <v>2.3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26062-2025</t>
        </is>
      </c>
      <c r="B12399" s="1" t="n">
        <v>45805.25457175926</v>
      </c>
      <c r="C12399" s="1" t="n">
        <v>46086</v>
      </c>
      <c r="D12399" t="inlineStr">
        <is>
          <t>GÄVLEBORGS LÄN</t>
        </is>
      </c>
      <c r="E12399" t="inlineStr">
        <is>
          <t>OVANÅKER</t>
        </is>
      </c>
      <c r="G12399" t="n">
        <v>3.5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25878-2025</t>
        </is>
      </c>
      <c r="B12400" s="1" t="n">
        <v>45804.49582175926</v>
      </c>
      <c r="C12400" s="1" t="n">
        <v>46086</v>
      </c>
      <c r="D12400" t="inlineStr">
        <is>
          <t>GÄVLEBORGS LÄN</t>
        </is>
      </c>
      <c r="E12400" t="inlineStr">
        <is>
          <t>GÄVLE</t>
        </is>
      </c>
      <c r="F12400" t="inlineStr">
        <is>
          <t>Bergvik skog öst AB</t>
        </is>
      </c>
      <c r="G12400" t="n">
        <v>0.4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25898-2025</t>
        </is>
      </c>
      <c r="B12401" s="1" t="n">
        <v>45804.54803240741</v>
      </c>
      <c r="C12401" s="1" t="n">
        <v>46086</v>
      </c>
      <c r="D12401" t="inlineStr">
        <is>
          <t>GÄVLEBORGS LÄN</t>
        </is>
      </c>
      <c r="E12401" t="inlineStr">
        <is>
          <t>LJUSDAL</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26187-2025</t>
        </is>
      </c>
      <c r="B12402" s="1" t="n">
        <v>45805.48078703704</v>
      </c>
      <c r="C12402" s="1" t="n">
        <v>46086</v>
      </c>
      <c r="D12402" t="inlineStr">
        <is>
          <t>GÄVLEBORGS LÄN</t>
        </is>
      </c>
      <c r="E12402" t="inlineStr">
        <is>
          <t>SÖDERHAMN</t>
        </is>
      </c>
      <c r="G12402" t="n">
        <v>2.4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26103-2025</t>
        </is>
      </c>
      <c r="B12403" s="1" t="n">
        <v>45805.35861111111</v>
      </c>
      <c r="C12403" s="1" t="n">
        <v>46086</v>
      </c>
      <c r="D12403" t="inlineStr">
        <is>
          <t>GÄVLEBORGS LÄN</t>
        </is>
      </c>
      <c r="E12403" t="inlineStr">
        <is>
          <t>LJUSDAL</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25828-2025</t>
        </is>
      </c>
      <c r="B12404" s="1" t="n">
        <v>45804.44484953704</v>
      </c>
      <c r="C12404" s="1" t="n">
        <v>46086</v>
      </c>
      <c r="D12404" t="inlineStr">
        <is>
          <t>GÄVLEBORGS LÄN</t>
        </is>
      </c>
      <c r="E12404" t="inlineStr">
        <is>
          <t>HUDIKSVALL</t>
        </is>
      </c>
      <c r="F12404" t="inlineStr">
        <is>
          <t>Holmen skog AB</t>
        </is>
      </c>
      <c r="G12404" t="n">
        <v>7.3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25884-2025</t>
        </is>
      </c>
      <c r="B12405" s="1" t="n">
        <v>45804.50662037037</v>
      </c>
      <c r="C12405" s="1" t="n">
        <v>46086</v>
      </c>
      <c r="D12405" t="inlineStr">
        <is>
          <t>GÄVLEBORGS LÄN</t>
        </is>
      </c>
      <c r="E12405" t="inlineStr">
        <is>
          <t>LJUSDAL</t>
        </is>
      </c>
      <c r="F12405" t="inlineStr">
        <is>
          <t>Holmen skog AB</t>
        </is>
      </c>
      <c r="G12405" t="n">
        <v>11.4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26203-2025</t>
        </is>
      </c>
      <c r="B12406" s="1" t="n">
        <v>45805.50974537037</v>
      </c>
      <c r="C12406" s="1" t="n">
        <v>46086</v>
      </c>
      <c r="D12406" t="inlineStr">
        <is>
          <t>GÄVLEBORGS LÄN</t>
        </is>
      </c>
      <c r="E12406" t="inlineStr">
        <is>
          <t>SANDVIKEN</t>
        </is>
      </c>
      <c r="F12406" t="inlineStr">
        <is>
          <t>Sveaskog</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26402-2025</t>
        </is>
      </c>
      <c r="B12407" s="1" t="n">
        <v>45807.3384375</v>
      </c>
      <c r="C12407" s="1" t="n">
        <v>46086</v>
      </c>
      <c r="D12407" t="inlineStr">
        <is>
          <t>GÄVLEBORGS LÄN</t>
        </is>
      </c>
      <c r="E12407" t="inlineStr">
        <is>
          <t>HUDIKSVALL</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26557-2025</t>
        </is>
      </c>
      <c r="B12408" s="1" t="n">
        <v>45807.62958333334</v>
      </c>
      <c r="C12408" s="1" t="n">
        <v>46086</v>
      </c>
      <c r="D12408" t="inlineStr">
        <is>
          <t>GÄVLEBORGS LÄN</t>
        </is>
      </c>
      <c r="E12408" t="inlineStr">
        <is>
          <t>LJUSDAL</t>
        </is>
      </c>
      <c r="G12408" t="n">
        <v>4.4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26538-2025</t>
        </is>
      </c>
      <c r="B12409" s="1" t="n">
        <v>45807.57506944444</v>
      </c>
      <c r="C12409" s="1" t="n">
        <v>46086</v>
      </c>
      <c r="D12409" t="inlineStr">
        <is>
          <t>GÄVLEBORGS LÄN</t>
        </is>
      </c>
      <c r="E12409" t="inlineStr">
        <is>
          <t>LJUSDAL</t>
        </is>
      </c>
      <c r="G12409" t="n">
        <v>10.5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26403-2025</t>
        </is>
      </c>
      <c r="B12410" s="1" t="n">
        <v>45807.33965277778</v>
      </c>
      <c r="C12410" s="1" t="n">
        <v>46086</v>
      </c>
      <c r="D12410" t="inlineStr">
        <is>
          <t>GÄVLEBORGS LÄN</t>
        </is>
      </c>
      <c r="E12410" t="inlineStr">
        <is>
          <t>HUDIKSVALL</t>
        </is>
      </c>
      <c r="G12410" t="n">
        <v>1</v>
      </c>
      <c r="H12410" t="n">
        <v>0</v>
      </c>
      <c r="I12410" t="n">
        <v>0</v>
      </c>
      <c r="J12410" t="n">
        <v>0</v>
      </c>
      <c r="K12410" t="n">
        <v>0</v>
      </c>
      <c r="L12410" t="n">
        <v>0</v>
      </c>
      <c r="M12410" t="n">
        <v>0</v>
      </c>
      <c r="N12410" t="n">
        <v>0</v>
      </c>
      <c r="O12410" t="n">
        <v>0</v>
      </c>
      <c r="P12410" t="n">
        <v>0</v>
      </c>
      <c r="Q12410" t="n">
        <v>0</v>
      </c>
      <c r="R12410" s="2" t="inlineStr"/>
    </row>
    <row r="12411">
      <c r="A12411" t="inlineStr">
        <is>
          <t>A 34128-2024</t>
        </is>
      </c>
      <c r="B12411" s="1" t="n">
        <v>45524.34494212963</v>
      </c>
      <c r="C12411" s="1" t="n">
        <v>46086</v>
      </c>
      <c r="D12411" t="inlineStr">
        <is>
          <t>GÄVLEBORGS LÄN</t>
        </is>
      </c>
      <c r="E12411" t="inlineStr">
        <is>
          <t>HUDIKSVALL</t>
        </is>
      </c>
      <c r="F12411" t="inlineStr">
        <is>
          <t>Holmen skog AB</t>
        </is>
      </c>
      <c r="G12411" t="n">
        <v>5</v>
      </c>
      <c r="H12411" t="n">
        <v>0</v>
      </c>
      <c r="I12411" t="n">
        <v>0</v>
      </c>
      <c r="J12411" t="n">
        <v>0</v>
      </c>
      <c r="K12411" t="n">
        <v>0</v>
      </c>
      <c r="L12411" t="n">
        <v>0</v>
      </c>
      <c r="M12411" t="n">
        <v>0</v>
      </c>
      <c r="N12411" t="n">
        <v>0</v>
      </c>
      <c r="O12411" t="n">
        <v>0</v>
      </c>
      <c r="P12411" t="n">
        <v>0</v>
      </c>
      <c r="Q12411" t="n">
        <v>0</v>
      </c>
      <c r="R12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2026-03-05T11:15:51Z</dcterms:created>
  <dcterms:modified xmlns:dcterms="http://purl.org/dc/terms/" xmlns:xsi="http://www.w3.org/2001/XMLSchema-instance" xsi:type="dcterms:W3CDTF">2026-03-05T11:16:02Z</dcterms:modified>
</cp:coreProperties>
</file>