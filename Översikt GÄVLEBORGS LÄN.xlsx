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45363</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45363</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45363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45363</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45363</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45363</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45363</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45363</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45363</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45363</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45363</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45363</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45363</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45363</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45363</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45363</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45363</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45363</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45363</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45363</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45363</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45363</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45363</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45363</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45363</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45363</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45363</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45363</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45363</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45363</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45363</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45363</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45363</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45363</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45363</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45363</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45363</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45363</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45363</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45363</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45363</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45363</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45363</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45363</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45363</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45363</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45363</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45363</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45363</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45363</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45363</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45363</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45363</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45363</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45363</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45363</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45363</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45363</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45363</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45363</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45363</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45363</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45363</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45363</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45363</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45363</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45363</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45363</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45363</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45363</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45363</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1915-2019</t>
        </is>
      </c>
      <c r="B75" s="1" t="n">
        <v>43475</v>
      </c>
      <c r="C75" s="1" t="n">
        <v>45363</v>
      </c>
      <c r="D75" t="inlineStr">
        <is>
          <t>GÄVLEBORGS LÄN</t>
        </is>
      </c>
      <c r="E75" t="inlineStr">
        <is>
          <t>HUDIKSVALL</t>
        </is>
      </c>
      <c r="G75" t="n">
        <v>11.2</v>
      </c>
      <c r="H75" t="n">
        <v>0</v>
      </c>
      <c r="I75" t="n">
        <v>1</v>
      </c>
      <c r="J75" t="n">
        <v>4</v>
      </c>
      <c r="K75" t="n">
        <v>0</v>
      </c>
      <c r="L75" t="n">
        <v>0</v>
      </c>
      <c r="M75" t="n">
        <v>0</v>
      </c>
      <c r="N75" t="n">
        <v>0</v>
      </c>
      <c r="O75" t="n">
        <v>4</v>
      </c>
      <c r="P75" t="n">
        <v>0</v>
      </c>
      <c r="Q75" t="n">
        <v>5</v>
      </c>
      <c r="R75" s="2" t="inlineStr">
        <is>
          <t>Garnlav
Lunglav
Ullticka
Violettgrå tagellav
Thomsons trägnagare</t>
        </is>
      </c>
      <c r="S75">
        <f>HYPERLINK("https://klasma.github.io/Logging_2184/artfynd/A 1915-2019 artfynd.xlsx", "A 1915-2019")</f>
        <v/>
      </c>
      <c r="T75">
        <f>HYPERLINK("https://klasma.github.io/Logging_2184/kartor/A 1915-2019 karta.png", "A 1915-2019")</f>
        <v/>
      </c>
      <c r="V75">
        <f>HYPERLINK("https://klasma.github.io/Logging_2184/klagomål/A 1915-2019 FSC-klagomål.docx", "A 1915-2019")</f>
        <v/>
      </c>
      <c r="W75">
        <f>HYPERLINK("https://klasma.github.io/Logging_2184/klagomålsmail/A 1915-2019 FSC-klagomål mail.docx", "A 1915-2019")</f>
        <v/>
      </c>
      <c r="X75">
        <f>HYPERLINK("https://klasma.github.io/Logging_2184/tillsyn/A 1915-2019 tillsynsbegäran.docx", "A 1915-2019")</f>
        <v/>
      </c>
      <c r="Y75">
        <f>HYPERLINK("https://klasma.github.io/Logging_2184/tillsynsmail/A 1915-2019 tillsynsbegäran mail.docx", "A 1915-2019")</f>
        <v/>
      </c>
    </row>
    <row r="76" ht="15" customHeight="1">
      <c r="A76" t="inlineStr">
        <is>
          <t>A 5644-2019</t>
        </is>
      </c>
      <c r="B76" s="1" t="n">
        <v>43489</v>
      </c>
      <c r="C76" s="1" t="n">
        <v>45363</v>
      </c>
      <c r="D76" t="inlineStr">
        <is>
          <t>GÄVLEBORGS LÄN</t>
        </is>
      </c>
      <c r="E76" t="inlineStr">
        <is>
          <t>HUDIKSVALL</t>
        </is>
      </c>
      <c r="G76" t="n">
        <v>5.3</v>
      </c>
      <c r="H76" t="n">
        <v>3</v>
      </c>
      <c r="I76" t="n">
        <v>3</v>
      </c>
      <c r="J76" t="n">
        <v>0</v>
      </c>
      <c r="K76" t="n">
        <v>0</v>
      </c>
      <c r="L76" t="n">
        <v>0</v>
      </c>
      <c r="M76" t="n">
        <v>0</v>
      </c>
      <c r="N76" t="n">
        <v>0</v>
      </c>
      <c r="O76" t="n">
        <v>0</v>
      </c>
      <c r="P76" t="n">
        <v>0</v>
      </c>
      <c r="Q76" t="n">
        <v>5</v>
      </c>
      <c r="R76" s="2" t="inlineStr">
        <is>
          <t>Korallrot
Strutbräken
Ögonpyrola
Lopplummer
Revlummer</t>
        </is>
      </c>
      <c r="S76">
        <f>HYPERLINK("https://klasma.github.io/Logging_2184/artfynd/A 5644-2019 artfynd.xlsx", "A 5644-2019")</f>
        <v/>
      </c>
      <c r="T76">
        <f>HYPERLINK("https://klasma.github.io/Logging_2184/kartor/A 5644-2019 karta.png", "A 5644-2019")</f>
        <v/>
      </c>
      <c r="V76">
        <f>HYPERLINK("https://klasma.github.io/Logging_2184/klagomål/A 5644-2019 FSC-klagomål.docx", "A 5644-2019")</f>
        <v/>
      </c>
      <c r="W76">
        <f>HYPERLINK("https://klasma.github.io/Logging_2184/klagomålsmail/A 5644-2019 FSC-klagomål mail.docx", "A 5644-2019")</f>
        <v/>
      </c>
      <c r="X76">
        <f>HYPERLINK("https://klasma.github.io/Logging_2184/tillsyn/A 5644-2019 tillsynsbegäran.docx", "A 5644-2019")</f>
        <v/>
      </c>
      <c r="Y76">
        <f>HYPERLINK("https://klasma.github.io/Logging_2184/tillsynsmail/A 5644-2019 tillsynsbegäran mail.docx", "A 5644-2019")</f>
        <v/>
      </c>
    </row>
    <row r="77" ht="15" customHeight="1">
      <c r="A77" t="inlineStr">
        <is>
          <t>A 22996-2019</t>
        </is>
      </c>
      <c r="B77" s="1" t="n">
        <v>43591</v>
      </c>
      <c r="C77" s="1" t="n">
        <v>45363</v>
      </c>
      <c r="D77" t="inlineStr">
        <is>
          <t>GÄVLEBORGS LÄN</t>
        </is>
      </c>
      <c r="E77" t="inlineStr">
        <is>
          <t>NORDANSTIG</t>
        </is>
      </c>
      <c r="G77" t="n">
        <v>11.1</v>
      </c>
      <c r="H77" t="n">
        <v>0</v>
      </c>
      <c r="I77" t="n">
        <v>3</v>
      </c>
      <c r="J77" t="n">
        <v>2</v>
      </c>
      <c r="K77" t="n">
        <v>0</v>
      </c>
      <c r="L77" t="n">
        <v>0</v>
      </c>
      <c r="M77" t="n">
        <v>0</v>
      </c>
      <c r="N77" t="n">
        <v>0</v>
      </c>
      <c r="O77" t="n">
        <v>2</v>
      </c>
      <c r="P77" t="n">
        <v>0</v>
      </c>
      <c r="Q77" t="n">
        <v>5</v>
      </c>
      <c r="R77" s="2" t="inlineStr">
        <is>
          <t>Lunglav
Violettgrå tagellav
Korallblylav
Sotriska
Stuplav</t>
        </is>
      </c>
      <c r="S77">
        <f>HYPERLINK("https://klasma.github.io/Logging_2132/artfynd/A 22996-2019 artfynd.xlsx", "A 22996-2019")</f>
        <v/>
      </c>
      <c r="T77">
        <f>HYPERLINK("https://klasma.github.io/Logging_2132/kartor/A 22996-2019 karta.png", "A 22996-2019")</f>
        <v/>
      </c>
      <c r="V77">
        <f>HYPERLINK("https://klasma.github.io/Logging_2132/klagomål/A 22996-2019 FSC-klagomål.docx", "A 22996-2019")</f>
        <v/>
      </c>
      <c r="W77">
        <f>HYPERLINK("https://klasma.github.io/Logging_2132/klagomålsmail/A 22996-2019 FSC-klagomål mail.docx", "A 22996-2019")</f>
        <v/>
      </c>
      <c r="X77">
        <f>HYPERLINK("https://klasma.github.io/Logging_2132/tillsyn/A 22996-2019 tillsynsbegäran.docx", "A 22996-2019")</f>
        <v/>
      </c>
      <c r="Y77">
        <f>HYPERLINK("https://klasma.github.io/Logging_2132/tillsynsmail/A 22996-2019 tillsynsbegäran mail.docx", "A 22996-2019")</f>
        <v/>
      </c>
    </row>
    <row r="78" ht="15" customHeight="1">
      <c r="A78" t="inlineStr">
        <is>
          <t>A 44518-2019</t>
        </is>
      </c>
      <c r="B78" s="1" t="n">
        <v>43711</v>
      </c>
      <c r="C78" s="1" t="n">
        <v>45363</v>
      </c>
      <c r="D78" t="inlineStr">
        <is>
          <t>GÄVLEBORGS LÄN</t>
        </is>
      </c>
      <c r="E78" t="inlineStr">
        <is>
          <t>LJUSDAL</t>
        </is>
      </c>
      <c r="F78" t="inlineStr">
        <is>
          <t>Sveaskog</t>
        </is>
      </c>
      <c r="G78" t="n">
        <v>10.4</v>
      </c>
      <c r="H78" t="n">
        <v>2</v>
      </c>
      <c r="I78" t="n">
        <v>0</v>
      </c>
      <c r="J78" t="n">
        <v>3</v>
      </c>
      <c r="K78" t="n">
        <v>0</v>
      </c>
      <c r="L78" t="n">
        <v>0</v>
      </c>
      <c r="M78" t="n">
        <v>0</v>
      </c>
      <c r="N78" t="n">
        <v>0</v>
      </c>
      <c r="O78" t="n">
        <v>3</v>
      </c>
      <c r="P78" t="n">
        <v>0</v>
      </c>
      <c r="Q78" t="n">
        <v>5</v>
      </c>
      <c r="R78" s="2" t="inlineStr">
        <is>
          <t>Garnlav
Kolflarnlav
Mörk kolflarnlav
Fläcknycklar
Revlummer</t>
        </is>
      </c>
      <c r="S78">
        <f>HYPERLINK("https://klasma.github.io/Logging_2161/artfynd/A 44518-2019 artfynd.xlsx", "A 44518-2019")</f>
        <v/>
      </c>
      <c r="T78">
        <f>HYPERLINK("https://klasma.github.io/Logging_2161/kartor/A 44518-2019 karta.png", "A 44518-2019")</f>
        <v/>
      </c>
      <c r="V78">
        <f>HYPERLINK("https://klasma.github.io/Logging_2161/klagomål/A 44518-2019 FSC-klagomål.docx", "A 44518-2019")</f>
        <v/>
      </c>
      <c r="W78">
        <f>HYPERLINK("https://klasma.github.io/Logging_2161/klagomålsmail/A 44518-2019 FSC-klagomål mail.docx", "A 44518-2019")</f>
        <v/>
      </c>
      <c r="X78">
        <f>HYPERLINK("https://klasma.github.io/Logging_2161/tillsyn/A 44518-2019 tillsynsbegäran.docx", "A 44518-2019")</f>
        <v/>
      </c>
      <c r="Y78">
        <f>HYPERLINK("https://klasma.github.io/Logging_2161/tillsynsmail/A 44518-2019 tillsynsbegäran mail.docx", "A 44518-2019")</f>
        <v/>
      </c>
    </row>
    <row r="79" ht="15" customHeight="1">
      <c r="A79" t="inlineStr">
        <is>
          <t>A 45009-2019</t>
        </is>
      </c>
      <c r="B79" s="1" t="n">
        <v>43713</v>
      </c>
      <c r="C79" s="1" t="n">
        <v>45363</v>
      </c>
      <c r="D79" t="inlineStr">
        <is>
          <t>GÄVLEBORGS LÄN</t>
        </is>
      </c>
      <c r="E79" t="inlineStr">
        <is>
          <t>OVANÅKER</t>
        </is>
      </c>
      <c r="F79" t="inlineStr">
        <is>
          <t>Sveaskog</t>
        </is>
      </c>
      <c r="G79" t="n">
        <v>4.7</v>
      </c>
      <c r="H79" t="n">
        <v>4</v>
      </c>
      <c r="I79" t="n">
        <v>2</v>
      </c>
      <c r="J79" t="n">
        <v>2</v>
      </c>
      <c r="K79" t="n">
        <v>1</v>
      </c>
      <c r="L79" t="n">
        <v>0</v>
      </c>
      <c r="M79" t="n">
        <v>0</v>
      </c>
      <c r="N79" t="n">
        <v>0</v>
      </c>
      <c r="O79" t="n">
        <v>3</v>
      </c>
      <c r="P79" t="n">
        <v>1</v>
      </c>
      <c r="Q79" t="n">
        <v>5</v>
      </c>
      <c r="R79" s="2" t="inlineStr">
        <is>
          <t>Knärot
Lunglav
Talltita
Korallrot
Spindelblomster</t>
        </is>
      </c>
      <c r="S79">
        <f>HYPERLINK("https://klasma.github.io/Logging_2121/artfynd/A 45009-2019 artfynd.xlsx", "A 45009-2019")</f>
        <v/>
      </c>
      <c r="T79">
        <f>HYPERLINK("https://klasma.github.io/Logging_2121/kartor/A 45009-2019 karta.png", "A 45009-2019")</f>
        <v/>
      </c>
      <c r="U79">
        <f>HYPERLINK("https://klasma.github.io/Logging_2121/knärot/A 45009-2019 karta knärot.png", "A 45009-2019")</f>
        <v/>
      </c>
      <c r="V79">
        <f>HYPERLINK("https://klasma.github.io/Logging_2121/klagomål/A 45009-2019 FSC-klagomål.docx", "A 45009-2019")</f>
        <v/>
      </c>
      <c r="W79">
        <f>HYPERLINK("https://klasma.github.io/Logging_2121/klagomålsmail/A 45009-2019 FSC-klagomål mail.docx", "A 45009-2019")</f>
        <v/>
      </c>
      <c r="X79">
        <f>HYPERLINK("https://klasma.github.io/Logging_2121/tillsyn/A 45009-2019 tillsynsbegäran.docx", "A 45009-2019")</f>
        <v/>
      </c>
      <c r="Y79">
        <f>HYPERLINK("https://klasma.github.io/Logging_2121/tillsynsmail/A 45009-2019 tillsynsbegäran mail.docx", "A 45009-2019")</f>
        <v/>
      </c>
      <c r="Z79">
        <f>HYPERLINK("https://klasma.github.io/Logging_2121/fåglar/A 45009-2019 prioriterade fågelarter.docx", "A 45009-2019")</f>
        <v/>
      </c>
    </row>
    <row r="80" ht="15" customHeight="1">
      <c r="A80" t="inlineStr">
        <is>
          <t>A 65976-2019</t>
        </is>
      </c>
      <c r="B80" s="1" t="n">
        <v>43805</v>
      </c>
      <c r="C80" s="1" t="n">
        <v>45363</v>
      </c>
      <c r="D80" t="inlineStr">
        <is>
          <t>GÄVLEBORGS LÄN</t>
        </is>
      </c>
      <c r="E80" t="inlineStr">
        <is>
          <t>SÖDERHAMN</t>
        </is>
      </c>
      <c r="G80" t="n">
        <v>1.8</v>
      </c>
      <c r="H80" t="n">
        <v>0</v>
      </c>
      <c r="I80" t="n">
        <v>1</v>
      </c>
      <c r="J80" t="n">
        <v>3</v>
      </c>
      <c r="K80" t="n">
        <v>1</v>
      </c>
      <c r="L80" t="n">
        <v>0</v>
      </c>
      <c r="M80" t="n">
        <v>0</v>
      </c>
      <c r="N80" t="n">
        <v>0</v>
      </c>
      <c r="O80" t="n">
        <v>4</v>
      </c>
      <c r="P80" t="n">
        <v>1</v>
      </c>
      <c r="Q80" t="n">
        <v>5</v>
      </c>
      <c r="R80" s="2" t="inlineStr">
        <is>
          <t>Violgubbe
Gul taggsvamp
Kandelabersvamp
Koralltaggsvamp
Skarp dropptaggsvamp</t>
        </is>
      </c>
      <c r="S80">
        <f>HYPERLINK("https://klasma.github.io/Logging_2182/artfynd/A 65976-2019 artfynd.xlsx", "A 65976-2019")</f>
        <v/>
      </c>
      <c r="T80">
        <f>HYPERLINK("https://klasma.github.io/Logging_2182/kartor/A 65976-2019 karta.png", "A 65976-2019")</f>
        <v/>
      </c>
      <c r="V80">
        <f>HYPERLINK("https://klasma.github.io/Logging_2182/klagomål/A 65976-2019 FSC-klagomål.docx", "A 65976-2019")</f>
        <v/>
      </c>
      <c r="W80">
        <f>HYPERLINK("https://klasma.github.io/Logging_2182/klagomålsmail/A 65976-2019 FSC-klagomål mail.docx", "A 65976-2019")</f>
        <v/>
      </c>
      <c r="X80">
        <f>HYPERLINK("https://klasma.github.io/Logging_2182/tillsyn/A 65976-2019 tillsynsbegäran.docx", "A 65976-2019")</f>
        <v/>
      </c>
      <c r="Y80">
        <f>HYPERLINK("https://klasma.github.io/Logging_2182/tillsynsmail/A 65976-2019 tillsynsbegäran mail.docx", "A 65976-2019")</f>
        <v/>
      </c>
    </row>
    <row r="81" ht="15" customHeight="1">
      <c r="A81" t="inlineStr">
        <is>
          <t>A 67329-2019</t>
        </is>
      </c>
      <c r="B81" s="1" t="n">
        <v>43812</v>
      </c>
      <c r="C81" s="1" t="n">
        <v>45363</v>
      </c>
      <c r="D81" t="inlineStr">
        <is>
          <t>GÄVLEBORGS LÄN</t>
        </is>
      </c>
      <c r="E81" t="inlineStr">
        <is>
          <t>GÄVLE</t>
        </is>
      </c>
      <c r="F81" t="inlineStr">
        <is>
          <t>Kommuner</t>
        </is>
      </c>
      <c r="G81" t="n">
        <v>16.5</v>
      </c>
      <c r="H81" t="n">
        <v>2</v>
      </c>
      <c r="I81" t="n">
        <v>3</v>
      </c>
      <c r="J81" t="n">
        <v>0</v>
      </c>
      <c r="K81" t="n">
        <v>1</v>
      </c>
      <c r="L81" t="n">
        <v>0</v>
      </c>
      <c r="M81" t="n">
        <v>0</v>
      </c>
      <c r="N81" t="n">
        <v>0</v>
      </c>
      <c r="O81" t="n">
        <v>1</v>
      </c>
      <c r="P81" t="n">
        <v>1</v>
      </c>
      <c r="Q81" t="n">
        <v>5</v>
      </c>
      <c r="R81" s="2" t="inlineStr">
        <is>
          <t>Knärot
Blodticka
Brandticka
Rödgul trumpetsvamp
Blåsippa</t>
        </is>
      </c>
      <c r="S81">
        <f>HYPERLINK("https://klasma.github.io/Logging_2180/artfynd/A 67329-2019 artfynd.xlsx", "A 67329-2019")</f>
        <v/>
      </c>
      <c r="T81">
        <f>HYPERLINK("https://klasma.github.io/Logging_2180/kartor/A 67329-2019 karta.png", "A 67329-2019")</f>
        <v/>
      </c>
      <c r="U81">
        <f>HYPERLINK("https://klasma.github.io/Logging_2180/knärot/A 67329-2019 karta knärot.png", "A 67329-2019")</f>
        <v/>
      </c>
      <c r="V81">
        <f>HYPERLINK("https://klasma.github.io/Logging_2180/klagomål/A 67329-2019 FSC-klagomål.docx", "A 67329-2019")</f>
        <v/>
      </c>
      <c r="W81">
        <f>HYPERLINK("https://klasma.github.io/Logging_2180/klagomålsmail/A 67329-2019 FSC-klagomål mail.docx", "A 67329-2019")</f>
        <v/>
      </c>
      <c r="X81">
        <f>HYPERLINK("https://klasma.github.io/Logging_2180/tillsyn/A 67329-2019 tillsynsbegäran.docx", "A 67329-2019")</f>
        <v/>
      </c>
      <c r="Y81">
        <f>HYPERLINK("https://klasma.github.io/Logging_2180/tillsynsmail/A 67329-2019 tillsynsbegäran mail.docx", "A 67329-2019")</f>
        <v/>
      </c>
    </row>
    <row r="82" ht="15" customHeight="1">
      <c r="A82" t="inlineStr">
        <is>
          <t>A 27617-2020</t>
        </is>
      </c>
      <c r="B82" s="1" t="n">
        <v>43993</v>
      </c>
      <c r="C82" s="1" t="n">
        <v>45363</v>
      </c>
      <c r="D82" t="inlineStr">
        <is>
          <t>GÄVLEBORGS LÄN</t>
        </is>
      </c>
      <c r="E82" t="inlineStr">
        <is>
          <t>BOLLNÄS</t>
        </is>
      </c>
      <c r="G82" t="n">
        <v>3.6</v>
      </c>
      <c r="H82" t="n">
        <v>1</v>
      </c>
      <c r="I82" t="n">
        <v>2</v>
      </c>
      <c r="J82" t="n">
        <v>1</v>
      </c>
      <c r="K82" t="n">
        <v>0</v>
      </c>
      <c r="L82" t="n">
        <v>2</v>
      </c>
      <c r="M82" t="n">
        <v>0</v>
      </c>
      <c r="N82" t="n">
        <v>0</v>
      </c>
      <c r="O82" t="n">
        <v>3</v>
      </c>
      <c r="P82" t="n">
        <v>2</v>
      </c>
      <c r="Q82" t="n">
        <v>5</v>
      </c>
      <c r="R82" s="2" t="inlineStr">
        <is>
          <t>Bredgentiana
Fältgentiana
Scharlakansvaxskivling
Blodvaxskivling
Ängsvaxskivling</t>
        </is>
      </c>
      <c r="S82">
        <f>HYPERLINK("https://klasma.github.io/Logging_2183/artfynd/A 27617-2020 artfynd.xlsx", "A 27617-2020")</f>
        <v/>
      </c>
      <c r="T82">
        <f>HYPERLINK("https://klasma.github.io/Logging_2183/kartor/A 27617-2020 karta.png", "A 27617-2020")</f>
        <v/>
      </c>
      <c r="V82">
        <f>HYPERLINK("https://klasma.github.io/Logging_2183/klagomål/A 27617-2020 FSC-klagomål.docx", "A 27617-2020")</f>
        <v/>
      </c>
      <c r="W82">
        <f>HYPERLINK("https://klasma.github.io/Logging_2183/klagomålsmail/A 27617-2020 FSC-klagomål mail.docx", "A 27617-2020")</f>
        <v/>
      </c>
      <c r="X82">
        <f>HYPERLINK("https://klasma.github.io/Logging_2183/tillsyn/A 27617-2020 tillsynsbegäran.docx", "A 27617-2020")</f>
        <v/>
      </c>
      <c r="Y82">
        <f>HYPERLINK("https://klasma.github.io/Logging_2183/tillsynsmail/A 27617-2020 tillsynsbegäran mail.docx", "A 27617-2020")</f>
        <v/>
      </c>
    </row>
    <row r="83" ht="15" customHeight="1">
      <c r="A83" t="inlineStr">
        <is>
          <t>A 59346-2020</t>
        </is>
      </c>
      <c r="B83" s="1" t="n">
        <v>44148</v>
      </c>
      <c r="C83" s="1" t="n">
        <v>45363</v>
      </c>
      <c r="D83" t="inlineStr">
        <is>
          <t>GÄVLEBORGS LÄN</t>
        </is>
      </c>
      <c r="E83" t="inlineStr">
        <is>
          <t>LJUSDAL</t>
        </is>
      </c>
      <c r="F83" t="inlineStr">
        <is>
          <t>Sveaskog</t>
        </is>
      </c>
      <c r="G83" t="n">
        <v>10.8</v>
      </c>
      <c r="H83" t="n">
        <v>1</v>
      </c>
      <c r="I83" t="n">
        <v>2</v>
      </c>
      <c r="J83" t="n">
        <v>2</v>
      </c>
      <c r="K83" t="n">
        <v>1</v>
      </c>
      <c r="L83" t="n">
        <v>0</v>
      </c>
      <c r="M83" t="n">
        <v>0</v>
      </c>
      <c r="N83" t="n">
        <v>0</v>
      </c>
      <c r="O83" t="n">
        <v>3</v>
      </c>
      <c r="P83" t="n">
        <v>1</v>
      </c>
      <c r="Q83" t="n">
        <v>5</v>
      </c>
      <c r="R83" s="2" t="inlineStr">
        <is>
          <t>Knärot
Blå taggsvamp
Lunglav
Dropptaggsvamp
Zontaggsvamp</t>
        </is>
      </c>
      <c r="S83">
        <f>HYPERLINK("https://klasma.github.io/Logging_2161/artfynd/A 59346-2020 artfynd.xlsx", "A 59346-2020")</f>
        <v/>
      </c>
      <c r="T83">
        <f>HYPERLINK("https://klasma.github.io/Logging_2161/kartor/A 59346-2020 karta.png", "A 59346-2020")</f>
        <v/>
      </c>
      <c r="U83">
        <f>HYPERLINK("https://klasma.github.io/Logging_2161/knärot/A 59346-2020 karta knärot.png", "A 59346-2020")</f>
        <v/>
      </c>
      <c r="V83">
        <f>HYPERLINK("https://klasma.github.io/Logging_2161/klagomål/A 59346-2020 FSC-klagomål.docx", "A 59346-2020")</f>
        <v/>
      </c>
      <c r="W83">
        <f>HYPERLINK("https://klasma.github.io/Logging_2161/klagomålsmail/A 59346-2020 FSC-klagomål mail.docx", "A 59346-2020")</f>
        <v/>
      </c>
      <c r="X83">
        <f>HYPERLINK("https://klasma.github.io/Logging_2161/tillsyn/A 59346-2020 tillsynsbegäran.docx", "A 59346-2020")</f>
        <v/>
      </c>
      <c r="Y83">
        <f>HYPERLINK("https://klasma.github.io/Logging_2161/tillsynsmail/A 59346-2020 tillsynsbegäran mail.docx", "A 59346-2020")</f>
        <v/>
      </c>
    </row>
    <row r="84" ht="15" customHeight="1">
      <c r="A84" t="inlineStr">
        <is>
          <t>A 68600-2020</t>
        </is>
      </c>
      <c r="B84" s="1" t="n">
        <v>44186</v>
      </c>
      <c r="C84" s="1" t="n">
        <v>45363</v>
      </c>
      <c r="D84" t="inlineStr">
        <is>
          <t>GÄVLEBORGS LÄN</t>
        </is>
      </c>
      <c r="E84" t="inlineStr">
        <is>
          <t>HUDIKSVALL</t>
        </is>
      </c>
      <c r="F84" t="inlineStr">
        <is>
          <t>Kommuner</t>
        </is>
      </c>
      <c r="G84" t="n">
        <v>4.6</v>
      </c>
      <c r="H84" t="n">
        <v>1</v>
      </c>
      <c r="I84" t="n">
        <v>0</v>
      </c>
      <c r="J84" t="n">
        <v>4</v>
      </c>
      <c r="K84" t="n">
        <v>1</v>
      </c>
      <c r="L84" t="n">
        <v>0</v>
      </c>
      <c r="M84" t="n">
        <v>0</v>
      </c>
      <c r="N84" t="n">
        <v>0</v>
      </c>
      <c r="O84" t="n">
        <v>5</v>
      </c>
      <c r="P84" t="n">
        <v>1</v>
      </c>
      <c r="Q84" t="n">
        <v>5</v>
      </c>
      <c r="R84" s="2" t="inlineStr">
        <is>
          <t>Sprickporing
Garnlav
Grönsångare
Rosenticka
Ullticka</t>
        </is>
      </c>
      <c r="S84">
        <f>HYPERLINK("https://klasma.github.io/Logging_2184/artfynd/A 68600-2020 artfynd.xlsx", "A 68600-2020")</f>
        <v/>
      </c>
      <c r="T84">
        <f>HYPERLINK("https://klasma.github.io/Logging_2184/kartor/A 68600-2020 karta.png", "A 68600-2020")</f>
        <v/>
      </c>
      <c r="V84">
        <f>HYPERLINK("https://klasma.github.io/Logging_2184/klagomål/A 68600-2020 FSC-klagomål.docx", "A 68600-2020")</f>
        <v/>
      </c>
      <c r="W84">
        <f>HYPERLINK("https://klasma.github.io/Logging_2184/klagomålsmail/A 68600-2020 FSC-klagomål mail.docx", "A 68600-2020")</f>
        <v/>
      </c>
      <c r="X84">
        <f>HYPERLINK("https://klasma.github.io/Logging_2184/tillsyn/A 68600-2020 tillsynsbegäran.docx", "A 68600-2020")</f>
        <v/>
      </c>
      <c r="Y84">
        <f>HYPERLINK("https://klasma.github.io/Logging_2184/tillsynsmail/A 68600-2020 tillsynsbegäran mail.docx", "A 68600-2020")</f>
        <v/>
      </c>
      <c r="Z84">
        <f>HYPERLINK("https://klasma.github.io/Logging_2184/fåglar/A 68600-2020 prioriterade fågelarter.docx", "A 68600-2020")</f>
        <v/>
      </c>
    </row>
    <row r="85" ht="15" customHeight="1">
      <c r="A85" t="inlineStr">
        <is>
          <t>A 49036-2021</t>
        </is>
      </c>
      <c r="B85" s="1" t="n">
        <v>44453</v>
      </c>
      <c r="C85" s="1" t="n">
        <v>45363</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69018-2021</t>
        </is>
      </c>
      <c r="B86" s="1" t="n">
        <v>44530</v>
      </c>
      <c r="C86" s="1" t="n">
        <v>45363</v>
      </c>
      <c r="D86" t="inlineStr">
        <is>
          <t>GÄVLEBORGS LÄN</t>
        </is>
      </c>
      <c r="E86" t="inlineStr">
        <is>
          <t>LJUSDAL</t>
        </is>
      </c>
      <c r="G86" t="n">
        <v>3.3</v>
      </c>
      <c r="H86" t="n">
        <v>2</v>
      </c>
      <c r="I86" t="n">
        <v>1</v>
      </c>
      <c r="J86" t="n">
        <v>2</v>
      </c>
      <c r="K86" t="n">
        <v>1</v>
      </c>
      <c r="L86" t="n">
        <v>0</v>
      </c>
      <c r="M86" t="n">
        <v>0</v>
      </c>
      <c r="N86" t="n">
        <v>0</v>
      </c>
      <c r="O86" t="n">
        <v>3</v>
      </c>
      <c r="P86" t="n">
        <v>1</v>
      </c>
      <c r="Q86" t="n">
        <v>5</v>
      </c>
      <c r="R86" s="2" t="inlineStr">
        <is>
          <t>Knärot
Gammelgransskål
Garnlav
Bårdlav
Revlummer</t>
        </is>
      </c>
      <c r="S86">
        <f>HYPERLINK("https://klasma.github.io/Logging_2161/artfynd/A 69018-2021 artfynd.xlsx", "A 69018-2021")</f>
        <v/>
      </c>
      <c r="T86">
        <f>HYPERLINK("https://klasma.github.io/Logging_2161/kartor/A 69018-2021 karta.png", "A 69018-2021")</f>
        <v/>
      </c>
      <c r="U86">
        <f>HYPERLINK("https://klasma.github.io/Logging_2161/knärot/A 69018-2021 karta knärot.png", "A 69018-2021")</f>
        <v/>
      </c>
      <c r="V86">
        <f>HYPERLINK("https://klasma.github.io/Logging_2161/klagomål/A 69018-2021 FSC-klagomål.docx", "A 69018-2021")</f>
        <v/>
      </c>
      <c r="W86">
        <f>HYPERLINK("https://klasma.github.io/Logging_2161/klagomålsmail/A 69018-2021 FSC-klagomål mail.docx", "A 69018-2021")</f>
        <v/>
      </c>
      <c r="X86">
        <f>HYPERLINK("https://klasma.github.io/Logging_2161/tillsyn/A 69018-2021 tillsynsbegäran.docx", "A 69018-2021")</f>
        <v/>
      </c>
      <c r="Y86">
        <f>HYPERLINK("https://klasma.github.io/Logging_2161/tillsynsmail/A 69018-2021 tillsynsbegäran mail.docx", "A 69018-2021")</f>
        <v/>
      </c>
    </row>
    <row r="87" ht="15" customHeight="1">
      <c r="A87" t="inlineStr">
        <is>
          <t>A 7229-2022</t>
        </is>
      </c>
      <c r="B87" s="1" t="n">
        <v>44606</v>
      </c>
      <c r="C87" s="1" t="n">
        <v>45363</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20560-2022</t>
        </is>
      </c>
      <c r="B88" s="1" t="n">
        <v>44700</v>
      </c>
      <c r="C88" s="1" t="n">
        <v>45363</v>
      </c>
      <c r="D88" t="inlineStr">
        <is>
          <t>GÄVLEBORGS LÄN</t>
        </is>
      </c>
      <c r="E88" t="inlineStr">
        <is>
          <t>HUDIKSVALL</t>
        </is>
      </c>
      <c r="F88" t="inlineStr">
        <is>
          <t>Holmen skog AB</t>
        </is>
      </c>
      <c r="G88" t="n">
        <v>4.1</v>
      </c>
      <c r="H88" t="n">
        <v>2</v>
      </c>
      <c r="I88" t="n">
        <v>3</v>
      </c>
      <c r="J88" t="n">
        <v>0</v>
      </c>
      <c r="K88" t="n">
        <v>0</v>
      </c>
      <c r="L88" t="n">
        <v>0</v>
      </c>
      <c r="M88" t="n">
        <v>0</v>
      </c>
      <c r="N88" t="n">
        <v>0</v>
      </c>
      <c r="O88" t="n">
        <v>0</v>
      </c>
      <c r="P88" t="n">
        <v>0</v>
      </c>
      <c r="Q88" t="n">
        <v>5</v>
      </c>
      <c r="R88" s="2" t="inlineStr">
        <is>
          <t>Svart trolldruva
Tibast
Ögonpyrola
Lopplummer
Revlummer</t>
        </is>
      </c>
      <c r="S88">
        <f>HYPERLINK("https://klasma.github.io/Logging_2184/artfynd/A 20560-2022 artfynd.xlsx", "A 20560-2022")</f>
        <v/>
      </c>
      <c r="T88">
        <f>HYPERLINK("https://klasma.github.io/Logging_2184/kartor/A 20560-2022 karta.png", "A 20560-2022")</f>
        <v/>
      </c>
      <c r="V88">
        <f>HYPERLINK("https://klasma.github.io/Logging_2184/klagomål/A 20560-2022 FSC-klagomål.docx", "A 20560-2022")</f>
        <v/>
      </c>
      <c r="W88">
        <f>HYPERLINK("https://klasma.github.io/Logging_2184/klagomålsmail/A 20560-2022 FSC-klagomål mail.docx", "A 20560-2022")</f>
        <v/>
      </c>
      <c r="X88">
        <f>HYPERLINK("https://klasma.github.io/Logging_2184/tillsyn/A 20560-2022 tillsynsbegäran.docx", "A 20560-2022")</f>
        <v/>
      </c>
      <c r="Y88">
        <f>HYPERLINK("https://klasma.github.io/Logging_2184/tillsynsmail/A 20560-2022 tillsynsbegäran mail.docx", "A 20560-2022")</f>
        <v/>
      </c>
    </row>
    <row r="89" ht="15" customHeight="1">
      <c r="A89" t="inlineStr">
        <is>
          <t>A 21488-2022</t>
        </is>
      </c>
      <c r="B89" s="1" t="n">
        <v>44706</v>
      </c>
      <c r="C89" s="1" t="n">
        <v>45363</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29834-2022</t>
        </is>
      </c>
      <c r="B90" s="1" t="n">
        <v>44755</v>
      </c>
      <c r="C90" s="1" t="n">
        <v>45363</v>
      </c>
      <c r="D90" t="inlineStr">
        <is>
          <t>GÄVLEBORGS LÄN</t>
        </is>
      </c>
      <c r="E90" t="inlineStr">
        <is>
          <t>LJUSDAL</t>
        </is>
      </c>
      <c r="F90" t="inlineStr">
        <is>
          <t>SCA</t>
        </is>
      </c>
      <c r="G90" t="n">
        <v>21.9</v>
      </c>
      <c r="H90" t="n">
        <v>2</v>
      </c>
      <c r="I90" t="n">
        <v>0</v>
      </c>
      <c r="J90" t="n">
        <v>4</v>
      </c>
      <c r="K90" t="n">
        <v>1</v>
      </c>
      <c r="L90" t="n">
        <v>0</v>
      </c>
      <c r="M90" t="n">
        <v>0</v>
      </c>
      <c r="N90" t="n">
        <v>0</v>
      </c>
      <c r="O90" t="n">
        <v>5</v>
      </c>
      <c r="P90" t="n">
        <v>1</v>
      </c>
      <c r="Q90" t="n">
        <v>5</v>
      </c>
      <c r="R90" s="2" t="inlineStr">
        <is>
          <t>Knärot
Garnlav
Mörk kolflarnlav
Tretåig hackspett
Vedskivlav</t>
        </is>
      </c>
      <c r="S90">
        <f>HYPERLINK("https://klasma.github.io/Logging_2161/artfynd/A 29834-2022 artfynd.xlsx", "A 29834-2022")</f>
        <v/>
      </c>
      <c r="T90">
        <f>HYPERLINK("https://klasma.github.io/Logging_2161/kartor/A 29834-2022 karta.png", "A 29834-2022")</f>
        <v/>
      </c>
      <c r="U90">
        <f>HYPERLINK("https://klasma.github.io/Logging_2161/knärot/A 29834-2022 karta knärot.png", "A 29834-2022")</f>
        <v/>
      </c>
      <c r="V90">
        <f>HYPERLINK("https://klasma.github.io/Logging_2161/klagomål/A 29834-2022 FSC-klagomål.docx", "A 29834-2022")</f>
        <v/>
      </c>
      <c r="W90">
        <f>HYPERLINK("https://klasma.github.io/Logging_2161/klagomålsmail/A 29834-2022 FSC-klagomål mail.docx", "A 29834-2022")</f>
        <v/>
      </c>
      <c r="X90">
        <f>HYPERLINK("https://klasma.github.io/Logging_2161/tillsyn/A 29834-2022 tillsynsbegäran.docx", "A 29834-2022")</f>
        <v/>
      </c>
      <c r="Y90">
        <f>HYPERLINK("https://klasma.github.io/Logging_2161/tillsynsmail/A 29834-2022 tillsynsbegäran mail.docx", "A 29834-2022")</f>
        <v/>
      </c>
      <c r="Z90">
        <f>HYPERLINK("https://klasma.github.io/Logging_2161/fåglar/A 29834-2022 prioriterade fågelarter.docx", "A 29834-2022")</f>
        <v/>
      </c>
    </row>
    <row r="91" ht="15" customHeight="1">
      <c r="A91" t="inlineStr">
        <is>
          <t>A 31463-2022</t>
        </is>
      </c>
      <c r="B91" s="1" t="n">
        <v>44774</v>
      </c>
      <c r="C91" s="1" t="n">
        <v>45363</v>
      </c>
      <c r="D91" t="inlineStr">
        <is>
          <t>GÄVLEBORGS LÄN</t>
        </is>
      </c>
      <c r="E91" t="inlineStr">
        <is>
          <t>LJUSDAL</t>
        </is>
      </c>
      <c r="F91" t="inlineStr">
        <is>
          <t>SCA</t>
        </is>
      </c>
      <c r="G91" t="n">
        <v>4.3</v>
      </c>
      <c r="H91" t="n">
        <v>2</v>
      </c>
      <c r="I91" t="n">
        <v>0</v>
      </c>
      <c r="J91" t="n">
        <v>4</v>
      </c>
      <c r="K91" t="n">
        <v>1</v>
      </c>
      <c r="L91" t="n">
        <v>0</v>
      </c>
      <c r="M91" t="n">
        <v>0</v>
      </c>
      <c r="N91" t="n">
        <v>0</v>
      </c>
      <c r="O91" t="n">
        <v>5</v>
      </c>
      <c r="P91" t="n">
        <v>1</v>
      </c>
      <c r="Q91" t="n">
        <v>5</v>
      </c>
      <c r="R91" s="2" t="inlineStr">
        <is>
          <t>Knärot
Garnlav
Kolflarnlav
Lunglav
Tretåig hackspett</t>
        </is>
      </c>
      <c r="S91">
        <f>HYPERLINK("https://klasma.github.io/Logging_2161/artfynd/A 31463-2022 artfynd.xlsx", "A 31463-2022")</f>
        <v/>
      </c>
      <c r="T91">
        <f>HYPERLINK("https://klasma.github.io/Logging_2161/kartor/A 31463-2022 karta.png", "A 31463-2022")</f>
        <v/>
      </c>
      <c r="U91">
        <f>HYPERLINK("https://klasma.github.io/Logging_2161/knärot/A 31463-2022 karta knärot.png", "A 31463-2022")</f>
        <v/>
      </c>
      <c r="V91">
        <f>HYPERLINK("https://klasma.github.io/Logging_2161/klagomål/A 31463-2022 FSC-klagomål.docx", "A 31463-2022")</f>
        <v/>
      </c>
      <c r="W91">
        <f>HYPERLINK("https://klasma.github.io/Logging_2161/klagomålsmail/A 31463-2022 FSC-klagomål mail.docx", "A 31463-2022")</f>
        <v/>
      </c>
      <c r="X91">
        <f>HYPERLINK("https://klasma.github.io/Logging_2161/tillsyn/A 31463-2022 tillsynsbegäran.docx", "A 31463-2022")</f>
        <v/>
      </c>
      <c r="Y91">
        <f>HYPERLINK("https://klasma.github.io/Logging_2161/tillsynsmail/A 31463-2022 tillsynsbegäran mail.docx", "A 31463-2022")</f>
        <v/>
      </c>
      <c r="Z91">
        <f>HYPERLINK("https://klasma.github.io/Logging_2161/fåglar/A 31463-2022 prioriterade fågelarter.docx", "A 31463-2022")</f>
        <v/>
      </c>
    </row>
    <row r="92" ht="15" customHeight="1">
      <c r="A92" t="inlineStr">
        <is>
          <t>A 31524-2022</t>
        </is>
      </c>
      <c r="B92" s="1" t="n">
        <v>44775</v>
      </c>
      <c r="C92" s="1" t="n">
        <v>45363</v>
      </c>
      <c r="D92" t="inlineStr">
        <is>
          <t>GÄVLEBORGS LÄN</t>
        </is>
      </c>
      <c r="E92" t="inlineStr">
        <is>
          <t>LJUSDAL</t>
        </is>
      </c>
      <c r="F92" t="inlineStr">
        <is>
          <t>Sveaskog</t>
        </is>
      </c>
      <c r="G92" t="n">
        <v>38.6</v>
      </c>
      <c r="H92" t="n">
        <v>2</v>
      </c>
      <c r="I92" t="n">
        <v>2</v>
      </c>
      <c r="J92" t="n">
        <v>2</v>
      </c>
      <c r="K92" t="n">
        <v>0</v>
      </c>
      <c r="L92" t="n">
        <v>0</v>
      </c>
      <c r="M92" t="n">
        <v>0</v>
      </c>
      <c r="N92" t="n">
        <v>0</v>
      </c>
      <c r="O92" t="n">
        <v>2</v>
      </c>
      <c r="P92" t="n">
        <v>0</v>
      </c>
      <c r="Q92" t="n">
        <v>5</v>
      </c>
      <c r="R92" s="2" t="inlineStr">
        <is>
          <t>Garnlav
Gränsticka
Korallrot
Källmossa
Fläcknycklar</t>
        </is>
      </c>
      <c r="S92">
        <f>HYPERLINK("https://klasma.github.io/Logging_2161/artfynd/A 31524-2022 artfynd.xlsx", "A 31524-2022")</f>
        <v/>
      </c>
      <c r="T92">
        <f>HYPERLINK("https://klasma.github.io/Logging_2161/kartor/A 31524-2022 karta.png", "A 31524-2022")</f>
        <v/>
      </c>
      <c r="V92">
        <f>HYPERLINK("https://klasma.github.io/Logging_2161/klagomål/A 31524-2022 FSC-klagomål.docx", "A 31524-2022")</f>
        <v/>
      </c>
      <c r="W92">
        <f>HYPERLINK("https://klasma.github.io/Logging_2161/klagomålsmail/A 31524-2022 FSC-klagomål mail.docx", "A 31524-2022")</f>
        <v/>
      </c>
      <c r="X92">
        <f>HYPERLINK("https://klasma.github.io/Logging_2161/tillsyn/A 31524-2022 tillsynsbegäran.docx", "A 31524-2022")</f>
        <v/>
      </c>
      <c r="Y92">
        <f>HYPERLINK("https://klasma.github.io/Logging_2161/tillsynsmail/A 31524-2022 tillsynsbegäran mail.docx", "A 31524-2022")</f>
        <v/>
      </c>
    </row>
    <row r="93" ht="15" customHeight="1">
      <c r="A93" t="inlineStr">
        <is>
          <t>A 45278-2022</t>
        </is>
      </c>
      <c r="B93" s="1" t="n">
        <v>44840</v>
      </c>
      <c r="C93" s="1" t="n">
        <v>45363</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55280-2022</t>
        </is>
      </c>
      <c r="B94" s="1" t="n">
        <v>44887</v>
      </c>
      <c r="C94" s="1" t="n">
        <v>45363</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58628-2022</t>
        </is>
      </c>
      <c r="B95" s="1" t="n">
        <v>44902</v>
      </c>
      <c r="C95" s="1" t="n">
        <v>45363</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11990-2023</t>
        </is>
      </c>
      <c r="B96" s="1" t="n">
        <v>44995</v>
      </c>
      <c r="C96" s="1" t="n">
        <v>45363</v>
      </c>
      <c r="D96" t="inlineStr">
        <is>
          <t>GÄVLEBORGS LÄN</t>
        </is>
      </c>
      <c r="E96" t="inlineStr">
        <is>
          <t>SANDVIKEN</t>
        </is>
      </c>
      <c r="G96" t="n">
        <v>1.3</v>
      </c>
      <c r="H96" t="n">
        <v>0</v>
      </c>
      <c r="I96" t="n">
        <v>5</v>
      </c>
      <c r="J96" t="n">
        <v>0</v>
      </c>
      <c r="K96" t="n">
        <v>0</v>
      </c>
      <c r="L96" t="n">
        <v>0</v>
      </c>
      <c r="M96" t="n">
        <v>0</v>
      </c>
      <c r="N96" t="n">
        <v>0</v>
      </c>
      <c r="O96" t="n">
        <v>0</v>
      </c>
      <c r="P96" t="n">
        <v>0</v>
      </c>
      <c r="Q96" t="n">
        <v>5</v>
      </c>
      <c r="R96" s="2" t="inlineStr">
        <is>
          <t>Aspvedgnagare
Bronshjon
Thomsons trägnagare
Vedticka
Vågbandad barkbock</t>
        </is>
      </c>
      <c r="S96">
        <f>HYPERLINK("https://klasma.github.io/Logging_2181/artfynd/A 11990-2023 artfynd.xlsx", "A 11990-2023")</f>
        <v/>
      </c>
      <c r="T96">
        <f>HYPERLINK("https://klasma.github.io/Logging_2181/kartor/A 11990-2023 karta.png", "A 11990-2023")</f>
        <v/>
      </c>
      <c r="V96">
        <f>HYPERLINK("https://klasma.github.io/Logging_2181/klagomål/A 11990-2023 FSC-klagomål.docx", "A 11990-2023")</f>
        <v/>
      </c>
      <c r="W96">
        <f>HYPERLINK("https://klasma.github.io/Logging_2181/klagomålsmail/A 11990-2023 FSC-klagomål mail.docx", "A 11990-2023")</f>
        <v/>
      </c>
      <c r="X96">
        <f>HYPERLINK("https://klasma.github.io/Logging_2181/tillsyn/A 11990-2023 tillsynsbegäran.docx", "A 11990-2023")</f>
        <v/>
      </c>
      <c r="Y96">
        <f>HYPERLINK("https://klasma.github.io/Logging_2181/tillsynsmail/A 11990-2023 tillsynsbegäran mail.docx", "A 11990-2023")</f>
        <v/>
      </c>
    </row>
    <row r="97" ht="15" customHeight="1">
      <c r="A97" t="inlineStr">
        <is>
          <t>A 13750-2023</t>
        </is>
      </c>
      <c r="B97" s="1" t="n">
        <v>45007</v>
      </c>
      <c r="C97" s="1" t="n">
        <v>45363</v>
      </c>
      <c r="D97" t="inlineStr">
        <is>
          <t>GÄVLEBORGS LÄN</t>
        </is>
      </c>
      <c r="E97" t="inlineStr">
        <is>
          <t>HOFORS</t>
        </is>
      </c>
      <c r="F97" t="inlineStr">
        <is>
          <t>Övriga statliga verk och myndigheter</t>
        </is>
      </c>
      <c r="G97" t="n">
        <v>1.1</v>
      </c>
      <c r="H97" t="n">
        <v>1</v>
      </c>
      <c r="I97" t="n">
        <v>2</v>
      </c>
      <c r="J97" t="n">
        <v>3</v>
      </c>
      <c r="K97" t="n">
        <v>0</v>
      </c>
      <c r="L97" t="n">
        <v>0</v>
      </c>
      <c r="M97" t="n">
        <v>0</v>
      </c>
      <c r="N97" t="n">
        <v>0</v>
      </c>
      <c r="O97" t="n">
        <v>3</v>
      </c>
      <c r="P97" t="n">
        <v>0</v>
      </c>
      <c r="Q97" t="n">
        <v>5</v>
      </c>
      <c r="R97" s="2" t="inlineStr">
        <is>
          <t>Gultoppig fingersvamp
Leptoporus mollis
Talltita
Fjällig taggsvamp s.str.
Vedticka</t>
        </is>
      </c>
      <c r="S97">
        <f>HYPERLINK("https://klasma.github.io/Logging_2104/artfynd/A 13750-2023 artfynd.xlsx", "A 13750-2023")</f>
        <v/>
      </c>
      <c r="T97">
        <f>HYPERLINK("https://klasma.github.io/Logging_2104/kartor/A 13750-2023 karta.png", "A 13750-2023")</f>
        <v/>
      </c>
      <c r="V97">
        <f>HYPERLINK("https://klasma.github.io/Logging_2104/klagomål/A 13750-2023 FSC-klagomål.docx", "A 13750-2023")</f>
        <v/>
      </c>
      <c r="W97">
        <f>HYPERLINK("https://klasma.github.io/Logging_2104/klagomålsmail/A 13750-2023 FSC-klagomål mail.docx", "A 13750-2023")</f>
        <v/>
      </c>
      <c r="X97">
        <f>HYPERLINK("https://klasma.github.io/Logging_2104/tillsyn/A 13750-2023 tillsynsbegäran.docx", "A 13750-2023")</f>
        <v/>
      </c>
      <c r="Y97">
        <f>HYPERLINK("https://klasma.github.io/Logging_2104/tillsynsmail/A 13750-2023 tillsynsbegäran mail.docx", "A 13750-2023")</f>
        <v/>
      </c>
      <c r="Z97">
        <f>HYPERLINK("https://klasma.github.io/Logging_2104/fåglar/A 13750-2023 prioriterade fågelarter.docx", "A 13750-2023")</f>
        <v/>
      </c>
    </row>
    <row r="98" ht="15" customHeight="1">
      <c r="A98" t="inlineStr">
        <is>
          <t>A 13740-2023</t>
        </is>
      </c>
      <c r="B98" s="1" t="n">
        <v>45007</v>
      </c>
      <c r="C98" s="1" t="n">
        <v>45363</v>
      </c>
      <c r="D98" t="inlineStr">
        <is>
          <t>GÄVLEBORGS LÄN</t>
        </is>
      </c>
      <c r="E98" t="inlineStr">
        <is>
          <t>HOFORS</t>
        </is>
      </c>
      <c r="F98" t="inlineStr">
        <is>
          <t>Övriga statliga verk och myndigheter</t>
        </is>
      </c>
      <c r="G98" t="n">
        <v>2.7</v>
      </c>
      <c r="H98" t="n">
        <v>2</v>
      </c>
      <c r="I98" t="n">
        <v>1</v>
      </c>
      <c r="J98" t="n">
        <v>3</v>
      </c>
      <c r="K98" t="n">
        <v>1</v>
      </c>
      <c r="L98" t="n">
        <v>0</v>
      </c>
      <c r="M98" t="n">
        <v>0</v>
      </c>
      <c r="N98" t="n">
        <v>0</v>
      </c>
      <c r="O98" t="n">
        <v>4</v>
      </c>
      <c r="P98" t="n">
        <v>1</v>
      </c>
      <c r="Q98" t="n">
        <v>5</v>
      </c>
      <c r="R98" s="2" t="inlineStr">
        <is>
          <t>Knärot
Garnlav
Spillkråka
Ullticka
Vedticka</t>
        </is>
      </c>
      <c r="S98">
        <f>HYPERLINK("https://klasma.github.io/Logging_2104/artfynd/A 13740-2023 artfynd.xlsx", "A 13740-2023")</f>
        <v/>
      </c>
      <c r="T98">
        <f>HYPERLINK("https://klasma.github.io/Logging_2104/kartor/A 13740-2023 karta.png", "A 13740-2023")</f>
        <v/>
      </c>
      <c r="U98">
        <f>HYPERLINK("https://klasma.github.io/Logging_2104/knärot/A 13740-2023 karta knärot.png", "A 13740-2023")</f>
        <v/>
      </c>
      <c r="V98">
        <f>HYPERLINK("https://klasma.github.io/Logging_2104/klagomål/A 13740-2023 FSC-klagomål.docx", "A 13740-2023")</f>
        <v/>
      </c>
      <c r="W98">
        <f>HYPERLINK("https://klasma.github.io/Logging_2104/klagomålsmail/A 13740-2023 FSC-klagomål mail.docx", "A 13740-2023")</f>
        <v/>
      </c>
      <c r="X98">
        <f>HYPERLINK("https://klasma.github.io/Logging_2104/tillsyn/A 13740-2023 tillsynsbegäran.docx", "A 13740-2023")</f>
        <v/>
      </c>
      <c r="Y98">
        <f>HYPERLINK("https://klasma.github.io/Logging_2104/tillsynsmail/A 13740-2023 tillsynsbegäran mail.docx", "A 13740-2023")</f>
        <v/>
      </c>
      <c r="Z98">
        <f>HYPERLINK("https://klasma.github.io/Logging_2104/fåglar/A 13740-2023 prioriterade fågelarter.docx", "A 13740-2023")</f>
        <v/>
      </c>
    </row>
    <row r="99" ht="15" customHeight="1">
      <c r="A99" t="inlineStr">
        <is>
          <t>A 19521-2023</t>
        </is>
      </c>
      <c r="B99" s="1" t="n">
        <v>45050</v>
      </c>
      <c r="C99" s="1" t="n">
        <v>45363</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45363</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45363</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45363</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45363</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45363</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45363</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45363</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45363</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46239-2018</t>
        </is>
      </c>
      <c r="B108" s="1" t="n">
        <v>43367</v>
      </c>
      <c r="C108" s="1" t="n">
        <v>45363</v>
      </c>
      <c r="D108" t="inlineStr">
        <is>
          <t>GÄVLEBORGS LÄN</t>
        </is>
      </c>
      <c r="E108" t="inlineStr">
        <is>
          <t>LJUSDAL</t>
        </is>
      </c>
      <c r="G108" t="n">
        <v>113.5</v>
      </c>
      <c r="H108" t="n">
        <v>3</v>
      </c>
      <c r="I108" t="n">
        <v>0</v>
      </c>
      <c r="J108" t="n">
        <v>2</v>
      </c>
      <c r="K108" t="n">
        <v>0</v>
      </c>
      <c r="L108" t="n">
        <v>0</v>
      </c>
      <c r="M108" t="n">
        <v>1</v>
      </c>
      <c r="N108" t="n">
        <v>0</v>
      </c>
      <c r="O108" t="n">
        <v>3</v>
      </c>
      <c r="P108" t="n">
        <v>1</v>
      </c>
      <c r="Q108" t="n">
        <v>4</v>
      </c>
      <c r="R108" s="2" t="inlineStr">
        <is>
          <t>Ortolansparv
Buskskvätta
Slåtterfibbla
Nattviol</t>
        </is>
      </c>
      <c r="S108">
        <f>HYPERLINK("https://klasma.github.io/Logging_2161/artfynd/A 46239-2018 artfynd.xlsx", "A 46239-2018")</f>
        <v/>
      </c>
      <c r="T108">
        <f>HYPERLINK("https://klasma.github.io/Logging_2161/kartor/A 46239-2018 karta.png", "A 46239-2018")</f>
        <v/>
      </c>
      <c r="V108">
        <f>HYPERLINK("https://klasma.github.io/Logging_2161/klagomål/A 46239-2018 FSC-klagomål.docx", "A 46239-2018")</f>
        <v/>
      </c>
      <c r="W108">
        <f>HYPERLINK("https://klasma.github.io/Logging_2161/klagomålsmail/A 46239-2018 FSC-klagomål mail.docx", "A 46239-2018")</f>
        <v/>
      </c>
      <c r="X108">
        <f>HYPERLINK("https://klasma.github.io/Logging_2161/tillsyn/A 46239-2018 tillsynsbegäran.docx", "A 46239-2018")</f>
        <v/>
      </c>
      <c r="Y108">
        <f>HYPERLINK("https://klasma.github.io/Logging_2161/tillsynsmail/A 46239-2018 tillsynsbegäran mail.docx", "A 46239-2018")</f>
        <v/>
      </c>
      <c r="Z108">
        <f>HYPERLINK("https://klasma.github.io/Logging_2161/fåglar/A 46239-2018 prioriterade fågelarter.docx", "A 46239-2018")</f>
        <v/>
      </c>
    </row>
    <row r="109" ht="15" customHeight="1">
      <c r="A109" t="inlineStr">
        <is>
          <t>A 57120-2018</t>
        </is>
      </c>
      <c r="B109" s="1" t="n">
        <v>43403</v>
      </c>
      <c r="C109" s="1" t="n">
        <v>45363</v>
      </c>
      <c r="D109" t="inlineStr">
        <is>
          <t>GÄVLEBORGS LÄN</t>
        </is>
      </c>
      <c r="E109" t="inlineStr">
        <is>
          <t>HUDIKSVALL</t>
        </is>
      </c>
      <c r="F109" t="inlineStr">
        <is>
          <t>Holmen skog AB</t>
        </is>
      </c>
      <c r="G109" t="n">
        <v>6.8</v>
      </c>
      <c r="H109" t="n">
        <v>1</v>
      </c>
      <c r="I109" t="n">
        <v>0</v>
      </c>
      <c r="J109" t="n">
        <v>4</v>
      </c>
      <c r="K109" t="n">
        <v>0</v>
      </c>
      <c r="L109" t="n">
        <v>0</v>
      </c>
      <c r="M109" t="n">
        <v>0</v>
      </c>
      <c r="N109" t="n">
        <v>0</v>
      </c>
      <c r="O109" t="n">
        <v>4</v>
      </c>
      <c r="P109" t="n">
        <v>0</v>
      </c>
      <c r="Q109" t="n">
        <v>4</v>
      </c>
      <c r="R109" s="2" t="inlineStr">
        <is>
          <t>Kortskaftad ärgspik
Tallticka
Tretåig hackspett
Ullticka</t>
        </is>
      </c>
      <c r="S109">
        <f>HYPERLINK("https://klasma.github.io/Logging_2184/artfynd/A 57120-2018 artfynd.xlsx", "A 57120-2018")</f>
        <v/>
      </c>
      <c r="T109">
        <f>HYPERLINK("https://klasma.github.io/Logging_2184/kartor/A 57120-2018 karta.png", "A 57120-2018")</f>
        <v/>
      </c>
      <c r="V109">
        <f>HYPERLINK("https://klasma.github.io/Logging_2184/klagomål/A 57120-2018 FSC-klagomål.docx", "A 57120-2018")</f>
        <v/>
      </c>
      <c r="W109">
        <f>HYPERLINK("https://klasma.github.io/Logging_2184/klagomålsmail/A 57120-2018 FSC-klagomål mail.docx", "A 57120-2018")</f>
        <v/>
      </c>
      <c r="X109">
        <f>HYPERLINK("https://klasma.github.io/Logging_2184/tillsyn/A 57120-2018 tillsynsbegäran.docx", "A 57120-2018")</f>
        <v/>
      </c>
      <c r="Y109">
        <f>HYPERLINK("https://klasma.github.io/Logging_2184/tillsynsmail/A 57120-2018 tillsynsbegäran mail.docx", "A 57120-2018")</f>
        <v/>
      </c>
      <c r="Z109">
        <f>HYPERLINK("https://klasma.github.io/Logging_2184/fåglar/A 57120-2018 prioriterade fågelarter.docx", "A 57120-2018")</f>
        <v/>
      </c>
    </row>
    <row r="110" ht="15" customHeight="1">
      <c r="A110" t="inlineStr">
        <is>
          <t>A 67528-2018</t>
        </is>
      </c>
      <c r="B110" s="1" t="n">
        <v>43432</v>
      </c>
      <c r="C110" s="1" t="n">
        <v>45363</v>
      </c>
      <c r="D110" t="inlineStr">
        <is>
          <t>GÄVLEBORGS LÄN</t>
        </is>
      </c>
      <c r="E110" t="inlineStr">
        <is>
          <t>LJUSDAL</t>
        </is>
      </c>
      <c r="F110" t="inlineStr">
        <is>
          <t>Sveaskog</t>
        </is>
      </c>
      <c r="G110" t="n">
        <v>509.1</v>
      </c>
      <c r="H110" t="n">
        <v>1</v>
      </c>
      <c r="I110" t="n">
        <v>1</v>
      </c>
      <c r="J110" t="n">
        <v>2</v>
      </c>
      <c r="K110" t="n">
        <v>0</v>
      </c>
      <c r="L110" t="n">
        <v>0</v>
      </c>
      <c r="M110" t="n">
        <v>1</v>
      </c>
      <c r="N110" t="n">
        <v>0</v>
      </c>
      <c r="O110" t="n">
        <v>3</v>
      </c>
      <c r="P110" t="n">
        <v>1</v>
      </c>
      <c r="Q110" t="n">
        <v>4</v>
      </c>
      <c r="R110" s="2" t="inlineStr">
        <is>
          <t>Ortolansparv
Brunag
Svedjenäva
Tibast</t>
        </is>
      </c>
      <c r="S110">
        <f>HYPERLINK("https://klasma.github.io/Logging_2161/artfynd/A 67528-2018 artfynd.xlsx", "A 67528-2018")</f>
        <v/>
      </c>
      <c r="T110">
        <f>HYPERLINK("https://klasma.github.io/Logging_2161/kartor/A 67528-2018 karta.png", "A 67528-2018")</f>
        <v/>
      </c>
      <c r="V110">
        <f>HYPERLINK("https://klasma.github.io/Logging_2161/klagomål/A 67528-2018 FSC-klagomål.docx", "A 67528-2018")</f>
        <v/>
      </c>
      <c r="W110">
        <f>HYPERLINK("https://klasma.github.io/Logging_2161/klagomålsmail/A 67528-2018 FSC-klagomål mail.docx", "A 67528-2018")</f>
        <v/>
      </c>
      <c r="X110">
        <f>HYPERLINK("https://klasma.github.io/Logging_2161/tillsyn/A 67528-2018 tillsynsbegäran.docx", "A 67528-2018")</f>
        <v/>
      </c>
      <c r="Y110">
        <f>HYPERLINK("https://klasma.github.io/Logging_2161/tillsynsmail/A 67528-2018 tillsynsbegäran mail.docx", "A 67528-2018")</f>
        <v/>
      </c>
      <c r="Z110">
        <f>HYPERLINK("https://klasma.github.io/Logging_2161/fåglar/A 67528-2018 prioriterade fågelarter.docx", "A 67528-2018")</f>
        <v/>
      </c>
    </row>
    <row r="111" ht="15" customHeight="1">
      <c r="A111" t="inlineStr">
        <is>
          <t>A 47377-2019</t>
        </is>
      </c>
      <c r="B111" s="1" t="n">
        <v>43721</v>
      </c>
      <c r="C111" s="1" t="n">
        <v>45363</v>
      </c>
      <c r="D111" t="inlineStr">
        <is>
          <t>GÄVLEBORGS LÄN</t>
        </is>
      </c>
      <c r="E111" t="inlineStr">
        <is>
          <t>GÄVLE</t>
        </is>
      </c>
      <c r="F111" t="inlineStr">
        <is>
          <t>Bergvik skog öst AB</t>
        </is>
      </c>
      <c r="G111" t="n">
        <v>21.7</v>
      </c>
      <c r="H111" t="n">
        <v>0</v>
      </c>
      <c r="I111" t="n">
        <v>0</v>
      </c>
      <c r="J111" t="n">
        <v>4</v>
      </c>
      <c r="K111" t="n">
        <v>0</v>
      </c>
      <c r="L111" t="n">
        <v>0</v>
      </c>
      <c r="M111" t="n">
        <v>0</v>
      </c>
      <c r="N111" t="n">
        <v>0</v>
      </c>
      <c r="O111" t="n">
        <v>4</v>
      </c>
      <c r="P111" t="n">
        <v>0</v>
      </c>
      <c r="Q111" t="n">
        <v>4</v>
      </c>
      <c r="R111" s="2" t="inlineStr">
        <is>
          <t>Brunklöver
Kolflarnlav
Svävflugedagsvärmare
Violettkantad guldvinge</t>
        </is>
      </c>
      <c r="S111">
        <f>HYPERLINK("https://klasma.github.io/Logging_2180/artfynd/A 47377-2019 artfynd.xlsx", "A 47377-2019")</f>
        <v/>
      </c>
      <c r="T111">
        <f>HYPERLINK("https://klasma.github.io/Logging_2180/kartor/A 47377-2019 karta.png", "A 47377-2019")</f>
        <v/>
      </c>
      <c r="V111">
        <f>HYPERLINK("https://klasma.github.io/Logging_2180/klagomål/A 47377-2019 FSC-klagomål.docx", "A 47377-2019")</f>
        <v/>
      </c>
      <c r="W111">
        <f>HYPERLINK("https://klasma.github.io/Logging_2180/klagomålsmail/A 47377-2019 FSC-klagomål mail.docx", "A 47377-2019")</f>
        <v/>
      </c>
      <c r="X111">
        <f>HYPERLINK("https://klasma.github.io/Logging_2180/tillsyn/A 47377-2019 tillsynsbegäran.docx", "A 47377-2019")</f>
        <v/>
      </c>
      <c r="Y111">
        <f>HYPERLINK("https://klasma.github.io/Logging_2180/tillsynsmail/A 47377-2019 tillsynsbegäran mail.docx", "A 47377-2019")</f>
        <v/>
      </c>
    </row>
    <row r="112" ht="15" customHeight="1">
      <c r="A112" t="inlineStr">
        <is>
          <t>A 55426-2019</t>
        </is>
      </c>
      <c r="B112" s="1" t="n">
        <v>43756</v>
      </c>
      <c r="C112" s="1" t="n">
        <v>45363</v>
      </c>
      <c r="D112" t="inlineStr">
        <is>
          <t>GÄVLEBORGS LÄN</t>
        </is>
      </c>
      <c r="E112" t="inlineStr">
        <is>
          <t>SÖDERHAMN</t>
        </is>
      </c>
      <c r="G112" t="n">
        <v>2</v>
      </c>
      <c r="H112" t="n">
        <v>4</v>
      </c>
      <c r="I112" t="n">
        <v>0</v>
      </c>
      <c r="J112" t="n">
        <v>3</v>
      </c>
      <c r="K112" t="n">
        <v>0</v>
      </c>
      <c r="L112" t="n">
        <v>1</v>
      </c>
      <c r="M112" t="n">
        <v>0</v>
      </c>
      <c r="N112" t="n">
        <v>0</v>
      </c>
      <c r="O112" t="n">
        <v>4</v>
      </c>
      <c r="P112" t="n">
        <v>1</v>
      </c>
      <c r="Q112" t="n">
        <v>4</v>
      </c>
      <c r="R112" s="2" t="inlineStr">
        <is>
          <t>Tornseglare
Busksångare
Rödvingetrast
Skrattmås</t>
        </is>
      </c>
      <c r="S112">
        <f>HYPERLINK("https://klasma.github.io/Logging_2182/artfynd/A 55426-2019 artfynd.xlsx", "A 55426-2019")</f>
        <v/>
      </c>
      <c r="T112">
        <f>HYPERLINK("https://klasma.github.io/Logging_2182/kartor/A 55426-2019 karta.png", "A 55426-2019")</f>
        <v/>
      </c>
      <c r="V112">
        <f>HYPERLINK("https://klasma.github.io/Logging_2182/klagomål/A 55426-2019 FSC-klagomål.docx", "A 55426-2019")</f>
        <v/>
      </c>
      <c r="W112">
        <f>HYPERLINK("https://klasma.github.io/Logging_2182/klagomålsmail/A 55426-2019 FSC-klagomål mail.docx", "A 55426-2019")</f>
        <v/>
      </c>
      <c r="X112">
        <f>HYPERLINK("https://klasma.github.io/Logging_2182/tillsyn/A 55426-2019 tillsynsbegäran.docx", "A 55426-2019")</f>
        <v/>
      </c>
      <c r="Y112">
        <f>HYPERLINK("https://klasma.github.io/Logging_2182/tillsynsmail/A 55426-2019 tillsynsbegäran mail.docx", "A 55426-2019")</f>
        <v/>
      </c>
      <c r="Z112">
        <f>HYPERLINK("https://klasma.github.io/Logging_2182/fåglar/A 55426-2019 prioriterade fågelarter.docx", "A 55426-2019")</f>
        <v/>
      </c>
    </row>
    <row r="113" ht="15" customHeight="1">
      <c r="A113" t="inlineStr">
        <is>
          <t>A 7569-2020</t>
        </is>
      </c>
      <c r="B113" s="1" t="n">
        <v>43872</v>
      </c>
      <c r="C113" s="1" t="n">
        <v>45363</v>
      </c>
      <c r="D113" t="inlineStr">
        <is>
          <t>GÄVLEBORGS LÄN</t>
        </is>
      </c>
      <c r="E113" t="inlineStr">
        <is>
          <t>LJUSDAL</t>
        </is>
      </c>
      <c r="G113" t="n">
        <v>5.5</v>
      </c>
      <c r="H113" t="n">
        <v>0</v>
      </c>
      <c r="I113" t="n">
        <v>0</v>
      </c>
      <c r="J113" t="n">
        <v>4</v>
      </c>
      <c r="K113" t="n">
        <v>0</v>
      </c>
      <c r="L113" t="n">
        <v>0</v>
      </c>
      <c r="M113" t="n">
        <v>0</v>
      </c>
      <c r="N113" t="n">
        <v>0</v>
      </c>
      <c r="O113" t="n">
        <v>4</v>
      </c>
      <c r="P113" t="n">
        <v>0</v>
      </c>
      <c r="Q113" t="n">
        <v>4</v>
      </c>
      <c r="R113" s="2" t="inlineStr">
        <is>
          <t>Blanksvart spiklav
Garnlav
Mörk kolflarnlav
Skrovellav</t>
        </is>
      </c>
      <c r="S113">
        <f>HYPERLINK("https://klasma.github.io/Logging_2161/artfynd/A 7569-2020 artfynd.xlsx", "A 7569-2020")</f>
        <v/>
      </c>
      <c r="T113">
        <f>HYPERLINK("https://klasma.github.io/Logging_2161/kartor/A 7569-2020 karta.png", "A 7569-2020")</f>
        <v/>
      </c>
      <c r="V113">
        <f>HYPERLINK("https://klasma.github.io/Logging_2161/klagomål/A 7569-2020 FSC-klagomål.docx", "A 7569-2020")</f>
        <v/>
      </c>
      <c r="W113">
        <f>HYPERLINK("https://klasma.github.io/Logging_2161/klagomålsmail/A 7569-2020 FSC-klagomål mail.docx", "A 7569-2020")</f>
        <v/>
      </c>
      <c r="X113">
        <f>HYPERLINK("https://klasma.github.io/Logging_2161/tillsyn/A 7569-2020 tillsynsbegäran.docx", "A 7569-2020")</f>
        <v/>
      </c>
      <c r="Y113">
        <f>HYPERLINK("https://klasma.github.io/Logging_2161/tillsynsmail/A 7569-2020 tillsynsbegäran mail.docx", "A 7569-2020")</f>
        <v/>
      </c>
    </row>
    <row r="114" ht="15" customHeight="1">
      <c r="A114" t="inlineStr">
        <is>
          <t>A 45074-2020</t>
        </is>
      </c>
      <c r="B114" s="1" t="n">
        <v>44088</v>
      </c>
      <c r="C114" s="1" t="n">
        <v>45363</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50160-2020</t>
        </is>
      </c>
      <c r="B115" s="1" t="n">
        <v>44109</v>
      </c>
      <c r="C115" s="1" t="n">
        <v>45363</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64590-2020</t>
        </is>
      </c>
      <c r="B116" s="1" t="n">
        <v>44169</v>
      </c>
      <c r="C116" s="1" t="n">
        <v>45363</v>
      </c>
      <c r="D116" t="inlineStr">
        <is>
          <t>GÄVLEBORGS LÄN</t>
        </is>
      </c>
      <c r="E116" t="inlineStr">
        <is>
          <t>OCKELBO</t>
        </is>
      </c>
      <c r="F116" t="inlineStr">
        <is>
          <t>Bergvik skog väst AB</t>
        </is>
      </c>
      <c r="G116" t="n">
        <v>2.8</v>
      </c>
      <c r="H116" t="n">
        <v>1</v>
      </c>
      <c r="I116" t="n">
        <v>0</v>
      </c>
      <c r="J116" t="n">
        <v>3</v>
      </c>
      <c r="K116" t="n">
        <v>0</v>
      </c>
      <c r="L116" t="n">
        <v>0</v>
      </c>
      <c r="M116" t="n">
        <v>0</v>
      </c>
      <c r="N116" t="n">
        <v>0</v>
      </c>
      <c r="O116" t="n">
        <v>3</v>
      </c>
      <c r="P116" t="n">
        <v>0</v>
      </c>
      <c r="Q116" t="n">
        <v>4</v>
      </c>
      <c r="R116" s="2" t="inlineStr">
        <is>
          <t>Garnlav
Motaggsvamp
Vedskivlav
Revlummer</t>
        </is>
      </c>
      <c r="S116">
        <f>HYPERLINK("https://klasma.github.io/Logging_2101/artfynd/A 64590-2020 artfynd.xlsx", "A 64590-2020")</f>
        <v/>
      </c>
      <c r="T116">
        <f>HYPERLINK("https://klasma.github.io/Logging_2101/kartor/A 64590-2020 karta.png", "A 64590-2020")</f>
        <v/>
      </c>
      <c r="V116">
        <f>HYPERLINK("https://klasma.github.io/Logging_2101/klagomål/A 64590-2020 FSC-klagomål.docx", "A 64590-2020")</f>
        <v/>
      </c>
      <c r="W116">
        <f>HYPERLINK("https://klasma.github.io/Logging_2101/klagomålsmail/A 64590-2020 FSC-klagomål mail.docx", "A 64590-2020")</f>
        <v/>
      </c>
      <c r="X116">
        <f>HYPERLINK("https://klasma.github.io/Logging_2101/tillsyn/A 64590-2020 tillsynsbegäran.docx", "A 64590-2020")</f>
        <v/>
      </c>
      <c r="Y116">
        <f>HYPERLINK("https://klasma.github.io/Logging_2101/tillsynsmail/A 64590-2020 tillsynsbegäran mail.docx", "A 64590-2020")</f>
        <v/>
      </c>
    </row>
    <row r="117" ht="15" customHeight="1">
      <c r="A117" t="inlineStr">
        <is>
          <t>A 48181-2021</t>
        </is>
      </c>
      <c r="B117" s="1" t="n">
        <v>44449</v>
      </c>
      <c r="C117" s="1" t="n">
        <v>45363</v>
      </c>
      <c r="D117" t="inlineStr">
        <is>
          <t>GÄVLEBORGS LÄN</t>
        </is>
      </c>
      <c r="E117" t="inlineStr">
        <is>
          <t>LJUSDAL</t>
        </is>
      </c>
      <c r="F117" t="inlineStr">
        <is>
          <t>Sveaskog</t>
        </is>
      </c>
      <c r="G117" t="n">
        <v>3.9</v>
      </c>
      <c r="H117" t="n">
        <v>0</v>
      </c>
      <c r="I117" t="n">
        <v>1</v>
      </c>
      <c r="J117" t="n">
        <v>3</v>
      </c>
      <c r="K117" t="n">
        <v>0</v>
      </c>
      <c r="L117" t="n">
        <v>0</v>
      </c>
      <c r="M117" t="n">
        <v>0</v>
      </c>
      <c r="N117" t="n">
        <v>0</v>
      </c>
      <c r="O117" t="n">
        <v>3</v>
      </c>
      <c r="P117" t="n">
        <v>0</v>
      </c>
      <c r="Q117" t="n">
        <v>4</v>
      </c>
      <c r="R117" s="2" t="inlineStr">
        <is>
          <t>Garnlav
Kolflarnlav
Lunglav
Dropptaggsvamp</t>
        </is>
      </c>
      <c r="S117">
        <f>HYPERLINK("https://klasma.github.io/Logging_2161/artfynd/A 48181-2021 artfynd.xlsx", "A 48181-2021")</f>
        <v/>
      </c>
      <c r="T117">
        <f>HYPERLINK("https://klasma.github.io/Logging_2161/kartor/A 48181-2021 karta.png", "A 48181-2021")</f>
        <v/>
      </c>
      <c r="V117">
        <f>HYPERLINK("https://klasma.github.io/Logging_2161/klagomål/A 48181-2021 FSC-klagomål.docx", "A 48181-2021")</f>
        <v/>
      </c>
      <c r="W117">
        <f>HYPERLINK("https://klasma.github.io/Logging_2161/klagomålsmail/A 48181-2021 FSC-klagomål mail.docx", "A 48181-2021")</f>
        <v/>
      </c>
      <c r="X117">
        <f>HYPERLINK("https://klasma.github.io/Logging_2161/tillsyn/A 48181-2021 tillsynsbegäran.docx", "A 48181-2021")</f>
        <v/>
      </c>
      <c r="Y117">
        <f>HYPERLINK("https://klasma.github.io/Logging_2161/tillsynsmail/A 48181-2021 tillsynsbegäran mail.docx", "A 48181-2021")</f>
        <v/>
      </c>
    </row>
    <row r="118" ht="15" customHeight="1">
      <c r="A118" t="inlineStr">
        <is>
          <t>A 10969-2022</t>
        </is>
      </c>
      <c r="B118" s="1" t="n">
        <v>44628</v>
      </c>
      <c r="C118" s="1" t="n">
        <v>45363</v>
      </c>
      <c r="D118" t="inlineStr">
        <is>
          <t>GÄVLEBORGS LÄN</t>
        </is>
      </c>
      <c r="E118" t="inlineStr">
        <is>
          <t>HUDIKSVALL</t>
        </is>
      </c>
      <c r="F118" t="inlineStr">
        <is>
          <t>Holmen skog AB</t>
        </is>
      </c>
      <c r="G118" t="n">
        <v>5.7</v>
      </c>
      <c r="H118" t="n">
        <v>1</v>
      </c>
      <c r="I118" t="n">
        <v>1</v>
      </c>
      <c r="J118" t="n">
        <v>2</v>
      </c>
      <c r="K118" t="n">
        <v>0</v>
      </c>
      <c r="L118" t="n">
        <v>0</v>
      </c>
      <c r="M118" t="n">
        <v>0</v>
      </c>
      <c r="N118" t="n">
        <v>0</v>
      </c>
      <c r="O118" t="n">
        <v>2</v>
      </c>
      <c r="P118" t="n">
        <v>0</v>
      </c>
      <c r="Q118" t="n">
        <v>4</v>
      </c>
      <c r="R118" s="2" t="inlineStr">
        <is>
          <t>Garnlav
Lunglav
Bollvitmossa
Revlummer</t>
        </is>
      </c>
      <c r="S118">
        <f>HYPERLINK("https://klasma.github.io/Logging_2184/artfynd/A 10969-2022 artfynd.xlsx", "A 10969-2022")</f>
        <v/>
      </c>
      <c r="T118">
        <f>HYPERLINK("https://klasma.github.io/Logging_2184/kartor/A 10969-2022 karta.png", "A 10969-2022")</f>
        <v/>
      </c>
      <c r="V118">
        <f>HYPERLINK("https://klasma.github.io/Logging_2184/klagomål/A 10969-2022 FSC-klagomål.docx", "A 10969-2022")</f>
        <v/>
      </c>
      <c r="W118">
        <f>HYPERLINK("https://klasma.github.io/Logging_2184/klagomålsmail/A 10969-2022 FSC-klagomål mail.docx", "A 10969-2022")</f>
        <v/>
      </c>
      <c r="X118">
        <f>HYPERLINK("https://klasma.github.io/Logging_2184/tillsyn/A 10969-2022 tillsynsbegäran.docx", "A 10969-2022")</f>
        <v/>
      </c>
      <c r="Y118">
        <f>HYPERLINK("https://klasma.github.io/Logging_2184/tillsynsmail/A 10969-2022 tillsynsbegäran mail.docx", "A 10969-2022")</f>
        <v/>
      </c>
    </row>
    <row r="119" ht="15" customHeight="1">
      <c r="A119" t="inlineStr">
        <is>
          <t>A 18543-2022</t>
        </is>
      </c>
      <c r="B119" s="1" t="n">
        <v>44686</v>
      </c>
      <c r="C119" s="1" t="n">
        <v>45363</v>
      </c>
      <c r="D119" t="inlineStr">
        <is>
          <t>GÄVLEBORGS LÄN</t>
        </is>
      </c>
      <c r="E119" t="inlineStr">
        <is>
          <t>LJUSDAL</t>
        </is>
      </c>
      <c r="G119" t="n">
        <v>3.6</v>
      </c>
      <c r="H119" t="n">
        <v>1</v>
      </c>
      <c r="I119" t="n">
        <v>2</v>
      </c>
      <c r="J119" t="n">
        <v>1</v>
      </c>
      <c r="K119" t="n">
        <v>1</v>
      </c>
      <c r="L119" t="n">
        <v>0</v>
      </c>
      <c r="M119" t="n">
        <v>0</v>
      </c>
      <c r="N119" t="n">
        <v>0</v>
      </c>
      <c r="O119" t="n">
        <v>2</v>
      </c>
      <c r="P119" t="n">
        <v>1</v>
      </c>
      <c r="Q119" t="n">
        <v>4</v>
      </c>
      <c r="R119" s="2" t="inlineStr">
        <is>
          <t>Knärot
Vedtrappmossa
Bårdlav
Stuplav</t>
        </is>
      </c>
      <c r="S119">
        <f>HYPERLINK("https://klasma.github.io/Logging_2161/artfynd/A 18543-2022 artfynd.xlsx", "A 18543-2022")</f>
        <v/>
      </c>
      <c r="T119">
        <f>HYPERLINK("https://klasma.github.io/Logging_2161/kartor/A 18543-2022 karta.png", "A 18543-2022")</f>
        <v/>
      </c>
      <c r="U119">
        <f>HYPERLINK("https://klasma.github.io/Logging_2161/knärot/A 18543-2022 karta knärot.png", "A 18543-2022")</f>
        <v/>
      </c>
      <c r="V119">
        <f>HYPERLINK("https://klasma.github.io/Logging_2161/klagomål/A 18543-2022 FSC-klagomål.docx", "A 18543-2022")</f>
        <v/>
      </c>
      <c r="W119">
        <f>HYPERLINK("https://klasma.github.io/Logging_2161/klagomålsmail/A 18543-2022 FSC-klagomål mail.docx", "A 18543-2022")</f>
        <v/>
      </c>
      <c r="X119">
        <f>HYPERLINK("https://klasma.github.io/Logging_2161/tillsyn/A 18543-2022 tillsynsbegäran.docx", "A 18543-2022")</f>
        <v/>
      </c>
      <c r="Y119">
        <f>HYPERLINK("https://klasma.github.io/Logging_2161/tillsynsmail/A 18543-2022 tillsynsbegäran mail.docx", "A 18543-2022")</f>
        <v/>
      </c>
    </row>
    <row r="120" ht="15" customHeight="1">
      <c r="A120" t="inlineStr">
        <is>
          <t>A 18883-2022</t>
        </is>
      </c>
      <c r="B120" s="1" t="n">
        <v>44690</v>
      </c>
      <c r="C120" s="1" t="n">
        <v>45363</v>
      </c>
      <c r="D120" t="inlineStr">
        <is>
          <t>GÄVLEBORGS LÄN</t>
        </is>
      </c>
      <c r="E120" t="inlineStr">
        <is>
          <t>HUDIKSVALL</t>
        </is>
      </c>
      <c r="F120" t="inlineStr">
        <is>
          <t>Holmen skog AB</t>
        </is>
      </c>
      <c r="G120" t="n">
        <v>10.4</v>
      </c>
      <c r="H120" t="n">
        <v>2</v>
      </c>
      <c r="I120" t="n">
        <v>1</v>
      </c>
      <c r="J120" t="n">
        <v>1</v>
      </c>
      <c r="K120" t="n">
        <v>0</v>
      </c>
      <c r="L120" t="n">
        <v>0</v>
      </c>
      <c r="M120" t="n">
        <v>0</v>
      </c>
      <c r="N120" t="n">
        <v>0</v>
      </c>
      <c r="O120" t="n">
        <v>1</v>
      </c>
      <c r="P120" t="n">
        <v>0</v>
      </c>
      <c r="Q120" t="n">
        <v>4</v>
      </c>
      <c r="R120" s="2" t="inlineStr">
        <is>
          <t>Backruta
Ögonpyrola
Fläcknycklar
Gullviva</t>
        </is>
      </c>
      <c r="S120">
        <f>HYPERLINK("https://klasma.github.io/Logging_2184/artfynd/A 18883-2022 artfynd.xlsx", "A 18883-2022")</f>
        <v/>
      </c>
      <c r="T120">
        <f>HYPERLINK("https://klasma.github.io/Logging_2184/kartor/A 18883-2022 karta.png", "A 18883-2022")</f>
        <v/>
      </c>
      <c r="V120">
        <f>HYPERLINK("https://klasma.github.io/Logging_2184/klagomål/A 18883-2022 FSC-klagomål.docx", "A 18883-2022")</f>
        <v/>
      </c>
      <c r="W120">
        <f>HYPERLINK("https://klasma.github.io/Logging_2184/klagomålsmail/A 18883-2022 FSC-klagomål mail.docx", "A 18883-2022")</f>
        <v/>
      </c>
      <c r="X120">
        <f>HYPERLINK("https://klasma.github.io/Logging_2184/tillsyn/A 18883-2022 tillsynsbegäran.docx", "A 18883-2022")</f>
        <v/>
      </c>
      <c r="Y120">
        <f>HYPERLINK("https://klasma.github.io/Logging_2184/tillsynsmail/A 18883-2022 tillsynsbegäran mail.docx", "A 18883-2022")</f>
        <v/>
      </c>
    </row>
    <row r="121" ht="15" customHeight="1">
      <c r="A121" t="inlineStr">
        <is>
          <t>A 30311-2022</t>
        </is>
      </c>
      <c r="B121" s="1" t="n">
        <v>44760</v>
      </c>
      <c r="C121" s="1" t="n">
        <v>45363</v>
      </c>
      <c r="D121" t="inlineStr">
        <is>
          <t>GÄVLEBORGS LÄN</t>
        </is>
      </c>
      <c r="E121" t="inlineStr">
        <is>
          <t>LJUSDAL</t>
        </is>
      </c>
      <c r="F121" t="inlineStr">
        <is>
          <t>Bergvik skog väst AB</t>
        </is>
      </c>
      <c r="G121" t="n">
        <v>18.3</v>
      </c>
      <c r="H121" t="n">
        <v>0</v>
      </c>
      <c r="I121" t="n">
        <v>0</v>
      </c>
      <c r="J121" t="n">
        <v>4</v>
      </c>
      <c r="K121" t="n">
        <v>0</v>
      </c>
      <c r="L121" t="n">
        <v>0</v>
      </c>
      <c r="M121" t="n">
        <v>0</v>
      </c>
      <c r="N121" t="n">
        <v>0</v>
      </c>
      <c r="O121" t="n">
        <v>4</v>
      </c>
      <c r="P121" t="n">
        <v>0</v>
      </c>
      <c r="Q121" t="n">
        <v>4</v>
      </c>
      <c r="R121" s="2" t="inlineStr">
        <is>
          <t>Dvärgbägarlav
Mörk kolflarnlav
Vedflamlav
Vedskivlav</t>
        </is>
      </c>
      <c r="S121">
        <f>HYPERLINK("https://klasma.github.io/Logging_2161/artfynd/A 30311-2022 artfynd.xlsx", "A 30311-2022")</f>
        <v/>
      </c>
      <c r="T121">
        <f>HYPERLINK("https://klasma.github.io/Logging_2161/kartor/A 30311-2022 karta.png", "A 30311-2022")</f>
        <v/>
      </c>
      <c r="V121">
        <f>HYPERLINK("https://klasma.github.io/Logging_2161/klagomål/A 30311-2022 FSC-klagomål.docx", "A 30311-2022")</f>
        <v/>
      </c>
      <c r="W121">
        <f>HYPERLINK("https://klasma.github.io/Logging_2161/klagomålsmail/A 30311-2022 FSC-klagomål mail.docx", "A 30311-2022")</f>
        <v/>
      </c>
      <c r="X121">
        <f>HYPERLINK("https://klasma.github.io/Logging_2161/tillsyn/A 30311-2022 tillsynsbegäran.docx", "A 30311-2022")</f>
        <v/>
      </c>
      <c r="Y121">
        <f>HYPERLINK("https://klasma.github.io/Logging_2161/tillsynsmail/A 30311-2022 tillsynsbegäran mail.docx", "A 30311-2022")</f>
        <v/>
      </c>
    </row>
    <row r="122" ht="15" customHeight="1">
      <c r="A122" t="inlineStr">
        <is>
          <t>A 44589-2022</t>
        </is>
      </c>
      <c r="B122" s="1" t="n">
        <v>44840</v>
      </c>
      <c r="C122" s="1" t="n">
        <v>45363</v>
      </c>
      <c r="D122" t="inlineStr">
        <is>
          <t>GÄVLEBORGS LÄN</t>
        </is>
      </c>
      <c r="E122" t="inlineStr">
        <is>
          <t>NORDANSTIG</t>
        </is>
      </c>
      <c r="F122" t="inlineStr">
        <is>
          <t>Holmen skog AB</t>
        </is>
      </c>
      <c r="G122" t="n">
        <v>8.199999999999999</v>
      </c>
      <c r="H122" t="n">
        <v>0</v>
      </c>
      <c r="I122" t="n">
        <v>1</v>
      </c>
      <c r="J122" t="n">
        <v>3</v>
      </c>
      <c r="K122" t="n">
        <v>0</v>
      </c>
      <c r="L122" t="n">
        <v>0</v>
      </c>
      <c r="M122" t="n">
        <v>0</v>
      </c>
      <c r="N122" t="n">
        <v>0</v>
      </c>
      <c r="O122" t="n">
        <v>3</v>
      </c>
      <c r="P122" t="n">
        <v>0</v>
      </c>
      <c r="Q122" t="n">
        <v>4</v>
      </c>
      <c r="R122" s="2" t="inlineStr">
        <is>
          <t>Gammelgransskål
Vedtrappmossa
Vitgrynig nållav
Bollvitmossa</t>
        </is>
      </c>
      <c r="S122">
        <f>HYPERLINK("https://klasma.github.io/Logging_2132/artfynd/A 44589-2022 artfynd.xlsx", "A 44589-2022")</f>
        <v/>
      </c>
      <c r="T122">
        <f>HYPERLINK("https://klasma.github.io/Logging_2132/kartor/A 44589-2022 karta.png", "A 44589-2022")</f>
        <v/>
      </c>
      <c r="V122">
        <f>HYPERLINK("https://klasma.github.io/Logging_2132/klagomål/A 44589-2022 FSC-klagomål.docx", "A 44589-2022")</f>
        <v/>
      </c>
      <c r="W122">
        <f>HYPERLINK("https://klasma.github.io/Logging_2132/klagomålsmail/A 44589-2022 FSC-klagomål mail.docx", "A 44589-2022")</f>
        <v/>
      </c>
      <c r="X122">
        <f>HYPERLINK("https://klasma.github.io/Logging_2132/tillsyn/A 44589-2022 tillsynsbegäran.docx", "A 44589-2022")</f>
        <v/>
      </c>
      <c r="Y122">
        <f>HYPERLINK("https://klasma.github.io/Logging_2132/tillsynsmail/A 44589-2022 tillsynsbegäran mail.docx", "A 44589-2022")</f>
        <v/>
      </c>
    </row>
    <row r="123" ht="15" customHeight="1">
      <c r="A123" t="inlineStr">
        <is>
          <t>A 55473-2022</t>
        </is>
      </c>
      <c r="B123" s="1" t="n">
        <v>44887</v>
      </c>
      <c r="C123" s="1" t="n">
        <v>45363</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22978-2023</t>
        </is>
      </c>
      <c r="B124" s="1" t="n">
        <v>45072</v>
      </c>
      <c r="C124" s="1" t="n">
        <v>45363</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26675-2023</t>
        </is>
      </c>
      <c r="B125" s="1" t="n">
        <v>45093</v>
      </c>
      <c r="C125" s="1" t="n">
        <v>45363</v>
      </c>
      <c r="D125" t="inlineStr">
        <is>
          <t>GÄVLEBORGS LÄN</t>
        </is>
      </c>
      <c r="E125" t="inlineStr">
        <is>
          <t>LJUSDAL</t>
        </is>
      </c>
      <c r="F125" t="inlineStr">
        <is>
          <t>Sveaskog</t>
        </is>
      </c>
      <c r="G125" t="n">
        <v>8.300000000000001</v>
      </c>
      <c r="H125" t="n">
        <v>1</v>
      </c>
      <c r="I125" t="n">
        <v>0</v>
      </c>
      <c r="J125" t="n">
        <v>4</v>
      </c>
      <c r="K125" t="n">
        <v>0</v>
      </c>
      <c r="L125" t="n">
        <v>0</v>
      </c>
      <c r="M125" t="n">
        <v>0</v>
      </c>
      <c r="N125" t="n">
        <v>0</v>
      </c>
      <c r="O125" t="n">
        <v>4</v>
      </c>
      <c r="P125" t="n">
        <v>0</v>
      </c>
      <c r="Q125" t="n">
        <v>4</v>
      </c>
      <c r="R125" s="2" t="inlineStr">
        <is>
          <t>Garnlav
Kolflarnlav
Mörk kolflarnlav
Talltita</t>
        </is>
      </c>
      <c r="S125">
        <f>HYPERLINK("https://klasma.github.io/Logging_2161/artfynd/A 26675-2023 artfynd.xlsx", "A 26675-2023")</f>
        <v/>
      </c>
      <c r="T125">
        <f>HYPERLINK("https://klasma.github.io/Logging_2161/kartor/A 26675-2023 karta.png", "A 26675-2023")</f>
        <v/>
      </c>
      <c r="V125">
        <f>HYPERLINK("https://klasma.github.io/Logging_2161/klagomål/A 26675-2023 FSC-klagomål.docx", "A 26675-2023")</f>
        <v/>
      </c>
      <c r="W125">
        <f>HYPERLINK("https://klasma.github.io/Logging_2161/klagomålsmail/A 26675-2023 FSC-klagomål mail.docx", "A 26675-2023")</f>
        <v/>
      </c>
      <c r="X125">
        <f>HYPERLINK("https://klasma.github.io/Logging_2161/tillsyn/A 26675-2023 tillsynsbegäran.docx", "A 26675-2023")</f>
        <v/>
      </c>
      <c r="Y125">
        <f>HYPERLINK("https://klasma.github.io/Logging_2161/tillsynsmail/A 26675-2023 tillsynsbegäran mail.docx", "A 26675-2023")</f>
        <v/>
      </c>
      <c r="Z125">
        <f>HYPERLINK("https://klasma.github.io/Logging_2161/fåglar/A 26675-2023 prioriterade fågelarter.docx", "A 26675-2023")</f>
        <v/>
      </c>
    </row>
    <row r="126" ht="15" customHeight="1">
      <c r="A126" t="inlineStr">
        <is>
          <t>A 29544-2023</t>
        </is>
      </c>
      <c r="B126" s="1" t="n">
        <v>45106</v>
      </c>
      <c r="C126" s="1" t="n">
        <v>45363</v>
      </c>
      <c r="D126" t="inlineStr">
        <is>
          <t>GÄVLEBORGS LÄN</t>
        </is>
      </c>
      <c r="E126" t="inlineStr">
        <is>
          <t>OCKELBO</t>
        </is>
      </c>
      <c r="F126" t="inlineStr">
        <is>
          <t>Bergvik skog väst AB</t>
        </is>
      </c>
      <c r="G126" t="n">
        <v>6.5</v>
      </c>
      <c r="H126" t="n">
        <v>3</v>
      </c>
      <c r="I126" t="n">
        <v>2</v>
      </c>
      <c r="J126" t="n">
        <v>0</v>
      </c>
      <c r="K126" t="n">
        <v>0</v>
      </c>
      <c r="L126" t="n">
        <v>0</v>
      </c>
      <c r="M126" t="n">
        <v>0</v>
      </c>
      <c r="N126" t="n">
        <v>0</v>
      </c>
      <c r="O126" t="n">
        <v>0</v>
      </c>
      <c r="P126" t="n">
        <v>0</v>
      </c>
      <c r="Q126" t="n">
        <v>4</v>
      </c>
      <c r="R126" s="2" t="inlineStr">
        <is>
          <t>Skogsknipprot
Vårärt
Blåsippa
Revlummer</t>
        </is>
      </c>
      <c r="S126">
        <f>HYPERLINK("https://klasma.github.io/Logging_2101/artfynd/A 29544-2023 artfynd.xlsx", "A 29544-2023")</f>
        <v/>
      </c>
      <c r="T126">
        <f>HYPERLINK("https://klasma.github.io/Logging_2101/kartor/A 29544-2023 karta.png", "A 29544-2023")</f>
        <v/>
      </c>
      <c r="V126">
        <f>HYPERLINK("https://klasma.github.io/Logging_2101/klagomål/A 29544-2023 FSC-klagomål.docx", "A 29544-2023")</f>
        <v/>
      </c>
      <c r="W126">
        <f>HYPERLINK("https://klasma.github.io/Logging_2101/klagomålsmail/A 29544-2023 FSC-klagomål mail.docx", "A 29544-2023")</f>
        <v/>
      </c>
      <c r="X126">
        <f>HYPERLINK("https://klasma.github.io/Logging_2101/tillsyn/A 29544-2023 tillsynsbegäran.docx", "A 29544-2023")</f>
        <v/>
      </c>
      <c r="Y126">
        <f>HYPERLINK("https://klasma.github.io/Logging_2101/tillsynsmail/A 29544-2023 tillsynsbegäran mail.docx", "A 29544-2023")</f>
        <v/>
      </c>
    </row>
    <row r="127" ht="15" customHeight="1">
      <c r="A127" t="inlineStr">
        <is>
          <t>A 36672-2023</t>
        </is>
      </c>
      <c r="B127" s="1" t="n">
        <v>45153</v>
      </c>
      <c r="C127" s="1" t="n">
        <v>45363</v>
      </c>
      <c r="D127" t="inlineStr">
        <is>
          <t>GÄVLEBORGS LÄN</t>
        </is>
      </c>
      <c r="E127" t="inlineStr">
        <is>
          <t>SANDVIKEN</t>
        </is>
      </c>
      <c r="G127" t="n">
        <v>6.4</v>
      </c>
      <c r="H127" t="n">
        <v>4</v>
      </c>
      <c r="I127" t="n">
        <v>0</v>
      </c>
      <c r="J127" t="n">
        <v>0</v>
      </c>
      <c r="K127" t="n">
        <v>0</v>
      </c>
      <c r="L127" t="n">
        <v>0</v>
      </c>
      <c r="M127" t="n">
        <v>0</v>
      </c>
      <c r="N127" t="n">
        <v>0</v>
      </c>
      <c r="O127" t="n">
        <v>0</v>
      </c>
      <c r="P127" t="n">
        <v>0</v>
      </c>
      <c r="Q127" t="n">
        <v>4</v>
      </c>
      <c r="R127" s="2" t="inlineStr">
        <is>
          <t>Större vattensalamander
Åkergroda
Mindre vattensalamander
Vanlig groda</t>
        </is>
      </c>
      <c r="S127">
        <f>HYPERLINK("https://klasma.github.io/Logging_2181/artfynd/A 36672-2023 artfynd.xlsx", "A 36672-2023")</f>
        <v/>
      </c>
      <c r="T127">
        <f>HYPERLINK("https://klasma.github.io/Logging_2181/kartor/A 36672-2023 karta.png", "A 36672-2023")</f>
        <v/>
      </c>
      <c r="V127">
        <f>HYPERLINK("https://klasma.github.io/Logging_2181/klagomål/A 36672-2023 FSC-klagomål.docx", "A 36672-2023")</f>
        <v/>
      </c>
      <c r="W127">
        <f>HYPERLINK("https://klasma.github.io/Logging_2181/klagomålsmail/A 36672-2023 FSC-klagomål mail.docx", "A 36672-2023")</f>
        <v/>
      </c>
      <c r="X127">
        <f>HYPERLINK("https://klasma.github.io/Logging_2181/tillsyn/A 36672-2023 tillsynsbegäran.docx", "A 36672-2023")</f>
        <v/>
      </c>
      <c r="Y127">
        <f>HYPERLINK("https://klasma.github.io/Logging_2181/tillsynsmail/A 36672-2023 tillsynsbegäran mail.docx", "A 36672-2023")</f>
        <v/>
      </c>
    </row>
    <row r="128" ht="15" customHeight="1">
      <c r="A128" t="inlineStr">
        <is>
          <t>A 38738-2023</t>
        </is>
      </c>
      <c r="B128" s="1" t="n">
        <v>45163</v>
      </c>
      <c r="C128" s="1" t="n">
        <v>45363</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45196-2023</t>
        </is>
      </c>
      <c r="B129" s="1" t="n">
        <v>45191</v>
      </c>
      <c r="C129" s="1" t="n">
        <v>45363</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45363</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45363</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45363</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45363</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45363</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45363</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45363</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45363</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45363</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45363</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43562-2018</t>
        </is>
      </c>
      <c r="B140" s="1" t="n">
        <v>43357</v>
      </c>
      <c r="C140" s="1" t="n">
        <v>45363</v>
      </c>
      <c r="D140" t="inlineStr">
        <is>
          <t>GÄVLEBORGS LÄN</t>
        </is>
      </c>
      <c r="E140" t="inlineStr">
        <is>
          <t>LJUSDAL</t>
        </is>
      </c>
      <c r="G140" t="n">
        <v>64.59999999999999</v>
      </c>
      <c r="H140" t="n">
        <v>3</v>
      </c>
      <c r="I140" t="n">
        <v>0</v>
      </c>
      <c r="J140" t="n">
        <v>3</v>
      </c>
      <c r="K140" t="n">
        <v>0</v>
      </c>
      <c r="L140" t="n">
        <v>0</v>
      </c>
      <c r="M140" t="n">
        <v>0</v>
      </c>
      <c r="N140" t="n">
        <v>0</v>
      </c>
      <c r="O140" t="n">
        <v>3</v>
      </c>
      <c r="P140" t="n">
        <v>0</v>
      </c>
      <c r="Q140" t="n">
        <v>3</v>
      </c>
      <c r="R140" s="2" t="inlineStr">
        <is>
          <t>Björktrast
Rödvingetrast
Tretåig hackspett</t>
        </is>
      </c>
      <c r="S140">
        <f>HYPERLINK("https://klasma.github.io/Logging_2161/artfynd/A 43562-2018 artfynd.xlsx", "A 43562-2018")</f>
        <v/>
      </c>
      <c r="T140">
        <f>HYPERLINK("https://klasma.github.io/Logging_2161/kartor/A 43562-2018 karta.png", "A 43562-2018")</f>
        <v/>
      </c>
      <c r="V140">
        <f>HYPERLINK("https://klasma.github.io/Logging_2161/klagomål/A 43562-2018 FSC-klagomål.docx", "A 43562-2018")</f>
        <v/>
      </c>
      <c r="W140">
        <f>HYPERLINK("https://klasma.github.io/Logging_2161/klagomålsmail/A 43562-2018 FSC-klagomål mail.docx", "A 43562-2018")</f>
        <v/>
      </c>
      <c r="X140">
        <f>HYPERLINK("https://klasma.github.io/Logging_2161/tillsyn/A 43562-2018 tillsynsbegäran.docx", "A 43562-2018")</f>
        <v/>
      </c>
      <c r="Y140">
        <f>HYPERLINK("https://klasma.github.io/Logging_2161/tillsynsmail/A 43562-2018 tillsynsbegäran mail.docx", "A 43562-2018")</f>
        <v/>
      </c>
      <c r="Z140">
        <f>HYPERLINK("https://klasma.github.io/Logging_2161/fåglar/A 43562-2018 prioriterade fågelarter.docx", "A 43562-2018")</f>
        <v/>
      </c>
    </row>
    <row r="141" ht="15" customHeight="1">
      <c r="A141" t="inlineStr">
        <is>
          <t>A 21895-2019</t>
        </is>
      </c>
      <c r="B141" s="1" t="n">
        <v>43584</v>
      </c>
      <c r="C141" s="1" t="n">
        <v>45363</v>
      </c>
      <c r="D141" t="inlineStr">
        <is>
          <t>GÄVLEBORGS LÄN</t>
        </is>
      </c>
      <c r="E141" t="inlineStr">
        <is>
          <t>HUDIKSVALL</t>
        </is>
      </c>
      <c r="F141" t="inlineStr">
        <is>
          <t>Holmen skog AB</t>
        </is>
      </c>
      <c r="G141" t="n">
        <v>5.6</v>
      </c>
      <c r="H141" t="n">
        <v>1</v>
      </c>
      <c r="I141" t="n">
        <v>1</v>
      </c>
      <c r="J141" t="n">
        <v>0</v>
      </c>
      <c r="K141" t="n">
        <v>2</v>
      </c>
      <c r="L141" t="n">
        <v>0</v>
      </c>
      <c r="M141" t="n">
        <v>0</v>
      </c>
      <c r="N141" t="n">
        <v>0</v>
      </c>
      <c r="O141" t="n">
        <v>2</v>
      </c>
      <c r="P141" t="n">
        <v>2</v>
      </c>
      <c r="Q141" t="n">
        <v>3</v>
      </c>
      <c r="R141" s="2" t="inlineStr">
        <is>
          <t>Blackticka
Knärot
Bågpraktmossa</t>
        </is>
      </c>
      <c r="S141">
        <f>HYPERLINK("https://klasma.github.io/Logging_2184/artfynd/A 21895-2019 artfynd.xlsx", "A 21895-2019")</f>
        <v/>
      </c>
      <c r="T141">
        <f>HYPERLINK("https://klasma.github.io/Logging_2184/kartor/A 21895-2019 karta.png", "A 21895-2019")</f>
        <v/>
      </c>
      <c r="U141">
        <f>HYPERLINK("https://klasma.github.io/Logging_2184/knärot/A 21895-2019 karta knärot.png", "A 21895-2019")</f>
        <v/>
      </c>
      <c r="V141">
        <f>HYPERLINK("https://klasma.github.io/Logging_2184/klagomål/A 21895-2019 FSC-klagomål.docx", "A 21895-2019")</f>
        <v/>
      </c>
      <c r="W141">
        <f>HYPERLINK("https://klasma.github.io/Logging_2184/klagomålsmail/A 21895-2019 FSC-klagomål mail.docx", "A 21895-2019")</f>
        <v/>
      </c>
      <c r="X141">
        <f>HYPERLINK("https://klasma.github.io/Logging_2184/tillsyn/A 21895-2019 tillsynsbegäran.docx", "A 21895-2019")</f>
        <v/>
      </c>
      <c r="Y141">
        <f>HYPERLINK("https://klasma.github.io/Logging_2184/tillsynsmail/A 21895-2019 tillsynsbegäran mail.docx", "A 21895-2019")</f>
        <v/>
      </c>
    </row>
    <row r="142" ht="15" customHeight="1">
      <c r="A142" t="inlineStr">
        <is>
          <t>A 27404-2019</t>
        </is>
      </c>
      <c r="B142" s="1" t="n">
        <v>43616</v>
      </c>
      <c r="C142" s="1" t="n">
        <v>45363</v>
      </c>
      <c r="D142" t="inlineStr">
        <is>
          <t>GÄVLEBORGS LÄN</t>
        </is>
      </c>
      <c r="E142" t="inlineStr">
        <is>
          <t>OVANÅKER</t>
        </is>
      </c>
      <c r="F142" t="inlineStr">
        <is>
          <t>Bergvik skog väst AB</t>
        </is>
      </c>
      <c r="G142" t="n">
        <v>1.3</v>
      </c>
      <c r="H142" t="n">
        <v>0</v>
      </c>
      <c r="I142" t="n">
        <v>1</v>
      </c>
      <c r="J142" t="n">
        <v>2</v>
      </c>
      <c r="K142" t="n">
        <v>0</v>
      </c>
      <c r="L142" t="n">
        <v>0</v>
      </c>
      <c r="M142" t="n">
        <v>0</v>
      </c>
      <c r="N142" t="n">
        <v>0</v>
      </c>
      <c r="O142" t="n">
        <v>2</v>
      </c>
      <c r="P142" t="n">
        <v>0</v>
      </c>
      <c r="Q142" t="n">
        <v>3</v>
      </c>
      <c r="R142" s="2" t="inlineStr">
        <is>
          <t>Tallticka
Vedskivlav
Mindre märgborre</t>
        </is>
      </c>
      <c r="S142">
        <f>HYPERLINK("https://klasma.github.io/Logging_2121/artfynd/A 27404-2019 artfynd.xlsx", "A 27404-2019")</f>
        <v/>
      </c>
      <c r="T142">
        <f>HYPERLINK("https://klasma.github.io/Logging_2121/kartor/A 27404-2019 karta.png", "A 27404-2019")</f>
        <v/>
      </c>
      <c r="V142">
        <f>HYPERLINK("https://klasma.github.io/Logging_2121/klagomål/A 27404-2019 FSC-klagomål.docx", "A 27404-2019")</f>
        <v/>
      </c>
      <c r="W142">
        <f>HYPERLINK("https://klasma.github.io/Logging_2121/klagomålsmail/A 27404-2019 FSC-klagomål mail.docx", "A 27404-2019")</f>
        <v/>
      </c>
      <c r="X142">
        <f>HYPERLINK("https://klasma.github.io/Logging_2121/tillsyn/A 27404-2019 tillsynsbegäran.docx", "A 27404-2019")</f>
        <v/>
      </c>
      <c r="Y142">
        <f>HYPERLINK("https://klasma.github.io/Logging_2121/tillsynsmail/A 27404-2019 tillsynsbegäran mail.docx", "A 27404-2019")</f>
        <v/>
      </c>
    </row>
    <row r="143" ht="15" customHeight="1">
      <c r="A143" t="inlineStr">
        <is>
          <t>A 29664-2019</t>
        </is>
      </c>
      <c r="B143" s="1" t="n">
        <v>43628</v>
      </c>
      <c r="C143" s="1" t="n">
        <v>45363</v>
      </c>
      <c r="D143" t="inlineStr">
        <is>
          <t>GÄVLEBORGS LÄN</t>
        </is>
      </c>
      <c r="E143" t="inlineStr">
        <is>
          <t>LJUSDAL</t>
        </is>
      </c>
      <c r="F143" t="inlineStr">
        <is>
          <t>Holmen skog AB</t>
        </is>
      </c>
      <c r="G143" t="n">
        <v>3.1</v>
      </c>
      <c r="H143" t="n">
        <v>1</v>
      </c>
      <c r="I143" t="n">
        <v>1</v>
      </c>
      <c r="J143" t="n">
        <v>1</v>
      </c>
      <c r="K143" t="n">
        <v>1</v>
      </c>
      <c r="L143" t="n">
        <v>0</v>
      </c>
      <c r="M143" t="n">
        <v>0</v>
      </c>
      <c r="N143" t="n">
        <v>0</v>
      </c>
      <c r="O143" t="n">
        <v>2</v>
      </c>
      <c r="P143" t="n">
        <v>1</v>
      </c>
      <c r="Q143" t="n">
        <v>3</v>
      </c>
      <c r="R143" s="2" t="inlineStr">
        <is>
          <t>Knärot
Ullticka
Dropptaggsvamp</t>
        </is>
      </c>
      <c r="S143">
        <f>HYPERLINK("https://klasma.github.io/Logging_2161/artfynd/A 29664-2019 artfynd.xlsx", "A 29664-2019")</f>
        <v/>
      </c>
      <c r="T143">
        <f>HYPERLINK("https://klasma.github.io/Logging_2161/kartor/A 29664-2019 karta.png", "A 29664-2019")</f>
        <v/>
      </c>
      <c r="U143">
        <f>HYPERLINK("https://klasma.github.io/Logging_2161/knärot/A 29664-2019 karta knärot.png", "A 29664-2019")</f>
        <v/>
      </c>
      <c r="V143">
        <f>HYPERLINK("https://klasma.github.io/Logging_2161/klagomål/A 29664-2019 FSC-klagomål.docx", "A 29664-2019")</f>
        <v/>
      </c>
      <c r="W143">
        <f>HYPERLINK("https://klasma.github.io/Logging_2161/klagomålsmail/A 29664-2019 FSC-klagomål mail.docx", "A 29664-2019")</f>
        <v/>
      </c>
      <c r="X143">
        <f>HYPERLINK("https://klasma.github.io/Logging_2161/tillsyn/A 29664-2019 tillsynsbegäran.docx", "A 29664-2019")</f>
        <v/>
      </c>
      <c r="Y143">
        <f>HYPERLINK("https://klasma.github.io/Logging_2161/tillsynsmail/A 29664-2019 tillsynsbegäran mail.docx", "A 29664-2019")</f>
        <v/>
      </c>
    </row>
    <row r="144" ht="15" customHeight="1">
      <c r="A144" t="inlineStr">
        <is>
          <t>A 30590-2019</t>
        </is>
      </c>
      <c r="B144" s="1" t="n">
        <v>43635</v>
      </c>
      <c r="C144" s="1" t="n">
        <v>45363</v>
      </c>
      <c r="D144" t="inlineStr">
        <is>
          <t>GÄVLEBORGS LÄN</t>
        </is>
      </c>
      <c r="E144" t="inlineStr">
        <is>
          <t>HOFORS</t>
        </is>
      </c>
      <c r="F144" t="inlineStr">
        <is>
          <t>Sveaskog</t>
        </is>
      </c>
      <c r="G144" t="n">
        <v>7.2</v>
      </c>
      <c r="H144" t="n">
        <v>2</v>
      </c>
      <c r="I144" t="n">
        <v>1</v>
      </c>
      <c r="J144" t="n">
        <v>1</v>
      </c>
      <c r="K144" t="n">
        <v>1</v>
      </c>
      <c r="L144" t="n">
        <v>0</v>
      </c>
      <c r="M144" t="n">
        <v>0</v>
      </c>
      <c r="N144" t="n">
        <v>0</v>
      </c>
      <c r="O144" t="n">
        <v>2</v>
      </c>
      <c r="P144" t="n">
        <v>1</v>
      </c>
      <c r="Q144" t="n">
        <v>3</v>
      </c>
      <c r="R144" s="2" t="inlineStr">
        <is>
          <t>Knärot
Kortskaftad ärgspik
Plattlummer</t>
        </is>
      </c>
      <c r="S144">
        <f>HYPERLINK("https://klasma.github.io/Logging_2104/artfynd/A 30590-2019 artfynd.xlsx", "A 30590-2019")</f>
        <v/>
      </c>
      <c r="T144">
        <f>HYPERLINK("https://klasma.github.io/Logging_2104/kartor/A 30590-2019 karta.png", "A 30590-2019")</f>
        <v/>
      </c>
      <c r="U144">
        <f>HYPERLINK("https://klasma.github.io/Logging_2104/knärot/A 30590-2019 karta knärot.png", "A 30590-2019")</f>
        <v/>
      </c>
      <c r="V144">
        <f>HYPERLINK("https://klasma.github.io/Logging_2104/klagomål/A 30590-2019 FSC-klagomål.docx", "A 30590-2019")</f>
        <v/>
      </c>
      <c r="W144">
        <f>HYPERLINK("https://klasma.github.io/Logging_2104/klagomålsmail/A 30590-2019 FSC-klagomål mail.docx", "A 30590-2019")</f>
        <v/>
      </c>
      <c r="X144">
        <f>HYPERLINK("https://klasma.github.io/Logging_2104/tillsyn/A 30590-2019 tillsynsbegäran.docx", "A 30590-2019")</f>
        <v/>
      </c>
      <c r="Y144">
        <f>HYPERLINK("https://klasma.github.io/Logging_2104/tillsynsmail/A 30590-2019 tillsynsbegäran mail.docx", "A 30590-2019")</f>
        <v/>
      </c>
    </row>
    <row r="145" ht="15" customHeight="1">
      <c r="A145" t="inlineStr">
        <is>
          <t>A 67390-2019</t>
        </is>
      </c>
      <c r="B145" s="1" t="n">
        <v>43812</v>
      </c>
      <c r="C145" s="1" t="n">
        <v>45363</v>
      </c>
      <c r="D145" t="inlineStr">
        <is>
          <t>GÄVLEBORGS LÄN</t>
        </is>
      </c>
      <c r="E145" t="inlineStr">
        <is>
          <t>GÄVLE</t>
        </is>
      </c>
      <c r="F145" t="inlineStr">
        <is>
          <t>Kommuner</t>
        </is>
      </c>
      <c r="G145" t="n">
        <v>7.8</v>
      </c>
      <c r="H145" t="n">
        <v>1</v>
      </c>
      <c r="I145" t="n">
        <v>3</v>
      </c>
      <c r="J145" t="n">
        <v>0</v>
      </c>
      <c r="K145" t="n">
        <v>0</v>
      </c>
      <c r="L145" t="n">
        <v>0</v>
      </c>
      <c r="M145" t="n">
        <v>0</v>
      </c>
      <c r="N145" t="n">
        <v>0</v>
      </c>
      <c r="O145" t="n">
        <v>0</v>
      </c>
      <c r="P145" t="n">
        <v>0</v>
      </c>
      <c r="Q145" t="n">
        <v>3</v>
      </c>
      <c r="R145" s="2" t="inlineStr">
        <is>
          <t>Grön sköldmossa
Mörk husmossa
Skogshakmossa</t>
        </is>
      </c>
      <c r="S145">
        <f>HYPERLINK("https://klasma.github.io/Logging_2180/artfynd/A 67390-2019 artfynd.xlsx", "A 67390-2019")</f>
        <v/>
      </c>
      <c r="T145">
        <f>HYPERLINK("https://klasma.github.io/Logging_2180/kartor/A 67390-2019 karta.png", "A 67390-2019")</f>
        <v/>
      </c>
      <c r="V145">
        <f>HYPERLINK("https://klasma.github.io/Logging_2180/klagomål/A 67390-2019 FSC-klagomål.docx", "A 67390-2019")</f>
        <v/>
      </c>
      <c r="W145">
        <f>HYPERLINK("https://klasma.github.io/Logging_2180/klagomålsmail/A 67390-2019 FSC-klagomål mail.docx", "A 67390-2019")</f>
        <v/>
      </c>
      <c r="X145">
        <f>HYPERLINK("https://klasma.github.io/Logging_2180/tillsyn/A 67390-2019 tillsynsbegäran.docx", "A 67390-2019")</f>
        <v/>
      </c>
      <c r="Y145">
        <f>HYPERLINK("https://klasma.github.io/Logging_2180/tillsynsmail/A 67390-2019 tillsynsbegäran mail.docx", "A 67390-2019")</f>
        <v/>
      </c>
    </row>
    <row r="146" ht="15" customHeight="1">
      <c r="A146" t="inlineStr">
        <is>
          <t>A 3258-2020</t>
        </is>
      </c>
      <c r="B146" s="1" t="n">
        <v>43852</v>
      </c>
      <c r="C146" s="1" t="n">
        <v>45363</v>
      </c>
      <c r="D146" t="inlineStr">
        <is>
          <t>GÄVLEBORGS LÄN</t>
        </is>
      </c>
      <c r="E146" t="inlineStr">
        <is>
          <t>LJUSDAL</t>
        </is>
      </c>
      <c r="F146" t="inlineStr">
        <is>
          <t>Sveaskog</t>
        </is>
      </c>
      <c r="G146" t="n">
        <v>4.3</v>
      </c>
      <c r="H146" t="n">
        <v>1</v>
      </c>
      <c r="I146" t="n">
        <v>1</v>
      </c>
      <c r="J146" t="n">
        <v>1</v>
      </c>
      <c r="K146" t="n">
        <v>1</v>
      </c>
      <c r="L146" t="n">
        <v>0</v>
      </c>
      <c r="M146" t="n">
        <v>0</v>
      </c>
      <c r="N146" t="n">
        <v>0</v>
      </c>
      <c r="O146" t="n">
        <v>2</v>
      </c>
      <c r="P146" t="n">
        <v>1</v>
      </c>
      <c r="Q146" t="n">
        <v>3</v>
      </c>
      <c r="R146" s="2" t="inlineStr">
        <is>
          <t>Knärot
Tallticka
Dropptaggsvamp</t>
        </is>
      </c>
      <c r="S146">
        <f>HYPERLINK("https://klasma.github.io/Logging_2161/artfynd/A 3258-2020 artfynd.xlsx", "A 3258-2020")</f>
        <v/>
      </c>
      <c r="T146">
        <f>HYPERLINK("https://klasma.github.io/Logging_2161/kartor/A 3258-2020 karta.png", "A 3258-2020")</f>
        <v/>
      </c>
      <c r="U146">
        <f>HYPERLINK("https://klasma.github.io/Logging_2161/knärot/A 3258-2020 karta knärot.png", "A 3258-2020")</f>
        <v/>
      </c>
      <c r="V146">
        <f>HYPERLINK("https://klasma.github.io/Logging_2161/klagomål/A 3258-2020 FSC-klagomål.docx", "A 3258-2020")</f>
        <v/>
      </c>
      <c r="W146">
        <f>HYPERLINK("https://klasma.github.io/Logging_2161/klagomålsmail/A 3258-2020 FSC-klagomål mail.docx", "A 3258-2020")</f>
        <v/>
      </c>
      <c r="X146">
        <f>HYPERLINK("https://klasma.github.io/Logging_2161/tillsyn/A 3258-2020 tillsynsbegäran.docx", "A 3258-2020")</f>
        <v/>
      </c>
      <c r="Y146">
        <f>HYPERLINK("https://klasma.github.io/Logging_2161/tillsynsmail/A 3258-2020 tillsynsbegäran mail.docx", "A 3258-2020")</f>
        <v/>
      </c>
    </row>
    <row r="147" ht="15" customHeight="1">
      <c r="A147" t="inlineStr">
        <is>
          <t>A 7558-2020</t>
        </is>
      </c>
      <c r="B147" s="1" t="n">
        <v>43872</v>
      </c>
      <c r="C147" s="1" t="n">
        <v>45363</v>
      </c>
      <c r="D147" t="inlineStr">
        <is>
          <t>GÄVLEBORGS LÄN</t>
        </is>
      </c>
      <c r="E147" t="inlineStr">
        <is>
          <t>LJUSDAL</t>
        </is>
      </c>
      <c r="G147" t="n">
        <v>2.9</v>
      </c>
      <c r="H147" t="n">
        <v>0</v>
      </c>
      <c r="I147" t="n">
        <v>1</v>
      </c>
      <c r="J147" t="n">
        <v>2</v>
      </c>
      <c r="K147" t="n">
        <v>0</v>
      </c>
      <c r="L147" t="n">
        <v>0</v>
      </c>
      <c r="M147" t="n">
        <v>0</v>
      </c>
      <c r="N147" t="n">
        <v>0</v>
      </c>
      <c r="O147" t="n">
        <v>2</v>
      </c>
      <c r="P147" t="n">
        <v>0</v>
      </c>
      <c r="Q147" t="n">
        <v>3</v>
      </c>
      <c r="R147" s="2" t="inlineStr">
        <is>
          <t>Dvärgbägarlav
Vedskivlav
Dropptaggsvamp</t>
        </is>
      </c>
      <c r="S147">
        <f>HYPERLINK("https://klasma.github.io/Logging_2161/artfynd/A 7558-2020 artfynd.xlsx", "A 7558-2020")</f>
        <v/>
      </c>
      <c r="T147">
        <f>HYPERLINK("https://klasma.github.io/Logging_2161/kartor/A 7558-2020 karta.png", "A 7558-2020")</f>
        <v/>
      </c>
      <c r="V147">
        <f>HYPERLINK("https://klasma.github.io/Logging_2161/klagomål/A 7558-2020 FSC-klagomål.docx", "A 7558-2020")</f>
        <v/>
      </c>
      <c r="W147">
        <f>HYPERLINK("https://klasma.github.io/Logging_2161/klagomålsmail/A 7558-2020 FSC-klagomål mail.docx", "A 7558-2020")</f>
        <v/>
      </c>
      <c r="X147">
        <f>HYPERLINK("https://klasma.github.io/Logging_2161/tillsyn/A 7558-2020 tillsynsbegäran.docx", "A 7558-2020")</f>
        <v/>
      </c>
      <c r="Y147">
        <f>HYPERLINK("https://klasma.github.io/Logging_2161/tillsynsmail/A 7558-2020 tillsynsbegäran mail.docx", "A 7558-2020")</f>
        <v/>
      </c>
    </row>
    <row r="148" ht="15" customHeight="1">
      <c r="A148" t="inlineStr">
        <is>
          <t>A 24470-2020</t>
        </is>
      </c>
      <c r="B148" s="1" t="n">
        <v>43977</v>
      </c>
      <c r="C148" s="1" t="n">
        <v>45363</v>
      </c>
      <c r="D148" t="inlineStr">
        <is>
          <t>GÄVLEBORGS LÄN</t>
        </is>
      </c>
      <c r="E148" t="inlineStr">
        <is>
          <t>LJUSDAL</t>
        </is>
      </c>
      <c r="F148" t="inlineStr">
        <is>
          <t>Naturvårdsverket</t>
        </is>
      </c>
      <c r="G148" t="n">
        <v>2.5</v>
      </c>
      <c r="H148" t="n">
        <v>1</v>
      </c>
      <c r="I148" t="n">
        <v>0</v>
      </c>
      <c r="J148" t="n">
        <v>2</v>
      </c>
      <c r="K148" t="n">
        <v>0</v>
      </c>
      <c r="L148" t="n">
        <v>0</v>
      </c>
      <c r="M148" t="n">
        <v>0</v>
      </c>
      <c r="N148" t="n">
        <v>0</v>
      </c>
      <c r="O148" t="n">
        <v>2</v>
      </c>
      <c r="P148" t="n">
        <v>0</v>
      </c>
      <c r="Q148" t="n">
        <v>3</v>
      </c>
      <c r="R148" s="2" t="inlineStr">
        <is>
          <t>Garnlav
Mörk kolflarnlav
Nattviol</t>
        </is>
      </c>
      <c r="S148">
        <f>HYPERLINK("https://klasma.github.io/Logging_2161/artfynd/A 24470-2020 artfynd.xlsx", "A 24470-2020")</f>
        <v/>
      </c>
      <c r="T148">
        <f>HYPERLINK("https://klasma.github.io/Logging_2161/kartor/A 24470-2020 karta.png", "A 24470-2020")</f>
        <v/>
      </c>
      <c r="V148">
        <f>HYPERLINK("https://klasma.github.io/Logging_2161/klagomål/A 24470-2020 FSC-klagomål.docx", "A 24470-2020")</f>
        <v/>
      </c>
      <c r="W148">
        <f>HYPERLINK("https://klasma.github.io/Logging_2161/klagomålsmail/A 24470-2020 FSC-klagomål mail.docx", "A 24470-2020")</f>
        <v/>
      </c>
      <c r="X148">
        <f>HYPERLINK("https://klasma.github.io/Logging_2161/tillsyn/A 24470-2020 tillsynsbegäran.docx", "A 24470-2020")</f>
        <v/>
      </c>
      <c r="Y148">
        <f>HYPERLINK("https://klasma.github.io/Logging_2161/tillsynsmail/A 24470-2020 tillsynsbegäran mail.docx", "A 24470-2020")</f>
        <v/>
      </c>
    </row>
    <row r="149" ht="15" customHeight="1">
      <c r="A149" t="inlineStr">
        <is>
          <t>A 33767-2020</t>
        </is>
      </c>
      <c r="B149" s="1" t="n">
        <v>44026</v>
      </c>
      <c r="C149" s="1" t="n">
        <v>45363</v>
      </c>
      <c r="D149" t="inlineStr">
        <is>
          <t>GÄVLEBORGS LÄN</t>
        </is>
      </c>
      <c r="E149" t="inlineStr">
        <is>
          <t>SÖDERHAMN</t>
        </is>
      </c>
      <c r="G149" t="n">
        <v>5.3</v>
      </c>
      <c r="H149" t="n">
        <v>2</v>
      </c>
      <c r="I149" t="n">
        <v>1</v>
      </c>
      <c r="J149" t="n">
        <v>0</v>
      </c>
      <c r="K149" t="n">
        <v>1</v>
      </c>
      <c r="L149" t="n">
        <v>0</v>
      </c>
      <c r="M149" t="n">
        <v>0</v>
      </c>
      <c r="N149" t="n">
        <v>0</v>
      </c>
      <c r="O149" t="n">
        <v>1</v>
      </c>
      <c r="P149" t="n">
        <v>1</v>
      </c>
      <c r="Q149" t="n">
        <v>3</v>
      </c>
      <c r="R149" s="2" t="inlineStr">
        <is>
          <t>Knärot
Bollvitmossa
Revlummer</t>
        </is>
      </c>
      <c r="S149">
        <f>HYPERLINK("https://klasma.github.io/Logging_2182/artfynd/A 33767-2020 artfynd.xlsx", "A 33767-2020")</f>
        <v/>
      </c>
      <c r="T149">
        <f>HYPERLINK("https://klasma.github.io/Logging_2182/kartor/A 33767-2020 karta.png", "A 33767-2020")</f>
        <v/>
      </c>
      <c r="U149">
        <f>HYPERLINK("https://klasma.github.io/Logging_2182/knärot/A 33767-2020 karta knärot.png", "A 33767-2020")</f>
        <v/>
      </c>
      <c r="V149">
        <f>HYPERLINK("https://klasma.github.io/Logging_2182/klagomål/A 33767-2020 FSC-klagomål.docx", "A 33767-2020")</f>
        <v/>
      </c>
      <c r="W149">
        <f>HYPERLINK("https://klasma.github.io/Logging_2182/klagomålsmail/A 33767-2020 FSC-klagomål mail.docx", "A 33767-2020")</f>
        <v/>
      </c>
      <c r="X149">
        <f>HYPERLINK("https://klasma.github.io/Logging_2182/tillsyn/A 33767-2020 tillsynsbegäran.docx", "A 33767-2020")</f>
        <v/>
      </c>
      <c r="Y149">
        <f>HYPERLINK("https://klasma.github.io/Logging_2182/tillsynsmail/A 33767-2020 tillsynsbegäran mail.docx", "A 33767-2020")</f>
        <v/>
      </c>
    </row>
    <row r="150" ht="15" customHeight="1">
      <c r="A150" t="inlineStr">
        <is>
          <t>A 56429-2020</t>
        </is>
      </c>
      <c r="B150" s="1" t="n">
        <v>44137</v>
      </c>
      <c r="C150" s="1" t="n">
        <v>45363</v>
      </c>
      <c r="D150" t="inlineStr">
        <is>
          <t>GÄVLEBORGS LÄN</t>
        </is>
      </c>
      <c r="E150" t="inlineStr">
        <is>
          <t>HUDIKSVALL</t>
        </is>
      </c>
      <c r="F150" t="inlineStr">
        <is>
          <t>Holmen skog AB</t>
        </is>
      </c>
      <c r="G150" t="n">
        <v>11.1</v>
      </c>
      <c r="H150" t="n">
        <v>0</v>
      </c>
      <c r="I150" t="n">
        <v>2</v>
      </c>
      <c r="J150" t="n">
        <v>1</v>
      </c>
      <c r="K150" t="n">
        <v>0</v>
      </c>
      <c r="L150" t="n">
        <v>0</v>
      </c>
      <c r="M150" t="n">
        <v>0</v>
      </c>
      <c r="N150" t="n">
        <v>0</v>
      </c>
      <c r="O150" t="n">
        <v>1</v>
      </c>
      <c r="P150" t="n">
        <v>0</v>
      </c>
      <c r="Q150" t="n">
        <v>3</v>
      </c>
      <c r="R150" s="2" t="inlineStr">
        <is>
          <t>Garnlav
Bollvitmossa
Nästlav</t>
        </is>
      </c>
      <c r="S150">
        <f>HYPERLINK("https://klasma.github.io/Logging_2184/artfynd/A 56429-2020 artfynd.xlsx", "A 56429-2020")</f>
        <v/>
      </c>
      <c r="T150">
        <f>HYPERLINK("https://klasma.github.io/Logging_2184/kartor/A 56429-2020 karta.png", "A 56429-2020")</f>
        <v/>
      </c>
      <c r="V150">
        <f>HYPERLINK("https://klasma.github.io/Logging_2184/klagomål/A 56429-2020 FSC-klagomål.docx", "A 56429-2020")</f>
        <v/>
      </c>
      <c r="W150">
        <f>HYPERLINK("https://klasma.github.io/Logging_2184/klagomålsmail/A 56429-2020 FSC-klagomål mail.docx", "A 56429-2020")</f>
        <v/>
      </c>
      <c r="X150">
        <f>HYPERLINK("https://klasma.github.io/Logging_2184/tillsyn/A 56429-2020 tillsynsbegäran.docx", "A 56429-2020")</f>
        <v/>
      </c>
      <c r="Y150">
        <f>HYPERLINK("https://klasma.github.io/Logging_2184/tillsynsmail/A 56429-2020 tillsynsbegäran mail.docx", "A 56429-2020")</f>
        <v/>
      </c>
    </row>
    <row r="151" ht="15" customHeight="1">
      <c r="A151" t="inlineStr">
        <is>
          <t>A 56674-2020</t>
        </is>
      </c>
      <c r="B151" s="1" t="n">
        <v>44137</v>
      </c>
      <c r="C151" s="1" t="n">
        <v>45363</v>
      </c>
      <c r="D151" t="inlineStr">
        <is>
          <t>GÄVLEBORGS LÄN</t>
        </is>
      </c>
      <c r="E151" t="inlineStr">
        <is>
          <t>LJUSDAL</t>
        </is>
      </c>
      <c r="G151" t="n">
        <v>11</v>
      </c>
      <c r="H151" t="n">
        <v>1</v>
      </c>
      <c r="I151" t="n">
        <v>2</v>
      </c>
      <c r="J151" t="n">
        <v>0</v>
      </c>
      <c r="K151" t="n">
        <v>1</v>
      </c>
      <c r="L151" t="n">
        <v>0</v>
      </c>
      <c r="M151" t="n">
        <v>0</v>
      </c>
      <c r="N151" t="n">
        <v>0</v>
      </c>
      <c r="O151" t="n">
        <v>1</v>
      </c>
      <c r="P151" t="n">
        <v>1</v>
      </c>
      <c r="Q151" t="n">
        <v>3</v>
      </c>
      <c r="R151" s="2" t="inlineStr">
        <is>
          <t>Knärot
Korallblylav
Mörk husmossa</t>
        </is>
      </c>
      <c r="S151">
        <f>HYPERLINK("https://klasma.github.io/Logging_2161/artfynd/A 56674-2020 artfynd.xlsx", "A 56674-2020")</f>
        <v/>
      </c>
      <c r="T151">
        <f>HYPERLINK("https://klasma.github.io/Logging_2161/kartor/A 56674-2020 karta.png", "A 56674-2020")</f>
        <v/>
      </c>
      <c r="U151">
        <f>HYPERLINK("https://klasma.github.io/Logging_2161/knärot/A 56674-2020 karta knärot.png", "A 56674-2020")</f>
        <v/>
      </c>
      <c r="V151">
        <f>HYPERLINK("https://klasma.github.io/Logging_2161/klagomål/A 56674-2020 FSC-klagomål.docx", "A 56674-2020")</f>
        <v/>
      </c>
      <c r="W151">
        <f>HYPERLINK("https://klasma.github.io/Logging_2161/klagomålsmail/A 56674-2020 FSC-klagomål mail.docx", "A 56674-2020")</f>
        <v/>
      </c>
      <c r="X151">
        <f>HYPERLINK("https://klasma.github.io/Logging_2161/tillsyn/A 56674-2020 tillsynsbegäran.docx", "A 56674-2020")</f>
        <v/>
      </c>
      <c r="Y151">
        <f>HYPERLINK("https://klasma.github.io/Logging_2161/tillsynsmail/A 56674-2020 tillsynsbegäran mail.docx", "A 56674-2020")</f>
        <v/>
      </c>
    </row>
    <row r="152" ht="15" customHeight="1">
      <c r="A152" t="inlineStr">
        <is>
          <t>A 60162-2020</t>
        </is>
      </c>
      <c r="B152" s="1" t="n">
        <v>44152</v>
      </c>
      <c r="C152" s="1" t="n">
        <v>45363</v>
      </c>
      <c r="D152" t="inlineStr">
        <is>
          <t>GÄVLEBORGS LÄN</t>
        </is>
      </c>
      <c r="E152" t="inlineStr">
        <is>
          <t>LJUSDAL</t>
        </is>
      </c>
      <c r="F152" t="inlineStr">
        <is>
          <t>Sveaskog</t>
        </is>
      </c>
      <c r="G152" t="n">
        <v>8.4</v>
      </c>
      <c r="H152" t="n">
        <v>0</v>
      </c>
      <c r="I152" t="n">
        <v>0</v>
      </c>
      <c r="J152" t="n">
        <v>3</v>
      </c>
      <c r="K152" t="n">
        <v>0</v>
      </c>
      <c r="L152" t="n">
        <v>0</v>
      </c>
      <c r="M152" t="n">
        <v>0</v>
      </c>
      <c r="N152" t="n">
        <v>0</v>
      </c>
      <c r="O152" t="n">
        <v>3</v>
      </c>
      <c r="P152" t="n">
        <v>0</v>
      </c>
      <c r="Q152" t="n">
        <v>3</v>
      </c>
      <c r="R152" s="2" t="inlineStr">
        <is>
          <t>Kolflarnlav
Lunglav
Skrovellav</t>
        </is>
      </c>
      <c r="S152">
        <f>HYPERLINK("https://klasma.github.io/Logging_2161/artfynd/A 60162-2020 artfynd.xlsx", "A 60162-2020")</f>
        <v/>
      </c>
      <c r="T152">
        <f>HYPERLINK("https://klasma.github.io/Logging_2161/kartor/A 60162-2020 karta.png", "A 60162-2020")</f>
        <v/>
      </c>
      <c r="V152">
        <f>HYPERLINK("https://klasma.github.io/Logging_2161/klagomål/A 60162-2020 FSC-klagomål.docx", "A 60162-2020")</f>
        <v/>
      </c>
      <c r="W152">
        <f>HYPERLINK("https://klasma.github.io/Logging_2161/klagomålsmail/A 60162-2020 FSC-klagomål mail.docx", "A 60162-2020")</f>
        <v/>
      </c>
      <c r="X152">
        <f>HYPERLINK("https://klasma.github.io/Logging_2161/tillsyn/A 60162-2020 tillsynsbegäran.docx", "A 60162-2020")</f>
        <v/>
      </c>
      <c r="Y152">
        <f>HYPERLINK("https://klasma.github.io/Logging_2161/tillsynsmail/A 60162-2020 tillsynsbegäran mail.docx", "A 60162-2020")</f>
        <v/>
      </c>
    </row>
    <row r="153" ht="15" customHeight="1">
      <c r="A153" t="inlineStr">
        <is>
          <t>A 64591-2020</t>
        </is>
      </c>
      <c r="B153" s="1" t="n">
        <v>44169</v>
      </c>
      <c r="C153" s="1" t="n">
        <v>45363</v>
      </c>
      <c r="D153" t="inlineStr">
        <is>
          <t>GÄVLEBORGS LÄN</t>
        </is>
      </c>
      <c r="E153" t="inlineStr">
        <is>
          <t>LJUSDAL</t>
        </is>
      </c>
      <c r="F153" t="inlineStr">
        <is>
          <t>Bergvik skog väst AB</t>
        </is>
      </c>
      <c r="G153" t="n">
        <v>3.5</v>
      </c>
      <c r="H153" t="n">
        <v>0</v>
      </c>
      <c r="I153" t="n">
        <v>2</v>
      </c>
      <c r="J153" t="n">
        <v>1</v>
      </c>
      <c r="K153" t="n">
        <v>0</v>
      </c>
      <c r="L153" t="n">
        <v>0</v>
      </c>
      <c r="M153" t="n">
        <v>0</v>
      </c>
      <c r="N153" t="n">
        <v>0</v>
      </c>
      <c r="O153" t="n">
        <v>1</v>
      </c>
      <c r="P153" t="n">
        <v>0</v>
      </c>
      <c r="Q153" t="n">
        <v>3</v>
      </c>
      <c r="R153" s="2" t="inlineStr">
        <is>
          <t>Kandelabersvamp
Aspvedgnagare
Skinnlav</t>
        </is>
      </c>
      <c r="S153">
        <f>HYPERLINK("https://klasma.github.io/Logging_2161/artfynd/A 64591-2020 artfynd.xlsx", "A 64591-2020")</f>
        <v/>
      </c>
      <c r="T153">
        <f>HYPERLINK("https://klasma.github.io/Logging_2161/kartor/A 64591-2020 karta.png", "A 64591-2020")</f>
        <v/>
      </c>
      <c r="V153">
        <f>HYPERLINK("https://klasma.github.io/Logging_2161/klagomål/A 64591-2020 FSC-klagomål.docx", "A 64591-2020")</f>
        <v/>
      </c>
      <c r="W153">
        <f>HYPERLINK("https://klasma.github.io/Logging_2161/klagomålsmail/A 64591-2020 FSC-klagomål mail.docx", "A 64591-2020")</f>
        <v/>
      </c>
      <c r="X153">
        <f>HYPERLINK("https://klasma.github.io/Logging_2161/tillsyn/A 64591-2020 tillsynsbegäran.docx", "A 64591-2020")</f>
        <v/>
      </c>
      <c r="Y153">
        <f>HYPERLINK("https://klasma.github.io/Logging_2161/tillsynsmail/A 64591-2020 tillsynsbegäran mail.docx", "A 64591-2020")</f>
        <v/>
      </c>
    </row>
    <row r="154" ht="15" customHeight="1">
      <c r="A154" t="inlineStr">
        <is>
          <t>A 21238-2021</t>
        </is>
      </c>
      <c r="B154" s="1" t="n">
        <v>44320</v>
      </c>
      <c r="C154" s="1" t="n">
        <v>45363</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45363</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45363</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45363</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45363</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45363</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45363</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45363</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45363</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45363</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45363</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45363</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45363</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45363</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45363</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45363</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45363</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45363</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45363</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45363</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45363</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45363</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45363</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45363</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45363</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45363</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45363</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45363</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38216-2018</t>
        </is>
      </c>
      <c r="B182" s="1" t="n">
        <v>43338</v>
      </c>
      <c r="C182" s="1" t="n">
        <v>45363</v>
      </c>
      <c r="D182" t="inlineStr">
        <is>
          <t>GÄVLEBORGS LÄN</t>
        </is>
      </c>
      <c r="E182" t="inlineStr">
        <is>
          <t>LJUSDAL</t>
        </is>
      </c>
      <c r="G182" t="n">
        <v>138</v>
      </c>
      <c r="H182" t="n">
        <v>1</v>
      </c>
      <c r="I182" t="n">
        <v>0</v>
      </c>
      <c r="J182" t="n">
        <v>0</v>
      </c>
      <c r="K182" t="n">
        <v>0</v>
      </c>
      <c r="L182" t="n">
        <v>1</v>
      </c>
      <c r="M182" t="n">
        <v>0</v>
      </c>
      <c r="N182" t="n">
        <v>0</v>
      </c>
      <c r="O182" t="n">
        <v>1</v>
      </c>
      <c r="P182" t="n">
        <v>1</v>
      </c>
      <c r="Q182" t="n">
        <v>2</v>
      </c>
      <c r="R182" s="2" t="inlineStr">
        <is>
          <t>Flodpärlmussla
Myggblomster</t>
        </is>
      </c>
      <c r="S182">
        <f>HYPERLINK("https://klasma.github.io/Logging_2161/artfynd/A 38216-2018 artfynd.xlsx", "A 38216-2018")</f>
        <v/>
      </c>
      <c r="T182">
        <f>HYPERLINK("https://klasma.github.io/Logging_2161/kartor/A 38216-2018 karta.png", "A 38216-2018")</f>
        <v/>
      </c>
      <c r="V182">
        <f>HYPERLINK("https://klasma.github.io/Logging_2161/klagomål/A 38216-2018 FSC-klagomål.docx", "A 38216-2018")</f>
        <v/>
      </c>
      <c r="W182">
        <f>HYPERLINK("https://klasma.github.io/Logging_2161/klagomålsmail/A 38216-2018 FSC-klagomål mail.docx", "A 38216-2018")</f>
        <v/>
      </c>
      <c r="X182">
        <f>HYPERLINK("https://klasma.github.io/Logging_2161/tillsyn/A 38216-2018 tillsynsbegäran.docx", "A 38216-2018")</f>
        <v/>
      </c>
      <c r="Y182">
        <f>HYPERLINK("https://klasma.github.io/Logging_2161/tillsynsmail/A 38216-2018 tillsynsbegäran mail.docx", "A 38216-2018")</f>
        <v/>
      </c>
    </row>
    <row r="183" ht="15" customHeight="1">
      <c r="A183" t="inlineStr">
        <is>
          <t>A 42763-2018</t>
        </is>
      </c>
      <c r="B183" s="1" t="n">
        <v>43354</v>
      </c>
      <c r="C183" s="1" t="n">
        <v>45363</v>
      </c>
      <c r="D183" t="inlineStr">
        <is>
          <t>GÄVLEBORGS LÄN</t>
        </is>
      </c>
      <c r="E183" t="inlineStr">
        <is>
          <t>LJUSDAL</t>
        </is>
      </c>
      <c r="F183" t="inlineStr">
        <is>
          <t>Holmen skog AB</t>
        </is>
      </c>
      <c r="G183" t="n">
        <v>165.3</v>
      </c>
      <c r="H183" t="n">
        <v>2</v>
      </c>
      <c r="I183" t="n">
        <v>0</v>
      </c>
      <c r="J183" t="n">
        <v>2</v>
      </c>
      <c r="K183" t="n">
        <v>0</v>
      </c>
      <c r="L183" t="n">
        <v>0</v>
      </c>
      <c r="M183" t="n">
        <v>0</v>
      </c>
      <c r="N183" t="n">
        <v>0</v>
      </c>
      <c r="O183" t="n">
        <v>2</v>
      </c>
      <c r="P183" t="n">
        <v>0</v>
      </c>
      <c r="Q183" t="n">
        <v>2</v>
      </c>
      <c r="R183" s="2" t="inlineStr">
        <is>
          <t>Drillsnäppa
Järpe</t>
        </is>
      </c>
      <c r="S183">
        <f>HYPERLINK("https://klasma.github.io/Logging_2161/artfynd/A 42763-2018 artfynd.xlsx", "A 42763-2018")</f>
        <v/>
      </c>
      <c r="T183">
        <f>HYPERLINK("https://klasma.github.io/Logging_2161/kartor/A 42763-2018 karta.png", "A 42763-2018")</f>
        <v/>
      </c>
      <c r="V183">
        <f>HYPERLINK("https://klasma.github.io/Logging_2161/klagomål/A 42763-2018 FSC-klagomål.docx", "A 42763-2018")</f>
        <v/>
      </c>
      <c r="W183">
        <f>HYPERLINK("https://klasma.github.io/Logging_2161/klagomålsmail/A 42763-2018 FSC-klagomål mail.docx", "A 42763-2018")</f>
        <v/>
      </c>
      <c r="X183">
        <f>HYPERLINK("https://klasma.github.io/Logging_2161/tillsyn/A 42763-2018 tillsynsbegäran.docx", "A 42763-2018")</f>
        <v/>
      </c>
      <c r="Y183">
        <f>HYPERLINK("https://klasma.github.io/Logging_2161/tillsynsmail/A 42763-2018 tillsynsbegäran mail.docx", "A 42763-2018")</f>
        <v/>
      </c>
      <c r="Z183">
        <f>HYPERLINK("https://klasma.github.io/Logging_2161/fåglar/A 42763-2018 prioriterade fågelarter.docx", "A 42763-2018")</f>
        <v/>
      </c>
    </row>
    <row r="184" ht="15" customHeight="1">
      <c r="A184" t="inlineStr">
        <is>
          <t>A 49899-2018</t>
        </is>
      </c>
      <c r="B184" s="1" t="n">
        <v>43377</v>
      </c>
      <c r="C184" s="1" t="n">
        <v>45363</v>
      </c>
      <c r="D184" t="inlineStr">
        <is>
          <t>GÄVLEBORGS LÄN</t>
        </is>
      </c>
      <c r="E184" t="inlineStr">
        <is>
          <t>LJUSDAL</t>
        </is>
      </c>
      <c r="G184" t="n">
        <v>43.6</v>
      </c>
      <c r="H184" t="n">
        <v>2</v>
      </c>
      <c r="I184" t="n">
        <v>0</v>
      </c>
      <c r="J184" t="n">
        <v>0</v>
      </c>
      <c r="K184" t="n">
        <v>0</v>
      </c>
      <c r="L184" t="n">
        <v>1</v>
      </c>
      <c r="M184" t="n">
        <v>0</v>
      </c>
      <c r="N184" t="n">
        <v>0</v>
      </c>
      <c r="O184" t="n">
        <v>1</v>
      </c>
      <c r="P184" t="n">
        <v>1</v>
      </c>
      <c r="Q184" t="n">
        <v>2</v>
      </c>
      <c r="R184" s="2" t="inlineStr">
        <is>
          <t>Mosippa
Mattlummer</t>
        </is>
      </c>
      <c r="S184">
        <f>HYPERLINK("https://klasma.github.io/Logging_2161/artfynd/A 49899-2018 artfynd.xlsx", "A 49899-2018")</f>
        <v/>
      </c>
      <c r="T184">
        <f>HYPERLINK("https://klasma.github.io/Logging_2161/kartor/A 49899-2018 karta.png", "A 49899-2018")</f>
        <v/>
      </c>
      <c r="V184">
        <f>HYPERLINK("https://klasma.github.io/Logging_2161/klagomål/A 49899-2018 FSC-klagomål.docx", "A 49899-2018")</f>
        <v/>
      </c>
      <c r="W184">
        <f>HYPERLINK("https://klasma.github.io/Logging_2161/klagomålsmail/A 49899-2018 FSC-klagomål mail.docx", "A 49899-2018")</f>
        <v/>
      </c>
      <c r="X184">
        <f>HYPERLINK("https://klasma.github.io/Logging_2161/tillsyn/A 49899-2018 tillsynsbegäran.docx", "A 49899-2018")</f>
        <v/>
      </c>
      <c r="Y184">
        <f>HYPERLINK("https://klasma.github.io/Logging_2161/tillsynsmail/A 49899-2018 tillsynsbegäran mail.docx", "A 49899-2018")</f>
        <v/>
      </c>
    </row>
    <row r="185" ht="15" customHeight="1">
      <c r="A185" t="inlineStr">
        <is>
          <t>A 50872-2018</t>
        </is>
      </c>
      <c r="B185" s="1" t="n">
        <v>43381</v>
      </c>
      <c r="C185" s="1" t="n">
        <v>45363</v>
      </c>
      <c r="D185" t="inlineStr">
        <is>
          <t>GÄVLEBORGS LÄN</t>
        </is>
      </c>
      <c r="E185" t="inlineStr">
        <is>
          <t>LJUSDAL</t>
        </is>
      </c>
      <c r="F185" t="inlineStr">
        <is>
          <t>SCA</t>
        </is>
      </c>
      <c r="G185" t="n">
        <v>19.9</v>
      </c>
      <c r="H185" t="n">
        <v>0</v>
      </c>
      <c r="I185" t="n">
        <v>1</v>
      </c>
      <c r="J185" t="n">
        <v>1</v>
      </c>
      <c r="K185" t="n">
        <v>0</v>
      </c>
      <c r="L185" t="n">
        <v>0</v>
      </c>
      <c r="M185" t="n">
        <v>0</v>
      </c>
      <c r="N185" t="n">
        <v>0</v>
      </c>
      <c r="O185" t="n">
        <v>1</v>
      </c>
      <c r="P185" t="n">
        <v>0</v>
      </c>
      <c r="Q185" t="n">
        <v>2</v>
      </c>
      <c r="R185" s="2" t="inlineStr">
        <is>
          <t>Garnlav
Stor aspticka</t>
        </is>
      </c>
      <c r="S185">
        <f>HYPERLINK("https://klasma.github.io/Logging_2161/artfynd/A 50872-2018 artfynd.xlsx", "A 50872-2018")</f>
        <v/>
      </c>
      <c r="T185">
        <f>HYPERLINK("https://klasma.github.io/Logging_2161/kartor/A 50872-2018 karta.png", "A 50872-2018")</f>
        <v/>
      </c>
      <c r="V185">
        <f>HYPERLINK("https://klasma.github.io/Logging_2161/klagomål/A 50872-2018 FSC-klagomål.docx", "A 50872-2018")</f>
        <v/>
      </c>
      <c r="W185">
        <f>HYPERLINK("https://klasma.github.io/Logging_2161/klagomålsmail/A 50872-2018 FSC-klagomål mail.docx", "A 50872-2018")</f>
        <v/>
      </c>
      <c r="X185">
        <f>HYPERLINK("https://klasma.github.io/Logging_2161/tillsyn/A 50872-2018 tillsynsbegäran.docx", "A 50872-2018")</f>
        <v/>
      </c>
      <c r="Y185">
        <f>HYPERLINK("https://klasma.github.io/Logging_2161/tillsynsmail/A 50872-2018 tillsynsbegäran mail.docx", "A 50872-2018")</f>
        <v/>
      </c>
    </row>
    <row r="186" ht="15" customHeight="1">
      <c r="A186" t="inlineStr">
        <is>
          <t>A 2528-2019</t>
        </is>
      </c>
      <c r="B186" s="1" t="n">
        <v>43476</v>
      </c>
      <c r="C186" s="1" t="n">
        <v>45363</v>
      </c>
      <c r="D186" t="inlineStr">
        <is>
          <t>GÄVLEBORGS LÄN</t>
        </is>
      </c>
      <c r="E186" t="inlineStr">
        <is>
          <t>LJUSDAL</t>
        </is>
      </c>
      <c r="G186" t="n">
        <v>130.7</v>
      </c>
      <c r="H186" t="n">
        <v>2</v>
      </c>
      <c r="I186" t="n">
        <v>0</v>
      </c>
      <c r="J186" t="n">
        <v>0</v>
      </c>
      <c r="K186" t="n">
        <v>0</v>
      </c>
      <c r="L186" t="n">
        <v>0</v>
      </c>
      <c r="M186" t="n">
        <v>0</v>
      </c>
      <c r="N186" t="n">
        <v>0</v>
      </c>
      <c r="O186" t="n">
        <v>0</v>
      </c>
      <c r="P186" t="n">
        <v>0</v>
      </c>
      <c r="Q186" t="n">
        <v>2</v>
      </c>
      <c r="R186" s="2" t="inlineStr">
        <is>
          <t>Lopplummer
Revlummer</t>
        </is>
      </c>
      <c r="S186">
        <f>HYPERLINK("https://klasma.github.io/Logging_2161/artfynd/A 2528-2019 artfynd.xlsx", "A 2528-2019")</f>
        <v/>
      </c>
      <c r="T186">
        <f>HYPERLINK("https://klasma.github.io/Logging_2161/kartor/A 2528-2019 karta.png", "A 2528-2019")</f>
        <v/>
      </c>
      <c r="V186">
        <f>HYPERLINK("https://klasma.github.io/Logging_2161/klagomål/A 2528-2019 FSC-klagomål.docx", "A 2528-2019")</f>
        <v/>
      </c>
      <c r="W186">
        <f>HYPERLINK("https://klasma.github.io/Logging_2161/klagomålsmail/A 2528-2019 FSC-klagomål mail.docx", "A 2528-2019")</f>
        <v/>
      </c>
      <c r="X186">
        <f>HYPERLINK("https://klasma.github.io/Logging_2161/tillsyn/A 2528-2019 tillsynsbegäran.docx", "A 2528-2019")</f>
        <v/>
      </c>
      <c r="Y186">
        <f>HYPERLINK("https://klasma.github.io/Logging_2161/tillsynsmail/A 2528-2019 tillsynsbegäran mail.docx", "A 2528-2019")</f>
        <v/>
      </c>
    </row>
    <row r="187" ht="15" customHeight="1">
      <c r="A187" t="inlineStr">
        <is>
          <t>A 17913-2019</t>
        </is>
      </c>
      <c r="B187" s="1" t="n">
        <v>43557</v>
      </c>
      <c r="C187" s="1" t="n">
        <v>45363</v>
      </c>
      <c r="D187" t="inlineStr">
        <is>
          <t>GÄVLEBORGS LÄN</t>
        </is>
      </c>
      <c r="E187" t="inlineStr">
        <is>
          <t>NORDANSTIG</t>
        </is>
      </c>
      <c r="F187" t="inlineStr">
        <is>
          <t>Holmen skog AB</t>
        </is>
      </c>
      <c r="G187" t="n">
        <v>6.6</v>
      </c>
      <c r="H187" t="n">
        <v>1</v>
      </c>
      <c r="I187" t="n">
        <v>1</v>
      </c>
      <c r="J187" t="n">
        <v>0</v>
      </c>
      <c r="K187" t="n">
        <v>0</v>
      </c>
      <c r="L187" t="n">
        <v>0</v>
      </c>
      <c r="M187" t="n">
        <v>0</v>
      </c>
      <c r="N187" t="n">
        <v>0</v>
      </c>
      <c r="O187" t="n">
        <v>0</v>
      </c>
      <c r="P187" t="n">
        <v>0</v>
      </c>
      <c r="Q187" t="n">
        <v>2</v>
      </c>
      <c r="R187" s="2" t="inlineStr">
        <is>
          <t>Skinnlav
Fläcknycklar</t>
        </is>
      </c>
      <c r="S187">
        <f>HYPERLINK("https://klasma.github.io/Logging_2132/artfynd/A 17913-2019 artfynd.xlsx", "A 17913-2019")</f>
        <v/>
      </c>
      <c r="T187">
        <f>HYPERLINK("https://klasma.github.io/Logging_2132/kartor/A 17913-2019 karta.png", "A 17913-2019")</f>
        <v/>
      </c>
      <c r="V187">
        <f>HYPERLINK("https://klasma.github.io/Logging_2132/klagomål/A 17913-2019 FSC-klagomål.docx", "A 17913-2019")</f>
        <v/>
      </c>
      <c r="W187">
        <f>HYPERLINK("https://klasma.github.io/Logging_2132/klagomålsmail/A 17913-2019 FSC-klagomål mail.docx", "A 17913-2019")</f>
        <v/>
      </c>
      <c r="X187">
        <f>HYPERLINK("https://klasma.github.io/Logging_2132/tillsyn/A 17913-2019 tillsynsbegäran.docx", "A 17913-2019")</f>
        <v/>
      </c>
      <c r="Y187">
        <f>HYPERLINK("https://klasma.github.io/Logging_2132/tillsynsmail/A 17913-2019 tillsynsbegäran mail.docx", "A 17913-2019")</f>
        <v/>
      </c>
    </row>
    <row r="188" ht="15" customHeight="1">
      <c r="A188" t="inlineStr">
        <is>
          <t>A 19095-2019</t>
        </is>
      </c>
      <c r="B188" s="1" t="n">
        <v>43564</v>
      </c>
      <c r="C188" s="1" t="n">
        <v>45363</v>
      </c>
      <c r="D188" t="inlineStr">
        <is>
          <t>GÄVLEBORGS LÄN</t>
        </is>
      </c>
      <c r="E188" t="inlineStr">
        <is>
          <t>HOFORS</t>
        </is>
      </c>
      <c r="G188" t="n">
        <v>8</v>
      </c>
      <c r="H188" t="n">
        <v>1</v>
      </c>
      <c r="I188" t="n">
        <v>1</v>
      </c>
      <c r="J188" t="n">
        <v>0</v>
      </c>
      <c r="K188" t="n">
        <v>1</v>
      </c>
      <c r="L188" t="n">
        <v>0</v>
      </c>
      <c r="M188" t="n">
        <v>0</v>
      </c>
      <c r="N188" t="n">
        <v>0</v>
      </c>
      <c r="O188" t="n">
        <v>1</v>
      </c>
      <c r="P188" t="n">
        <v>1</v>
      </c>
      <c r="Q188" t="n">
        <v>2</v>
      </c>
      <c r="R188" s="2" t="inlineStr">
        <is>
          <t>Knärot
Mindre märgborre</t>
        </is>
      </c>
      <c r="S188">
        <f>HYPERLINK("https://klasma.github.io/Logging_2104/artfynd/A 19095-2019 artfynd.xlsx", "A 19095-2019")</f>
        <v/>
      </c>
      <c r="T188">
        <f>HYPERLINK("https://klasma.github.io/Logging_2104/kartor/A 19095-2019 karta.png", "A 19095-2019")</f>
        <v/>
      </c>
      <c r="U188">
        <f>HYPERLINK("https://klasma.github.io/Logging_2104/knärot/A 19095-2019 karta knärot.png", "A 19095-2019")</f>
        <v/>
      </c>
      <c r="V188">
        <f>HYPERLINK("https://klasma.github.io/Logging_2104/klagomål/A 19095-2019 FSC-klagomål.docx", "A 19095-2019")</f>
        <v/>
      </c>
      <c r="W188">
        <f>HYPERLINK("https://klasma.github.io/Logging_2104/klagomålsmail/A 19095-2019 FSC-klagomål mail.docx", "A 19095-2019")</f>
        <v/>
      </c>
      <c r="X188">
        <f>HYPERLINK("https://klasma.github.io/Logging_2104/tillsyn/A 19095-2019 tillsynsbegäran.docx", "A 19095-2019")</f>
        <v/>
      </c>
      <c r="Y188">
        <f>HYPERLINK("https://klasma.github.io/Logging_2104/tillsynsmail/A 19095-2019 tillsynsbegäran mail.docx", "A 19095-2019")</f>
        <v/>
      </c>
    </row>
    <row r="189" ht="15" customHeight="1">
      <c r="A189" t="inlineStr">
        <is>
          <t>A 21731-2019</t>
        </is>
      </c>
      <c r="B189" s="1" t="n">
        <v>43581</v>
      </c>
      <c r="C189" s="1" t="n">
        <v>45363</v>
      </c>
      <c r="D189" t="inlineStr">
        <is>
          <t>GÄVLEBORGS LÄN</t>
        </is>
      </c>
      <c r="E189" t="inlineStr">
        <is>
          <t>HOFORS</t>
        </is>
      </c>
      <c r="F189" t="inlineStr">
        <is>
          <t>Sveaskog</t>
        </is>
      </c>
      <c r="G189" t="n">
        <v>3.8</v>
      </c>
      <c r="H189" t="n">
        <v>2</v>
      </c>
      <c r="I189" t="n">
        <v>1</v>
      </c>
      <c r="J189" t="n">
        <v>0</v>
      </c>
      <c r="K189" t="n">
        <v>0</v>
      </c>
      <c r="L189" t="n">
        <v>0</v>
      </c>
      <c r="M189" t="n">
        <v>0</v>
      </c>
      <c r="N189" t="n">
        <v>0</v>
      </c>
      <c r="O189" t="n">
        <v>0</v>
      </c>
      <c r="P189" t="n">
        <v>0</v>
      </c>
      <c r="Q189" t="n">
        <v>2</v>
      </c>
      <c r="R189" s="2" t="inlineStr">
        <is>
          <t>Tvåblad
Revlummer</t>
        </is>
      </c>
      <c r="S189">
        <f>HYPERLINK("https://klasma.github.io/Logging_2104/artfynd/A 21731-2019 artfynd.xlsx", "A 21731-2019")</f>
        <v/>
      </c>
      <c r="T189">
        <f>HYPERLINK("https://klasma.github.io/Logging_2104/kartor/A 21731-2019 karta.png", "A 21731-2019")</f>
        <v/>
      </c>
      <c r="U189">
        <f>HYPERLINK("https://klasma.github.io/Logging_2104/knärot/A 21731-2019 karta knärot.png", "A 21731-2019")</f>
        <v/>
      </c>
      <c r="V189">
        <f>HYPERLINK("https://klasma.github.io/Logging_2104/klagomål/A 21731-2019 FSC-klagomål.docx", "A 21731-2019")</f>
        <v/>
      </c>
      <c r="W189">
        <f>HYPERLINK("https://klasma.github.io/Logging_2104/klagomålsmail/A 21731-2019 FSC-klagomål mail.docx", "A 21731-2019")</f>
        <v/>
      </c>
      <c r="X189">
        <f>HYPERLINK("https://klasma.github.io/Logging_2104/tillsyn/A 21731-2019 tillsynsbegäran.docx", "A 21731-2019")</f>
        <v/>
      </c>
      <c r="Y189">
        <f>HYPERLINK("https://klasma.github.io/Logging_2104/tillsynsmail/A 21731-2019 tillsynsbegäran mail.docx", "A 21731-2019")</f>
        <v/>
      </c>
    </row>
    <row r="190" ht="15" customHeight="1">
      <c r="A190" t="inlineStr">
        <is>
          <t>A 29812-2019</t>
        </is>
      </c>
      <c r="B190" s="1" t="n">
        <v>43629</v>
      </c>
      <c r="C190" s="1" t="n">
        <v>45363</v>
      </c>
      <c r="D190" t="inlineStr">
        <is>
          <t>GÄVLEBORGS LÄN</t>
        </is>
      </c>
      <c r="E190" t="inlineStr">
        <is>
          <t>LJUSDAL</t>
        </is>
      </c>
      <c r="F190" t="inlineStr">
        <is>
          <t>Holmen skog AB</t>
        </is>
      </c>
      <c r="G190" t="n">
        <v>2.4</v>
      </c>
      <c r="H190" t="n">
        <v>1</v>
      </c>
      <c r="I190" t="n">
        <v>1</v>
      </c>
      <c r="J190" t="n">
        <v>0</v>
      </c>
      <c r="K190" t="n">
        <v>1</v>
      </c>
      <c r="L190" t="n">
        <v>0</v>
      </c>
      <c r="M190" t="n">
        <v>0</v>
      </c>
      <c r="N190" t="n">
        <v>0</v>
      </c>
      <c r="O190" t="n">
        <v>1</v>
      </c>
      <c r="P190" t="n">
        <v>1</v>
      </c>
      <c r="Q190" t="n">
        <v>2</v>
      </c>
      <c r="R190" s="2" t="inlineStr">
        <is>
          <t>Knärot
Skinnlav</t>
        </is>
      </c>
      <c r="S190">
        <f>HYPERLINK("https://klasma.github.io/Logging_2161/artfynd/A 29812-2019 artfynd.xlsx", "A 29812-2019")</f>
        <v/>
      </c>
      <c r="T190">
        <f>HYPERLINK("https://klasma.github.io/Logging_2161/kartor/A 29812-2019 karta.png", "A 29812-2019")</f>
        <v/>
      </c>
      <c r="U190">
        <f>HYPERLINK("https://klasma.github.io/Logging_2161/knärot/A 29812-2019 karta knärot.png", "A 29812-2019")</f>
        <v/>
      </c>
      <c r="V190">
        <f>HYPERLINK("https://klasma.github.io/Logging_2161/klagomål/A 29812-2019 FSC-klagomål.docx", "A 29812-2019")</f>
        <v/>
      </c>
      <c r="W190">
        <f>HYPERLINK("https://klasma.github.io/Logging_2161/klagomålsmail/A 29812-2019 FSC-klagomål mail.docx", "A 29812-2019")</f>
        <v/>
      </c>
      <c r="X190">
        <f>HYPERLINK("https://klasma.github.io/Logging_2161/tillsyn/A 29812-2019 tillsynsbegäran.docx", "A 29812-2019")</f>
        <v/>
      </c>
      <c r="Y190">
        <f>HYPERLINK("https://klasma.github.io/Logging_2161/tillsynsmail/A 29812-2019 tillsynsbegäran mail.docx", "A 29812-2019")</f>
        <v/>
      </c>
    </row>
    <row r="191" ht="15" customHeight="1">
      <c r="A191" t="inlineStr">
        <is>
          <t>A 45004-2019</t>
        </is>
      </c>
      <c r="B191" s="1" t="n">
        <v>43713</v>
      </c>
      <c r="C191" s="1" t="n">
        <v>45363</v>
      </c>
      <c r="D191" t="inlineStr">
        <is>
          <t>GÄVLEBORGS LÄN</t>
        </is>
      </c>
      <c r="E191" t="inlineStr">
        <is>
          <t>OVANÅKER</t>
        </is>
      </c>
      <c r="F191" t="inlineStr">
        <is>
          <t>Sveaskog</t>
        </is>
      </c>
      <c r="G191" t="n">
        <v>7.5</v>
      </c>
      <c r="H191" t="n">
        <v>0</v>
      </c>
      <c r="I191" t="n">
        <v>0</v>
      </c>
      <c r="J191" t="n">
        <v>2</v>
      </c>
      <c r="K191" t="n">
        <v>0</v>
      </c>
      <c r="L191" t="n">
        <v>0</v>
      </c>
      <c r="M191" t="n">
        <v>0</v>
      </c>
      <c r="N191" t="n">
        <v>0</v>
      </c>
      <c r="O191" t="n">
        <v>2</v>
      </c>
      <c r="P191" t="n">
        <v>0</v>
      </c>
      <c r="Q191" t="n">
        <v>2</v>
      </c>
      <c r="R191" s="2" t="inlineStr">
        <is>
          <t>Kolflarnlav
Lunglav</t>
        </is>
      </c>
      <c r="S191">
        <f>HYPERLINK("https://klasma.github.io/Logging_2121/artfynd/A 45004-2019 artfynd.xlsx", "A 45004-2019")</f>
        <v/>
      </c>
      <c r="T191">
        <f>HYPERLINK("https://klasma.github.io/Logging_2121/kartor/A 45004-2019 karta.png", "A 45004-2019")</f>
        <v/>
      </c>
      <c r="V191">
        <f>HYPERLINK("https://klasma.github.io/Logging_2121/klagomål/A 45004-2019 FSC-klagomål.docx", "A 45004-2019")</f>
        <v/>
      </c>
      <c r="W191">
        <f>HYPERLINK("https://klasma.github.io/Logging_2121/klagomålsmail/A 45004-2019 FSC-klagomål mail.docx", "A 45004-2019")</f>
        <v/>
      </c>
      <c r="X191">
        <f>HYPERLINK("https://klasma.github.io/Logging_2121/tillsyn/A 45004-2019 tillsynsbegäran.docx", "A 45004-2019")</f>
        <v/>
      </c>
      <c r="Y191">
        <f>HYPERLINK("https://klasma.github.io/Logging_2121/tillsynsmail/A 45004-2019 tillsynsbegäran mail.docx", "A 45004-2019")</f>
        <v/>
      </c>
    </row>
    <row r="192" ht="15" customHeight="1">
      <c r="A192" t="inlineStr">
        <is>
          <t>A 52965-2019</t>
        </is>
      </c>
      <c r="B192" s="1" t="n">
        <v>43747</v>
      </c>
      <c r="C192" s="1" t="n">
        <v>45363</v>
      </c>
      <c r="D192" t="inlineStr">
        <is>
          <t>GÄVLEBORGS LÄN</t>
        </is>
      </c>
      <c r="E192" t="inlineStr">
        <is>
          <t>OCKELBO</t>
        </is>
      </c>
      <c r="G192" t="n">
        <v>1.6</v>
      </c>
      <c r="H192" t="n">
        <v>1</v>
      </c>
      <c r="I192" t="n">
        <v>1</v>
      </c>
      <c r="J192" t="n">
        <v>0</v>
      </c>
      <c r="K192" t="n">
        <v>0</v>
      </c>
      <c r="L192" t="n">
        <v>0</v>
      </c>
      <c r="M192" t="n">
        <v>0</v>
      </c>
      <c r="N192" t="n">
        <v>0</v>
      </c>
      <c r="O192" t="n">
        <v>0</v>
      </c>
      <c r="P192" t="n">
        <v>0</v>
      </c>
      <c r="Q192" t="n">
        <v>2</v>
      </c>
      <c r="R192" s="2" t="inlineStr">
        <is>
          <t>Större träfjäril
Skogsödla</t>
        </is>
      </c>
      <c r="S192">
        <f>HYPERLINK("https://klasma.github.io/Logging_2101/artfynd/A 52965-2019 artfynd.xlsx", "A 52965-2019")</f>
        <v/>
      </c>
      <c r="T192">
        <f>HYPERLINK("https://klasma.github.io/Logging_2101/kartor/A 52965-2019 karta.png", "A 52965-2019")</f>
        <v/>
      </c>
      <c r="V192">
        <f>HYPERLINK("https://klasma.github.io/Logging_2101/klagomål/A 52965-2019 FSC-klagomål.docx", "A 52965-2019")</f>
        <v/>
      </c>
      <c r="W192">
        <f>HYPERLINK("https://klasma.github.io/Logging_2101/klagomålsmail/A 52965-2019 FSC-klagomål mail.docx", "A 52965-2019")</f>
        <v/>
      </c>
      <c r="X192">
        <f>HYPERLINK("https://klasma.github.io/Logging_2101/tillsyn/A 52965-2019 tillsynsbegäran.docx", "A 52965-2019")</f>
        <v/>
      </c>
      <c r="Y192">
        <f>HYPERLINK("https://klasma.github.io/Logging_2101/tillsynsmail/A 52965-2019 tillsynsbegäran mail.docx", "A 52965-2019")</f>
        <v/>
      </c>
    </row>
    <row r="193" ht="15" customHeight="1">
      <c r="A193" t="inlineStr">
        <is>
          <t>A 59286-2019</t>
        </is>
      </c>
      <c r="B193" s="1" t="n">
        <v>43775</v>
      </c>
      <c r="C193" s="1" t="n">
        <v>45363</v>
      </c>
      <c r="D193" t="inlineStr">
        <is>
          <t>GÄVLEBORGS LÄN</t>
        </is>
      </c>
      <c r="E193" t="inlineStr">
        <is>
          <t>OCKELBO</t>
        </is>
      </c>
      <c r="G193" t="n">
        <v>2.2</v>
      </c>
      <c r="H193" t="n">
        <v>0</v>
      </c>
      <c r="I193" t="n">
        <v>0</v>
      </c>
      <c r="J193" t="n">
        <v>2</v>
      </c>
      <c r="K193" t="n">
        <v>0</v>
      </c>
      <c r="L193" t="n">
        <v>0</v>
      </c>
      <c r="M193" t="n">
        <v>0</v>
      </c>
      <c r="N193" t="n">
        <v>0</v>
      </c>
      <c r="O193" t="n">
        <v>2</v>
      </c>
      <c r="P193" t="n">
        <v>0</v>
      </c>
      <c r="Q193" t="n">
        <v>2</v>
      </c>
      <c r="R193" s="2" t="inlineStr">
        <is>
          <t>Garnlav
Koralltaggsvamp</t>
        </is>
      </c>
      <c r="S193">
        <f>HYPERLINK("https://klasma.github.io/Logging_2101/artfynd/A 59286-2019 artfynd.xlsx", "A 59286-2019")</f>
        <v/>
      </c>
      <c r="T193">
        <f>HYPERLINK("https://klasma.github.io/Logging_2101/kartor/A 59286-2019 karta.png", "A 59286-2019")</f>
        <v/>
      </c>
      <c r="V193">
        <f>HYPERLINK("https://klasma.github.io/Logging_2101/klagomål/A 59286-2019 FSC-klagomål.docx", "A 59286-2019")</f>
        <v/>
      </c>
      <c r="W193">
        <f>HYPERLINK("https://klasma.github.io/Logging_2101/klagomålsmail/A 59286-2019 FSC-klagomål mail.docx", "A 59286-2019")</f>
        <v/>
      </c>
      <c r="X193">
        <f>HYPERLINK("https://klasma.github.io/Logging_2101/tillsyn/A 59286-2019 tillsynsbegäran.docx", "A 59286-2019")</f>
        <v/>
      </c>
      <c r="Y193">
        <f>HYPERLINK("https://klasma.github.io/Logging_2101/tillsynsmail/A 59286-2019 tillsynsbegäran mail.docx", "A 59286-2019")</f>
        <v/>
      </c>
    </row>
    <row r="194" ht="15" customHeight="1">
      <c r="A194" t="inlineStr">
        <is>
          <t>A 61384-2019</t>
        </is>
      </c>
      <c r="B194" s="1" t="n">
        <v>43783</v>
      </c>
      <c r="C194" s="1" t="n">
        <v>45363</v>
      </c>
      <c r="D194" t="inlineStr">
        <is>
          <t>GÄVLEBORGS LÄN</t>
        </is>
      </c>
      <c r="E194" t="inlineStr">
        <is>
          <t>BOLLNÄS</t>
        </is>
      </c>
      <c r="F194" t="inlineStr">
        <is>
          <t>Sveaskog</t>
        </is>
      </c>
      <c r="G194" t="n">
        <v>4.1</v>
      </c>
      <c r="H194" t="n">
        <v>2</v>
      </c>
      <c r="I194" t="n">
        <v>1</v>
      </c>
      <c r="J194" t="n">
        <v>0</v>
      </c>
      <c r="K194" t="n">
        <v>1</v>
      </c>
      <c r="L194" t="n">
        <v>0</v>
      </c>
      <c r="M194" t="n">
        <v>0</v>
      </c>
      <c r="N194" t="n">
        <v>0</v>
      </c>
      <c r="O194" t="n">
        <v>1</v>
      </c>
      <c r="P194" t="n">
        <v>1</v>
      </c>
      <c r="Q194" t="n">
        <v>2</v>
      </c>
      <c r="R194" s="2" t="inlineStr">
        <is>
          <t>Knärot
Korallrot</t>
        </is>
      </c>
      <c r="S194">
        <f>HYPERLINK("https://klasma.github.io/Logging_2183/artfynd/A 61384-2019 artfynd.xlsx", "A 61384-2019")</f>
        <v/>
      </c>
      <c r="T194">
        <f>HYPERLINK("https://klasma.github.io/Logging_2183/kartor/A 61384-2019 karta.png", "A 61384-2019")</f>
        <v/>
      </c>
      <c r="U194">
        <f>HYPERLINK("https://klasma.github.io/Logging_2183/knärot/A 61384-2019 karta knärot.png", "A 61384-2019")</f>
        <v/>
      </c>
      <c r="V194">
        <f>HYPERLINK("https://klasma.github.io/Logging_2183/klagomål/A 61384-2019 FSC-klagomål.docx", "A 61384-2019")</f>
        <v/>
      </c>
      <c r="W194">
        <f>HYPERLINK("https://klasma.github.io/Logging_2183/klagomålsmail/A 61384-2019 FSC-klagomål mail.docx", "A 61384-2019")</f>
        <v/>
      </c>
      <c r="X194">
        <f>HYPERLINK("https://klasma.github.io/Logging_2183/tillsyn/A 61384-2019 tillsynsbegäran.docx", "A 61384-2019")</f>
        <v/>
      </c>
      <c r="Y194">
        <f>HYPERLINK("https://klasma.github.io/Logging_2183/tillsynsmail/A 61384-2019 tillsynsbegäran mail.docx", "A 61384-2019")</f>
        <v/>
      </c>
    </row>
    <row r="195" ht="15" customHeight="1">
      <c r="A195" t="inlineStr">
        <is>
          <t>A 61372-2019</t>
        </is>
      </c>
      <c r="B195" s="1" t="n">
        <v>43783</v>
      </c>
      <c r="C195" s="1" t="n">
        <v>45363</v>
      </c>
      <c r="D195" t="inlineStr">
        <is>
          <t>GÄVLEBORGS LÄN</t>
        </is>
      </c>
      <c r="E195" t="inlineStr">
        <is>
          <t>BOLLNÄS</t>
        </is>
      </c>
      <c r="F195" t="inlineStr">
        <is>
          <t>Sveaskog</t>
        </is>
      </c>
      <c r="G195" t="n">
        <v>3.2</v>
      </c>
      <c r="H195" t="n">
        <v>1</v>
      </c>
      <c r="I195" t="n">
        <v>0</v>
      </c>
      <c r="J195" t="n">
        <v>1</v>
      </c>
      <c r="K195" t="n">
        <v>1</v>
      </c>
      <c r="L195" t="n">
        <v>0</v>
      </c>
      <c r="M195" t="n">
        <v>0</v>
      </c>
      <c r="N195" t="n">
        <v>0</v>
      </c>
      <c r="O195" t="n">
        <v>2</v>
      </c>
      <c r="P195" t="n">
        <v>1</v>
      </c>
      <c r="Q195" t="n">
        <v>2</v>
      </c>
      <c r="R195" s="2" t="inlineStr">
        <is>
          <t>Knärot
Garnlav</t>
        </is>
      </c>
      <c r="S195">
        <f>HYPERLINK("https://klasma.github.io/Logging_2183/artfynd/A 61372-2019 artfynd.xlsx", "A 61372-2019")</f>
        <v/>
      </c>
      <c r="T195">
        <f>HYPERLINK("https://klasma.github.io/Logging_2183/kartor/A 61372-2019 karta.png", "A 61372-2019")</f>
        <v/>
      </c>
      <c r="U195">
        <f>HYPERLINK("https://klasma.github.io/Logging_2183/knärot/A 61372-2019 karta knärot.png", "A 61372-2019")</f>
        <v/>
      </c>
      <c r="V195">
        <f>HYPERLINK("https://klasma.github.io/Logging_2183/klagomål/A 61372-2019 FSC-klagomål.docx", "A 61372-2019")</f>
        <v/>
      </c>
      <c r="W195">
        <f>HYPERLINK("https://klasma.github.io/Logging_2183/klagomålsmail/A 61372-2019 FSC-klagomål mail.docx", "A 61372-2019")</f>
        <v/>
      </c>
      <c r="X195">
        <f>HYPERLINK("https://klasma.github.io/Logging_2183/tillsyn/A 61372-2019 tillsynsbegäran.docx", "A 61372-2019")</f>
        <v/>
      </c>
      <c r="Y195">
        <f>HYPERLINK("https://klasma.github.io/Logging_2183/tillsynsmail/A 61372-2019 tillsynsbegäran mail.docx", "A 61372-2019")</f>
        <v/>
      </c>
    </row>
    <row r="196" ht="15" customHeight="1">
      <c r="A196" t="inlineStr">
        <is>
          <t>A 61380-2019</t>
        </is>
      </c>
      <c r="B196" s="1" t="n">
        <v>43783</v>
      </c>
      <c r="C196" s="1" t="n">
        <v>45363</v>
      </c>
      <c r="D196" t="inlineStr">
        <is>
          <t>GÄVLEBORGS LÄN</t>
        </is>
      </c>
      <c r="E196" t="inlineStr">
        <is>
          <t>BOLLNÄS</t>
        </is>
      </c>
      <c r="F196" t="inlineStr">
        <is>
          <t>Sveaskog</t>
        </is>
      </c>
      <c r="G196" t="n">
        <v>6</v>
      </c>
      <c r="H196" t="n">
        <v>1</v>
      </c>
      <c r="I196" t="n">
        <v>1</v>
      </c>
      <c r="J196" t="n">
        <v>0</v>
      </c>
      <c r="K196" t="n">
        <v>1</v>
      </c>
      <c r="L196" t="n">
        <v>0</v>
      </c>
      <c r="M196" t="n">
        <v>0</v>
      </c>
      <c r="N196" t="n">
        <v>0</v>
      </c>
      <c r="O196" t="n">
        <v>1</v>
      </c>
      <c r="P196" t="n">
        <v>1</v>
      </c>
      <c r="Q196" t="n">
        <v>2</v>
      </c>
      <c r="R196" s="2" t="inlineStr">
        <is>
          <t>Knärot
Tibast</t>
        </is>
      </c>
      <c r="S196">
        <f>HYPERLINK("https://klasma.github.io/Logging_2183/artfynd/A 61380-2019 artfynd.xlsx", "A 61380-2019")</f>
        <v/>
      </c>
      <c r="T196">
        <f>HYPERLINK("https://klasma.github.io/Logging_2183/kartor/A 61380-2019 karta.png", "A 61380-2019")</f>
        <v/>
      </c>
      <c r="U196">
        <f>HYPERLINK("https://klasma.github.io/Logging_2183/knärot/A 61380-2019 karta knärot.png", "A 61380-2019")</f>
        <v/>
      </c>
      <c r="V196">
        <f>HYPERLINK("https://klasma.github.io/Logging_2183/klagomål/A 61380-2019 FSC-klagomål.docx", "A 61380-2019")</f>
        <v/>
      </c>
      <c r="W196">
        <f>HYPERLINK("https://klasma.github.io/Logging_2183/klagomålsmail/A 61380-2019 FSC-klagomål mail.docx", "A 61380-2019")</f>
        <v/>
      </c>
      <c r="X196">
        <f>HYPERLINK("https://klasma.github.io/Logging_2183/tillsyn/A 61380-2019 tillsynsbegäran.docx", "A 61380-2019")</f>
        <v/>
      </c>
      <c r="Y196">
        <f>HYPERLINK("https://klasma.github.io/Logging_2183/tillsynsmail/A 61380-2019 tillsynsbegäran mail.docx", "A 61380-2019")</f>
        <v/>
      </c>
    </row>
    <row r="197" ht="15" customHeight="1">
      <c r="A197" t="inlineStr">
        <is>
          <t>A 64630-2019</t>
        </is>
      </c>
      <c r="B197" s="1" t="n">
        <v>43798</v>
      </c>
      <c r="C197" s="1" t="n">
        <v>45363</v>
      </c>
      <c r="D197" t="inlineStr">
        <is>
          <t>GÄVLEBORGS LÄN</t>
        </is>
      </c>
      <c r="E197" t="inlineStr">
        <is>
          <t>SÖDERHAMN</t>
        </is>
      </c>
      <c r="G197" t="n">
        <v>8.300000000000001</v>
      </c>
      <c r="H197" t="n">
        <v>0</v>
      </c>
      <c r="I197" t="n">
        <v>1</v>
      </c>
      <c r="J197" t="n">
        <v>0</v>
      </c>
      <c r="K197" t="n">
        <v>1</v>
      </c>
      <c r="L197" t="n">
        <v>0</v>
      </c>
      <c r="M197" t="n">
        <v>0</v>
      </c>
      <c r="N197" t="n">
        <v>0</v>
      </c>
      <c r="O197" t="n">
        <v>1</v>
      </c>
      <c r="P197" t="n">
        <v>1</v>
      </c>
      <c r="Q197" t="n">
        <v>2</v>
      </c>
      <c r="R197" s="2" t="inlineStr">
        <is>
          <t>Violgubbe
Skarp dropptaggsvamp</t>
        </is>
      </c>
      <c r="S197">
        <f>HYPERLINK("https://klasma.github.io/Logging_2182/artfynd/A 64630-2019 artfynd.xlsx", "A 64630-2019")</f>
        <v/>
      </c>
      <c r="T197">
        <f>HYPERLINK("https://klasma.github.io/Logging_2182/kartor/A 64630-2019 karta.png", "A 64630-2019")</f>
        <v/>
      </c>
      <c r="V197">
        <f>HYPERLINK("https://klasma.github.io/Logging_2182/klagomål/A 64630-2019 FSC-klagomål.docx", "A 64630-2019")</f>
        <v/>
      </c>
      <c r="W197">
        <f>HYPERLINK("https://klasma.github.io/Logging_2182/klagomålsmail/A 64630-2019 FSC-klagomål mail.docx", "A 64630-2019")</f>
        <v/>
      </c>
      <c r="X197">
        <f>HYPERLINK("https://klasma.github.io/Logging_2182/tillsyn/A 64630-2019 tillsynsbegäran.docx", "A 64630-2019")</f>
        <v/>
      </c>
      <c r="Y197">
        <f>HYPERLINK("https://klasma.github.io/Logging_2182/tillsynsmail/A 64630-2019 tillsynsbegäran mail.docx", "A 64630-2019")</f>
        <v/>
      </c>
    </row>
    <row r="198" ht="15" customHeight="1">
      <c r="A198" t="inlineStr">
        <is>
          <t>A 116-2020</t>
        </is>
      </c>
      <c r="B198" s="1" t="n">
        <v>43832</v>
      </c>
      <c r="C198" s="1" t="n">
        <v>45363</v>
      </c>
      <c r="D198" t="inlineStr">
        <is>
          <t>GÄVLEBORGS LÄN</t>
        </is>
      </c>
      <c r="E198" t="inlineStr">
        <is>
          <t>HUDIKSVALL</t>
        </is>
      </c>
      <c r="G198" t="n">
        <v>7.1</v>
      </c>
      <c r="H198" t="n">
        <v>2</v>
      </c>
      <c r="I198" t="n">
        <v>0</v>
      </c>
      <c r="J198" t="n">
        <v>1</v>
      </c>
      <c r="K198" t="n">
        <v>0</v>
      </c>
      <c r="L198" t="n">
        <v>1</v>
      </c>
      <c r="M198" t="n">
        <v>0</v>
      </c>
      <c r="N198" t="n">
        <v>0</v>
      </c>
      <c r="O198" t="n">
        <v>2</v>
      </c>
      <c r="P198" t="n">
        <v>1</v>
      </c>
      <c r="Q198" t="n">
        <v>2</v>
      </c>
      <c r="R198" s="2" t="inlineStr">
        <is>
          <t>Tornseglare
Kråka</t>
        </is>
      </c>
      <c r="S198">
        <f>HYPERLINK("https://klasma.github.io/Logging_2184/artfynd/A 116-2020 artfynd.xlsx", "A 116-2020")</f>
        <v/>
      </c>
      <c r="T198">
        <f>HYPERLINK("https://klasma.github.io/Logging_2184/kartor/A 116-2020 karta.png", "A 116-2020")</f>
        <v/>
      </c>
      <c r="V198">
        <f>HYPERLINK("https://klasma.github.io/Logging_2184/klagomål/A 116-2020 FSC-klagomål.docx", "A 116-2020")</f>
        <v/>
      </c>
      <c r="W198">
        <f>HYPERLINK("https://klasma.github.io/Logging_2184/klagomålsmail/A 116-2020 FSC-klagomål mail.docx", "A 116-2020")</f>
        <v/>
      </c>
      <c r="X198">
        <f>HYPERLINK("https://klasma.github.io/Logging_2184/tillsyn/A 116-2020 tillsynsbegäran.docx", "A 116-2020")</f>
        <v/>
      </c>
      <c r="Y198">
        <f>HYPERLINK("https://klasma.github.io/Logging_2184/tillsynsmail/A 116-2020 tillsynsbegäran mail.docx", "A 116-2020")</f>
        <v/>
      </c>
      <c r="Z198">
        <f>HYPERLINK("https://klasma.github.io/Logging_2184/fåglar/A 116-2020 prioriterade fågelarter.docx", "A 116-2020")</f>
        <v/>
      </c>
    </row>
    <row r="199" ht="15" customHeight="1">
      <c r="A199" t="inlineStr">
        <is>
          <t>A 14255-2020</t>
        </is>
      </c>
      <c r="B199" s="1" t="n">
        <v>43907</v>
      </c>
      <c r="C199" s="1" t="n">
        <v>45363</v>
      </c>
      <c r="D199" t="inlineStr">
        <is>
          <t>GÄVLEBORGS LÄN</t>
        </is>
      </c>
      <c r="E199" t="inlineStr">
        <is>
          <t>HUDIKSVALL</t>
        </is>
      </c>
      <c r="F199" t="inlineStr">
        <is>
          <t>Holmen skog AB</t>
        </is>
      </c>
      <c r="G199" t="n">
        <v>14.2</v>
      </c>
      <c r="H199" t="n">
        <v>2</v>
      </c>
      <c r="I199" t="n">
        <v>0</v>
      </c>
      <c r="J199" t="n">
        <v>0</v>
      </c>
      <c r="K199" t="n">
        <v>0</v>
      </c>
      <c r="L199" t="n">
        <v>0</v>
      </c>
      <c r="M199" t="n">
        <v>0</v>
      </c>
      <c r="N199" t="n">
        <v>0</v>
      </c>
      <c r="O199" t="n">
        <v>0</v>
      </c>
      <c r="P199" t="n">
        <v>0</v>
      </c>
      <c r="Q199" t="n">
        <v>2</v>
      </c>
      <c r="R199" s="2" t="inlineStr">
        <is>
          <t>Fläcknycklar
Myggblomster</t>
        </is>
      </c>
      <c r="S199">
        <f>HYPERLINK("https://klasma.github.io/Logging_2184/artfynd/A 14255-2020 artfynd.xlsx", "A 14255-2020")</f>
        <v/>
      </c>
      <c r="T199">
        <f>HYPERLINK("https://klasma.github.io/Logging_2184/kartor/A 14255-2020 karta.png", "A 14255-2020")</f>
        <v/>
      </c>
      <c r="V199">
        <f>HYPERLINK("https://klasma.github.io/Logging_2184/klagomål/A 14255-2020 FSC-klagomål.docx", "A 14255-2020")</f>
        <v/>
      </c>
      <c r="W199">
        <f>HYPERLINK("https://klasma.github.io/Logging_2184/klagomålsmail/A 14255-2020 FSC-klagomål mail.docx", "A 14255-2020")</f>
        <v/>
      </c>
      <c r="X199">
        <f>HYPERLINK("https://klasma.github.io/Logging_2184/tillsyn/A 14255-2020 tillsynsbegäran.docx", "A 14255-2020")</f>
        <v/>
      </c>
      <c r="Y199">
        <f>HYPERLINK("https://klasma.github.io/Logging_2184/tillsynsmail/A 14255-2020 tillsynsbegäran mail.docx", "A 14255-2020")</f>
        <v/>
      </c>
    </row>
    <row r="200" ht="15" customHeight="1">
      <c r="A200" t="inlineStr">
        <is>
          <t>A 24617-2020</t>
        </is>
      </c>
      <c r="B200" s="1" t="n">
        <v>43977</v>
      </c>
      <c r="C200" s="1" t="n">
        <v>45363</v>
      </c>
      <c r="D200" t="inlineStr">
        <is>
          <t>GÄVLEBORGS LÄN</t>
        </is>
      </c>
      <c r="E200" t="inlineStr">
        <is>
          <t>LJUSDAL</t>
        </is>
      </c>
      <c r="F200" t="inlineStr">
        <is>
          <t>Sveaskog</t>
        </is>
      </c>
      <c r="G200" t="n">
        <v>9.300000000000001</v>
      </c>
      <c r="H200" t="n">
        <v>0</v>
      </c>
      <c r="I200" t="n">
        <v>1</v>
      </c>
      <c r="J200" t="n">
        <v>1</v>
      </c>
      <c r="K200" t="n">
        <v>0</v>
      </c>
      <c r="L200" t="n">
        <v>0</v>
      </c>
      <c r="M200" t="n">
        <v>0</v>
      </c>
      <c r="N200" t="n">
        <v>0</v>
      </c>
      <c r="O200" t="n">
        <v>1</v>
      </c>
      <c r="P200" t="n">
        <v>0</v>
      </c>
      <c r="Q200" t="n">
        <v>2</v>
      </c>
      <c r="R200" s="2" t="inlineStr">
        <is>
          <t>Kolflarnlav
Dropptaggsvamp</t>
        </is>
      </c>
      <c r="S200">
        <f>HYPERLINK("https://klasma.github.io/Logging_2161/artfynd/A 24617-2020 artfynd.xlsx", "A 24617-2020")</f>
        <v/>
      </c>
      <c r="T200">
        <f>HYPERLINK("https://klasma.github.io/Logging_2161/kartor/A 24617-2020 karta.png", "A 24617-2020")</f>
        <v/>
      </c>
      <c r="V200">
        <f>HYPERLINK("https://klasma.github.io/Logging_2161/klagomål/A 24617-2020 FSC-klagomål.docx", "A 24617-2020")</f>
        <v/>
      </c>
      <c r="W200">
        <f>HYPERLINK("https://klasma.github.io/Logging_2161/klagomålsmail/A 24617-2020 FSC-klagomål mail.docx", "A 24617-2020")</f>
        <v/>
      </c>
      <c r="X200">
        <f>HYPERLINK("https://klasma.github.io/Logging_2161/tillsyn/A 24617-2020 tillsynsbegäran.docx", "A 24617-2020")</f>
        <v/>
      </c>
      <c r="Y200">
        <f>HYPERLINK("https://klasma.github.io/Logging_2161/tillsynsmail/A 24617-2020 tillsynsbegäran mail.docx", "A 24617-2020")</f>
        <v/>
      </c>
    </row>
    <row r="201" ht="15" customHeight="1">
      <c r="A201" t="inlineStr">
        <is>
          <t>A 28704-2020</t>
        </is>
      </c>
      <c r="B201" s="1" t="n">
        <v>43999</v>
      </c>
      <c r="C201" s="1" t="n">
        <v>45363</v>
      </c>
      <c r="D201" t="inlineStr">
        <is>
          <t>GÄVLEBORGS LÄN</t>
        </is>
      </c>
      <c r="E201" t="inlineStr">
        <is>
          <t>BOLLNÄS</t>
        </is>
      </c>
      <c r="F201" t="inlineStr">
        <is>
          <t>Sveaskog</t>
        </is>
      </c>
      <c r="G201" t="n">
        <v>2.2</v>
      </c>
      <c r="H201" t="n">
        <v>0</v>
      </c>
      <c r="I201" t="n">
        <v>0</v>
      </c>
      <c r="J201" t="n">
        <v>2</v>
      </c>
      <c r="K201" t="n">
        <v>0</v>
      </c>
      <c r="L201" t="n">
        <v>0</v>
      </c>
      <c r="M201" t="n">
        <v>0</v>
      </c>
      <c r="N201" t="n">
        <v>0</v>
      </c>
      <c r="O201" t="n">
        <v>2</v>
      </c>
      <c r="P201" t="n">
        <v>0</v>
      </c>
      <c r="Q201" t="n">
        <v>2</v>
      </c>
      <c r="R201" s="2" t="inlineStr">
        <is>
          <t>Gammelgransskål
Tallticka</t>
        </is>
      </c>
      <c r="S201">
        <f>HYPERLINK("https://klasma.github.io/Logging_2183/artfynd/A 28704-2020 artfynd.xlsx", "A 28704-2020")</f>
        <v/>
      </c>
      <c r="T201">
        <f>HYPERLINK("https://klasma.github.io/Logging_2183/kartor/A 28704-2020 karta.png", "A 28704-2020")</f>
        <v/>
      </c>
      <c r="V201">
        <f>HYPERLINK("https://klasma.github.io/Logging_2183/klagomål/A 28704-2020 FSC-klagomål.docx", "A 28704-2020")</f>
        <v/>
      </c>
      <c r="W201">
        <f>HYPERLINK("https://klasma.github.io/Logging_2183/klagomålsmail/A 28704-2020 FSC-klagomål mail.docx", "A 28704-2020")</f>
        <v/>
      </c>
      <c r="X201">
        <f>HYPERLINK("https://klasma.github.io/Logging_2183/tillsyn/A 28704-2020 tillsynsbegäran.docx", "A 28704-2020")</f>
        <v/>
      </c>
      <c r="Y201">
        <f>HYPERLINK("https://klasma.github.io/Logging_2183/tillsynsmail/A 28704-2020 tillsynsbegäran mail.docx", "A 28704-2020")</f>
        <v/>
      </c>
    </row>
    <row r="202" ht="15" customHeight="1">
      <c r="A202" t="inlineStr">
        <is>
          <t>A 30147-2020</t>
        </is>
      </c>
      <c r="B202" s="1" t="n">
        <v>44007</v>
      </c>
      <c r="C202" s="1" t="n">
        <v>45363</v>
      </c>
      <c r="D202" t="inlineStr">
        <is>
          <t>GÄVLEBORGS LÄN</t>
        </is>
      </c>
      <c r="E202" t="inlineStr">
        <is>
          <t>SANDVIKEN</t>
        </is>
      </c>
      <c r="G202" t="n">
        <v>3.7</v>
      </c>
      <c r="H202" t="n">
        <v>1</v>
      </c>
      <c r="I202" t="n">
        <v>1</v>
      </c>
      <c r="J202" t="n">
        <v>0</v>
      </c>
      <c r="K202" t="n">
        <v>0</v>
      </c>
      <c r="L202" t="n">
        <v>0</v>
      </c>
      <c r="M202" t="n">
        <v>0</v>
      </c>
      <c r="N202" t="n">
        <v>0</v>
      </c>
      <c r="O202" t="n">
        <v>0</v>
      </c>
      <c r="P202" t="n">
        <v>0</v>
      </c>
      <c r="Q202" t="n">
        <v>2</v>
      </c>
      <c r="R202" s="2" t="inlineStr">
        <is>
          <t>Strutbräken
Revlummer</t>
        </is>
      </c>
      <c r="S202">
        <f>HYPERLINK("https://klasma.github.io/Logging_2181/artfynd/A 30147-2020 artfynd.xlsx", "A 30147-2020")</f>
        <v/>
      </c>
      <c r="T202">
        <f>HYPERLINK("https://klasma.github.io/Logging_2181/kartor/A 30147-2020 karta.png", "A 30147-2020")</f>
        <v/>
      </c>
      <c r="V202">
        <f>HYPERLINK("https://klasma.github.io/Logging_2181/klagomål/A 30147-2020 FSC-klagomål.docx", "A 30147-2020")</f>
        <v/>
      </c>
      <c r="W202">
        <f>HYPERLINK("https://klasma.github.io/Logging_2181/klagomålsmail/A 30147-2020 FSC-klagomål mail.docx", "A 30147-2020")</f>
        <v/>
      </c>
      <c r="X202">
        <f>HYPERLINK("https://klasma.github.io/Logging_2181/tillsyn/A 30147-2020 tillsynsbegäran.docx", "A 30147-2020")</f>
        <v/>
      </c>
      <c r="Y202">
        <f>HYPERLINK("https://klasma.github.io/Logging_2181/tillsynsmail/A 30147-2020 tillsynsbegäran mail.docx", "A 30147-2020")</f>
        <v/>
      </c>
    </row>
    <row r="203" ht="15" customHeight="1">
      <c r="A203" t="inlineStr">
        <is>
          <t>A 30620-2020</t>
        </is>
      </c>
      <c r="B203" s="1" t="n">
        <v>44008</v>
      </c>
      <c r="C203" s="1" t="n">
        <v>45363</v>
      </c>
      <c r="D203" t="inlineStr">
        <is>
          <t>GÄVLEBORGS LÄN</t>
        </is>
      </c>
      <c r="E203" t="inlineStr">
        <is>
          <t>NORDANSTIG</t>
        </is>
      </c>
      <c r="G203" t="n">
        <v>19.5</v>
      </c>
      <c r="H203" t="n">
        <v>2</v>
      </c>
      <c r="I203" t="n">
        <v>0</v>
      </c>
      <c r="J203" t="n">
        <v>2</v>
      </c>
      <c r="K203" t="n">
        <v>0</v>
      </c>
      <c r="L203" t="n">
        <v>0</v>
      </c>
      <c r="M203" t="n">
        <v>0</v>
      </c>
      <c r="N203" t="n">
        <v>0</v>
      </c>
      <c r="O203" t="n">
        <v>2</v>
      </c>
      <c r="P203" t="n">
        <v>0</v>
      </c>
      <c r="Q203" t="n">
        <v>2</v>
      </c>
      <c r="R203" s="2" t="inlineStr">
        <is>
          <t>Duvhök
Havsörn</t>
        </is>
      </c>
      <c r="S203">
        <f>HYPERLINK("https://klasma.github.io/Logging_2132/artfynd/A 30620-2020 artfynd.xlsx", "A 30620-2020")</f>
        <v/>
      </c>
      <c r="T203">
        <f>HYPERLINK("https://klasma.github.io/Logging_2132/kartor/A 30620-2020 karta.png", "A 30620-2020")</f>
        <v/>
      </c>
      <c r="V203">
        <f>HYPERLINK("https://klasma.github.io/Logging_2132/klagomål/A 30620-2020 FSC-klagomål.docx", "A 30620-2020")</f>
        <v/>
      </c>
      <c r="W203">
        <f>HYPERLINK("https://klasma.github.io/Logging_2132/klagomålsmail/A 30620-2020 FSC-klagomål mail.docx", "A 30620-2020")</f>
        <v/>
      </c>
      <c r="X203">
        <f>HYPERLINK("https://klasma.github.io/Logging_2132/tillsyn/A 30620-2020 tillsynsbegäran.docx", "A 30620-2020")</f>
        <v/>
      </c>
      <c r="Y203">
        <f>HYPERLINK("https://klasma.github.io/Logging_2132/tillsynsmail/A 30620-2020 tillsynsbegäran mail.docx", "A 30620-2020")</f>
        <v/>
      </c>
      <c r="Z203">
        <f>HYPERLINK("https://klasma.github.io/Logging_2132/fåglar/A 30620-2020 prioriterade fågelarter.docx", "A 30620-2020")</f>
        <v/>
      </c>
    </row>
    <row r="204" ht="15" customHeight="1">
      <c r="A204" t="inlineStr">
        <is>
          <t>A 33136-2020</t>
        </is>
      </c>
      <c r="B204" s="1" t="n">
        <v>44021</v>
      </c>
      <c r="C204" s="1" t="n">
        <v>45363</v>
      </c>
      <c r="D204" t="inlineStr">
        <is>
          <t>GÄVLEBORGS LÄN</t>
        </is>
      </c>
      <c r="E204" t="inlineStr">
        <is>
          <t>NORDANSTIG</t>
        </is>
      </c>
      <c r="F204" t="inlineStr">
        <is>
          <t>Holmen skog AB</t>
        </is>
      </c>
      <c r="G204" t="n">
        <v>6</v>
      </c>
      <c r="H204" t="n">
        <v>0</v>
      </c>
      <c r="I204" t="n">
        <v>0</v>
      </c>
      <c r="J204" t="n">
        <v>2</v>
      </c>
      <c r="K204" t="n">
        <v>0</v>
      </c>
      <c r="L204" t="n">
        <v>0</v>
      </c>
      <c r="M204" t="n">
        <v>0</v>
      </c>
      <c r="N204" t="n">
        <v>0</v>
      </c>
      <c r="O204" t="n">
        <v>2</v>
      </c>
      <c r="P204" t="n">
        <v>0</v>
      </c>
      <c r="Q204" t="n">
        <v>2</v>
      </c>
      <c r="R204" s="2" t="inlineStr">
        <is>
          <t>Motaggsvamp
Reliktbock</t>
        </is>
      </c>
      <c r="S204">
        <f>HYPERLINK("https://klasma.github.io/Logging_2132/artfynd/A 33136-2020 artfynd.xlsx", "A 33136-2020")</f>
        <v/>
      </c>
      <c r="T204">
        <f>HYPERLINK("https://klasma.github.io/Logging_2132/kartor/A 33136-2020 karta.png", "A 33136-2020")</f>
        <v/>
      </c>
      <c r="V204">
        <f>HYPERLINK("https://klasma.github.io/Logging_2132/klagomål/A 33136-2020 FSC-klagomål.docx", "A 33136-2020")</f>
        <v/>
      </c>
      <c r="W204">
        <f>HYPERLINK("https://klasma.github.io/Logging_2132/klagomålsmail/A 33136-2020 FSC-klagomål mail.docx", "A 33136-2020")</f>
        <v/>
      </c>
      <c r="X204">
        <f>HYPERLINK("https://klasma.github.io/Logging_2132/tillsyn/A 33136-2020 tillsynsbegäran.docx", "A 33136-2020")</f>
        <v/>
      </c>
      <c r="Y204">
        <f>HYPERLINK("https://klasma.github.io/Logging_2132/tillsynsmail/A 33136-2020 tillsynsbegäran mail.docx", "A 33136-2020")</f>
        <v/>
      </c>
    </row>
    <row r="205" ht="15" customHeight="1">
      <c r="A205" t="inlineStr">
        <is>
          <t>A 35427-2020</t>
        </is>
      </c>
      <c r="B205" s="1" t="n">
        <v>44042</v>
      </c>
      <c r="C205" s="1" t="n">
        <v>45363</v>
      </c>
      <c r="D205" t="inlineStr">
        <is>
          <t>GÄVLEBORGS LÄN</t>
        </is>
      </c>
      <c r="E205" t="inlineStr">
        <is>
          <t>HUDIKSVALL</t>
        </is>
      </c>
      <c r="F205" t="inlineStr">
        <is>
          <t>Holmen skog AB</t>
        </is>
      </c>
      <c r="G205" t="n">
        <v>1.4</v>
      </c>
      <c r="H205" t="n">
        <v>1</v>
      </c>
      <c r="I205" t="n">
        <v>0</v>
      </c>
      <c r="J205" t="n">
        <v>1</v>
      </c>
      <c r="K205" t="n">
        <v>0</v>
      </c>
      <c r="L205" t="n">
        <v>0</v>
      </c>
      <c r="M205" t="n">
        <v>0</v>
      </c>
      <c r="N205" t="n">
        <v>0</v>
      </c>
      <c r="O205" t="n">
        <v>1</v>
      </c>
      <c r="P205" t="n">
        <v>0</v>
      </c>
      <c r="Q205" t="n">
        <v>2</v>
      </c>
      <c r="R205" s="2" t="inlineStr">
        <is>
          <t>Garnlav
Revlummer</t>
        </is>
      </c>
      <c r="S205">
        <f>HYPERLINK("https://klasma.github.io/Logging_2184/artfynd/A 35427-2020 artfynd.xlsx", "A 35427-2020")</f>
        <v/>
      </c>
      <c r="T205">
        <f>HYPERLINK("https://klasma.github.io/Logging_2184/kartor/A 35427-2020 karta.png", "A 35427-2020")</f>
        <v/>
      </c>
      <c r="V205">
        <f>HYPERLINK("https://klasma.github.io/Logging_2184/klagomål/A 35427-2020 FSC-klagomål.docx", "A 35427-2020")</f>
        <v/>
      </c>
      <c r="W205">
        <f>HYPERLINK("https://klasma.github.io/Logging_2184/klagomålsmail/A 35427-2020 FSC-klagomål mail.docx", "A 35427-2020")</f>
        <v/>
      </c>
      <c r="X205">
        <f>HYPERLINK("https://klasma.github.io/Logging_2184/tillsyn/A 35427-2020 tillsynsbegäran.docx", "A 35427-2020")</f>
        <v/>
      </c>
      <c r="Y205">
        <f>HYPERLINK("https://klasma.github.io/Logging_2184/tillsynsmail/A 35427-2020 tillsynsbegäran mail.docx", "A 35427-2020")</f>
        <v/>
      </c>
    </row>
    <row r="206" ht="15" customHeight="1">
      <c r="A206" t="inlineStr">
        <is>
          <t>A 43503-2020</t>
        </is>
      </c>
      <c r="B206" s="1" t="n">
        <v>44077</v>
      </c>
      <c r="C206" s="1" t="n">
        <v>45363</v>
      </c>
      <c r="D206" t="inlineStr">
        <is>
          <t>GÄVLEBORGS LÄN</t>
        </is>
      </c>
      <c r="E206" t="inlineStr">
        <is>
          <t>HUDIKSVALL</t>
        </is>
      </c>
      <c r="G206" t="n">
        <v>3.3</v>
      </c>
      <c r="H206" t="n">
        <v>1</v>
      </c>
      <c r="I206" t="n">
        <v>0</v>
      </c>
      <c r="J206" t="n">
        <v>1</v>
      </c>
      <c r="K206" t="n">
        <v>1</v>
      </c>
      <c r="L206" t="n">
        <v>0</v>
      </c>
      <c r="M206" t="n">
        <v>0</v>
      </c>
      <c r="N206" t="n">
        <v>0</v>
      </c>
      <c r="O206" t="n">
        <v>2</v>
      </c>
      <c r="P206" t="n">
        <v>1</v>
      </c>
      <c r="Q206" t="n">
        <v>2</v>
      </c>
      <c r="R206" s="2" t="inlineStr">
        <is>
          <t>Knärot
Garnlav</t>
        </is>
      </c>
      <c r="S206">
        <f>HYPERLINK("https://klasma.github.io/Logging_2184/artfynd/A 43503-2020 artfynd.xlsx", "A 43503-2020")</f>
        <v/>
      </c>
      <c r="T206">
        <f>HYPERLINK("https://klasma.github.io/Logging_2184/kartor/A 43503-2020 karta.png", "A 43503-2020")</f>
        <v/>
      </c>
      <c r="U206">
        <f>HYPERLINK("https://klasma.github.io/Logging_2184/knärot/A 43503-2020 karta knärot.png", "A 43503-2020")</f>
        <v/>
      </c>
      <c r="V206">
        <f>HYPERLINK("https://klasma.github.io/Logging_2184/klagomål/A 43503-2020 FSC-klagomål.docx", "A 43503-2020")</f>
        <v/>
      </c>
      <c r="W206">
        <f>HYPERLINK("https://klasma.github.io/Logging_2184/klagomålsmail/A 43503-2020 FSC-klagomål mail.docx", "A 43503-2020")</f>
        <v/>
      </c>
      <c r="X206">
        <f>HYPERLINK("https://klasma.github.io/Logging_2184/tillsyn/A 43503-2020 tillsynsbegäran.docx", "A 43503-2020")</f>
        <v/>
      </c>
      <c r="Y206">
        <f>HYPERLINK("https://klasma.github.io/Logging_2184/tillsynsmail/A 43503-2020 tillsynsbegäran mail.docx", "A 43503-2020")</f>
        <v/>
      </c>
    </row>
    <row r="207" ht="15" customHeight="1">
      <c r="A207" t="inlineStr">
        <is>
          <t>A 13261-2021</t>
        </is>
      </c>
      <c r="B207" s="1" t="n">
        <v>44272</v>
      </c>
      <c r="C207" s="1" t="n">
        <v>45363</v>
      </c>
      <c r="D207" t="inlineStr">
        <is>
          <t>GÄVLEBORGS LÄN</t>
        </is>
      </c>
      <c r="E207" t="inlineStr">
        <is>
          <t>GÄVLE</t>
        </is>
      </c>
      <c r="G207" t="n">
        <v>4.7</v>
      </c>
      <c r="H207" t="n">
        <v>1</v>
      </c>
      <c r="I207" t="n">
        <v>0</v>
      </c>
      <c r="J207" t="n">
        <v>1</v>
      </c>
      <c r="K207" t="n">
        <v>0</v>
      </c>
      <c r="L207" t="n">
        <v>0</v>
      </c>
      <c r="M207" t="n">
        <v>0</v>
      </c>
      <c r="N207" t="n">
        <v>0</v>
      </c>
      <c r="O207" t="n">
        <v>1</v>
      </c>
      <c r="P207" t="n">
        <v>0</v>
      </c>
      <c r="Q207" t="n">
        <v>2</v>
      </c>
      <c r="R207" s="2" t="inlineStr">
        <is>
          <t>Motaggsvamp
Blåsippa</t>
        </is>
      </c>
      <c r="S207">
        <f>HYPERLINK("https://klasma.github.io/Logging_2180/artfynd/A 13261-2021 artfynd.xlsx", "A 13261-2021")</f>
        <v/>
      </c>
      <c r="T207">
        <f>HYPERLINK("https://klasma.github.io/Logging_2180/kartor/A 13261-2021 karta.png", "A 13261-2021")</f>
        <v/>
      </c>
      <c r="V207">
        <f>HYPERLINK("https://klasma.github.io/Logging_2180/klagomål/A 13261-2021 FSC-klagomål.docx", "A 13261-2021")</f>
        <v/>
      </c>
      <c r="W207">
        <f>HYPERLINK("https://klasma.github.io/Logging_2180/klagomålsmail/A 13261-2021 FSC-klagomål mail.docx", "A 13261-2021")</f>
        <v/>
      </c>
      <c r="X207">
        <f>HYPERLINK("https://klasma.github.io/Logging_2180/tillsyn/A 13261-2021 tillsynsbegäran.docx", "A 13261-2021")</f>
        <v/>
      </c>
      <c r="Y207">
        <f>HYPERLINK("https://klasma.github.io/Logging_2180/tillsynsmail/A 13261-2021 tillsynsbegäran mail.docx", "A 13261-2021")</f>
        <v/>
      </c>
    </row>
    <row r="208" ht="15" customHeight="1">
      <c r="A208" t="inlineStr">
        <is>
          <t>A 20198-2021</t>
        </is>
      </c>
      <c r="B208" s="1" t="n">
        <v>44314</v>
      </c>
      <c r="C208" s="1" t="n">
        <v>45363</v>
      </c>
      <c r="D208" t="inlineStr">
        <is>
          <t>GÄVLEBORGS LÄN</t>
        </is>
      </c>
      <c r="E208" t="inlineStr">
        <is>
          <t>GÄVLE</t>
        </is>
      </c>
      <c r="F208" t="inlineStr">
        <is>
          <t>Bergvik skog öst AB</t>
        </is>
      </c>
      <c r="G208" t="n">
        <v>4.5</v>
      </c>
      <c r="H208" t="n">
        <v>1</v>
      </c>
      <c r="I208" t="n">
        <v>2</v>
      </c>
      <c r="J208" t="n">
        <v>0</v>
      </c>
      <c r="K208" t="n">
        <v>0</v>
      </c>
      <c r="L208" t="n">
        <v>0</v>
      </c>
      <c r="M208" t="n">
        <v>0</v>
      </c>
      <c r="N208" t="n">
        <v>0</v>
      </c>
      <c r="O208" t="n">
        <v>0</v>
      </c>
      <c r="P208" t="n">
        <v>0</v>
      </c>
      <c r="Q208" t="n">
        <v>2</v>
      </c>
      <c r="R208" s="2" t="inlineStr">
        <is>
          <t>Anisspindling
Skogsknipprot</t>
        </is>
      </c>
      <c r="S208">
        <f>HYPERLINK("https://klasma.github.io/Logging_2180/artfynd/A 20198-2021 artfynd.xlsx", "A 20198-2021")</f>
        <v/>
      </c>
      <c r="T208">
        <f>HYPERLINK("https://klasma.github.io/Logging_2180/kartor/A 20198-2021 karta.png", "A 20198-2021")</f>
        <v/>
      </c>
      <c r="V208">
        <f>HYPERLINK("https://klasma.github.io/Logging_2180/klagomål/A 20198-2021 FSC-klagomål.docx", "A 20198-2021")</f>
        <v/>
      </c>
      <c r="W208">
        <f>HYPERLINK("https://klasma.github.io/Logging_2180/klagomålsmail/A 20198-2021 FSC-klagomål mail.docx", "A 20198-2021")</f>
        <v/>
      </c>
      <c r="X208">
        <f>HYPERLINK("https://klasma.github.io/Logging_2180/tillsyn/A 20198-2021 tillsynsbegäran.docx", "A 20198-2021")</f>
        <v/>
      </c>
      <c r="Y208">
        <f>HYPERLINK("https://klasma.github.io/Logging_2180/tillsynsmail/A 20198-2021 tillsynsbegäran mail.docx", "A 20198-2021")</f>
        <v/>
      </c>
    </row>
    <row r="209" ht="15" customHeight="1">
      <c r="A209" t="inlineStr">
        <is>
          <t>A 21765-2021</t>
        </is>
      </c>
      <c r="B209" s="1" t="n">
        <v>44322</v>
      </c>
      <c r="C209" s="1" t="n">
        <v>45363</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22073-2021</t>
        </is>
      </c>
      <c r="B210" s="1" t="n">
        <v>44323</v>
      </c>
      <c r="C210" s="1" t="n">
        <v>45363</v>
      </c>
      <c r="D210" t="inlineStr">
        <is>
          <t>GÄVLEBORGS LÄN</t>
        </is>
      </c>
      <c r="E210" t="inlineStr">
        <is>
          <t>GÄVLE</t>
        </is>
      </c>
      <c r="F210" t="inlineStr">
        <is>
          <t>Bergvik skog öst AB</t>
        </is>
      </c>
      <c r="G210" t="n">
        <v>0.5</v>
      </c>
      <c r="H210" t="n">
        <v>2</v>
      </c>
      <c r="I210" t="n">
        <v>0</v>
      </c>
      <c r="J210" t="n">
        <v>2</v>
      </c>
      <c r="K210" t="n">
        <v>0</v>
      </c>
      <c r="L210" t="n">
        <v>0</v>
      </c>
      <c r="M210" t="n">
        <v>0</v>
      </c>
      <c r="N210" t="n">
        <v>0</v>
      </c>
      <c r="O210" t="n">
        <v>2</v>
      </c>
      <c r="P210" t="n">
        <v>0</v>
      </c>
      <c r="Q210" t="n">
        <v>2</v>
      </c>
      <c r="R210" s="2" t="inlineStr">
        <is>
          <t>Blå kärrhök
Havsörn</t>
        </is>
      </c>
      <c r="S210">
        <f>HYPERLINK("https://klasma.github.io/Logging_2180/artfynd/A 22073-2021 artfynd.xlsx", "A 22073-2021")</f>
        <v/>
      </c>
      <c r="T210">
        <f>HYPERLINK("https://klasma.github.io/Logging_2180/kartor/A 22073-2021 karta.png", "A 22073-2021")</f>
        <v/>
      </c>
      <c r="V210">
        <f>HYPERLINK("https://klasma.github.io/Logging_2180/klagomål/A 22073-2021 FSC-klagomål.docx", "A 22073-2021")</f>
        <v/>
      </c>
      <c r="W210">
        <f>HYPERLINK("https://klasma.github.io/Logging_2180/klagomålsmail/A 22073-2021 FSC-klagomål mail.docx", "A 22073-2021")</f>
        <v/>
      </c>
      <c r="X210">
        <f>HYPERLINK("https://klasma.github.io/Logging_2180/tillsyn/A 22073-2021 tillsynsbegäran.docx", "A 22073-2021")</f>
        <v/>
      </c>
      <c r="Y210">
        <f>HYPERLINK("https://klasma.github.io/Logging_2180/tillsynsmail/A 22073-2021 tillsynsbegäran mail.docx", "A 22073-2021")</f>
        <v/>
      </c>
      <c r="Z210">
        <f>HYPERLINK("https://klasma.github.io/Logging_2180/fåglar/A 22073-2021 prioriterade fågelarter.docx", "A 22073-2021")</f>
        <v/>
      </c>
    </row>
    <row r="211" ht="15" customHeight="1">
      <c r="A211" t="inlineStr">
        <is>
          <t>A 28727-2021</t>
        </is>
      </c>
      <c r="B211" s="1" t="n">
        <v>44357</v>
      </c>
      <c r="C211" s="1" t="n">
        <v>45363</v>
      </c>
      <c r="D211" t="inlineStr">
        <is>
          <t>GÄVLEBORGS LÄN</t>
        </is>
      </c>
      <c r="E211" t="inlineStr">
        <is>
          <t>LJUSDAL</t>
        </is>
      </c>
      <c r="F211" t="inlineStr">
        <is>
          <t>Sveaskog</t>
        </is>
      </c>
      <c r="G211" t="n">
        <v>45.9</v>
      </c>
      <c r="H211" t="n">
        <v>2</v>
      </c>
      <c r="I211" t="n">
        <v>1</v>
      </c>
      <c r="J211" t="n">
        <v>0</v>
      </c>
      <c r="K211" t="n">
        <v>0</v>
      </c>
      <c r="L211" t="n">
        <v>0</v>
      </c>
      <c r="M211" t="n">
        <v>0</v>
      </c>
      <c r="N211" t="n">
        <v>0</v>
      </c>
      <c r="O211" t="n">
        <v>0</v>
      </c>
      <c r="P211" t="n">
        <v>0</v>
      </c>
      <c r="Q211" t="n">
        <v>2</v>
      </c>
      <c r="R211" s="2" t="inlineStr">
        <is>
          <t>Plattlummer
Nattviol</t>
        </is>
      </c>
      <c r="S211">
        <f>HYPERLINK("https://klasma.github.io/Logging_2161/artfynd/A 28727-2021 artfynd.xlsx", "A 28727-2021")</f>
        <v/>
      </c>
      <c r="T211">
        <f>HYPERLINK("https://klasma.github.io/Logging_2161/kartor/A 28727-2021 karta.png", "A 28727-2021")</f>
        <v/>
      </c>
      <c r="V211">
        <f>HYPERLINK("https://klasma.github.io/Logging_2161/klagomål/A 28727-2021 FSC-klagomål.docx", "A 28727-2021")</f>
        <v/>
      </c>
      <c r="W211">
        <f>HYPERLINK("https://klasma.github.io/Logging_2161/klagomålsmail/A 28727-2021 FSC-klagomål mail.docx", "A 28727-2021")</f>
        <v/>
      </c>
      <c r="X211">
        <f>HYPERLINK("https://klasma.github.io/Logging_2161/tillsyn/A 28727-2021 tillsynsbegäran.docx", "A 28727-2021")</f>
        <v/>
      </c>
      <c r="Y211">
        <f>HYPERLINK("https://klasma.github.io/Logging_2161/tillsynsmail/A 28727-2021 tillsynsbegäran mail.docx", "A 28727-2021")</f>
        <v/>
      </c>
    </row>
    <row r="212" ht="15" customHeight="1">
      <c r="A212" t="inlineStr">
        <is>
          <t>A 39528-2021</t>
        </is>
      </c>
      <c r="B212" s="1" t="n">
        <v>44415</v>
      </c>
      <c r="C212" s="1" t="n">
        <v>45363</v>
      </c>
      <c r="D212" t="inlineStr">
        <is>
          <t>GÄVLEBORGS LÄN</t>
        </is>
      </c>
      <c r="E212" t="inlineStr">
        <is>
          <t>HUDIKSVALL</t>
        </is>
      </c>
      <c r="G212" t="n">
        <v>5.2</v>
      </c>
      <c r="H212" t="n">
        <v>1</v>
      </c>
      <c r="I212" t="n">
        <v>1</v>
      </c>
      <c r="J212" t="n">
        <v>0</v>
      </c>
      <c r="K212" t="n">
        <v>1</v>
      </c>
      <c r="L212" t="n">
        <v>0</v>
      </c>
      <c r="M212" t="n">
        <v>0</v>
      </c>
      <c r="N212" t="n">
        <v>0</v>
      </c>
      <c r="O212" t="n">
        <v>1</v>
      </c>
      <c r="P212" t="n">
        <v>1</v>
      </c>
      <c r="Q212" t="n">
        <v>2</v>
      </c>
      <c r="R212" s="2" t="inlineStr">
        <is>
          <t>Knärot
Stuplav</t>
        </is>
      </c>
      <c r="S212">
        <f>HYPERLINK("https://klasma.github.io/Logging_2184/artfynd/A 39528-2021 artfynd.xlsx", "A 39528-2021")</f>
        <v/>
      </c>
      <c r="T212">
        <f>HYPERLINK("https://klasma.github.io/Logging_2184/kartor/A 39528-2021 karta.png", "A 39528-2021")</f>
        <v/>
      </c>
      <c r="U212">
        <f>HYPERLINK("https://klasma.github.io/Logging_2184/knärot/A 39528-2021 karta knärot.png", "A 39528-2021")</f>
        <v/>
      </c>
      <c r="V212">
        <f>HYPERLINK("https://klasma.github.io/Logging_2184/klagomål/A 39528-2021 FSC-klagomål.docx", "A 39528-2021")</f>
        <v/>
      </c>
      <c r="W212">
        <f>HYPERLINK("https://klasma.github.io/Logging_2184/klagomålsmail/A 39528-2021 FSC-klagomål mail.docx", "A 39528-2021")</f>
        <v/>
      </c>
      <c r="X212">
        <f>HYPERLINK("https://klasma.github.io/Logging_2184/tillsyn/A 39528-2021 tillsynsbegäran.docx", "A 39528-2021")</f>
        <v/>
      </c>
      <c r="Y212">
        <f>HYPERLINK("https://klasma.github.io/Logging_2184/tillsynsmail/A 39528-2021 tillsynsbegäran mail.docx", "A 39528-2021")</f>
        <v/>
      </c>
    </row>
    <row r="213" ht="15" customHeight="1">
      <c r="A213" t="inlineStr">
        <is>
          <t>A 43259-2021</t>
        </is>
      </c>
      <c r="B213" s="1" t="n">
        <v>44432</v>
      </c>
      <c r="C213" s="1" t="n">
        <v>45363</v>
      </c>
      <c r="D213" t="inlineStr">
        <is>
          <t>GÄVLEBORGS LÄN</t>
        </is>
      </c>
      <c r="E213" t="inlineStr">
        <is>
          <t>BOLLNÄS</t>
        </is>
      </c>
      <c r="G213" t="n">
        <v>3.8</v>
      </c>
      <c r="H213" t="n">
        <v>1</v>
      </c>
      <c r="I213" t="n">
        <v>1</v>
      </c>
      <c r="J213" t="n">
        <v>0</v>
      </c>
      <c r="K213" t="n">
        <v>1</v>
      </c>
      <c r="L213" t="n">
        <v>0</v>
      </c>
      <c r="M213" t="n">
        <v>0</v>
      </c>
      <c r="N213" t="n">
        <v>0</v>
      </c>
      <c r="O213" t="n">
        <v>1</v>
      </c>
      <c r="P213" t="n">
        <v>1</v>
      </c>
      <c r="Q213" t="n">
        <v>2</v>
      </c>
      <c r="R213" s="2" t="inlineStr">
        <is>
          <t>Knärot
Grönpyrola</t>
        </is>
      </c>
      <c r="S213">
        <f>HYPERLINK("https://klasma.github.io/Logging_2183/artfynd/A 43259-2021 artfynd.xlsx", "A 43259-2021")</f>
        <v/>
      </c>
      <c r="T213">
        <f>HYPERLINK("https://klasma.github.io/Logging_2183/kartor/A 43259-2021 karta.png", "A 43259-2021")</f>
        <v/>
      </c>
      <c r="U213">
        <f>HYPERLINK("https://klasma.github.io/Logging_2183/knärot/A 43259-2021 karta knärot.png", "A 43259-2021")</f>
        <v/>
      </c>
      <c r="V213">
        <f>HYPERLINK("https://klasma.github.io/Logging_2183/klagomål/A 43259-2021 FSC-klagomål.docx", "A 43259-2021")</f>
        <v/>
      </c>
      <c r="W213">
        <f>HYPERLINK("https://klasma.github.io/Logging_2183/klagomålsmail/A 43259-2021 FSC-klagomål mail.docx", "A 43259-2021")</f>
        <v/>
      </c>
      <c r="X213">
        <f>HYPERLINK("https://klasma.github.io/Logging_2183/tillsyn/A 43259-2021 tillsynsbegäran.docx", "A 43259-2021")</f>
        <v/>
      </c>
      <c r="Y213">
        <f>HYPERLINK("https://klasma.github.io/Logging_2183/tillsynsmail/A 43259-2021 tillsynsbegäran mail.docx", "A 43259-2021")</f>
        <v/>
      </c>
    </row>
    <row r="214" ht="15" customHeight="1">
      <c r="A214" t="inlineStr">
        <is>
          <t>A 44692-2021</t>
        </is>
      </c>
      <c r="B214" s="1" t="n">
        <v>44438</v>
      </c>
      <c r="C214" s="1" t="n">
        <v>45363</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47483-2021</t>
        </is>
      </c>
      <c r="B215" s="1" t="n">
        <v>44447</v>
      </c>
      <c r="C215" s="1" t="n">
        <v>45363</v>
      </c>
      <c r="D215" t="inlineStr">
        <is>
          <t>GÄVLEBORGS LÄN</t>
        </is>
      </c>
      <c r="E215" t="inlineStr">
        <is>
          <t>HOFORS</t>
        </is>
      </c>
      <c r="G215" t="n">
        <v>6.9</v>
      </c>
      <c r="H215" t="n">
        <v>1</v>
      </c>
      <c r="I215" t="n">
        <v>1</v>
      </c>
      <c r="J215" t="n">
        <v>0</v>
      </c>
      <c r="K215" t="n">
        <v>1</v>
      </c>
      <c r="L215" t="n">
        <v>0</v>
      </c>
      <c r="M215" t="n">
        <v>0</v>
      </c>
      <c r="N215" t="n">
        <v>0</v>
      </c>
      <c r="O215" t="n">
        <v>1</v>
      </c>
      <c r="P215" t="n">
        <v>1</v>
      </c>
      <c r="Q215" t="n">
        <v>2</v>
      </c>
      <c r="R215" s="2" t="inlineStr">
        <is>
          <t>Knärot
Mindre märgborre</t>
        </is>
      </c>
      <c r="S215">
        <f>HYPERLINK("https://klasma.github.io/Logging_2104/artfynd/A 47483-2021 artfynd.xlsx", "A 47483-2021")</f>
        <v/>
      </c>
      <c r="T215">
        <f>HYPERLINK("https://klasma.github.io/Logging_2104/kartor/A 47483-2021 karta.png", "A 47483-2021")</f>
        <v/>
      </c>
      <c r="U215">
        <f>HYPERLINK("https://klasma.github.io/Logging_2104/knärot/A 47483-2021 karta knärot.png", "A 47483-2021")</f>
        <v/>
      </c>
      <c r="V215">
        <f>HYPERLINK("https://klasma.github.io/Logging_2104/klagomål/A 47483-2021 FSC-klagomål.docx", "A 47483-2021")</f>
        <v/>
      </c>
      <c r="W215">
        <f>HYPERLINK("https://klasma.github.io/Logging_2104/klagomålsmail/A 47483-2021 FSC-klagomål mail.docx", "A 47483-2021")</f>
        <v/>
      </c>
      <c r="X215">
        <f>HYPERLINK("https://klasma.github.io/Logging_2104/tillsyn/A 47483-2021 tillsynsbegäran.docx", "A 47483-2021")</f>
        <v/>
      </c>
      <c r="Y215">
        <f>HYPERLINK("https://klasma.github.io/Logging_2104/tillsynsmail/A 47483-2021 tillsynsbegäran mail.docx", "A 47483-2021")</f>
        <v/>
      </c>
    </row>
    <row r="216" ht="15" customHeight="1">
      <c r="A216" t="inlineStr">
        <is>
          <t>A 13026-2022</t>
        </is>
      </c>
      <c r="B216" s="1" t="n">
        <v>44643</v>
      </c>
      <c r="C216" s="1" t="n">
        <v>45363</v>
      </c>
      <c r="D216" t="inlineStr">
        <is>
          <t>GÄVLEBORGS LÄN</t>
        </is>
      </c>
      <c r="E216" t="inlineStr">
        <is>
          <t>NORDANSTIG</t>
        </is>
      </c>
      <c r="G216" t="n">
        <v>17.3</v>
      </c>
      <c r="H216" t="n">
        <v>1</v>
      </c>
      <c r="I216" t="n">
        <v>0</v>
      </c>
      <c r="J216" t="n">
        <v>2</v>
      </c>
      <c r="K216" t="n">
        <v>0</v>
      </c>
      <c r="L216" t="n">
        <v>0</v>
      </c>
      <c r="M216" t="n">
        <v>0</v>
      </c>
      <c r="N216" t="n">
        <v>0</v>
      </c>
      <c r="O216" t="n">
        <v>2</v>
      </c>
      <c r="P216" t="n">
        <v>0</v>
      </c>
      <c r="Q216" t="n">
        <v>2</v>
      </c>
      <c r="R216" s="2" t="inlineStr">
        <is>
          <t>Garnlav
Talltita</t>
        </is>
      </c>
      <c r="S216">
        <f>HYPERLINK("https://klasma.github.io/Logging_2132/artfynd/A 13026-2022 artfynd.xlsx", "A 13026-2022")</f>
        <v/>
      </c>
      <c r="T216">
        <f>HYPERLINK("https://klasma.github.io/Logging_2132/kartor/A 13026-2022 karta.png", "A 13026-2022")</f>
        <v/>
      </c>
      <c r="V216">
        <f>HYPERLINK("https://klasma.github.io/Logging_2132/klagomål/A 13026-2022 FSC-klagomål.docx", "A 13026-2022")</f>
        <v/>
      </c>
      <c r="W216">
        <f>HYPERLINK("https://klasma.github.io/Logging_2132/klagomålsmail/A 13026-2022 FSC-klagomål mail.docx", "A 13026-2022")</f>
        <v/>
      </c>
      <c r="X216">
        <f>HYPERLINK("https://klasma.github.io/Logging_2132/tillsyn/A 13026-2022 tillsynsbegäran.docx", "A 13026-2022")</f>
        <v/>
      </c>
      <c r="Y216">
        <f>HYPERLINK("https://klasma.github.io/Logging_2132/tillsynsmail/A 13026-2022 tillsynsbegäran mail.docx", "A 13026-2022")</f>
        <v/>
      </c>
      <c r="Z216">
        <f>HYPERLINK("https://klasma.github.io/Logging_2132/fåglar/A 13026-2022 prioriterade fågelarter.docx", "A 13026-2022")</f>
        <v/>
      </c>
    </row>
    <row r="217" ht="15" customHeight="1">
      <c r="A217" t="inlineStr">
        <is>
          <t>A 23866-2022</t>
        </is>
      </c>
      <c r="B217" s="1" t="n">
        <v>44722</v>
      </c>
      <c r="C217" s="1" t="n">
        <v>45363</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45363</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45363</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45363</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45363</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45363</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45363</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45363</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45363</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45363</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45363</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45363</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45363</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45363</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45363</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45363</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45363</v>
      </c>
      <c r="D233" t="inlineStr">
        <is>
          <t>GÄVLEBORGS LÄN</t>
        </is>
      </c>
      <c r="E233" t="inlineStr">
        <is>
          <t>GÄVLE</t>
        </is>
      </c>
      <c r="F233" t="inlineStr">
        <is>
          <t>Bergvik skog öst AB</t>
        </is>
      </c>
      <c r="G233" t="n">
        <v>41.8</v>
      </c>
      <c r="H233" t="n">
        <v>1</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45363</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45363</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45363</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45363</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45363</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45363</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45363</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45363</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45363</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45363</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45363</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45363</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45363</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45363</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45363</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45363</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45363</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45363</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45363</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45363</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45363</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45363</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45363</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45363</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45363</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45363</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45363</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45363</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45363</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45363</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45363</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45363</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45363</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45363</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45363</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45363</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45363</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45363</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45363</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45363</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45363</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45363</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45363</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45363</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45363</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45363</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45363</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45363</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45363</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45363</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45363</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45363</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45363</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45363</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45363</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45363</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45363</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45363</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45363</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45363</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45363</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45363</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45363</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45363</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45363</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45363</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45363</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45363</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45363</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45363</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45363</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45363</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45363</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45363</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45363</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45363</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45363</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45363</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45363</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45363</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45363</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45363</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45363</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45363</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45363</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45363</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45363</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45363</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45363</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45363</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45363</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45363</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45363</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45363</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45363</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45363</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45363</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45363</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45363</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45363</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45363</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45363</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c r="Z335">
        <f>HYPERLINK("https://klasma.github.io/Logging_2121/fåglar/A 34219-2021 prioriterade fågelarter.docx", "A 34219-2021")</f>
        <v/>
      </c>
    </row>
    <row r="336" ht="15" customHeight="1">
      <c r="A336" t="inlineStr">
        <is>
          <t>A 34192-2021</t>
        </is>
      </c>
      <c r="B336" s="1" t="n">
        <v>44379</v>
      </c>
      <c r="C336" s="1" t="n">
        <v>45363</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45363</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45363</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45363</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45363</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45363</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45363</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45363</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45363</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45363</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45363</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45363</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45363</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45363</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45363</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45363</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45363</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45363</v>
      </c>
      <c r="D353" t="inlineStr">
        <is>
          <t>GÄVLEBORGS LÄN</t>
        </is>
      </c>
      <c r="E353" t="inlineStr">
        <is>
          <t>BOLLNÄS</t>
        </is>
      </c>
      <c r="F353" t="inlineStr">
        <is>
          <t>Bergvik skog väst AB</t>
        </is>
      </c>
      <c r="G353" t="n">
        <v>14.4</v>
      </c>
      <c r="H353" t="n">
        <v>1</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45363</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45363</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45363</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45363</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45363</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45363</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45363</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45363</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45363</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45363</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45363</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45363</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45363</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45363</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45363</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45363</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45363</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45363</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45363</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45363</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45363</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45363</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45363</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45363</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45363</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45363</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45363</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45363</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45363</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45363</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45363</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45363</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45363</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45363</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45363</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45363</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45363</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45363</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45363</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45363</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45363</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45363</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45363</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45363</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45363</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45363</v>
      </c>
      <c r="D399" t="inlineStr">
        <is>
          <t>GÄVLEBORGS LÄN</t>
        </is>
      </c>
      <c r="E399" t="inlineStr">
        <is>
          <t>NORDANSTIG</t>
        </is>
      </c>
      <c r="G399" t="n">
        <v>8.199999999999999</v>
      </c>
      <c r="H399" t="n">
        <v>1</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45363</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45363</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c r="Z401">
        <f>HYPERLINK("https://klasma.github.io/Logging_2181/fåglar/A 6378-2023 prioriterade fågelarter.docx", "A 6378-2023")</f>
        <v/>
      </c>
    </row>
    <row r="402" ht="15" customHeight="1">
      <c r="A402" t="inlineStr">
        <is>
          <t>A 8078-2023</t>
        </is>
      </c>
      <c r="B402" s="1" t="n">
        <v>44974</v>
      </c>
      <c r="C402" s="1" t="n">
        <v>45363</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45363</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45363</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45363</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45363</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45363</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45363</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45363</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45363</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45363</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45363</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45363</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45363</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45363</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45363</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45363</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45363</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45363</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45363</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45363</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45363</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45363</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45363</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45363</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45363</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45363</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45363</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45363</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45363</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45363</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45363</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45363</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45363</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45363</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45363</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45363</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45363</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45363</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45363</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45363</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45363</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45363</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45363</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45363</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45363</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45363</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45363</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45363</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45363</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45363</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45363</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45363</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45363</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45363</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45363</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45363</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45363</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45363</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45363</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45363</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45363</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45363</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45363</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45363</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45363</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45363</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45363</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45363</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45363</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45363</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45363</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45363</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45363</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45363</v>
      </c>
      <c r="D475" t="inlineStr">
        <is>
          <t>GÄVLEBORGS LÄN</t>
        </is>
      </c>
      <c r="E475" t="inlineStr">
        <is>
          <t>NORDANSTIG</t>
        </is>
      </c>
      <c r="G475" t="n">
        <v>3.9</v>
      </c>
      <c r="H475" t="n">
        <v>1</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45363</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45363</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45363</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45363</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c r="Z479">
        <f>HYPERLINK("https://klasma.github.io/Logging_2132/fåglar/A 470-2024 prioriterade fågelarter.docx", "A 470-2024")</f>
        <v/>
      </c>
    </row>
    <row r="480" ht="15" customHeight="1">
      <c r="A480" t="inlineStr">
        <is>
          <t>A 684-2024</t>
        </is>
      </c>
      <c r="B480" s="1" t="n">
        <v>45300</v>
      </c>
      <c r="C480" s="1" t="n">
        <v>45363</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45363</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45363</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45363</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45363</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45363</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45363</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45363</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45363</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45363</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45363</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45363</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45363</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45363</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45363</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45363</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45363</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45363</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45363</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45363</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45363</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45363</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45363</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45363</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45363</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45363</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45363</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45363</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45363</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45363</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45363</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45363</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45363</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45363</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45363</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45363</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45363</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45363</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45363</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45363</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45363</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45363</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45363</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45363</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45363</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45363</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45363</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45363</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45363</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45363</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45363</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45363</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45363</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45363</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45363</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45363</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45363</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45363</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45363</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45363</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45363</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45363</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45363</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45363</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45363</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45363</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45363</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45363</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45363</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45363</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45363</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45363</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45363</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45363</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45363</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45363</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45363</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45363</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45363</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45363</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45363</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45363</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45363</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45363</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45363</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45363</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45363</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45363</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45363</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45363</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45363</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45363</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45363</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45363</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45363</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45363</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45363</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45363</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45363</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45363</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45363</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45363</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45363</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45363</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45363</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45363</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45363</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45363</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45363</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45363</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45363</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45363</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45363</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45363</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45363</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45363</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45363</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45363</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45363</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45363</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45363</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45363</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45363</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45363</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45363</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45363</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45363</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45363</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45363</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45363</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45363</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45363</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45363</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45363</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45363</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45363</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45363</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45363</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45363</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45363</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45363</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45363</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45363</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45363</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45363</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45363</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45363</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45363</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45363</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45363</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45363</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45363</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45363</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45363</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45363</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45363</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45363</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45363</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45363</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45363</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45363</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45363</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45363</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45363</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45363</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45363</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45363</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45363</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45363</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45363</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45363</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45363</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45363</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45363</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45363</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45363</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45363</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45363</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45363</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45363</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45363</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45363</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45363</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45363</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45363</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45363</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45363</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45363</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45363</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45363</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45363</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45363</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45363</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45363</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45363</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45363</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45363</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45363</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45363</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45363</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45363</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45363</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45363</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45363</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45363</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45363</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45363</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45363</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45363</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45363</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45363</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45363</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45363</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45363</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45363</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45363</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45363</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45363</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45363</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45363</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45363</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45363</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45363</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45363</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45363</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45363</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45363</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45363</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45363</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45363</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45363</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45363</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45363</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45363</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45363</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45363</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45363</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45363</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45363</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45363</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45363</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45363</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45363</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45363</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45363</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45363</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45363</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45363</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45363</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45363</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45363</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45363</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45363</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45363</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45363</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45363</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45363</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45363</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45363</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45363</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45363</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45363</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45363</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45363</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45363</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45363</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45363</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45363</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45363</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45363</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45363</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45363</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45363</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45363</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45363</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45363</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45363</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45363</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45363</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45363</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45363</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45363</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45363</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45363</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45363</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45363</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45363</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45363</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45363</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45363</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45363</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45363</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45363</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45363</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45363</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45363</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45363</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45363</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45363</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45363</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45363</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45363</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45363</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45363</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45363</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45363</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45363</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45363</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45363</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45363</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45363</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45363</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45363</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45363</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45363</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45363</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45363</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45363</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45363</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45363</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45363</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45363</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45363</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45363</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45363</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45363</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45363</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45363</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45363</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45363</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45363</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45363</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45363</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45363</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45363</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45363</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45363</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45363</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45363</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45363</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45363</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45363</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45363</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45363</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45363</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45363</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45363</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45363</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45363</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45363</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45363</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45363</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45363</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45363</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45363</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45363</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45363</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45363</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45363</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45363</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45363</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45363</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45363</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45363</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45363</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45363</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45363</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45363</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45363</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45363</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45363</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45363</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45363</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45363</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45363</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45363</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45363</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45363</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45363</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45363</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45363</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45363</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45363</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45363</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45363</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45363</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45363</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45363</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45363</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45363</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45363</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45363</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45363</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45363</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45363</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45363</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45363</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45363</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45363</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45363</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45363</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45363</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45363</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45363</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45363</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45363</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45363</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45363</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45363</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45363</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45363</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45363</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45363</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45363</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45363</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45363</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45363</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45363</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45363</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45363</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45363</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45363</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45363</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45363</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45363</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45363</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45363</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45363</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45363</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45363</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45363</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45363</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45363</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45363</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45363</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45363</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45363</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45363</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45363</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45363</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45363</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45363</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45363</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45363</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45363</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45363</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45363</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45363</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45363</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45363</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45363</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45363</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45363</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45363</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45363</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45363</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45363</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45363</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45363</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45363</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45363</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45363</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45363</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45363</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45363</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45363</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45363</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45363</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45363</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45363</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45363</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45363</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45363</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45363</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45363</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45363</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45363</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45363</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45363</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45363</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45363</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45363</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45363</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45363</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45363</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45363</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45363</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45363</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45363</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45363</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45363</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45363</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45363</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45363</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45363</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45363</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45363</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45363</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45363</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45363</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45363</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45363</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45363</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45363</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45363</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45363</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45363</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45363</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45363</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45363</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45363</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45363</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45363</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45363</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45363</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45363</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45363</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45363</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45363</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45363</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45363</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45363</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45363</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45363</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45363</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45363</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45363</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45363</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45363</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45363</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45363</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45363</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45363</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45363</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45363</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45363</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45363</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45363</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45363</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45363</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45363</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45363</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45363</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45363</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45363</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45363</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45363</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45363</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45363</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45363</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45363</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45363</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45363</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45363</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45363</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45363</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45363</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45363</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45363</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45363</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45363</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45363</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45363</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45363</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45363</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45363</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45363</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45363</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45363</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45363</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45363</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45363</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45363</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45363</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45363</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45363</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45363</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45363</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45363</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45363</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45363</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45363</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45363</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45363</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45363</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45363</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45363</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45363</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45363</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45363</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45363</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45363</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45363</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45363</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45363</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45363</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45363</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45363</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45363</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45363</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45363</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45363</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45363</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45363</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45363</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45363</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45363</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45363</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45363</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45363</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45363</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45363</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45363</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45363</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45363</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45363</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45363</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45363</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45363</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45363</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45363</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45363</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45363</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45363</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45363</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45363</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45363</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45363</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45363</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45363</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45363</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45363</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45363</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45363</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45363</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45363</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45363</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45363</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45363</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45363</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45363</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45363</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45363</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45363</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45363</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45363</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45363</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45363</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45363</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45363</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45363</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45363</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45363</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45363</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45363</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45363</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45363</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45363</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45363</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45363</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45363</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45363</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45363</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45363</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45363</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45363</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45363</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45363</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45363</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45363</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45363</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45363</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45363</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45363</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45363</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45363</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45363</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45363</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45363</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45363</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45363</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45363</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45363</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45363</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45363</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45363</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45363</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45363</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45363</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45363</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45363</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45363</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45363</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45363</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45363</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45363</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45363</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45363</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45363</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45363</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45363</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45363</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45363</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45363</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45363</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45363</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45363</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45363</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45363</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45363</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45363</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45363</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45363</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45363</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45363</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45363</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45363</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45363</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45363</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45363</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45363</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45363</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45363</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45363</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45363</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45363</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45363</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45363</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45363</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45363</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45363</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45363</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45363</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45363</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45363</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45363</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45363</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45363</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45363</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45363</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45363</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45363</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45363</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45363</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45363</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45363</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45363</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45363</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45363</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45363</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45363</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45363</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45363</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45363</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45363</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45363</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45363</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45363</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45363</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45363</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45363</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45363</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45363</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45363</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45363</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45363</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45363</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45363</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45363</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45363</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45363</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45363</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45363</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45363</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45363</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45363</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45363</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45363</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45363</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45363</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45363</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45363</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45363</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45363</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45363</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45363</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45363</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45363</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45363</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45363</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45363</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45363</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45363</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45363</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45363</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45363</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45363</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45363</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45363</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45363</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45363</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45363</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45363</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45363</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45363</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45363</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45363</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45363</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45363</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45363</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45363</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45363</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45363</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45363</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45363</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45363</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45363</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45363</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45363</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45363</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45363</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45363</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45363</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45363</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45363</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45363</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45363</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45363</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45363</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45363</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45363</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45363</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45363</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45363</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45363</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45363</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45363</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45363</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45363</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45363</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45363</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45363</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45363</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45363</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45363</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45363</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45363</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45363</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45363</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45363</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45363</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45363</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45363</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45363</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45363</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45363</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45363</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45363</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45363</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45363</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45363</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45363</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45363</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45363</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45363</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45363</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45363</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45363</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45363</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45363</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45363</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45363</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45363</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45363</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45363</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45363</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45363</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45363</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45363</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45363</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45363</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45363</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45363</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45363</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45363</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45363</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45363</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45363</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45363</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45363</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45363</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45363</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45363</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45363</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45363</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45363</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45363</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45363</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45363</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45363</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45363</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45363</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45363</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45363</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45363</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45363</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45363</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45363</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45363</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45363</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45363</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45363</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45363</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45363</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45363</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45363</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45363</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45363</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45363</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45363</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45363</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45363</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45363</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45363</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45363</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45363</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45363</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45363</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45363</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45363</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45363</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45363</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45363</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45363</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45363</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45363</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45363</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45363</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45363</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45363</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45363</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45363</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45363</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45363</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45363</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45363</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45363</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45363</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45363</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45363</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45363</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45363</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45363</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45363</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45363</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45363</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45363</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45363</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45363</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45363</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45363</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45363</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45363</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45363</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45363</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45363</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45363</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45363</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45363</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45363</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45363</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45363</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45363</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45363</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45363</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45363</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45363</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45363</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45363</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45363</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45363</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45363</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45363</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45363</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45363</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45363</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45363</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45363</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45363</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45363</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45363</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45363</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45363</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45363</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45363</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45363</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45363</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45363</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45363</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45363</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45363</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45363</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45363</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45363</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45363</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45363</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45363</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45363</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45363</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45363</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45363</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45363</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45363</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45363</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45363</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45363</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45363</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45363</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45363</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45363</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45363</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45363</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45363</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45363</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45363</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45363</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45363</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45363</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45363</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45363</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45363</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45363</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45363</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45363</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45363</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45363</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45363</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45363</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45363</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45363</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45363</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45363</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45363</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45363</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45363</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45363</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45363</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45363</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45363</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45363</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45363</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45363</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45363</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45363</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45363</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45363</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45363</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45363</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45363</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45363</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45363</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45363</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45363</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45363</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45363</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45363</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45363</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45363</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45363</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45363</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45363</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45363</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45363</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45363</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45363</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45363</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45363</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45363</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45363</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45363</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45363</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45363</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45363</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45363</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45363</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45363</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45363</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45363</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45363</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45363</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45363</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45363</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45363</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45363</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45363</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45363</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45363</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45363</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45363</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45363</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45363</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45363</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45363</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45363</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45363</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45363</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45363</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45363</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45363</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45363</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45363</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45363</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45363</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45363</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45363</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45363</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45363</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45363</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45363</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45363</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45363</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45363</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45363</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45363</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45363</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45363</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45363</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45363</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45363</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45363</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45363</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45363</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45363</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45363</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45363</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45363</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45363</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45363</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45363</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45363</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45363</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45363</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45363</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45363</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45363</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45363</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45363</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45363</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45363</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45363</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45363</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45363</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45363</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45363</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45363</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45363</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45363</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45363</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45363</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45363</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45363</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45363</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45363</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45363</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45363</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45363</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45363</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45363</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45363</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45363</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45363</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45363</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45363</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45363</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45363</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45363</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45363</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45363</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45363</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45363</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45363</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45363</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45363</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45363</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45363</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45363</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45363</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45363</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45363</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45363</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45363</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45363</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45363</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45363</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45363</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45363</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45363</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45363</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45363</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45363</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45363</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45363</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45363</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45363</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45363</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45363</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45363</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45363</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45363</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45363</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45363</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45363</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45363</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45363</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45363</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45363</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45363</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45363</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45363</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45363</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45363</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45363</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45363</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45363</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45363</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45363</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45363</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45363</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45363</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45363</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45363</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45363</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45363</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45363</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45363</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45363</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45363</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45363</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45363</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45363</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45363</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45363</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45363</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45363</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45363</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45363</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45363</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45363</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45363</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45363</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45363</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45363</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45363</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45363</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45363</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45363</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45363</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45363</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45363</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45363</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45363</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45363</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45363</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45363</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45363</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45363</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45363</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45363</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45363</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45363</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45363</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45363</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45363</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45363</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45363</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45363</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45363</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45363</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45363</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45363</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45363</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45363</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45363</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45363</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45363</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45363</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45363</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45363</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45363</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45363</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45363</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45363</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45363</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45363</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45363</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45363</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45363</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45363</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45363</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45363</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45363</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45363</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45363</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45363</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45363</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45363</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45363</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45363</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45363</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45363</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45363</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45363</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45363</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45363</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45363</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45363</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45363</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45363</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45363</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45363</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45363</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45363</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45363</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45363</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45363</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45363</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45363</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45363</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45363</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45363</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45363</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45363</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45363</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45363</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45363</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45363</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45363</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45363</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45363</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45363</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45363</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45363</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45363</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45363</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45363</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45363</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45363</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45363</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45363</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45363</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45363</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45363</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45363</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45363</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45363</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45363</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45363</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45363</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45363</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45363</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45363</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45363</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45363</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45363</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45363</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45363</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45363</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45363</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45363</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45363</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45363</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45363</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45363</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45363</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45363</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45363</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45363</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45363</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45363</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45363</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45363</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45363</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45363</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45363</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45363</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45363</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45363</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45363</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45363</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45363</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45363</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45363</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45363</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45363</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45363</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45363</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45363</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45363</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45363</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45363</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45363</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45363</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45363</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45363</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45363</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45363</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45363</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45363</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45363</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45363</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45363</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45363</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45363</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45363</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45363</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45363</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45363</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45363</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45363</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45363</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45363</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45363</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45363</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45363</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45363</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45363</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45363</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45363</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45363</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45363</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45363</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45363</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45363</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45363</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45363</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45363</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45363</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45363</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45363</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45363</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45363</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45363</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45363</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45363</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45363</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45363</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45363</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45363</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45363</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45363</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45363</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45363</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45363</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45363</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45363</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45363</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45363</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45363</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45363</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45363</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45363</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45363</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45363</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45363</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45363</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45363</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45363</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45363</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45363</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45363</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45363</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45363</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45363</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45363</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45363</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45363</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45363</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45363</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45363</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45363</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45363</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45363</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45363</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45363</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45363</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45363</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45363</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45363</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45363</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45363</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45363</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45363</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45363</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45363</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45363</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45363</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45363</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45363</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45363</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45363</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45363</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45363</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45363</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45363</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45363</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45363</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45363</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45363</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45363</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45363</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45363</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45363</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45363</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45363</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45363</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45363</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45363</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45363</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45363</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45363</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45363</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45363</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45363</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45363</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45363</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45363</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45363</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45363</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45363</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45363</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45363</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45363</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45363</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45363</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45363</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45363</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45363</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45363</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45363</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45363</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45363</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45363</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45363</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45363</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45363</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45363</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45363</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45363</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45363</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45363</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45363</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45363</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45363</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45363</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45363</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45363</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45363</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45363</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45363</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45363</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45363</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45363</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45363</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45363</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45363</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45363</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45363</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45363</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45363</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45363</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45363</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45363</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45363</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45363</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45363</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45363</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45363</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45363</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45363</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45363</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45363</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45363</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45363</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45363</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45363</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45363</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45363</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45363</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45363</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45363</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45363</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45363</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45363</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45363</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45363</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45363</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45363</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45363</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45363</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45363</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45363</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45363</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45363</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45363</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45363</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45363</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45363</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45363</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45363</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45363</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45363</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45363</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45363</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45363</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45363</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45363</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45363</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45363</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45363</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45363</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45363</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45363</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45363</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45363</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45363</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45363</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45363</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45363</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45363</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45363</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45363</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45363</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45363</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45363</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45363</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45363</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45363</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45363</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45363</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45363</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45363</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45363</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45363</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45363</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45363</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45363</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45363</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45363</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45363</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45363</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45363</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45363</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45363</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45363</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45363</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45363</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45363</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45363</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45363</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45363</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45363</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45363</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45363</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45363</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45363</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45363</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45363</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45363</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45363</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45363</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45363</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45363</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45363</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45363</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45363</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45363</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45363</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45363</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45363</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45363</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45363</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45363</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45363</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45363</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45363</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45363</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45363</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45363</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45363</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45363</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45363</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45363</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45363</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45363</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45363</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45363</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45363</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45363</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45363</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45363</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45363</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45363</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45363</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45363</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45363</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45363</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45363</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45363</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45363</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45363</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45363</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45363</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45363</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45363</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45363</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45363</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45363</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45363</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45363</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45363</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45363</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45363</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45363</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45363</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45363</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45363</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45363</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45363</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45363</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45363</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45363</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45363</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45363</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45363</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45363</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45363</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45363</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45363</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45363</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45363</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45363</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45363</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45363</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45363</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45363</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45363</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45363</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45363</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45363</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45363</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45363</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45363</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45363</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45363</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45363</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45363</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45363</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45363</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45363</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45363</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45363</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45363</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45363</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45363</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45363</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45363</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45363</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45363</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45363</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45363</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45363</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45363</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45363</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45363</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45363</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45363</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45363</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45363</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45363</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45363</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45363</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45363</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45363</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45363</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45363</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45363</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45363</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45363</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45363</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45363</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45363</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45363</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45363</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45363</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45363</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45363</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45363</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45363</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45363</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45363</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45363</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45363</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45363</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45363</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45363</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45363</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45363</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45363</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45363</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45363</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45363</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45363</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45363</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45363</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45363</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45363</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45363</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45363</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45363</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45363</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45363</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45363</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45363</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45363</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45363</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45363</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45363</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45363</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45363</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45363</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45363</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45363</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45363</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45363</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45363</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45363</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45363</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45363</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45363</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45363</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45363</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45363</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45363</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45363</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45363</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45363</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45363</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45363</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45363</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45363</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45363</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45363</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45363</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45363</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45363</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45363</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45363</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45363</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45363</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45363</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45363</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45363</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45363</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45363</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45363</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45363</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45363</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45363</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45363</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45363</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45363</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45363</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45363</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45363</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45363</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45363</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45363</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45363</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45363</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45363</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45363</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45363</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45363</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45363</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45363</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45363</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45363</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45363</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45363</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45363</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45363</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45363</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45363</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45363</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45363</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45363</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45363</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45363</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45363</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45363</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45363</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45363</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45363</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45363</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45363</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45363</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45363</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45363</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45363</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45363</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45363</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45363</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45363</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45363</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45363</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45363</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45363</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45363</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45363</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45363</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45363</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45363</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45363</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45363</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45363</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45363</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45363</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45363</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45363</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45363</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45363</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45363</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45363</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45363</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45363</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45363</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45363</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45363</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45363</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45363</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45363</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45363</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45363</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45363</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45363</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45363</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45363</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45363</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45363</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45363</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45363</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45363</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45363</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45363</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45363</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45363</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45363</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45363</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45363</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45363</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45363</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45363</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45363</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45363</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45363</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45363</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45363</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45363</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45363</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45363</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45363</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45363</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45363</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45363</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45363</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45363</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45363</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45363</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45363</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45363</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45363</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45363</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45363</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45363</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45363</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45363</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45363</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45363</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45363</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45363</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45363</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45363</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45363</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45363</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45363</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45363</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45363</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45363</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45363</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45363</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45363</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45363</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45363</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45363</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45363</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45363</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45363</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45363</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45363</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45363</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45363</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45363</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45363</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45363</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45363</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45363</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45363</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45363</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45363</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45363</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45363</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45363</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45363</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45363</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45363</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45363</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45363</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45363</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45363</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45363</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45363</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45363</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45363</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45363</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45363</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45363</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45363</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45363</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45363</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45363</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45363</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45363</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45363</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45363</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45363</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45363</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45363</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45363</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45363</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45363</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45363</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45363</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45363</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45363</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45363</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45363</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45363</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45363</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45363</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45363</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45363</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45363</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45363</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45363</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45363</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45363</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45363</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45363</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45363</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45363</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45363</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45363</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45363</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45363</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45363</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45363</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45363</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45363</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45363</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45363</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45363</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45363</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45363</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45363</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45363</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45363</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45363</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45363</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45363</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45363</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45363</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45363</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45363</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45363</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45363</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45363</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45363</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45363</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45363</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45363</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45363</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45363</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45363</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45363</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45363</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45363</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45363</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45363</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45363</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45363</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45363</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45363</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45363</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45363</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45363</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45363</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45363</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45363</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45363</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45363</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45363</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45363</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45363</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45363</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45363</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45363</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45363</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45363</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45363</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45363</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45363</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45363</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45363</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45363</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45363</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45363</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45363</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45363</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45363</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45363</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45363</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45363</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45363</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45363</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45363</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45363</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45363</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45363</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45363</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45363</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45363</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45363</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45363</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45363</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45363</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45363</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45363</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45363</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45363</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45363</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45363</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45363</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45363</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45363</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45363</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45363</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45363</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45363</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45363</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45363</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45363</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45363</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45363</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45363</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45363</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45363</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45363</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45363</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45363</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45363</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45363</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45363</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45363</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45363</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45363</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45363</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45363</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45363</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45363</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45363</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45363</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45363</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45363</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45363</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45363</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45363</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45363</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45363</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45363</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45363</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45363</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45363</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45363</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45363</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45363</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45363</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45363</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45363</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45363</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45363</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45363</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45363</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45363</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45363</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45363</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45363</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45363</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45363</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45363</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45363</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45363</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45363</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45363</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45363</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45363</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45363</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45363</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45363</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45363</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45363</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45363</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45363</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45363</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45363</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45363</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45363</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45363</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45363</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45363</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45363</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45363</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45363</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45363</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45363</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45363</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45363</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45363</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45363</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45363</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45363</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45363</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45363</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45363</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45363</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45363</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45363</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45363</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45363</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45363</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45363</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45363</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45363</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45363</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45363</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45363</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45363</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45363</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45363</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45363</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45363</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45363</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45363</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45363</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45363</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45363</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45363</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45363</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45363</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45363</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45363</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45363</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45363</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45363</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45363</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45363</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45363</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45363</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45363</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45363</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45363</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45363</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45363</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45363</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45363</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45363</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45363</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45363</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45363</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45363</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45363</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45363</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45363</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45363</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45363</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45363</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45363</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45363</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45363</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45363</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45363</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45363</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45363</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45363</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45363</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45363</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45363</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45363</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45363</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45363</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45363</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45363</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45363</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45363</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45363</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45363</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45363</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45363</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45363</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45363</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45363</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45363</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45363</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45363</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45363</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45363</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45363</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45363</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45363</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45363</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45363</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45363</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45363</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45363</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45363</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45363</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45363</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45363</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45363</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45363</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45363</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45363</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45363</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45363</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45363</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45363</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45363</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45363</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45363</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45363</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45363</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45363</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45363</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45363</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45363</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45363</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45363</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45363</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45363</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45363</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45363</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45363</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45363</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45363</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45363</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45363</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45363</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45363</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45363</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45363</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45363</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45363</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45363</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45363</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45363</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45363</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45363</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45363</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45363</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45363</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45363</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45363</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45363</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45363</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45363</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45363</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45363</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45363</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45363</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45363</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45363</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45363</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45363</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45363</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45363</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45363</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45363</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45363</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45363</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45363</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45363</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45363</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45363</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45363</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45363</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45363</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45363</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45363</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45363</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45363</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45363</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45363</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45363</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45363</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45363</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45363</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45363</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45363</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45363</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45363</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45363</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45363</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45363</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45363</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45363</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45363</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45363</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45363</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45363</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45363</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45363</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45363</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45363</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45363</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45363</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45363</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45363</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45363</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45363</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45363</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45363</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45363</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45363</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45363</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45363</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45363</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45363</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45363</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45363</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45363</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45363</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45363</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45363</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45363</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45363</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45363</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45363</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45363</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45363</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45363</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45363</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45363</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45363</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45363</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45363</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45363</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45363</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45363</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45363</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45363</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45363</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45363</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45363</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45363</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45363</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45363</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45363</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45363</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45363</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45363</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45363</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45363</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45363</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45363</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45363</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45363</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45363</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45363</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45363</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45363</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45363</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45363</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45363</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45363</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45363</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45363</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45363</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45363</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45363</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45363</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45363</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45363</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45363</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45363</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45363</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45363</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45363</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45363</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45363</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45363</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45363</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45363</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45363</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45363</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45363</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45363</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45363</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45363</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45363</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45363</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45363</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45363</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45363</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45363</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45363</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45363</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45363</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45363</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45363</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45363</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45363</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45363</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45363</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45363</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45363</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45363</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45363</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45363</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45363</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45363</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45363</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45363</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45363</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45363</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45363</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45363</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45363</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45363</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45363</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45363</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45363</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45363</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45363</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45363</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45363</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45363</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45363</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45363</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45363</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45363</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45363</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45363</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45363</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45363</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45363</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45363</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45363</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45363</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45363</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45363</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45363</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45363</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45363</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45363</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45363</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45363</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45363</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45363</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45363</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45363</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45363</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45363</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45363</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45363</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45363</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45363</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45363</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45363</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45363</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45363</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45363</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45363</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45363</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45363</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45363</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45363</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45363</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45363</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45363</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45363</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45363</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45363</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45363</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45363</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45363</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45363</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45363</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45363</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45363</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45363</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45363</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45363</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45363</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45363</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45363</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45363</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45363</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45363</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45363</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45363</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45363</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45363</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45363</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45363</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45363</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45363</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45363</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45363</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45363</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45363</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45363</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45363</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45363</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45363</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45363</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45363</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45363</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45363</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45363</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45363</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45363</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45363</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45363</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45363</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45363</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45363</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45363</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45363</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45363</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45363</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45363</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45363</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45363</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45363</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45363</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45363</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45363</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45363</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45363</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45363</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45363</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45363</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45363</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45363</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45363</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45363</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45363</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45363</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45363</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45363</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45363</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45363</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45363</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45363</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45363</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45363</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45363</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45363</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45363</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45363</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45363</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45363</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45363</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45363</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45363</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45363</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45363</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45363</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45363</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45363</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45363</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45363</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45363</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45363</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45363</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45363</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45363</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45363</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45363</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45363</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45363</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45363</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45363</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45363</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45363</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45363</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45363</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45363</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45363</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45363</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45363</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45363</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45363</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45363</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45363</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45363</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45363</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45363</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45363</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45363</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45363</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45363</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45363</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45363</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45363</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45363</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45363</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45363</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45363</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45363</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45363</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45363</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45363</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45363</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45363</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45363</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45363</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45363</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45363</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45363</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45363</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45363</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45363</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45363</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45363</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45363</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45363</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45363</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45363</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45363</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45363</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45363</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45363</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45363</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45363</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45363</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45363</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45363</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45363</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45363</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45363</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45363</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45363</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45363</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45363</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45363</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45363</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45363</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45363</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45363</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45363</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45363</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45363</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45363</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45363</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45363</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45363</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45363</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45363</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45363</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45363</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45363</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45363</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45363</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45363</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45363</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45363</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45363</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45363</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45363</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45363</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45363</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45363</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45363</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45363</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45363</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45363</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45363</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45363</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45363</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45363</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45363</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45363</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45363</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45363</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45363</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45363</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45363</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45363</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45363</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45363</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45363</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45363</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45363</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45363</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45363</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45363</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45363</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45363</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45363</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45363</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45363</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45363</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45363</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45363</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45363</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45363</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45363</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45363</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45363</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45363</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45363</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45363</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45363</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45363</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45363</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45363</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45363</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45363</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45363</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45363</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45363</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45363</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45363</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45363</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45363</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45363</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45363</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45363</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45363</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45363</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45363</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45363</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45363</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45363</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45363</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45363</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45363</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45363</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45363</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45363</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45363</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45363</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45363</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45363</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45363</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45363</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45363</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45363</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45363</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45363</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45363</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45363</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45363</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45363</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45363</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45363</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45363</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45363</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45363</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45363</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45363</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45363</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45363</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45363</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45363</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45363</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45363</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45363</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45363</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45363</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45363</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45363</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45363</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45363</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45363</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45363</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45363</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45363</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45363</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45363</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45363</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45363</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45363</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45363</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45363</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45363</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45363</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45363</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45363</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45363</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45363</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45363</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45363</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45363</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45363</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45363</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45363</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45363</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45363</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45363</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45363</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45363</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45363</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45363</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45363</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45363</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45363</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45363</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45363</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45363</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45363</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45363</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45363</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45363</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45363</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45363</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45363</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45363</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45363</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45363</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45363</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45363</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45363</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45363</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45363</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45363</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45363</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45363</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45363</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45363</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45363</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45363</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45363</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45363</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45363</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45363</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45363</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45363</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45363</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45363</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45363</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45363</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45363</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45363</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45363</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45363</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45363</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45363</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45363</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45363</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45363</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45363</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45363</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45363</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45363</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45363</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45363</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45363</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45363</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45363</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45363</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45363</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45363</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45363</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45363</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45363</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45363</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45363</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45363</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45363</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45363</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45363</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45363</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45363</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45363</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45363</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45363</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45363</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45363</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45363</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45363</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45363</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45363</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45363</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45363</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45363</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45363</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45363</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45363</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45363</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45363</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45363</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45363</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45363</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45363</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45363</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45363</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45363</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45363</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45363</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45363</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45363</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45363</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45363</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45363</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45363</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45363</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45363</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45363</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45363</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45363</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45363</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45363</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45363</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45363</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45363</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45363</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45363</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45363</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45363</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45363</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45363</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45363</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45363</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45363</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45363</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45363</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45363</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45363</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45363</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45363</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45363</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45363</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45363</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45363</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45363</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45363</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45363</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45363</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45363</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45363</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45363</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45363</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45363</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45363</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45363</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45363</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45363</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45363</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45363</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45363</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45363</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45363</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45363</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45363</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45363</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45363</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45363</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45363</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45363</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45363</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45363</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45363</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45363</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45363</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45363</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45363</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45363</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45363</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45363</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45363</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45363</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45363</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45363</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45363</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45363</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45363</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45363</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45363</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45363</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45363</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45363</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45363</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45363</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45363</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45363</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45363</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45363</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45363</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45363</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45363</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45363</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45363</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45363</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45363</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45363</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45363</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45363</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45363</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45363</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45363</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45363</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45363</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45363</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45363</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45363</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45363</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45363</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45363</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45363</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45363</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45363</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45363</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45363</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45363</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45363</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45363</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45363</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45363</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45363</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45363</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45363</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45363</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45363</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45363</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45363</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45363</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45363</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45363</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45363</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45363</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45363</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45363</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45363</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45363</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45363</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45363</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45363</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45363</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45363</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45363</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45363</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45363</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45363</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45363</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45363</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45363</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45363</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45363</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45363</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45363</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45363</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45363</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45363</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45363</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45363</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45363</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45363</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45363</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45363</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45363</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45363</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45363</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45363</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45363</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45363</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45363</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45363</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45363</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45363</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45363</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45363</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45363</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45363</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45363</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45363</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45363</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45363</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45363</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45363</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45363</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45363</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45363</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45363</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45363</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45363</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45363</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45363</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45363</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45363</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45363</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45363</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45363</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45363</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45363</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45363</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45363</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45363</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45363</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45363</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45363</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45363</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45363</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45363</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45363</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45363</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45363</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45363</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45363</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45363</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45363</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45363</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45363</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45363</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45363</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45363</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45363</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45363</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45363</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45363</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45363</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45363</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45363</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45363</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45363</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45363</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45363</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45363</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45363</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45363</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45363</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45363</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45363</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45363</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45363</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45363</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45363</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45363</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45363</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45363</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45363</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45363</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45363</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45363</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45363</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45363</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45363</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45363</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45363</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45363</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45363</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45363</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45363</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45363</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45363</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45363</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45363</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45363</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45363</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45363</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45363</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45363</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45363</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45363</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45363</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45363</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45363</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45363</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45363</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45363</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45363</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45363</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45363</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45363</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45363</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45363</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45363</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45363</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45363</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45363</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45363</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45363</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45363</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45363</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45363</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45363</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45363</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45363</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45363</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45363</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45363</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45363</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45363</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45363</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45363</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45363</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45363</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45363</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45363</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45363</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45363</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45363</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45363</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45363</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45363</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45363</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45363</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45363</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45363</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45363</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45363</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45363</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45363</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45363</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45363</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45363</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45363</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45363</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45363</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45363</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45363</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45363</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45363</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45363</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45363</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45363</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45363</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45363</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45363</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45363</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45363</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45363</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45363</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45363</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45363</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45363</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45363</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45363</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45363</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45363</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45363</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45363</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45363</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45363</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45363</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45363</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45363</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45363</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45363</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45363</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45363</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45363</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45363</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45363</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45363</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45363</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45363</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45363</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45363</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45363</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45363</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45363</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45363</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45363</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45363</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45363</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45363</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45363</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45363</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45363</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45363</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45363</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45363</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45363</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45363</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45363</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45363</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45363</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45363</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45363</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45363</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45363</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45363</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45363</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45363</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45363</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45363</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45363</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45363</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45363</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45363</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45363</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45363</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45363</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45363</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45363</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45363</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45363</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45363</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45363</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45363</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45363</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45363</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45363</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45363</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45363</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45363</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45363</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45363</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45363</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45363</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45363</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45363</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45363</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45363</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45363</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45363</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45363</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45363</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45363</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45363</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45363</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45363</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45363</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45363</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45363</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45363</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45363</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45363</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45363</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45363</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45363</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45363</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45363</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45363</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45363</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45363</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45363</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45363</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45363</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45363</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45363</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45363</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45363</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45363</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45363</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45363</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45363</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45363</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45363</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45363</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45363</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45363</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45363</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45363</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45363</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45363</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45363</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45363</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45363</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45363</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45363</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45363</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45363</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45363</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45363</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45363</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45363</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45363</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45363</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45363</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45363</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45363</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45363</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45363</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45363</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45363</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45363</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45363</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45363</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45363</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45363</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45363</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45363</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45363</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45363</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45363</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45363</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45363</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45363</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45363</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45363</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45363</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45363</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45363</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45363</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45363</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45363</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45363</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45363</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45363</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45363</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45363</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45363</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45363</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45363</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45363</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45363</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45363</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45363</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45363</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45363</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45363</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45363</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45363</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45363</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45363</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45363</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45363</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45363</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45363</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45363</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45363</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45363</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45363</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45363</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45363</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45363</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45363</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45363</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45363</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45363</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45363</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45363</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45363</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45363</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45363</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45363</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45363</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45363</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45363</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45363</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45363</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45363</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45363</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45363</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45363</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45363</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45363</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45363</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45363</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45363</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45363</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45363</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45363</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45363</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45363</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45363</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45363</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45363</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45363</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45363</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45363</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45363</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45363</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45363</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45363</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45363</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45363</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45363</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45363</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45363</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45363</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45363</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45363</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45363</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45363</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45363</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45363</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45363</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45363</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45363</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45363</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45363</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45363</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45363</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45363</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45363</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45363</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45363</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45363</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45363</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45363</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45363</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45363</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45363</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45363</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45363</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45363</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45363</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45363</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45363</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45363</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45363</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45363</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45363</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45363</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45363</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45363</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45363</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45363</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45363</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45363</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45363</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45363</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45363</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45363</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45363</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45363</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45363</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45363</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45363</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45363</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45363</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45363</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45363</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45363</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45363</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45363</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45363</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45363</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45363</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45363</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45363</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45363</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45363</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45363</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45363</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45363</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45363</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45363</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45363</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45363</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45363</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45363</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45363</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45363</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45363</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45363</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45363</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45363</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45363</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45363</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45363</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45363</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45363</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45363</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45363</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45363</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45363</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45363</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45363</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45363</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45363</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45363</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45363</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45363</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45363</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45363</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45363</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45363</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45363</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45363</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45363</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45363</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45363</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45363</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45363</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45363</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45363</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45363</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45363</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45363</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45363</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45363</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45363</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45363</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45363</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45363</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45363</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45363</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45363</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45363</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45363</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45363</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45363</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45363</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45363</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45363</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45363</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45363</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45363</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45363</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45363</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45363</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45363</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45363</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45363</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45363</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45363</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45363</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45363</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45363</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45363</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45363</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45363</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45363</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45363</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45363</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45363</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45363</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45363</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45363</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45363</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45363</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45363</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45363</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45363</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45363</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45363</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45363</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45363</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45363</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45363</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45363</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45363</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45363</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45363</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45363</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45363</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45363</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45363</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45363</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45363</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45363</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45363</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45363</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45363</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45363</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45363</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45363</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45363</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45363</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45363</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45363</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45363</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45363</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45363</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45363</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45363</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45363</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45363</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45363</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45363</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45363</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45363</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45363</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45363</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45363</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45363</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45363</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45363</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45363</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45363</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45363</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45363</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45363</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45363</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45363</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45363</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45363</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45363</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45363</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45363</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45363</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45363</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45363</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45363</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45363</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45363</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45363</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45363</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45363</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45363</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45363</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45363</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45363</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45363</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45363</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45363</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45363</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45363</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45363</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45363</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45363</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45363</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45363</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45363</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45363</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45363</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45363</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45363</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45363</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45363</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45363</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45363</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45363</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45363</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45363</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45363</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45363</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45363</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45363</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45363</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45363</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45363</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45363</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45363</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45363</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45363</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45363</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45363</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45363</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45363</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45363</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45363</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45363</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45363</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45363</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45363</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45363</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45363</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45363</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45363</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45363</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45363</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45363</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45363</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45363</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45363</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45363</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45363</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45363</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45363</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45363</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45363</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45363</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45363</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45363</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45363</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45363</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45363</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45363</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45363</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45363</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45363</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45363</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45363</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45363</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45363</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45363</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45363</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45363</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45363</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45363</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45363</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45363</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45363</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45363</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45363</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45363</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45363</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45363</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45363</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45363</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45363</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45363</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45363</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45363</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45363</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45363</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45363</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45363</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45363</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45363</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45363</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45363</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45363</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45363</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45363</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45363</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45363</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45363</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45363</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45363</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45363</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45363</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45363</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45363</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45363</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45363</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45363</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45363</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45363</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45363</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45363</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45363</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45363</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45363</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45363</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45363</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45363</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45363</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45363</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45363</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45363</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45363</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45363</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45363</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45363</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45363</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45363</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45363</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45363</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45363</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45363</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45363</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45363</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45363</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45363</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45363</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45363</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45363</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45363</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45363</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45363</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45363</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45363</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45363</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45363</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45363</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45363</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45363</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45363</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45363</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45363</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45363</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45363</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45363</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45363</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45363</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45363</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45363</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45363</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45363</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45363</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45363</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45363</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45363</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45363</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45363</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45363</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45363</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45363</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45363</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45363</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45363</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45363</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45363</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45363</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45363</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45363</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45363</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45363</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45363</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45363</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45363</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45363</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45363</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45363</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45363</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45363</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45363</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45363</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45363</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45363</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45363</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45363</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45363</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45363</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45363</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45363</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45363</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45363</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45363</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45363</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45363</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45363</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45363</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45363</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45363</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45363</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45363</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45363</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45363</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45363</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45363</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45363</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45363</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45363</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45363</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45363</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45363</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45363</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45363</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45363</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45363</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45363</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45363</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45363</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45363</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45363</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45363</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45363</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45363</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45363</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45363</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45363</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45363</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45363</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45363</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45363</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45363</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45363</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45363</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45363</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45363</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45363</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45363</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45363</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45363</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45363</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45363</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45363</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45363</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45363</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45363</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45363</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45363</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45363</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45363</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45363</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45363</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45363</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45363</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45363</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45363</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45363</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45363</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45363</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45363</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45363</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45363</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45363</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45363</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45363</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45363</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45363</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45363</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45363</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45363</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45363</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45363</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45363</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45363</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45363</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45363</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45363</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45363</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45363</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45363</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45363</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45363</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45363</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45363</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45363</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45363</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45363</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45363</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45363</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45363</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45363</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45363</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45363</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45363</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45363</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45363</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45363</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45363</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45363</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45363</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45363</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45363</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45363</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45363</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45363</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45363</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45363</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45363</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45363</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45363</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45363</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45363</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45363</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45363</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45363</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45363</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45363</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45363</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45363</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45363</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45363</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45363</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45363</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45363</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45363</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45363</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45363</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45363</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45363</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45363</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45363</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45363</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45363</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45363</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45363</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45363</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45363</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45363</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45363</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45363</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45363</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45363</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45363</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45363</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45363</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45363</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45363</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45363</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45363</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45363</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45363</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45363</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45363</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45363</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45363</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45363</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45363</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45363</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45363</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45363</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45363</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45363</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45363</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45363</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45363</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45363</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45363</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45363</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45363</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45363</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45363</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45363</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45363</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45363</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45363</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45363</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45363</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45363</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45363</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45363</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45363</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45363</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45363</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45363</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45363</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45363</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45363</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45363</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45363</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45363</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45363</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45363</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45363</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45363</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45363</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45363</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45363</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45363</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45363</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45363</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45363</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45363</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45363</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45363</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45363</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45363</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45363</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45363</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45363</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45363</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45363</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45363</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45363</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45363</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45363</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45363</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45363</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45363</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45363</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45363</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45363</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45363</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45363</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45363</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45363</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45363</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45363</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45363</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45363</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45363</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45363</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45363</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45363</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45363</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45363</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45363</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45363</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45363</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45363</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45363</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45363</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45363</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45363</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45363</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45363</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45363</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45363</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45363</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45363</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45363</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45363</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45363</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45363</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45363</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45363</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45363</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45363</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45363</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45363</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45363</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45363</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45363</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45363</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45363</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45363</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45363</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45363</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45363</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45363</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45363</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45363</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45363</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45363</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45363</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45363</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45363</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45363</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45363</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45363</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45363</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45363</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45363</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45363</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45363</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45363</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45363</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45363</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45363</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45363</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45363</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45363</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45363</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45363</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45363</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45363</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45363</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45363</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45363</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45363</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45363</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45363</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45363</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45363</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45363</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45363</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45363</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45363</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45363</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45363</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45363</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45363</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45363</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45363</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45363</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45363</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45363</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45363</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45363</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45363</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45363</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45363</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45363</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45363</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45363</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45363</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45363</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45363</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45363</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45363</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45363</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45363</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45363</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45363</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45363</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45363</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45363</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45363</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45363</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45363</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45363</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45363</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45363</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45363</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45363</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45363</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45363</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45363</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45363</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45363</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45363</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45363</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45363</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45363</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45363</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45363</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45363</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45363</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45363</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45363</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45363</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45363</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45363</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45363</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45363</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45363</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45363</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45363</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45363</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45363</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45363</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45363</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45363</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45363</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45363</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45363</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45363</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45363</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45363</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45363</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45363</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45363</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45363</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45363</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45363</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45363</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45363</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45363</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45363</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45363</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45363</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45363</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45363</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45363</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45363</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45363</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45363</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45363</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45363</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45363</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45363</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45363</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45363</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45363</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45363</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45363</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45363</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45363</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45363</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45363</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45363</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45363</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45363</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45363</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45363</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45363</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45363</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45363</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45363</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45363</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45363</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45363</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45363</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45363</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45363</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45363</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45363</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45363</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45363</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45363</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45363</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45363</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45363</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45363</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45363</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45363</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45363</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45363</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45363</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45363</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45363</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45363</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45363</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45363</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45363</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45363</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45363</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45363</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45363</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45363</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45363</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45363</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45363</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45363</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45363</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45363</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45363</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45363</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45363</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45363</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45363</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45363</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45363</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45363</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45363</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45363</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45363</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45363</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45363</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45363</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45363</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45363</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45363</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45363</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45363</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45363</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45363</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45363</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45363</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45363</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45363</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45363</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45363</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45363</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45363</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45363</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45363</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45363</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45363</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45363</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45363</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45363</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45363</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45363</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45363</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45363</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45363</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45363</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45363</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45363</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45363</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45363</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45363</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45363</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45363</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45363</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45363</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45363</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45363</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45363</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45363</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45363</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45363</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45363</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45363</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45363</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45363</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45363</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45363</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45363</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45363</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45363</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45363</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45363</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45363</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45363</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45363</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45363</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45363</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45363</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45363</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45363</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45363</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45363</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45363</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45363</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45363</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45363</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45363</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45363</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45363</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45363</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45363</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45363</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45363</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45363</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45363</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45363</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45363</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45363</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45363</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45363</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45363</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45363</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45363</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45363</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45363</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45363</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45363</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45363</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45363</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45363</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45363</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45363</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45363</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45363</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45363</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45363</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45363</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45363</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45363</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45363</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45363</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45363</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45363</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45363</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45363</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45363</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45363</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45363</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45363</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45363</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45363</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45363</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45363</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45363</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45363</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45363</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45363</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45363</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45363</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45363</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45363</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45363</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45363</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45363</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45363</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45363</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45363</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45363</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45363</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45363</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45363</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45363</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45363</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45363</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45363</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45363</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45363</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45363</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45363</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45363</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45363</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45363</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45363</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45363</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45363</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45363</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45363</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45363</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45363</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45363</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45363</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45363</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45363</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45363</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45363</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45363</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45363</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45363</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45363</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45363</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45363</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45363</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45363</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45363</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45363</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45363</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45363</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45363</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45363</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45363</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45363</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45363</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45363</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45363</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45363</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45363</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45363</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45363</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45363</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45363</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45363</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45363</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45363</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45363</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45363</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45363</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45363</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45363</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45363</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45363</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45363</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45363</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45363</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45363</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45363</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45363</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45363</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45363</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45363</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45363</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45363</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45363</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45363</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45363</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45363</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45363</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45363</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45363</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45363</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45363</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45363</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45363</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45363</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45363</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45363</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45363</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45363</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45363</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45363</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45363</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45363</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45363</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45363</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45363</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45363</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45363</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45363</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45363</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45363</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45363</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45363</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45363</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45363</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45363</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45363</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45363</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45363</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45363</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45363</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45363</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45363</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45363</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45363</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45363</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45363</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45363</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45363</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45363</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45363</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45363</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45363</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45363</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45363</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45363</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45363</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45363</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45363</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45363</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45363</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45363</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45363</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45363</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45363</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45363</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45363</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45363</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45363</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45363</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45363</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45363</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45363</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45363</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45363</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45363</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45363</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45363</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45363</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45363</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45363</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45363</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45363</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45363</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45363</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45363</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45363</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45363</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45363</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45363</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45363</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45363</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45363</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45363</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45363</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45363</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45363</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45363</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45363</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45363</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45363</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45363</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45363</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45363</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45363</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45363</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45363</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45363</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45363</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45363</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45363</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45363</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45363</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45363</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45363</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45363</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45363</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45363</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45363</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45363</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45363</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45363</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45363</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45363</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45363</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45363</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45363</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45363</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45363</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45363</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45363</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45363</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45363</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45363</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45363</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45363</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45363</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45363</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45363</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45363</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45363</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45363</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45363</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45363</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45363</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45363</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45363</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45363</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45363</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45363</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45363</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45363</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45363</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45363</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45363</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45363</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45363</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45363</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45363</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45363</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45363</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45363</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45363</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45363</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45363</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45363</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45363</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45363</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45363</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45363</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45363</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45363</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45363</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45363</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45363</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45363</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45363</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45363</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45363</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45363</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45363</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45363</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45363</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45363</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45363</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45363</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45363</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45363</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45363</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45363</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45363</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45363</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45363</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45363</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45363</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45363</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45363</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45363</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45363</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45363</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45363</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45363</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45363</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45363</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45363</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45363</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45363</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45363</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45363</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45363</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45363</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45363</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45363</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45363</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45363</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45363</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45363</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45363</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45363</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45363</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45363</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45363</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45363</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45363</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45363</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45363</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45363</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45363</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45363</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45363</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45363</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45363</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45363</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45363</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45363</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45363</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45363</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45363</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45363</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45363</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45363</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45363</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45363</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45363</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45363</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45363</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45363</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45363</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45363</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45363</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45363</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45363</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45363</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45363</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45363</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45363</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45363</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45363</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45363</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45363</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45363</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45363</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45363</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45363</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45363</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45363</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45363</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45363</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45363</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45363</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45363</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45363</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45363</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45363</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45363</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45363</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45363</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45363</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45363</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45363</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45363</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45363</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45363</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45363</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45363</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45363</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45363</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45363</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45363</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45363</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45363</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45363</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45363</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45363</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45363</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45363</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45363</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45363</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45363</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45363</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45363</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45363</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45363</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45363</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45363</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45363</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45363</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45363</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45363</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45363</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45363</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45363</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45363</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45363</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45363</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45363</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45363</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45363</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45363</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45363</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45363</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45363</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45363</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45363</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45363</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45363</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45363</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45363</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45363</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45363</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45363</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45363</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45363</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45363</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45363</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45363</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45363</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45363</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45363</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45363</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45363</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45363</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45363</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45363</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45363</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45363</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45363</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45363</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45363</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45363</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45363</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45363</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45363</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45363</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45363</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45363</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45363</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45363</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45363</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45363</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45363</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45363</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45363</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45363</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45363</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45363</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45363</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45363</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45363</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45363</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45363</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45363</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45363</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45363</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45363</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45363</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45363</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45363</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45363</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45363</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45363</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45363</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45363</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45363</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45363</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45363</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45363</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45363</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45363</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45363</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45363</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45363</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45363</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45363</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45363</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45363</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45363</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45363</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45363</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45363</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45363</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45363</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45363</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45363</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45363</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45363</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45363</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45363</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45363</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45363</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45363</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45363</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45363</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45363</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45363</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45363</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45363</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45363</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45363</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45363</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45363</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45363</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45363</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45363</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45363</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45363</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45363</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45363</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45363</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45363</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45363</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45363</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45363</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45363</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45363</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45363</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45363</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45363</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45363</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45363</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45363</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45363</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45363</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45363</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45363</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45363</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45363</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45363</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45363</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45363</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45363</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45363</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45363</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45363</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45363</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45363</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45363</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45363</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45363</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45363</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45363</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45363</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45363</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45363</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45363</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45363</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45363</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45363</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45363</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45363</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45363</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45363</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45363</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45363</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45363</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45363</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45363</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45363</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45363</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45363</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45363</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45363</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45363</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45363</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45363</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45363</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45363</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45363</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45363</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45363</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45363</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45363</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45363</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45363</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45363</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45363</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45363</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45363</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45363</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45363</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45363</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45363</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45363</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45363</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45363</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45363</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45363</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45363</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45363</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45363</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45363</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45363</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45363</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45363</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45363</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45363</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45363</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45363</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45363</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45363</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45363</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45363</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45363</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45363</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45363</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45363</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45363</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45363</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45363</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45363</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45363</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45363</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45363</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45363</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45363</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45363</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45363</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45363</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45363</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45363</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45363</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45363</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45363</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45363</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45363</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45363</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45363</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45363</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45363</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45363</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45363</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45363</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45363</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45363</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45363</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45363</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45363</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45363</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45363</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45363</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45363</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45363</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45363</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45363</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45363</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45363</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45363</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45363</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45363</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45363</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45363</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45363</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45363</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45363</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45363</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45363</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45363</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45363</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45363</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45363</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45363</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45363</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45363</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45363</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45363</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45363</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45363</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45363</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45363</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45363</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45363</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45363</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45363</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45363</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45363</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45363</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45363</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45363</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45363</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45363</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45363</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45363</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45363</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45363</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45363</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45363</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45363</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45363</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45363</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45363</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45363</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45363</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45363</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45363</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45363</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45363</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45363</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45363</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45363</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45363</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45363</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45363</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45363</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45363</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45363</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45363</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45363</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45363</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45363</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45363</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45363</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45363</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45363</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45363</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45363</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45363</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45363</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45363</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45363</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45363</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45363</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45363</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45363</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45363</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45363</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45363</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45363</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45363</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45363</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45363</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45363</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45363</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45363</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45363</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45363</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45363</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45363</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45363</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45363</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45363</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45363</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45363</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45363</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45363</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45363</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45363</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45363</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45363</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45363</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45363</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45363</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45363</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45363</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45363</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45363</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45363</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45363</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45363</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45363</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45363</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45363</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45363</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45363</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45363</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45363</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45363</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45363</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45363</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45363</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45363</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45363</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45363</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45363</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45363</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45363</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45363</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45363</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45363</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45363</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45363</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45363</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45363</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45363</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45363</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45363</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45363</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45363</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45363</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45363</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45363</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45363</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45363</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45363</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45363</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45363</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45363</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45363</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45363</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45363</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45363</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45363</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45363</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45363</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45363</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45363</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45363</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45363</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45363</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45363</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45363</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45363</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45363</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45363</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45363</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45363</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45363</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45363</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45363</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45363</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45363</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45363</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45363</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45363</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45363</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45363</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45363</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45363</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45363</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45363</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45363</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45363</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45363</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45363</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45363</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45363</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45363</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45363</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45363</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45363</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45363</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45363</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45363</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45363</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45363</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45363</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45363</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45363</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45363</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45363</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45363</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45363</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45363</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45363</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45363</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45363</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45363</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45363</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45363</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45363</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45363</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45363</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45363</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45363</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45363</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45363</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45363</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45363</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45363</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45363</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45363</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45363</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45363</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45363</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45363</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45363</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45363</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45363</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45363</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45363</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45363</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45363</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45363</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45363</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45363</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45363</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45363</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45363</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45363</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45363</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45363</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45363</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45363</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45363</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45363</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45363</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45363</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45363</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45363</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45363</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45363</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45363</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45363</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45363</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45363</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45363</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45363</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45363</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45363</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45363</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45363</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45363</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45363</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45363</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45363</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45363</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45363</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45363</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45363</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45363</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45363</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45363</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45363</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45363</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45363</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45363</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45363</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45363</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45363</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45363</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45363</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45363</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45363</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45363</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45363</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45363</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45363</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45363</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45363</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45363</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45363</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45363</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45363</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45363</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45363</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45363</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45363</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45363</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45363</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45363</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45363</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45363</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45363</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45363</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45363</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45363</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45363</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45363</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45363</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45363</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45363</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45363</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45363</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45363</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45363</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45363</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45363</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45363</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45363</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45363</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45363</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45363</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45363</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45363</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45363</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45363</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45363</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45363</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45363</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45363</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45363</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45363</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45363</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45363</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45363</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45363</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45363</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45363</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45363</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45363</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45363</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45363</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45363</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45363</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45363</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45363</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45363</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45363</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45363</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45363</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45363</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45363</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45363</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45363</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45363</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45363</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45363</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45363</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45363</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45363</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45363</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45363</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45363</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45363</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45363</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45363</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45363</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45363</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45363</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45363</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45363</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45363</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45363</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45363</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45363</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45363</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45363</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45363</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45363</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45363</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45363</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45363</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45363</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45363</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45363</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45363</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45363</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45363</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45363</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45363</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45363</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45363</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45363</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45363</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45363</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45363</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45363</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45363</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45363</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45363</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45363</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45363</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45363</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45363</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45363</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45363</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45363</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45363</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45363</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45363</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45363</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45363</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45363</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45363</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45363</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45363</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45363</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45363</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45363</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45363</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45363</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45363</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45363</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45363</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45363</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45363</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45363</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45363</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45363</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45363</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45363</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45363</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45363</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45363</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45363</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45363</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45363</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45363</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45363</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45363</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45363</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45363</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45363</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45363</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45363</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45363</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45363</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45363</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45363</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45363</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45363</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45363</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45363</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45363</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45363</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45363</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45363</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45363</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45363</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45363</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45363</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45363</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45363</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45363</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45363</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45363</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45363</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45363</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45363</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45363</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45363</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45363</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45363</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45363</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45363</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45363</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45363</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45363</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45363</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45363</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45363</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45363</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45363</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45363</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45363</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45363</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45363</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45363</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45363</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45363</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45363</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45363</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45363</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45363</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45363</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45363</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45363</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45363</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45363</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45363</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45363</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45363</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45363</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45363</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45363</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45363</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45363</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45363</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45363</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45363</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45363</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45363</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45363</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45363</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45363</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45363</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45363</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45363</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45363</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45363</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45363</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45363</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45363</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45363</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45363</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45363</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45363</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45363</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45363</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45363</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45363</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45363</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45363</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45363</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45363</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45363</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45363</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45363</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45363</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45363</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45363</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45363</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45363</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45363</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45363</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45363</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45363</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45363</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45363</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45363</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45363</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45363</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45363</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45363</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45363</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45363</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45363</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45363</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45363</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45363</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45363</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45363</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45363</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45363</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45363</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45363</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45363</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45363</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45363</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45363</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45363</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45363</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45363</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45363</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45363</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45363</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45363</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45363</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45363</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45363</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45363</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45363</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45363</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45363</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45363</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45363</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45363</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45363</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45363</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45363</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45363</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45363</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45363</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45363</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45363</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45363</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45363</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45363</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45363</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45363</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45363</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45363</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45363</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45363</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45363</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45363</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45363</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45363</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45363</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45363</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45363</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45363</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45363</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45363</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45363</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45363</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45363</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45363</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45363</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45363</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45363</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45363</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45363</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45363</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45363</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45363</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45363</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45363</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45363</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45363</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45363</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45363</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45363</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45363</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45363</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45363</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45363</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45363</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45363</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45363</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45363</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45363</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45363</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45363</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45363</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45363</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45363</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45363</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45363</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45363</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45363</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45363</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45363</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45363</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45363</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45363</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45363</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45363</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45363</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45363</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45363</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45363</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45363</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45363</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45363</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45363</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45363</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45363</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45363</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45363</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45363</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45363</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45363</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45363</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45363</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45363</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45363</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45363</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45363</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45363</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45363</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45363</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45363</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45363</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45363</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45363</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45363</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45363</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45363</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45363</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45363</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45363</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45363</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45363</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45363</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45363</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45363</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45363</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45363</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45363</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45363</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45363</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45363</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45363</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45363</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45363</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45363</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45363</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45363</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45363</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45363</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45363</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45363</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45363</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45363</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45363</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45363</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45363</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45363</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45363</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45363</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45363</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45363</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45363</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45363</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45363</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45363</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45363</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45363</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45363</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45363</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45363</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45363</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45363</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45363</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45363</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45363</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45363</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45363</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45363</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45363</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45363</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45363</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45363</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45363</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45363</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45363</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45363</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45363</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45363</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45363</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45363</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45363</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45363</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45363</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45363</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45363</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45363</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45363</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45363</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45363</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45363</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45363</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45363</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45363</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45363</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45363</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45363</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45363</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45363</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45363</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45363</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45363</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45363</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45363</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45363</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45363</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45363</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45363</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45363</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45363</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45363</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45363</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45363</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45363</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45363</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45363</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45363</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45363</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45363</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45363</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45363</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45363</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45363</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45363</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45363</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45363</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45363</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45363</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45363</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45363</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45363</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45363</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45363</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45363</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45363</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45363</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45363</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45363</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45363</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45363</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45363</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45363</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45363</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45363</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45363</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45363</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45363</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45363</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45363</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45363</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45363</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45363</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45363</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45363</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45363</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45363</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45363</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45363</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45363</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45363</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45363</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45363</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45363</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45363</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45363</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45363</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45363</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45363</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45363</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45363</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45363</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45363</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45363</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45363</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45363</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45363</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45363</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45363</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45363</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45363</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45363</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45363</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45363</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45363</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45363</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45363</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45363</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45363</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45363</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45363</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45363</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45363</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45363</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45363</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45363</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45363</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45363</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45363</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45363</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45363</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45363</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45363</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45363</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45363</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45363</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45363</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45363</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45363</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45363</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45363</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45363</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45363</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45363</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45363</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45363</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45363</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45363</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45363</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45363</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45363</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45363</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45363</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45363</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45363</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45363</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45363</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45363</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45363</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45363</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45363</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45363</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45363</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45363</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45363</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45363</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45363</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45363</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45363</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45363</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45363</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45363</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45363</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45363</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45363</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45363</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45363</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45363</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45363</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45363</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45363</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45363</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45363</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45363</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45363</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45363</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45363</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45363</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45363</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45363</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45363</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45363</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45363</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45363</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45363</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45363</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45363</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45363</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45363</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45363</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45363</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45363</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45363</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45363</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45363</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45363</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45363</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45363</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45363</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45363</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45363</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45363</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45363</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45363</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45363</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45363</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45363</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45363</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45363</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45363</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45363</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45363</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45363</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45363</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45363</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45363</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45363</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45363</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45363</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45363</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45363</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45363</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45363</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45363</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45363</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45363</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45363</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45363</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45363</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45363</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45363</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45363</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45363</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45363</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45363</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45363</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45363</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45363</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45363</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45363</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45363</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45363</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45363</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45363</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45363</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45363</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45363</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45363</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45363</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45363</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45363</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45363</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45363</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45363</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45363</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45363</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45363</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45363</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45363</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45363</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45363</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45363</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45363</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45363</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45363</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45363</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45363</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45363</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45363</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45363</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45363</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45363</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45363</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45363</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45363</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45363</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45363</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45363</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45363</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45363</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45363</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45363</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45363</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45363</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45363</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45363</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45363</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45363</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45363</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45363</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45363</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45363</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45363</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45363</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45363</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45363</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45363</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45363</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45363</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45363</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45363</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45363</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45363</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45363</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45363</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45363</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45363</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45363</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45363</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45363</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45363</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45363</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45363</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45363</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45363</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45363</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45363</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45363</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45363</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45363</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45363</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45363</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45363</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45363</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45363</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45363</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45363</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45363</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45363</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45363</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45363</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45363</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45363</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45363</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45363</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45363</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45363</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45363</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45363</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45363</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45363</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45363</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45363</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45363</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45363</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45363</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45363</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45363</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45363</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45363</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45363</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45363</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45363</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45363</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45363</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45363</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45363</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45363</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45363</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45363</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45363</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45363</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45363</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45363</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45363</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45363</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45363</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45363</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45363</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45363</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45363</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45363</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45363</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45363</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45363</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45363</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45363</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45363</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45363</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45363</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45363</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45363</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45363</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45363</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45363</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45363</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45363</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45363</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45363</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45363</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45363</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45363</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45363</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45363</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45363</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45363</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45363</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45363</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45363</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45363</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45363</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45363</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45363</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45363</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45363</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45363</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45363</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45363</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45363</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45363</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45363</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45363</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45363</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45363</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45363</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45363</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45363</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45363</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45363</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45363</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45363</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45363</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45363</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45363</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45363</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45363</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45363</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45363</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45363</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45363</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45363</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45363</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45363</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45363</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45363</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45363</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45363</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45363</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45363</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45363</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45363</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45363</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45363</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45363</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45363</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45363</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45363</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45363</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45363</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45363</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45363</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45363</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45363</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45363</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45363</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45363</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45363</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45363</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45363</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45363</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45363</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45363</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45363</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45363</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45363</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45363</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45363</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45363</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45363</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45363</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45363</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45363</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45363</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45363</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45363</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45363</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45363</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45363</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45363</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45363</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45363</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45363</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45363</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45363</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45363</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45363</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45363</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45363</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45363</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45363</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45363</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45363</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45363</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45363</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45363</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45363</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45363</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45363</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45363</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45363</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45363</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45363</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45363</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45363</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45363</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45363</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45363</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45363</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45363</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45363</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45363</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45363</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45363</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45363</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45363</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45363</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45363</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45363</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45363</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45363</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45363</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45363</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45363</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45363</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45363</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45363</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45363</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45363</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45363</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45363</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45363</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45363</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45363</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45363</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45363</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45363</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45363</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45363</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45363</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45363</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45363</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45363</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45363</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45363</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45363</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45363</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45363</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45363</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45363</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45363</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45363</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45363</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45363</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45363</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45363</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45363</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45363</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45363</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45363</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45363</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45363</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45363</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45363</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45363</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45363</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45363</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45363</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45363</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45363</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45363</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45363</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45363</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45363</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45363</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45363</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45363</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45363</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45363</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45363</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45363</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45363</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45363</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45363</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45363</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45363</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45363</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45363</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45363</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45363</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45363</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45363</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45363</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45363</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45363</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45363</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45363</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45363</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45363</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45363</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45363</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45363</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45363</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45363</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45363</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45363</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45363</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45363</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45363</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45363</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45363</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45363</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45363</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45363</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45363</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45363</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45363</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45363</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45363</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45363</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45363</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45363</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45363</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45363</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45363</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45363</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45363</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45363</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45363</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45363</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45363</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45363</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45363</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45363</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45363</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45363</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45363</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45363</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45363</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45363</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45363</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45363</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45363</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45363</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45363</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45363</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45363</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45363</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45363</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45363</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45363</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45363</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45363</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45363</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45363</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45363</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45363</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45363</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45363</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45363</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45363</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45363</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45363</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45363</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45363</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45363</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45363</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45363</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45363</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45363</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45363</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45363</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45363</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45363</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45363</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45363</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45363</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45363</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45363</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45363</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45363</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45363</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45363</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45363</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45363</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45363</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45363</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45363</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45363</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45363</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45363</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45363</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45363</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45363</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45363</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45363</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45363</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45363</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45363</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45363</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45363</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45363</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45363</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45363</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45363</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45363</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45363</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45363</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45363</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45363</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45363</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45363</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45363</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45363</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45363</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45363</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45363</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45363</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45363</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45363</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45363</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45363</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45363</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45363</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45363</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45363</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45363</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45363</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45363</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45363</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45363</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45363</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45363</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45363</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45363</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45363</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45363</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45363</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45363</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45363</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45363</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45363</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45363</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45363</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45363</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45363</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45363</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45363</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45363</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45363</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45363</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45363</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45363</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45363</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45363</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45363</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45363</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45363</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45363</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45363</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45363</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45363</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45363</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45363</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45363</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45363</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45363</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45363</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45363</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45363</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45363</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45363</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45363</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45363</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45363</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45363</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45363</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45363</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45363</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45363</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45363</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45363</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45363</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45363</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45363</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45363</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45363</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45363</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45363</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45363</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45363</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45363</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45363</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45363</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45363</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45363</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45363</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45363</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45363</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45363</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45363</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45363</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45363</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45363</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45363</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45363</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45363</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45363</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45363</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45363</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45363</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45363</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45363</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45363</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45363</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45363</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45363</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45363</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45363</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45363</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45363</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45363</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45363</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45363</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45363</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45363</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45363</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45363</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45363</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45363</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45363</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45363</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45363</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45363</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45363</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45363</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45363</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45363</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45363</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45363</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45363</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45363</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45363</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45363</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45363</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45363</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45363</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45363</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45363</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45363</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45363</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45363</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45363</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45363</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45363</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45363</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45363</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45363</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45363</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45363</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45363</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45363</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45363</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45363</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45363</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45363</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45363</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45363</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45363</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45363</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45363</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45363</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45363</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45363</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45363</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45363</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45363</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45363</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45363</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45363</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45363</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45363</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45363</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45363</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45363</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45363</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45363</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45363</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45363</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45363</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45363</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45363</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45363</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45363</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45363</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45363</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45363</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45363</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45363</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45363</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45363</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45363</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45363</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45363</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45363</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45363</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45363</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45363</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45363</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45363</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45363</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45363</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45363</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45363</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45363</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45363</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45363</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45363</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45363</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45363</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45363</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45363</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45363</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45363</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45363</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45363</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45363</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45363</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45363</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45363</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45363</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45363</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45363</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45363</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45363</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45363</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45363</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45363</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45363</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45363</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45363</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45363</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45363</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45363</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45363</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45363</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45363</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45363</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45363</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45363</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45363</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45363</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45363</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45363</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45363</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45363</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45363</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45363</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45363</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45363</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45363</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45363</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45363</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45363</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45363</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45363</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45363</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45363</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45363</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45363</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45363</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45363</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45363</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45363</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45363</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45363</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45363</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45363</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45363</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45363</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45363</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45363</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45363</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45363</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45363</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45363</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45363</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45363</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45363</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45363</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45363</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45363</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45363</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45363</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45363</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45363</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45363</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45363</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45363</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45363</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45363</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45363</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45363</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45363</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45363</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45363</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45363</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45363</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45363</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45363</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45363</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45363</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45363</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45363</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45363</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45363</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45363</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45363</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45363</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45363</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45363</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45363</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45363</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45363</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45363</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45363</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45363</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45363</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45363</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45363</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45363</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45363</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45363</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45363</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45363</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45363</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45363</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45363</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45363</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45363</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45363</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45363</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45363</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45363</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45363</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45363</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45363</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45363</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45363</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45363</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45363</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45363</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45363</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45363</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45363</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45363</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45363</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45363</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45363</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45363</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45363</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45363</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45363</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45363</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45363</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45363</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45363</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45363</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45363</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45363</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45363</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45363</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45363</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45363</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45363</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45363</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45363</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45363</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45363</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45363</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45363</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45363</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45363</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45363</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45363</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45363</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45363</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45363</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45363</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45363</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45363</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45363</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45363</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45363</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45363</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45363</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45363</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45363</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45363</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45363</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45363</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45363</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45363</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45363</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45363</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45363</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45363</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45363</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45363</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45363</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45363</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45363</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45363</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45363</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45363</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45363</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45363</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45363</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45363</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45363</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45363</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45363</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45363</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45363</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45363</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45363</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45363</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45363</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45363</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45363</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45363</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45363</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45363</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45363</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45363</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45363</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45363</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45363</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45363</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45363</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45363</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45363</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45363</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45363</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45363</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45363</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45363</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45363</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45363</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45363</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45363</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45363</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45363</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45363</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45363</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45363</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45363</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45363</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45363</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45363</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45363</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45363</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45363</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45363</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45363</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45363</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45363</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45363</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45363</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45363</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45363</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45363</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45363</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45363</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45363</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45363</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45363</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45363</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45363</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45363</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45363</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45363</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45363</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45363</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45363</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45363</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45363</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45363</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45363</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45363</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45363</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45363</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45363</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45363</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45363</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45363</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45363</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45363</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45363</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45363</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45363</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45363</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45363</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45363</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45363</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45363</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45363</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45363</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45363</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45363</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45363</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45363</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45363</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45363</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45363</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45363</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45363</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45363</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45363</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45363</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45363</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45363</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45363</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45363</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45363</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45363</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45363</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45363</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45363</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45363</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45363</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45363</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45363</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45363</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45363</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45363</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45363</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45363</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45363</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45363</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45363</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45363</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45363</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45363</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45363</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45363</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45363</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45363</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45363</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45363</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45363</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45363</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45363</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45363</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45363</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45363</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45363</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45363</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45363</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45363</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45363</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45363</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45363</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45363</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45363</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45363</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45363</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45363</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45363</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45363</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45363</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45363</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45363</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45363</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45363</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45363</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45363</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45363</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45363</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45363</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45363</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45363</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45363</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45363</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45363</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45363</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45363</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45363</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45363</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45363</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45363</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45363</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45363</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45363</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45363</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45363</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45363</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45363</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45363</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45363</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45363</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45363</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45363</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45363</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45363</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45363</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45363</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45363</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45363</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45363</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45363</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45363</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45363</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45363</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45363</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45363</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45363</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45363</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45363</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45363</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45363</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45363</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45363</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45363</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45363</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45363</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45363</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45363</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45363</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45363</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45363</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45363</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45363</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45363</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45363</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45363</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45363</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45363</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45363</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45363</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45363</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45363</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45363</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45363</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45363</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45363</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45363</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45363</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45363</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45363</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45363</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45363</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45363</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45363</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45363</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45363</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45363</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45363</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45363</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45363</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45363</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45363</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45363</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45363</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45363</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45363</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45363</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45363</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45363</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45363</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45363</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45363</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45363</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45363</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45363</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45363</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45363</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45363</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45363</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45363</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45363</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45363</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45363</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45363</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45363</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45363</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45363</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45363</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45363</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45363</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45363</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45363</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45363</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45363</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45363</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45363</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45363</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45363</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45363</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45363</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45363</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45363</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45363</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45363</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45363</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45363</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45363</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45363</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45363</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45363</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45363</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45363</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45363</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45363</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45363</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45363</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45363</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45363</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45363</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45363</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45363</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45363</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45363</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45363</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45363</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45363</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45363</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45363</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45363</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45363</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45363</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45363</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45363</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45363</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45363</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45363</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45363</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45363</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45363</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45363</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45363</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45363</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45363</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45363</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45363</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45363</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45363</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45363</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45363</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45363</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45363</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45363</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45363</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45363</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45363</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45363</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45363</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45363</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45363</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45363</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45363</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45363</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45363</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45363</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45363</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45363</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45363</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45363</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45363</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45363</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45363</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45363</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45363</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45363</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45363</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45363</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45363</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45363</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45363</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45363</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45363</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45363</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45363</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45363</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45363</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45363</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45363</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45363</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45363</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45363</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45363</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45363</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45363</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45363</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45363</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45363</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45363</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45363</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45363</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45363</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45363</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45363</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45363</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45363</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45363</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45363</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45363</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45363</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45363</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45363</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45363</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45363</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45363</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45363</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45363</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45363</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45363</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45363</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45363</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45363</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45363</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45363</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45363</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45363</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45363</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45363</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45363</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45363</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45363</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45363</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45363</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45363</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45363</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45363</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45363</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45363</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45363</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45363</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45363</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45363</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45363</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45363</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45363</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45363</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45363</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45363</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45363</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45363</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45363</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45363</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45363</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45363</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45363</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45363</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45363</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45363</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45363</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45363</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45363</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45363</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45363</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45363</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45363</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45363</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45363</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45363</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45363</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45363</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45363</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45363</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45363</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45363</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45363</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45363</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45363</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45363</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45363</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45363</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45363</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45363</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45363</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45363</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45363</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45363</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45363</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45363</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45363</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45363</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45363</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45363</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45363</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45363</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45363</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45363</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45363</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45363</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45363</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45363</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45363</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45363</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45363</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45363</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45363</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45363</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45363</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45363</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45363</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45363</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45363</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45363</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45363</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45363</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45363</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45363</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45363</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45363</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45363</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45363</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45363</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45363</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45363</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45363</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45363</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45363</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45363</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45363</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45363</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45363</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45363</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45363</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45363</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45363</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45363</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45363</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45363</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45363</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45363</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45363</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45363</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45363</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45363</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45363</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45363</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45363</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45363</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45363</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45363</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45363</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45363</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45363</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45363</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45363</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45363</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45363</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45363</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45363</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45363</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45363</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45363</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45363</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45363</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45363</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45363</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45363</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45363</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45363</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45363</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45363</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45363</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45363</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45363</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45363</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45363</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45363</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45363</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45363</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45363</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45363</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45363</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45363</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45363</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45363</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45363</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45363</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45363</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45363</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45363</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45363</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45363</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45363</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45363</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45363</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45363</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45363</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45363</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45363</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45363</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45363</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45363</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45363</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45363</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45363</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45363</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45363</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45363</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45363</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45363</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45363</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45363</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45363</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45363</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45363</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45363</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45363</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45363</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45363</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45363</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45363</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45363</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45363</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45363</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45363</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45363</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45363</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45363</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45363</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45363</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45363</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45363</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45363</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45363</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45363</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45363</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45363</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45363</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45363</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45363</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45363</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45363</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45363</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45363</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45363</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45363</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45363</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45363</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45363</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45363</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45363</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45363</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45363</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45363</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45363</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45363</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45363</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45363</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45363</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45363</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45363</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45363</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45363</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45363</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45363</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45363</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45363</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45363</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45363</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45363</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45363</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45363</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45363</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45363</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45363</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45363</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45363</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45363</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45363</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45363</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45363</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45363</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45363</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45363</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45363</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45363</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45363</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45363</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45363</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45363</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45363</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45363</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45363</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45363</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45363</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45363</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45363</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45363</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45363</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45363</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45363</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45363</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45363</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45363</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45363</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45363</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45363</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45363</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45363</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45363</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45363</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45363</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45363</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45363</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45363</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45363</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45363</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45363</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45363</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45363</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45363</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45363</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45363</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45363</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45363</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45363</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45363</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45363</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45363</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45363</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45363</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45363</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45363</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45363</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45363</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45363</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45363</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45363</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45363</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45363</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45363</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45363</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45363</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45363</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45363</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45363</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45363</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45363</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45363</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45363</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45363</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45363</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45363</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45363</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45363</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45363</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45363</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45363</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45363</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45363</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45363</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45363</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45363</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45363</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45363</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45363</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45363</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45363</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45363</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45363</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45363</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45363</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45363</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45363</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45363</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45363</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45363</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45363</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45363</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45363</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45363</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45363</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45363</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45363</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45363</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45363</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45363</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45363</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45363</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45363</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45363</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45363</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45363</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45363</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45363</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45363</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45363</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45363</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45363</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45363</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45363</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45363</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45363</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45363</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45363</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45363</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45363</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45363</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45363</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45363</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45363</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45363</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45363</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45363</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45363</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45363</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45363</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45363</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45363</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45363</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45363</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45363</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45363</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45363</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45363</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45363</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45363</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45363</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45363</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45363</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45363</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45363</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45363</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45363</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45363</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45363</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45363</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45363</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45363</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45363</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45363</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45363</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45363</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45363</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45363</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45363</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45363</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45363</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45363</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45363</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45363</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45363</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45363</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45363</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45363</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45363</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45363</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45363</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45363</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45363</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45363</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45363</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45363</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45363</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45363</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45363</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45363</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45363</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45363</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45363</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45363</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45363</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45363</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45363</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45363</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45363</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45363</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45363</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45363</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45363</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45363</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45363</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45363</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45363</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45363</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45363</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45363</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45363</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45363</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45363</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45363</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45363</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45363</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45363</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45363</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45363</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45363</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45363</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45363</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45363</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45363</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45363</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45363</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45363</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45363</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45363</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45363</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45363</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45363</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45363</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45363</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45363</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45363</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45363</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45363</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45363</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45363</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45363</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45363</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45363</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45363</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45363</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45363</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45363</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45363</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45363</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45363</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45363</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45363</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45363</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45363</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45363</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45363</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45363</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45363</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45363</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45363</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45363</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45363</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45363</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45363</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45363</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45363</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45363</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45363</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45363</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45363</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45363</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45363</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45363</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45363</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45363</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45363</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45363</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45363</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45363</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45363</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45363</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45363</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45363</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45363</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45363</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45363</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45363</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45363</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45363</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45363</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45363</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45363</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45363</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45363</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45363</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45363</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45363</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45363</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45363</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45363</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45363</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45363</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45363</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45363</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45363</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45363</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45363</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45363</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45363</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45363</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45363</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45363</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45363</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45363</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45363</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45363</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45363</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45363</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45363</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45363</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45363</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45363</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45363</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45363</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45363</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45363</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45363</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45363</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45363</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45363</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45363</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45363</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45363</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45363</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45363</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45363</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45363</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45363</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45363</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45363</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45363</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45363</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45363</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45363</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45363</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45363</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45363</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45363</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45363</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45363</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45363</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45363</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45363</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45363</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45363</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45363</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45363</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45363</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45363</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45363</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45363</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45363</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45363</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45363</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45363</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45363</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45363</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45363</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45363</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45363</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45363</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45363</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45363</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45363</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45363</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45363</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45363</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45363</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45363</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45363</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45363</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45363</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45363</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45363</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45363</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45363</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45363</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45363</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45363</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45363</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45363</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45363</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45363</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45363</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45363</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45363</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45363</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45363</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45363</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45363</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45363</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45363</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45363</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45363</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45363</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45363</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45363</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45363</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45363</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45363</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45363</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45363</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45363</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45363</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45363</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45363</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45363</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45363</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45363</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45363</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45363</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45363</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45363</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45363</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45363</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45363</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45363</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45363</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45363</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45363</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45363</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45363</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45363</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45363</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45363</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45363</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45363</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45363</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45363</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45363</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45363</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45363</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45363</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45363</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45363</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45363</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45363</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45363</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45363</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45363</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45363</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45363</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45363</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45363</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45363</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45363</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45363</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45363</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45363</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45363</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45363</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45363</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45363</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45363</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45363</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45363</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45363</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45363</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45363</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45363</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45363</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45363</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45363</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45363</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45363</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45363</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45363</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45363</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45363</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45363</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45363</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45363</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45363</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45363</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45363</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45363</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45363</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45363</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45363</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45363</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45363</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45363</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45363</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45363</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45363</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45363</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45363</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45363</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45363</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45363</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45363</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45363</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45363</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45363</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45363</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45363</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45363</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45363</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45363</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45363</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45363</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45363</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45363</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45363</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45363</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45363</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45363</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45363</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45363</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45363</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45363</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45363</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45363</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45363</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45363</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45363</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45363</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45363</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45363</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45363</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45363</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45363</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45363</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45363</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45363</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45363</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45363</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45363</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45363</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45363</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45363</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45363</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45363</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45363</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45363</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45363</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45363</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45363</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45363</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45363</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45363</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45363</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45363</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45363</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45363</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45363</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45363</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45363</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45363</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45363</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45363</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45363</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45363</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45363</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45363</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45363</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45363</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45363</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45363</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45363</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45363</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45363</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45363</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45363</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45363</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45363</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45363</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45363</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45363</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45363</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45363</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45363</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45363</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45363</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45363</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45363</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45363</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45363</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45363</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45363</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45363</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45363</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45363</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45363</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45363</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45363</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45363</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45363</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45363</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45363</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45363</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45363</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45363</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45363</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45363</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45363</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45363</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45363</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45363</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45363</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45363</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45363</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45363</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45363</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45363</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45363</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45363</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45363</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45363</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45363</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45363</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45363</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45363</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45363</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45363</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45363</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45363</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45363</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45363</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45363</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45363</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45363</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45363</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45363</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45363</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45363</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45363</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45363</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45363</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45363</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45363</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45363</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45363</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45363</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45363</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45363</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45363</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45363</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45363</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45363</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45363</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45363</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45363</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45363</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45363</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45363</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45363</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45363</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45363</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45363</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45363</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45363</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45363</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45363</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45363</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45363</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45363</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45363</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45363</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45363</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45363</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45363</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45363</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45363</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45363</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45363</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45363</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45363</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45363</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45363</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45363</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45363</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45363</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45363</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45363</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45363</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45363</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45363</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45363</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45363</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45363</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45363</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45363</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45363</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45363</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45363</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45363</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45363</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45363</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45363</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45363</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45363</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45363</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45363</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45363</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45363</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45363</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45363</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45363</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45363</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45363</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45363</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45363</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45363</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45363</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45363</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45363</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45363</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45363</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45363</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45363</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45363</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45363</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45363</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45363</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45363</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45363</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45363</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45363</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45363</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45363</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45363</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45363</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45363</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45363</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45363</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45363</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45363</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45363</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45363</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45363</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45363</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45363</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45363</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45363</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45363</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45363</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45363</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45363</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45363</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45363</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45363</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45363</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45363</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45363</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45363</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45363</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45363</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45363</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45363</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45363</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45363</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45363</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45363</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45363</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45363</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45363</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45363</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45363</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45363</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45363</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45363</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45363</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45363</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45363</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45363</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45363</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45363</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45363</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45363</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45363</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45363</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45363</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45363</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45363</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45363</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45363</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45363</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45363</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45363</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45363</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45363</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45363</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45363</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45363</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45363</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45363</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45363</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45363</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45363</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45363</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45363</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45363</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45363</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45363</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45363</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45363</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45363</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45363</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45363</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45363</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45363</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45363</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45363</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45363</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45363</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45363</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45363</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45363</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45363</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45363</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45363</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45363</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45363</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45363</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45363</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45363</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45363</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45363</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45363</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45363</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45363</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45363</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45363</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45363</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45363</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45363</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45363</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45363</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45363</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45363</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45363</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45363</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45363</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45363</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45363</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45363</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45363</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45363</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45363</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45363</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45363</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45363</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45363</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45363</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45363</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45363</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45363</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45363</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45363</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45363</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45363</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45363</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45363</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45363</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45363</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45363</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45363</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45363</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45363</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45363</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45363</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45363</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45363</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45363</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45363</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45363</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45363</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45363</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45363</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45363</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45363</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45363</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45363</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45363</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45363</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45363</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45363</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45363</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45363</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45363</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45363</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45363</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45363</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45363</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45363</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45363</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45363</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45363</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45363</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45363</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45363</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45363</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45363</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45363</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45363</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45363</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45363</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45363</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45363</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45363</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45363</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45363</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45363</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45363</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45363</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45363</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45363</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45363</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45363</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45363</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45363</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45363</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45363</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45363</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45363</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45363</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45363</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45363</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45363</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45363</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45363</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45363</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45363</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45363</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45363</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45363</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45363</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45363</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45363</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45363</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45363</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45363</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45363</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45363</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45363</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45363</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45363</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45363</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45363</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45363</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45363</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45363</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45363</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45363</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45363</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45363</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45363</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45363</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45363</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45363</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45363</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45363</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45363</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45363</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45363</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45363</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45363</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45363</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45363</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45363</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45363</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45363</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45363</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45363</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45363</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45363</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45363</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45363</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45363</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45363</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45363</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45363</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45363</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45363</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45363</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45363</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45363</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45363</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45363</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45363</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45363</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45363</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45363</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45363</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45363</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45363</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45363</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45363</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45363</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45363</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45363</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45363</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45363</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45363</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45363</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45363</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45363</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45363</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45363</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45363</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45363</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45363</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45363</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45363</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45363</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45363</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45363</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45363</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45363</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45363</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45363</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45363</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45363</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45363</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45363</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45363</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45363</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45363</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45363</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45363</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45363</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45363</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45363</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45363</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45363</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45363</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45363</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45363</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45363</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45363</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45363</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45363</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45363</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45363</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45363</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45363</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45363</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45363</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45363</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45363</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45363</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45363</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45363</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45363</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45363</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45363</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45363</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45363</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45363</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45363</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45363</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45363</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45363</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45363</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45363</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45363</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45363</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45363</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45363</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45363</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45363</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45363</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45363</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45363</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45363</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45363</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45363</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45363</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45363</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45363</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45363</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45363</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45363</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45363</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45363</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45363</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45363</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45363</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45363</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45363</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45363</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45363</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45363</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45363</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45363</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45363</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45363</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45363</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45363</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45363</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45363</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45363</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45363</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45363</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45363</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45363</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45363</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45363</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45363</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45363</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45363</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45363</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45363</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45363</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45363</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45363</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45363</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45363</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45363</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45363</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45363</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45363</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45363</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45363</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45363</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45363</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45363</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45363</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45363</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45363</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45363</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45363</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45363</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45363</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45363</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45363</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45363</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45363</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45363</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45363</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45363</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45363</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45363</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45363</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45363</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45363</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45363</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45363</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45363</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45363</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45363</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45363</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45363</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45363</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45363</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45363</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45363</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45363</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45363</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45363</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45363</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45363</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45363</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45363</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45363</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45363</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45363</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45363</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45363</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45363</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45363</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45363</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45363</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45363</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45363</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45363</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45363</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45363</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45363</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45363</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45363</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45363</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45363</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45363</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45363</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45363</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45363</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45363</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45363</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45363</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45363</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45363</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45363</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45363</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45363</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45363</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45363</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45363</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45363</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45363</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45363</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45363</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45363</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45363</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45363</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45363</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45363</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45363</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45363</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45363</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45363</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45363</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45363</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45363</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45363</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45363</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45363</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45363</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45363</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45363</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45363</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45363</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45363</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45363</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45363</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45363</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45363</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45363</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45363</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45363</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45363</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45363</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45363</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45363</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45363</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45363</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45363</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45363</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45363</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45363</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45363</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45363</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45363</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45363</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45363</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45363</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45363</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45363</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45363</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45363</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45363</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45363</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45363</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45363</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45363</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45363</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45363</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45363</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45363</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45363</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45363</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45363</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45363</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45363</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45363</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45363</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45363</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45363</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45363</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45363</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45363</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45363</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45363</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45363</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45363</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45363</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45363</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45363</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45363</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45363</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45363</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45363</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45363</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45363</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45363</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45363</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45363</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45363</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45363</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45363</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45363</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45363</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45363</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45363</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45363</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45363</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45363</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45363</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45363</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45363</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45363</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45363</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45363</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45363</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45363</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45363</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45363</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45363</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45363</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45363</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45363</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45363</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45363</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45363</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45363</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45363</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45363</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45363</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45363</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45363</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45363</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45363</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45363</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45363</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45363</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45363</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45363</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45363</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45363</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45363</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45363</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45363</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45363</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45363</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45363</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45363</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45363</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45363</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45363</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45363</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45363</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45363</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45363</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45363</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45363</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45363</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45363</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45363</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45363</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45363</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45363</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45363</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45363</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45363</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45363</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45363</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45363</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45363</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45363</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45363</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45363</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45363</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45363</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45363</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45363</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45363</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45363</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45363</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45363</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45363</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45363</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45363</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45363</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45363</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45363</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45363</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45363</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45363</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45363</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45363</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45363</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45363</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45363</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45363</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45363</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45363</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45363</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45363</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45363</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45363</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45363</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45363</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45363</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45363</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45363</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45363</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45363</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45363</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45363</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45363</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45363</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45363</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45363</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45363</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45363</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45363</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45363</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45363</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45363</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45363</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45363</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45363</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45363</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45363</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45363</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45363</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45363</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45363</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45363</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45363</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45363</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45363</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45363</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45363</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45363</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45363</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45363</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45363</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45363</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45363</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45363</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45363</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45363</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45363</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45363</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45363</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45363</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45363</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45363</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45363</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45363</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45363</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45363</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45363</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45363</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45363</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45363</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45363</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45363</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45363</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45363</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45363</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45363</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45363</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45363</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45363</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45363</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45363</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45363</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45363</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45363</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45363</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45363</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45363</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45363</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45363</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45363</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45363</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45363</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45363</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45363</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45363</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45363</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45363</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45363</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45363</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45363</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45363</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45363</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45363</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45363</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45363</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45363</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45363</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45363</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45363</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45363</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45363</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45363</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45363</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45363</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45363</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45363</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45363</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45363</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45363</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45363</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45363</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45363</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45363</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45363</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45363</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45363</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45363</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45363</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45363</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45363</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45363</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45363</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45363</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45363</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45363</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45363</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45363</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45363</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45363</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45363</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45363</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45363</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45363</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45363</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45363</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45363</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45363</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45363</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45363</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45363</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45363</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45363</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45363</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45363</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45363</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45363</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45363</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45363</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45363</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45363</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45363</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45363</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45363</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45363</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45363</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45363</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45363</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45363</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45363</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45363</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45363</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45363</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45363</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45363</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45363</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45363</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45363</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45363</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45363</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45363</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45363</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45363</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45363</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45363</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45363</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45363</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45363</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45363</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45363</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45363</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45363</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45363</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45363</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45363</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45363</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45363</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45363</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45363</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45363</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45363</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45363</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45363</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45363</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45363</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45363</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45363</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45363</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45363</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45363</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45363</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45363</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45363</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45363</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45363</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45363</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45363</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45363</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45363</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45363</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45363</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45363</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45363</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45363</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45363</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45363</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45363</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45363</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45363</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45363</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45363</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45363</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45363</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45363</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45363</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45363</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45363</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45363</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45363</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45363</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45363</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45363</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45363</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45363</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45363</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45363</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45363</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45363</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45363</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45363</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45363</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45363</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45363</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45363</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45363</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45363</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45363</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45363</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45363</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45363</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45363</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45363</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45363</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45363</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45363</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45363</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45363</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45363</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45363</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45363</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45363</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45363</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45363</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45363</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45363</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45363</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45363</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45363</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45363</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45363</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45363</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45363</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45363</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45363</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45363</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45363</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45363</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45363</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45363</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45363</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45363</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45363</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45363</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45363</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45363</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45363</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45363</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45363</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45363</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45363</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45363</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45363</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45363</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45363</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45363</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45363</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45363</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45363</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45363</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45363</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45363</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45363</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45363</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45363</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45363</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45363</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45363</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45363</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45363</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45363</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45363</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45363</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45363</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45363</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45363</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45363</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45363</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45363</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45363</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45363</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45363</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45363</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45363</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45363</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45363</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45363</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45363</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45363</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45363</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45363</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45363</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45363</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45363</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45363</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45363</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45363</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45363</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45363</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45363</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45363</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45363</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45363</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45363</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45363</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45363</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45363</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45363</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45363</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45363</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45363</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45363</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45363</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45363</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45363</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45363</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45363</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45363</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45363</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45363</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45363</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45363</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45363</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45363</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45363</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45363</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45363</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45363</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45363</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45363</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45363</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45363</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45363</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45363</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45363</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45363</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45363</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45363</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45363</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45363</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45363</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45363</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45363</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45363</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45363</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45363</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45363</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45363</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45363</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45363</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45363</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45363</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45363</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45363</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45363</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45363</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45363</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45363</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45363</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45363</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45363</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45363</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45363</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45363</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45363</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45363</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45363</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45363</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45363</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45363</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45363</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45363</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45363</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45363</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45363</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45363</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45363</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45363</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45363</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45363</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45363</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45363</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45363</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45363</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45363</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45363</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45363</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45363</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45363</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45363</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45363</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45363</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45363</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45363</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45363</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45363</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45363</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45363</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45363</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45363</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45363</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45363</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45363</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45363</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45363</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45363</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45363</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45363</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45363</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45363</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45363</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45363</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45363</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45363</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45363</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45363</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45363</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45363</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45363</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45363</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45363</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45363</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45363</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45363</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45363</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45363</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45363</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45363</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45363</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45363</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45363</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45363</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45363</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45363</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45363</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45363</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45363</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45363</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45363</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45363</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45363</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45363</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45363</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45363</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45363</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45363</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45363</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45363</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45363</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45363</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45363</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45363</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45363</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45363</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45363</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45363</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45363</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45363</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45363</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45363</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45363</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45363</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45363</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45363</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45363</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45363</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45363</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45363</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45363</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45363</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45363</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45363</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45363</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45363</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45363</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45363</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45363</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45363</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45363</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45363</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45363</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45363</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45363</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45363</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45363</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45363</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45363</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45363</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45363</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45363</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45363</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45363</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45363</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45363</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45363</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45363</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45363</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45363</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45363</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45363</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45363</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45363</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45363</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45363</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45363</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45363</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45363</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45363</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45363</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45363</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45363</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45363</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45363</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45363</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45363</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45363</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45363</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45363</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45363</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45363</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45363</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45363</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45363</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45363</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45363</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45363</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45363</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45363</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45363</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45363</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45363</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45363</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45363</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45363</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45363</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45363</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45363</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45363</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45363</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45363</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45363</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45363</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45363</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45363</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45363</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45363</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45363</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45363</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45363</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45363</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45363</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45363</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45363</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45363</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45363</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45363</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45363</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45363</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45363</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45363</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45363</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45363</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45363</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45363</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45363</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45363</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45363</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45363</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45363</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45363</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45363</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45363</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45363</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45363</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45363</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45363</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45363</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45363</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45363</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45363</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45363</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45363</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45363</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45363</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45363</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45363</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45363</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45363</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45363</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45363</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45363</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45363</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45363</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45363</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45363</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45363</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45363</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45363</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45363</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45363</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45363</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45363</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45363</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45363</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45363</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45363</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45363</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45363</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5092-2024</t>
        </is>
      </c>
      <c r="B10316" s="1" t="n">
        <v>45330</v>
      </c>
      <c r="C10316" s="1" t="n">
        <v>45363</v>
      </c>
      <c r="D10316" t="inlineStr">
        <is>
          <t>GÄVLEBORGS LÄN</t>
        </is>
      </c>
      <c r="E10316" t="inlineStr">
        <is>
          <t>LJUSDAL</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45363</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45363</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5151-2024</t>
        </is>
      </c>
      <c r="B10319" s="1" t="n">
        <v>45330</v>
      </c>
      <c r="C10319" s="1" t="n">
        <v>45363</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45363</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45363</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45363</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45363</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45363</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45363</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45363</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45363</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5388-2024</t>
        </is>
      </c>
      <c r="B10328" s="1" t="n">
        <v>45331</v>
      </c>
      <c r="C10328" s="1" t="n">
        <v>45363</v>
      </c>
      <c r="D10328" t="inlineStr">
        <is>
          <t>GÄVLEBORGS LÄN</t>
        </is>
      </c>
      <c r="E10328" t="inlineStr">
        <is>
          <t>BOLLNÄS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5416-2024</t>
        </is>
      </c>
      <c r="B10329" s="1" t="n">
        <v>45331</v>
      </c>
      <c r="C10329" s="1" t="n">
        <v>45363</v>
      </c>
      <c r="D10329" t="inlineStr">
        <is>
          <t>GÄVLEBORGS LÄN</t>
        </is>
      </c>
      <c r="E10329" t="inlineStr">
        <is>
          <t>OVANÅKER</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45363</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45363</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5534-2024</t>
        </is>
      </c>
      <c r="B10332" s="1" t="n">
        <v>45334</v>
      </c>
      <c r="C10332" s="1" t="n">
        <v>45363</v>
      </c>
      <c r="D10332" t="inlineStr">
        <is>
          <t>GÄVLEBORGS LÄN</t>
        </is>
      </c>
      <c r="E10332" t="inlineStr">
        <is>
          <t>LJUSDAL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5604-2024</t>
        </is>
      </c>
      <c r="B10333" s="1" t="n">
        <v>45334</v>
      </c>
      <c r="C10333" s="1" t="n">
        <v>45363</v>
      </c>
      <c r="D10333" t="inlineStr">
        <is>
          <t>GÄVLEBORGS LÄN</t>
        </is>
      </c>
      <c r="E10333" t="inlineStr">
        <is>
          <t>HUDIKSVALL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5633-2024</t>
        </is>
      </c>
      <c r="B10334" s="1" t="n">
        <v>45334</v>
      </c>
      <c r="C10334" s="1" t="n">
        <v>45363</v>
      </c>
      <c r="D10334" t="inlineStr">
        <is>
          <t>GÄVLEBORGS LÄN</t>
        </is>
      </c>
      <c r="E10334" t="inlineStr">
        <is>
          <t>GÄVLE</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5620-2024</t>
        </is>
      </c>
      <c r="B10335" s="1" t="n">
        <v>45334</v>
      </c>
      <c r="C10335" s="1" t="n">
        <v>45363</v>
      </c>
      <c r="D10335" t="inlineStr">
        <is>
          <t>GÄVLEBORGS LÄN</t>
        </is>
      </c>
      <c r="E10335" t="inlineStr">
        <is>
          <t>SANDVIKEN</t>
        </is>
      </c>
      <c r="G10335" t="n">
        <v>7.9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5535-2024</t>
        </is>
      </c>
      <c r="B10336" s="1" t="n">
        <v>45334</v>
      </c>
      <c r="C10336" s="1" t="n">
        <v>45363</v>
      </c>
      <c r="D10336" t="inlineStr">
        <is>
          <t>GÄVLEBORGS LÄN</t>
        </is>
      </c>
      <c r="E10336" t="inlineStr">
        <is>
          <t>LJUSDAL</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5554-2024</t>
        </is>
      </c>
      <c r="B10337" s="1" t="n">
        <v>45334</v>
      </c>
      <c r="C10337" s="1" t="n">
        <v>45363</v>
      </c>
      <c r="D10337" t="inlineStr">
        <is>
          <t>GÄVLEBORGS LÄN</t>
        </is>
      </c>
      <c r="E10337" t="inlineStr">
        <is>
          <t>HOFORS</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5558-2024</t>
        </is>
      </c>
      <c r="B10338" s="1" t="n">
        <v>45334</v>
      </c>
      <c r="C10338" s="1" t="n">
        <v>45363</v>
      </c>
      <c r="D10338" t="inlineStr">
        <is>
          <t>GÄVLEBORGS LÄN</t>
        </is>
      </c>
      <c r="E10338" t="inlineStr">
        <is>
          <t>OCKELBO</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5571-2024</t>
        </is>
      </c>
      <c r="B10339" s="1" t="n">
        <v>45334</v>
      </c>
      <c r="C10339" s="1" t="n">
        <v>45363</v>
      </c>
      <c r="D10339" t="inlineStr">
        <is>
          <t>GÄVLEBORGS LÄN</t>
        </is>
      </c>
      <c r="E10339" t="inlineStr">
        <is>
          <t>OCKELBO</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5579-2024</t>
        </is>
      </c>
      <c r="B10340" s="1" t="n">
        <v>45334</v>
      </c>
      <c r="C10340" s="1" t="n">
        <v>45363</v>
      </c>
      <c r="D10340" t="inlineStr">
        <is>
          <t>GÄVLEBORGS LÄN</t>
        </is>
      </c>
      <c r="E10340" t="inlineStr">
        <is>
          <t>LJUSDAL</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5605-2024</t>
        </is>
      </c>
      <c r="B10341" s="1" t="n">
        <v>45334</v>
      </c>
      <c r="C10341" s="1" t="n">
        <v>45363</v>
      </c>
      <c r="D10341" t="inlineStr">
        <is>
          <t>GÄVLEBORGS LÄN</t>
        </is>
      </c>
      <c r="E10341" t="inlineStr">
        <is>
          <t>GÄVLE</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5635-2024</t>
        </is>
      </c>
      <c r="B10342" s="1" t="n">
        <v>45334</v>
      </c>
      <c r="C10342" s="1" t="n">
        <v>45363</v>
      </c>
      <c r="D10342" t="inlineStr">
        <is>
          <t>GÄVLEBORGS LÄN</t>
        </is>
      </c>
      <c r="E10342" t="inlineStr">
        <is>
          <t>HUDIKSVALL</t>
        </is>
      </c>
      <c r="F10342" t="inlineStr">
        <is>
          <t>Kommuner</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5711-2024</t>
        </is>
      </c>
      <c r="B10343" s="1" t="n">
        <v>45334</v>
      </c>
      <c r="C10343" s="1" t="n">
        <v>45363</v>
      </c>
      <c r="D10343" t="inlineStr">
        <is>
          <t>GÄVLEBORGS LÄN</t>
        </is>
      </c>
      <c r="E10343" t="inlineStr">
        <is>
          <t>HUDIKSVALL</t>
        </is>
      </c>
      <c r="F10343" t="inlineStr">
        <is>
          <t>Holmen skog AB</t>
        </is>
      </c>
      <c r="G10343" t="n">
        <v>14.5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5725-2024</t>
        </is>
      </c>
      <c r="B10344" s="1" t="n">
        <v>45334</v>
      </c>
      <c r="C10344" s="1" t="n">
        <v>45363</v>
      </c>
      <c r="D10344" t="inlineStr">
        <is>
          <t>GÄVLEBORGS LÄN</t>
        </is>
      </c>
      <c r="E10344" t="inlineStr">
        <is>
          <t>HUDIKSVALL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45363</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5756-2024</t>
        </is>
      </c>
      <c r="B10346" s="1" t="n">
        <v>45335</v>
      </c>
      <c r="C10346" s="1" t="n">
        <v>45363</v>
      </c>
      <c r="D10346" t="inlineStr">
        <is>
          <t>GÄVLEBORGS LÄN</t>
        </is>
      </c>
      <c r="E10346" t="inlineStr">
        <is>
          <t>BOLLNÄS</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5836-2024</t>
        </is>
      </c>
      <c r="B10347" s="1" t="n">
        <v>45335</v>
      </c>
      <c r="C10347" s="1" t="n">
        <v>45363</v>
      </c>
      <c r="D10347" t="inlineStr">
        <is>
          <t>GÄVLEBORGS LÄN</t>
        </is>
      </c>
      <c r="E10347" t="inlineStr">
        <is>
          <t>BOLLNÄS</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45363</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45363</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45363</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5983-2024</t>
        </is>
      </c>
      <c r="B10351" s="1" t="n">
        <v>45336</v>
      </c>
      <c r="C10351" s="1" t="n">
        <v>45363</v>
      </c>
      <c r="D10351" t="inlineStr">
        <is>
          <t>GÄVLEBORGS LÄN</t>
        </is>
      </c>
      <c r="E10351" t="inlineStr">
        <is>
          <t>NORDANSTIG</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6015-2024</t>
        </is>
      </c>
      <c r="B10352" s="1" t="n">
        <v>45336</v>
      </c>
      <c r="C10352" s="1" t="n">
        <v>45363</v>
      </c>
      <c r="D10352" t="inlineStr">
        <is>
          <t>GÄVLEBORGS LÄN</t>
        </is>
      </c>
      <c r="E10352" t="inlineStr">
        <is>
          <t>HUDIKSVALL</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6031-2024</t>
        </is>
      </c>
      <c r="B10353" s="1" t="n">
        <v>45336</v>
      </c>
      <c r="C10353" s="1" t="n">
        <v>45363</v>
      </c>
      <c r="D10353" t="inlineStr">
        <is>
          <t>GÄVLEBORGS LÄN</t>
        </is>
      </c>
      <c r="E10353" t="inlineStr">
        <is>
          <t>HUDIKSVALL</t>
        </is>
      </c>
      <c r="G10353" t="n">
        <v>24.4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6016-2024</t>
        </is>
      </c>
      <c r="B10354" s="1" t="n">
        <v>45336</v>
      </c>
      <c r="C10354" s="1" t="n">
        <v>45363</v>
      </c>
      <c r="D10354" t="inlineStr">
        <is>
          <t>GÄVLEBORGS LÄN</t>
        </is>
      </c>
      <c r="E10354" t="inlineStr">
        <is>
          <t>HUDIKSVALL</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6073-2024</t>
        </is>
      </c>
      <c r="B10355" s="1" t="n">
        <v>45336</v>
      </c>
      <c r="C10355" s="1" t="n">
        <v>45363</v>
      </c>
      <c r="D10355" t="inlineStr">
        <is>
          <t>GÄVLEBORGS LÄN</t>
        </is>
      </c>
      <c r="E10355" t="inlineStr">
        <is>
          <t>LJUSDAL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6072-2024</t>
        </is>
      </c>
      <c r="B10356" s="1" t="n">
        <v>45336</v>
      </c>
      <c r="C10356" s="1" t="n">
        <v>45363</v>
      </c>
      <c r="D10356" t="inlineStr">
        <is>
          <t>GÄVLEBORGS LÄN</t>
        </is>
      </c>
      <c r="E10356" t="inlineStr">
        <is>
          <t>LJUSDAL</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6062-2024</t>
        </is>
      </c>
      <c r="B10357" s="1" t="n">
        <v>45336</v>
      </c>
      <c r="C10357" s="1" t="n">
        <v>45363</v>
      </c>
      <c r="D10357" t="inlineStr">
        <is>
          <t>GÄVLEBORGS LÄN</t>
        </is>
      </c>
      <c r="E10357" t="inlineStr">
        <is>
          <t>HUDIKSVALL</t>
        </is>
      </c>
      <c r="F10357" t="inlineStr">
        <is>
          <t>Holmen skog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6074-2024</t>
        </is>
      </c>
      <c r="B10358" s="1" t="n">
        <v>45336</v>
      </c>
      <c r="C10358" s="1" t="n">
        <v>45363</v>
      </c>
      <c r="D10358" t="inlineStr">
        <is>
          <t>GÄVLEBORGS LÄN</t>
        </is>
      </c>
      <c r="E10358" t="inlineStr">
        <is>
          <t>LJUSDAL</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6188-2024</t>
        </is>
      </c>
      <c r="B10359" s="1" t="n">
        <v>45337</v>
      </c>
      <c r="C10359" s="1" t="n">
        <v>45363</v>
      </c>
      <c r="D10359" t="inlineStr">
        <is>
          <t>GÄVLEBORGS LÄN</t>
        </is>
      </c>
      <c r="E10359" t="inlineStr">
        <is>
          <t>OVANÅKER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6110-2024</t>
        </is>
      </c>
      <c r="B10360" s="1" t="n">
        <v>45337</v>
      </c>
      <c r="C10360" s="1" t="n">
        <v>45363</v>
      </c>
      <c r="D10360" t="inlineStr">
        <is>
          <t>GÄVLEBORGS LÄN</t>
        </is>
      </c>
      <c r="E10360" t="inlineStr">
        <is>
          <t>HUDIKSVALL</t>
        </is>
      </c>
      <c r="F10360" t="inlineStr">
        <is>
          <t>Kommuner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6191-2024</t>
        </is>
      </c>
      <c r="B10361" s="1" t="n">
        <v>45337</v>
      </c>
      <c r="C10361" s="1" t="n">
        <v>45363</v>
      </c>
      <c r="D10361" t="inlineStr">
        <is>
          <t>GÄVLEBORGS LÄN</t>
        </is>
      </c>
      <c r="E10361" t="inlineStr">
        <is>
          <t>BOLLNÄS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6235-2024</t>
        </is>
      </c>
      <c r="B10362" s="1" t="n">
        <v>45337</v>
      </c>
      <c r="C10362" s="1" t="n">
        <v>45363</v>
      </c>
      <c r="D10362" t="inlineStr">
        <is>
          <t>GÄVLEBORGS LÄN</t>
        </is>
      </c>
      <c r="E10362" t="inlineStr">
        <is>
          <t>SANDVIKEN</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6095-2024</t>
        </is>
      </c>
      <c r="B10363" s="1" t="n">
        <v>45337</v>
      </c>
      <c r="C10363" s="1" t="n">
        <v>45363</v>
      </c>
      <c r="D10363" t="inlineStr">
        <is>
          <t>GÄVLEBORGS LÄN</t>
        </is>
      </c>
      <c r="E10363" t="inlineStr">
        <is>
          <t>HUDIKSVALL</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6128-2024</t>
        </is>
      </c>
      <c r="B10364" s="1" t="n">
        <v>45337</v>
      </c>
      <c r="C10364" s="1" t="n">
        <v>45363</v>
      </c>
      <c r="D10364" t="inlineStr">
        <is>
          <t>GÄVLEBORGS LÄN</t>
        </is>
      </c>
      <c r="E10364" t="inlineStr">
        <is>
          <t>OCKELBO</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6260-2024</t>
        </is>
      </c>
      <c r="B10365" s="1" t="n">
        <v>45337</v>
      </c>
      <c r="C10365" s="1" t="n">
        <v>45363</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6388-2024</t>
        </is>
      </c>
      <c r="B10366" s="1" t="n">
        <v>45338</v>
      </c>
      <c r="C10366" s="1" t="n">
        <v>45363</v>
      </c>
      <c r="D10366" t="inlineStr">
        <is>
          <t>GÄVLEBORGS LÄN</t>
        </is>
      </c>
      <c r="E10366" t="inlineStr">
        <is>
          <t>SÖDERHAMN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6378-2024</t>
        </is>
      </c>
      <c r="B10367" s="1" t="n">
        <v>45338</v>
      </c>
      <c r="C10367" s="1" t="n">
        <v>45363</v>
      </c>
      <c r="D10367" t="inlineStr">
        <is>
          <t>GÄVLEBORGS LÄN</t>
        </is>
      </c>
      <c r="E10367" t="inlineStr">
        <is>
          <t>SÖDERHAMN</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6389-2024</t>
        </is>
      </c>
      <c r="B10368" s="1" t="n">
        <v>45338</v>
      </c>
      <c r="C10368" s="1" t="n">
        <v>45363</v>
      </c>
      <c r="D10368" t="inlineStr">
        <is>
          <t>GÄVLEBORGS LÄN</t>
        </is>
      </c>
      <c r="E10368" t="inlineStr">
        <is>
          <t>SÖDERHAMN</t>
        </is>
      </c>
      <c r="G10368" t="n">
        <v>8.800000000000001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6474-2024</t>
        </is>
      </c>
      <c r="B10369" s="1" t="n">
        <v>45338</v>
      </c>
      <c r="C10369" s="1" t="n">
        <v>45363</v>
      </c>
      <c r="D10369" t="inlineStr">
        <is>
          <t>GÄVLEBORGS LÄN</t>
        </is>
      </c>
      <c r="E10369" t="inlineStr">
        <is>
          <t>GÄVLE</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6467-2024</t>
        </is>
      </c>
      <c r="B10370" s="1" t="n">
        <v>45338</v>
      </c>
      <c r="C10370" s="1" t="n">
        <v>45363</v>
      </c>
      <c r="D10370" t="inlineStr">
        <is>
          <t>GÄVLEBORGS LÄN</t>
        </is>
      </c>
      <c r="E10370" t="inlineStr">
        <is>
          <t>NORDANSTIG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6331-2024</t>
        </is>
      </c>
      <c r="B10371" s="1" t="n">
        <v>45338</v>
      </c>
      <c r="C10371" s="1" t="n">
        <v>45363</v>
      </c>
      <c r="D10371" t="inlineStr">
        <is>
          <t>GÄVLEBORGS LÄN</t>
        </is>
      </c>
      <c r="E10371" t="inlineStr">
        <is>
          <t>OVANÅKER</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6425-2024</t>
        </is>
      </c>
      <c r="B10372" s="1" t="n">
        <v>45338</v>
      </c>
      <c r="C10372" s="1" t="n">
        <v>45363</v>
      </c>
      <c r="D10372" t="inlineStr">
        <is>
          <t>GÄVLEBORGS LÄN</t>
        </is>
      </c>
      <c r="E10372" t="inlineStr">
        <is>
          <t>HUDIKSVALL</t>
        </is>
      </c>
      <c r="F10372" t="inlineStr">
        <is>
          <t>Holmen skog AB</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6469-2024</t>
        </is>
      </c>
      <c r="B10373" s="1" t="n">
        <v>45338</v>
      </c>
      <c r="C10373" s="1" t="n">
        <v>45363</v>
      </c>
      <c r="D10373" t="inlineStr">
        <is>
          <t>GÄVLEBORGS LÄN</t>
        </is>
      </c>
      <c r="E10373" t="inlineStr">
        <is>
          <t>LJUSDAL</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45363</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45363</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45363</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6724-2024</t>
        </is>
      </c>
      <c r="B10377" s="1" t="n">
        <v>45342</v>
      </c>
      <c r="C10377" s="1" t="n">
        <v>45363</v>
      </c>
      <c r="D10377" t="inlineStr">
        <is>
          <t>GÄVLEBORGS LÄN</t>
        </is>
      </c>
      <c r="E10377" t="inlineStr">
        <is>
          <t>LJUSDAL</t>
        </is>
      </c>
      <c r="F10377" t="inlineStr">
        <is>
          <t>Bergvik skog väst AB</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6730-2024</t>
        </is>
      </c>
      <c r="B10378" s="1" t="n">
        <v>45342</v>
      </c>
      <c r="C10378" s="1" t="n">
        <v>45363</v>
      </c>
      <c r="D10378" t="inlineStr">
        <is>
          <t>GÄVLEBORGS LÄN</t>
        </is>
      </c>
      <c r="E10378" t="inlineStr">
        <is>
          <t>HUDIKSVALL</t>
        </is>
      </c>
      <c r="G10378" t="n">
        <v>6.4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6742-2024</t>
        </is>
      </c>
      <c r="B10379" s="1" t="n">
        <v>45342</v>
      </c>
      <c r="C10379" s="1" t="n">
        <v>45363</v>
      </c>
      <c r="D10379" t="inlineStr">
        <is>
          <t>GÄVLEBORGS LÄN</t>
        </is>
      </c>
      <c r="E10379" t="inlineStr">
        <is>
          <t>OCKELBO</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6755-2024</t>
        </is>
      </c>
      <c r="B10380" s="1" t="n">
        <v>45342</v>
      </c>
      <c r="C10380" s="1" t="n">
        <v>45363</v>
      </c>
      <c r="D10380" t="inlineStr">
        <is>
          <t>GÄVLEBORGS LÄN</t>
        </is>
      </c>
      <c r="E10380" t="inlineStr">
        <is>
          <t>BOLLNÄS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6851-2024</t>
        </is>
      </c>
      <c r="B10381" s="1" t="n">
        <v>45342</v>
      </c>
      <c r="C10381" s="1" t="n">
        <v>45363</v>
      </c>
      <c r="D10381" t="inlineStr">
        <is>
          <t>GÄVLEBORGS LÄN</t>
        </is>
      </c>
      <c r="E10381" t="inlineStr">
        <is>
          <t>SÖDERHAMN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6729-2024</t>
        </is>
      </c>
      <c r="B10382" s="1" t="n">
        <v>45342</v>
      </c>
      <c r="C10382" s="1" t="n">
        <v>45363</v>
      </c>
      <c r="D10382" t="inlineStr">
        <is>
          <t>GÄVLEBORGS LÄN</t>
        </is>
      </c>
      <c r="E10382" t="inlineStr">
        <is>
          <t>LJUSDAL</t>
        </is>
      </c>
      <c r="F10382" t="inlineStr">
        <is>
          <t>Bergvik skog väst AB</t>
        </is>
      </c>
      <c r="G10382" t="n">
        <v>22.5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6737-2024</t>
        </is>
      </c>
      <c r="B10383" s="1" t="n">
        <v>45342</v>
      </c>
      <c r="C10383" s="1" t="n">
        <v>45363</v>
      </c>
      <c r="D10383" t="inlineStr">
        <is>
          <t>GÄVLEBORGS LÄN</t>
        </is>
      </c>
      <c r="E10383" t="inlineStr">
        <is>
          <t>GÄVLE</t>
        </is>
      </c>
      <c r="F10383" t="inlineStr">
        <is>
          <t>Bergvik skog öst AB</t>
        </is>
      </c>
      <c r="G10383" t="n">
        <v>13.1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6761-2024</t>
        </is>
      </c>
      <c r="B10384" s="1" t="n">
        <v>45342</v>
      </c>
      <c r="C10384" s="1" t="n">
        <v>45363</v>
      </c>
      <c r="D10384" t="inlineStr">
        <is>
          <t>GÄVLEBORGS LÄN</t>
        </is>
      </c>
      <c r="E10384" t="inlineStr">
        <is>
          <t>OVANÅKER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6802-2024</t>
        </is>
      </c>
      <c r="B10385" s="1" t="n">
        <v>45342</v>
      </c>
      <c r="C10385" s="1" t="n">
        <v>45363</v>
      </c>
      <c r="D10385" t="inlineStr">
        <is>
          <t>GÄVLEBORGS LÄN</t>
        </is>
      </c>
      <c r="E10385" t="inlineStr">
        <is>
          <t>LJUSDAL</t>
        </is>
      </c>
      <c r="F10385" t="inlineStr">
        <is>
          <t>Holmen skog AB</t>
        </is>
      </c>
      <c r="G10385" t="n">
        <v>23.2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6853-2024</t>
        </is>
      </c>
      <c r="B10386" s="1" t="n">
        <v>45342</v>
      </c>
      <c r="C10386" s="1" t="n">
        <v>45363</v>
      </c>
      <c r="D10386" t="inlineStr">
        <is>
          <t>GÄVLEBORGS LÄN</t>
        </is>
      </c>
      <c r="E10386" t="inlineStr">
        <is>
          <t>SÖDERHAMN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6872-2024</t>
        </is>
      </c>
      <c r="B10387" s="1" t="n">
        <v>45342</v>
      </c>
      <c r="C10387" s="1" t="n">
        <v>45363</v>
      </c>
      <c r="D10387" t="inlineStr">
        <is>
          <t>GÄVLEBORGS LÄN</t>
        </is>
      </c>
      <c r="E10387" t="inlineStr">
        <is>
          <t>HUDIKSVALL</t>
        </is>
      </c>
      <c r="F10387" t="inlineStr">
        <is>
          <t>Holmen skog AB</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6752-2024</t>
        </is>
      </c>
      <c r="B10388" s="1" t="n">
        <v>45342</v>
      </c>
      <c r="C10388" s="1" t="n">
        <v>45363</v>
      </c>
      <c r="D10388" t="inlineStr">
        <is>
          <t>GÄVLEBORGS LÄN</t>
        </is>
      </c>
      <c r="E10388" t="inlineStr">
        <is>
          <t>BOLLNÄS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6792-2024</t>
        </is>
      </c>
      <c r="B10389" s="1" t="n">
        <v>45342</v>
      </c>
      <c r="C10389" s="1" t="n">
        <v>45363</v>
      </c>
      <c r="D10389" t="inlineStr">
        <is>
          <t>GÄVLEBORGS LÄN</t>
        </is>
      </c>
      <c r="E10389" t="inlineStr">
        <is>
          <t>SÖDERHAMN</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6844-2024</t>
        </is>
      </c>
      <c r="B10390" s="1" t="n">
        <v>45342</v>
      </c>
      <c r="C10390" s="1" t="n">
        <v>45363</v>
      </c>
      <c r="D10390" t="inlineStr">
        <is>
          <t>GÄVLEBORGS LÄN</t>
        </is>
      </c>
      <c r="E10390" t="inlineStr">
        <is>
          <t>LJUSDAL</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6923-2024</t>
        </is>
      </c>
      <c r="B10391" s="1" t="n">
        <v>45343</v>
      </c>
      <c r="C10391" s="1" t="n">
        <v>45363</v>
      </c>
      <c r="D10391" t="inlineStr">
        <is>
          <t>GÄVLEBORGS LÄN</t>
        </is>
      </c>
      <c r="E10391" t="inlineStr">
        <is>
          <t>NORDANSTIG</t>
        </is>
      </c>
      <c r="F10391" t="inlineStr">
        <is>
          <t>Holmen skog AB</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7103-2024</t>
        </is>
      </c>
      <c r="B10392" s="1" t="n">
        <v>45343</v>
      </c>
      <c r="C10392" s="1" t="n">
        <v>45363</v>
      </c>
      <c r="D10392" t="inlineStr">
        <is>
          <t>GÄVLEBORGS LÄN</t>
        </is>
      </c>
      <c r="E10392" t="inlineStr">
        <is>
          <t>HUDIKSVALL</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6958-2024</t>
        </is>
      </c>
      <c r="B10393" s="1" t="n">
        <v>45343</v>
      </c>
      <c r="C10393" s="1" t="n">
        <v>45363</v>
      </c>
      <c r="D10393" t="inlineStr">
        <is>
          <t>GÄVLEBORGS LÄN</t>
        </is>
      </c>
      <c r="E10393" t="inlineStr">
        <is>
          <t>HOFORS</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7031-2024</t>
        </is>
      </c>
      <c r="B10394" s="1" t="n">
        <v>45343</v>
      </c>
      <c r="C10394" s="1" t="n">
        <v>45363</v>
      </c>
      <c r="D10394" t="inlineStr">
        <is>
          <t>GÄVLEBORGS LÄN</t>
        </is>
      </c>
      <c r="E10394" t="inlineStr">
        <is>
          <t>LJUSDAL</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45363</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7104-2024</t>
        </is>
      </c>
      <c r="B10396" s="1" t="n">
        <v>45343</v>
      </c>
      <c r="C10396" s="1" t="n">
        <v>45363</v>
      </c>
      <c r="D10396" t="inlineStr">
        <is>
          <t>GÄVLEBORGS LÄN</t>
        </is>
      </c>
      <c r="E10396" t="inlineStr">
        <is>
          <t>HUDIKSVALL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6951-2024</t>
        </is>
      </c>
      <c r="B10397" s="1" t="n">
        <v>45343</v>
      </c>
      <c r="C10397" s="1" t="n">
        <v>45363</v>
      </c>
      <c r="D10397" t="inlineStr">
        <is>
          <t>GÄVLEBORGS LÄN</t>
        </is>
      </c>
      <c r="E10397" t="inlineStr">
        <is>
          <t>SANDVIKEN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6963-2024</t>
        </is>
      </c>
      <c r="B10398" s="1" t="n">
        <v>45343</v>
      </c>
      <c r="C10398" s="1" t="n">
        <v>45363</v>
      </c>
      <c r="D10398" t="inlineStr">
        <is>
          <t>GÄVLEBORGS LÄN</t>
        </is>
      </c>
      <c r="E10398" t="inlineStr">
        <is>
          <t>HOFORS</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7105-2024</t>
        </is>
      </c>
      <c r="B10399" s="1" t="n">
        <v>45343</v>
      </c>
      <c r="C10399" s="1" t="n">
        <v>45363</v>
      </c>
      <c r="D10399" t="inlineStr">
        <is>
          <t>GÄVLEBORGS LÄN</t>
        </is>
      </c>
      <c r="E10399" t="inlineStr">
        <is>
          <t>HUDIKSVALL</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7131-2024</t>
        </is>
      </c>
      <c r="B10400" s="1" t="n">
        <v>45344</v>
      </c>
      <c r="C10400" s="1" t="n">
        <v>45363</v>
      </c>
      <c r="D10400" t="inlineStr">
        <is>
          <t>GÄVLEBORGS LÄN</t>
        </is>
      </c>
      <c r="E10400" t="inlineStr">
        <is>
          <t>SÖDERHAMN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7135-2024</t>
        </is>
      </c>
      <c r="B10401" s="1" t="n">
        <v>45344</v>
      </c>
      <c r="C10401" s="1" t="n">
        <v>45363</v>
      </c>
      <c r="D10401" t="inlineStr">
        <is>
          <t>GÄVLEBORGS LÄN</t>
        </is>
      </c>
      <c r="E10401" t="inlineStr">
        <is>
          <t>OVANÅKER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7297-2024</t>
        </is>
      </c>
      <c r="B10402" s="1" t="n">
        <v>45344</v>
      </c>
      <c r="C10402" s="1" t="n">
        <v>45363</v>
      </c>
      <c r="D10402" t="inlineStr">
        <is>
          <t>GÄVLEBORGS LÄN</t>
        </is>
      </c>
      <c r="E10402" t="inlineStr">
        <is>
          <t>GÄVLE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7298-2024</t>
        </is>
      </c>
      <c r="B10403" s="1" t="n">
        <v>45344</v>
      </c>
      <c r="C10403" s="1" t="n">
        <v>45363</v>
      </c>
      <c r="D10403" t="inlineStr">
        <is>
          <t>GÄVLEBORGS LÄN</t>
        </is>
      </c>
      <c r="E10403" t="inlineStr">
        <is>
          <t>GÄVLE</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7386-2024</t>
        </is>
      </c>
      <c r="B10404" s="1" t="n">
        <v>45345</v>
      </c>
      <c r="C10404" s="1" t="n">
        <v>45363</v>
      </c>
      <c r="D10404" t="inlineStr">
        <is>
          <t>GÄVLEBORGS LÄN</t>
        </is>
      </c>
      <c r="E10404" t="inlineStr">
        <is>
          <t>LJUSDAL</t>
        </is>
      </c>
      <c r="F10404" t="inlineStr">
        <is>
          <t>Holmen skog AB</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7348-2024</t>
        </is>
      </c>
      <c r="B10405" s="1" t="n">
        <v>45345</v>
      </c>
      <c r="C10405" s="1" t="n">
        <v>45363</v>
      </c>
      <c r="D10405" t="inlineStr">
        <is>
          <t>GÄVLEBORGS LÄN</t>
        </is>
      </c>
      <c r="E10405" t="inlineStr">
        <is>
          <t>LJUSDAL</t>
        </is>
      </c>
      <c r="F10405" t="inlineStr">
        <is>
          <t>Bergvik skog väst AB</t>
        </is>
      </c>
      <c r="G10405" t="n">
        <v>13.4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7360-2024</t>
        </is>
      </c>
      <c r="B10406" s="1" t="n">
        <v>45345</v>
      </c>
      <c r="C10406" s="1" t="n">
        <v>45363</v>
      </c>
      <c r="D10406" t="inlineStr">
        <is>
          <t>GÄVLEBORGS LÄN</t>
        </is>
      </c>
      <c r="E10406" t="inlineStr">
        <is>
          <t>SÖDERHAMN</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7436-2024</t>
        </is>
      </c>
      <c r="B10407" s="1" t="n">
        <v>45345</v>
      </c>
      <c r="C10407" s="1" t="n">
        <v>45363</v>
      </c>
      <c r="D10407" t="inlineStr">
        <is>
          <t>GÄVLEBORGS LÄN</t>
        </is>
      </c>
      <c r="E10407" t="inlineStr">
        <is>
          <t>NORDANSTIG</t>
        </is>
      </c>
      <c r="F10407" t="inlineStr">
        <is>
          <t>Holmen skog AB</t>
        </is>
      </c>
      <c r="G10407" t="n">
        <v>62.5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7460-2024</t>
        </is>
      </c>
      <c r="B10408" s="1" t="n">
        <v>45345</v>
      </c>
      <c r="C10408" s="1" t="n">
        <v>45363</v>
      </c>
      <c r="D10408" t="inlineStr">
        <is>
          <t>GÄVLEBORGS LÄN</t>
        </is>
      </c>
      <c r="E10408" t="inlineStr">
        <is>
          <t>NORDANSTIG</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7363-2024</t>
        </is>
      </c>
      <c r="B10409" s="1" t="n">
        <v>45345</v>
      </c>
      <c r="C10409" s="1" t="n">
        <v>45363</v>
      </c>
      <c r="D10409" t="inlineStr">
        <is>
          <t>GÄVLEBORGS LÄN</t>
        </is>
      </c>
      <c r="E10409" t="inlineStr">
        <is>
          <t>SÖDERHAMN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7411-2024</t>
        </is>
      </c>
      <c r="B10410" s="1" t="n">
        <v>45345</v>
      </c>
      <c r="C10410" s="1" t="n">
        <v>45363</v>
      </c>
      <c r="D10410" t="inlineStr">
        <is>
          <t>GÄVLEBORGS LÄN</t>
        </is>
      </c>
      <c r="E10410" t="inlineStr">
        <is>
          <t>HUDIKSVALL</t>
        </is>
      </c>
      <c r="G10410" t="n">
        <v>24.2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7514-2024</t>
        </is>
      </c>
      <c r="B10411" s="1" t="n">
        <v>45348</v>
      </c>
      <c r="C10411" s="1" t="n">
        <v>45363</v>
      </c>
      <c r="D10411" t="inlineStr">
        <is>
          <t>GÄVLEBORGS LÄN</t>
        </is>
      </c>
      <c r="E10411" t="inlineStr">
        <is>
          <t>LJUSDAL</t>
        </is>
      </c>
      <c r="G10411" t="n">
        <v>8.6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7560-2024</t>
        </is>
      </c>
      <c r="B10412" s="1" t="n">
        <v>45348</v>
      </c>
      <c r="C10412" s="1" t="n">
        <v>45363</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7543-2024</t>
        </is>
      </c>
      <c r="B10413" s="1" t="n">
        <v>45348</v>
      </c>
      <c r="C10413" s="1" t="n">
        <v>45363</v>
      </c>
      <c r="D10413" t="inlineStr">
        <is>
          <t>GÄVLEBORGS LÄN</t>
        </is>
      </c>
      <c r="E10413" t="inlineStr">
        <is>
          <t>HOFORS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7547-2024</t>
        </is>
      </c>
      <c r="B10414" s="1" t="n">
        <v>45348</v>
      </c>
      <c r="C10414" s="1" t="n">
        <v>45363</v>
      </c>
      <c r="D10414" t="inlineStr">
        <is>
          <t>GÄVLEBORGS LÄN</t>
        </is>
      </c>
      <c r="E10414" t="inlineStr">
        <is>
          <t>HOFORS</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7513-2024</t>
        </is>
      </c>
      <c r="B10415" s="1" t="n">
        <v>45348</v>
      </c>
      <c r="C10415" s="1" t="n">
        <v>45363</v>
      </c>
      <c r="D10415" t="inlineStr">
        <is>
          <t>GÄVLEBORGS LÄN</t>
        </is>
      </c>
      <c r="E10415" t="inlineStr">
        <is>
          <t>LJUSDAL</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7603-2024</t>
        </is>
      </c>
      <c r="B10416" s="1" t="n">
        <v>45348</v>
      </c>
      <c r="C10416" s="1" t="n">
        <v>45363</v>
      </c>
      <c r="D10416" t="inlineStr">
        <is>
          <t>GÄVLEBORGS LÄN</t>
        </is>
      </c>
      <c r="E10416" t="inlineStr">
        <is>
          <t>LJUSDAL</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7563-2024</t>
        </is>
      </c>
      <c r="B10417" s="1" t="n">
        <v>45348</v>
      </c>
      <c r="C10417" s="1" t="n">
        <v>45363</v>
      </c>
      <c r="D10417" t="inlineStr">
        <is>
          <t>GÄVLEBORGS LÄN</t>
        </is>
      </c>
      <c r="E10417" t="inlineStr">
        <is>
          <t>HOFORS</t>
        </is>
      </c>
      <c r="G10417" t="n">
        <v>10.8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7606-2024</t>
        </is>
      </c>
      <c r="B10418" s="1" t="n">
        <v>45348</v>
      </c>
      <c r="C10418" s="1" t="n">
        <v>45363</v>
      </c>
      <c r="D10418" t="inlineStr">
        <is>
          <t>GÄVLEBORGS LÄN</t>
        </is>
      </c>
      <c r="E10418" t="inlineStr">
        <is>
          <t>LJUSDAL</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7580-2024</t>
        </is>
      </c>
      <c r="B10419" s="1" t="n">
        <v>45348</v>
      </c>
      <c r="C10419" s="1" t="n">
        <v>45363</v>
      </c>
      <c r="D10419" t="inlineStr">
        <is>
          <t>GÄVLEBORGS LÄN</t>
        </is>
      </c>
      <c r="E10419" t="inlineStr">
        <is>
          <t>BOLLNÄS</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7614-2024</t>
        </is>
      </c>
      <c r="B10420" s="1" t="n">
        <v>45348</v>
      </c>
      <c r="C10420" s="1" t="n">
        <v>45363</v>
      </c>
      <c r="D10420" t="inlineStr">
        <is>
          <t>GÄVLEBORGS LÄN</t>
        </is>
      </c>
      <c r="E10420" t="inlineStr">
        <is>
          <t>BOLLNÄS</t>
        </is>
      </c>
      <c r="F10420" t="inlineStr">
        <is>
          <t>Kommuner</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7709-2024</t>
        </is>
      </c>
      <c r="B10421" s="1" t="n">
        <v>45349</v>
      </c>
      <c r="C10421" s="1" t="n">
        <v>45363</v>
      </c>
      <c r="D10421" t="inlineStr">
        <is>
          <t>GÄVLEBORGS LÄN</t>
        </is>
      </c>
      <c r="E10421" t="inlineStr">
        <is>
          <t>LJUSDAL</t>
        </is>
      </c>
      <c r="F10421" t="inlineStr">
        <is>
          <t>Holmen skog AB</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7724-2024</t>
        </is>
      </c>
      <c r="B10422" s="1" t="n">
        <v>45349</v>
      </c>
      <c r="C10422" s="1" t="n">
        <v>45363</v>
      </c>
      <c r="D10422" t="inlineStr">
        <is>
          <t>GÄVLEBORGS LÄN</t>
        </is>
      </c>
      <c r="E10422" t="inlineStr">
        <is>
          <t>LJUSDAL</t>
        </is>
      </c>
      <c r="F10422" t="inlineStr">
        <is>
          <t>Bergvik skog väst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7729-2024</t>
        </is>
      </c>
      <c r="B10423" s="1" t="n">
        <v>45349</v>
      </c>
      <c r="C10423" s="1" t="n">
        <v>45363</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7734-2024</t>
        </is>
      </c>
      <c r="B10424" s="1" t="n">
        <v>45349</v>
      </c>
      <c r="C10424" s="1" t="n">
        <v>45363</v>
      </c>
      <c r="D10424" t="inlineStr">
        <is>
          <t>GÄVLEBORGS LÄN</t>
        </is>
      </c>
      <c r="E10424" t="inlineStr">
        <is>
          <t>BOLLNÄS</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7811-2024</t>
        </is>
      </c>
      <c r="B10425" s="1" t="n">
        <v>45349</v>
      </c>
      <c r="C10425" s="1" t="n">
        <v>45363</v>
      </c>
      <c r="D10425" t="inlineStr">
        <is>
          <t>GÄVLEBORGS LÄN</t>
        </is>
      </c>
      <c r="E10425" t="inlineStr">
        <is>
          <t>NORDANSTIG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7693-2024</t>
        </is>
      </c>
      <c r="B10426" s="1" t="n">
        <v>45349</v>
      </c>
      <c r="C10426" s="1" t="n">
        <v>45363</v>
      </c>
      <c r="D10426" t="inlineStr">
        <is>
          <t>GÄVLEBORGS LÄN</t>
        </is>
      </c>
      <c r="E10426" t="inlineStr">
        <is>
          <t>OVANÅKER</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7694-2024</t>
        </is>
      </c>
      <c r="B10427" s="1" t="n">
        <v>45349</v>
      </c>
      <c r="C10427" s="1" t="n">
        <v>45363</v>
      </c>
      <c r="D10427" t="inlineStr">
        <is>
          <t>GÄVLEBORGS LÄN</t>
        </is>
      </c>
      <c r="E10427" t="inlineStr">
        <is>
          <t>OVANÅKER</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7846-2024</t>
        </is>
      </c>
      <c r="B10428" s="1" t="n">
        <v>45350</v>
      </c>
      <c r="C10428" s="1" t="n">
        <v>45363</v>
      </c>
      <c r="D10428" t="inlineStr">
        <is>
          <t>GÄVLEBORGS LÄN</t>
        </is>
      </c>
      <c r="E10428" t="inlineStr">
        <is>
          <t>NORDANSTIG</t>
        </is>
      </c>
      <c r="G10428" t="n">
        <v>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7731-2024</t>
        </is>
      </c>
      <c r="B10429" s="1" t="n">
        <v>45349</v>
      </c>
      <c r="C10429" s="1" t="n">
        <v>45363</v>
      </c>
      <c r="D10429" t="inlineStr">
        <is>
          <t>GÄVLEBORGS LÄN</t>
        </is>
      </c>
      <c r="E10429" t="inlineStr">
        <is>
          <t>LJUSDAL</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7836-2024</t>
        </is>
      </c>
      <c r="B10430" s="1" t="n">
        <v>45349</v>
      </c>
      <c r="C10430" s="1" t="n">
        <v>45363</v>
      </c>
      <c r="D10430" t="inlineStr">
        <is>
          <t>GÄVLEBORGS LÄN</t>
        </is>
      </c>
      <c r="E10430" t="inlineStr">
        <is>
          <t>HUDIKSVALL</t>
        </is>
      </c>
      <c r="F10430" t="inlineStr">
        <is>
          <t>Holmen skog AB</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7907-2024</t>
        </is>
      </c>
      <c r="B10431" s="1" t="n">
        <v>45350</v>
      </c>
      <c r="C10431" s="1" t="n">
        <v>45363</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7920-2024</t>
        </is>
      </c>
      <c r="B10432" s="1" t="n">
        <v>45350</v>
      </c>
      <c r="C10432" s="1" t="n">
        <v>45363</v>
      </c>
      <c r="D10432" t="inlineStr">
        <is>
          <t>GÄVLEBORGS LÄN</t>
        </is>
      </c>
      <c r="E10432" t="inlineStr">
        <is>
          <t>GÄVLE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7926-2024</t>
        </is>
      </c>
      <c r="B10433" s="1" t="n">
        <v>45350</v>
      </c>
      <c r="C10433" s="1" t="n">
        <v>45363</v>
      </c>
      <c r="D10433" t="inlineStr">
        <is>
          <t>GÄVLEBORGS LÄN</t>
        </is>
      </c>
      <c r="E10433" t="inlineStr">
        <is>
          <t>GÄVLE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7997-2024</t>
        </is>
      </c>
      <c r="B10434" s="1" t="n">
        <v>45350</v>
      </c>
      <c r="C10434" s="1" t="n">
        <v>45363</v>
      </c>
      <c r="D10434" t="inlineStr">
        <is>
          <t>GÄVLEBORGS LÄN</t>
        </is>
      </c>
      <c r="E10434" t="inlineStr">
        <is>
          <t>OVANÅKER</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7915-2024</t>
        </is>
      </c>
      <c r="B10435" s="1" t="n">
        <v>45350</v>
      </c>
      <c r="C10435" s="1" t="n">
        <v>45363</v>
      </c>
      <c r="D10435" t="inlineStr">
        <is>
          <t>GÄVLEBORGS LÄN</t>
        </is>
      </c>
      <c r="E10435" t="inlineStr">
        <is>
          <t>GÄVLE</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7919-2024</t>
        </is>
      </c>
      <c r="B10436" s="1" t="n">
        <v>45350</v>
      </c>
      <c r="C10436" s="1" t="n">
        <v>45363</v>
      </c>
      <c r="D10436" t="inlineStr">
        <is>
          <t>GÄVLEBORGS LÄN</t>
        </is>
      </c>
      <c r="E10436" t="inlineStr">
        <is>
          <t>SANDVIKEN</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7992-2024</t>
        </is>
      </c>
      <c r="B10437" s="1" t="n">
        <v>45350</v>
      </c>
      <c r="C10437" s="1" t="n">
        <v>45363</v>
      </c>
      <c r="D10437" t="inlineStr">
        <is>
          <t>GÄVLEBORGS LÄN</t>
        </is>
      </c>
      <c r="E10437" t="inlineStr">
        <is>
          <t>HUDIKSVALL</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8032-2024</t>
        </is>
      </c>
      <c r="B10438" s="1" t="n">
        <v>45350</v>
      </c>
      <c r="C10438" s="1" t="n">
        <v>45363</v>
      </c>
      <c r="D10438" t="inlineStr">
        <is>
          <t>GÄVLEBORGS LÄN</t>
        </is>
      </c>
      <c r="E10438" t="inlineStr">
        <is>
          <t>OVANÅKER</t>
        </is>
      </c>
      <c r="G10438" t="n">
        <v>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7886-2024</t>
        </is>
      </c>
      <c r="B10439" s="1" t="n">
        <v>45350</v>
      </c>
      <c r="C10439" s="1" t="n">
        <v>45363</v>
      </c>
      <c r="D10439" t="inlineStr">
        <is>
          <t>GÄVLEBORGS LÄN</t>
        </is>
      </c>
      <c r="E10439" t="inlineStr">
        <is>
          <t>SANDVIKEN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7899-2024</t>
        </is>
      </c>
      <c r="B10440" s="1" t="n">
        <v>45350</v>
      </c>
      <c r="C10440" s="1" t="n">
        <v>45363</v>
      </c>
      <c r="D10440" t="inlineStr">
        <is>
          <t>GÄVLEBORGS LÄN</t>
        </is>
      </c>
      <c r="E10440" t="inlineStr">
        <is>
          <t>GÄVLE</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7994-2024</t>
        </is>
      </c>
      <c r="B10441" s="1" t="n">
        <v>45350</v>
      </c>
      <c r="C10441" s="1" t="n">
        <v>45363</v>
      </c>
      <c r="D10441" t="inlineStr">
        <is>
          <t>GÄVLEBORGS LÄN</t>
        </is>
      </c>
      <c r="E10441" t="inlineStr">
        <is>
          <t>LJUSDAL</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7923-2024</t>
        </is>
      </c>
      <c r="B10442" s="1" t="n">
        <v>45350</v>
      </c>
      <c r="C10442" s="1" t="n">
        <v>45363</v>
      </c>
      <c r="D10442" t="inlineStr">
        <is>
          <t>GÄVLEBORGS LÄN</t>
        </is>
      </c>
      <c r="E10442" t="inlineStr">
        <is>
          <t>GÄVLE</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8027-2024</t>
        </is>
      </c>
      <c r="B10443" s="1" t="n">
        <v>45350</v>
      </c>
      <c r="C10443" s="1" t="n">
        <v>45363</v>
      </c>
      <c r="D10443" t="inlineStr">
        <is>
          <t>GÄVLEBORGS LÄN</t>
        </is>
      </c>
      <c r="E10443" t="inlineStr">
        <is>
          <t>HUDIKSVALL</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8031-2024</t>
        </is>
      </c>
      <c r="B10444" s="1" t="n">
        <v>45350</v>
      </c>
      <c r="C10444" s="1" t="n">
        <v>45363</v>
      </c>
      <c r="D10444" t="inlineStr">
        <is>
          <t>GÄVLEBORGS LÄN</t>
        </is>
      </c>
      <c r="E10444" t="inlineStr">
        <is>
          <t>GÄVLE</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8040-2024</t>
        </is>
      </c>
      <c r="B10445" s="1" t="n">
        <v>45350</v>
      </c>
      <c r="C10445" s="1" t="n">
        <v>45363</v>
      </c>
      <c r="D10445" t="inlineStr">
        <is>
          <t>GÄVLEBORGS LÄN</t>
        </is>
      </c>
      <c r="E10445" t="inlineStr">
        <is>
          <t>NORDANSTIG</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8061-2024</t>
        </is>
      </c>
      <c r="B10446" s="1" t="n">
        <v>45351</v>
      </c>
      <c r="C10446" s="1" t="n">
        <v>45363</v>
      </c>
      <c r="D10446" t="inlineStr">
        <is>
          <t>GÄVLEBORGS LÄN</t>
        </is>
      </c>
      <c r="E10446" t="inlineStr">
        <is>
          <t>LJUSDAL</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8081-2024</t>
        </is>
      </c>
      <c r="B10447" s="1" t="n">
        <v>45351</v>
      </c>
      <c r="C10447" s="1" t="n">
        <v>45363</v>
      </c>
      <c r="D10447" t="inlineStr">
        <is>
          <t>GÄVLEBORGS LÄN</t>
        </is>
      </c>
      <c r="E10447" t="inlineStr">
        <is>
          <t>LJUSDAL</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8051-2024</t>
        </is>
      </c>
      <c r="B10448" s="1" t="n">
        <v>45351</v>
      </c>
      <c r="C10448" s="1" t="n">
        <v>45363</v>
      </c>
      <c r="D10448" t="inlineStr">
        <is>
          <t>GÄVLEBORGS LÄN</t>
        </is>
      </c>
      <c r="E10448" t="inlineStr">
        <is>
          <t>HUDIKSVALL</t>
        </is>
      </c>
      <c r="F10448" t="inlineStr">
        <is>
          <t>Holmen skog AB</t>
        </is>
      </c>
      <c r="G10448" t="n">
        <v>12.9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8142-2024</t>
        </is>
      </c>
      <c r="B10449" s="1" t="n">
        <v>45351</v>
      </c>
      <c r="C10449" s="1" t="n">
        <v>45363</v>
      </c>
      <c r="D10449" t="inlineStr">
        <is>
          <t>GÄVLEBORGS LÄN</t>
        </is>
      </c>
      <c r="E10449" t="inlineStr">
        <is>
          <t>LJUSDAL</t>
        </is>
      </c>
      <c r="F10449" t="inlineStr">
        <is>
          <t>Holmen skog AB</t>
        </is>
      </c>
      <c r="G10449" t="n">
        <v>17.1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8119-2024</t>
        </is>
      </c>
      <c r="B10450" s="1" t="n">
        <v>45351</v>
      </c>
      <c r="C10450" s="1" t="n">
        <v>45363</v>
      </c>
      <c r="D10450" t="inlineStr">
        <is>
          <t>GÄVLEBORGS LÄN</t>
        </is>
      </c>
      <c r="E10450" t="inlineStr">
        <is>
          <t>BOLLNÄS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8233-2024</t>
        </is>
      </c>
      <c r="B10451" s="1" t="n">
        <v>45351</v>
      </c>
      <c r="C10451" s="1" t="n">
        <v>45363</v>
      </c>
      <c r="D10451" t="inlineStr">
        <is>
          <t>GÄVLEBORGS LÄN</t>
        </is>
      </c>
      <c r="E10451" t="inlineStr">
        <is>
          <t>BOLLNÄS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8080-2024</t>
        </is>
      </c>
      <c r="B10452" s="1" t="n">
        <v>45351</v>
      </c>
      <c r="C10452" s="1" t="n">
        <v>45363</v>
      </c>
      <c r="D10452" t="inlineStr">
        <is>
          <t>GÄVLEBORGS LÄN</t>
        </is>
      </c>
      <c r="E10452" t="inlineStr">
        <is>
          <t>SÖDERHAMN</t>
        </is>
      </c>
      <c r="G10452" t="n">
        <v>9.4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8096-2024</t>
        </is>
      </c>
      <c r="B10453" s="1" t="n">
        <v>45351</v>
      </c>
      <c r="C10453" s="1" t="n">
        <v>45363</v>
      </c>
      <c r="D10453" t="inlineStr">
        <is>
          <t>GÄVLEBORGS LÄN</t>
        </is>
      </c>
      <c r="E10453" t="inlineStr">
        <is>
          <t>HUDIKSVALL</t>
        </is>
      </c>
      <c r="F10453" t="inlineStr">
        <is>
          <t>Holmen skog AB</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8199-2024</t>
        </is>
      </c>
      <c r="B10454" s="1" t="n">
        <v>45351</v>
      </c>
      <c r="C10454" s="1" t="n">
        <v>45363</v>
      </c>
      <c r="D10454" t="inlineStr">
        <is>
          <t>GÄVLEBORGS LÄN</t>
        </is>
      </c>
      <c r="E10454" t="inlineStr">
        <is>
          <t>NORDANSTIG</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8327-2024</t>
        </is>
      </c>
      <c r="B10455" s="1" t="n">
        <v>45352</v>
      </c>
      <c r="C10455" s="1" t="n">
        <v>45363</v>
      </c>
      <c r="D10455" t="inlineStr">
        <is>
          <t>GÄVLEBORGS LÄN</t>
        </is>
      </c>
      <c r="E10455" t="inlineStr">
        <is>
          <t>BOLLNÄS</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8335-2024</t>
        </is>
      </c>
      <c r="B10456" s="1" t="n">
        <v>45352</v>
      </c>
      <c r="C10456" s="1" t="n">
        <v>45363</v>
      </c>
      <c r="D10456" t="inlineStr">
        <is>
          <t>GÄVLEBORGS LÄN</t>
        </is>
      </c>
      <c r="E10456" t="inlineStr">
        <is>
          <t>LJUSDAL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8384-2024</t>
        </is>
      </c>
      <c r="B10457" s="1" t="n">
        <v>45352</v>
      </c>
      <c r="C10457" s="1" t="n">
        <v>45363</v>
      </c>
      <c r="D10457" t="inlineStr">
        <is>
          <t>GÄVLEBORGS LÄN</t>
        </is>
      </c>
      <c r="E10457" t="inlineStr">
        <is>
          <t>LJUSDAL</t>
        </is>
      </c>
      <c r="G10457" t="n">
        <v>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8289-2024</t>
        </is>
      </c>
      <c r="B10458" s="1" t="n">
        <v>45352</v>
      </c>
      <c r="C10458" s="1" t="n">
        <v>45363</v>
      </c>
      <c r="D10458" t="inlineStr">
        <is>
          <t>GÄVLEBORGS LÄN</t>
        </is>
      </c>
      <c r="E10458" t="inlineStr">
        <is>
          <t>LJUSDAL</t>
        </is>
      </c>
      <c r="F10458" t="inlineStr">
        <is>
          <t>Bergvik skog väst AB</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8397-2024</t>
        </is>
      </c>
      <c r="B10459" s="1" t="n">
        <v>45352</v>
      </c>
      <c r="C10459" s="1" t="n">
        <v>45363</v>
      </c>
      <c r="D10459" t="inlineStr">
        <is>
          <t>GÄVLEBORGS LÄN</t>
        </is>
      </c>
      <c r="E10459" t="inlineStr">
        <is>
          <t>NORDANSTIG</t>
        </is>
      </c>
      <c r="F10459" t="inlineStr">
        <is>
          <t>Holmen skog AB</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8323-2024</t>
        </is>
      </c>
      <c r="B10460" s="1" t="n">
        <v>45352</v>
      </c>
      <c r="C10460" s="1" t="n">
        <v>45363</v>
      </c>
      <c r="D10460" t="inlineStr">
        <is>
          <t>GÄVLEBORGS LÄN</t>
        </is>
      </c>
      <c r="E10460" t="inlineStr">
        <is>
          <t>BOLLNÄS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45363</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8395-2024</t>
        </is>
      </c>
      <c r="B10462" s="1" t="n">
        <v>45352</v>
      </c>
      <c r="C10462" s="1" t="n">
        <v>45363</v>
      </c>
      <c r="D10462" t="inlineStr">
        <is>
          <t>GÄVLEBORGS LÄN</t>
        </is>
      </c>
      <c r="E10462" t="inlineStr">
        <is>
          <t>NORDANSTIG</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8302-2024</t>
        </is>
      </c>
      <c r="B10463" s="1" t="n">
        <v>45352</v>
      </c>
      <c r="C10463" s="1" t="n">
        <v>45363</v>
      </c>
      <c r="D10463" t="inlineStr">
        <is>
          <t>GÄVLEBORGS LÄN</t>
        </is>
      </c>
      <c r="E10463" t="inlineStr">
        <is>
          <t>BOLLNÄS</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8308-2024</t>
        </is>
      </c>
      <c r="B10464" s="1" t="n">
        <v>45352</v>
      </c>
      <c r="C10464" s="1" t="n">
        <v>45363</v>
      </c>
      <c r="D10464" t="inlineStr">
        <is>
          <t>GÄVLEBORGS LÄN</t>
        </is>
      </c>
      <c r="E10464" t="inlineStr">
        <is>
          <t>BOLLNÄS</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8434-2024</t>
        </is>
      </c>
      <c r="B10465" s="1" t="n">
        <v>45353</v>
      </c>
      <c r="C10465" s="1" t="n">
        <v>45363</v>
      </c>
      <c r="D10465" t="inlineStr">
        <is>
          <t>GÄVLEBORGS LÄN</t>
        </is>
      </c>
      <c r="E10465" t="inlineStr">
        <is>
          <t>HUDIKSVALL</t>
        </is>
      </c>
      <c r="F10465" t="inlineStr">
        <is>
          <t>Holmen skog AB</t>
        </is>
      </c>
      <c r="G10465" t="n">
        <v>10.1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8496-2024</t>
        </is>
      </c>
      <c r="B10466" s="1" t="n">
        <v>45355</v>
      </c>
      <c r="C10466" s="1" t="n">
        <v>45363</v>
      </c>
      <c r="D10466" t="inlineStr">
        <is>
          <t>GÄVLEBORGS LÄN</t>
        </is>
      </c>
      <c r="E10466" t="inlineStr">
        <is>
          <t>HUDIKSVALL</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8486-2024</t>
        </is>
      </c>
      <c r="B10467" s="1" t="n">
        <v>45355</v>
      </c>
      <c r="C10467" s="1" t="n">
        <v>45363</v>
      </c>
      <c r="D10467" t="inlineStr">
        <is>
          <t>GÄVLEBORGS LÄN</t>
        </is>
      </c>
      <c r="E10467" t="inlineStr">
        <is>
          <t>HUDIKSVALL</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8494-2024</t>
        </is>
      </c>
      <c r="B10468" s="1" t="n">
        <v>45355</v>
      </c>
      <c r="C10468" s="1" t="n">
        <v>45363</v>
      </c>
      <c r="D10468" t="inlineStr">
        <is>
          <t>GÄVLEBORGS LÄN</t>
        </is>
      </c>
      <c r="E10468" t="inlineStr">
        <is>
          <t>HUDIKSVALL</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8515-2024</t>
        </is>
      </c>
      <c r="B10469" s="1" t="n">
        <v>45355</v>
      </c>
      <c r="C10469" s="1" t="n">
        <v>45363</v>
      </c>
      <c r="D10469" t="inlineStr">
        <is>
          <t>GÄVLEBORGS LÄN</t>
        </is>
      </c>
      <c r="E10469" t="inlineStr">
        <is>
          <t>HUDIKSVALL</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8522-2024</t>
        </is>
      </c>
      <c r="B10470" s="1" t="n">
        <v>45355</v>
      </c>
      <c r="C10470" s="1" t="n">
        <v>45363</v>
      </c>
      <c r="D10470" t="inlineStr">
        <is>
          <t>GÄVLEBORGS LÄN</t>
        </is>
      </c>
      <c r="E10470" t="inlineStr">
        <is>
          <t>HUDIKSVALL</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8487-2024</t>
        </is>
      </c>
      <c r="B10471" s="1" t="n">
        <v>45355</v>
      </c>
      <c r="C10471" s="1" t="n">
        <v>45363</v>
      </c>
      <c r="D10471" t="inlineStr">
        <is>
          <t>GÄVLEBORGS LÄN</t>
        </is>
      </c>
      <c r="E10471" t="inlineStr">
        <is>
          <t>HUDIKSVALL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8573-2024</t>
        </is>
      </c>
      <c r="B10472" s="1" t="n">
        <v>45355</v>
      </c>
      <c r="C10472" s="1" t="n">
        <v>45363</v>
      </c>
      <c r="D10472" t="inlineStr">
        <is>
          <t>GÄVLEBORGS LÄN</t>
        </is>
      </c>
      <c r="E10472" t="inlineStr">
        <is>
          <t>BOLLNÄS</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8667-2024</t>
        </is>
      </c>
      <c r="B10473" s="1" t="n">
        <v>45356</v>
      </c>
      <c r="C10473" s="1" t="n">
        <v>45363</v>
      </c>
      <c r="D10473" t="inlineStr">
        <is>
          <t>GÄVLEBORGS LÄN</t>
        </is>
      </c>
      <c r="E10473" t="inlineStr">
        <is>
          <t>LJUSDAL</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8693-2024</t>
        </is>
      </c>
      <c r="B10474" s="1" t="n">
        <v>45356</v>
      </c>
      <c r="C10474" s="1" t="n">
        <v>45363</v>
      </c>
      <c r="D10474" t="inlineStr">
        <is>
          <t>GÄVLEBORGS LÄN</t>
        </is>
      </c>
      <c r="E10474" t="inlineStr">
        <is>
          <t>GÄVLE</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8698-2024</t>
        </is>
      </c>
      <c r="B10475" s="1" t="n">
        <v>45356</v>
      </c>
      <c r="C10475" s="1" t="n">
        <v>45363</v>
      </c>
      <c r="D10475" t="inlineStr">
        <is>
          <t>GÄVLEBORGS LÄN</t>
        </is>
      </c>
      <c r="E10475" t="inlineStr">
        <is>
          <t>SANDVIKEN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8695-2024</t>
        </is>
      </c>
      <c r="B10476" s="1" t="n">
        <v>45356</v>
      </c>
      <c r="C10476" s="1" t="n">
        <v>45363</v>
      </c>
      <c r="D10476" t="inlineStr">
        <is>
          <t>GÄVLEBORGS LÄN</t>
        </is>
      </c>
      <c r="E10476" t="inlineStr">
        <is>
          <t>SANDVIKEN</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8768-2024</t>
        </is>
      </c>
      <c r="B10477" s="1" t="n">
        <v>45356</v>
      </c>
      <c r="C10477" s="1" t="n">
        <v>45363</v>
      </c>
      <c r="D10477" t="inlineStr">
        <is>
          <t>GÄVLEBORGS LÄN</t>
        </is>
      </c>
      <c r="E10477" t="inlineStr">
        <is>
          <t>SÖDERHAMN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8776-2024</t>
        </is>
      </c>
      <c r="B10478" s="1" t="n">
        <v>45356</v>
      </c>
      <c r="C10478" s="1" t="n">
        <v>45363</v>
      </c>
      <c r="D10478" t="inlineStr">
        <is>
          <t>GÄVLEBORGS LÄN</t>
        </is>
      </c>
      <c r="E10478" t="inlineStr">
        <is>
          <t>BOLLNÄS</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8691-2024</t>
        </is>
      </c>
      <c r="B10479" s="1" t="n">
        <v>45356</v>
      </c>
      <c r="C10479" s="1" t="n">
        <v>45363</v>
      </c>
      <c r="D10479" t="inlineStr">
        <is>
          <t>GÄVLEBORGS LÄN</t>
        </is>
      </c>
      <c r="E10479" t="inlineStr">
        <is>
          <t>GÄVLE</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8898-2024</t>
        </is>
      </c>
      <c r="B10480" s="1" t="n">
        <v>45357</v>
      </c>
      <c r="C10480" s="1" t="n">
        <v>45363</v>
      </c>
      <c r="D10480" t="inlineStr">
        <is>
          <t>GÄVLEBORGS LÄN</t>
        </is>
      </c>
      <c r="E10480" t="inlineStr">
        <is>
          <t>NORDANSTIG</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9025-2024</t>
        </is>
      </c>
      <c r="B10481" s="1" t="n">
        <v>45357</v>
      </c>
      <c r="C10481" s="1" t="n">
        <v>45363</v>
      </c>
      <c r="D10481" t="inlineStr">
        <is>
          <t>GÄVLEBORGS LÄN</t>
        </is>
      </c>
      <c r="E10481" t="inlineStr">
        <is>
          <t>BOLLNÄS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8909-2024</t>
        </is>
      </c>
      <c r="B10482" s="1" t="n">
        <v>45357</v>
      </c>
      <c r="C10482" s="1" t="n">
        <v>45363</v>
      </c>
      <c r="D10482" t="inlineStr">
        <is>
          <t>GÄVLEBORGS LÄN</t>
        </is>
      </c>
      <c r="E10482" t="inlineStr">
        <is>
          <t>NORDANSTIG</t>
        </is>
      </c>
      <c r="G10482" t="n">
        <v>15.3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8979-2024</t>
        </is>
      </c>
      <c r="B10483" s="1" t="n">
        <v>45357</v>
      </c>
      <c r="C10483" s="1" t="n">
        <v>45363</v>
      </c>
      <c r="D10483" t="inlineStr">
        <is>
          <t>GÄVLEBORGS LÄN</t>
        </is>
      </c>
      <c r="E10483" t="inlineStr">
        <is>
          <t>LJUSDAL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9053-2024</t>
        </is>
      </c>
      <c r="B10484" s="1" t="n">
        <v>45357</v>
      </c>
      <c r="C10484" s="1" t="n">
        <v>45363</v>
      </c>
      <c r="D10484" t="inlineStr">
        <is>
          <t>GÄVLEBORGS LÄN</t>
        </is>
      </c>
      <c r="E10484" t="inlineStr">
        <is>
          <t>SANDVIKEN</t>
        </is>
      </c>
      <c r="G10484" t="n">
        <v>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9058-2024</t>
        </is>
      </c>
      <c r="B10485" s="1" t="n">
        <v>45357</v>
      </c>
      <c r="C10485" s="1" t="n">
        <v>45363</v>
      </c>
      <c r="D10485" t="inlineStr">
        <is>
          <t>GÄVLEBORGS LÄN</t>
        </is>
      </c>
      <c r="E10485" t="inlineStr">
        <is>
          <t>SANDVIKEN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9062-2024</t>
        </is>
      </c>
      <c r="B10486" s="1" t="n">
        <v>45357</v>
      </c>
      <c r="C10486" s="1" t="n">
        <v>45363</v>
      </c>
      <c r="D10486" t="inlineStr">
        <is>
          <t>GÄVLEBORGS LÄN</t>
        </is>
      </c>
      <c r="E10486" t="inlineStr">
        <is>
          <t>SANDVIKEN</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9059-2024</t>
        </is>
      </c>
      <c r="B10487" s="1" t="n">
        <v>45357</v>
      </c>
      <c r="C10487" s="1" t="n">
        <v>45363</v>
      </c>
      <c r="D10487" t="inlineStr">
        <is>
          <t>GÄVLEBORGS LÄN</t>
        </is>
      </c>
      <c r="E10487" t="inlineStr">
        <is>
          <t>SANDVIKEN</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9110-2024</t>
        </is>
      </c>
      <c r="B10488" s="1" t="n">
        <v>45358</v>
      </c>
      <c r="C10488" s="1" t="n">
        <v>45363</v>
      </c>
      <c r="D10488" t="inlineStr">
        <is>
          <t>GÄVLEBORGS LÄN</t>
        </is>
      </c>
      <c r="E10488" t="inlineStr">
        <is>
          <t>HUDIKSVALL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9111-2024</t>
        </is>
      </c>
      <c r="B10489" s="1" t="n">
        <v>45358</v>
      </c>
      <c r="C10489" s="1" t="n">
        <v>45363</v>
      </c>
      <c r="D10489" t="inlineStr">
        <is>
          <t>GÄVLEBORGS LÄN</t>
        </is>
      </c>
      <c r="E10489" t="inlineStr">
        <is>
          <t>LJUSDAL</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9232-2024</t>
        </is>
      </c>
      <c r="B10490" s="1" t="n">
        <v>45358</v>
      </c>
      <c r="C10490" s="1" t="n">
        <v>45363</v>
      </c>
      <c r="D10490" t="inlineStr">
        <is>
          <t>GÄVLEBORGS LÄN</t>
        </is>
      </c>
      <c r="E10490" t="inlineStr">
        <is>
          <t>LJUSDAL</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9220-2024</t>
        </is>
      </c>
      <c r="B10491" s="1" t="n">
        <v>45358</v>
      </c>
      <c r="C10491" s="1" t="n">
        <v>45363</v>
      </c>
      <c r="D10491" t="inlineStr">
        <is>
          <t>GÄVLEBORGS LÄN</t>
        </is>
      </c>
      <c r="E10491" t="inlineStr">
        <is>
          <t>LJUSDAL</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9224-2024</t>
        </is>
      </c>
      <c r="B10492" s="1" t="n">
        <v>45358</v>
      </c>
      <c r="C10492" s="1" t="n">
        <v>45363</v>
      </c>
      <c r="D10492" t="inlineStr">
        <is>
          <t>GÄVLEBORGS LÄN</t>
        </is>
      </c>
      <c r="E10492" t="inlineStr">
        <is>
          <t>LJUSDAL</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9262-2024</t>
        </is>
      </c>
      <c r="B10493" s="1" t="n">
        <v>45358</v>
      </c>
      <c r="C10493" s="1" t="n">
        <v>45363</v>
      </c>
      <c r="D10493" t="inlineStr">
        <is>
          <t>GÄVLEBORGS LÄN</t>
        </is>
      </c>
      <c r="E10493" t="inlineStr">
        <is>
          <t>BOLLNÄS</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9131-2024</t>
        </is>
      </c>
      <c r="B10494" s="1" t="n">
        <v>45358</v>
      </c>
      <c r="C10494" s="1" t="n">
        <v>45363</v>
      </c>
      <c r="D10494" t="inlineStr">
        <is>
          <t>GÄVLEBORGS LÄN</t>
        </is>
      </c>
      <c r="E10494" t="inlineStr">
        <is>
          <t>NORDANSTIG</t>
        </is>
      </c>
      <c r="F10494" t="inlineStr">
        <is>
          <t>Holmen skog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9315-2024</t>
        </is>
      </c>
      <c r="B10495" s="1" t="n">
        <v>45358</v>
      </c>
      <c r="C10495" s="1" t="n">
        <v>45363</v>
      </c>
      <c r="D10495" t="inlineStr">
        <is>
          <t>GÄVLEBORGS LÄN</t>
        </is>
      </c>
      <c r="E10495" t="inlineStr">
        <is>
          <t>HUDIKSVALL</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9343-2024</t>
        </is>
      </c>
      <c r="B10496" s="1" t="n">
        <v>45359</v>
      </c>
      <c r="C10496" s="1" t="n">
        <v>45363</v>
      </c>
      <c r="D10496" t="inlineStr">
        <is>
          <t>GÄVLEBORGS LÄN</t>
        </is>
      </c>
      <c r="E10496" t="inlineStr">
        <is>
          <t>LJUSDAL</t>
        </is>
      </c>
      <c r="F10496" t="inlineStr">
        <is>
          <t>SCA</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9243-2024</t>
        </is>
      </c>
      <c r="B10497" s="1" t="n">
        <v>45358</v>
      </c>
      <c r="C10497" s="1" t="n">
        <v>45363</v>
      </c>
      <c r="D10497" t="inlineStr">
        <is>
          <t>GÄVLEBORGS LÄN</t>
        </is>
      </c>
      <c r="E10497" t="inlineStr">
        <is>
          <t>OVANÅKER</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9367-2024</t>
        </is>
      </c>
      <c r="B10498" s="1" t="n">
        <v>45358</v>
      </c>
      <c r="C10498" s="1" t="n">
        <v>45363</v>
      </c>
      <c r="D10498" t="inlineStr">
        <is>
          <t>GÄVLEBORGS LÄN</t>
        </is>
      </c>
      <c r="E10498" t="inlineStr">
        <is>
          <t>HUDIKSVALL</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9361-2024</t>
        </is>
      </c>
      <c r="B10499" s="1" t="n">
        <v>45359</v>
      </c>
      <c r="C10499" s="1" t="n">
        <v>45363</v>
      </c>
      <c r="D10499" t="inlineStr">
        <is>
          <t>GÄVLEBORGS LÄN</t>
        </is>
      </c>
      <c r="E10499" t="inlineStr">
        <is>
          <t>LJUSDAL</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9366-2024</t>
        </is>
      </c>
      <c r="B10500" s="1" t="n">
        <v>45359</v>
      </c>
      <c r="C10500" s="1" t="n">
        <v>45363</v>
      </c>
      <c r="D10500" t="inlineStr">
        <is>
          <t>GÄVLEBORGS LÄN</t>
        </is>
      </c>
      <c r="E10500" t="inlineStr">
        <is>
          <t>HUDIKSVALL</t>
        </is>
      </c>
      <c r="F10500" t="inlineStr">
        <is>
          <t>Holmen skog AB</t>
        </is>
      </c>
      <c r="G10500" t="n">
        <v>13.6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9359-2024</t>
        </is>
      </c>
      <c r="B10501" s="1" t="n">
        <v>45359</v>
      </c>
      <c r="C10501" s="1" t="n">
        <v>45363</v>
      </c>
      <c r="D10501" t="inlineStr">
        <is>
          <t>GÄVLEBORGS LÄN</t>
        </is>
      </c>
      <c r="E10501" t="inlineStr">
        <is>
          <t>LJUSDAL</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9363-2024</t>
        </is>
      </c>
      <c r="B10502" s="1" t="n">
        <v>45359</v>
      </c>
      <c r="C10502" s="1" t="n">
        <v>45363</v>
      </c>
      <c r="D10502" t="inlineStr">
        <is>
          <t>GÄVLEBORGS LÄN</t>
        </is>
      </c>
      <c r="E10502" t="inlineStr">
        <is>
          <t>LJUSDAL</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9427-2024</t>
        </is>
      </c>
      <c r="B10503" s="1" t="n">
        <v>45359</v>
      </c>
      <c r="C10503" s="1" t="n">
        <v>45363</v>
      </c>
      <c r="D10503" t="inlineStr">
        <is>
          <t>GÄVLEBORGS LÄN</t>
        </is>
      </c>
      <c r="E10503" t="inlineStr">
        <is>
          <t>HUDIKSVALL</t>
        </is>
      </c>
      <c r="F10503" t="inlineStr">
        <is>
          <t>Holmen skog AB</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9400-2024</t>
        </is>
      </c>
      <c r="B10504" s="1" t="n">
        <v>45359</v>
      </c>
      <c r="C10504" s="1" t="n">
        <v>45363</v>
      </c>
      <c r="D10504" t="inlineStr">
        <is>
          <t>GÄVLEBORGS LÄN</t>
        </is>
      </c>
      <c r="E10504" t="inlineStr">
        <is>
          <t>HUDIKSVALL</t>
        </is>
      </c>
      <c r="F10504" t="inlineStr">
        <is>
          <t>Holmen skog AB</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9602-2024</t>
        </is>
      </c>
      <c r="B10505" s="1" t="n">
        <v>45361</v>
      </c>
      <c r="C10505" s="1" t="n">
        <v>45363</v>
      </c>
      <c r="D10505" t="inlineStr">
        <is>
          <t>GÄVLEBORGS LÄN</t>
        </is>
      </c>
      <c r="E10505" t="inlineStr">
        <is>
          <t>LJUSDAL</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9603-2024</t>
        </is>
      </c>
      <c r="B10506" s="1" t="n">
        <v>45361</v>
      </c>
      <c r="C10506" s="1" t="n">
        <v>45363</v>
      </c>
      <c r="D10506" t="inlineStr">
        <is>
          <t>GÄVLEBORGS LÄN</t>
        </is>
      </c>
      <c r="E10506" t="inlineStr">
        <is>
          <t>LJUSDAL</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9680-2024</t>
        </is>
      </c>
      <c r="B10507" s="1" t="n">
        <v>45362</v>
      </c>
      <c r="C10507" s="1" t="n">
        <v>45363</v>
      </c>
      <c r="D10507" t="inlineStr">
        <is>
          <t>GÄVLEBORGS LÄN</t>
        </is>
      </c>
      <c r="E10507" t="inlineStr">
        <is>
          <t>HUDIKSVALL</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9648-2024</t>
        </is>
      </c>
      <c r="B10508" s="1" t="n">
        <v>45362</v>
      </c>
      <c r="C10508" s="1" t="n">
        <v>45363</v>
      </c>
      <c r="D10508" t="inlineStr">
        <is>
          <t>GÄVLEBORGS LÄN</t>
        </is>
      </c>
      <c r="E10508" t="inlineStr">
        <is>
          <t>BOLLNÄS</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9762-2024</t>
        </is>
      </c>
      <c r="B10509" s="1" t="n">
        <v>45362</v>
      </c>
      <c r="C10509" s="1" t="n">
        <v>45363</v>
      </c>
      <c r="D10509" t="inlineStr">
        <is>
          <t>GÄVLEBORGS LÄN</t>
        </is>
      </c>
      <c r="E10509" t="inlineStr">
        <is>
          <t>BOLLNÄS</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9766-2024</t>
        </is>
      </c>
      <c r="B10510" s="1" t="n">
        <v>45362</v>
      </c>
      <c r="C10510" s="1" t="n">
        <v>45363</v>
      </c>
      <c r="D10510" t="inlineStr">
        <is>
          <t>GÄVLEBORGS LÄN</t>
        </is>
      </c>
      <c r="E10510" t="inlineStr">
        <is>
          <t>HUDIKSVALL</t>
        </is>
      </c>
      <c r="F10510" t="inlineStr">
        <is>
          <t>Holmen skog AB</t>
        </is>
      </c>
      <c r="G10510" t="n">
        <v>2.9</v>
      </c>
      <c r="H10510" t="n">
        <v>0</v>
      </c>
      <c r="I10510" t="n">
        <v>0</v>
      </c>
      <c r="J10510" t="n">
        <v>0</v>
      </c>
      <c r="K10510" t="n">
        <v>0</v>
      </c>
      <c r="L10510" t="n">
        <v>0</v>
      </c>
      <c r="M10510" t="n">
        <v>0</v>
      </c>
      <c r="N10510" t="n">
        <v>0</v>
      </c>
      <c r="O10510" t="n">
        <v>0</v>
      </c>
      <c r="P10510" t="n">
        <v>0</v>
      </c>
      <c r="Q10510" t="n">
        <v>0</v>
      </c>
      <c r="R10510" s="2" t="inlineStr"/>
    </row>
    <row r="10511">
      <c r="A10511" t="inlineStr">
        <is>
          <t>A 9661-2024</t>
        </is>
      </c>
      <c r="B10511" s="1" t="n">
        <v>45362</v>
      </c>
      <c r="C10511" s="1" t="n">
        <v>45363</v>
      </c>
      <c r="D10511" t="inlineStr">
        <is>
          <t>GÄVLEBORGS LÄN</t>
        </is>
      </c>
      <c r="E10511" t="inlineStr">
        <is>
          <t>LJUSDAL</t>
        </is>
      </c>
      <c r="G10511" t="n">
        <v>2.2</v>
      </c>
      <c r="H10511" t="n">
        <v>0</v>
      </c>
      <c r="I10511" t="n">
        <v>0</v>
      </c>
      <c r="J10511" t="n">
        <v>0</v>
      </c>
      <c r="K10511" t="n">
        <v>0</v>
      </c>
      <c r="L10511" t="n">
        <v>0</v>
      </c>
      <c r="M10511" t="n">
        <v>0</v>
      </c>
      <c r="N10511" t="n">
        <v>0</v>
      </c>
      <c r="O10511" t="n">
        <v>0</v>
      </c>
      <c r="P10511" t="n">
        <v>0</v>
      </c>
      <c r="Q10511" t="n">
        <v>0</v>
      </c>
      <c r="R1051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2024-03-12T14:02:41Z</dcterms:created>
  <dcterms:modified xmlns:dcterms="http://purl.org/dc/terms/" xmlns:xsi="http://www.w3.org/2001/XMLSchema-instance" xsi:type="dcterms:W3CDTF">2024-03-12T14:02:50Z</dcterms:modified>
</cp:coreProperties>
</file>